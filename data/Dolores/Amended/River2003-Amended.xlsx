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9.xml.rels" ContentType="application/vnd.openxmlformats-package.relationships+xml"/>
  <Override PartName="/xl/worksheets/_rels/sheet6.xml.rels" ContentType="application/vnd.openxmlformats-package.relationships+xml"/>
  <Override PartName="/xl/worksheets/_rels/sheet8.xml.rels" ContentType="application/vnd.openxmlformats-package.relationships+xml"/>
  <Override PartName="/xl/worksheets/_rels/sheet5.xml.rels" ContentType="application/vnd.openxmlformats-package.relationships+xml"/>
  <Override PartName="/xl/worksheets/_rels/sheet12.xml.rels" ContentType="application/vnd.openxmlformats-package.relationships+xml"/>
  <Override PartName="/xl/worksheets/_rels/sheet10.xml.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comments12.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1"/>
  </bookViews>
  <sheets>
    <sheet name="NOV" sheetId="1" state="visible" r:id="rId2"/>
    <sheet name="DEC" sheetId="2" state="visible" r:id="rId3"/>
    <sheet name="JAN" sheetId="3" state="visible" r:id="rId4"/>
    <sheet name="FEB" sheetId="4" state="visible" r:id="rId5"/>
    <sheet name="MAR" sheetId="5" state="visible" r:id="rId6"/>
    <sheet name="APR" sheetId="6" state="visible" r:id="rId7"/>
    <sheet name="MAY" sheetId="7" state="visible" r:id="rId8"/>
    <sheet name="JUN" sheetId="8" state="visible" r:id="rId9"/>
    <sheet name="JUL" sheetId="9" state="visible" r:id="rId10"/>
    <sheet name="AUG" sheetId="10" state="visible" r:id="rId11"/>
    <sheet name="SEP" sheetId="11" state="visible" r:id="rId12"/>
    <sheet name="OCT" sheetId="12" state="visible" r:id="rId13"/>
  </sheets>
  <definedNames>
    <definedName function="false" hidden="false" localSheetId="5" name="_xlnm.Print_Area" vbProcedure="false">APR!$A$1:$AF$58</definedName>
    <definedName function="false" hidden="false" localSheetId="9" name="_xlnm.Print_Area" vbProcedure="false">AUG!$A$1:$AJ$58</definedName>
    <definedName function="false" hidden="false" localSheetId="1" name="_xlnm.Print_Area" vbProcedure="false">DEC!$A$1:$AF$58</definedName>
    <definedName function="false" hidden="false" localSheetId="3" name="_xlnm.Print_Area" vbProcedure="false">FEB!$A$1:$AF$58</definedName>
    <definedName function="false" hidden="false" localSheetId="2" name="_xlnm.Print_Area" vbProcedure="false">JAN!$A$1:$AF$58</definedName>
    <definedName function="false" hidden="false" localSheetId="8" name="_xlnm.Print_Area" vbProcedure="false">JUL!$A$1:$AG$58</definedName>
    <definedName function="false" hidden="false" localSheetId="7" name="_xlnm.Print_Area" vbProcedure="false">JUN!$A$1:$AG$58</definedName>
    <definedName function="false" hidden="false" localSheetId="4" name="_xlnm.Print_Area" vbProcedure="false">MAR!$A$1:$AF$58</definedName>
    <definedName function="false" hidden="false" localSheetId="6" name="_xlnm.Print_Area" vbProcedure="false">MAY!$A$1:$AF$58</definedName>
    <definedName function="false" hidden="false" localSheetId="0" name="_xlnm.Print_Area" vbProcedure="false">NOV!$A$1:$AF$57</definedName>
    <definedName function="false" hidden="false" localSheetId="11" name="_xlnm.Print_Area" vbProcedure="false">OCT!$A$1:$AJ$58</definedName>
    <definedName function="false" hidden="false" localSheetId="10" name="_xlnm.Print_Area" vbProcedure="false">SEP!$A$1:$AJ$58</definedName>
  </definedNames>
  <calcPr iterateCount="100" refMode="A1" iterate="false" iterateDelta="0.001"/>
  <extLst>
    <ext xmlns:loext="http://schemas.libreoffice.org/" uri="{7626C862-2A13-11E5-B345-FEFF819CDC9F}">
      <loext:extCalcPr stringRefSyntax="CalcA1"/>
    </ext>
  </extLst>
</workbook>
</file>

<file path=xl/comments8.xml><?xml version="1.0" encoding="utf-8"?>
<comments xmlns="http://schemas.openxmlformats.org/spreadsheetml/2006/main" xmlns:xdr="http://schemas.openxmlformats.org/drawingml/2006/spreadsheetDrawing">
  <authors>
    <author> </author>
  </authors>
  <commentList>
    <comment ref="G37" authorId="0">
      <text>
        <r>
          <rPr>
            <sz val="8"/>
            <rFont val="LinePrinter"/>
            <family val="0"/>
            <charset val="1"/>
          </rPr>
          <t xml:space="preserve">E A Birk:
</t>
        </r>
        <r>
          <rPr>
            <sz val="8"/>
            <color rgb="FF000000"/>
            <rFont val="Tahoma"/>
            <family val="0"/>
            <charset val="1"/>
          </rPr>
          <t xml:space="preserve">MVI started 15 cfs out of Groundhog to cover the 15 cfs for u/s users</t>
        </r>
      </text>
    </comment>
    <comment ref="T12" authorId="0">
      <text>
        <r>
          <rPr>
            <sz val="8"/>
            <rFont val="LinePrinter"/>
            <family val="0"/>
            <charset val="1"/>
          </rPr>
          <t xml:space="preserve">E A Birk:
</t>
        </r>
        <r>
          <rPr>
            <sz val="8"/>
            <color rgb="FF000000"/>
            <rFont val="Tahoma"/>
            <family val="0"/>
            <charset val="1"/>
          </rPr>
          <t xml:space="preserve">Added 3400 ac.ft. for Totten Exchange</t>
        </r>
      </text>
    </comment>
    <comment ref="AG37" authorId="0">
      <text>
        <r>
          <rPr>
            <sz val="8"/>
            <rFont val="LinePrinter"/>
            <family val="0"/>
            <charset val="1"/>
          </rPr>
          <t xml:space="preserve">E A Birk:
</t>
        </r>
        <r>
          <rPr>
            <sz val="8"/>
            <color rgb="FF000000"/>
            <rFont val="Tahoma"/>
            <family val="0"/>
            <charset val="1"/>
          </rPr>
          <t xml:space="preserve">Will add 15 cfs for the u/s exchange for the next 41.5 days for a total of 1235 ac. ft. Began a 2:30 pm.
</t>
        </r>
      </text>
    </comment>
  </commentList>
</comments>
</file>

<file path=xl/comments9.xml><?xml version="1.0" encoding="utf-8"?>
<comments xmlns="http://schemas.openxmlformats.org/spreadsheetml/2006/main" xmlns:xdr="http://schemas.openxmlformats.org/drawingml/2006/spreadsheetDrawing">
  <authors>
    <author> </author>
  </authors>
  <commentList>
    <comment ref="G21" authorId="0">
      <text>
        <r>
          <rPr>
            <sz val="8"/>
            <rFont val="LinePrinter"/>
            <family val="0"/>
            <charset val="1"/>
          </rPr>
          <t xml:space="preserve">E A Birk:
</t>
        </r>
        <r>
          <rPr>
            <sz val="8"/>
            <color rgb="FF000000"/>
            <rFont val="Tahoma"/>
            <family val="0"/>
            <charset val="1"/>
          </rPr>
          <t xml:space="preserve">Less Nunn of MVIC 
informed me that they had begun releasing 50 cfs out of Groundhog @ 7:30 Am</t>
        </r>
      </text>
    </comment>
    <comment ref="G35" authorId="0">
      <text>
        <r>
          <rPr>
            <sz val="8"/>
            <rFont val="LinePrinter"/>
            <family val="0"/>
            <charset val="1"/>
          </rPr>
          <t xml:space="preserve">E A Birk:
</t>
        </r>
        <r>
          <rPr>
            <sz val="8"/>
            <color rgb="FF000000"/>
            <rFont val="Tahoma"/>
            <family val="0"/>
            <charset val="1"/>
          </rPr>
          <t xml:space="preserve">MVIC cut outflow from Groundhog from 60 to 15 cfs @ 8:00 am.</t>
        </r>
      </text>
    </comment>
  </commentList>
</comments>
</file>

<file path=xl/comments10.xml><?xml version="1.0" encoding="utf-8"?>
<comments xmlns="http://schemas.openxmlformats.org/spreadsheetml/2006/main" xmlns:xdr="http://schemas.openxmlformats.org/drawingml/2006/spreadsheetDrawing">
  <authors>
    <author> </author>
  </authors>
  <commentList>
    <comment ref="V12" authorId="0">
      <text>
        <r>
          <rPr>
            <sz val="8"/>
            <rFont val="LinePrinter"/>
            <family val="0"/>
            <charset val="1"/>
          </rPr>
          <t xml:space="preserve">E A Birk
</t>
        </r>
        <r>
          <rPr>
            <sz val="8"/>
            <color rgb="FF000000"/>
            <rFont val="Tahoma"/>
            <family val="2"/>
            <charset val="1"/>
          </rPr>
          <t xml:space="preserve">Substracted 2597 ac.ft of class "B" Stock or 2597/1.9835=1309.3 cfs. On 9/18/03 the class "b" stock raised to 2993/1.9835=1508.95
</t>
        </r>
      </text>
    </comment>
    <comment ref="AJ16" authorId="0">
      <text>
        <r>
          <rPr>
            <sz val="8"/>
            <rFont val="LinePrinter"/>
            <family val="0"/>
            <charset val="1"/>
          </rPr>
          <t xml:space="preserve">E A Birk:
</t>
        </r>
        <r>
          <rPr>
            <sz val="8"/>
            <color rgb="FF000000"/>
            <rFont val="Tahoma"/>
            <family val="0"/>
            <charset val="1"/>
          </rPr>
          <t xml:space="preserve">Les Nunn left a message on my phone that they shut off the 15 cfs out of Groundhog @ 9:00 am.</t>
        </r>
      </text>
    </comment>
  </commentList>
</comments>
</file>

<file path=xl/comments12.xml><?xml version="1.0" encoding="utf-8"?>
<comments xmlns="http://schemas.openxmlformats.org/spreadsheetml/2006/main" xmlns:xdr="http://schemas.openxmlformats.org/drawingml/2006/spreadsheetDrawing">
  <authors>
    <author> </author>
  </authors>
  <commentList>
    <comment ref="O7" authorId="0">
      <text>
        <r>
          <rPr>
            <sz val="8"/>
            <rFont val="LinePrinter"/>
            <family val="0"/>
            <charset val="1"/>
          </rPr>
          <t xml:space="preserve">E A Birk </t>
        </r>
        <r>
          <rPr>
            <sz val="8"/>
            <color rgb="FF000000"/>
            <rFont val="Tahoma"/>
            <family val="2"/>
            <charset val="1"/>
          </rPr>
          <t xml:space="preserve">On the Oct 1st run of the allocation of Project water supply this number changed from 12758 as figured on Sept 18th to 12583 ac. ft.</t>
        </r>
      </text>
    </comment>
    <comment ref="W7" authorId="0">
      <text>
        <r>
          <rPr>
            <sz val="8"/>
            <rFont val="LinePrinter"/>
            <family val="0"/>
            <charset val="1"/>
          </rPr>
          <t xml:space="preserve">E A Birk:</t>
        </r>
        <r>
          <rPr>
            <sz val="8"/>
            <color rgb="FF000000"/>
            <rFont val="Tahoma"/>
            <family val="2"/>
            <charset val="1"/>
          </rPr>
          <t xml:space="preserve"> On the oct 1st run of the allocation of Project water supply this number changed from 7527 as figured on Sept 18th to 6517. Also the class "B" stock amount changed from 2993 back down to 2933, so the extra 60 acft was added to the 6517 for the adjustnebt due back to MVIC.
</t>
        </r>
      </text>
    </comment>
  </commentList>
</comments>
</file>

<file path=xl/sharedStrings.xml><?xml version="1.0" encoding="utf-8"?>
<sst xmlns="http://schemas.openxmlformats.org/spreadsheetml/2006/main" count="1021" uniqueCount="121">
  <si>
    <t xml:space="preserve">MCPHEE  RESERVOIR  INFLOW/OUTFLOW  TABULATION</t>
  </si>
  <si>
    <t xml:space="preserve">AF/cfs  CONVERT FACTOR</t>
  </si>
  <si>
    <t xml:space="preserve">           NOVEMBER  "2002"</t>
  </si>
  <si>
    <t xml:space="preserve">RESERVOIR</t>
  </si>
  <si>
    <t xml:space="preserve">INFLOW/OUTFLOW (CFS)</t>
  </si>
  <si>
    <t xml:space="preserve">WEATHER</t>
  </si>
  <si>
    <t xml:space="preserve">DATE</t>
  </si>
  <si>
    <t xml:space="preserve">RESERV</t>
  </si>
  <si>
    <t xml:space="preserve">AC  FT</t>
  </si>
  <si>
    <t xml:space="preserve">ACTIVE</t>
  </si>
  <si>
    <t xml:space="preserve">CONV  TO</t>
  </si>
  <si>
    <t xml:space="preserve">DOLORES</t>
  </si>
  <si>
    <t xml:space="preserve">LOST</t>
  </si>
  <si>
    <t xml:space="preserve">RECORDED</t>
  </si>
  <si>
    <t xml:space="preserve">CALC</t>
  </si>
  <si>
    <t xml:space="preserve">TOTAL</t>
  </si>
  <si>
    <t xml:space="preserve">DOLORES TUNNEL</t>
  </si>
  <si>
    <t xml:space="preserve">LONE</t>
  </si>
  <si>
    <t xml:space="preserve">U</t>
  </si>
  <si>
    <t xml:space="preserve">MVI</t>
  </si>
  <si>
    <t xml:space="preserve">DV  CR</t>
  </si>
  <si>
    <t xml:space="preserve">BELOW</t>
  </si>
  <si>
    <t xml:space="preserve">REMAIN</t>
  </si>
  <si>
    <t xml:space="preserve">RAIN</t>
  </si>
  <si>
    <t xml:space="preserve">MAX</t>
  </si>
  <si>
    <t xml:space="preserve">MIN</t>
  </si>
  <si>
    <t xml:space="preserve">NAR.</t>
  </si>
  <si>
    <t xml:space="preserve">"NOV"</t>
  </si>
  <si>
    <t xml:space="preserve">ELEV</t>
  </si>
  <si>
    <t xml:space="preserve">CHANGE</t>
  </si>
  <si>
    <t xml:space="preserve">CAP</t>
  </si>
  <si>
    <t xml:space="preserve">CFS</t>
  </si>
  <si>
    <t xml:space="preserve">RIVER</t>
  </si>
  <si>
    <t xml:space="preserve">CANYON</t>
  </si>
  <si>
    <t xml:space="preserve">INFLOW</t>
  </si>
  <si>
    <t xml:space="preserve">INF/OTF</t>
  </si>
  <si>
    <t xml:space="preserve">TOT DIV</t>
  </si>
  <si>
    <t xml:space="preserve">SWAMP</t>
  </si>
  <si>
    <t xml:space="preserve">UTE F&amp;R</t>
  </si>
  <si>
    <t xml:space="preserve">MVI,CTZ</t>
  </si>
  <si>
    <t xml:space="preserve">PINE</t>
  </si>
  <si>
    <t xml:space="preserve">LAT</t>
  </si>
  <si>
    <t xml:space="preserve">CALL</t>
  </si>
  <si>
    <t xml:space="preserve">CANAL</t>
  </si>
  <si>
    <t xml:space="preserve">MCPHEE</t>
  </si>
  <si>
    <t xml:space="preserve">RELEASE</t>
  </si>
  <si>
    <t xml:space="preserve">OUTFLOW</t>
  </si>
  <si>
    <t xml:space="preserve">TMP</t>
  </si>
  <si>
    <t xml:space="preserve">AC FT</t>
  </si>
  <si>
    <t xml:space="preserve">&amp; PROJ.</t>
  </si>
  <si>
    <t xml:space="preserve">NOV-OCT</t>
  </si>
  <si>
    <t xml:space="preserve">Apr-Jun</t>
  </si>
  <si>
    <t xml:space="preserve">SEASON BAL</t>
  </si>
  <si>
    <t xml:space="preserve">YTD</t>
  </si>
  <si>
    <t xml:space="preserve">MONTH / CFS</t>
  </si>
  <si>
    <t xml:space="preserve">Avg</t>
  </si>
  <si>
    <t xml:space="preserve">MONTH / AF</t>
  </si>
  <si>
    <t xml:space="preserve">HI</t>
  </si>
  <si>
    <t xml:space="preserve">SEASON / CFS</t>
  </si>
  <si>
    <t xml:space="preserve">LO</t>
  </si>
  <si>
    <t xml:space="preserve">SEASON / AF</t>
  </si>
  <si>
    <t xml:space="preserve">YTD / CFS</t>
  </si>
  <si>
    <t xml:space="preserve">YTD / AF</t>
  </si>
  <si>
    <t xml:space="preserve">DECEMBER  "2002"</t>
  </si>
  <si>
    <t xml:space="preserve">NAR</t>
  </si>
  <si>
    <t xml:space="preserve">MVI </t>
  </si>
  <si>
    <t xml:space="preserve">"DEC"</t>
  </si>
  <si>
    <t xml:space="preserve">&amp;PROJ.</t>
  </si>
  <si>
    <t xml:space="preserve">JANUARY  "2003"</t>
  </si>
  <si>
    <t xml:space="preserve">"JAN"</t>
  </si>
  <si>
    <t xml:space="preserve">AVE</t>
  </si>
  <si>
    <t xml:space="preserve"> </t>
  </si>
  <si>
    <t xml:space="preserve">FEBRUARY  "2003"</t>
  </si>
  <si>
    <t xml:space="preserve">FEB</t>
  </si>
  <si>
    <t xml:space="preserve">MARCH  "2003"</t>
  </si>
  <si>
    <t xml:space="preserve">MAR</t>
  </si>
  <si>
    <t xml:space="preserve">MCPHEE  RESERVOIR  INFLOW/OUTFLOW TABULATION</t>
  </si>
  <si>
    <t xml:space="preserve">                               APRIL  "2003"</t>
  </si>
  <si>
    <t xml:space="preserve">"APR"</t>
  </si>
  <si>
    <t xml:space="preserve">MVI/CTZ/MWC</t>
  </si>
  <si>
    <t xml:space="preserve">CALL +</t>
  </si>
  <si>
    <t xml:space="preserve">TOT EX</t>
  </si>
  <si>
    <t xml:space="preserve">Apr - Jun</t>
  </si>
  <si>
    <t xml:space="preserve">EVAP acft</t>
  </si>
  <si>
    <t xml:space="preserve">AVG</t>
  </si>
  <si>
    <t xml:space="preserve">MAY  "2003"</t>
  </si>
  <si>
    <t xml:space="preserve">"MAY"</t>
  </si>
  <si>
    <t xml:space="preserve">JUNE  "2003"</t>
  </si>
  <si>
    <t xml:space="preserve">UPSTREAM</t>
  </si>
  <si>
    <t xml:space="preserve">"JUN"</t>
  </si>
  <si>
    <t xml:space="preserve">USERS</t>
  </si>
  <si>
    <t xml:space="preserve">EXCHANGE</t>
  </si>
  <si>
    <t xml:space="preserve">JULY  "2003"</t>
  </si>
  <si>
    <t xml:space="preserve">ADJUSTMENTS</t>
  </si>
  <si>
    <t xml:space="preserve">"JUL"</t>
  </si>
  <si>
    <t xml:space="preserve">STORED </t>
  </si>
  <si>
    <t xml:space="preserve">AUGUST  "2003"</t>
  </si>
  <si>
    <t xml:space="preserve">RECORD</t>
  </si>
  <si>
    <t xml:space="preserve">FISH</t>
  </si>
  <si>
    <t xml:space="preserve">U/S</t>
  </si>
  <si>
    <t xml:space="preserve">"AUG"</t>
  </si>
  <si>
    <t xml:space="preserve">CAN</t>
  </si>
  <si>
    <t xml:space="preserve">MWC</t>
  </si>
  <si>
    <t xml:space="preserve">CTZ</t>
  </si>
  <si>
    <t xml:space="preserve">PROJ</t>
  </si>
  <si>
    <t xml:space="preserve">LEFT</t>
  </si>
  <si>
    <t xml:space="preserve">EXCH</t>
  </si>
  <si>
    <t xml:space="preserve">Balance</t>
  </si>
  <si>
    <t xml:space="preserve">Utes / DWCD Trade</t>
  </si>
  <si>
    <t xml:space="preserve">(100  MVIC shares Class A Stock)</t>
  </si>
  <si>
    <t xml:space="preserve">200 ACFT of nonproject water to Utes</t>
  </si>
  <si>
    <t xml:space="preserve">and minus 200 ACFT of project water</t>
  </si>
  <si>
    <t xml:space="preserve">from Utes back to DWCD. Used 7/1-7/20.</t>
  </si>
  <si>
    <t xml:space="preserve">SEPTEMBER  "2003"</t>
  </si>
  <si>
    <t xml:space="preserve">"SEP"</t>
  </si>
  <si>
    <t xml:space="preserve">NOV-0CT</t>
  </si>
  <si>
    <t xml:space="preserve">c</t>
  </si>
  <si>
    <t xml:space="preserve">from Utes back to DWCD</t>
  </si>
  <si>
    <t xml:space="preserve">OCTOBER  "2003"</t>
  </si>
  <si>
    <t xml:space="preserve">"OCT"</t>
  </si>
  <si>
    <t xml:space="preserve">TO EX</t>
  </si>
</sst>
</file>

<file path=xl/styles.xml><?xml version="1.0" encoding="utf-8"?>
<styleSheet xmlns="http://schemas.openxmlformats.org/spreadsheetml/2006/main">
  <numFmts count="19">
    <numFmt numFmtId="164" formatCode="General"/>
    <numFmt numFmtId="165" formatCode="#,##0"/>
    <numFmt numFmtId="166" formatCode="0.00_);\(0.00\)"/>
    <numFmt numFmtId="167" formatCode="0.0"/>
    <numFmt numFmtId="168" formatCode="0"/>
    <numFmt numFmtId="169" formatCode="#,##0.0"/>
    <numFmt numFmtId="170" formatCode="##0.0"/>
    <numFmt numFmtId="171" formatCode="0.00"/>
    <numFmt numFmtId="172" formatCode="0.0000"/>
    <numFmt numFmtId="173" formatCode="0.000"/>
    <numFmt numFmtId="174" formatCode="#,##0.00"/>
    <numFmt numFmtId="175" formatCode="[$-409]d\-mmm"/>
    <numFmt numFmtId="176" formatCode="0%"/>
    <numFmt numFmtId="177" formatCode="0.0_);\(0.0\)"/>
    <numFmt numFmtId="178" formatCode="[$-409]mmm\-yy"/>
    <numFmt numFmtId="179" formatCode="#,##0.00000"/>
    <numFmt numFmtId="180" formatCode="#,##0.0000"/>
    <numFmt numFmtId="181" formatCode="0.00_);[RED]\(0.00\)"/>
    <numFmt numFmtId="182" formatCode="0_);[RED]\(0\)"/>
  </numFmts>
  <fonts count="29">
    <font>
      <sz val="8"/>
      <name val="LinePrinter"/>
      <family val="0"/>
      <charset val="1"/>
    </font>
    <font>
      <sz val="10"/>
      <name val="Arial"/>
      <family val="0"/>
    </font>
    <font>
      <sz val="10"/>
      <name val="Arial"/>
      <family val="0"/>
    </font>
    <font>
      <sz val="10"/>
      <name val="Arial"/>
      <family val="0"/>
    </font>
    <font>
      <sz val="8"/>
      <name val="Arial Narrow"/>
      <family val="0"/>
      <charset val="1"/>
    </font>
    <font>
      <b val="true"/>
      <i val="true"/>
      <sz val="12"/>
      <name val="Arial Narrow"/>
      <family val="0"/>
      <charset val="1"/>
    </font>
    <font>
      <b val="true"/>
      <sz val="8"/>
      <name val="Arial Narrow"/>
      <family val="2"/>
      <charset val="1"/>
    </font>
    <font>
      <sz val="6"/>
      <name val="Arial Narrow"/>
      <family val="0"/>
      <charset val="1"/>
    </font>
    <font>
      <b val="true"/>
      <sz val="6"/>
      <name val="Arial Narrow"/>
      <family val="2"/>
      <charset val="1"/>
    </font>
    <font>
      <b val="true"/>
      <sz val="6"/>
      <name val="Arial Narrow"/>
      <family val="0"/>
      <charset val="1"/>
    </font>
    <font>
      <sz val="6"/>
      <name val="Arial Narrow"/>
      <family val="2"/>
      <charset val="1"/>
    </font>
    <font>
      <sz val="6"/>
      <name val="LinePrinter"/>
      <family val="3"/>
      <charset val="1"/>
    </font>
    <font>
      <b val="true"/>
      <sz val="9"/>
      <name val="Arial Narrow"/>
      <family val="0"/>
      <charset val="1"/>
    </font>
    <font>
      <sz val="6"/>
      <name val="Arial"/>
      <family val="0"/>
      <charset val="1"/>
    </font>
    <font>
      <sz val="6"/>
      <name val="Arial"/>
      <family val="2"/>
      <charset val="1"/>
    </font>
    <font>
      <sz val="8"/>
      <name val="Arial"/>
      <family val="0"/>
      <charset val="1"/>
    </font>
    <font>
      <sz val="8"/>
      <name val="LinePrinter"/>
      <family val="0"/>
    </font>
    <font>
      <sz val="8"/>
      <name val="Times New Roman"/>
      <family val="0"/>
    </font>
    <font>
      <b val="true"/>
      <sz val="12"/>
      <name val="Arial Narrow"/>
      <family val="0"/>
      <charset val="1"/>
    </font>
    <font>
      <b val="true"/>
      <sz val="10"/>
      <name val="Arial Narrow"/>
      <family val="2"/>
      <charset val="1"/>
    </font>
    <font>
      <sz val="10"/>
      <name val="Arial Narrow"/>
      <family val="2"/>
      <charset val="1"/>
    </font>
    <font>
      <sz val="8"/>
      <name val="Arial Narrow"/>
      <family val="2"/>
      <charset val="1"/>
    </font>
    <font>
      <sz val="4"/>
      <name val="LinePrinter"/>
      <family val="0"/>
    </font>
    <font>
      <sz val="6"/>
      <name val="LinePrinter"/>
      <family val="0"/>
      <charset val="1"/>
    </font>
    <font>
      <b val="true"/>
      <sz val="8"/>
      <name val="Arial Narrow"/>
      <family val="0"/>
      <charset val="1"/>
    </font>
    <font>
      <sz val="8"/>
      <color rgb="FF000000"/>
      <name val="Tahoma"/>
      <family val="0"/>
      <charset val="1"/>
    </font>
    <font>
      <b val="true"/>
      <sz val="8"/>
      <name val="LinePrinter"/>
      <family val="3"/>
      <charset val="1"/>
    </font>
    <font>
      <sz val="5"/>
      <name val="Arial Narrow"/>
      <family val="2"/>
      <charset val="1"/>
    </font>
    <font>
      <sz val="8"/>
      <color rgb="FF000000"/>
      <name val="Tahoma"/>
      <family val="2"/>
      <charset val="1"/>
    </font>
  </fonts>
  <fills count="5">
    <fill>
      <patternFill patternType="none"/>
    </fill>
    <fill>
      <patternFill patternType="gray125"/>
    </fill>
    <fill>
      <patternFill patternType="solid">
        <fgColor rgb="FF464648"/>
        <bgColor rgb="FF333300"/>
      </patternFill>
    </fill>
    <fill>
      <patternFill patternType="solid">
        <fgColor rgb="FFA6CAF0"/>
        <bgColor rgb="FFCCCCFF"/>
      </patternFill>
    </fill>
    <fill>
      <patternFill patternType="solid">
        <fgColor rgb="FFFFFF99"/>
        <bgColor rgb="FFFFFFCC"/>
      </patternFill>
    </fill>
  </fills>
  <borders count="20">
    <border diagonalUp="false" diagonalDown="false">
      <left/>
      <right/>
      <top/>
      <bottom/>
      <diagonal/>
    </border>
    <border diagonalUp="false" diagonalDown="false">
      <left/>
      <right/>
      <top/>
      <bottom style="thick">
        <color rgb="FFEEEEEC"/>
      </bottom>
      <diagonal/>
    </border>
    <border diagonalUp="false" diagonalDown="false">
      <left style="thick">
        <color rgb="FFEEEEEC"/>
      </left>
      <right/>
      <top style="thick">
        <color rgb="FFEEEEEC"/>
      </top>
      <bottom/>
      <diagonal/>
    </border>
    <border diagonalUp="false" diagonalDown="false">
      <left/>
      <right/>
      <top style="thick">
        <color rgb="FFEEEEEC"/>
      </top>
      <bottom/>
      <diagonal/>
    </border>
    <border diagonalUp="false" diagonalDown="false">
      <left/>
      <right style="thick">
        <color rgb="FFEEEEEC"/>
      </right>
      <top style="thick">
        <color rgb="FFEEEEEC"/>
      </top>
      <bottom/>
      <diagonal/>
    </border>
    <border diagonalUp="false" diagonalDown="false">
      <left style="thick">
        <color rgb="FFEEEEEC"/>
      </left>
      <right/>
      <top/>
      <bottom/>
      <diagonal/>
    </border>
    <border diagonalUp="false" diagonalDown="false">
      <left/>
      <right style="thick">
        <color rgb="FFEEEEEC"/>
      </right>
      <top/>
      <bottom/>
      <diagonal/>
    </border>
    <border diagonalUp="false" diagonalDown="false">
      <left style="medium">
        <color rgb="FFEEEEEC"/>
      </left>
      <right style="medium">
        <color rgb="FFEEEEEC"/>
      </right>
      <top style="medium">
        <color rgb="FFEEEEEC"/>
      </top>
      <bottom/>
      <diagonal/>
    </border>
    <border diagonalUp="false" diagonalDown="false">
      <left style="medium">
        <color rgb="FFEEEEEC"/>
      </left>
      <right/>
      <top/>
      <bottom/>
      <diagonal/>
    </border>
    <border diagonalUp="false" diagonalDown="false">
      <left/>
      <right style="medium">
        <color rgb="FFEEEEEC"/>
      </right>
      <top/>
      <bottom/>
      <diagonal/>
    </border>
    <border diagonalUp="false" diagonalDown="false">
      <left/>
      <right/>
      <top style="thin">
        <color rgb="FFEEEEEC"/>
      </top>
      <bottom style="thin">
        <color rgb="FFEEEEEC"/>
      </bottom>
      <diagonal/>
    </border>
    <border diagonalUp="false" diagonalDown="false">
      <left style="thick">
        <color rgb="FFEEEEEC"/>
      </left>
      <right/>
      <top style="thin">
        <color rgb="FFEEEEEC"/>
      </top>
      <bottom style="thin">
        <color rgb="FFEEEEEC"/>
      </bottom>
      <diagonal/>
    </border>
    <border diagonalUp="false" diagonalDown="false">
      <left/>
      <right style="thick">
        <color rgb="FFEEEEEC"/>
      </right>
      <top style="thin">
        <color rgb="FFEEEEEC"/>
      </top>
      <bottom style="thin">
        <color rgb="FFEEEEEC"/>
      </bottom>
      <diagonal/>
    </border>
    <border diagonalUp="false" diagonalDown="false">
      <left style="medium">
        <color rgb="FFEEEEEC"/>
      </left>
      <right/>
      <top style="thin">
        <color rgb="FFEEEEEC"/>
      </top>
      <bottom style="thin">
        <color rgb="FFEEEEEC"/>
      </bottom>
      <diagonal/>
    </border>
    <border diagonalUp="false" diagonalDown="false">
      <left/>
      <right style="medium">
        <color rgb="FFEEEEEC"/>
      </right>
      <top style="thin">
        <color rgb="FFEEEEEC"/>
      </top>
      <bottom style="thin">
        <color rgb="FFEEEEEC"/>
      </bottom>
      <diagonal/>
    </border>
    <border diagonalUp="false" diagonalDown="false">
      <left/>
      <right style="thin">
        <color rgb="FFEEEEEC"/>
      </right>
      <top style="thin">
        <color rgb="FFEEEEEC"/>
      </top>
      <bottom style="thin">
        <color rgb="FFEEEEEC"/>
      </bottom>
      <diagonal/>
    </border>
    <border diagonalUp="false" diagonalDown="false">
      <left/>
      <right/>
      <top style="thin">
        <color rgb="FFEEEEEC"/>
      </top>
      <bottom/>
      <diagonal/>
    </border>
    <border diagonalUp="false" diagonalDown="false">
      <left style="thick">
        <color rgb="FFEEEEEC"/>
      </left>
      <right/>
      <top style="thin">
        <color rgb="FFEEEEEC"/>
      </top>
      <bottom/>
      <diagonal/>
    </border>
    <border diagonalUp="false" diagonalDown="false">
      <left/>
      <right/>
      <top style="hair">
        <color rgb="FFEEEEEC"/>
      </top>
      <bottom style="hair">
        <color rgb="FFEEEEEC"/>
      </bottom>
      <diagonal/>
    </border>
    <border diagonalUp="false" diagonalDown="false">
      <left/>
      <right style="medium">
        <color rgb="FFEEEEEC"/>
      </right>
      <top/>
      <bottom style="thin">
        <color rgb="FFEEEEEC"/>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74"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76"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true">
      <alignment horizontal="general" vertical="bottom" textRotation="0" wrapText="false" indent="0" shrinkToFit="false"/>
      <protection locked="true" hidden="false"/>
    </xf>
  </cellStyleXfs>
  <cellXfs count="421">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true" applyProtection="false">
      <alignment horizontal="center" vertical="bottom" textRotation="0" wrapText="false" indent="0" shrinkToFit="false"/>
      <protection locked="true" hidden="false"/>
    </xf>
    <xf numFmtId="169" fontId="4" fillId="0" borderId="0" xfId="0" applyFont="tru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70" fontId="4" fillId="0" borderId="0" xfId="0" applyFont="true" applyBorder="fals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71" fontId="4" fillId="0" borderId="0" xfId="0" applyFont="true" applyBorder="false" applyAlignment="false" applyProtection="false">
      <alignment horizontal="general" vertical="bottom" textRotation="0" wrapText="false" indent="0" shrinkToFit="false"/>
      <protection locked="true" hidden="false"/>
    </xf>
    <xf numFmtId="166" fontId="4" fillId="0" borderId="0" xfId="0" applyFont="true" applyBorder="false" applyAlignment="false" applyProtection="false">
      <alignment horizontal="general" vertical="bottom" textRotation="0" wrapText="false" indent="0" shrinkToFit="false"/>
      <protection locked="true" hidden="false"/>
    </xf>
    <xf numFmtId="168" fontId="4" fillId="0" borderId="0" xfId="0" applyFont="true" applyBorder="false" applyAlignment="false" applyProtection="false">
      <alignment horizontal="general" vertical="bottom" textRotation="0" wrapText="false" indent="0" shrinkToFit="false"/>
      <protection locked="true" hidden="false"/>
    </xf>
    <xf numFmtId="168" fontId="4" fillId="0" borderId="0" xfId="0" applyFont="true" applyBorder="false" applyAlignment="true" applyProtection="false">
      <alignment horizontal="center" vertical="bottom" textRotation="0" wrapText="false" indent="0" shrinkToFit="false"/>
      <protection locked="true" hidden="false"/>
    </xf>
    <xf numFmtId="172" fontId="4" fillId="0" borderId="0" xfId="0" applyFont="true" applyBorder="false" applyAlignment="false" applyProtection="false">
      <alignment horizontal="general" vertical="bottom" textRotation="0" wrapText="false" indent="0" shrinkToFit="false"/>
      <protection locked="true" hidden="false"/>
    </xf>
    <xf numFmtId="169" fontId="4" fillId="0" borderId="1" xfId="0" applyFont="true" applyBorder="true" applyAlignment="false" applyProtection="false">
      <alignment horizontal="general" vertical="bottom" textRotation="0" wrapText="false" indent="0" shrinkToFit="false"/>
      <protection locked="true" hidden="false"/>
    </xf>
    <xf numFmtId="165" fontId="4" fillId="0" borderId="1" xfId="0" applyFont="true" applyBorder="true" applyAlignment="false" applyProtection="false">
      <alignment horizontal="general" vertical="bottom" textRotation="0" wrapText="false" indent="0" shrinkToFit="false"/>
      <protection locked="true" hidden="false"/>
    </xf>
    <xf numFmtId="173" fontId="4" fillId="0" borderId="1" xfId="0" applyFont="true" applyBorder="true" applyAlignment="false" applyProtection="false">
      <alignment horizontal="general" vertical="bottom" textRotation="0" wrapText="false" indent="0" shrinkToFit="false"/>
      <protection locked="true" hidden="false"/>
    </xf>
    <xf numFmtId="170" fontId="4" fillId="0" borderId="1" xfId="0" applyFont="true" applyBorder="true" applyAlignment="false" applyProtection="false">
      <alignment horizontal="general" vertical="bottom" textRotation="0" wrapText="false" indent="0" shrinkToFit="false"/>
      <protection locked="true" hidden="false"/>
    </xf>
    <xf numFmtId="171" fontId="4" fillId="0" borderId="1" xfId="0" applyFont="true" applyBorder="true" applyAlignment="false" applyProtection="false">
      <alignment horizontal="general" vertical="bottom" textRotation="0" wrapText="false" indent="0" shrinkToFit="false"/>
      <protection locked="true" hidden="false"/>
    </xf>
    <xf numFmtId="166" fontId="4" fillId="0" borderId="1" xfId="0" applyFont="true" applyBorder="true" applyAlignment="false" applyProtection="false">
      <alignment horizontal="general" vertical="bottom" textRotation="0" wrapText="false" indent="0" shrinkToFit="false"/>
      <protection locked="true" hidden="false"/>
    </xf>
    <xf numFmtId="168" fontId="4" fillId="0" borderId="1" xfId="0" applyFont="true" applyBorder="true" applyAlignment="false" applyProtection="false">
      <alignment horizontal="general" vertical="bottom" textRotation="0" wrapText="false" indent="0" shrinkToFit="false"/>
      <protection locked="true" hidden="false"/>
    </xf>
    <xf numFmtId="168" fontId="4"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9" fontId="4" fillId="0" borderId="2" xfId="0" applyFont="true" applyBorder="true" applyAlignment="false" applyProtection="false">
      <alignment horizontal="general" vertical="bottom" textRotation="0" wrapText="false" indent="0" shrinkToFit="false"/>
      <protection locked="true" hidden="false"/>
    </xf>
    <xf numFmtId="165" fontId="4" fillId="0" borderId="3" xfId="0" applyFont="true" applyBorder="true" applyAlignment="false" applyProtection="false">
      <alignment horizontal="general" vertical="bottom" textRotation="0" wrapText="false" indent="0" shrinkToFit="false"/>
      <protection locked="true" hidden="false"/>
    </xf>
    <xf numFmtId="173" fontId="6" fillId="0" borderId="3" xfId="0" applyFont="true" applyBorder="true" applyAlignment="false" applyProtection="false">
      <alignment horizontal="general" vertical="bottom" textRotation="0" wrapText="false" indent="0" shrinkToFit="false"/>
      <protection locked="true" hidden="false"/>
    </xf>
    <xf numFmtId="169" fontId="4" fillId="0" borderId="4" xfId="0" applyFont="true" applyBorder="true" applyAlignment="false" applyProtection="false">
      <alignment horizontal="general" vertical="bottom" textRotation="0" wrapText="false" indent="0" shrinkToFit="false"/>
      <protection locked="true" hidden="false"/>
    </xf>
    <xf numFmtId="169" fontId="6" fillId="0" borderId="0" xfId="0" applyFont="true" applyBorder="false" applyAlignment="true" applyProtection="false">
      <alignment horizontal="center" vertical="bottom" textRotation="0" wrapText="false" indent="0" shrinkToFit="false"/>
      <protection locked="true" hidden="false"/>
    </xf>
    <xf numFmtId="166" fontId="4" fillId="0" borderId="2" xfId="0" applyFont="true" applyBorder="true" applyAlignment="false" applyProtection="false">
      <alignment horizontal="general" vertical="bottom" textRotation="0" wrapText="false" indent="0" shrinkToFit="false"/>
      <protection locked="true" hidden="false"/>
    </xf>
    <xf numFmtId="168" fontId="6" fillId="0" borderId="3" xfId="0" applyFont="true" applyBorder="true" applyAlignment="true" applyProtection="false">
      <alignment horizontal="center" vertical="bottom" textRotation="0" wrapText="false" indent="0" shrinkToFit="false"/>
      <protection locked="true" hidden="false"/>
    </xf>
    <xf numFmtId="168" fontId="4" fillId="0" borderId="4" xfId="0" applyFont="true" applyBorder="true" applyAlignment="true" applyProtection="false">
      <alignment horizontal="center" vertical="bottom" textRotation="0" wrapText="false" indent="0" shrinkToFit="false"/>
      <protection locked="true" hidden="false"/>
    </xf>
    <xf numFmtId="169" fontId="7" fillId="0" borderId="0" xfId="0" applyFont="true" applyBorder="false" applyAlignment="true" applyProtection="false">
      <alignment horizontal="center" vertical="bottom" textRotation="0" wrapText="false" indent="0" shrinkToFit="false"/>
      <protection locked="true" hidden="false"/>
    </xf>
    <xf numFmtId="169" fontId="7" fillId="0" borderId="5" xfId="0" applyFont="true" applyBorder="true" applyAlignment="true" applyProtection="false">
      <alignment horizontal="center" vertical="bottom" textRotation="0" wrapText="false" indent="0" shrinkToFit="false"/>
      <protection locked="true" hidden="false"/>
    </xf>
    <xf numFmtId="165" fontId="7" fillId="0" borderId="0" xfId="0" applyFont="true" applyBorder="true" applyAlignment="true" applyProtection="false">
      <alignment horizontal="center" vertical="bottom" textRotation="0" wrapText="false" indent="0" shrinkToFit="false"/>
      <protection locked="true" hidden="false"/>
    </xf>
    <xf numFmtId="169" fontId="7" fillId="0" borderId="0" xfId="0" applyFont="true" applyBorder="true" applyAlignment="true" applyProtection="false">
      <alignment horizontal="center" vertical="bottom" textRotation="0" wrapText="false" indent="0" shrinkToFit="false"/>
      <protection locked="true" hidden="false"/>
    </xf>
    <xf numFmtId="169" fontId="7" fillId="0" borderId="6" xfId="0" applyFont="true" applyBorder="true" applyAlignment="true" applyProtection="false">
      <alignment horizontal="center" vertical="bottom" textRotation="0" wrapText="false" indent="0" shrinkToFit="false"/>
      <protection locked="true" hidden="false"/>
    </xf>
    <xf numFmtId="170" fontId="7" fillId="0" borderId="0" xfId="0" applyFont="true" applyBorder="false" applyAlignment="true" applyProtection="false">
      <alignment horizontal="center" vertical="bottom" textRotation="0" wrapText="false" indent="0" shrinkToFit="false"/>
      <protection locked="true" hidden="false"/>
    </xf>
    <xf numFmtId="169" fontId="8" fillId="0" borderId="7" xfId="0" applyFont="true" applyBorder="true" applyAlignment="true" applyProtection="false">
      <alignment horizontal="center" vertical="bottom" textRotation="0" wrapText="false" indent="0" shrinkToFit="false"/>
      <protection locked="true" hidden="false"/>
    </xf>
    <xf numFmtId="165" fontId="7" fillId="0" borderId="0" xfId="0" applyFont="true" applyBorder="false" applyAlignment="true" applyProtection="false">
      <alignment horizontal="center" vertical="bottom" textRotation="0" wrapText="false" indent="0" shrinkToFit="false"/>
      <protection locked="true" hidden="false"/>
    </xf>
    <xf numFmtId="166" fontId="7" fillId="0" borderId="5" xfId="0" applyFont="true" applyBorder="true" applyAlignment="true" applyProtection="false">
      <alignment horizontal="center" vertical="bottom" textRotation="0" wrapText="false" indent="0" shrinkToFit="false"/>
      <protection locked="true" hidden="false"/>
    </xf>
    <xf numFmtId="168" fontId="7" fillId="0" borderId="0" xfId="0" applyFont="true" applyBorder="true" applyAlignment="true" applyProtection="false">
      <alignment horizontal="center" vertical="bottom" textRotation="0" wrapText="false" indent="0" shrinkToFit="false"/>
      <protection locked="true" hidden="false"/>
    </xf>
    <xf numFmtId="168" fontId="7" fillId="0" borderId="6" xfId="0" applyFont="true" applyBorder="true" applyAlignment="true" applyProtection="false">
      <alignment horizontal="center" vertical="bottom" textRotation="0" wrapText="false" indent="0" shrinkToFit="false"/>
      <protection locked="true" hidden="false"/>
    </xf>
    <xf numFmtId="168" fontId="7" fillId="0" borderId="0" xfId="0" applyFont="true" applyBorder="false" applyAlignment="true" applyProtection="false">
      <alignment horizontal="center" vertical="bottom" textRotation="0" wrapText="false" indent="0" shrinkToFit="false"/>
      <protection locked="true" hidden="false"/>
    </xf>
    <xf numFmtId="169" fontId="9" fillId="0" borderId="0" xfId="0" applyFont="true" applyBorder="false" applyAlignment="true" applyProtection="false">
      <alignment horizontal="center" vertical="bottom" textRotation="0" wrapText="false" indent="0" shrinkToFit="false"/>
      <protection locked="true" hidden="false"/>
    </xf>
    <xf numFmtId="169" fontId="7" fillId="0" borderId="8" xfId="0" applyFont="true" applyBorder="true" applyAlignment="true" applyProtection="false">
      <alignment horizontal="center" vertical="bottom" textRotation="0" wrapText="false" indent="0" shrinkToFit="false"/>
      <protection locked="true" hidden="false"/>
    </xf>
    <xf numFmtId="169" fontId="10" fillId="0" borderId="9" xfId="0" applyFont="true" applyBorder="true" applyAlignment="true" applyProtection="false">
      <alignment horizontal="center" vertical="bottom" textRotation="0" wrapText="false" indent="0" shrinkToFit="false"/>
      <protection locked="true" hidden="false"/>
    </xf>
    <xf numFmtId="166" fontId="7" fillId="0" borderId="5" xfId="0" applyFont="true" applyBorder="true" applyAlignment="false" applyProtection="false">
      <alignment horizontal="general" vertical="bottom" textRotation="0" wrapText="false" indent="0" shrinkToFit="false"/>
      <protection locked="true" hidden="false"/>
    </xf>
    <xf numFmtId="168" fontId="10" fillId="0" borderId="0" xfId="0" applyFont="true" applyBorder="false" applyAlignment="true" applyProtection="false">
      <alignment horizontal="center" vertical="bottom" textRotation="0" wrapText="false" indent="0" shrinkToFit="false"/>
      <protection locked="true" hidden="false"/>
    </xf>
    <xf numFmtId="169" fontId="4" fillId="0" borderId="0" xfId="0" applyFont="true" applyBorder="false" applyAlignment="true" applyProtection="false">
      <alignment horizontal="center" vertical="bottom" textRotation="0" wrapText="false" indent="0" shrinkToFit="false"/>
      <protection locked="true" hidden="false"/>
    </xf>
    <xf numFmtId="169" fontId="4" fillId="0" borderId="5" xfId="0" applyFont="true" applyBorder="true" applyAlignment="true" applyProtection="false">
      <alignment horizontal="center" vertical="bottom" textRotation="0" wrapText="false" indent="0" shrinkToFit="false"/>
      <protection locked="true" hidden="false"/>
    </xf>
    <xf numFmtId="165" fontId="4" fillId="0" borderId="0" xfId="0" applyFont="true" applyBorder="true" applyAlignment="true" applyProtection="false">
      <alignment horizontal="center" vertical="bottom" textRotation="0" wrapText="false" indent="0" shrinkToFit="false"/>
      <protection locked="true" hidden="false"/>
    </xf>
    <xf numFmtId="169" fontId="4" fillId="0" borderId="0" xfId="0" applyFont="true" applyBorder="true" applyAlignment="true" applyProtection="false">
      <alignment horizontal="center" vertical="bottom" textRotation="0" wrapText="false" indent="0" shrinkToFit="false"/>
      <protection locked="true" hidden="false"/>
    </xf>
    <xf numFmtId="165" fontId="10" fillId="0" borderId="0" xfId="0" applyFont="true" applyBorder="true" applyAlignment="true" applyProtection="false">
      <alignment horizontal="center" vertical="bottom" textRotation="0" wrapText="false" indent="0" shrinkToFit="false"/>
      <protection locked="true" hidden="false"/>
    </xf>
    <xf numFmtId="169" fontId="4" fillId="0" borderId="6" xfId="0" applyFont="true" applyBorder="true" applyAlignment="true" applyProtection="false">
      <alignment horizontal="center" vertical="bottom" textRotation="0" wrapText="false" indent="0" shrinkToFit="false"/>
      <protection locked="true" hidden="false"/>
    </xf>
    <xf numFmtId="170" fontId="4" fillId="0" borderId="0" xfId="0" applyFont="true" applyBorder="false" applyAlignment="true" applyProtection="false">
      <alignment horizontal="center" vertical="bottom" textRotation="0" wrapText="false" indent="0" shrinkToFit="false"/>
      <protection locked="true" hidden="false"/>
    </xf>
    <xf numFmtId="169" fontId="4" fillId="0" borderId="8" xfId="0" applyFont="true" applyBorder="true" applyAlignment="true" applyProtection="false">
      <alignment horizontal="center" vertical="bottom" textRotation="0" wrapText="false" indent="0" shrinkToFit="false"/>
      <protection locked="true" hidden="false"/>
    </xf>
    <xf numFmtId="169" fontId="4" fillId="0" borderId="9" xfId="0" applyFont="true" applyBorder="true" applyAlignment="true" applyProtection="false">
      <alignment horizontal="center" vertical="bottom" textRotation="0" wrapText="false" indent="0" shrinkToFit="false"/>
      <protection locked="true" hidden="false"/>
    </xf>
    <xf numFmtId="165" fontId="10" fillId="0" borderId="0" xfId="0" applyFont="true" applyBorder="false" applyAlignment="true" applyProtection="false">
      <alignment horizontal="center" vertical="bottom" textRotation="0" wrapText="false" indent="0" shrinkToFit="false"/>
      <protection locked="true" hidden="false"/>
    </xf>
    <xf numFmtId="165" fontId="10" fillId="0" borderId="0" xfId="0" applyFont="true" applyBorder="false" applyAlignment="true" applyProtection="false">
      <alignment horizontal="right" vertical="bottom" textRotation="0" wrapText="false" indent="0" shrinkToFit="false"/>
      <protection locked="true" hidden="false"/>
    </xf>
    <xf numFmtId="166" fontId="4" fillId="0" borderId="5" xfId="0" applyFont="true" applyBorder="true" applyAlignment="false" applyProtection="false">
      <alignment horizontal="general" vertical="bottom" textRotation="0" wrapText="false" indent="0" shrinkToFit="false"/>
      <protection locked="true" hidden="false"/>
    </xf>
    <xf numFmtId="168" fontId="10" fillId="0" borderId="0" xfId="0" applyFont="true" applyBorder="true" applyAlignment="true" applyProtection="false">
      <alignment horizontal="center" vertical="bottom" textRotation="0" wrapText="false" indent="0" shrinkToFit="false"/>
      <protection locked="true" hidden="false"/>
    </xf>
    <xf numFmtId="168" fontId="4" fillId="0" borderId="6" xfId="0" applyFont="true" applyBorder="true" applyAlignment="true" applyProtection="false">
      <alignment horizontal="center"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true" applyProtection="false">
      <alignment horizontal="center" vertical="bottom" textRotation="0" wrapText="false" indent="0" shrinkToFit="false"/>
      <protection locked="true" hidden="false"/>
    </xf>
    <xf numFmtId="168" fontId="4" fillId="0" borderId="0" xfId="0" applyFont="true" applyBorder="true" applyAlignment="true" applyProtection="false">
      <alignment horizontal="center" vertical="bottom" textRotation="0" wrapText="false" indent="0" shrinkToFit="false"/>
      <protection locked="true" hidden="false"/>
    </xf>
    <xf numFmtId="169" fontId="4" fillId="0" borderId="5" xfId="0" applyFont="true" applyBorder="true" applyAlignment="false" applyProtection="false">
      <alignment horizontal="general" vertical="bottom" textRotation="0" wrapText="false" indent="0" shrinkToFit="false"/>
      <protection locked="true" hidden="false"/>
    </xf>
    <xf numFmtId="165" fontId="4" fillId="0" borderId="0" xfId="0" applyFont="true" applyBorder="true" applyAlignment="false" applyProtection="false">
      <alignment horizontal="general" vertical="bottom" textRotation="0" wrapText="false" indent="0" shrinkToFit="false"/>
      <protection locked="true" hidden="false"/>
    </xf>
    <xf numFmtId="165" fontId="4" fillId="0" borderId="6" xfId="0" applyFont="true" applyBorder="true" applyAlignment="false" applyProtection="false">
      <alignment horizontal="general" vertical="bottom" textRotation="0" wrapText="false" indent="0" shrinkToFit="false"/>
      <protection locked="true" hidden="false"/>
    </xf>
    <xf numFmtId="165" fontId="4" fillId="0" borderId="8" xfId="0" applyFont="true" applyBorder="true" applyAlignment="false" applyProtection="false">
      <alignment horizontal="general" vertical="bottom" textRotation="0" wrapText="false" indent="0" shrinkToFit="false"/>
      <protection locked="true" hidden="false"/>
    </xf>
    <xf numFmtId="165" fontId="4" fillId="0" borderId="9" xfId="0" applyFont="true" applyBorder="tru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8" fontId="4" fillId="0" borderId="0" xfId="0" applyFont="true" applyBorder="true" applyAlignment="false" applyProtection="false">
      <alignment horizontal="general" vertical="bottom" textRotation="0" wrapText="false" indent="0" shrinkToFit="false"/>
      <protection locked="true" hidden="false"/>
    </xf>
    <xf numFmtId="168" fontId="4" fillId="0" borderId="6" xfId="0" applyFont="true" applyBorder="true" applyAlignment="false" applyProtection="false">
      <alignment horizontal="general" vertical="bottom" textRotation="0" wrapText="false" indent="0" shrinkToFit="false"/>
      <protection locked="true" hidden="false"/>
    </xf>
    <xf numFmtId="174" fontId="4" fillId="0" borderId="5" xfId="0" applyFont="true" applyBorder="true" applyAlignment="false" applyProtection="false">
      <alignment horizontal="general" vertical="bottom" textRotation="0" wrapText="false" indent="0" shrinkToFit="false"/>
      <protection locked="true" hidden="false"/>
    </xf>
    <xf numFmtId="169" fontId="4" fillId="2" borderId="10" xfId="0" applyFont="true" applyBorder="true" applyAlignment="false" applyProtection="false">
      <alignment horizontal="general" vertical="bottom" textRotation="0" wrapText="false" indent="0" shrinkToFit="false"/>
      <protection locked="true" hidden="false"/>
    </xf>
    <xf numFmtId="174" fontId="4" fillId="2" borderId="11" xfId="0" applyFont="true" applyBorder="true" applyAlignment="false" applyProtection="false">
      <alignment horizontal="general" vertical="bottom" textRotation="0" wrapText="false" indent="0" shrinkToFit="false"/>
      <protection locked="true" hidden="false"/>
    </xf>
    <xf numFmtId="165" fontId="4" fillId="2" borderId="10" xfId="0" applyFont="true" applyBorder="true" applyAlignment="false" applyProtection="false">
      <alignment horizontal="general" vertical="bottom" textRotation="0" wrapText="false" indent="0" shrinkToFit="false"/>
      <protection locked="true" hidden="false"/>
    </xf>
    <xf numFmtId="169" fontId="4" fillId="2" borderId="12" xfId="0" applyFont="true" applyBorder="true" applyAlignment="false" applyProtection="false">
      <alignment horizontal="general" vertical="bottom" textRotation="0" wrapText="false" indent="0" shrinkToFit="false"/>
      <protection locked="true" hidden="false"/>
    </xf>
    <xf numFmtId="170" fontId="4" fillId="2" borderId="10" xfId="0" applyFont="true" applyBorder="true" applyAlignment="false" applyProtection="false">
      <alignment horizontal="general" vertical="bottom" textRotation="0" wrapText="false" indent="0" shrinkToFit="false"/>
      <protection locked="true" hidden="false"/>
    </xf>
    <xf numFmtId="169" fontId="4" fillId="2" borderId="13" xfId="0" applyFont="true" applyBorder="true" applyAlignment="false" applyProtection="false">
      <alignment horizontal="general" vertical="bottom" textRotation="0" wrapText="false" indent="0" shrinkToFit="false"/>
      <protection locked="true" hidden="false"/>
    </xf>
    <xf numFmtId="169" fontId="4" fillId="2" borderId="14" xfId="0" applyFont="true" applyBorder="true" applyAlignment="false" applyProtection="false">
      <alignment horizontal="general" vertical="bottom" textRotation="0" wrapText="false" indent="0" shrinkToFit="false"/>
      <protection locked="true" hidden="false"/>
    </xf>
    <xf numFmtId="166" fontId="4" fillId="2" borderId="11" xfId="0" applyFont="true" applyBorder="true" applyAlignment="false" applyProtection="false">
      <alignment horizontal="general" vertical="bottom" textRotation="0" wrapText="false" indent="0" shrinkToFit="false"/>
      <protection locked="true" hidden="false"/>
    </xf>
    <xf numFmtId="168" fontId="4" fillId="2" borderId="10" xfId="0" applyFont="true" applyBorder="true" applyAlignment="false" applyProtection="false">
      <alignment horizontal="general" vertical="bottom" textRotation="0" wrapText="false" indent="0" shrinkToFit="false"/>
      <protection locked="true" hidden="false"/>
    </xf>
    <xf numFmtId="168" fontId="4" fillId="2" borderId="12" xfId="0" applyFont="true" applyBorder="true" applyAlignment="false" applyProtection="false">
      <alignment horizontal="general" vertical="bottom" textRotation="0" wrapText="false" indent="0" shrinkToFit="false"/>
      <protection locked="true" hidden="false"/>
    </xf>
    <xf numFmtId="168" fontId="4" fillId="2" borderId="10" xfId="0" applyFont="true" applyBorder="true" applyAlignment="true" applyProtection="false">
      <alignment horizontal="center" vertical="bottom" textRotation="0" wrapText="false" indent="0" shrinkToFit="false"/>
      <protection locked="true" hidden="false"/>
    </xf>
    <xf numFmtId="169" fontId="4" fillId="0" borderId="6" xfId="0" applyFont="true" applyBorder="true" applyAlignment="false" applyProtection="false">
      <alignment horizontal="general" vertical="bottom" textRotation="0" wrapText="false" indent="0" shrinkToFit="false"/>
      <protection locked="true" hidden="false"/>
    </xf>
    <xf numFmtId="167" fontId="4" fillId="0" borderId="0" xfId="0" applyFont="true" applyBorder="false" applyAlignment="false" applyProtection="false">
      <alignment horizontal="general" vertical="bottom" textRotation="0" wrapText="false" indent="0" shrinkToFit="false"/>
      <protection locked="true" hidden="false"/>
    </xf>
    <xf numFmtId="169" fontId="4" fillId="0" borderId="8" xfId="0" applyFont="true" applyBorder="true" applyAlignment="false" applyProtection="false">
      <alignment horizontal="general" vertical="bottom" textRotation="0" wrapText="false" indent="0" shrinkToFit="false"/>
      <protection locked="true" hidden="false"/>
    </xf>
    <xf numFmtId="169" fontId="4" fillId="0" borderId="0" xfId="0" applyFont="true" applyBorder="true" applyAlignment="false" applyProtection="false">
      <alignment horizontal="general" vertical="bottom" textRotation="0" wrapText="false" indent="0" shrinkToFit="false"/>
      <protection locked="true" hidden="false"/>
    </xf>
    <xf numFmtId="169" fontId="4" fillId="0" borderId="9" xfId="0" applyFont="true" applyBorder="true" applyAlignment="false" applyProtection="false">
      <alignment horizontal="general" vertical="bottom" textRotation="0" wrapText="false" indent="0" shrinkToFit="false"/>
      <protection locked="true" hidden="false"/>
    </xf>
    <xf numFmtId="174" fontId="4" fillId="0" borderId="5" xfId="15" applyFont="true" applyBorder="true" applyAlignment="true" applyProtection="tru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4" fillId="0" borderId="6" xfId="0" applyFont="true" applyBorder="true" applyAlignment="false" applyProtection="false">
      <alignment horizontal="general" vertical="bottom" textRotation="0" wrapText="false" indent="0" shrinkToFit="false"/>
      <protection locked="true" hidden="false"/>
    </xf>
    <xf numFmtId="169" fontId="4" fillId="2" borderId="11" xfId="0" applyFont="true" applyBorder="true" applyAlignment="false" applyProtection="false">
      <alignment horizontal="general" vertical="bottom" textRotation="0" wrapText="false" indent="0" shrinkToFit="false"/>
      <protection locked="true" hidden="false"/>
    </xf>
    <xf numFmtId="165" fontId="4" fillId="2" borderId="12" xfId="0" applyFont="true" applyBorder="true" applyAlignment="false" applyProtection="false">
      <alignment horizontal="general" vertical="bottom" textRotation="0" wrapText="false" indent="0" shrinkToFit="false"/>
      <protection locked="true" hidden="false"/>
    </xf>
    <xf numFmtId="165" fontId="4" fillId="2" borderId="13" xfId="0" applyFont="true" applyBorder="true" applyAlignment="false" applyProtection="false">
      <alignment horizontal="general" vertical="bottom" textRotation="0" wrapText="false" indent="0" shrinkToFit="false"/>
      <protection locked="true" hidden="false"/>
    </xf>
    <xf numFmtId="165" fontId="4" fillId="2" borderId="14"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75" fontId="4" fillId="0" borderId="0" xfId="0" applyFont="true" applyBorder="false" applyAlignment="false" applyProtection="false">
      <alignment horizontal="general" vertical="bottom" textRotation="0" wrapText="false" indent="0" shrinkToFit="false"/>
      <protection locked="true" hidden="false"/>
    </xf>
    <xf numFmtId="17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76" fontId="4" fillId="0" borderId="0" xfId="19" applyFont="true" applyBorder="true" applyAlignment="true" applyProtection="true">
      <alignment horizontal="general" vertical="bottom" textRotation="0" wrapText="false" indent="0" shrinkToFit="false"/>
      <protection locked="true" hidden="false"/>
    </xf>
    <xf numFmtId="176"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20" applyFont="false" applyBorder="true" applyAlignment="false" applyProtection="false">
      <alignment horizontal="general" vertical="bottom" textRotation="0" wrapText="false" indent="0" shrinkToFit="false"/>
      <protection locked="true" hidden="false"/>
    </xf>
    <xf numFmtId="165" fontId="0" fillId="0" borderId="0" xfId="20" applyFont="false" applyBorder="true" applyAlignment="false" applyProtection="false">
      <alignment horizontal="general" vertical="bottom" textRotation="0" wrapText="false" indent="0" shrinkToFit="false"/>
      <protection locked="true" hidden="false"/>
    </xf>
    <xf numFmtId="166" fontId="0" fillId="0" borderId="0" xfId="20" applyFont="false" applyBorder="true" applyAlignment="false" applyProtection="false">
      <alignment horizontal="general" vertical="bottom" textRotation="0" wrapText="false" indent="0" shrinkToFit="false"/>
      <protection locked="true" hidden="false"/>
    </xf>
    <xf numFmtId="167" fontId="0" fillId="0" borderId="0" xfId="20" applyFont="false" applyBorder="true" applyAlignment="false" applyProtection="false">
      <alignment horizontal="general" vertical="bottom" textRotation="0" wrapText="false" indent="0" shrinkToFit="false"/>
      <protection locked="true" hidden="false"/>
    </xf>
    <xf numFmtId="171" fontId="0" fillId="0" borderId="0" xfId="20" applyFont="false" applyBorder="true" applyAlignment="false" applyProtection="false">
      <alignment horizontal="general" vertical="bottom" textRotation="0" wrapText="false" indent="0" shrinkToFit="false"/>
      <protection locked="true" hidden="false"/>
    </xf>
    <xf numFmtId="168" fontId="0" fillId="0" borderId="0" xfId="20" applyFont="false" applyBorder="true" applyAlignment="false" applyProtection="false">
      <alignment horizontal="general" vertical="bottom" textRotation="0" wrapText="false" indent="0" shrinkToFit="false"/>
      <protection locked="true" hidden="false"/>
    </xf>
    <xf numFmtId="168" fontId="0" fillId="0" borderId="0" xfId="20" applyFont="false" applyBorder="true" applyAlignment="true" applyProtection="false">
      <alignment horizontal="center" vertical="bottom" textRotation="0" wrapText="false" indent="0" shrinkToFit="false"/>
      <protection locked="true" hidden="false"/>
    </xf>
    <xf numFmtId="169" fontId="4" fillId="0" borderId="0" xfId="20" applyFont="true" applyBorder="true" applyAlignment="false" applyProtection="false">
      <alignment horizontal="general" vertical="bottom" textRotation="0" wrapText="false" indent="0" shrinkToFit="false"/>
      <protection locked="true" hidden="false"/>
    </xf>
    <xf numFmtId="165" fontId="4" fillId="0" borderId="0" xfId="20" applyFont="true" applyBorder="true" applyAlignment="false" applyProtection="false">
      <alignment horizontal="general" vertical="bottom" textRotation="0" wrapText="false" indent="0" shrinkToFit="false"/>
      <protection locked="true" hidden="false"/>
    </xf>
    <xf numFmtId="170" fontId="4" fillId="0" borderId="0" xfId="20" applyFont="true" applyBorder="true" applyAlignment="false" applyProtection="false">
      <alignment horizontal="general" vertical="bottom" textRotation="0" wrapText="false" indent="0" shrinkToFit="false"/>
      <protection locked="true" hidden="false"/>
    </xf>
    <xf numFmtId="169" fontId="5" fillId="0" borderId="0" xfId="20" applyFont="true" applyBorder="true" applyAlignment="false" applyProtection="false">
      <alignment horizontal="general" vertical="bottom" textRotation="0" wrapText="false" indent="0" shrinkToFit="false"/>
      <protection locked="true" hidden="false"/>
    </xf>
    <xf numFmtId="171" fontId="4" fillId="0" borderId="0" xfId="20" applyFont="true" applyBorder="true" applyAlignment="false" applyProtection="false">
      <alignment horizontal="general" vertical="bottom" textRotation="0" wrapText="false" indent="0" shrinkToFit="false"/>
      <protection locked="true" hidden="false"/>
    </xf>
    <xf numFmtId="166" fontId="4" fillId="0" borderId="0" xfId="20" applyFont="true" applyBorder="true" applyAlignment="false" applyProtection="false">
      <alignment horizontal="general" vertical="bottom" textRotation="0" wrapText="false" indent="0" shrinkToFit="false"/>
      <protection locked="true" hidden="false"/>
    </xf>
    <xf numFmtId="168" fontId="4" fillId="0" borderId="0" xfId="20" applyFont="true" applyBorder="true" applyAlignment="false" applyProtection="false">
      <alignment horizontal="general" vertical="bottom" textRotation="0" wrapText="false" indent="0" shrinkToFit="false"/>
      <protection locked="true" hidden="false"/>
    </xf>
    <xf numFmtId="168" fontId="4" fillId="0" borderId="0" xfId="20" applyFont="true" applyBorder="true" applyAlignment="true" applyProtection="false">
      <alignment horizontal="center" vertical="bottom" textRotation="0" wrapText="false" indent="0" shrinkToFit="false"/>
      <protection locked="true" hidden="false"/>
    </xf>
    <xf numFmtId="172" fontId="4" fillId="0" borderId="0" xfId="20" applyFont="true" applyBorder="true" applyAlignment="false" applyProtection="false">
      <alignment horizontal="general" vertical="bottom" textRotation="0" wrapText="false" indent="0" shrinkToFit="false"/>
      <protection locked="true" hidden="false"/>
    </xf>
    <xf numFmtId="169" fontId="5" fillId="0" borderId="0" xfId="20" applyFont="true" applyBorder="true" applyAlignment="true" applyProtection="false">
      <alignment horizontal="center" vertical="bottom" textRotation="0" wrapText="false" indent="0" shrinkToFit="false"/>
      <protection locked="true" hidden="false"/>
    </xf>
    <xf numFmtId="169" fontId="4" fillId="0" borderId="1" xfId="20" applyFont="true" applyBorder="true" applyAlignment="false" applyProtection="false">
      <alignment horizontal="general" vertical="bottom" textRotation="0" wrapText="false" indent="0" shrinkToFit="false"/>
      <protection locked="true" hidden="false"/>
    </xf>
    <xf numFmtId="165" fontId="4" fillId="0" borderId="1" xfId="20" applyFont="true" applyBorder="true" applyAlignment="false" applyProtection="false">
      <alignment horizontal="general" vertical="bottom" textRotation="0" wrapText="false" indent="0" shrinkToFit="false"/>
      <protection locked="true" hidden="false"/>
    </xf>
    <xf numFmtId="173" fontId="4" fillId="0" borderId="1" xfId="20" applyFont="true" applyBorder="true" applyAlignment="false" applyProtection="false">
      <alignment horizontal="general" vertical="bottom" textRotation="0" wrapText="false" indent="0" shrinkToFit="false"/>
      <protection locked="true" hidden="false"/>
    </xf>
    <xf numFmtId="170" fontId="4" fillId="0" borderId="1" xfId="20" applyFont="true" applyBorder="true" applyAlignment="false" applyProtection="false">
      <alignment horizontal="general" vertical="bottom" textRotation="0" wrapText="false" indent="0" shrinkToFit="false"/>
      <protection locked="true" hidden="false"/>
    </xf>
    <xf numFmtId="171" fontId="4" fillId="0" borderId="1" xfId="20" applyFont="true" applyBorder="true" applyAlignment="false" applyProtection="false">
      <alignment horizontal="general" vertical="bottom" textRotation="0" wrapText="false" indent="0" shrinkToFit="false"/>
      <protection locked="true" hidden="false"/>
    </xf>
    <xf numFmtId="166" fontId="4" fillId="0" borderId="1" xfId="20" applyFont="true" applyBorder="true" applyAlignment="false" applyProtection="false">
      <alignment horizontal="general" vertical="bottom" textRotation="0" wrapText="false" indent="0" shrinkToFit="false"/>
      <protection locked="true" hidden="false"/>
    </xf>
    <xf numFmtId="168" fontId="4" fillId="0" borderId="1" xfId="20" applyFont="true" applyBorder="true" applyAlignment="false" applyProtection="false">
      <alignment horizontal="general" vertical="bottom" textRotation="0" wrapText="false" indent="0" shrinkToFit="false"/>
      <protection locked="true" hidden="false"/>
    </xf>
    <xf numFmtId="168" fontId="4" fillId="0" borderId="1" xfId="20" applyFont="true" applyBorder="true" applyAlignment="true" applyProtection="false">
      <alignment horizontal="center" vertical="bottom" textRotation="0" wrapText="false" indent="0" shrinkToFit="false"/>
      <protection locked="true" hidden="false"/>
    </xf>
    <xf numFmtId="164" fontId="0" fillId="0" borderId="1" xfId="20" applyFont="false" applyBorder="true" applyAlignment="false" applyProtection="false">
      <alignment horizontal="general" vertical="bottom" textRotation="0" wrapText="false" indent="0" shrinkToFit="false"/>
      <protection locked="true" hidden="false"/>
    </xf>
    <xf numFmtId="169" fontId="4" fillId="0" borderId="2" xfId="20" applyFont="true" applyBorder="true" applyAlignment="false" applyProtection="false">
      <alignment horizontal="general" vertical="bottom" textRotation="0" wrapText="false" indent="0" shrinkToFit="false"/>
      <protection locked="true" hidden="false"/>
    </xf>
    <xf numFmtId="165" fontId="4" fillId="0" borderId="3" xfId="20" applyFont="true" applyBorder="true" applyAlignment="false" applyProtection="false">
      <alignment horizontal="general" vertical="bottom" textRotation="0" wrapText="false" indent="0" shrinkToFit="false"/>
      <protection locked="true" hidden="false"/>
    </xf>
    <xf numFmtId="173" fontId="6" fillId="0" borderId="3" xfId="20" applyFont="true" applyBorder="true" applyAlignment="false" applyProtection="false">
      <alignment horizontal="general" vertical="bottom" textRotation="0" wrapText="false" indent="0" shrinkToFit="false"/>
      <protection locked="true" hidden="false"/>
    </xf>
    <xf numFmtId="169" fontId="4" fillId="0" borderId="4" xfId="20" applyFont="true" applyBorder="true" applyAlignment="false" applyProtection="false">
      <alignment horizontal="general" vertical="bottom" textRotation="0" wrapText="false" indent="0" shrinkToFit="false"/>
      <protection locked="true" hidden="false"/>
    </xf>
    <xf numFmtId="169" fontId="6" fillId="0" borderId="0" xfId="20" applyFont="true" applyBorder="true" applyAlignment="true" applyProtection="false">
      <alignment horizontal="center" vertical="bottom" textRotation="0" wrapText="false" indent="0" shrinkToFit="false"/>
      <protection locked="true" hidden="false"/>
    </xf>
    <xf numFmtId="166" fontId="4" fillId="0" borderId="2" xfId="20" applyFont="true" applyBorder="true" applyAlignment="false" applyProtection="false">
      <alignment horizontal="general" vertical="bottom" textRotation="0" wrapText="false" indent="0" shrinkToFit="false"/>
      <protection locked="true" hidden="false"/>
    </xf>
    <xf numFmtId="168" fontId="6" fillId="0" borderId="3" xfId="20" applyFont="true" applyBorder="true" applyAlignment="true" applyProtection="false">
      <alignment horizontal="center" vertical="bottom" textRotation="0" wrapText="false" indent="0" shrinkToFit="false"/>
      <protection locked="true" hidden="false"/>
    </xf>
    <xf numFmtId="168" fontId="4" fillId="0" borderId="4" xfId="20" applyFont="true" applyBorder="true" applyAlignment="true" applyProtection="false">
      <alignment horizontal="center" vertical="bottom" textRotation="0" wrapText="false" indent="0" shrinkToFit="false"/>
      <protection locked="true" hidden="false"/>
    </xf>
    <xf numFmtId="169" fontId="7" fillId="0" borderId="0" xfId="20" applyFont="true" applyBorder="true" applyAlignment="true" applyProtection="false">
      <alignment horizontal="center" vertical="bottom" textRotation="0" wrapText="false" indent="0" shrinkToFit="false"/>
      <protection locked="true" hidden="false"/>
    </xf>
    <xf numFmtId="169" fontId="7" fillId="0" borderId="5" xfId="20" applyFont="true" applyBorder="true" applyAlignment="true" applyProtection="false">
      <alignment horizontal="center" vertical="bottom" textRotation="0" wrapText="false" indent="0" shrinkToFit="false"/>
      <protection locked="true" hidden="false"/>
    </xf>
    <xf numFmtId="165" fontId="7" fillId="0" borderId="0" xfId="20" applyFont="true" applyBorder="true" applyAlignment="true" applyProtection="false">
      <alignment horizontal="center" vertical="bottom" textRotation="0" wrapText="false" indent="0" shrinkToFit="false"/>
      <protection locked="true" hidden="false"/>
    </xf>
    <xf numFmtId="169" fontId="7" fillId="0" borderId="6" xfId="20" applyFont="true" applyBorder="true" applyAlignment="true" applyProtection="false">
      <alignment horizontal="center" vertical="bottom" textRotation="0" wrapText="false" indent="0" shrinkToFit="false"/>
      <protection locked="true" hidden="false"/>
    </xf>
    <xf numFmtId="170" fontId="7" fillId="0" borderId="0" xfId="20" applyFont="true" applyBorder="true" applyAlignment="true" applyProtection="false">
      <alignment horizontal="center" vertical="bottom" textRotation="0" wrapText="false" indent="0" shrinkToFit="false"/>
      <protection locked="true" hidden="false"/>
    </xf>
    <xf numFmtId="169" fontId="8" fillId="0" borderId="7" xfId="20" applyFont="true" applyBorder="true" applyAlignment="true" applyProtection="false">
      <alignment horizontal="center" vertical="bottom" textRotation="0" wrapText="false" indent="0" shrinkToFit="false"/>
      <protection locked="true" hidden="false"/>
    </xf>
    <xf numFmtId="166" fontId="7" fillId="0" borderId="5" xfId="20" applyFont="true" applyBorder="true" applyAlignment="true" applyProtection="false">
      <alignment horizontal="center" vertical="bottom" textRotation="0" wrapText="false" indent="0" shrinkToFit="false"/>
      <protection locked="true" hidden="false"/>
    </xf>
    <xf numFmtId="168" fontId="7" fillId="0" borderId="0" xfId="20" applyFont="true" applyBorder="true" applyAlignment="true" applyProtection="false">
      <alignment horizontal="center" vertical="bottom" textRotation="0" wrapText="false" indent="0" shrinkToFit="false"/>
      <protection locked="true" hidden="false"/>
    </xf>
    <xf numFmtId="168" fontId="7" fillId="0" borderId="6" xfId="20" applyFont="true" applyBorder="true" applyAlignment="true" applyProtection="false">
      <alignment horizontal="center" vertical="bottom" textRotation="0" wrapText="false" indent="0" shrinkToFit="false"/>
      <protection locked="true" hidden="false"/>
    </xf>
    <xf numFmtId="164" fontId="11" fillId="0" borderId="0" xfId="20" applyFont="true" applyBorder="true" applyAlignment="true" applyProtection="false">
      <alignment horizontal="center" vertical="bottom" textRotation="0" wrapText="false" indent="0" shrinkToFit="false"/>
      <protection locked="true" hidden="false"/>
    </xf>
    <xf numFmtId="169" fontId="9" fillId="0" borderId="0" xfId="20" applyFont="true" applyBorder="true" applyAlignment="true" applyProtection="false">
      <alignment horizontal="center" vertical="bottom" textRotation="0" wrapText="false" indent="0" shrinkToFit="false"/>
      <protection locked="true" hidden="false"/>
    </xf>
    <xf numFmtId="169" fontId="7" fillId="0" borderId="8" xfId="20" applyFont="true" applyBorder="true" applyAlignment="true" applyProtection="false">
      <alignment horizontal="center" vertical="bottom" textRotation="0" wrapText="false" indent="0" shrinkToFit="false"/>
      <protection locked="true" hidden="false"/>
    </xf>
    <xf numFmtId="169" fontId="7" fillId="0" borderId="9" xfId="20" applyFont="true" applyBorder="true" applyAlignment="true" applyProtection="false">
      <alignment horizontal="center" vertical="bottom" textRotation="0" wrapText="false" indent="0" shrinkToFit="false"/>
      <protection locked="true" hidden="false"/>
    </xf>
    <xf numFmtId="166" fontId="7" fillId="0" borderId="5" xfId="20" applyFont="true" applyBorder="true" applyAlignment="false" applyProtection="false">
      <alignment horizontal="general" vertical="bottom" textRotation="0" wrapText="false" indent="0" shrinkToFit="false"/>
      <protection locked="true" hidden="false"/>
    </xf>
    <xf numFmtId="168" fontId="10" fillId="0" borderId="0" xfId="20" applyFont="true" applyBorder="true" applyAlignment="true" applyProtection="false">
      <alignment horizontal="center" vertical="bottom" textRotation="0" wrapText="false" indent="0" shrinkToFit="false"/>
      <protection locked="true" hidden="false"/>
    </xf>
    <xf numFmtId="169" fontId="4" fillId="0" borderId="0" xfId="20" applyFont="true" applyBorder="true" applyAlignment="true" applyProtection="false">
      <alignment horizontal="center" vertical="bottom" textRotation="0" wrapText="false" indent="0" shrinkToFit="false"/>
      <protection locked="true" hidden="false"/>
    </xf>
    <xf numFmtId="169" fontId="4" fillId="0" borderId="5" xfId="20" applyFont="true" applyBorder="true" applyAlignment="true" applyProtection="false">
      <alignment horizontal="center" vertical="bottom" textRotation="0" wrapText="false" indent="0" shrinkToFit="false"/>
      <protection locked="true" hidden="false"/>
    </xf>
    <xf numFmtId="165" fontId="4" fillId="0" borderId="0" xfId="20" applyFont="true" applyBorder="true" applyAlignment="true" applyProtection="false">
      <alignment horizontal="center" vertical="bottom" textRotation="0" wrapText="false" indent="0" shrinkToFit="false"/>
      <protection locked="true" hidden="false"/>
    </xf>
    <xf numFmtId="165" fontId="10" fillId="0" borderId="0" xfId="20" applyFont="true" applyBorder="true" applyAlignment="true" applyProtection="false">
      <alignment horizontal="center" vertical="bottom" textRotation="0" wrapText="false" indent="0" shrinkToFit="false"/>
      <protection locked="true" hidden="false"/>
    </xf>
    <xf numFmtId="169" fontId="4" fillId="0" borderId="6" xfId="20" applyFont="true" applyBorder="true" applyAlignment="true" applyProtection="false">
      <alignment horizontal="center" vertical="bottom" textRotation="0" wrapText="false" indent="0" shrinkToFit="false"/>
      <protection locked="true" hidden="false"/>
    </xf>
    <xf numFmtId="170" fontId="4" fillId="0" borderId="0" xfId="20" applyFont="true" applyBorder="true" applyAlignment="true" applyProtection="false">
      <alignment horizontal="center" vertical="bottom" textRotation="0" wrapText="false" indent="0" shrinkToFit="false"/>
      <protection locked="true" hidden="false"/>
    </xf>
    <xf numFmtId="169" fontId="4" fillId="0" borderId="8" xfId="20" applyFont="true" applyBorder="true" applyAlignment="true" applyProtection="false">
      <alignment horizontal="center" vertical="bottom" textRotation="0" wrapText="false" indent="0" shrinkToFit="false"/>
      <protection locked="true" hidden="false"/>
    </xf>
    <xf numFmtId="169" fontId="4" fillId="0" borderId="9" xfId="20" applyFont="true" applyBorder="true" applyAlignment="true" applyProtection="false">
      <alignment horizontal="center" vertical="bottom" textRotation="0" wrapText="false" indent="0" shrinkToFit="false"/>
      <protection locked="true" hidden="false"/>
    </xf>
    <xf numFmtId="166" fontId="4" fillId="0" borderId="5" xfId="20" applyFont="true" applyBorder="true" applyAlignment="false" applyProtection="false">
      <alignment horizontal="general" vertical="bottom" textRotation="0" wrapText="false" indent="0" shrinkToFit="false"/>
      <protection locked="true" hidden="false"/>
    </xf>
    <xf numFmtId="168" fontId="4" fillId="0" borderId="6" xfId="20" applyFont="true" applyBorder="true" applyAlignment="true" applyProtection="false">
      <alignment horizontal="center" vertical="bottom" textRotation="0" wrapText="false" indent="0" shrinkToFit="false"/>
      <protection locked="true" hidden="false"/>
    </xf>
    <xf numFmtId="169" fontId="4" fillId="0" borderId="5" xfId="20" applyFont="true" applyBorder="true" applyAlignment="false" applyProtection="false">
      <alignment horizontal="general" vertical="bottom" textRotation="0" wrapText="false" indent="0" shrinkToFit="false"/>
      <protection locked="true" hidden="false"/>
    </xf>
    <xf numFmtId="165" fontId="4" fillId="0" borderId="6" xfId="20" applyFont="true" applyBorder="true" applyAlignment="false" applyProtection="false">
      <alignment horizontal="general" vertical="bottom" textRotation="0" wrapText="false" indent="0" shrinkToFit="false"/>
      <protection locked="true" hidden="false"/>
    </xf>
    <xf numFmtId="165" fontId="4" fillId="0" borderId="8" xfId="20" applyFont="true" applyBorder="true" applyAlignment="false" applyProtection="false">
      <alignment horizontal="general" vertical="bottom" textRotation="0" wrapText="false" indent="0" shrinkToFit="false"/>
      <protection locked="true" hidden="false"/>
    </xf>
    <xf numFmtId="165" fontId="4" fillId="0" borderId="9" xfId="20" applyFont="true" applyBorder="true" applyAlignment="false" applyProtection="false">
      <alignment horizontal="general" vertical="bottom" textRotation="0" wrapText="false" indent="0" shrinkToFit="false"/>
      <protection locked="true" hidden="false"/>
    </xf>
    <xf numFmtId="168" fontId="4" fillId="0" borderId="6" xfId="20" applyFont="true" applyBorder="true" applyAlignment="false" applyProtection="false">
      <alignment horizontal="general" vertical="bottom" textRotation="0" wrapText="false" indent="0" shrinkToFit="false"/>
      <protection locked="true" hidden="false"/>
    </xf>
    <xf numFmtId="174" fontId="4" fillId="0" borderId="5" xfId="20" applyFont="true" applyBorder="true" applyAlignment="false" applyProtection="false">
      <alignment horizontal="general" vertical="bottom" textRotation="0" wrapText="false" indent="0" shrinkToFit="false"/>
      <protection locked="true" hidden="false"/>
    </xf>
    <xf numFmtId="169" fontId="4" fillId="2" borderId="10" xfId="20" applyFont="true" applyBorder="true" applyAlignment="false" applyProtection="false">
      <alignment horizontal="general" vertical="bottom" textRotation="0" wrapText="false" indent="0" shrinkToFit="false"/>
      <protection locked="true" hidden="false"/>
    </xf>
    <xf numFmtId="174" fontId="4" fillId="2" borderId="11" xfId="20" applyFont="true" applyBorder="true" applyAlignment="false" applyProtection="false">
      <alignment horizontal="general" vertical="bottom" textRotation="0" wrapText="false" indent="0" shrinkToFit="false"/>
      <protection locked="true" hidden="false"/>
    </xf>
    <xf numFmtId="165" fontId="4" fillId="2" borderId="10" xfId="20" applyFont="true" applyBorder="true" applyAlignment="false" applyProtection="false">
      <alignment horizontal="general" vertical="bottom" textRotation="0" wrapText="false" indent="0" shrinkToFit="false"/>
      <protection locked="true" hidden="false"/>
    </xf>
    <xf numFmtId="169" fontId="4" fillId="2" borderId="12" xfId="20" applyFont="true" applyBorder="true" applyAlignment="false" applyProtection="false">
      <alignment horizontal="general" vertical="bottom" textRotation="0" wrapText="false" indent="0" shrinkToFit="false"/>
      <protection locked="true" hidden="false"/>
    </xf>
    <xf numFmtId="170" fontId="4" fillId="2" borderId="10" xfId="20" applyFont="true" applyBorder="true" applyAlignment="false" applyProtection="false">
      <alignment horizontal="general" vertical="bottom" textRotation="0" wrapText="false" indent="0" shrinkToFit="false"/>
      <protection locked="true" hidden="false"/>
    </xf>
    <xf numFmtId="169" fontId="4" fillId="2" borderId="13" xfId="20" applyFont="true" applyBorder="true" applyAlignment="false" applyProtection="false">
      <alignment horizontal="general" vertical="bottom" textRotation="0" wrapText="false" indent="0" shrinkToFit="false"/>
      <protection locked="true" hidden="false"/>
    </xf>
    <xf numFmtId="169" fontId="4" fillId="2" borderId="14" xfId="20" applyFont="true" applyBorder="true" applyAlignment="false" applyProtection="false">
      <alignment horizontal="general" vertical="bottom" textRotation="0" wrapText="false" indent="0" shrinkToFit="false"/>
      <protection locked="true" hidden="false"/>
    </xf>
    <xf numFmtId="166" fontId="4" fillId="2" borderId="11" xfId="20" applyFont="true" applyBorder="true" applyAlignment="false" applyProtection="false">
      <alignment horizontal="general" vertical="bottom" textRotation="0" wrapText="false" indent="0" shrinkToFit="false"/>
      <protection locked="true" hidden="false"/>
    </xf>
    <xf numFmtId="168" fontId="4" fillId="2" borderId="10" xfId="20" applyFont="true" applyBorder="true" applyAlignment="false" applyProtection="false">
      <alignment horizontal="general" vertical="bottom" textRotation="0" wrapText="false" indent="0" shrinkToFit="false"/>
      <protection locked="true" hidden="false"/>
    </xf>
    <xf numFmtId="168" fontId="4" fillId="2" borderId="12" xfId="20" applyFont="true" applyBorder="true" applyAlignment="false" applyProtection="false">
      <alignment horizontal="general" vertical="bottom" textRotation="0" wrapText="false" indent="0" shrinkToFit="false"/>
      <protection locked="true" hidden="false"/>
    </xf>
    <xf numFmtId="168" fontId="4" fillId="2" borderId="10" xfId="20" applyFont="true" applyBorder="true" applyAlignment="true" applyProtection="false">
      <alignment horizontal="center" vertical="bottom" textRotation="0" wrapText="false" indent="0" shrinkToFit="false"/>
      <protection locked="true" hidden="false"/>
    </xf>
    <xf numFmtId="169" fontId="4" fillId="0" borderId="6" xfId="20" applyFont="true" applyBorder="true" applyAlignment="false" applyProtection="false">
      <alignment horizontal="general" vertical="bottom" textRotation="0" wrapText="false" indent="0" shrinkToFit="false"/>
      <protection locked="true" hidden="false"/>
    </xf>
    <xf numFmtId="167" fontId="4" fillId="0" borderId="0" xfId="20" applyFont="true" applyBorder="true" applyAlignment="false" applyProtection="false">
      <alignment horizontal="general" vertical="bottom" textRotation="0" wrapText="false" indent="0" shrinkToFit="false"/>
      <protection locked="true" hidden="false"/>
    </xf>
    <xf numFmtId="169" fontId="4" fillId="0" borderId="8" xfId="20" applyFont="true" applyBorder="true" applyAlignment="false" applyProtection="false">
      <alignment horizontal="general" vertical="bottom" textRotation="0" wrapText="false" indent="0" shrinkToFit="false"/>
      <protection locked="true" hidden="false"/>
    </xf>
    <xf numFmtId="164" fontId="4" fillId="0" borderId="0" xfId="20" applyFont="true" applyBorder="true" applyAlignment="false" applyProtection="false">
      <alignment horizontal="general" vertical="bottom" textRotation="0" wrapText="false" indent="0" shrinkToFit="false"/>
      <protection locked="true" hidden="false"/>
    </xf>
    <xf numFmtId="164" fontId="4" fillId="0" borderId="6" xfId="20" applyFont="true" applyBorder="true" applyAlignment="false" applyProtection="false">
      <alignment horizontal="general" vertical="bottom" textRotation="0" wrapText="false" indent="0" shrinkToFit="false"/>
      <protection locked="true" hidden="false"/>
    </xf>
    <xf numFmtId="169" fontId="4" fillId="2" borderId="11" xfId="20" applyFont="true" applyBorder="true" applyAlignment="false" applyProtection="false">
      <alignment horizontal="general" vertical="bottom" textRotation="0" wrapText="false" indent="0" shrinkToFit="false"/>
      <protection locked="true" hidden="false"/>
    </xf>
    <xf numFmtId="165" fontId="4" fillId="2" borderId="12" xfId="20" applyFont="true" applyBorder="true" applyAlignment="false" applyProtection="false">
      <alignment horizontal="general" vertical="bottom" textRotation="0" wrapText="false" indent="0" shrinkToFit="false"/>
      <protection locked="true" hidden="false"/>
    </xf>
    <xf numFmtId="165" fontId="4" fillId="2" borderId="13" xfId="20" applyFont="true" applyBorder="true" applyAlignment="false" applyProtection="false">
      <alignment horizontal="general" vertical="bottom" textRotation="0" wrapText="false" indent="0" shrinkToFit="false"/>
      <protection locked="true" hidden="false"/>
    </xf>
    <xf numFmtId="165" fontId="4" fillId="2" borderId="14" xfId="20" applyFont="true" applyBorder="true" applyAlignment="false" applyProtection="false">
      <alignment horizontal="general" vertical="bottom" textRotation="0" wrapText="false" indent="0" shrinkToFit="false"/>
      <protection locked="true" hidden="false"/>
    </xf>
    <xf numFmtId="165" fontId="4" fillId="2" borderId="11" xfId="20" applyFont="true" applyBorder="true" applyAlignment="false" applyProtection="false">
      <alignment horizontal="general" vertical="bottom" textRotation="0" wrapText="false" indent="0" shrinkToFit="false"/>
      <protection locked="true" hidden="false"/>
    </xf>
    <xf numFmtId="166" fontId="4" fillId="2" borderId="10" xfId="20" applyFont="true" applyBorder="true" applyAlignment="false" applyProtection="false">
      <alignment horizontal="general" vertical="bottom" textRotation="0" wrapText="false" indent="0" shrinkToFit="false"/>
      <protection locked="true" hidden="false"/>
    </xf>
    <xf numFmtId="166" fontId="4" fillId="2" borderId="12" xfId="20" applyFont="true" applyBorder="true" applyAlignment="false" applyProtection="false">
      <alignment horizontal="general" vertical="bottom" textRotation="0" wrapText="false" indent="0" shrinkToFit="false"/>
      <protection locked="true" hidden="false"/>
    </xf>
    <xf numFmtId="175" fontId="4" fillId="0" borderId="0" xfId="20" applyFont="true" applyBorder="true" applyAlignment="false" applyProtection="false">
      <alignment horizontal="general" vertical="bottom" textRotation="0" wrapText="false" indent="0" shrinkToFit="false"/>
      <protection locked="true" hidden="false"/>
    </xf>
    <xf numFmtId="174" fontId="4" fillId="0" borderId="0" xfId="20" applyFont="true" applyBorder="true" applyAlignment="false" applyProtection="false">
      <alignment horizontal="general" vertical="bottom" textRotation="0" wrapText="false" indent="0" shrinkToFit="false"/>
      <protection locked="true" hidden="false"/>
    </xf>
    <xf numFmtId="176" fontId="4" fillId="0" borderId="0" xfId="20" applyFont="true" applyBorder="true" applyAlignment="false" applyProtection="false">
      <alignment horizontal="general" vertical="bottom" textRotation="0" wrapText="false" indent="0" shrinkToFit="false"/>
      <protection locked="true" hidden="false"/>
    </xf>
    <xf numFmtId="177" fontId="0" fillId="0" borderId="0" xfId="20" applyFont="false" applyBorder="true" applyAlignment="false" applyProtection="false">
      <alignment horizontal="general" vertical="bottom" textRotation="0" wrapText="false" indent="0" shrinkToFit="false"/>
      <protection locked="true" hidden="false"/>
    </xf>
    <xf numFmtId="177" fontId="4" fillId="0" borderId="0" xfId="20" applyFont="true" applyBorder="true" applyAlignment="false" applyProtection="false">
      <alignment horizontal="general" vertical="bottom" textRotation="0" wrapText="false" indent="0" shrinkToFit="false"/>
      <protection locked="true" hidden="false"/>
    </xf>
    <xf numFmtId="169" fontId="13" fillId="0" borderId="0" xfId="20" applyFont="true" applyBorder="true" applyAlignment="false" applyProtection="false">
      <alignment horizontal="general" vertical="bottom" textRotation="0" wrapText="false" indent="0" shrinkToFit="false"/>
      <protection locked="true" hidden="false"/>
    </xf>
    <xf numFmtId="177" fontId="4" fillId="0" borderId="1" xfId="20" applyFont="true" applyBorder="true" applyAlignment="false" applyProtection="false">
      <alignment horizontal="general" vertical="bottom" textRotation="0" wrapText="false" indent="0" shrinkToFit="false"/>
      <protection locked="true" hidden="false"/>
    </xf>
    <xf numFmtId="169" fontId="13" fillId="0" borderId="1" xfId="20" applyFont="true" applyBorder="true" applyAlignment="false" applyProtection="false">
      <alignment horizontal="general" vertical="bottom" textRotation="0" wrapText="false" indent="0" shrinkToFit="false"/>
      <protection locked="true" hidden="false"/>
    </xf>
    <xf numFmtId="173" fontId="6" fillId="0" borderId="3" xfId="20" applyFont="true" applyBorder="true" applyAlignment="true" applyProtection="false">
      <alignment horizontal="center" vertical="bottom" textRotation="0" wrapText="false" indent="0" shrinkToFit="false"/>
      <protection locked="true" hidden="false"/>
    </xf>
    <xf numFmtId="166" fontId="7" fillId="0" borderId="0" xfId="20" applyFont="true" applyBorder="true" applyAlignment="true" applyProtection="false">
      <alignment horizontal="center" vertical="bottom" textRotation="0" wrapText="false" indent="0" shrinkToFit="false"/>
      <protection locked="true" hidden="false"/>
    </xf>
    <xf numFmtId="177" fontId="8" fillId="0" borderId="7" xfId="20" applyFont="true" applyBorder="true" applyAlignment="true" applyProtection="false">
      <alignment horizontal="center" vertical="bottom" textRotation="0" wrapText="false" indent="0" shrinkToFit="false"/>
      <protection locked="true" hidden="false"/>
    </xf>
    <xf numFmtId="169" fontId="13" fillId="0" borderId="0" xfId="20" applyFont="true" applyBorder="true" applyAlignment="true" applyProtection="false">
      <alignment horizontal="center" vertical="bottom" textRotation="0" wrapText="false" indent="0" shrinkToFit="false"/>
      <protection locked="true" hidden="false"/>
    </xf>
    <xf numFmtId="177" fontId="7" fillId="0" borderId="8" xfId="20" applyFont="true" applyBorder="true" applyAlignment="true" applyProtection="false">
      <alignment horizontal="center" vertical="bottom" textRotation="0" wrapText="false" indent="0" shrinkToFit="false"/>
      <protection locked="true" hidden="false"/>
    </xf>
    <xf numFmtId="166" fontId="4" fillId="0" borderId="0" xfId="20" applyFont="true" applyBorder="true" applyAlignment="true" applyProtection="false">
      <alignment horizontal="center" vertical="bottom" textRotation="0" wrapText="false" indent="0" shrinkToFit="false"/>
      <protection locked="true" hidden="false"/>
    </xf>
    <xf numFmtId="177" fontId="4" fillId="0" borderId="8" xfId="20" applyFont="true" applyBorder="true" applyAlignment="true" applyProtection="false">
      <alignment horizontal="center" vertical="bottom" textRotation="0" wrapText="false" indent="0" shrinkToFit="false"/>
      <protection locked="true" hidden="false"/>
    </xf>
    <xf numFmtId="169" fontId="14" fillId="0" borderId="0" xfId="20" applyFont="true" applyBorder="true" applyAlignment="true" applyProtection="false">
      <alignment horizontal="center" vertical="bottom" textRotation="0" wrapText="false" indent="0" shrinkToFit="false"/>
      <protection locked="true" hidden="false"/>
    </xf>
    <xf numFmtId="169" fontId="15" fillId="0" borderId="0" xfId="20" applyFont="true" applyBorder="true" applyAlignment="false" applyProtection="false">
      <alignment horizontal="general" vertical="bottom" textRotation="0" wrapText="false" indent="0" shrinkToFit="false"/>
      <protection locked="true" hidden="false"/>
    </xf>
    <xf numFmtId="177" fontId="4" fillId="0" borderId="8" xfId="20" applyFont="true" applyBorder="true" applyAlignment="false" applyProtection="false">
      <alignment horizontal="general" vertical="bottom" textRotation="0" wrapText="false" indent="0" shrinkToFit="false"/>
      <protection locked="true" hidden="false"/>
    </xf>
    <xf numFmtId="164" fontId="15" fillId="0" borderId="0" xfId="20" applyFont="true" applyBorder="true" applyAlignment="false" applyProtection="false">
      <alignment horizontal="general" vertical="bottom" textRotation="0" wrapText="false" indent="0" shrinkToFit="false"/>
      <protection locked="true" hidden="false"/>
    </xf>
    <xf numFmtId="165" fontId="15" fillId="0" borderId="0" xfId="20" applyFont="true" applyBorder="true" applyAlignment="false" applyProtection="false">
      <alignment horizontal="general" vertical="bottom" textRotation="0" wrapText="false" indent="0" shrinkToFit="false"/>
      <protection locked="true" hidden="false"/>
    </xf>
    <xf numFmtId="177" fontId="4" fillId="2" borderId="13" xfId="20" applyFont="true" applyBorder="true" applyAlignment="false" applyProtection="false">
      <alignment horizontal="general" vertical="bottom" textRotation="0" wrapText="false" indent="0" shrinkToFit="false"/>
      <protection locked="true" hidden="false"/>
    </xf>
    <xf numFmtId="164" fontId="13" fillId="0" borderId="0" xfId="20" applyFont="true" applyBorder="true" applyAlignment="false" applyProtection="false">
      <alignment horizontal="general" vertical="bottom" textRotation="0" wrapText="false" indent="0" shrinkToFit="false"/>
      <protection locked="true" hidden="false"/>
    </xf>
    <xf numFmtId="167" fontId="13" fillId="0" borderId="0" xfId="20" applyFont="true" applyBorder="true" applyAlignment="false" applyProtection="false">
      <alignment horizontal="general" vertical="bottom" textRotation="0" wrapText="false" indent="0" shrinkToFit="false"/>
      <protection locked="true" hidden="false"/>
    </xf>
    <xf numFmtId="167" fontId="13" fillId="0" borderId="1" xfId="20" applyFont="true" applyBorder="true" applyAlignment="false" applyProtection="false">
      <alignment horizontal="general" vertical="bottom" textRotation="0" wrapText="false" indent="0" shrinkToFit="false"/>
      <protection locked="true" hidden="false"/>
    </xf>
    <xf numFmtId="177" fontId="7" fillId="0" borderId="0" xfId="20" applyFont="true" applyBorder="true" applyAlignment="true" applyProtection="false">
      <alignment horizontal="center" vertical="bottom" textRotation="0" wrapText="false" indent="0" shrinkToFit="false"/>
      <protection locked="true" hidden="false"/>
    </xf>
    <xf numFmtId="167" fontId="7" fillId="0" borderId="0" xfId="20" applyFont="true" applyBorder="true" applyAlignment="true" applyProtection="false">
      <alignment horizontal="center" vertical="bottom" textRotation="0" wrapText="false" indent="0" shrinkToFit="false"/>
      <protection locked="true" hidden="false"/>
    </xf>
    <xf numFmtId="171" fontId="7" fillId="0" borderId="9" xfId="20" applyFont="true" applyBorder="true" applyAlignment="true" applyProtection="false">
      <alignment horizontal="center" vertical="bottom" textRotation="0" wrapText="false" indent="0" shrinkToFit="false"/>
      <protection locked="true" hidden="false"/>
    </xf>
    <xf numFmtId="167" fontId="10" fillId="0" borderId="0" xfId="20" applyFont="true" applyBorder="true" applyAlignment="true" applyProtection="false">
      <alignment horizontal="center" vertical="bottom" textRotation="0" wrapText="false" indent="0" shrinkToFit="false"/>
      <protection locked="true" hidden="false"/>
    </xf>
    <xf numFmtId="177" fontId="4" fillId="0" borderId="0" xfId="20" applyFont="true" applyBorder="true" applyAlignment="true" applyProtection="false">
      <alignment horizontal="center" vertical="bottom" textRotation="0" wrapText="false" indent="0" shrinkToFit="false"/>
      <protection locked="true" hidden="false"/>
    </xf>
    <xf numFmtId="171" fontId="4" fillId="0" borderId="9" xfId="20" applyFont="true" applyBorder="true" applyAlignment="true" applyProtection="false">
      <alignment horizontal="center" vertical="bottom" textRotation="0" wrapText="false" indent="0" shrinkToFit="false"/>
      <protection locked="true" hidden="false"/>
    </xf>
    <xf numFmtId="167" fontId="4" fillId="0" borderId="0" xfId="20" applyFont="true" applyBorder="true" applyAlignment="true" applyProtection="false">
      <alignment horizontal="center" vertical="bottom" textRotation="0" wrapText="false" indent="0" shrinkToFit="false"/>
      <protection locked="true" hidden="false"/>
    </xf>
    <xf numFmtId="171" fontId="4" fillId="0" borderId="9" xfId="20" applyFont="true" applyBorder="true" applyAlignment="false" applyProtection="false">
      <alignment horizontal="general" vertical="bottom" textRotation="0" wrapText="false" indent="0" shrinkToFit="false"/>
      <protection locked="true" hidden="false"/>
    </xf>
    <xf numFmtId="177" fontId="4" fillId="2" borderId="10" xfId="20" applyFont="true" applyBorder="true" applyAlignment="false" applyProtection="false">
      <alignment horizontal="general" vertical="bottom" textRotation="0" wrapText="false" indent="0" shrinkToFit="false"/>
      <protection locked="true" hidden="false"/>
    </xf>
    <xf numFmtId="171" fontId="4" fillId="2" borderId="14" xfId="20" applyFont="true" applyBorder="true" applyAlignment="false" applyProtection="false">
      <alignment horizontal="general" vertical="bottom" textRotation="0" wrapText="false" indent="0" shrinkToFit="false"/>
      <protection locked="true" hidden="false"/>
    </xf>
    <xf numFmtId="167" fontId="4" fillId="2" borderId="10" xfId="20" applyFont="true" applyBorder="true" applyAlignment="true" applyProtection="false">
      <alignment horizontal="center" vertical="bottom" textRotation="0" wrapText="false" indent="0" shrinkToFit="false"/>
      <protection locked="true" hidden="false"/>
    </xf>
    <xf numFmtId="171" fontId="4" fillId="0" borderId="9" xfId="0" applyFont="true" applyBorder="true" applyAlignment="false" applyProtection="false">
      <alignment horizontal="general" vertical="bottom" textRotation="0" wrapText="false" indent="0" shrinkToFit="false"/>
      <protection locked="true" hidden="false"/>
    </xf>
    <xf numFmtId="165" fontId="4" fillId="0" borderId="0" xfId="15" applyFont="true" applyBorder="true" applyAlignment="true" applyProtection="true">
      <alignment horizontal="general" vertical="bottom" textRotation="0" wrapText="false" indent="0" shrinkToFit="false"/>
      <protection locked="true" hidden="false"/>
    </xf>
    <xf numFmtId="167" fontId="4" fillId="2" borderId="10" xfId="20" applyFont="true" applyBorder="true" applyAlignment="false" applyProtection="false">
      <alignment horizontal="general" vertical="bottom" textRotation="0" wrapText="false" indent="0" shrinkToFit="false"/>
      <protection locked="true" hidden="false"/>
    </xf>
    <xf numFmtId="177"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20" applyFont="false" applyBorder="true" applyAlignment="true" applyProtection="false">
      <alignment horizontal="center" vertical="bottom" textRotation="0" wrapText="false" indent="0" shrinkToFit="false"/>
      <protection locked="true" hidden="false"/>
    </xf>
    <xf numFmtId="169" fontId="7" fillId="3" borderId="5" xfId="20" applyFont="true" applyBorder="true" applyAlignment="true" applyProtection="false">
      <alignment horizontal="center" vertical="bottom" textRotation="0" wrapText="false" indent="0" shrinkToFit="false"/>
      <protection locked="true" hidden="false"/>
    </xf>
    <xf numFmtId="165" fontId="7" fillId="3" borderId="0" xfId="20" applyFont="true" applyBorder="true" applyAlignment="true" applyProtection="false">
      <alignment horizontal="center" vertical="bottom" textRotation="0" wrapText="false" indent="0" shrinkToFit="false"/>
      <protection locked="true" hidden="false"/>
    </xf>
    <xf numFmtId="169" fontId="7" fillId="3" borderId="0" xfId="20" applyFont="true" applyBorder="true" applyAlignment="true" applyProtection="false">
      <alignment horizontal="center" vertical="bottom" textRotation="0" wrapText="false" indent="0" shrinkToFit="false"/>
      <protection locked="true" hidden="false"/>
    </xf>
    <xf numFmtId="169" fontId="4" fillId="4" borderId="0" xfId="20" applyFont="true" applyBorder="true" applyAlignment="false" applyProtection="false">
      <alignment horizontal="general" vertical="bottom" textRotation="0" wrapText="false" indent="0" shrinkToFit="false"/>
      <protection locked="true" hidden="false"/>
    </xf>
    <xf numFmtId="165" fontId="4" fillId="4" borderId="0" xfId="20" applyFont="true" applyBorder="tru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71" fontId="0" fillId="0" borderId="0" xfId="0" applyFont="false" applyBorder="true" applyAlignment="false" applyProtection="false">
      <alignment horizontal="general" vertical="bottom" textRotation="0" wrapText="false" indent="0" shrinkToFit="false"/>
      <protection locked="true" hidden="false"/>
    </xf>
    <xf numFmtId="166" fontId="0" fillId="0" borderId="0" xfId="0" applyFont="false" applyBorder="true" applyAlignment="false" applyProtection="false">
      <alignment horizontal="general" vertical="bottom" textRotation="0" wrapText="false" indent="0" shrinkToFit="false"/>
      <protection locked="true" hidden="false"/>
    </xf>
    <xf numFmtId="168" fontId="0" fillId="0" borderId="0" xfId="0" applyFont="false" applyBorder="true" applyAlignment="false" applyProtection="false">
      <alignment horizontal="general" vertical="bottom" textRotation="0" wrapText="false" indent="0" shrinkToFit="false"/>
      <protection locked="true" hidden="false"/>
    </xf>
    <xf numFmtId="168" fontId="0" fillId="0" borderId="0" xfId="0" applyFont="false" applyBorder="true" applyAlignment="true" applyProtection="false">
      <alignment horizontal="center" vertical="bottom" textRotation="0" wrapText="false" indent="0" shrinkToFit="false"/>
      <protection locked="true" hidden="false"/>
    </xf>
    <xf numFmtId="167" fontId="0" fillId="0" borderId="0" xfId="0" applyFont="false" applyBorder="false" applyAlignment="true" applyProtection="false">
      <alignment horizontal="center"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true" applyProtection="false">
      <alignment horizontal="center" vertical="bottom" textRotation="0" wrapText="false" indent="0" shrinkToFit="false"/>
      <protection locked="true" hidden="false"/>
    </xf>
    <xf numFmtId="171" fontId="4" fillId="0" borderId="0" xfId="0" applyFont="true" applyBorder="true" applyAlignment="false" applyProtection="false">
      <alignment horizontal="general" vertical="bottom" textRotation="0" wrapText="false" indent="0" shrinkToFit="false"/>
      <protection locked="true" hidden="false"/>
    </xf>
    <xf numFmtId="166" fontId="4" fillId="0" borderId="0" xfId="0" applyFont="true" applyBorder="true" applyAlignment="false" applyProtection="false">
      <alignment horizontal="general" vertical="bottom" textRotation="0" wrapText="false" indent="0" shrinkToFit="false"/>
      <protection locked="true" hidden="false"/>
    </xf>
    <xf numFmtId="167" fontId="4" fillId="0" borderId="0" xfId="0" applyFont="true" applyBorder="false" applyAlignment="true" applyProtection="false">
      <alignment horizontal="center" vertical="bottom" textRotation="0" wrapText="false" indent="0" shrinkToFit="false"/>
      <protection locked="true" hidden="false"/>
    </xf>
    <xf numFmtId="171" fontId="13" fillId="0" borderId="0" xfId="0" applyFont="true" applyBorder="false" applyAlignment="false" applyProtection="false">
      <alignment horizontal="general" vertical="bottom" textRotation="0" wrapText="false" indent="0" shrinkToFit="false"/>
      <protection locked="true" hidden="false"/>
    </xf>
    <xf numFmtId="169" fontId="18" fillId="0" borderId="0" xfId="0" applyFont="true" applyBorder="false" applyAlignment="true" applyProtection="false">
      <alignment horizontal="left" vertical="bottom" textRotation="0" wrapText="false" indent="0" shrinkToFit="false"/>
      <protection locked="true" hidden="false"/>
    </xf>
    <xf numFmtId="169" fontId="5" fillId="0" borderId="0" xfId="0" applyFont="true" applyBorder="false" applyAlignment="true" applyProtection="false">
      <alignment horizontal="center" vertical="bottom" textRotation="0" wrapText="false" indent="0" shrinkToFit="false"/>
      <protection locked="true" hidden="false"/>
    </xf>
    <xf numFmtId="170" fontId="4" fillId="0" borderId="0" xfId="0" applyFont="true" applyBorder="false" applyAlignment="true" applyProtection="false">
      <alignment horizontal="left" vertical="bottom" textRotation="0" wrapText="false" indent="0" shrinkToFit="false"/>
      <protection locked="true" hidden="false"/>
    </xf>
    <xf numFmtId="169" fontId="18" fillId="0" borderId="0" xfId="0" applyFont="true" applyBorder="false" applyAlignment="true" applyProtection="false">
      <alignment horizontal="center" vertical="bottom" textRotation="0" wrapText="false" indent="0" shrinkToFit="false"/>
      <protection locked="true" hidden="false"/>
    </xf>
    <xf numFmtId="165" fontId="6" fillId="0" borderId="0" xfId="0" applyFont="true" applyBorder="false" applyAlignment="true" applyProtection="false">
      <alignment horizontal="center" vertical="bottom" textRotation="0" wrapText="false" indent="0" shrinkToFit="false"/>
      <protection locked="true" hidden="false"/>
    </xf>
    <xf numFmtId="173" fontId="19" fillId="0" borderId="3" xfId="0" applyFont="true" applyBorder="true" applyAlignment="true" applyProtection="false">
      <alignment horizontal="center" vertical="bottom" textRotation="0" wrapText="false" indent="0" shrinkToFit="false"/>
      <protection locked="true" hidden="false"/>
    </xf>
    <xf numFmtId="169" fontId="4" fillId="0" borderId="3" xfId="0" applyFont="true" applyBorder="true" applyAlignment="false" applyProtection="false">
      <alignment horizontal="general" vertical="bottom" textRotation="0" wrapText="false" indent="0" shrinkToFit="false"/>
      <protection locked="true" hidden="false"/>
    </xf>
    <xf numFmtId="170" fontId="4" fillId="0" borderId="3" xfId="0" applyFont="true" applyBorder="true" applyAlignment="false" applyProtection="false">
      <alignment horizontal="general" vertical="bottom" textRotation="0" wrapText="false" indent="0" shrinkToFit="false"/>
      <protection locked="true" hidden="false"/>
    </xf>
    <xf numFmtId="169" fontId="20" fillId="0" borderId="3" xfId="0" applyFont="true" applyBorder="true" applyAlignment="false" applyProtection="false">
      <alignment horizontal="general" vertical="bottom" textRotation="0" wrapText="false" indent="0" shrinkToFit="false"/>
      <protection locked="true" hidden="false"/>
    </xf>
    <xf numFmtId="165" fontId="19" fillId="0" borderId="3" xfId="0" applyFont="true" applyBorder="true" applyAlignment="true" applyProtection="false">
      <alignment horizontal="right" vertical="bottom" textRotation="0" wrapText="false" indent="0" shrinkToFit="false"/>
      <protection locked="true" hidden="false"/>
    </xf>
    <xf numFmtId="167" fontId="4" fillId="0" borderId="3" xfId="0" applyFont="true" applyBorder="true" applyAlignment="false" applyProtection="false">
      <alignment horizontal="general" vertical="bottom" textRotation="0" wrapText="false" indent="0" shrinkToFit="false"/>
      <protection locked="true" hidden="false"/>
    </xf>
    <xf numFmtId="171" fontId="4" fillId="0" borderId="3" xfId="0" applyFont="true" applyBorder="true" applyAlignment="false" applyProtection="false">
      <alignment horizontal="general" vertical="bottom" textRotation="0" wrapText="false" indent="0" shrinkToFit="false"/>
      <protection locked="true" hidden="false"/>
    </xf>
    <xf numFmtId="168" fontId="19" fillId="0" borderId="3" xfId="0" applyFont="true" applyBorder="true" applyAlignment="true" applyProtection="false">
      <alignment horizontal="center" vertical="bottom" textRotation="0" wrapText="false" indent="0" shrinkToFit="false"/>
      <protection locked="true" hidden="false"/>
    </xf>
    <xf numFmtId="167" fontId="4" fillId="0" borderId="3" xfId="0" applyFont="true" applyBorder="true" applyAlignment="true" applyProtection="false">
      <alignment horizontal="center" vertical="bottom" textRotation="0" wrapText="false" indent="0" shrinkToFit="false"/>
      <protection locked="true" hidden="false"/>
    </xf>
    <xf numFmtId="171" fontId="13" fillId="0" borderId="3" xfId="0" applyFont="true" applyBorder="true" applyAlignment="false" applyProtection="false">
      <alignment horizontal="general" vertical="bottom" textRotation="0" wrapText="false" indent="0" shrinkToFit="false"/>
      <protection locked="true" hidden="false"/>
    </xf>
    <xf numFmtId="171" fontId="0" fillId="0" borderId="3" xfId="0" applyFont="false" applyBorder="true" applyAlignment="true" applyProtection="false">
      <alignment horizontal="center" vertical="bottom" textRotation="0" wrapText="false" indent="0" shrinkToFit="false"/>
      <protection locked="true" hidden="false"/>
    </xf>
    <xf numFmtId="169" fontId="7" fillId="3" borderId="0" xfId="0" applyFont="true" applyBorder="false" applyAlignment="true" applyProtection="false">
      <alignment horizontal="center" vertical="bottom" textRotation="0" wrapText="false" indent="0" shrinkToFit="false"/>
      <protection locked="true" hidden="false"/>
    </xf>
    <xf numFmtId="170" fontId="7" fillId="3" borderId="0" xfId="0" applyFont="true" applyBorder="false" applyAlignment="true" applyProtection="false">
      <alignment horizontal="center" vertical="bottom" textRotation="0" wrapText="false" indent="0" shrinkToFit="false"/>
      <protection locked="true" hidden="false"/>
    </xf>
    <xf numFmtId="169" fontId="10" fillId="0" borderId="0" xfId="0" applyFont="true" applyBorder="false" applyAlignment="true" applyProtection="false">
      <alignment horizontal="center" vertical="bottom" textRotation="0" wrapText="false" indent="0" shrinkToFit="false"/>
      <protection locked="true" hidden="false"/>
    </xf>
    <xf numFmtId="167" fontId="7" fillId="0" borderId="0" xfId="0" applyFont="true" applyBorder="false" applyAlignment="true" applyProtection="false">
      <alignment horizontal="center" vertical="bottom" textRotation="0" wrapText="false" indent="0" shrinkToFit="false"/>
      <protection locked="true" hidden="false"/>
    </xf>
    <xf numFmtId="171" fontId="13" fillId="0" borderId="0" xfId="0" applyFont="true" applyBorder="false" applyAlignment="true" applyProtection="false">
      <alignment horizontal="center" vertical="bottom" textRotation="0" wrapText="false" indent="0" shrinkToFit="false"/>
      <protection locked="true" hidden="false"/>
    </xf>
    <xf numFmtId="169" fontId="7" fillId="0" borderId="9" xfId="0" applyFont="true" applyBorder="true" applyAlignment="true" applyProtection="false">
      <alignment horizontal="center" vertical="bottom" textRotation="0" wrapText="false" indent="0" shrinkToFit="false"/>
      <protection locked="true" hidden="false"/>
    </xf>
    <xf numFmtId="167" fontId="10" fillId="0" borderId="0" xfId="0" applyFont="true" applyBorder="false" applyAlignment="true" applyProtection="false">
      <alignment horizontal="center" vertical="bottom" textRotation="0" wrapText="false" indent="0" shrinkToFit="false"/>
      <protection locked="true" hidden="false"/>
    </xf>
    <xf numFmtId="167" fontId="4" fillId="2" borderId="10" xfId="0" applyFont="true" applyBorder="true" applyAlignment="false" applyProtection="false">
      <alignment horizontal="general" vertical="bottom" textRotation="0" wrapText="false" indent="0" shrinkToFit="false"/>
      <protection locked="true" hidden="false"/>
    </xf>
    <xf numFmtId="171" fontId="4" fillId="2" borderId="10" xfId="0" applyFont="true" applyBorder="true" applyAlignment="false" applyProtection="false">
      <alignment horizontal="general" vertical="bottom" textRotation="0" wrapText="false" indent="0" shrinkToFit="false"/>
      <protection locked="true" hidden="false"/>
    </xf>
    <xf numFmtId="171" fontId="4" fillId="2" borderId="10" xfId="0" applyFont="true" applyBorder="true" applyAlignment="true" applyProtection="false">
      <alignment horizontal="center" vertical="bottom" textRotation="0" wrapText="false" indent="0" shrinkToFit="false"/>
      <protection locked="true" hidden="false"/>
    </xf>
    <xf numFmtId="169" fontId="4" fillId="0" borderId="0" xfId="15" applyFont="true" applyBorder="true" applyAlignment="true" applyProtection="true">
      <alignment horizontal="general" vertical="bottom" textRotation="0" wrapText="false" indent="0" shrinkToFit="false"/>
      <protection locked="true" hidden="false"/>
    </xf>
    <xf numFmtId="169" fontId="4" fillId="4" borderId="0" xfId="0" applyFont="true" applyBorder="false" applyAlignment="false" applyProtection="false">
      <alignment horizontal="general" vertical="bottom" textRotation="0" wrapText="false" indent="0" shrinkToFit="false"/>
      <protection locked="true" hidden="false"/>
    </xf>
    <xf numFmtId="165" fontId="4" fillId="4" borderId="0" xfId="0" applyFont="true" applyBorder="false" applyAlignment="false" applyProtection="false">
      <alignment horizontal="general" vertical="bottom" textRotation="0" wrapText="false" indent="0" shrinkToFit="false"/>
      <protection locked="true" hidden="false"/>
    </xf>
    <xf numFmtId="171" fontId="4" fillId="0" borderId="0" xfId="0" applyFont="true" applyBorder="false" applyAlignment="true" applyProtection="false">
      <alignment horizontal="center" vertical="bottom" textRotation="0" wrapText="false" indent="0" shrinkToFit="false"/>
      <protection locked="true" hidden="false"/>
    </xf>
    <xf numFmtId="171" fontId="21" fillId="0" borderId="0" xfId="0" applyFont="true" applyBorder="false" applyAlignment="true" applyProtection="false">
      <alignment horizontal="center" vertical="bottom" textRotation="0" wrapText="false" indent="0" shrinkToFit="false"/>
      <protection locked="true" hidden="false"/>
    </xf>
    <xf numFmtId="165" fontId="4" fillId="2" borderId="11" xfId="0" applyFont="true" applyBorder="true" applyAlignment="false" applyProtection="false">
      <alignment horizontal="general" vertical="bottom" textRotation="0" wrapText="false" indent="0" shrinkToFit="false"/>
      <protection locked="true" hidden="false"/>
    </xf>
    <xf numFmtId="167" fontId="4" fillId="2" borderId="10" xfId="0" applyFont="true" applyBorder="true" applyAlignment="true" applyProtection="false">
      <alignment horizontal="center" vertical="bottom" textRotation="0" wrapText="false" indent="0" shrinkToFit="false"/>
      <protection locked="true" hidden="false"/>
    </xf>
    <xf numFmtId="171" fontId="21" fillId="2" borderId="10" xfId="0" applyFont="true" applyBorder="true" applyAlignment="false" applyProtection="false">
      <alignment horizontal="general" vertical="bottom" textRotation="0" wrapText="false" indent="0" shrinkToFit="false"/>
      <protection locked="true" hidden="false"/>
    </xf>
    <xf numFmtId="166" fontId="4" fillId="2" borderId="10" xfId="0" applyFont="true" applyBorder="true" applyAlignment="false" applyProtection="false">
      <alignment horizontal="general" vertical="bottom" textRotation="0" wrapText="false" indent="0" shrinkToFit="false"/>
      <protection locked="true" hidden="false"/>
    </xf>
    <xf numFmtId="166" fontId="4" fillId="2" borderId="12"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71" fontId="0" fillId="0" borderId="0" xfId="20" applyFont="false" applyBorder="true" applyAlignment="true" applyProtection="false">
      <alignment horizontal="center" vertical="bottom" textRotation="0" wrapText="false" indent="0" shrinkToFit="false"/>
      <protection locked="true" hidden="false"/>
    </xf>
    <xf numFmtId="173" fontId="4" fillId="0" borderId="0" xfId="20" applyFont="true" applyBorder="true" applyAlignment="false" applyProtection="false">
      <alignment horizontal="general" vertical="bottom" textRotation="0" wrapText="false" indent="0" shrinkToFit="false"/>
      <protection locked="true" hidden="false"/>
    </xf>
    <xf numFmtId="169" fontId="4" fillId="0" borderId="3" xfId="20" applyFont="true" applyBorder="true" applyAlignment="false" applyProtection="false">
      <alignment horizontal="general" vertical="bottom" textRotation="0" wrapText="false" indent="0" shrinkToFit="false"/>
      <protection locked="true" hidden="false"/>
    </xf>
    <xf numFmtId="171" fontId="4" fillId="0" borderId="3" xfId="20" applyFont="true" applyBorder="true" applyAlignment="false" applyProtection="false">
      <alignment horizontal="general" vertical="bottom" textRotation="0" wrapText="false" indent="0" shrinkToFit="false"/>
      <protection locked="true" hidden="false"/>
    </xf>
    <xf numFmtId="169" fontId="6" fillId="0" borderId="3" xfId="20" applyFont="true" applyBorder="true" applyAlignment="false" applyProtection="false">
      <alignment horizontal="general" vertical="bottom" textRotation="0" wrapText="false" indent="0" shrinkToFit="false"/>
      <protection locked="true" hidden="false"/>
    </xf>
    <xf numFmtId="169" fontId="13" fillId="0" borderId="3" xfId="20" applyFont="true" applyBorder="true" applyAlignment="false" applyProtection="false">
      <alignment horizontal="general" vertical="bottom" textRotation="0" wrapText="false" indent="0" shrinkToFit="false"/>
      <protection locked="true" hidden="false"/>
    </xf>
    <xf numFmtId="171" fontId="0" fillId="0" borderId="3" xfId="20" applyFont="false" applyBorder="true" applyAlignment="true" applyProtection="false">
      <alignment horizontal="center" vertical="bottom" textRotation="0" wrapText="false" indent="0" shrinkToFit="false"/>
      <protection locked="true" hidden="false"/>
    </xf>
    <xf numFmtId="171" fontId="7" fillId="3" borderId="0" xfId="20" applyFont="true" applyBorder="true" applyAlignment="true" applyProtection="false">
      <alignment horizontal="center" vertical="bottom" textRotation="0" wrapText="false" indent="0" shrinkToFit="false"/>
      <protection locked="true" hidden="false"/>
    </xf>
    <xf numFmtId="171" fontId="13" fillId="0" borderId="0" xfId="20" applyFont="true" applyBorder="true" applyAlignment="true" applyProtection="false">
      <alignment horizontal="center" vertical="bottom" textRotation="0" wrapText="false" indent="0" shrinkToFit="false"/>
      <protection locked="true" hidden="false"/>
    </xf>
    <xf numFmtId="171" fontId="4" fillId="0" borderId="0" xfId="20" applyFont="true" applyBorder="true" applyAlignment="true" applyProtection="false">
      <alignment horizontal="center" vertical="bottom" textRotation="0" wrapText="false" indent="0" shrinkToFit="false"/>
      <protection locked="true" hidden="false"/>
    </xf>
    <xf numFmtId="169" fontId="14" fillId="0" borderId="0" xfId="20" applyFont="true" applyBorder="true" applyAlignment="false" applyProtection="false">
      <alignment horizontal="general" vertical="bottom" textRotation="0" wrapText="false" indent="0" shrinkToFit="false"/>
      <protection locked="true" hidden="false"/>
    </xf>
    <xf numFmtId="171" fontId="14" fillId="0" borderId="0" xfId="20" applyFont="true" applyBorder="true" applyAlignment="true" applyProtection="false">
      <alignment horizontal="center" vertical="bottom" textRotation="0" wrapText="false" indent="0" shrinkToFit="false"/>
      <protection locked="true" hidden="false"/>
    </xf>
    <xf numFmtId="171" fontId="15" fillId="0" borderId="0" xfId="20" applyFont="true" applyBorder="true" applyAlignment="true" applyProtection="false">
      <alignment horizontal="center" vertical="bottom" textRotation="0" wrapText="false" indent="0" shrinkToFit="false"/>
      <protection locked="true" hidden="false"/>
    </xf>
    <xf numFmtId="165" fontId="4" fillId="0" borderId="5" xfId="20" applyFont="true" applyBorder="true" applyAlignment="false" applyProtection="false">
      <alignment horizontal="general" vertical="bottom" textRotation="0" wrapText="false" indent="0" shrinkToFit="false"/>
      <protection locked="true" hidden="false"/>
    </xf>
    <xf numFmtId="171" fontId="4" fillId="2" borderId="10" xfId="20" applyFont="true" applyBorder="true" applyAlignment="false" applyProtection="false">
      <alignment horizontal="general" vertical="bottom" textRotation="0" wrapText="false" indent="0" shrinkToFit="false"/>
      <protection locked="true" hidden="false"/>
    </xf>
    <xf numFmtId="171" fontId="4" fillId="2" borderId="10" xfId="20" applyFont="true" applyBorder="true" applyAlignment="true" applyProtection="false">
      <alignment horizontal="center" vertical="bottom" textRotation="0" wrapText="false" indent="0" shrinkToFit="false"/>
      <protection locked="true" hidden="false"/>
    </xf>
    <xf numFmtId="166" fontId="4" fillId="2" borderId="15" xfId="20" applyFont="true" applyBorder="true" applyAlignment="false" applyProtection="false">
      <alignment horizontal="general" vertical="bottom" textRotation="0" wrapText="false" indent="0" shrinkToFit="false"/>
      <protection locked="true" hidden="false"/>
    </xf>
    <xf numFmtId="169" fontId="4" fillId="2" borderId="16" xfId="20" applyFont="true" applyBorder="true" applyAlignment="false" applyProtection="false">
      <alignment horizontal="general" vertical="bottom" textRotation="0" wrapText="false" indent="0" shrinkToFit="false"/>
      <protection locked="true" hidden="false"/>
    </xf>
    <xf numFmtId="169" fontId="4" fillId="2" borderId="17" xfId="20" applyFont="true" applyBorder="true" applyAlignment="false" applyProtection="false">
      <alignment horizontal="general" vertical="bottom" textRotation="0" wrapText="false" indent="0" shrinkToFit="false"/>
      <protection locked="true" hidden="false"/>
    </xf>
    <xf numFmtId="178" fontId="4" fillId="0" borderId="0" xfId="20" applyFont="true" applyBorder="true" applyAlignment="false" applyProtection="false">
      <alignment horizontal="general" vertical="bottom" textRotation="0" wrapText="false" indent="0" shrinkToFit="false"/>
      <protection locked="true" hidden="false"/>
    </xf>
    <xf numFmtId="169" fontId="7" fillId="0" borderId="16" xfId="20" applyFont="true" applyBorder="true" applyAlignment="false" applyProtection="false">
      <alignment horizontal="general" vertical="bottom" textRotation="0" wrapText="false" indent="0" shrinkToFit="false"/>
      <protection locked="true" hidden="false"/>
    </xf>
    <xf numFmtId="165" fontId="21" fillId="0" borderId="0" xfId="15" applyFont="true" applyBorder="true" applyAlignment="true" applyProtection="true">
      <alignment horizontal="general" vertical="bottom" textRotation="0" wrapText="false" indent="0" shrinkToFit="false"/>
      <protection locked="true" hidden="false"/>
    </xf>
    <xf numFmtId="165" fontId="7" fillId="0" borderId="0" xfId="20" applyFont="true" applyBorder="true" applyAlignment="false" applyProtection="false">
      <alignment horizontal="general" vertical="bottom" textRotation="0" wrapText="false" indent="0" shrinkToFit="false"/>
      <protection locked="true" hidden="false"/>
    </xf>
    <xf numFmtId="164" fontId="7" fillId="0" borderId="0" xfId="20" applyFont="true" applyBorder="true" applyAlignment="false" applyProtection="false">
      <alignment horizontal="general" vertical="bottom" textRotation="0" wrapText="false" indent="0" shrinkToFit="false"/>
      <protection locked="true" hidden="false"/>
    </xf>
    <xf numFmtId="165" fontId="23" fillId="0" borderId="0" xfId="20" applyFont="true" applyBorder="true" applyAlignment="false" applyProtection="false">
      <alignment horizontal="general" vertical="bottom" textRotation="0" wrapText="false" indent="0" shrinkToFit="false"/>
      <protection locked="true" hidden="false"/>
    </xf>
    <xf numFmtId="171" fontId="10" fillId="0" borderId="0" xfId="20" applyFont="true" applyBorder="true" applyAlignment="false" applyProtection="false">
      <alignment horizontal="general" vertical="bottom" textRotation="0" wrapText="false" indent="0" shrinkToFit="false"/>
      <protection locked="true" hidden="false"/>
    </xf>
    <xf numFmtId="176" fontId="24" fillId="0" borderId="0" xfId="20" applyFont="true" applyBorder="true" applyAlignment="false" applyProtection="false">
      <alignment horizontal="general" vertical="bottom" textRotation="0" wrapText="false" indent="0" shrinkToFit="false"/>
      <protection locked="true" hidden="false"/>
    </xf>
    <xf numFmtId="171" fontId="24" fillId="0" borderId="0" xfId="20" applyFont="true" applyBorder="true" applyAlignment="false" applyProtection="false">
      <alignment horizontal="general" vertical="bottom" textRotation="0" wrapText="false" indent="0" shrinkToFit="false"/>
      <protection locked="true" hidden="false"/>
    </xf>
    <xf numFmtId="165" fontId="24" fillId="0" borderId="0" xfId="20" applyFont="true" applyBorder="true" applyAlignment="false" applyProtection="false">
      <alignment horizontal="general" vertical="bottom" textRotation="0" wrapText="false" indent="0" shrinkToFit="false"/>
      <protection locked="true" hidden="false"/>
    </xf>
    <xf numFmtId="169" fontId="13" fillId="0" borderId="0" xfId="0" applyFont="true" applyBorder="false" applyAlignment="false" applyProtection="false">
      <alignment horizontal="general" vertical="bottom" textRotation="0" wrapText="false" indent="0" shrinkToFit="false"/>
      <protection locked="true" hidden="false"/>
    </xf>
    <xf numFmtId="169" fontId="18" fillId="0" borderId="0" xfId="0" applyFont="true" applyBorder="true" applyAlignment="true" applyProtection="false">
      <alignment horizontal="center" vertical="bottom" textRotation="0" wrapText="false" indent="0" shrinkToFit="false"/>
      <protection locked="true" hidden="false"/>
    </xf>
    <xf numFmtId="167" fontId="4" fillId="0" borderId="1" xfId="0" applyFont="true" applyBorder="true" applyAlignment="false" applyProtection="false">
      <alignment horizontal="general" vertical="bottom" textRotation="0" wrapText="false" indent="0" shrinkToFit="false"/>
      <protection locked="true" hidden="false"/>
    </xf>
    <xf numFmtId="169" fontId="13" fillId="0" borderId="1" xfId="0" applyFont="true" applyBorder="true" applyAlignment="false" applyProtection="false">
      <alignment horizontal="general" vertical="bottom" textRotation="0" wrapText="false" indent="0" shrinkToFit="false"/>
      <protection locked="true" hidden="false"/>
    </xf>
    <xf numFmtId="173" fontId="6" fillId="0" borderId="3" xfId="0" applyFont="true" applyBorder="true" applyAlignment="true" applyProtection="false">
      <alignment horizontal="center" vertical="bottom" textRotation="0" wrapText="false" indent="0" shrinkToFit="false"/>
      <protection locked="true" hidden="false"/>
    </xf>
    <xf numFmtId="167" fontId="7" fillId="3" borderId="0" xfId="0" applyFont="true" applyBorder="false" applyAlignment="true" applyProtection="false">
      <alignment horizontal="center" vertical="bottom" textRotation="0" wrapText="false" indent="0" shrinkToFit="false"/>
      <protection locked="true" hidden="false"/>
    </xf>
    <xf numFmtId="169" fontId="13" fillId="0" borderId="0" xfId="0" applyFont="true" applyBorder="false" applyAlignment="true" applyProtection="false">
      <alignment horizontal="center" vertical="bottom" textRotation="0" wrapText="false" indent="0" shrinkToFit="false"/>
      <protection locked="true" hidden="false"/>
    </xf>
    <xf numFmtId="171" fontId="11" fillId="0" borderId="0" xfId="0" applyFont="true" applyBorder="false" applyAlignment="true" applyProtection="false">
      <alignment horizontal="center" vertical="bottom" textRotation="0" wrapText="false" indent="0" shrinkToFit="false"/>
      <protection locked="true" hidden="false"/>
    </xf>
    <xf numFmtId="167" fontId="7" fillId="0" borderId="0" xfId="0" applyFont="true" applyBorder="true" applyAlignment="true" applyProtection="false">
      <alignment horizontal="center" vertical="bottom" textRotation="0" wrapText="false" indent="0" shrinkToFit="false"/>
      <protection locked="true" hidden="false"/>
    </xf>
    <xf numFmtId="167" fontId="4" fillId="0" borderId="0" xfId="0" applyFont="true" applyBorder="true" applyAlignment="true" applyProtection="false">
      <alignment horizontal="center" vertical="bottom" textRotation="0" wrapText="false" indent="0" shrinkToFit="false"/>
      <protection locked="true" hidden="false"/>
    </xf>
    <xf numFmtId="171" fontId="14" fillId="0" borderId="0" xfId="0" applyFont="true" applyBorder="false" applyAlignment="true" applyProtection="false">
      <alignment horizontal="center" vertical="bottom" textRotation="0" wrapText="false" indent="0" shrinkToFit="false"/>
      <protection locked="true" hidden="false"/>
    </xf>
    <xf numFmtId="171" fontId="15" fillId="0" borderId="0" xfId="0" applyFont="true" applyBorder="false" applyAlignment="true" applyProtection="false">
      <alignment horizontal="center" vertical="bottom" textRotation="0" wrapText="false" indent="0" shrinkToFit="false"/>
      <protection locked="true" hidden="false"/>
    </xf>
    <xf numFmtId="167" fontId="4" fillId="0" borderId="0" xfId="0" applyFont="true" applyBorder="true" applyAlignment="false" applyProtection="false">
      <alignment horizontal="general" vertical="bottom" textRotation="0" wrapText="false" indent="0" shrinkToFit="false"/>
      <protection locked="true" hidden="false"/>
    </xf>
    <xf numFmtId="165" fontId="13" fillId="0" borderId="0" xfId="0" applyFont="true" applyBorder="false" applyAlignment="false" applyProtection="false">
      <alignment horizontal="general" vertical="bottom" textRotation="0" wrapText="false" indent="0" shrinkToFit="false"/>
      <protection locked="true" hidden="false"/>
    </xf>
    <xf numFmtId="169" fontId="15" fillId="0" borderId="0" xfId="0" applyFont="true" applyBorder="false" applyAlignment="false" applyProtection="false">
      <alignment horizontal="general" vertical="bottom" textRotation="0" wrapText="false" indent="0" shrinkToFit="false"/>
      <protection locked="true" hidden="false"/>
    </xf>
    <xf numFmtId="167" fontId="21" fillId="0" borderId="0" xfId="0" applyFont="true" applyBorder="false" applyAlignment="false" applyProtection="false">
      <alignment horizontal="general" vertical="bottom" textRotation="0" wrapText="false" indent="0" shrinkToFit="false"/>
      <protection locked="true" hidden="false"/>
    </xf>
    <xf numFmtId="169" fontId="4" fillId="2" borderId="16" xfId="0" applyFont="true" applyBorder="true" applyAlignment="false" applyProtection="false">
      <alignment horizontal="general" vertical="bottom" textRotation="0" wrapText="false" indent="0" shrinkToFit="false"/>
      <protection locked="true" hidden="false"/>
    </xf>
    <xf numFmtId="165" fontId="10" fillId="0" borderId="16"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9" fontId="7" fillId="0" borderId="0" xfId="20" applyFont="true" applyBorder="true" applyAlignment="false" applyProtection="false">
      <alignment horizontal="general" vertical="bottom" textRotation="0" wrapText="false" indent="0" shrinkToFit="false"/>
      <protection locked="true" hidden="false"/>
    </xf>
    <xf numFmtId="164" fontId="0" fillId="0" borderId="0" xfId="0" applyFont="true" applyBorder="true" applyAlignment="false" applyProtection="false">
      <alignment horizontal="general" vertical="bottom" textRotation="0" wrapText="false" indent="0" shrinkToFit="false"/>
      <protection locked="true" hidden="false"/>
    </xf>
    <xf numFmtId="165" fontId="10" fillId="0" borderId="0" xfId="0" applyFont="true" applyBorder="true" applyAlignment="false" applyProtection="false">
      <alignment horizontal="general" vertical="bottom" textRotation="0" wrapText="false" indent="0" shrinkToFit="false"/>
      <protection locked="true" hidden="false"/>
    </xf>
    <xf numFmtId="167" fontId="21" fillId="0" borderId="0" xfId="15" applyFont="true" applyBorder="true" applyAlignment="true" applyProtection="tru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71" fontId="21" fillId="0" borderId="0" xfId="20" applyFont="true" applyBorder="true" applyAlignment="true" applyProtection="false">
      <alignment horizontal="center" vertical="bottom" textRotation="0" wrapText="false" indent="0" shrinkToFit="false"/>
      <protection locked="true" hidden="false"/>
    </xf>
    <xf numFmtId="167" fontId="13" fillId="0" borderId="0" xfId="0" applyFont="true" applyBorder="false" applyAlignment="false" applyProtection="false">
      <alignment horizontal="general" vertical="bottom" textRotation="0" wrapText="false" indent="0" shrinkToFit="false"/>
      <protection locked="true" hidden="false"/>
    </xf>
    <xf numFmtId="167" fontId="13" fillId="0" borderId="1" xfId="0" applyFont="true" applyBorder="true" applyAlignment="false" applyProtection="false">
      <alignment horizontal="general" vertical="bottom" textRotation="0" wrapText="false" indent="0" shrinkToFit="false"/>
      <protection locked="true" hidden="false"/>
    </xf>
    <xf numFmtId="171" fontId="21" fillId="0" borderId="3" xfId="20" applyFont="true" applyBorder="true" applyAlignment="true" applyProtection="false">
      <alignment horizontal="center" vertical="bottom" textRotation="0" wrapText="false" indent="0" shrinkToFit="false"/>
      <protection locked="true" hidden="false"/>
    </xf>
    <xf numFmtId="167" fontId="0" fillId="0" borderId="3" xfId="0" applyFont="false" applyBorder="true" applyAlignment="true" applyProtection="false">
      <alignment horizontal="center" vertical="bottom" textRotation="0" wrapText="false" indent="0" shrinkToFit="false"/>
      <protection locked="true" hidden="false"/>
    </xf>
    <xf numFmtId="167" fontId="7" fillId="3" borderId="0" xfId="20" applyFont="true" applyBorder="true" applyAlignment="true" applyProtection="false">
      <alignment horizontal="center" vertical="bottom" textRotation="0" wrapText="false" indent="0" shrinkToFit="false"/>
      <protection locked="true" hidden="false"/>
    </xf>
    <xf numFmtId="171" fontId="7" fillId="0" borderId="5" xfId="20" applyFont="true" applyBorder="true" applyAlignment="true" applyProtection="false">
      <alignment horizontal="center" vertical="bottom" textRotation="0" wrapText="false" indent="0" shrinkToFit="false"/>
      <protection locked="true" hidden="false"/>
    </xf>
    <xf numFmtId="171" fontId="10" fillId="0" borderId="0" xfId="20" applyFont="true" applyBorder="true" applyAlignment="true" applyProtection="false">
      <alignment horizontal="center" vertical="bottom" textRotation="0" wrapText="false" indent="0" shrinkToFit="false"/>
      <protection locked="true" hidden="false"/>
    </xf>
    <xf numFmtId="167" fontId="11" fillId="0" borderId="0" xfId="0" applyFont="true" applyBorder="false" applyAlignment="true" applyProtection="false">
      <alignment horizontal="center" vertical="bottom" textRotation="0" wrapText="false" indent="0" shrinkToFit="false"/>
      <protection locked="true" hidden="false"/>
    </xf>
    <xf numFmtId="171" fontId="7" fillId="0" borderId="5" xfId="20" applyFont="true" applyBorder="true" applyAlignment="false" applyProtection="false">
      <alignment horizontal="general" vertical="bottom" textRotation="0" wrapText="false" indent="0" shrinkToFit="false"/>
      <protection locked="true" hidden="false"/>
    </xf>
    <xf numFmtId="169" fontId="10" fillId="0" borderId="0" xfId="20" applyFont="true" applyBorder="true" applyAlignment="true" applyProtection="false">
      <alignment horizontal="center" vertical="bottom" textRotation="0" wrapText="false" indent="0" shrinkToFit="false"/>
      <protection locked="true" hidden="false"/>
    </xf>
    <xf numFmtId="171" fontId="4" fillId="0" borderId="5" xfId="20" applyFont="true" applyBorder="true" applyAlignment="false" applyProtection="false">
      <alignment horizontal="general" vertical="bottom" textRotation="0" wrapText="false" indent="0" shrinkToFit="false"/>
      <protection locked="true" hidden="false"/>
    </xf>
    <xf numFmtId="167" fontId="14" fillId="0" borderId="0" xfId="0" applyFont="true" applyBorder="false" applyAlignment="true" applyProtection="false">
      <alignment horizontal="center" vertical="bottom" textRotation="0" wrapText="false" indent="0" shrinkToFit="false"/>
      <protection locked="true" hidden="false"/>
    </xf>
    <xf numFmtId="167" fontId="15" fillId="0" borderId="0" xfId="20" applyFont="true" applyBorder="true" applyAlignment="false" applyProtection="false">
      <alignment horizontal="general" vertical="bottom" textRotation="0" wrapText="false" indent="0" shrinkToFit="false"/>
      <protection locked="true" hidden="false"/>
    </xf>
    <xf numFmtId="167" fontId="15" fillId="0" borderId="0" xfId="0" applyFont="true" applyBorder="false" applyAlignment="true" applyProtection="false">
      <alignment horizontal="center" vertical="bottom" textRotation="0" wrapText="false" indent="0" shrinkToFit="false"/>
      <protection locked="true" hidden="false"/>
    </xf>
    <xf numFmtId="167" fontId="4" fillId="0" borderId="5" xfId="20" applyFont="true" applyBorder="true" applyAlignment="false" applyProtection="false">
      <alignment horizontal="general" vertical="bottom" textRotation="0" wrapText="false" indent="0" shrinkToFit="false"/>
      <protection locked="true" hidden="false"/>
    </xf>
    <xf numFmtId="171" fontId="4" fillId="2" borderId="11" xfId="20" applyFont="true" applyBorder="true" applyAlignment="false" applyProtection="false">
      <alignment horizontal="general" vertical="bottom" textRotation="0" wrapText="false" indent="0" shrinkToFit="false"/>
      <protection locked="true" hidden="false"/>
    </xf>
    <xf numFmtId="171" fontId="21" fillId="2" borderId="10" xfId="20" applyFont="true" applyBorder="true" applyAlignment="true" applyProtection="false">
      <alignment horizontal="center" vertical="bottom" textRotation="0" wrapText="false" indent="0" shrinkToFit="false"/>
      <protection locked="true" hidden="false"/>
    </xf>
    <xf numFmtId="167" fontId="21" fillId="2" borderId="10" xfId="20" applyFont="true" applyBorder="true" applyAlignment="true" applyProtection="false">
      <alignment horizontal="center" vertical="bottom" textRotation="0" wrapText="false" indent="0" shrinkToFit="false"/>
      <protection locked="true" hidden="false"/>
    </xf>
    <xf numFmtId="169" fontId="21" fillId="0" borderId="18" xfId="20" applyFont="true" applyBorder="true" applyAlignment="true" applyProtection="false">
      <alignment horizontal="center" vertical="bottom" textRotation="0" wrapText="false" indent="0" shrinkToFit="false"/>
      <protection locked="true" hidden="false"/>
    </xf>
    <xf numFmtId="167" fontId="15" fillId="0" borderId="0" xfId="20" applyFont="true" applyBorder="true" applyAlignment="true" applyProtection="false">
      <alignment horizontal="center" vertical="bottom" textRotation="0" wrapText="false" indent="0" shrinkToFit="false"/>
      <protection locked="true" hidden="false"/>
    </xf>
    <xf numFmtId="167" fontId="21" fillId="0" borderId="18" xfId="20" applyFont="true" applyBorder="true" applyAlignment="true" applyProtection="false">
      <alignment horizontal="center" vertical="bottom" textRotation="0" wrapText="false" indent="0" shrinkToFit="false"/>
      <protection locked="true" hidden="false"/>
    </xf>
    <xf numFmtId="167" fontId="21" fillId="0" borderId="0" xfId="20" applyFont="true" applyBorder="true" applyAlignment="true" applyProtection="false">
      <alignment horizontal="center" vertical="bottom" textRotation="0" wrapText="false" indent="0" shrinkToFit="false"/>
      <protection locked="true" hidden="false"/>
    </xf>
    <xf numFmtId="167" fontId="21" fillId="2" borderId="10" xfId="20" applyFont="true" applyBorder="true" applyAlignment="false" applyProtection="false">
      <alignment horizontal="general" vertical="bottom" textRotation="0" wrapText="false" indent="0" shrinkToFit="false"/>
      <protection locked="true" hidden="false"/>
    </xf>
    <xf numFmtId="170" fontId="0" fillId="0" borderId="0" xfId="20" applyFont="false" applyBorder="true" applyAlignment="false" applyProtection="false">
      <alignment horizontal="general" vertical="bottom" textRotation="0" wrapText="false" indent="0" shrinkToFit="false"/>
      <protection locked="true" hidden="false"/>
    </xf>
    <xf numFmtId="164" fontId="21" fillId="0" borderId="0" xfId="20" applyFont="true" applyBorder="true" applyAlignment="false" applyProtection="false">
      <alignment horizontal="general" vertical="bottom" textRotation="0" wrapText="false" indent="0" shrinkToFit="false"/>
      <protection locked="true" hidden="false"/>
    </xf>
    <xf numFmtId="169" fontId="13" fillId="0" borderId="1" xfId="20" applyFont="true" applyBorder="true" applyAlignment="true" applyProtection="false">
      <alignment horizontal="center" vertical="bottom" textRotation="0" wrapText="false" indent="0" shrinkToFit="false"/>
      <protection locked="true" hidden="false"/>
    </xf>
    <xf numFmtId="171" fontId="0" fillId="0" borderId="1" xfId="20" applyFont="false" applyBorder="true" applyAlignment="false" applyProtection="false">
      <alignment horizontal="general" vertical="bottom" textRotation="0" wrapText="false" indent="0" shrinkToFit="false"/>
      <protection locked="true" hidden="false"/>
    </xf>
    <xf numFmtId="167" fontId="21" fillId="0" borderId="1" xfId="20" applyFont="true" applyBorder="true" applyAlignment="true" applyProtection="false">
      <alignment horizontal="center" vertical="bottom" textRotation="0" wrapText="false" indent="0" shrinkToFit="false"/>
      <protection locked="true" hidden="false"/>
    </xf>
    <xf numFmtId="171" fontId="26" fillId="0" borderId="0" xfId="20" applyFont="true" applyBorder="true" applyAlignment="true" applyProtection="false">
      <alignment horizontal="center" vertical="bottom" textRotation="0" wrapText="false" indent="0" shrinkToFit="false"/>
      <protection locked="true" hidden="false"/>
    </xf>
    <xf numFmtId="171" fontId="7" fillId="0" borderId="0" xfId="20" applyFont="true" applyBorder="true" applyAlignment="true" applyProtection="false">
      <alignment horizontal="center" vertical="bottom" textRotation="0" wrapText="false" indent="0" shrinkToFit="false"/>
      <protection locked="true" hidden="false"/>
    </xf>
    <xf numFmtId="165" fontId="21" fillId="0" borderId="0" xfId="20" applyFont="true" applyBorder="true" applyAlignment="true" applyProtection="false">
      <alignment horizontal="center" vertical="bottom" textRotation="0" wrapText="false" indent="0" shrinkToFit="false"/>
      <protection locked="true" hidden="false"/>
    </xf>
    <xf numFmtId="171" fontId="10" fillId="0" borderId="9" xfId="20" applyFont="true" applyBorder="true" applyAlignment="true" applyProtection="false">
      <alignment horizontal="center" vertical="bottom" textRotation="0" wrapText="false" indent="0" shrinkToFit="false"/>
      <protection locked="true" hidden="false"/>
    </xf>
    <xf numFmtId="165" fontId="27" fillId="0" borderId="0" xfId="20" applyFont="true" applyBorder="true" applyAlignment="true" applyProtection="false">
      <alignment horizontal="center" vertical="bottom" textRotation="0" wrapText="false" indent="0" shrinkToFit="false"/>
      <protection locked="true" hidden="false"/>
    </xf>
    <xf numFmtId="169" fontId="15" fillId="0" borderId="0" xfId="20" applyFont="true" applyBorder="true" applyAlignment="true" applyProtection="false">
      <alignment horizontal="center" vertical="bottom" textRotation="0" wrapText="false" indent="0" shrinkToFit="false"/>
      <protection locked="true" hidden="false"/>
    </xf>
    <xf numFmtId="171" fontId="15" fillId="0" borderId="0" xfId="20" applyFont="true" applyBorder="true" applyAlignment="false" applyProtection="false">
      <alignment horizontal="general" vertical="bottom" textRotation="0" wrapText="false" indent="0" shrinkToFit="false"/>
      <protection locked="true" hidden="false"/>
    </xf>
    <xf numFmtId="165" fontId="15" fillId="0" borderId="0" xfId="20" applyFont="true" applyBorder="true" applyAlignment="true" applyProtection="false">
      <alignment horizontal="center" vertical="bottom" textRotation="0" wrapText="false" indent="0" shrinkToFit="false"/>
      <protection locked="true" hidden="false"/>
    </xf>
    <xf numFmtId="167" fontId="21" fillId="0" borderId="0" xfId="0" applyFont="true" applyBorder="false" applyAlignment="true" applyProtection="false">
      <alignment horizontal="center" vertical="bottom" textRotation="0" wrapText="false" indent="0" shrinkToFit="false"/>
      <protection locked="true" hidden="false"/>
    </xf>
    <xf numFmtId="168" fontId="4" fillId="0" borderId="9" xfId="20" applyFont="true" applyBorder="true" applyAlignment="false" applyProtection="false">
      <alignment horizontal="general" vertical="bottom" textRotation="0" wrapText="false" indent="0" shrinkToFit="false"/>
      <protection locked="true" hidden="false"/>
    </xf>
    <xf numFmtId="168" fontId="4" fillId="2" borderId="14" xfId="20" applyFont="true" applyBorder="true" applyAlignment="false" applyProtection="false">
      <alignment horizontal="general" vertical="bottom" textRotation="0" wrapText="false" indent="0" shrinkToFit="false"/>
      <protection locked="true" hidden="false"/>
    </xf>
    <xf numFmtId="165" fontId="4" fillId="2" borderId="10" xfId="20" applyFont="true" applyBorder="true" applyAlignment="true" applyProtection="false">
      <alignment horizontal="center" vertical="bottom" textRotation="0" wrapText="false" indent="0" shrinkToFit="false"/>
      <protection locked="true" hidden="false"/>
    </xf>
    <xf numFmtId="166" fontId="4" fillId="2" borderId="10" xfId="20" applyFont="true" applyBorder="true" applyAlignment="true" applyProtection="false">
      <alignment horizontal="center" vertical="bottom" textRotation="0" wrapText="false" indent="0" shrinkToFit="false"/>
      <protection locked="true" hidden="false"/>
    </xf>
    <xf numFmtId="168" fontId="4" fillId="0" borderId="19" xfId="20" applyFont="true" applyBorder="true" applyAlignment="false" applyProtection="false">
      <alignment horizontal="general" vertical="bottom" textRotation="0" wrapText="false" indent="0" shrinkToFit="false"/>
      <protection locked="true" hidden="false"/>
    </xf>
    <xf numFmtId="169" fontId="4" fillId="2" borderId="10" xfId="20" applyFont="true" applyBorder="true" applyAlignment="true" applyProtection="false">
      <alignment horizontal="center" vertical="bottom" textRotation="0" wrapText="false" indent="0" shrinkToFit="false"/>
      <protection locked="true" hidden="false"/>
    </xf>
    <xf numFmtId="169" fontId="24" fillId="0" borderId="0" xfId="20" applyFont="true" applyBorder="true" applyAlignment="false" applyProtection="false">
      <alignment horizontal="general" vertical="bottom" textRotation="0" wrapText="false" indent="0" shrinkToFit="false"/>
      <protection locked="true" hidden="false"/>
    </xf>
    <xf numFmtId="171" fontId="13" fillId="0" borderId="0" xfId="20" applyFont="true" applyBorder="true" applyAlignment="false" applyProtection="false">
      <alignment horizontal="general" vertical="bottom" textRotation="0" wrapText="false" indent="0" shrinkToFit="false"/>
      <protection locked="true" hidden="false"/>
    </xf>
    <xf numFmtId="165" fontId="6" fillId="0" borderId="0" xfId="20" applyFont="true" applyBorder="true" applyAlignment="false" applyProtection="false">
      <alignment horizontal="general" vertical="bottom" textRotation="0" wrapText="false" indent="0" shrinkToFit="false"/>
      <protection locked="true" hidden="false"/>
    </xf>
    <xf numFmtId="165" fontId="21" fillId="0" borderId="0" xfId="0" applyFont="true" applyBorder="false" applyAlignment="false" applyProtection="false">
      <alignment horizontal="general" vertical="bottom" textRotation="0" wrapText="false" indent="0" shrinkToFit="false"/>
      <protection locked="true" hidden="false"/>
    </xf>
    <xf numFmtId="168" fontId="4" fillId="0" borderId="0" xfId="20" applyFont="true" applyBorder="true" applyAlignment="true" applyProtection="false">
      <alignment horizontal="left" vertical="bottom" textRotation="0" wrapText="false" indent="0" shrinkToFit="false"/>
      <protection locked="true" hidden="false"/>
    </xf>
    <xf numFmtId="171" fontId="21" fillId="0" borderId="0" xfId="15" applyFont="true" applyBorder="true" applyAlignment="true" applyProtection="true">
      <alignment horizontal="general" vertical="bottom" textRotation="0" wrapText="false" indent="0" shrinkToFit="false"/>
      <protection locked="true" hidden="false"/>
    </xf>
    <xf numFmtId="164" fontId="13" fillId="0" borderId="0" xfId="20" applyFont="true" applyBorder="true" applyAlignment="true" applyProtection="false">
      <alignment horizontal="center" vertical="bottom" textRotation="0" wrapText="false" indent="0" shrinkToFit="false"/>
      <protection locked="true" hidden="false"/>
    </xf>
    <xf numFmtId="164" fontId="0" fillId="0" borderId="0" xfId="20" applyFont="true" applyBorder="true" applyAlignment="false" applyProtection="false">
      <alignment horizontal="general" vertical="bottom" textRotation="0" wrapText="false" indent="0" shrinkToFit="false"/>
      <protection locked="true" hidden="false"/>
    </xf>
    <xf numFmtId="164" fontId="11" fillId="0" borderId="0" xfId="20" applyFont="true" applyBorder="true" applyAlignment="false" applyProtection="false">
      <alignment horizontal="general" vertical="bottom" textRotation="0" wrapText="false" indent="0" shrinkToFit="false"/>
      <protection locked="true" hidden="false"/>
    </xf>
    <xf numFmtId="164" fontId="0" fillId="0" borderId="0" xfId="20" applyFont="false" applyBorder="true" applyAlignment="true" applyProtection="false">
      <alignment horizontal="center" vertical="bottom" textRotation="0" wrapText="false" indent="0" shrinkToFit="false"/>
      <protection locked="true" hidden="false"/>
    </xf>
    <xf numFmtId="167" fontId="0" fillId="0" borderId="1" xfId="20" applyFont="false" applyBorder="true" applyAlignment="true" applyProtection="false">
      <alignment horizontal="center" vertical="bottom" textRotation="0" wrapText="false" indent="0" shrinkToFit="false"/>
      <protection locked="true" hidden="false"/>
    </xf>
    <xf numFmtId="164" fontId="0" fillId="0" borderId="1" xfId="20" applyFont="false" applyBorder="true" applyAlignment="true" applyProtection="false">
      <alignment horizontal="center" vertical="bottom" textRotation="0" wrapText="false" indent="0" shrinkToFit="false"/>
      <protection locked="true" hidden="false"/>
    </xf>
    <xf numFmtId="167" fontId="26" fillId="0" borderId="0" xfId="20" applyFont="true" applyBorder="true" applyAlignment="true" applyProtection="false">
      <alignment horizontal="center" vertical="bottom" textRotation="0" wrapText="false" indent="0" shrinkToFit="false"/>
      <protection locked="true" hidden="false"/>
    </xf>
    <xf numFmtId="167" fontId="13" fillId="0" borderId="0" xfId="0" applyFont="true" applyBorder="false" applyAlignment="true" applyProtection="false">
      <alignment horizontal="center" vertical="bottom" textRotation="0" wrapText="false" indent="0" shrinkToFit="false"/>
      <protection locked="true" hidden="false"/>
    </xf>
    <xf numFmtId="167" fontId="13" fillId="0" borderId="0" xfId="20" applyFont="true" applyBorder="true" applyAlignment="true" applyProtection="false">
      <alignment horizontal="center" vertical="bottom" textRotation="0" wrapText="false" indent="0" shrinkToFit="false"/>
      <protection locked="true" hidden="false"/>
    </xf>
    <xf numFmtId="179" fontId="4" fillId="0" borderId="0" xfId="20" applyFont="true" applyBorder="true" applyAlignment="true" applyProtection="false">
      <alignment horizontal="center" vertical="bottom" textRotation="0" wrapText="false" indent="0" shrinkToFit="false"/>
      <protection locked="true" hidden="false"/>
    </xf>
    <xf numFmtId="167" fontId="14" fillId="0" borderId="0" xfId="20" applyFont="true" applyBorder="true" applyAlignment="false" applyProtection="false">
      <alignment horizontal="general" vertical="bottom" textRotation="0" wrapText="false" indent="0" shrinkToFit="false"/>
      <protection locked="true" hidden="false"/>
    </xf>
    <xf numFmtId="167" fontId="14" fillId="0" borderId="0" xfId="20" applyFont="true" applyBorder="true" applyAlignment="true" applyProtection="false">
      <alignment horizontal="center" vertical="bottom" textRotation="0" wrapText="false" indent="0" shrinkToFit="false"/>
      <protection locked="true" hidden="false"/>
    </xf>
    <xf numFmtId="180" fontId="4" fillId="0" borderId="0" xfId="20" applyFont="true" applyBorder="true" applyAlignment="false" applyProtection="false">
      <alignment horizontal="general"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71" fontId="0" fillId="0" borderId="0" xfId="20" applyFont="true" applyBorder="true" applyAlignment="false" applyProtection="false">
      <alignment horizontal="general" vertical="bottom" textRotation="0" wrapText="false" indent="0" shrinkToFit="false"/>
      <protection locked="true" hidden="false"/>
    </xf>
    <xf numFmtId="181" fontId="0" fillId="0" borderId="0" xfId="20" applyFont="false" applyBorder="true" applyAlignment="true" applyProtection="false">
      <alignment horizontal="center" vertical="bottom" textRotation="0" wrapText="false" indent="0" shrinkToFit="false"/>
      <protection locked="true" hidden="false"/>
    </xf>
    <xf numFmtId="181" fontId="4" fillId="0" borderId="0" xfId="20" applyFont="true" applyBorder="true" applyAlignment="true" applyProtection="false">
      <alignment horizontal="center" vertical="bottom" textRotation="0" wrapText="false" indent="0" shrinkToFit="false"/>
      <protection locked="true" hidden="false"/>
    </xf>
    <xf numFmtId="181" fontId="4" fillId="0" borderId="1" xfId="20" applyFont="true" applyBorder="true" applyAlignment="true" applyProtection="false">
      <alignment horizontal="center" vertical="bottom" textRotation="0" wrapText="false" indent="0" shrinkToFit="false"/>
      <protection locked="true" hidden="false"/>
    </xf>
    <xf numFmtId="167" fontId="0" fillId="0" borderId="1" xfId="20" applyFont="false" applyBorder="true" applyAlignment="false" applyProtection="false">
      <alignment horizontal="general" vertical="bottom" textRotation="0" wrapText="false" indent="0" shrinkToFit="false"/>
      <protection locked="true" hidden="false"/>
    </xf>
    <xf numFmtId="168" fontId="4" fillId="0" borderId="2" xfId="20" applyFont="true" applyBorder="true" applyAlignment="false" applyProtection="false">
      <alignment horizontal="general" vertical="bottom" textRotation="0" wrapText="false" indent="0" shrinkToFit="false"/>
      <protection locked="true" hidden="false"/>
    </xf>
    <xf numFmtId="181" fontId="7" fillId="0" borderId="0" xfId="20" applyFont="true" applyBorder="true" applyAlignment="true" applyProtection="false">
      <alignment horizontal="center" vertical="bottom" textRotation="0" wrapText="false" indent="0" shrinkToFit="false"/>
      <protection locked="true" hidden="false"/>
    </xf>
    <xf numFmtId="169" fontId="10" fillId="0" borderId="9" xfId="20" applyFont="true" applyBorder="true" applyAlignment="true" applyProtection="false">
      <alignment horizontal="center" vertical="bottom" textRotation="0" wrapText="false" indent="0" shrinkToFit="false"/>
      <protection locked="true" hidden="false"/>
    </xf>
    <xf numFmtId="182" fontId="4" fillId="0" borderId="0" xfId="20" applyFont="true" applyBorder="true" applyAlignment="true" applyProtection="false">
      <alignment horizontal="center" vertical="bottom" textRotation="0" wrapText="false" indent="0" shrinkToFit="false"/>
      <protection locked="true" hidden="false"/>
    </xf>
    <xf numFmtId="181" fontId="4" fillId="2" borderId="10" xfId="20" applyFont="true" applyBorder="true" applyAlignment="true" applyProtection="false">
      <alignment horizontal="center" vertical="bottom" textRotation="0" wrapText="false" indent="0" shrinkToFit="false"/>
      <protection locked="true" hidden="false"/>
    </xf>
    <xf numFmtId="174" fontId="4" fillId="0" borderId="0" xfId="0" applyFont="true" applyBorder="true" applyAlignment="false" applyProtection="false">
      <alignment horizontal="general" vertical="bottom" textRotation="0" wrapText="false" indent="0" shrinkToFit="false"/>
      <protection locked="true" hidden="false"/>
    </xf>
    <xf numFmtId="174" fontId="4" fillId="0" borderId="9" xfId="0" applyFont="true" applyBorder="true" applyAlignment="false" applyProtection="false">
      <alignment horizontal="general" vertical="bottom" textRotation="0" wrapText="false" indent="0" shrinkToFit="false"/>
      <protection locked="true" hidden="false"/>
    </xf>
    <xf numFmtId="169" fontId="0" fillId="0" borderId="0" xfId="20" applyFont="false" applyBorder="true" applyAlignment="false" applyProtection="false">
      <alignment horizontal="general" vertical="bottom" textRotation="0" wrapText="false" indent="0" shrinkToFit="false"/>
      <protection locked="true" hidden="false"/>
    </xf>
    <xf numFmtId="182" fontId="4" fillId="2" borderId="10" xfId="20" applyFont="true" applyBorder="true" applyAlignment="true" applyProtection="false">
      <alignment horizontal="center" vertical="bottom" textRotation="0" wrapText="false" indent="0" shrinkToFit="false"/>
      <protection locked="true" hidden="false"/>
    </xf>
    <xf numFmtId="171" fontId="4" fillId="2" borderId="12" xfId="20" applyFont="true" applyBorder="true" applyAlignment="false" applyProtection="false">
      <alignment horizontal="general" vertical="bottom" textRotation="0" wrapText="false" indent="0" shrinkToFit="false"/>
      <protection locked="true" hidden="false"/>
    </xf>
    <xf numFmtId="165" fontId="4" fillId="0" borderId="19" xfId="20" applyFont="true" applyBorder="true" applyAlignment="false" applyProtection="false">
      <alignment horizontal="general" vertical="bottom" textRotation="0" wrapText="false" indent="0" shrinkToFit="false"/>
      <protection locked="true" hidden="false"/>
    </xf>
    <xf numFmtId="170" fontId="0" fillId="0" borderId="0" xfId="20" applyFont="false" applyBorder="true" applyAlignment="true" applyProtection="false">
      <alignment horizontal="center" vertical="bottom" textRotation="0" wrapText="false" indent="0" shrinkToFit="false"/>
      <protection locked="true" hidden="false"/>
    </xf>
    <xf numFmtId="166" fontId="4" fillId="0" borderId="0" xfId="0" applyFont="true" applyBorder="false" applyAlignment="true" applyProtection="false">
      <alignment horizontal="center"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_RIVER054" xfId="20"/>
  </cellStyles>
  <colors>
    <indexedColors>
      <rgbColor rgb="FF000000"/>
      <rgbColor rgb="FFEEEEEC"/>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A6CAF0"/>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64648"/>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485280</xdr:colOff>
      <xdr:row>30</xdr:row>
      <xdr:rowOff>0</xdr:rowOff>
    </xdr:from>
    <xdr:to>
      <xdr:col>7</xdr:col>
      <xdr:colOff>21240</xdr:colOff>
      <xdr:row>31</xdr:row>
      <xdr:rowOff>28080</xdr:rowOff>
    </xdr:to>
    <xdr:sp>
      <xdr:nvSpPr>
        <xdr:cNvPr id="0" name="Text 1"/>
        <xdr:cNvSpPr/>
      </xdr:nvSpPr>
      <xdr:spPr>
        <a:xfrm>
          <a:off x="2728800" y="4278600"/>
          <a:ext cx="496800" cy="169200"/>
        </a:xfrm>
        <a:custGeom>
          <a:avLst/>
          <a:gdLst/>
          <a:ahLst/>
          <a:rect l="l" t="t" r="r" b="b"/>
          <a:pathLst>
            <a:path w="21600" h="21600">
              <a:moveTo>
                <a:pt x="0" y="0"/>
              </a:moveTo>
              <a:lnTo>
                <a:pt x="21600" y="0"/>
              </a:lnTo>
              <a:lnTo>
                <a:pt x="21600" y="21600"/>
              </a:lnTo>
              <a:lnTo>
                <a:pt x="0" y="21600"/>
              </a:lnTo>
              <a:lnTo>
                <a:pt x="0" y="0"/>
              </a:lnTo>
              <a:close/>
            </a:path>
          </a:pathLst>
        </a:custGeom>
        <a:solidFill>
          <a:srgbClr val="ffffff"/>
        </a:solidFill>
        <a:ln w="9360">
          <a:solidFill>
            <a:srgbClr val="eeeeec"/>
          </a:solidFill>
          <a:miter/>
        </a:ln>
      </xdr:spPr>
      <xdr:style>
        <a:lnRef idx="0"/>
        <a:fillRef idx="0"/>
        <a:effectRef idx="0"/>
        <a:fontRef idx="minor"/>
      </xdr:style>
      <xdr:txBody>
        <a:bodyPr lIns="20160" rIns="20160" tIns="20160" bIns="20160" anchor="t">
          <a:noAutofit/>
        </a:bodyPr>
        <a:p>
          <a:pPr>
            <a:lnSpc>
              <a:spcPct val="100000"/>
            </a:lnSpc>
          </a:pPr>
          <a:r>
            <a:rPr b="0" lang="en-US" sz="800" spc="-1" strike="noStrike">
              <a:latin typeface="LinePrinter"/>
            </a:rPr>
            <a:t>thawed</a:t>
          </a:r>
          <a:endParaRPr b="0" lang="en-US" sz="800" spc="-1" strike="noStrike">
            <a:latin typeface="Times New Roman"/>
          </a:endParaRPr>
        </a:p>
        <a:p>
          <a:pPr>
            <a:lnSpc>
              <a:spcPct val="100000"/>
            </a:lnSpc>
          </a:pPr>
          <a:endParaRPr b="0" lang="en-US" sz="800" spc="-1" strike="noStrike">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22</xdr:col>
      <xdr:colOff>129600</xdr:colOff>
      <xdr:row>11</xdr:row>
      <xdr:rowOff>57240</xdr:rowOff>
    </xdr:from>
    <xdr:to>
      <xdr:col>23</xdr:col>
      <xdr:colOff>215640</xdr:colOff>
      <xdr:row>13</xdr:row>
      <xdr:rowOff>19080</xdr:rowOff>
    </xdr:to>
    <xdr:sp>
      <xdr:nvSpPr>
        <xdr:cNvPr id="1" name="Text 2"/>
        <xdr:cNvSpPr/>
      </xdr:nvSpPr>
      <xdr:spPr>
        <a:xfrm>
          <a:off x="9622800" y="1657440"/>
          <a:ext cx="528120" cy="243720"/>
        </a:xfrm>
        <a:custGeom>
          <a:avLst/>
          <a:gdLst/>
          <a:ahLst/>
          <a:rect l="l" t="t" r="r" b="b"/>
          <a:pathLst>
            <a:path w="21600" h="21600">
              <a:moveTo>
                <a:pt x="0" y="0"/>
              </a:moveTo>
              <a:lnTo>
                <a:pt x="21600" y="0"/>
              </a:lnTo>
              <a:lnTo>
                <a:pt x="21600" y="21600"/>
              </a:lnTo>
              <a:lnTo>
                <a:pt x="0" y="21600"/>
              </a:lnTo>
              <a:lnTo>
                <a:pt x="0" y="0"/>
              </a:lnTo>
              <a:close/>
            </a:path>
          </a:pathLst>
        </a:custGeom>
        <a:solidFill>
          <a:srgbClr val="ffffff"/>
        </a:solidFill>
        <a:ln w="9360">
          <a:solidFill>
            <a:srgbClr val="eeeeec"/>
          </a:solidFill>
          <a:miter/>
        </a:ln>
      </xdr:spPr>
      <xdr:style>
        <a:lnRef idx="0"/>
        <a:fillRef idx="0"/>
        <a:effectRef idx="0"/>
        <a:fontRef idx="minor"/>
      </xdr:style>
      <xdr:txBody>
        <a:bodyPr lIns="20160" rIns="20160" tIns="20160" bIns="20160" anchor="t">
          <a:noAutofit/>
        </a:bodyPr>
        <a:p>
          <a:pPr>
            <a:lnSpc>
              <a:spcPct val="100000"/>
            </a:lnSpc>
          </a:pPr>
          <a:r>
            <a:rPr b="0" lang="en-US" sz="400" spc="-1" strike="noStrike">
              <a:latin typeface="LinePrinter"/>
            </a:rPr>
            <a:t>SPILL STARTED</a:t>
          </a:r>
          <a:endParaRPr b="0" lang="en-US" sz="400" spc="-1" strike="noStrike">
            <a:latin typeface="Times New Roman"/>
          </a:endParaRPr>
        </a:p>
        <a:p>
          <a:pPr>
            <a:lnSpc>
              <a:spcPct val="100000"/>
            </a:lnSpc>
          </a:pPr>
          <a:r>
            <a:rPr b="0" lang="en-US" sz="400" spc="-1" strike="noStrike">
              <a:latin typeface="LinePrinter"/>
            </a:rPr>
            <a:t>NO DEBIT</a:t>
          </a:r>
          <a:endParaRPr b="0" lang="en-US" sz="400" spc="-1" strike="noStrike">
            <a:latin typeface="Times New Roman"/>
          </a:endParaRPr>
        </a:p>
      </xdr:txBody>
    </xdr:sp>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14</xdr:col>
      <xdr:colOff>0</xdr:colOff>
      <xdr:row>36</xdr:row>
      <xdr:rowOff>0</xdr:rowOff>
    </xdr:from>
    <xdr:to>
      <xdr:col>14</xdr:col>
      <xdr:colOff>420480</xdr:colOff>
      <xdr:row>36</xdr:row>
      <xdr:rowOff>140400</xdr:rowOff>
    </xdr:to>
    <xdr:sp>
      <xdr:nvSpPr>
        <xdr:cNvPr id="2" name="Rectangle 1"/>
        <xdr:cNvSpPr/>
      </xdr:nvSpPr>
      <xdr:spPr>
        <a:xfrm>
          <a:off x="6268680" y="5124600"/>
          <a:ext cx="420480" cy="140400"/>
        </a:xfrm>
        <a:prstGeom prst="rect">
          <a:avLst/>
        </a:prstGeom>
        <a:noFill/>
        <a:ln w="9360">
          <a:solidFill>
            <a:srgbClr val="eeeeec"/>
          </a:solidFill>
          <a:miter/>
        </a:ln>
        <a:effectLst>
          <a:outerShdw blurRad="0" dir="2700000" dist="17309" rotWithShape="0">
            <a:srgbClr val="000000"/>
          </a:outerShdw>
        </a:effectLst>
      </xdr:spPr>
      <xdr:style>
        <a:lnRef idx="0"/>
        <a:fillRef idx="0"/>
        <a:effectRef idx="0"/>
        <a:fontRef idx="minor"/>
      </xdr:style>
    </xdr:sp>
    <xdr:clientData/>
  </xdr:twoCellAnchor>
  <xdr:twoCellAnchor editAs="oneCell">
    <xdr:from>
      <xdr:col>14</xdr:col>
      <xdr:colOff>0</xdr:colOff>
      <xdr:row>36</xdr:row>
      <xdr:rowOff>0</xdr:rowOff>
    </xdr:from>
    <xdr:to>
      <xdr:col>14</xdr:col>
      <xdr:colOff>420480</xdr:colOff>
      <xdr:row>36</xdr:row>
      <xdr:rowOff>140400</xdr:rowOff>
    </xdr:to>
    <xdr:sp>
      <xdr:nvSpPr>
        <xdr:cNvPr id="3" name="Rectangle 3"/>
        <xdr:cNvSpPr/>
      </xdr:nvSpPr>
      <xdr:spPr>
        <a:xfrm>
          <a:off x="6268680" y="5124600"/>
          <a:ext cx="420480" cy="140400"/>
        </a:xfrm>
        <a:prstGeom prst="rect">
          <a:avLst/>
        </a:prstGeom>
        <a:noFill/>
        <a:ln w="9360">
          <a:solidFill>
            <a:srgbClr val="eeeeec"/>
          </a:solidFill>
          <a:miter/>
        </a:ln>
        <a:effectLst>
          <a:outerShdw blurRad="0" dir="2700000" dist="17309" rotWithShape="0">
            <a:srgbClr val="000000"/>
          </a:outerShdw>
        </a:effectLst>
      </xdr:spPr>
      <xdr:style>
        <a:lnRef idx="0"/>
        <a:fillRef idx="0"/>
        <a:effectRef idx="0"/>
        <a:fontRef idx="minor"/>
      </xdr:style>
    </xdr:sp>
    <xdr:clientData/>
  </xdr:twoCellAnchor>
  <xdr:twoCellAnchor editAs="oneCell">
    <xdr:from>
      <xdr:col>14</xdr:col>
      <xdr:colOff>0</xdr:colOff>
      <xdr:row>36</xdr:row>
      <xdr:rowOff>0</xdr:rowOff>
    </xdr:from>
    <xdr:to>
      <xdr:col>14</xdr:col>
      <xdr:colOff>420480</xdr:colOff>
      <xdr:row>36</xdr:row>
      <xdr:rowOff>140400</xdr:rowOff>
    </xdr:to>
    <xdr:sp>
      <xdr:nvSpPr>
        <xdr:cNvPr id="4" name="Rectangle 4"/>
        <xdr:cNvSpPr/>
      </xdr:nvSpPr>
      <xdr:spPr>
        <a:xfrm>
          <a:off x="6268680" y="5124600"/>
          <a:ext cx="420480" cy="140400"/>
        </a:xfrm>
        <a:prstGeom prst="rect">
          <a:avLst/>
        </a:prstGeom>
        <a:noFill/>
        <a:ln w="9360">
          <a:solidFill>
            <a:srgbClr val="eeeeec"/>
          </a:solidFill>
          <a:miter/>
        </a:ln>
        <a:effectLst>
          <a:outerShdw blurRad="0" dir="2700000" dist="17309" rotWithShape="0">
            <a:srgbClr val="000000"/>
          </a:outerShdw>
        </a:effectLst>
      </xdr:spPr>
      <xdr:style>
        <a:lnRef idx="0"/>
        <a:fillRef idx="0"/>
        <a:effectRef idx="0"/>
        <a:fontRef idx="minor"/>
      </xdr:style>
    </xdr:sp>
    <xdr:clientData/>
  </xdr:twoCellAnchor>
  <xdr:twoCellAnchor editAs="oneCell">
    <xdr:from>
      <xdr:col>14</xdr:col>
      <xdr:colOff>0</xdr:colOff>
      <xdr:row>36</xdr:row>
      <xdr:rowOff>0</xdr:rowOff>
    </xdr:from>
    <xdr:to>
      <xdr:col>14</xdr:col>
      <xdr:colOff>420480</xdr:colOff>
      <xdr:row>36</xdr:row>
      <xdr:rowOff>140400</xdr:rowOff>
    </xdr:to>
    <xdr:sp>
      <xdr:nvSpPr>
        <xdr:cNvPr id="5" name="Rectangle 6"/>
        <xdr:cNvSpPr/>
      </xdr:nvSpPr>
      <xdr:spPr>
        <a:xfrm>
          <a:off x="6268680" y="5124600"/>
          <a:ext cx="420480" cy="140400"/>
        </a:xfrm>
        <a:prstGeom prst="rect">
          <a:avLst/>
        </a:prstGeom>
        <a:noFill/>
        <a:ln w="9360">
          <a:solidFill>
            <a:srgbClr val="eeeeec"/>
          </a:solidFill>
          <a:miter/>
        </a:ln>
      </xdr:spPr>
      <xdr:style>
        <a:lnRef idx="0"/>
        <a:fillRef idx="0"/>
        <a:effectRef idx="0"/>
        <a:fontRef idx="minor"/>
      </xdr:style>
    </xdr:sp>
    <xdr:clientData/>
  </xdr:twoCellAnchor>
  <xdr:twoCellAnchor editAs="oneCell">
    <xdr:from>
      <xdr:col>14</xdr:col>
      <xdr:colOff>0</xdr:colOff>
      <xdr:row>36</xdr:row>
      <xdr:rowOff>0</xdr:rowOff>
    </xdr:from>
    <xdr:to>
      <xdr:col>14</xdr:col>
      <xdr:colOff>420480</xdr:colOff>
      <xdr:row>36</xdr:row>
      <xdr:rowOff>140400</xdr:rowOff>
    </xdr:to>
    <xdr:sp>
      <xdr:nvSpPr>
        <xdr:cNvPr id="6" name="Rectangle 8"/>
        <xdr:cNvSpPr/>
      </xdr:nvSpPr>
      <xdr:spPr>
        <a:xfrm>
          <a:off x="6268680" y="5124600"/>
          <a:ext cx="420480" cy="140400"/>
        </a:xfrm>
        <a:prstGeom prst="rect">
          <a:avLst/>
        </a:prstGeom>
        <a:noFill/>
        <a:ln w="9360">
          <a:solidFill>
            <a:srgbClr val="eeeeec"/>
          </a:solidFill>
          <a:miter/>
        </a:ln>
      </xdr:spPr>
      <xdr:style>
        <a:lnRef idx="0"/>
        <a:fillRef idx="0"/>
        <a:effectRef idx="0"/>
        <a:fontRef idx="minor"/>
      </xdr:style>
    </xdr:sp>
    <xdr:clientData/>
  </xdr:twoCellAnchor>
  <xdr:twoCellAnchor editAs="oneCell">
    <xdr:from>
      <xdr:col>14</xdr:col>
      <xdr:colOff>0</xdr:colOff>
      <xdr:row>36</xdr:row>
      <xdr:rowOff>124200</xdr:rowOff>
    </xdr:from>
    <xdr:to>
      <xdr:col>14</xdr:col>
      <xdr:colOff>10800</xdr:colOff>
      <xdr:row>36</xdr:row>
      <xdr:rowOff>140400</xdr:rowOff>
    </xdr:to>
    <xdr:sp>
      <xdr:nvSpPr>
        <xdr:cNvPr id="7" name="Rectangle 10"/>
        <xdr:cNvSpPr/>
      </xdr:nvSpPr>
      <xdr:spPr>
        <a:xfrm>
          <a:off x="6268680" y="5248800"/>
          <a:ext cx="10800" cy="16200"/>
        </a:xfrm>
        <a:prstGeom prst="rect">
          <a:avLst/>
        </a:prstGeom>
        <a:noFill/>
        <a:ln w="9360">
          <a:solidFill>
            <a:srgbClr val="eeeeec"/>
          </a:solidFill>
          <a:miter/>
        </a:ln>
        <a:effectLst>
          <a:outerShdw blurRad="0" dir="2700000" dist="17309" rotWithShape="0">
            <a:srgbClr val="000000"/>
          </a:outerShdw>
        </a:effectLst>
      </xdr:spPr>
      <xdr:style>
        <a:lnRef idx="0"/>
        <a:fillRef idx="0"/>
        <a:effectRef idx="0"/>
        <a:fontRef idx="minor"/>
      </xdr:style>
    </xdr:sp>
    <xdr:clientData/>
  </xdr:twoCellAnchor>
  <xdr:twoCellAnchor editAs="oneCell">
    <xdr:from>
      <xdr:col>14</xdr:col>
      <xdr:colOff>0</xdr:colOff>
      <xdr:row>36</xdr:row>
      <xdr:rowOff>0</xdr:rowOff>
    </xdr:from>
    <xdr:to>
      <xdr:col>14</xdr:col>
      <xdr:colOff>420480</xdr:colOff>
      <xdr:row>36</xdr:row>
      <xdr:rowOff>140400</xdr:rowOff>
    </xdr:to>
    <xdr:sp>
      <xdr:nvSpPr>
        <xdr:cNvPr id="8" name="Rectangle 11"/>
        <xdr:cNvSpPr/>
      </xdr:nvSpPr>
      <xdr:spPr>
        <a:xfrm>
          <a:off x="6268680" y="5124600"/>
          <a:ext cx="420480" cy="140400"/>
        </a:xfrm>
        <a:prstGeom prst="rect">
          <a:avLst/>
        </a:prstGeom>
        <a:noFill/>
        <a:ln w="0">
          <a:noFill/>
        </a:ln>
      </xdr:spPr>
      <xdr:style>
        <a:lnRef idx="0"/>
        <a:fillRef idx="0"/>
        <a:effectRef idx="0"/>
        <a:fontRef idx="minor"/>
      </xdr:style>
    </xdr:sp>
    <xdr:clientData/>
  </xdr:twoCellAnchor>
  <xdr:twoCellAnchor editAs="oneCell">
    <xdr:from>
      <xdr:col>14</xdr:col>
      <xdr:colOff>0</xdr:colOff>
      <xdr:row>30</xdr:row>
      <xdr:rowOff>0</xdr:rowOff>
    </xdr:from>
    <xdr:to>
      <xdr:col>14</xdr:col>
      <xdr:colOff>420480</xdr:colOff>
      <xdr:row>30</xdr:row>
      <xdr:rowOff>140760</xdr:rowOff>
    </xdr:to>
    <xdr:sp>
      <xdr:nvSpPr>
        <xdr:cNvPr id="9" name="Rectangle 12"/>
        <xdr:cNvSpPr/>
      </xdr:nvSpPr>
      <xdr:spPr>
        <a:xfrm>
          <a:off x="6268680" y="4278600"/>
          <a:ext cx="420480" cy="140760"/>
        </a:xfrm>
        <a:prstGeom prst="rect">
          <a:avLst/>
        </a:prstGeom>
        <a:noFill/>
        <a:ln w="9360">
          <a:solidFill>
            <a:srgbClr val="eeeeec"/>
          </a:solidFill>
          <a:miter/>
        </a:ln>
      </xdr:spPr>
      <xdr:style>
        <a:lnRef idx="0"/>
        <a:fillRef idx="0"/>
        <a:effectRef idx="0"/>
        <a:fontRef idx="minor"/>
      </xdr:style>
    </xdr:sp>
    <xdr:clientData/>
  </xdr:twoCellAnchor>
  <xdr:twoCellAnchor editAs="oneCell">
    <xdr:from>
      <xdr:col>14</xdr:col>
      <xdr:colOff>0</xdr:colOff>
      <xdr:row>30</xdr:row>
      <xdr:rowOff>0</xdr:rowOff>
    </xdr:from>
    <xdr:to>
      <xdr:col>14</xdr:col>
      <xdr:colOff>420480</xdr:colOff>
      <xdr:row>30</xdr:row>
      <xdr:rowOff>140760</xdr:rowOff>
    </xdr:to>
    <xdr:sp>
      <xdr:nvSpPr>
        <xdr:cNvPr id="10" name="Rectangle 13"/>
        <xdr:cNvSpPr/>
      </xdr:nvSpPr>
      <xdr:spPr>
        <a:xfrm>
          <a:off x="6268680" y="4278600"/>
          <a:ext cx="420480" cy="140760"/>
        </a:xfrm>
        <a:prstGeom prst="rect">
          <a:avLst/>
        </a:prstGeom>
        <a:noFill/>
        <a:ln w="9360">
          <a:solidFill>
            <a:srgbClr val="eeeeec"/>
          </a:solidFill>
          <a:miter/>
        </a:ln>
        <a:effectLst>
          <a:outerShdw blurRad="0" dir="2700000" dist="17309" rotWithShape="0">
            <a:srgbClr val="000000"/>
          </a:outerShdw>
        </a:effectLst>
      </xdr:spPr>
      <xdr:style>
        <a:lnRef idx="0"/>
        <a:fillRef idx="0"/>
        <a:effectRef idx="0"/>
        <a:fontRef idx="minor"/>
      </xdr:style>
    </xdr:sp>
    <xdr:clientData/>
  </xdr:twoCellAnchor>
</xdr:wsDr>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3.xml"/><Relationship Id="rId3" Type="http://schemas.openxmlformats.org/officeDocument/2006/relationships/vmlDrawing" Target="../drawings/vmlDrawing1.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2.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3.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4.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AF56"/>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pane xSplit="1" ySplit="11" topLeftCell="B12" activePane="bottomRight" state="frozen"/>
      <selection pane="topLeft" activeCell="A1" activeCellId="0" sqref="A1"/>
      <selection pane="topRight" activeCell="B1" activeCellId="0" sqref="B1"/>
      <selection pane="bottomLeft" activeCell="A12" activeCellId="0" sqref="A12"/>
      <selection pane="bottomRight" activeCell="B18" activeCellId="1" sqref="AA13:AA42 B18"/>
    </sheetView>
  </sheetViews>
  <sheetFormatPr defaultColWidth="9.296875" defaultRowHeight="11.1" zeroHeight="false" outlineLevelRow="0" outlineLevelCol="0"/>
  <cols>
    <col collapsed="false" customWidth="true" hidden="false" outlineLevel="0" max="1" min="1" style="0" width="5.67"/>
    <col collapsed="false" customWidth="true" hidden="false" outlineLevel="0" max="2" min="2" style="0" width="7.49"/>
    <col collapsed="false" customWidth="true" hidden="false" outlineLevel="0" max="3" min="3" style="1" width="6.82"/>
    <col collapsed="false" customWidth="true" hidden="false" outlineLevel="0" max="4" min="4" style="0" width="6.99"/>
    <col collapsed="false" customWidth="true" hidden="false" outlineLevel="0" max="5" min="5" style="1" width="7.66"/>
    <col collapsed="false" customWidth="true" hidden="false" outlineLevel="0" max="6" min="6" style="0" width="7.66"/>
    <col collapsed="false" customWidth="true" hidden="false" outlineLevel="0" max="7" min="7" style="0" width="7.16"/>
    <col collapsed="false" customWidth="true" hidden="false" outlineLevel="0" max="8" min="8" style="2" width="6.66"/>
    <col collapsed="false" customWidth="true" hidden="false" outlineLevel="0" max="9" min="9" style="0" width="7.99"/>
    <col collapsed="false" customWidth="true" hidden="false" outlineLevel="0" max="10" min="10" style="0" width="6.66"/>
    <col collapsed="false" customWidth="true" hidden="false" outlineLevel="0" max="12" min="11" style="0" width="7.16"/>
    <col collapsed="false" customWidth="true" hidden="false" outlineLevel="0" max="13" min="13" style="3" width="6.16"/>
    <col collapsed="false" customWidth="true" hidden="false" outlineLevel="0" max="14" min="14" style="3" width="5.99"/>
    <col collapsed="false" customWidth="true" hidden="false" outlineLevel="0" max="15" min="15" style="3" width="6.49"/>
    <col collapsed="false" customWidth="true" hidden="false" outlineLevel="0" max="16" min="16" style="0" width="7.16"/>
    <col collapsed="false" customWidth="true" hidden="false" outlineLevel="0" max="18" min="17" style="0" width="5.49"/>
    <col collapsed="false" customWidth="true" hidden="false" outlineLevel="0" max="19" min="19" style="1" width="6.82"/>
    <col collapsed="false" customWidth="true" hidden="false" outlineLevel="0" max="20" min="20" style="0" width="6.49"/>
    <col collapsed="false" customWidth="true" hidden="false" outlineLevel="0" max="21" min="21" style="0" width="5.67"/>
    <col collapsed="false" customWidth="true" hidden="false" outlineLevel="0" max="22" min="22" style="1" width="6.16"/>
    <col collapsed="false" customWidth="true" hidden="false" outlineLevel="0" max="23" min="23" style="0" width="6.82"/>
    <col collapsed="false" customWidth="true" hidden="false" outlineLevel="0" max="25" min="24" style="0" width="7.82"/>
    <col collapsed="false" customWidth="true" hidden="false" outlineLevel="0" max="26" min="26" style="2" width="7.82"/>
    <col collapsed="false" customWidth="true" hidden="false" outlineLevel="0" max="27" min="27" style="2" width="5.32"/>
    <col collapsed="false" customWidth="true" hidden="false" outlineLevel="0" max="28" min="28" style="4" width="3.82"/>
    <col collapsed="false" customWidth="true" hidden="false" outlineLevel="0" max="29" min="29" style="5" width="3.82"/>
    <col collapsed="false" customWidth="true" hidden="false" outlineLevel="0" max="30" min="30" style="0" width="5.99"/>
    <col collapsed="false" customWidth="true" hidden="false" outlineLevel="0" max="31" min="31" style="0" width="6.66"/>
  </cols>
  <sheetData>
    <row r="1" customFormat="false" ht="14.1" hidden="false" customHeight="true" outlineLevel="0" collapsed="false">
      <c r="A1" s="6"/>
      <c r="B1" s="6"/>
      <c r="C1" s="7"/>
      <c r="D1" s="6"/>
      <c r="E1" s="7"/>
      <c r="F1" s="6"/>
      <c r="G1" s="6"/>
      <c r="H1" s="8"/>
      <c r="I1" s="6"/>
      <c r="J1" s="6"/>
      <c r="K1" s="9" t="s">
        <v>0</v>
      </c>
      <c r="L1" s="6"/>
      <c r="M1" s="6"/>
      <c r="N1" s="6"/>
      <c r="O1" s="6"/>
      <c r="P1" s="6"/>
      <c r="Q1" s="6"/>
      <c r="R1" s="6"/>
      <c r="S1" s="7"/>
      <c r="T1" s="6"/>
      <c r="U1" s="6"/>
      <c r="V1" s="7"/>
      <c r="W1" s="6"/>
      <c r="X1" s="6"/>
      <c r="Y1" s="6"/>
      <c r="Z1" s="10"/>
      <c r="AA1" s="11"/>
      <c r="AB1" s="12"/>
      <c r="AC1" s="13"/>
    </row>
    <row r="2" customFormat="false" ht="14.1" hidden="false" customHeight="true" outlineLevel="0" collapsed="false">
      <c r="A2" s="6" t="s">
        <v>1</v>
      </c>
      <c r="B2" s="6"/>
      <c r="C2" s="7"/>
      <c r="D2" s="14" t="n">
        <v>1.9835</v>
      </c>
      <c r="E2" s="7"/>
      <c r="F2" s="6"/>
      <c r="G2" s="6"/>
      <c r="H2" s="8"/>
      <c r="I2" s="6"/>
      <c r="J2" s="6"/>
      <c r="K2" s="6"/>
      <c r="L2" s="9" t="s">
        <v>2</v>
      </c>
      <c r="M2" s="6"/>
      <c r="N2" s="6"/>
      <c r="O2" s="6"/>
      <c r="P2" s="6"/>
      <c r="Q2" s="6"/>
      <c r="R2" s="6"/>
      <c r="S2" s="7"/>
      <c r="T2" s="6"/>
      <c r="U2" s="6"/>
      <c r="V2" s="7"/>
      <c r="W2" s="6"/>
      <c r="X2" s="6"/>
      <c r="Y2" s="6"/>
      <c r="Z2" s="10"/>
      <c r="AA2" s="11"/>
      <c r="AB2" s="12"/>
      <c r="AC2" s="13"/>
    </row>
    <row r="3" customFormat="false" ht="14.1" hidden="false" customHeight="true" outlineLevel="0" collapsed="false">
      <c r="A3" s="15"/>
      <c r="B3" s="15"/>
      <c r="C3" s="16"/>
      <c r="D3" s="17"/>
      <c r="E3" s="16"/>
      <c r="F3" s="15"/>
      <c r="G3" s="15"/>
      <c r="H3" s="18"/>
      <c r="I3" s="15"/>
      <c r="J3" s="15"/>
      <c r="K3" s="15"/>
      <c r="L3" s="15"/>
      <c r="M3" s="15"/>
      <c r="N3" s="15"/>
      <c r="O3" s="15"/>
      <c r="P3" s="15"/>
      <c r="Q3" s="15"/>
      <c r="R3" s="15"/>
      <c r="S3" s="16"/>
      <c r="T3" s="15"/>
      <c r="U3" s="15"/>
      <c r="V3" s="16"/>
      <c r="W3" s="15"/>
      <c r="X3" s="15"/>
      <c r="Y3" s="15"/>
      <c r="Z3" s="19"/>
      <c r="AA3" s="20"/>
      <c r="AB3" s="21"/>
      <c r="AC3" s="22"/>
      <c r="AD3" s="23"/>
      <c r="AE3" s="23"/>
      <c r="AF3" s="23"/>
    </row>
    <row r="4" customFormat="false" ht="14.1" hidden="false" customHeight="true" outlineLevel="0" collapsed="false">
      <c r="A4" s="6"/>
      <c r="B4" s="24"/>
      <c r="C4" s="25"/>
      <c r="D4" s="26" t="s">
        <v>3</v>
      </c>
      <c r="E4" s="25"/>
      <c r="F4" s="27"/>
      <c r="G4" s="6"/>
      <c r="H4" s="8"/>
      <c r="I4" s="6"/>
      <c r="J4" s="6"/>
      <c r="K4" s="6"/>
      <c r="L4" s="6"/>
      <c r="M4" s="6"/>
      <c r="N4" s="6"/>
      <c r="O4" s="6"/>
      <c r="P4" s="6"/>
      <c r="Q4" s="28" t="s">
        <v>4</v>
      </c>
      <c r="R4" s="6"/>
      <c r="S4" s="7"/>
      <c r="T4" s="6"/>
      <c r="U4" s="6"/>
      <c r="V4" s="7"/>
      <c r="W4" s="6"/>
      <c r="X4" s="6"/>
      <c r="Y4" s="6"/>
      <c r="Z4" s="10"/>
      <c r="AA4" s="29"/>
      <c r="AB4" s="30" t="s">
        <v>5</v>
      </c>
      <c r="AC4" s="31"/>
    </row>
    <row r="5" customFormat="false" ht="11.1" hidden="false" customHeight="true" outlineLevel="0" collapsed="false">
      <c r="A5" s="32" t="s">
        <v>6</v>
      </c>
      <c r="B5" s="33" t="s">
        <v>7</v>
      </c>
      <c r="C5" s="34" t="s">
        <v>7</v>
      </c>
      <c r="D5" s="35" t="s">
        <v>8</v>
      </c>
      <c r="E5" s="34" t="s">
        <v>9</v>
      </c>
      <c r="F5" s="36" t="s">
        <v>10</v>
      </c>
      <c r="G5" s="32" t="s">
        <v>11</v>
      </c>
      <c r="H5" s="37" t="s">
        <v>12</v>
      </c>
      <c r="I5" s="32" t="s">
        <v>13</v>
      </c>
      <c r="J5" s="32" t="s">
        <v>14</v>
      </c>
      <c r="K5" s="32" t="s">
        <v>15</v>
      </c>
      <c r="L5" s="32" t="s">
        <v>14</v>
      </c>
      <c r="M5" s="38" t="s">
        <v>16</v>
      </c>
      <c r="N5" s="38"/>
      <c r="O5" s="38"/>
      <c r="P5" s="38"/>
      <c r="Q5" s="32" t="s">
        <v>17</v>
      </c>
      <c r="R5" s="32" t="s">
        <v>18</v>
      </c>
      <c r="S5" s="32" t="s">
        <v>15</v>
      </c>
      <c r="T5" s="39" t="s">
        <v>19</v>
      </c>
      <c r="U5" s="32" t="s">
        <v>20</v>
      </c>
      <c r="V5" s="32" t="s">
        <v>21</v>
      </c>
      <c r="W5" s="39" t="s">
        <v>22</v>
      </c>
      <c r="X5" s="32" t="s">
        <v>13</v>
      </c>
      <c r="Y5" s="32" t="s">
        <v>14</v>
      </c>
      <c r="Z5" s="32" t="s">
        <v>15</v>
      </c>
      <c r="AA5" s="40" t="s">
        <v>23</v>
      </c>
      <c r="AB5" s="41" t="s">
        <v>24</v>
      </c>
      <c r="AC5" s="42" t="s">
        <v>25</v>
      </c>
      <c r="AD5" s="43" t="s">
        <v>26</v>
      </c>
      <c r="AE5" s="43" t="s">
        <v>19</v>
      </c>
    </row>
    <row r="6" customFormat="false" ht="11.1" hidden="false" customHeight="true" outlineLevel="0" collapsed="false">
      <c r="A6" s="44" t="s">
        <v>27</v>
      </c>
      <c r="B6" s="33" t="s">
        <v>28</v>
      </c>
      <c r="C6" s="34" t="s">
        <v>8</v>
      </c>
      <c r="D6" s="35" t="s">
        <v>29</v>
      </c>
      <c r="E6" s="34" t="s">
        <v>30</v>
      </c>
      <c r="F6" s="36" t="s">
        <v>31</v>
      </c>
      <c r="G6" s="32" t="s">
        <v>32</v>
      </c>
      <c r="H6" s="37" t="s">
        <v>33</v>
      </c>
      <c r="I6" s="32" t="s">
        <v>34</v>
      </c>
      <c r="J6" s="32" t="s">
        <v>34</v>
      </c>
      <c r="K6" s="32" t="s">
        <v>34</v>
      </c>
      <c r="L6" s="32" t="s">
        <v>35</v>
      </c>
      <c r="M6" s="45" t="s">
        <v>36</v>
      </c>
      <c r="N6" s="35" t="s">
        <v>37</v>
      </c>
      <c r="O6" s="35" t="s">
        <v>38</v>
      </c>
      <c r="P6" s="46" t="s">
        <v>39</v>
      </c>
      <c r="Q6" s="32" t="s">
        <v>40</v>
      </c>
      <c r="R6" s="32" t="s">
        <v>41</v>
      </c>
      <c r="S6" s="32" t="s">
        <v>19</v>
      </c>
      <c r="T6" s="39" t="s">
        <v>42</v>
      </c>
      <c r="U6" s="32" t="s">
        <v>43</v>
      </c>
      <c r="V6" s="32" t="s">
        <v>44</v>
      </c>
      <c r="W6" s="39" t="s">
        <v>45</v>
      </c>
      <c r="X6" s="32" t="s">
        <v>46</v>
      </c>
      <c r="Y6" s="32" t="s">
        <v>46</v>
      </c>
      <c r="Z6" s="32" t="s">
        <v>46</v>
      </c>
      <c r="AA6" s="47"/>
      <c r="AB6" s="41" t="s">
        <v>47</v>
      </c>
      <c r="AC6" s="42" t="s">
        <v>47</v>
      </c>
      <c r="AD6" s="48" t="s">
        <v>42</v>
      </c>
      <c r="AE6" s="48" t="s">
        <v>42</v>
      </c>
    </row>
    <row r="7" customFormat="false" ht="11.1" hidden="false" customHeight="true" outlineLevel="0" collapsed="false">
      <c r="A7" s="49"/>
      <c r="B7" s="50"/>
      <c r="C7" s="51"/>
      <c r="D7" s="52"/>
      <c r="E7" s="53" t="s">
        <v>48</v>
      </c>
      <c r="F7" s="54"/>
      <c r="G7" s="49"/>
      <c r="H7" s="55"/>
      <c r="I7" s="49"/>
      <c r="J7" s="49"/>
      <c r="K7" s="49"/>
      <c r="L7" s="49"/>
      <c r="M7" s="56"/>
      <c r="N7" s="52"/>
      <c r="O7" s="52"/>
      <c r="P7" s="57"/>
      <c r="Q7" s="49"/>
      <c r="R7" s="49"/>
      <c r="S7" s="49"/>
      <c r="T7" s="58" t="s">
        <v>49</v>
      </c>
      <c r="U7" s="49"/>
      <c r="V7" s="49"/>
      <c r="W7" s="59"/>
      <c r="X7" s="49"/>
      <c r="Y7" s="49"/>
      <c r="Z7" s="49"/>
      <c r="AA7" s="60"/>
      <c r="AB7" s="61" t="s">
        <v>50</v>
      </c>
      <c r="AC7" s="62"/>
      <c r="AD7" s="13"/>
      <c r="AE7" s="63" t="s">
        <v>51</v>
      </c>
    </row>
    <row r="8" customFormat="false" ht="11.1" hidden="false" customHeight="true" outlineLevel="0" collapsed="false">
      <c r="A8" s="49"/>
      <c r="B8" s="50"/>
      <c r="C8" s="51"/>
      <c r="D8" s="52"/>
      <c r="E8" s="51"/>
      <c r="F8" s="54"/>
      <c r="G8" s="49"/>
      <c r="H8" s="55"/>
      <c r="I8" s="49"/>
      <c r="J8" s="49"/>
      <c r="K8" s="49"/>
      <c r="L8" s="49"/>
      <c r="M8" s="56"/>
      <c r="N8" s="52"/>
      <c r="O8" s="52"/>
      <c r="P8" s="57"/>
      <c r="Q8" s="49"/>
      <c r="R8" s="49"/>
      <c r="S8" s="49"/>
      <c r="T8" s="64"/>
      <c r="U8" s="49"/>
      <c r="V8" s="49"/>
      <c r="W8" s="59"/>
      <c r="X8" s="49"/>
      <c r="Y8" s="49"/>
      <c r="Z8" s="49"/>
      <c r="AA8" s="60"/>
      <c r="AB8" s="65"/>
      <c r="AC8" s="62"/>
      <c r="AD8" s="13"/>
    </row>
    <row r="9" customFormat="false" ht="11.1" hidden="false" customHeight="true" outlineLevel="0" collapsed="false">
      <c r="A9" s="6" t="s">
        <v>52</v>
      </c>
      <c r="B9" s="66"/>
      <c r="C9" s="67"/>
      <c r="D9" s="67"/>
      <c r="E9" s="67"/>
      <c r="F9" s="68"/>
      <c r="G9" s="7"/>
      <c r="H9" s="12"/>
      <c r="I9" s="7"/>
      <c r="J9" s="7"/>
      <c r="K9" s="7"/>
      <c r="L9" s="7"/>
      <c r="M9" s="69"/>
      <c r="N9" s="67"/>
      <c r="O9" s="67"/>
      <c r="P9" s="70"/>
      <c r="Q9" s="7"/>
      <c r="R9" s="7"/>
      <c r="S9" s="7"/>
      <c r="T9" s="7"/>
      <c r="U9" s="7"/>
      <c r="V9" s="7"/>
      <c r="W9" s="71"/>
      <c r="X9" s="7"/>
      <c r="Y9" s="7"/>
      <c r="Z9" s="7"/>
      <c r="AA9" s="60"/>
      <c r="AB9" s="72"/>
      <c r="AC9" s="73"/>
      <c r="AD9" s="13"/>
    </row>
    <row r="10" s="1" customFormat="true" ht="11.1" hidden="false" customHeight="true" outlineLevel="0" collapsed="false">
      <c r="A10" s="7" t="s">
        <v>53</v>
      </c>
      <c r="B10" s="74" t="n">
        <v>6857.1</v>
      </c>
      <c r="C10" s="67" t="n">
        <v>156567</v>
      </c>
      <c r="D10" s="67"/>
      <c r="E10" s="67"/>
      <c r="F10" s="68"/>
      <c r="G10" s="7"/>
      <c r="H10" s="12"/>
      <c r="I10" s="7"/>
      <c r="J10" s="7"/>
      <c r="K10" s="7"/>
      <c r="L10" s="7"/>
      <c r="M10" s="69"/>
      <c r="N10" s="67"/>
      <c r="O10" s="67" t="n">
        <v>0</v>
      </c>
      <c r="P10" s="70"/>
      <c r="Q10" s="7"/>
      <c r="R10" s="7"/>
      <c r="S10" s="7"/>
      <c r="T10" s="7"/>
      <c r="U10" s="7"/>
      <c r="V10" s="7"/>
      <c r="W10" s="7" t="n">
        <v>2410</v>
      </c>
      <c r="X10" s="7"/>
      <c r="Y10" s="7"/>
      <c r="Z10" s="7"/>
      <c r="AA10" s="60"/>
      <c r="AB10" s="72"/>
      <c r="AC10" s="73"/>
      <c r="AD10" s="13"/>
    </row>
    <row r="11" customFormat="false" ht="3" hidden="false" customHeight="true" outlineLevel="0" collapsed="false">
      <c r="A11" s="75"/>
      <c r="B11" s="76"/>
      <c r="C11" s="77"/>
      <c r="D11" s="75"/>
      <c r="E11" s="77"/>
      <c r="F11" s="78"/>
      <c r="G11" s="75"/>
      <c r="H11" s="79"/>
      <c r="I11" s="75"/>
      <c r="J11" s="75"/>
      <c r="K11" s="75"/>
      <c r="L11" s="75"/>
      <c r="M11" s="80"/>
      <c r="N11" s="75"/>
      <c r="O11" s="75"/>
      <c r="P11" s="81"/>
      <c r="Q11" s="75"/>
      <c r="R11" s="75"/>
      <c r="S11" s="75"/>
      <c r="T11" s="77"/>
      <c r="U11" s="75"/>
      <c r="V11" s="75"/>
      <c r="W11" s="77"/>
      <c r="X11" s="75"/>
      <c r="Y11" s="75"/>
      <c r="Z11" s="75"/>
      <c r="AA11" s="82"/>
      <c r="AB11" s="83"/>
      <c r="AC11" s="84"/>
      <c r="AD11" s="85"/>
      <c r="AE11" s="85"/>
      <c r="AF11" s="85"/>
    </row>
    <row r="12" customFormat="false" ht="11.1" hidden="false" customHeight="true" outlineLevel="0" collapsed="false">
      <c r="A12" s="13" t="n">
        <v>1</v>
      </c>
      <c r="B12" s="74" t="n">
        <v>6857.13</v>
      </c>
      <c r="C12" s="67" t="n">
        <v>156634</v>
      </c>
      <c r="D12" s="72" t="n">
        <f aca="false">C12-C10</f>
        <v>67</v>
      </c>
      <c r="E12" s="67" t="n">
        <f aca="false">C12-152000</f>
        <v>4634</v>
      </c>
      <c r="F12" s="86" t="n">
        <f aca="false">D12/$D$2</f>
        <v>33.7786740610033</v>
      </c>
      <c r="G12" s="6" t="n">
        <v>67</v>
      </c>
      <c r="H12" s="8" t="n">
        <v>0</v>
      </c>
      <c r="I12" s="6" t="n">
        <f aca="false">G12+H12</f>
        <v>67</v>
      </c>
      <c r="J12" s="87" t="n">
        <f aca="false">IF(L12&gt;0,L12,0)</f>
        <v>0</v>
      </c>
      <c r="K12" s="6" t="n">
        <f aca="false">I12+J12</f>
        <v>67</v>
      </c>
      <c r="L12" s="6" t="n">
        <f aca="false">F12-(I12-X12)</f>
        <v>-15.4213259389967</v>
      </c>
      <c r="M12" s="88" t="n">
        <v>4.8</v>
      </c>
      <c r="N12" s="89" t="n">
        <v>0</v>
      </c>
      <c r="O12" s="89" t="n">
        <v>0</v>
      </c>
      <c r="P12" s="90" t="n">
        <f aca="false">M12-(N12+O12)</f>
        <v>4.8</v>
      </c>
      <c r="Q12" s="6" t="n">
        <v>0</v>
      </c>
      <c r="R12" s="6" t="n">
        <v>0</v>
      </c>
      <c r="S12" s="6" t="n">
        <f aca="false">SUM(P12:R12)</f>
        <v>4.8</v>
      </c>
      <c r="T12" s="7"/>
      <c r="U12" s="6" t="n">
        <v>0</v>
      </c>
      <c r="V12" s="6" t="n">
        <v>13</v>
      </c>
      <c r="W12" s="7" t="n">
        <f aca="false">W10-V12</f>
        <v>2397</v>
      </c>
      <c r="X12" s="6" t="n">
        <f aca="false">N12+O12+S12+U12+V12</f>
        <v>17.8</v>
      </c>
      <c r="Y12" s="6" t="n">
        <f aca="false">IF(L12&lt;0,L12*-1,0)</f>
        <v>15.4213259389967</v>
      </c>
      <c r="Z12" s="6" t="n">
        <f aca="false">X12+Y12</f>
        <v>33.2213259389967</v>
      </c>
      <c r="AA12" s="60" t="n">
        <v>0</v>
      </c>
      <c r="AB12" s="72" t="n">
        <v>55</v>
      </c>
      <c r="AC12" s="73" t="n">
        <v>34</v>
      </c>
      <c r="AD12" s="13"/>
    </row>
    <row r="13" customFormat="false" ht="11.1" hidden="false" customHeight="true" outlineLevel="0" collapsed="false">
      <c r="A13" s="13" t="n">
        <f aca="false">A12+1</f>
        <v>2</v>
      </c>
      <c r="B13" s="91" t="n">
        <v>6857.16</v>
      </c>
      <c r="C13" s="67" t="n">
        <v>156700</v>
      </c>
      <c r="D13" s="72" t="n">
        <f aca="false">C13-C12</f>
        <v>66</v>
      </c>
      <c r="E13" s="67" t="n">
        <f aca="false">C13-152000</f>
        <v>4700</v>
      </c>
      <c r="F13" s="86" t="n">
        <f aca="false">D13/$D$2</f>
        <v>33.2745147466599</v>
      </c>
      <c r="G13" s="6" t="n">
        <v>64</v>
      </c>
      <c r="H13" s="8" t="n">
        <v>0</v>
      </c>
      <c r="I13" s="6" t="n">
        <f aca="false">G13+H13</f>
        <v>64</v>
      </c>
      <c r="J13" s="87" t="n">
        <f aca="false">IF(L13&gt;0,L13,0)</f>
        <v>0</v>
      </c>
      <c r="K13" s="6" t="n">
        <f aca="false">I13+J13</f>
        <v>64</v>
      </c>
      <c r="L13" s="6" t="n">
        <f aca="false">F13-(I13-X13)</f>
        <v>-12.9254852533401</v>
      </c>
      <c r="M13" s="88" t="n">
        <v>4.8</v>
      </c>
      <c r="N13" s="89" t="n">
        <v>0</v>
      </c>
      <c r="O13" s="89" t="n">
        <v>0</v>
      </c>
      <c r="P13" s="90" t="n">
        <f aca="false">M13-(N13+O13)</f>
        <v>4.8</v>
      </c>
      <c r="Q13" s="6" t="n">
        <v>0</v>
      </c>
      <c r="R13" s="6" t="n">
        <v>0</v>
      </c>
      <c r="S13" s="6" t="n">
        <f aca="false">SUM(P13:R13)</f>
        <v>4.8</v>
      </c>
      <c r="T13" s="7"/>
      <c r="U13" s="6" t="n">
        <v>0</v>
      </c>
      <c r="V13" s="6" t="n">
        <v>13</v>
      </c>
      <c r="W13" s="7" t="n">
        <f aca="false">W12-V13</f>
        <v>2384</v>
      </c>
      <c r="X13" s="6" t="n">
        <f aca="false">N13+O13+S13+U13+V13</f>
        <v>17.8</v>
      </c>
      <c r="Y13" s="6" t="n">
        <f aca="false">IF(L13&lt;0,L13*-1,0)</f>
        <v>12.9254852533401</v>
      </c>
      <c r="Z13" s="6" t="n">
        <f aca="false">X13+Y13</f>
        <v>30.7254852533401</v>
      </c>
      <c r="AA13" s="60" t="n">
        <v>0</v>
      </c>
      <c r="AB13" s="72" t="n">
        <v>51</v>
      </c>
      <c r="AC13" s="73" t="n">
        <v>30</v>
      </c>
      <c r="AD13" s="13"/>
    </row>
    <row r="14" customFormat="false" ht="11.1" hidden="false" customHeight="true" outlineLevel="0" collapsed="false">
      <c r="A14" s="13" t="n">
        <f aca="false">A13+1</f>
        <v>3</v>
      </c>
      <c r="B14" s="74" t="n">
        <v>6857.19</v>
      </c>
      <c r="C14" s="67" t="n">
        <v>156767</v>
      </c>
      <c r="D14" s="72" t="n">
        <f aca="false">C14-C13</f>
        <v>67</v>
      </c>
      <c r="E14" s="67" t="n">
        <f aca="false">C14-152000</f>
        <v>4767</v>
      </c>
      <c r="F14" s="86" t="n">
        <f aca="false">D14/$D$2</f>
        <v>33.7786740610033</v>
      </c>
      <c r="G14" s="6" t="n">
        <v>61</v>
      </c>
      <c r="H14" s="8" t="n">
        <v>0</v>
      </c>
      <c r="I14" s="6" t="n">
        <f aca="false">G14+H14</f>
        <v>61</v>
      </c>
      <c r="J14" s="87" t="n">
        <f aca="false">IF(L14&gt;0,L14,0)</f>
        <v>0</v>
      </c>
      <c r="K14" s="6" t="n">
        <f aca="false">I14+J14</f>
        <v>61</v>
      </c>
      <c r="L14" s="6" t="n">
        <f aca="false">F14-(I14-X14)</f>
        <v>-9.42132593899672</v>
      </c>
      <c r="M14" s="88" t="n">
        <v>4.8</v>
      </c>
      <c r="N14" s="89" t="n">
        <v>0</v>
      </c>
      <c r="O14" s="89" t="n">
        <v>0</v>
      </c>
      <c r="P14" s="90" t="n">
        <f aca="false">M14-(N14+O14)</f>
        <v>4.8</v>
      </c>
      <c r="Q14" s="6" t="n">
        <v>0</v>
      </c>
      <c r="R14" s="6" t="n">
        <v>0</v>
      </c>
      <c r="S14" s="6" t="n">
        <f aca="false">SUM(P14:R14)</f>
        <v>4.8</v>
      </c>
      <c r="T14" s="7"/>
      <c r="U14" s="6" t="n">
        <v>0</v>
      </c>
      <c r="V14" s="6" t="n">
        <v>13</v>
      </c>
      <c r="W14" s="7" t="n">
        <f aca="false">W13-V14</f>
        <v>2371</v>
      </c>
      <c r="X14" s="6" t="n">
        <f aca="false">N14+O14+S14+U14+V14</f>
        <v>17.8</v>
      </c>
      <c r="Y14" s="6" t="n">
        <f aca="false">IF(L14&lt;0,L14*-1,0)</f>
        <v>9.42132593899672</v>
      </c>
      <c r="Z14" s="6" t="n">
        <f aca="false">X14+Y14</f>
        <v>27.2213259389967</v>
      </c>
      <c r="AA14" s="60" t="n">
        <v>0</v>
      </c>
      <c r="AB14" s="72" t="n">
        <v>46</v>
      </c>
      <c r="AC14" s="73" t="n">
        <v>32</v>
      </c>
      <c r="AD14" s="13"/>
    </row>
    <row r="15" customFormat="false" ht="11.1" hidden="false" customHeight="true" outlineLevel="0" collapsed="false">
      <c r="A15" s="13" t="n">
        <f aca="false">A14+1</f>
        <v>4</v>
      </c>
      <c r="B15" s="74" t="n">
        <v>6857.22</v>
      </c>
      <c r="C15" s="67" t="n">
        <v>156833</v>
      </c>
      <c r="D15" s="72" t="n">
        <f aca="false">C15-C14</f>
        <v>66</v>
      </c>
      <c r="E15" s="67" t="n">
        <f aca="false">C15-152000</f>
        <v>4833</v>
      </c>
      <c r="F15" s="86" t="n">
        <f aca="false">D15/$D$2</f>
        <v>33.2745147466599</v>
      </c>
      <c r="G15" s="6" t="n">
        <v>55</v>
      </c>
      <c r="H15" s="8" t="n">
        <v>0</v>
      </c>
      <c r="I15" s="6" t="n">
        <f aca="false">G15+H15</f>
        <v>55</v>
      </c>
      <c r="J15" s="87" t="n">
        <f aca="false">IF(L15&gt;0,L15,0)</f>
        <v>0</v>
      </c>
      <c r="K15" s="6" t="n">
        <f aca="false">I15+J15</f>
        <v>55</v>
      </c>
      <c r="L15" s="6" t="n">
        <f aca="false">F15-(I15-X15)</f>
        <v>-3.92548525334006</v>
      </c>
      <c r="M15" s="88" t="n">
        <v>4.8</v>
      </c>
      <c r="N15" s="89" t="n">
        <v>0</v>
      </c>
      <c r="O15" s="89" t="n">
        <v>0</v>
      </c>
      <c r="P15" s="90" t="n">
        <f aca="false">M15-(N15+O15)</f>
        <v>4.8</v>
      </c>
      <c r="Q15" s="6" t="n">
        <v>0</v>
      </c>
      <c r="R15" s="6" t="n">
        <v>0</v>
      </c>
      <c r="S15" s="6" t="n">
        <f aca="false">SUM(P15:R15)</f>
        <v>4.8</v>
      </c>
      <c r="T15" s="7"/>
      <c r="U15" s="6" t="n">
        <v>0</v>
      </c>
      <c r="V15" s="6" t="n">
        <v>13</v>
      </c>
      <c r="W15" s="7" t="n">
        <f aca="false">W14-V15</f>
        <v>2358</v>
      </c>
      <c r="X15" s="6" t="n">
        <f aca="false">N15+O15+S15+U15+V15</f>
        <v>17.8</v>
      </c>
      <c r="Y15" s="6" t="n">
        <f aca="false">IF(L15&lt;0,L15*-1,0)</f>
        <v>3.92548525334006</v>
      </c>
      <c r="Z15" s="6" t="n">
        <f aca="false">X15+Y15</f>
        <v>21.7254852533401</v>
      </c>
      <c r="AA15" s="60" t="n">
        <v>0</v>
      </c>
      <c r="AB15" s="72" t="n">
        <v>46</v>
      </c>
      <c r="AC15" s="73" t="n">
        <v>30</v>
      </c>
      <c r="AD15" s="13"/>
    </row>
    <row r="16" customFormat="false" ht="11.1" hidden="false" customHeight="true" outlineLevel="0" collapsed="false">
      <c r="A16" s="13" t="n">
        <f aca="false">A15+1</f>
        <v>5</v>
      </c>
      <c r="B16" s="74" t="n">
        <v>6857.25</v>
      </c>
      <c r="C16" s="67" t="n">
        <v>156900</v>
      </c>
      <c r="D16" s="72" t="n">
        <f aca="false">C16-C15</f>
        <v>67</v>
      </c>
      <c r="E16" s="67" t="n">
        <f aca="false">C16-152000</f>
        <v>4900</v>
      </c>
      <c r="F16" s="86" t="n">
        <f aca="false">D16/$D$2</f>
        <v>33.7786740610033</v>
      </c>
      <c r="G16" s="6" t="n">
        <v>55</v>
      </c>
      <c r="H16" s="8" t="n">
        <v>0</v>
      </c>
      <c r="I16" s="6" t="n">
        <f aca="false">G16+H16</f>
        <v>55</v>
      </c>
      <c r="J16" s="87" t="n">
        <f aca="false">IF(L16&gt;0,L16,0)</f>
        <v>0</v>
      </c>
      <c r="K16" s="6" t="n">
        <f aca="false">I16+J16</f>
        <v>55</v>
      </c>
      <c r="L16" s="6" t="n">
        <f aca="false">F16-(I16-X16)</f>
        <v>-3.72132593899672</v>
      </c>
      <c r="M16" s="88" t="n">
        <v>4.5</v>
      </c>
      <c r="N16" s="89" t="n">
        <v>0</v>
      </c>
      <c r="O16" s="89" t="n">
        <v>0</v>
      </c>
      <c r="P16" s="90" t="n">
        <f aca="false">M16-(N16+O16)</f>
        <v>4.5</v>
      </c>
      <c r="Q16" s="6" t="n">
        <v>0</v>
      </c>
      <c r="R16" s="6" t="n">
        <v>0</v>
      </c>
      <c r="S16" s="6" t="n">
        <f aca="false">SUM(P16:R16)</f>
        <v>4.5</v>
      </c>
      <c r="T16" s="7"/>
      <c r="U16" s="6" t="n">
        <v>0</v>
      </c>
      <c r="V16" s="6" t="n">
        <v>13</v>
      </c>
      <c r="W16" s="7" t="n">
        <f aca="false">W15-V16</f>
        <v>2345</v>
      </c>
      <c r="X16" s="6" t="n">
        <f aca="false">N16+O16+S16+U16+V16</f>
        <v>17.5</v>
      </c>
      <c r="Y16" s="6" t="n">
        <f aca="false">IF(L16&lt;0,L16*-1,0)</f>
        <v>3.72132593899672</v>
      </c>
      <c r="Z16" s="6" t="n">
        <f aca="false">X16+Y16</f>
        <v>21.2213259389967</v>
      </c>
      <c r="AA16" s="60" t="n">
        <v>0</v>
      </c>
      <c r="AB16" s="72" t="n">
        <v>51</v>
      </c>
      <c r="AC16" s="73" t="n">
        <v>20</v>
      </c>
      <c r="AD16" s="13"/>
    </row>
    <row r="17" customFormat="false" ht="11.1" hidden="false" customHeight="true" outlineLevel="0" collapsed="false">
      <c r="A17" s="13" t="n">
        <f aca="false">A16+1</f>
        <v>6</v>
      </c>
      <c r="B17" s="74" t="n">
        <v>6857.28</v>
      </c>
      <c r="C17" s="67" t="n">
        <v>156966</v>
      </c>
      <c r="D17" s="72" t="n">
        <f aca="false">C17-C16</f>
        <v>66</v>
      </c>
      <c r="E17" s="67" t="n">
        <f aca="false">C17-152000</f>
        <v>4966</v>
      </c>
      <c r="F17" s="86" t="n">
        <f aca="false">D17/$D$2</f>
        <v>33.2745147466599</v>
      </c>
      <c r="G17" s="6" t="n">
        <v>48</v>
      </c>
      <c r="H17" s="8" t="n">
        <v>0</v>
      </c>
      <c r="I17" s="6" t="n">
        <f aca="false">G17+H17</f>
        <v>48</v>
      </c>
      <c r="J17" s="87" t="n">
        <f aca="false">IF(L17&gt;0,L17,0)</f>
        <v>2.37451474665995</v>
      </c>
      <c r="K17" s="6" t="n">
        <f aca="false">I17+J17</f>
        <v>50.3745147466599</v>
      </c>
      <c r="L17" s="6" t="n">
        <f aca="false">F17-(I17-X17)</f>
        <v>2.37451474665995</v>
      </c>
      <c r="M17" s="88" t="n">
        <v>4.1</v>
      </c>
      <c r="N17" s="89" t="n">
        <v>0</v>
      </c>
      <c r="O17" s="89" t="n">
        <v>0</v>
      </c>
      <c r="P17" s="90" t="n">
        <f aca="false">M17-(N17+O17)</f>
        <v>4.1</v>
      </c>
      <c r="Q17" s="6" t="n">
        <v>0</v>
      </c>
      <c r="R17" s="6" t="n">
        <v>0</v>
      </c>
      <c r="S17" s="6" t="n">
        <f aca="false">SUM(P17:R17)</f>
        <v>4.1</v>
      </c>
      <c r="T17" s="7"/>
      <c r="U17" s="6" t="n">
        <v>0</v>
      </c>
      <c r="V17" s="6" t="n">
        <v>13</v>
      </c>
      <c r="W17" s="7" t="n">
        <f aca="false">W16-V17</f>
        <v>2332</v>
      </c>
      <c r="X17" s="6" t="n">
        <f aca="false">N17+O17+S17+U17+V17</f>
        <v>17.1</v>
      </c>
      <c r="Y17" s="6" t="n">
        <f aca="false">IF(L17&lt;0,L17*-1,0)</f>
        <v>0</v>
      </c>
      <c r="Z17" s="6" t="n">
        <f aca="false">X17+Y17</f>
        <v>17.1</v>
      </c>
      <c r="AA17" s="60" t="n">
        <v>0</v>
      </c>
      <c r="AB17" s="72" t="n">
        <v>52</v>
      </c>
      <c r="AC17" s="73" t="n">
        <v>23</v>
      </c>
      <c r="AD17" s="13"/>
    </row>
    <row r="18" customFormat="false" ht="11.1" hidden="false" customHeight="true" outlineLevel="0" collapsed="false">
      <c r="A18" s="13" t="n">
        <f aca="false">A17+1</f>
        <v>7</v>
      </c>
      <c r="B18" s="74" t="n">
        <v>6857.31</v>
      </c>
      <c r="C18" s="67" t="n">
        <v>157033</v>
      </c>
      <c r="D18" s="72" t="n">
        <f aca="false">C18-C17</f>
        <v>67</v>
      </c>
      <c r="E18" s="67" t="n">
        <f aca="false">C18-152000</f>
        <v>5033</v>
      </c>
      <c r="F18" s="86" t="n">
        <f aca="false">D18/$D$2</f>
        <v>33.7786740610033</v>
      </c>
      <c r="G18" s="6" t="n">
        <v>51</v>
      </c>
      <c r="H18" s="8" t="n">
        <v>0</v>
      </c>
      <c r="I18" s="6" t="n">
        <f aca="false">G18+H18</f>
        <v>51</v>
      </c>
      <c r="J18" s="87" t="n">
        <f aca="false">IF(L18&gt;0,L18,0)</f>
        <v>0.878674061003281</v>
      </c>
      <c r="K18" s="6" t="n">
        <f aca="false">I18+J18</f>
        <v>51.8786740610033</v>
      </c>
      <c r="L18" s="6" t="n">
        <f aca="false">F18-(I18-X18)</f>
        <v>0.878674061003281</v>
      </c>
      <c r="M18" s="88" t="n">
        <v>4.1</v>
      </c>
      <c r="N18" s="89" t="n">
        <v>0</v>
      </c>
      <c r="O18" s="89" t="n">
        <v>0</v>
      </c>
      <c r="P18" s="90" t="n">
        <f aca="false">M18-(N18+O18)</f>
        <v>4.1</v>
      </c>
      <c r="Q18" s="6" t="n">
        <v>0</v>
      </c>
      <c r="R18" s="6" t="n">
        <v>0</v>
      </c>
      <c r="S18" s="6" t="n">
        <f aca="false">SUM(P18:R18)</f>
        <v>4.1</v>
      </c>
      <c r="T18" s="7"/>
      <c r="U18" s="6" t="n">
        <v>0</v>
      </c>
      <c r="V18" s="6" t="n">
        <v>14</v>
      </c>
      <c r="W18" s="7" t="n">
        <f aca="false">W17-V18</f>
        <v>2318</v>
      </c>
      <c r="X18" s="6" t="n">
        <f aca="false">N18+O18+S18+U18+V18</f>
        <v>18.1</v>
      </c>
      <c r="Y18" s="6" t="n">
        <f aca="false">IF(L18&lt;0,L18*-1,0)</f>
        <v>0</v>
      </c>
      <c r="Z18" s="6" t="n">
        <f aca="false">X18+Y18</f>
        <v>18.1</v>
      </c>
      <c r="AA18" s="60" t="n">
        <v>0</v>
      </c>
      <c r="AB18" s="72" t="n">
        <v>59</v>
      </c>
      <c r="AC18" s="73" t="n">
        <v>29</v>
      </c>
      <c r="AD18" s="13"/>
    </row>
    <row r="19" customFormat="false" ht="11.1" hidden="false" customHeight="true" outlineLevel="0" collapsed="false">
      <c r="A19" s="13" t="n">
        <f aca="false">A18+1</f>
        <v>8</v>
      </c>
      <c r="B19" s="74" t="n">
        <v>6857.36</v>
      </c>
      <c r="C19" s="67" t="n">
        <v>157144</v>
      </c>
      <c r="D19" s="72" t="n">
        <f aca="false">C19-C18</f>
        <v>111</v>
      </c>
      <c r="E19" s="67" t="n">
        <f aca="false">C19-152000</f>
        <v>5144</v>
      </c>
      <c r="F19" s="86" t="n">
        <f aca="false">D19/$D$2</f>
        <v>55.9616838921099</v>
      </c>
      <c r="G19" s="6" t="n">
        <v>61</v>
      </c>
      <c r="H19" s="8" t="n">
        <v>0</v>
      </c>
      <c r="I19" s="6" t="n">
        <f aca="false">G19+H19</f>
        <v>61</v>
      </c>
      <c r="J19" s="87" t="n">
        <f aca="false">IF(L19&gt;0,L19,0)</f>
        <v>14.0616838921099</v>
      </c>
      <c r="K19" s="6" t="n">
        <f aca="false">I19+J19</f>
        <v>75.0616838921099</v>
      </c>
      <c r="L19" s="6" t="n">
        <f aca="false">F19-(I19-X19)</f>
        <v>14.0616838921099</v>
      </c>
      <c r="M19" s="88" t="n">
        <v>4.1</v>
      </c>
      <c r="N19" s="89" t="n">
        <v>0</v>
      </c>
      <c r="O19" s="89" t="n">
        <v>0</v>
      </c>
      <c r="P19" s="90" t="n">
        <f aca="false">M19-(N19+O19)</f>
        <v>4.1</v>
      </c>
      <c r="Q19" s="6" t="n">
        <v>0</v>
      </c>
      <c r="R19" s="6" t="n">
        <v>0</v>
      </c>
      <c r="S19" s="6" t="n">
        <f aca="false">SUM(P19:R19)</f>
        <v>4.1</v>
      </c>
      <c r="T19" s="7"/>
      <c r="U19" s="6" t="n">
        <v>0</v>
      </c>
      <c r="V19" s="6" t="n">
        <v>15</v>
      </c>
      <c r="W19" s="7" t="n">
        <f aca="false">W18-V19</f>
        <v>2303</v>
      </c>
      <c r="X19" s="6" t="n">
        <f aca="false">N19+O19+S19+U19+V19</f>
        <v>19.1</v>
      </c>
      <c r="Y19" s="6" t="n">
        <f aca="false">IF(L19&lt;0,L19*-1,0)</f>
        <v>0</v>
      </c>
      <c r="Z19" s="6" t="n">
        <f aca="false">X19+Y19</f>
        <v>19.1</v>
      </c>
      <c r="AA19" s="60" t="n">
        <v>0.4</v>
      </c>
      <c r="AB19" s="72" t="n">
        <v>47</v>
      </c>
      <c r="AC19" s="73" t="n">
        <v>34</v>
      </c>
      <c r="AD19" s="13"/>
    </row>
    <row r="20" customFormat="false" ht="11.1" hidden="false" customHeight="true" outlineLevel="0" collapsed="false">
      <c r="A20" s="13" t="n">
        <f aca="false">A19+1</f>
        <v>9</v>
      </c>
      <c r="B20" s="74" t="n">
        <v>6857.46</v>
      </c>
      <c r="C20" s="67" t="n">
        <v>157365</v>
      </c>
      <c r="D20" s="72" t="n">
        <f aca="false">C20-C19</f>
        <v>221</v>
      </c>
      <c r="E20" s="67" t="n">
        <f aca="false">C20-152000</f>
        <v>5365</v>
      </c>
      <c r="F20" s="86" t="n">
        <f aca="false">D20/$D$2</f>
        <v>111.419208469876</v>
      </c>
      <c r="G20" s="6" t="n">
        <v>97</v>
      </c>
      <c r="H20" s="8" t="n">
        <v>0</v>
      </c>
      <c r="I20" s="6" t="n">
        <f aca="false">G20+H20</f>
        <v>97</v>
      </c>
      <c r="J20" s="87" t="n">
        <f aca="false">IF(L20&gt;0,L20,0)</f>
        <v>33.5192084698765</v>
      </c>
      <c r="K20" s="6" t="n">
        <f aca="false">I20+J20</f>
        <v>130.519208469876</v>
      </c>
      <c r="L20" s="6" t="n">
        <f aca="false">F20-(I20-X20)</f>
        <v>33.5192084698765</v>
      </c>
      <c r="M20" s="88" t="n">
        <v>4.1</v>
      </c>
      <c r="N20" s="89" t="n">
        <v>0</v>
      </c>
      <c r="O20" s="89" t="n">
        <v>0</v>
      </c>
      <c r="P20" s="90" t="n">
        <f aca="false">M20-(N20+O20)</f>
        <v>4.1</v>
      </c>
      <c r="Q20" s="6" t="n">
        <v>0</v>
      </c>
      <c r="R20" s="6" t="n">
        <v>0</v>
      </c>
      <c r="S20" s="6" t="n">
        <f aca="false">SUM(P20:R20)</f>
        <v>4.1</v>
      </c>
      <c r="T20" s="7"/>
      <c r="U20" s="6" t="n">
        <v>0</v>
      </c>
      <c r="V20" s="6" t="n">
        <v>15</v>
      </c>
      <c r="W20" s="7" t="n">
        <f aca="false">W19-V20</f>
        <v>2288</v>
      </c>
      <c r="X20" s="6" t="n">
        <f aca="false">N20+O20+S20+U20+V20</f>
        <v>19.1</v>
      </c>
      <c r="Y20" s="6" t="n">
        <f aca="false">IF(L20&lt;0,L20*-1,0)</f>
        <v>0</v>
      </c>
      <c r="Z20" s="6" t="n">
        <f aca="false">X20+Y20</f>
        <v>19.1</v>
      </c>
      <c r="AA20" s="60" t="n">
        <v>0.72</v>
      </c>
      <c r="AB20" s="92" t="n">
        <v>54</v>
      </c>
      <c r="AC20" s="73" t="n">
        <v>34</v>
      </c>
      <c r="AD20" s="13"/>
    </row>
    <row r="21" customFormat="false" ht="11.1" hidden="false" customHeight="true" outlineLevel="0" collapsed="false">
      <c r="A21" s="13" t="n">
        <f aca="false">A20+1</f>
        <v>10</v>
      </c>
      <c r="B21" s="74" t="n">
        <v>6857.53</v>
      </c>
      <c r="C21" s="67" t="n">
        <v>157521</v>
      </c>
      <c r="D21" s="72" t="n">
        <f aca="false">C21-C20</f>
        <v>156</v>
      </c>
      <c r="E21" s="67" t="n">
        <f aca="false">C21-152000</f>
        <v>5521</v>
      </c>
      <c r="F21" s="86" t="n">
        <f aca="false">D21/$D$2</f>
        <v>78.6488530375599</v>
      </c>
      <c r="G21" s="6" t="n">
        <v>96</v>
      </c>
      <c r="H21" s="8" t="n">
        <v>0</v>
      </c>
      <c r="I21" s="6" t="n">
        <f aca="false">G21+H21</f>
        <v>96</v>
      </c>
      <c r="J21" s="87" t="n">
        <f aca="false">IF(L21&gt;0,L21,0)</f>
        <v>0.748853037559869</v>
      </c>
      <c r="K21" s="6" t="n">
        <f aca="false">I21+J21</f>
        <v>96.7488530375599</v>
      </c>
      <c r="L21" s="6" t="n">
        <f aca="false">F21-(I21-X21)</f>
        <v>0.748853037559869</v>
      </c>
      <c r="M21" s="88" t="n">
        <v>4.1</v>
      </c>
      <c r="N21" s="89" t="n">
        <v>0</v>
      </c>
      <c r="O21" s="89" t="n">
        <v>0</v>
      </c>
      <c r="P21" s="90" t="n">
        <f aca="false">M21-(N21+O21)</f>
        <v>4.1</v>
      </c>
      <c r="Q21" s="6" t="n">
        <v>0</v>
      </c>
      <c r="R21" s="6" t="n">
        <v>0</v>
      </c>
      <c r="S21" s="6" t="n">
        <f aca="false">SUM(P21:R21)</f>
        <v>4.1</v>
      </c>
      <c r="T21" s="7"/>
      <c r="U21" s="6" t="n">
        <v>0</v>
      </c>
      <c r="V21" s="6" t="n">
        <v>14</v>
      </c>
      <c r="W21" s="7" t="n">
        <f aca="false">W20-V21</f>
        <v>2274</v>
      </c>
      <c r="X21" s="6" t="n">
        <f aca="false">N21+O21+S21+U21+V21</f>
        <v>18.1</v>
      </c>
      <c r="Y21" s="6" t="n">
        <f aca="false">IF(L21&lt;0,L21*-1,0)</f>
        <v>0</v>
      </c>
      <c r="Z21" s="6" t="n">
        <f aca="false">X21+Y21</f>
        <v>18.1</v>
      </c>
      <c r="AA21" s="60" t="n">
        <v>0.03</v>
      </c>
      <c r="AB21" s="72" t="n">
        <v>43</v>
      </c>
      <c r="AC21" s="73" t="n">
        <v>27</v>
      </c>
      <c r="AD21" s="13"/>
    </row>
    <row r="22" customFormat="false" ht="11.1" hidden="false" customHeight="true" outlineLevel="0" collapsed="false">
      <c r="A22" s="13" t="n">
        <f aca="false">A21+1</f>
        <v>11</v>
      </c>
      <c r="B22" s="74" t="n">
        <v>6857.53</v>
      </c>
      <c r="C22" s="67" t="n">
        <v>157521</v>
      </c>
      <c r="D22" s="72" t="n">
        <f aca="false">C22-C21</f>
        <v>0</v>
      </c>
      <c r="E22" s="67" t="n">
        <f aca="false">C22-152000</f>
        <v>5521</v>
      </c>
      <c r="F22" s="86" t="n">
        <f aca="false">D22/$D$2</f>
        <v>0</v>
      </c>
      <c r="G22" s="6" t="n">
        <v>76</v>
      </c>
      <c r="H22" s="8" t="n">
        <v>0</v>
      </c>
      <c r="I22" s="6" t="n">
        <f aca="false">G22+H22</f>
        <v>76</v>
      </c>
      <c r="J22" s="87" t="n">
        <f aca="false">IF(L22&gt;0,L22,0)</f>
        <v>0</v>
      </c>
      <c r="K22" s="6" t="n">
        <f aca="false">I22+J22</f>
        <v>76</v>
      </c>
      <c r="L22" s="6" t="n">
        <f aca="false">F22-(I22-X22)</f>
        <v>-21</v>
      </c>
      <c r="M22" s="88" t="n">
        <v>22</v>
      </c>
      <c r="N22" s="89" t="n">
        <v>0</v>
      </c>
      <c r="O22" s="89" t="n">
        <v>0</v>
      </c>
      <c r="P22" s="90" t="n">
        <f aca="false">M22-(N22+O22)</f>
        <v>22</v>
      </c>
      <c r="Q22" s="6" t="n">
        <v>9</v>
      </c>
      <c r="R22" s="6" t="n">
        <v>10</v>
      </c>
      <c r="S22" s="6" t="n">
        <f aca="false">SUM(P22:R22)</f>
        <v>41</v>
      </c>
      <c r="T22" s="7"/>
      <c r="U22" s="6" t="n">
        <v>0</v>
      </c>
      <c r="V22" s="6" t="n">
        <v>14</v>
      </c>
      <c r="W22" s="7" t="n">
        <f aca="false">W21-V22</f>
        <v>2260</v>
      </c>
      <c r="X22" s="6" t="n">
        <f aca="false">N22+O22+S22+U22+V22</f>
        <v>55</v>
      </c>
      <c r="Y22" s="6" t="n">
        <f aca="false">IF(L22&lt;0,L22*-1,0)</f>
        <v>21</v>
      </c>
      <c r="Z22" s="6" t="n">
        <f aca="false">X22+Y22</f>
        <v>76</v>
      </c>
      <c r="AA22" s="60" t="n">
        <v>0</v>
      </c>
      <c r="AB22" s="72" t="n">
        <v>42</v>
      </c>
      <c r="AC22" s="73" t="n">
        <v>27</v>
      </c>
      <c r="AD22" s="13"/>
    </row>
    <row r="23" customFormat="false" ht="11.1" hidden="false" customHeight="true" outlineLevel="0" collapsed="false">
      <c r="A23" s="13" t="n">
        <f aca="false">A22+1</f>
        <v>12</v>
      </c>
      <c r="B23" s="74" t="n">
        <v>6857.52</v>
      </c>
      <c r="C23" s="67" t="n">
        <v>157498</v>
      </c>
      <c r="D23" s="72" t="n">
        <f aca="false">C23-C22</f>
        <v>-23</v>
      </c>
      <c r="E23" s="67" t="n">
        <f aca="false">C23-152000</f>
        <v>5498</v>
      </c>
      <c r="F23" s="86" t="n">
        <f aca="false">D23/$D$2</f>
        <v>-11.5956642298966</v>
      </c>
      <c r="G23" s="6" t="n">
        <v>59</v>
      </c>
      <c r="H23" s="8" t="n">
        <v>0</v>
      </c>
      <c r="I23" s="6" t="n">
        <f aca="false">G23+H23</f>
        <v>59</v>
      </c>
      <c r="J23" s="87" t="n">
        <f aca="false">IF(L23&gt;0,L23,0)</f>
        <v>3.40433577010335</v>
      </c>
      <c r="K23" s="6" t="n">
        <f aca="false">I23+J23</f>
        <v>62.4043357701034</v>
      </c>
      <c r="L23" s="6" t="n">
        <f aca="false">F23-(I23-X23)</f>
        <v>3.40433577010335</v>
      </c>
      <c r="M23" s="88" t="n">
        <v>28</v>
      </c>
      <c r="N23" s="89" t="n">
        <v>0</v>
      </c>
      <c r="O23" s="89" t="n">
        <v>0</v>
      </c>
      <c r="P23" s="90" t="n">
        <f aca="false">M23-(N23+O23)</f>
        <v>28</v>
      </c>
      <c r="Q23" s="6" t="n">
        <v>17</v>
      </c>
      <c r="R23" s="6" t="n">
        <v>15</v>
      </c>
      <c r="S23" s="6" t="n">
        <f aca="false">SUM(P23:R23)</f>
        <v>60</v>
      </c>
      <c r="T23" s="7"/>
      <c r="U23" s="6" t="n">
        <v>0</v>
      </c>
      <c r="V23" s="6" t="n">
        <v>14</v>
      </c>
      <c r="W23" s="7" t="n">
        <f aca="false">W22-V23</f>
        <v>2246</v>
      </c>
      <c r="X23" s="6" t="n">
        <f aca="false">N23+O23+S23+U23+V23</f>
        <v>74</v>
      </c>
      <c r="Y23" s="6" t="n">
        <f aca="false">IF(L23&lt;0,L23*-1,0)</f>
        <v>0</v>
      </c>
      <c r="Z23" s="6" t="n">
        <f aca="false">X23+Y23</f>
        <v>74</v>
      </c>
      <c r="AA23" s="60" t="n">
        <v>0</v>
      </c>
      <c r="AB23" s="72" t="n">
        <v>46</v>
      </c>
      <c r="AC23" s="73" t="n">
        <v>22</v>
      </c>
      <c r="AD23" s="13"/>
    </row>
    <row r="24" customFormat="false" ht="11.1" hidden="false" customHeight="true" outlineLevel="0" collapsed="false">
      <c r="A24" s="13" t="n">
        <f aca="false">A23+1</f>
        <v>13</v>
      </c>
      <c r="B24" s="74" t="n">
        <v>6857.51</v>
      </c>
      <c r="C24" s="67" t="n">
        <v>157476</v>
      </c>
      <c r="D24" s="72" t="n">
        <f aca="false">C24-C23</f>
        <v>-22</v>
      </c>
      <c r="E24" s="67" t="n">
        <f aca="false">C24-152000</f>
        <v>5476</v>
      </c>
      <c r="F24" s="86" t="n">
        <f aca="false">D24/$D$2</f>
        <v>-11.0915049155533</v>
      </c>
      <c r="G24" s="6" t="n">
        <v>61</v>
      </c>
      <c r="H24" s="8" t="n">
        <v>0</v>
      </c>
      <c r="I24" s="6" t="n">
        <f aca="false">G24+H24</f>
        <v>61</v>
      </c>
      <c r="J24" s="87" t="n">
        <f aca="false">IF(L24&gt;0,L24,0)</f>
        <v>4.90849508444668</v>
      </c>
      <c r="K24" s="6" t="n">
        <f aca="false">I24+J24</f>
        <v>65.9084950844467</v>
      </c>
      <c r="L24" s="6" t="n">
        <f aca="false">F24-(I24-X24)</f>
        <v>4.90849508444668</v>
      </c>
      <c r="M24" s="88" t="n">
        <v>27</v>
      </c>
      <c r="N24" s="89" t="n">
        <v>0</v>
      </c>
      <c r="O24" s="89" t="n">
        <v>0</v>
      </c>
      <c r="P24" s="90" t="n">
        <f aca="false">M24-(N24+O24)</f>
        <v>27</v>
      </c>
      <c r="Q24" s="6" t="n">
        <v>21</v>
      </c>
      <c r="R24" s="6" t="n">
        <v>15</v>
      </c>
      <c r="S24" s="6" t="n">
        <f aca="false">SUM(P24:R24)</f>
        <v>63</v>
      </c>
      <c r="T24" s="7"/>
      <c r="U24" s="6" t="n">
        <v>0</v>
      </c>
      <c r="V24" s="6" t="n">
        <v>14</v>
      </c>
      <c r="W24" s="7" t="n">
        <f aca="false">W23-V24</f>
        <v>2232</v>
      </c>
      <c r="X24" s="6" t="n">
        <f aca="false">N24+O24+S24+U24+V24</f>
        <v>77</v>
      </c>
      <c r="Y24" s="6" t="n">
        <f aca="false">IF(L24&lt;0,L24*-1,0)</f>
        <v>0</v>
      </c>
      <c r="Z24" s="6" t="n">
        <f aca="false">X24+Y24</f>
        <v>77</v>
      </c>
      <c r="AA24" s="60" t="n">
        <v>0</v>
      </c>
      <c r="AB24" s="72" t="n">
        <v>48</v>
      </c>
      <c r="AC24" s="73" t="n">
        <v>28</v>
      </c>
      <c r="AD24" s="13"/>
    </row>
    <row r="25" customFormat="false" ht="11.1" hidden="false" customHeight="true" outlineLevel="0" collapsed="false">
      <c r="A25" s="13" t="n">
        <f aca="false">A24+1</f>
        <v>14</v>
      </c>
      <c r="B25" s="74" t="n">
        <v>6857.52</v>
      </c>
      <c r="C25" s="67" t="n">
        <v>157498</v>
      </c>
      <c r="D25" s="72" t="n">
        <f aca="false">C25-C24</f>
        <v>22</v>
      </c>
      <c r="E25" s="67" t="n">
        <f aca="false">C25-152000</f>
        <v>5498</v>
      </c>
      <c r="F25" s="86" t="n">
        <f aca="false">D25/$D$2</f>
        <v>11.0915049155533</v>
      </c>
      <c r="G25" s="6" t="n">
        <v>70</v>
      </c>
      <c r="H25" s="8" t="n">
        <v>0</v>
      </c>
      <c r="I25" s="6" t="n">
        <f aca="false">G25+H25</f>
        <v>70</v>
      </c>
      <c r="J25" s="87" t="n">
        <f aca="false">IF(L25&gt;0,L25,0)</f>
        <v>0</v>
      </c>
      <c r="K25" s="6" t="n">
        <f aca="false">I25+J25</f>
        <v>70</v>
      </c>
      <c r="L25" s="6" t="n">
        <f aca="false">F25-(I25-X25)</f>
        <v>-0.908495084446685</v>
      </c>
      <c r="M25" s="88" t="n">
        <v>18</v>
      </c>
      <c r="N25" s="89" t="n">
        <v>0</v>
      </c>
      <c r="O25" s="89" t="n">
        <v>0</v>
      </c>
      <c r="P25" s="90" t="n">
        <f aca="false">M25-(N25+O25)</f>
        <v>18</v>
      </c>
      <c r="Q25" s="6" t="n">
        <v>15</v>
      </c>
      <c r="R25" s="6" t="n">
        <v>11</v>
      </c>
      <c r="S25" s="6" t="n">
        <f aca="false">SUM(P25:R25)</f>
        <v>44</v>
      </c>
      <c r="T25" s="7"/>
      <c r="U25" s="6" t="n">
        <v>0</v>
      </c>
      <c r="V25" s="6" t="n">
        <v>14</v>
      </c>
      <c r="W25" s="7" t="n">
        <f aca="false">W24-V25</f>
        <v>2218</v>
      </c>
      <c r="X25" s="6" t="n">
        <f aca="false">N25+O25+S25+U25+V25</f>
        <v>58</v>
      </c>
      <c r="Y25" s="6" t="n">
        <f aca="false">IF(L25&lt;0,L25*-1,0)</f>
        <v>0.908495084446685</v>
      </c>
      <c r="Z25" s="6" t="n">
        <f aca="false">X25+Y25</f>
        <v>58.9084950844467</v>
      </c>
      <c r="AA25" s="60" t="n">
        <v>0</v>
      </c>
      <c r="AB25" s="92" t="n">
        <v>45</v>
      </c>
      <c r="AC25" s="73" t="n">
        <v>29</v>
      </c>
      <c r="AD25" s="13"/>
    </row>
    <row r="26" customFormat="false" ht="11.1" hidden="false" customHeight="true" outlineLevel="0" collapsed="false">
      <c r="A26" s="13" t="n">
        <f aca="false">A25+1</f>
        <v>15</v>
      </c>
      <c r="B26" s="74" t="n">
        <v>6857.55</v>
      </c>
      <c r="C26" s="67" t="n">
        <v>157565</v>
      </c>
      <c r="D26" s="72" t="n">
        <f aca="false">C26-C25</f>
        <v>67</v>
      </c>
      <c r="E26" s="67" t="n">
        <f aca="false">C26-152000</f>
        <v>5565</v>
      </c>
      <c r="F26" s="86" t="n">
        <f aca="false">D26/$D$2</f>
        <v>33.7786740610033</v>
      </c>
      <c r="G26" s="6" t="n">
        <v>68</v>
      </c>
      <c r="H26" s="8" t="n">
        <v>0</v>
      </c>
      <c r="I26" s="6" t="n">
        <f aca="false">G26+H26</f>
        <v>68</v>
      </c>
      <c r="J26" s="87" t="n">
        <f aca="false">IF(L26&gt;0,L26,0)</f>
        <v>0</v>
      </c>
      <c r="K26" s="6" t="n">
        <f aca="false">I26+J26</f>
        <v>68</v>
      </c>
      <c r="L26" s="6" t="n">
        <f aca="false">F26-(I26-X26)</f>
        <v>-15.4213259389967</v>
      </c>
      <c r="M26" s="88" t="n">
        <v>4.8</v>
      </c>
      <c r="N26" s="89" t="n">
        <v>0</v>
      </c>
      <c r="O26" s="89" t="n">
        <v>0</v>
      </c>
      <c r="P26" s="90" t="n">
        <f aca="false">M26-(N26+O26)</f>
        <v>4.8</v>
      </c>
      <c r="Q26" s="6" t="n">
        <v>0</v>
      </c>
      <c r="R26" s="6" t="n">
        <v>0</v>
      </c>
      <c r="S26" s="6" t="n">
        <f aca="false">SUM(P26:R26)</f>
        <v>4.8</v>
      </c>
      <c r="T26" s="7"/>
      <c r="U26" s="6" t="n">
        <v>0</v>
      </c>
      <c r="V26" s="6" t="n">
        <v>14</v>
      </c>
      <c r="W26" s="7" t="n">
        <f aca="false">W25-V26</f>
        <v>2204</v>
      </c>
      <c r="X26" s="6" t="n">
        <f aca="false">N26+O26+S26+U26+V26</f>
        <v>18.8</v>
      </c>
      <c r="Y26" s="6" t="n">
        <f aca="false">IF(L26&lt;0,L26*-1,0)</f>
        <v>15.4213259389967</v>
      </c>
      <c r="Z26" s="6" t="n">
        <f aca="false">X26+Y26</f>
        <v>34.2213259389967</v>
      </c>
      <c r="AA26" s="60" t="n">
        <v>0</v>
      </c>
      <c r="AB26" s="92" t="n">
        <v>41</v>
      </c>
      <c r="AC26" s="73" t="n">
        <v>26</v>
      </c>
      <c r="AD26" s="13"/>
    </row>
    <row r="27" customFormat="false" ht="11.1" hidden="false" customHeight="true" outlineLevel="0" collapsed="false">
      <c r="A27" s="13" t="n">
        <f aca="false">A26+1</f>
        <v>16</v>
      </c>
      <c r="B27" s="74" t="n">
        <v>6857.58</v>
      </c>
      <c r="C27" s="67" t="n">
        <v>157631</v>
      </c>
      <c r="D27" s="72" t="n">
        <f aca="false">C27-C26</f>
        <v>66</v>
      </c>
      <c r="E27" s="67" t="n">
        <f aca="false">C27-152000</f>
        <v>5631</v>
      </c>
      <c r="F27" s="86" t="n">
        <f aca="false">D27/$D$2</f>
        <v>33.2745147466599</v>
      </c>
      <c r="G27" s="6" t="n">
        <v>50</v>
      </c>
      <c r="H27" s="8" t="n">
        <v>0</v>
      </c>
      <c r="I27" s="6" t="n">
        <f aca="false">G27+H27</f>
        <v>50</v>
      </c>
      <c r="J27" s="87" t="n">
        <f aca="false">IF(L27&gt;0,L27,0)</f>
        <v>2.07451474665995</v>
      </c>
      <c r="K27" s="6" t="n">
        <f aca="false">I27+J27</f>
        <v>52.0745147466599</v>
      </c>
      <c r="L27" s="6" t="n">
        <f aca="false">F27-(I27-X27)</f>
        <v>2.07451474665995</v>
      </c>
      <c r="M27" s="88" t="n">
        <v>4.8</v>
      </c>
      <c r="N27" s="89" t="n">
        <v>0</v>
      </c>
      <c r="O27" s="89" t="n">
        <v>0</v>
      </c>
      <c r="P27" s="90" t="n">
        <f aca="false">M27-(N27+O27)</f>
        <v>4.8</v>
      </c>
      <c r="Q27" s="6" t="n">
        <v>0</v>
      </c>
      <c r="R27" s="6" t="n">
        <v>0</v>
      </c>
      <c r="S27" s="6" t="n">
        <f aca="false">SUM(P27:R27)</f>
        <v>4.8</v>
      </c>
      <c r="T27" s="7"/>
      <c r="U27" s="6" t="n">
        <v>0</v>
      </c>
      <c r="V27" s="6" t="n">
        <v>14</v>
      </c>
      <c r="W27" s="7" t="n">
        <f aca="false">W26-V27</f>
        <v>2190</v>
      </c>
      <c r="X27" s="6" t="n">
        <f aca="false">N27+O27+S27+U27+V27</f>
        <v>18.8</v>
      </c>
      <c r="Y27" s="6" t="n">
        <f aca="false">IF(L27&lt;0,L27*-1,0)</f>
        <v>0</v>
      </c>
      <c r="Z27" s="6" t="n">
        <f aca="false">X27+Y27</f>
        <v>18.8</v>
      </c>
      <c r="AA27" s="60" t="n">
        <v>0</v>
      </c>
      <c r="AB27" s="92" t="n">
        <v>43</v>
      </c>
      <c r="AC27" s="73" t="n">
        <v>24</v>
      </c>
      <c r="AD27" s="13"/>
    </row>
    <row r="28" customFormat="false" ht="11.1" hidden="false" customHeight="true" outlineLevel="0" collapsed="false">
      <c r="A28" s="13" t="n">
        <f aca="false">A27+1</f>
        <v>17</v>
      </c>
      <c r="B28" s="74" t="n">
        <v>6857.61</v>
      </c>
      <c r="C28" s="67" t="n">
        <v>157698</v>
      </c>
      <c r="D28" s="72" t="n">
        <f aca="false">C28-C27</f>
        <v>67</v>
      </c>
      <c r="E28" s="67" t="n">
        <f aca="false">C28-152000</f>
        <v>5698</v>
      </c>
      <c r="F28" s="86" t="n">
        <f aca="false">D28/$D$2</f>
        <v>33.7786740610033</v>
      </c>
      <c r="G28" s="6" t="n">
        <v>47</v>
      </c>
      <c r="H28" s="8" t="n">
        <v>0</v>
      </c>
      <c r="I28" s="6" t="n">
        <f aca="false">G28+H28</f>
        <v>47</v>
      </c>
      <c r="J28" s="87" t="n">
        <f aca="false">IF(L28&gt;0,L28,0)</f>
        <v>5.37867406100328</v>
      </c>
      <c r="K28" s="6" t="n">
        <f aca="false">I28+J28</f>
        <v>52.3786740610033</v>
      </c>
      <c r="L28" s="6" t="n">
        <f aca="false">F28-(I28-X28)</f>
        <v>5.37867406100328</v>
      </c>
      <c r="M28" s="88" t="n">
        <v>4.6</v>
      </c>
      <c r="N28" s="89" t="n">
        <v>0</v>
      </c>
      <c r="O28" s="89" t="n">
        <v>0</v>
      </c>
      <c r="P28" s="90" t="n">
        <f aca="false">M28-(N28+O28)</f>
        <v>4.6</v>
      </c>
      <c r="Q28" s="6" t="n">
        <v>0</v>
      </c>
      <c r="R28" s="6" t="n">
        <v>0</v>
      </c>
      <c r="S28" s="6" t="n">
        <f aca="false">SUM(P28:R28)</f>
        <v>4.6</v>
      </c>
      <c r="T28" s="7"/>
      <c r="U28" s="6" t="n">
        <v>0</v>
      </c>
      <c r="V28" s="6" t="n">
        <v>14</v>
      </c>
      <c r="W28" s="7" t="n">
        <f aca="false">W27-V28</f>
        <v>2176</v>
      </c>
      <c r="X28" s="6" t="n">
        <f aca="false">N28+O28+S28+U28+V28</f>
        <v>18.6</v>
      </c>
      <c r="Y28" s="6" t="n">
        <f aca="false">IF(L28&lt;0,L28*-1,0)</f>
        <v>0</v>
      </c>
      <c r="Z28" s="6" t="n">
        <f aca="false">X28+Y28</f>
        <v>18.6</v>
      </c>
      <c r="AA28" s="60" t="n">
        <v>0</v>
      </c>
      <c r="AB28" s="92" t="n">
        <v>49</v>
      </c>
      <c r="AC28" s="73" t="n">
        <v>27</v>
      </c>
      <c r="AD28" s="13"/>
    </row>
    <row r="29" customFormat="false" ht="11.1" hidden="false" customHeight="true" outlineLevel="0" collapsed="false">
      <c r="A29" s="13" t="n">
        <f aca="false">A28+1</f>
        <v>18</v>
      </c>
      <c r="B29" s="74" t="n">
        <v>6857.62</v>
      </c>
      <c r="C29" s="67" t="n">
        <v>157720</v>
      </c>
      <c r="D29" s="72" t="n">
        <f aca="false">C29-C28</f>
        <v>22</v>
      </c>
      <c r="E29" s="67" t="n">
        <f aca="false">C29-152000</f>
        <v>5720</v>
      </c>
      <c r="F29" s="86" t="n">
        <f aca="false">D29/$D$2</f>
        <v>11.0915049155533</v>
      </c>
      <c r="G29" s="6" t="n">
        <v>47</v>
      </c>
      <c r="H29" s="8" t="n">
        <v>0</v>
      </c>
      <c r="I29" s="6" t="n">
        <f aca="false">G29+H29</f>
        <v>47</v>
      </c>
      <c r="J29" s="87" t="n">
        <f aca="false">IF(L29&gt;0,L29,0)</f>
        <v>0</v>
      </c>
      <c r="K29" s="6" t="n">
        <f aca="false">I29+J29</f>
        <v>47</v>
      </c>
      <c r="L29" s="6" t="n">
        <f aca="false">F29-(I29-X29)</f>
        <v>-17.5084950844467</v>
      </c>
      <c r="M29" s="88" t="n">
        <v>4.4</v>
      </c>
      <c r="N29" s="89" t="n">
        <v>0</v>
      </c>
      <c r="O29" s="89" t="n">
        <v>0</v>
      </c>
      <c r="P29" s="90" t="n">
        <f aca="false">M29-(N29+O29)</f>
        <v>4.4</v>
      </c>
      <c r="Q29" s="6" t="n">
        <v>0</v>
      </c>
      <c r="R29" s="6" t="n">
        <v>0</v>
      </c>
      <c r="S29" s="6" t="n">
        <f aca="false">SUM(P29:R29)</f>
        <v>4.4</v>
      </c>
      <c r="T29" s="7"/>
      <c r="U29" s="6" t="n">
        <v>0</v>
      </c>
      <c r="V29" s="6" t="n">
        <v>14</v>
      </c>
      <c r="W29" s="7" t="n">
        <f aca="false">W28-V29</f>
        <v>2162</v>
      </c>
      <c r="X29" s="6" t="n">
        <f aca="false">N29+O29+S29+U29+V29</f>
        <v>18.4</v>
      </c>
      <c r="Y29" s="6" t="n">
        <f aca="false">IF(L29&lt;0,L29*-1,0)</f>
        <v>17.5084950844467</v>
      </c>
      <c r="Z29" s="6" t="n">
        <f aca="false">X29+Y29</f>
        <v>35.9084950844467</v>
      </c>
      <c r="AA29" s="60" t="n">
        <v>0</v>
      </c>
      <c r="AB29" s="92" t="n">
        <v>52</v>
      </c>
      <c r="AC29" s="73" t="n">
        <v>25</v>
      </c>
      <c r="AD29" s="13"/>
    </row>
    <row r="30" customFormat="false" ht="11.1" hidden="false" customHeight="true" outlineLevel="0" collapsed="false">
      <c r="A30" s="13" t="n">
        <f aca="false">A29+1</f>
        <v>19</v>
      </c>
      <c r="B30" s="74" t="n">
        <v>6857.64</v>
      </c>
      <c r="C30" s="67" t="n">
        <v>157764</v>
      </c>
      <c r="D30" s="72" t="n">
        <f aca="false">C30-C29</f>
        <v>44</v>
      </c>
      <c r="E30" s="67" t="n">
        <f aca="false">C30-152000</f>
        <v>5764</v>
      </c>
      <c r="F30" s="86" t="n">
        <f aca="false">D30/$D$2</f>
        <v>22.1830098311066</v>
      </c>
      <c r="G30" s="6" t="n">
        <v>51</v>
      </c>
      <c r="H30" s="8" t="n">
        <v>0</v>
      </c>
      <c r="I30" s="6" t="n">
        <f aca="false">G30+H30</f>
        <v>51</v>
      </c>
      <c r="J30" s="87" t="n">
        <f aca="false">IF(L30&gt;0,L30,0)</f>
        <v>0</v>
      </c>
      <c r="K30" s="6" t="n">
        <f aca="false">I30+J30</f>
        <v>51</v>
      </c>
      <c r="L30" s="6" t="n">
        <f aca="false">F30-(I30-X30)</f>
        <v>-9.41699016889337</v>
      </c>
      <c r="M30" s="88" t="n">
        <v>4.4</v>
      </c>
      <c r="N30" s="89" t="n">
        <v>0</v>
      </c>
      <c r="O30" s="89" t="n">
        <v>0</v>
      </c>
      <c r="P30" s="90" t="n">
        <f aca="false">M30-(N30+O30)</f>
        <v>4.4</v>
      </c>
      <c r="Q30" s="6" t="n">
        <v>0</v>
      </c>
      <c r="R30" s="6" t="n">
        <v>0</v>
      </c>
      <c r="S30" s="6" t="n">
        <f aca="false">SUM(P30:R30)</f>
        <v>4.4</v>
      </c>
      <c r="T30" s="7"/>
      <c r="U30" s="6" t="n">
        <v>0</v>
      </c>
      <c r="V30" s="6" t="n">
        <v>15</v>
      </c>
      <c r="W30" s="7" t="n">
        <f aca="false">W29-V30</f>
        <v>2147</v>
      </c>
      <c r="X30" s="6" t="n">
        <f aca="false">N30+O30+S30+U30+V30</f>
        <v>19.4</v>
      </c>
      <c r="Y30" s="6" t="n">
        <f aca="false">IF(L30&lt;0,L30*-1,0)</f>
        <v>9.41699016889337</v>
      </c>
      <c r="Z30" s="6" t="n">
        <f aca="false">X30+Y30</f>
        <v>28.8169901688934</v>
      </c>
      <c r="AA30" s="60" t="n">
        <v>0</v>
      </c>
      <c r="AB30" s="92" t="n">
        <v>54</v>
      </c>
      <c r="AC30" s="73" t="n">
        <v>23</v>
      </c>
      <c r="AD30" s="13"/>
    </row>
    <row r="31" customFormat="false" ht="11.1" hidden="false" customHeight="true" outlineLevel="0" collapsed="false">
      <c r="A31" s="13" t="n">
        <f aca="false">A30+1</f>
        <v>20</v>
      </c>
      <c r="B31" s="74" t="n">
        <v>6857.66</v>
      </c>
      <c r="C31" s="67" t="n">
        <v>157809</v>
      </c>
      <c r="D31" s="72" t="n">
        <f aca="false">C31-C30</f>
        <v>45</v>
      </c>
      <c r="E31" s="67" t="n">
        <f aca="false">C31-152000</f>
        <v>5809</v>
      </c>
      <c r="F31" s="86" t="n">
        <f aca="false">D31/$D$2</f>
        <v>22.68716914545</v>
      </c>
      <c r="G31" s="6" t="n">
        <v>46</v>
      </c>
      <c r="H31" s="8" t="n">
        <v>0</v>
      </c>
      <c r="I31" s="6" t="n">
        <f aca="false">G31+H31</f>
        <v>46</v>
      </c>
      <c r="J31" s="87" t="n">
        <f aca="false">IF(L31&gt;0,L31,0)</f>
        <v>0</v>
      </c>
      <c r="K31" s="6" t="n">
        <f aca="false">I31+J31</f>
        <v>46</v>
      </c>
      <c r="L31" s="6" t="n">
        <f aca="false">F31-(I31-X31)</f>
        <v>-3.71283085455004</v>
      </c>
      <c r="M31" s="88" t="n">
        <v>4.6</v>
      </c>
      <c r="N31" s="89" t="n">
        <v>0</v>
      </c>
      <c r="O31" s="89" t="n">
        <v>0</v>
      </c>
      <c r="P31" s="90" t="n">
        <f aca="false">M31-(N31+O31)</f>
        <v>4.6</v>
      </c>
      <c r="Q31" s="6" t="n">
        <v>0</v>
      </c>
      <c r="R31" s="6" t="n">
        <v>0</v>
      </c>
      <c r="S31" s="6" t="n">
        <f aca="false">SUM(P31:R31)</f>
        <v>4.6</v>
      </c>
      <c r="T31" s="7"/>
      <c r="U31" s="6" t="n">
        <v>0</v>
      </c>
      <c r="V31" s="6" t="n">
        <v>15</v>
      </c>
      <c r="W31" s="7" t="n">
        <f aca="false">W30-V31</f>
        <v>2132</v>
      </c>
      <c r="X31" s="6" t="n">
        <f aca="false">N31+O31+S31+U31+V31</f>
        <v>19.6</v>
      </c>
      <c r="Y31" s="6" t="n">
        <f aca="false">IF(L31&lt;0,L31*-1,0)</f>
        <v>3.71283085455004</v>
      </c>
      <c r="Z31" s="6" t="n">
        <f aca="false">X31+Y31</f>
        <v>23.31283085455</v>
      </c>
      <c r="AA31" s="60" t="n">
        <v>0</v>
      </c>
      <c r="AB31" s="92" t="n">
        <v>54</v>
      </c>
      <c r="AC31" s="73" t="n">
        <v>28</v>
      </c>
      <c r="AD31" s="13"/>
    </row>
    <row r="32" customFormat="false" ht="11.1" hidden="false" customHeight="true" outlineLevel="0" collapsed="false">
      <c r="A32" s="13" t="n">
        <f aca="false">A31+1</f>
        <v>21</v>
      </c>
      <c r="B32" s="74" t="n">
        <v>6857.68</v>
      </c>
      <c r="C32" s="67" t="n">
        <v>157853</v>
      </c>
      <c r="D32" s="72" t="n">
        <f aca="false">C32-C31</f>
        <v>44</v>
      </c>
      <c r="E32" s="67" t="n">
        <f aca="false">C32-152000</f>
        <v>5853</v>
      </c>
      <c r="F32" s="86" t="n">
        <f aca="false">D32/$D$2</f>
        <v>22.1830098311066</v>
      </c>
      <c r="G32" s="6" t="n">
        <v>46</v>
      </c>
      <c r="H32" s="8" t="n">
        <v>0</v>
      </c>
      <c r="I32" s="6" t="n">
        <f aca="false">G32+H32</f>
        <v>46</v>
      </c>
      <c r="J32" s="87" t="n">
        <f aca="false">IF(L32&gt;0,L32,0)</f>
        <v>0</v>
      </c>
      <c r="K32" s="6" t="n">
        <f aca="false">I32+J32</f>
        <v>46</v>
      </c>
      <c r="L32" s="6" t="n">
        <f aca="false">F32-(I32-X32)</f>
        <v>-4.61699016889337</v>
      </c>
      <c r="M32" s="88" t="n">
        <v>4.2</v>
      </c>
      <c r="N32" s="89" t="n">
        <v>0</v>
      </c>
      <c r="O32" s="89" t="n">
        <v>0</v>
      </c>
      <c r="P32" s="90" t="n">
        <f aca="false">M32-(N32+O32)</f>
        <v>4.2</v>
      </c>
      <c r="Q32" s="6" t="n">
        <v>0</v>
      </c>
      <c r="R32" s="6" t="n">
        <v>0</v>
      </c>
      <c r="S32" s="6" t="n">
        <f aca="false">SUM(P32:R32)</f>
        <v>4.2</v>
      </c>
      <c r="T32" s="7"/>
      <c r="U32" s="6" t="n">
        <v>0</v>
      </c>
      <c r="V32" s="6" t="n">
        <v>15</v>
      </c>
      <c r="W32" s="7" t="n">
        <f aca="false">W31-V32</f>
        <v>2117</v>
      </c>
      <c r="X32" s="6" t="n">
        <f aca="false">N32+O32+S32+U32+V32</f>
        <v>19.2</v>
      </c>
      <c r="Y32" s="6" t="n">
        <f aca="false">IF(L32&lt;0,L32*-1,0)</f>
        <v>4.61699016889337</v>
      </c>
      <c r="Z32" s="6" t="n">
        <f aca="false">X32+Y32</f>
        <v>23.8169901688934</v>
      </c>
      <c r="AA32" s="60" t="n">
        <v>0</v>
      </c>
      <c r="AB32" s="72" t="n">
        <v>60</v>
      </c>
      <c r="AC32" s="73" t="n">
        <v>28</v>
      </c>
      <c r="AD32" s="13"/>
    </row>
    <row r="33" customFormat="false" ht="11.1" hidden="false" customHeight="true" outlineLevel="0" collapsed="false">
      <c r="A33" s="13" t="n">
        <f aca="false">A32+1</f>
        <v>22</v>
      </c>
      <c r="B33" s="74" t="n">
        <v>6857.7</v>
      </c>
      <c r="C33" s="67" t="n">
        <v>157898</v>
      </c>
      <c r="D33" s="72" t="n">
        <f aca="false">C33-C32</f>
        <v>45</v>
      </c>
      <c r="E33" s="67" t="n">
        <f aca="false">C33-152000</f>
        <v>5898</v>
      </c>
      <c r="F33" s="86" t="n">
        <f aca="false">D33/$D$2</f>
        <v>22.68716914545</v>
      </c>
      <c r="G33" s="6" t="n">
        <v>50</v>
      </c>
      <c r="H33" s="8" t="n">
        <v>0</v>
      </c>
      <c r="I33" s="6" t="n">
        <f aca="false">G33+H33</f>
        <v>50</v>
      </c>
      <c r="J33" s="87" t="n">
        <f aca="false">IF(L33&gt;0,L33,0)</f>
        <v>0</v>
      </c>
      <c r="K33" s="6" t="n">
        <f aca="false">I33+J33</f>
        <v>50</v>
      </c>
      <c r="L33" s="6" t="n">
        <f aca="false">F33-(I33-X33)</f>
        <v>-9.21283085455004</v>
      </c>
      <c r="M33" s="88" t="n">
        <v>4.1</v>
      </c>
      <c r="N33" s="89" t="n">
        <v>0</v>
      </c>
      <c r="O33" s="89" t="n">
        <v>0</v>
      </c>
      <c r="P33" s="90" t="n">
        <f aca="false">M33-(N33+O33)</f>
        <v>4.1</v>
      </c>
      <c r="Q33" s="6" t="n">
        <v>0</v>
      </c>
      <c r="R33" s="6" t="n">
        <v>0</v>
      </c>
      <c r="S33" s="6" t="n">
        <f aca="false">SUM(P33:R33)</f>
        <v>4.1</v>
      </c>
      <c r="T33" s="7"/>
      <c r="U33" s="6" t="n">
        <v>0</v>
      </c>
      <c r="V33" s="6" t="n">
        <v>14</v>
      </c>
      <c r="W33" s="7" t="n">
        <f aca="false">W32-V33</f>
        <v>2103</v>
      </c>
      <c r="X33" s="6" t="n">
        <f aca="false">N33+O33+S33+U33+V33</f>
        <v>18.1</v>
      </c>
      <c r="Y33" s="6" t="n">
        <f aca="false">IF(L33&lt;0,L33*-1,0)</f>
        <v>9.21283085455004</v>
      </c>
      <c r="Z33" s="6" t="n">
        <f aca="false">X33+Y33</f>
        <v>27.31283085455</v>
      </c>
      <c r="AA33" s="60" t="n">
        <v>0</v>
      </c>
      <c r="AB33" s="72" t="n">
        <v>59</v>
      </c>
      <c r="AC33" s="73" t="n">
        <v>29</v>
      </c>
      <c r="AD33" s="13"/>
    </row>
    <row r="34" customFormat="false" ht="11.1" hidden="false" customHeight="true" outlineLevel="0" collapsed="false">
      <c r="A34" s="13" t="n">
        <f aca="false">A33+1</f>
        <v>23</v>
      </c>
      <c r="B34" s="74" t="n">
        <v>6857.71</v>
      </c>
      <c r="C34" s="67" t="n">
        <v>157920</v>
      </c>
      <c r="D34" s="72" t="n">
        <f aca="false">C34-C33</f>
        <v>22</v>
      </c>
      <c r="E34" s="67" t="n">
        <f aca="false">C34-152000</f>
        <v>5920</v>
      </c>
      <c r="F34" s="86" t="n">
        <f aca="false">D34/$D$2</f>
        <v>11.0915049155533</v>
      </c>
      <c r="G34" s="6" t="n">
        <v>55</v>
      </c>
      <c r="H34" s="8" t="n">
        <v>0</v>
      </c>
      <c r="I34" s="6" t="n">
        <f aca="false">G34+H34</f>
        <v>55</v>
      </c>
      <c r="J34" s="87" t="n">
        <f aca="false">IF(L34&gt;0,L34,0)</f>
        <v>0</v>
      </c>
      <c r="K34" s="6" t="n">
        <f aca="false">I34+J34</f>
        <v>55</v>
      </c>
      <c r="L34" s="6" t="n">
        <f aca="false">F34-(I34-X34)</f>
        <v>-25.8084950844467</v>
      </c>
      <c r="M34" s="88" t="n">
        <v>4.1</v>
      </c>
      <c r="N34" s="89" t="n">
        <v>0</v>
      </c>
      <c r="O34" s="89" t="n">
        <v>0</v>
      </c>
      <c r="P34" s="90" t="n">
        <f aca="false">M34-(N34+O34)</f>
        <v>4.1</v>
      </c>
      <c r="Q34" s="6" t="n">
        <v>0</v>
      </c>
      <c r="R34" s="6" t="n">
        <v>0</v>
      </c>
      <c r="S34" s="6" t="n">
        <f aca="false">SUM(P34:R34)</f>
        <v>4.1</v>
      </c>
      <c r="T34" s="7"/>
      <c r="U34" s="6" t="n">
        <v>0</v>
      </c>
      <c r="V34" s="6" t="n">
        <v>14</v>
      </c>
      <c r="W34" s="7" t="n">
        <f aca="false">W33-V34</f>
        <v>2089</v>
      </c>
      <c r="X34" s="6" t="n">
        <f aca="false">N34+O34+S34+U34+V34</f>
        <v>18.1</v>
      </c>
      <c r="Y34" s="6" t="n">
        <f aca="false">IF(L34&lt;0,L34*-1,0)</f>
        <v>25.8084950844467</v>
      </c>
      <c r="Z34" s="6" t="n">
        <f aca="false">X34+Y34</f>
        <v>43.9084950844467</v>
      </c>
      <c r="AA34" s="60" t="n">
        <v>0</v>
      </c>
      <c r="AB34" s="72" t="n">
        <v>56</v>
      </c>
      <c r="AC34" s="93" t="n">
        <v>29</v>
      </c>
      <c r="AD34" s="13"/>
    </row>
    <row r="35" customFormat="false" ht="11.1" hidden="false" customHeight="true" outlineLevel="0" collapsed="false">
      <c r="A35" s="13" t="n">
        <f aca="false">A34+1</f>
        <v>24</v>
      </c>
      <c r="B35" s="74" t="n">
        <v>6857.72</v>
      </c>
      <c r="C35" s="67" t="n">
        <v>157942</v>
      </c>
      <c r="D35" s="72" t="n">
        <f aca="false">C35-C34</f>
        <v>22</v>
      </c>
      <c r="E35" s="67" t="n">
        <f aca="false">C35-152000</f>
        <v>5942</v>
      </c>
      <c r="F35" s="86" t="n">
        <f aca="false">D35/$D$2</f>
        <v>11.0915049155533</v>
      </c>
      <c r="G35" s="6" t="n">
        <v>58</v>
      </c>
      <c r="H35" s="8" t="n">
        <v>0</v>
      </c>
      <c r="I35" s="6" t="n">
        <f aca="false">G35+H35</f>
        <v>58</v>
      </c>
      <c r="J35" s="87" t="n">
        <f aca="false">IF(L35&gt;0,L35,0)</f>
        <v>0</v>
      </c>
      <c r="K35" s="6" t="n">
        <f aca="false">I35+J35</f>
        <v>58</v>
      </c>
      <c r="L35" s="6" t="n">
        <f aca="false">F35-(I35-X35)</f>
        <v>-28.7084950844467</v>
      </c>
      <c r="M35" s="88" t="n">
        <v>4.2</v>
      </c>
      <c r="N35" s="89" t="n">
        <v>0</v>
      </c>
      <c r="O35" s="89" t="n">
        <v>0</v>
      </c>
      <c r="P35" s="90" t="n">
        <f aca="false">M35-(N35+O35)</f>
        <v>4.2</v>
      </c>
      <c r="Q35" s="6" t="n">
        <v>0</v>
      </c>
      <c r="R35" s="6" t="n">
        <v>0</v>
      </c>
      <c r="S35" s="6" t="n">
        <f aca="false">SUM(P35:R35)</f>
        <v>4.2</v>
      </c>
      <c r="T35" s="7"/>
      <c r="U35" s="6" t="n">
        <v>0</v>
      </c>
      <c r="V35" s="6" t="n">
        <v>14</v>
      </c>
      <c r="W35" s="7" t="n">
        <f aca="false">W34-V35</f>
        <v>2075</v>
      </c>
      <c r="X35" s="6" t="n">
        <f aca="false">N35+O35+S35+U35+V35</f>
        <v>18.2</v>
      </c>
      <c r="Y35" s="6" t="n">
        <f aca="false">IF(L35&lt;0,L35*-1,0)</f>
        <v>28.7084950844467</v>
      </c>
      <c r="Z35" s="6" t="n">
        <f aca="false">X35+Y35</f>
        <v>46.9084950844467</v>
      </c>
      <c r="AA35" s="60" t="n">
        <v>0</v>
      </c>
      <c r="AB35" s="72" t="n">
        <v>52</v>
      </c>
      <c r="AC35" s="93" t="n">
        <v>27</v>
      </c>
      <c r="AD35" s="13"/>
    </row>
    <row r="36" customFormat="false" ht="11.1" hidden="false" customHeight="true" outlineLevel="0" collapsed="false">
      <c r="A36" s="13" t="n">
        <f aca="false">A35+1</f>
        <v>25</v>
      </c>
      <c r="B36" s="74" t="n">
        <v>6857.75</v>
      </c>
      <c r="C36" s="67" t="n">
        <v>158008</v>
      </c>
      <c r="D36" s="72" t="n">
        <f aca="false">C36-C35</f>
        <v>66</v>
      </c>
      <c r="E36" s="67" t="n">
        <f aca="false">C36-152000</f>
        <v>6008</v>
      </c>
      <c r="F36" s="86" t="n">
        <f aca="false">D36/$D$2</f>
        <v>33.2745147466599</v>
      </c>
      <c r="G36" s="6" t="n">
        <v>67</v>
      </c>
      <c r="H36" s="8" t="n">
        <v>0</v>
      </c>
      <c r="I36" s="6" t="n">
        <f aca="false">G36+H36</f>
        <v>67</v>
      </c>
      <c r="J36" s="87" t="n">
        <f aca="false">IF(L36&gt;0,L36,0)</f>
        <v>0</v>
      </c>
      <c r="K36" s="6" t="n">
        <f aca="false">I36+J36</f>
        <v>67</v>
      </c>
      <c r="L36" s="6" t="n">
        <f aca="false">F36-(I36-X36)</f>
        <v>-14.3254852533401</v>
      </c>
      <c r="M36" s="88" t="n">
        <v>4.4</v>
      </c>
      <c r="N36" s="89" t="n">
        <v>0</v>
      </c>
      <c r="O36" s="89" t="n">
        <v>0</v>
      </c>
      <c r="P36" s="90" t="n">
        <f aca="false">M36-(N36+O36)</f>
        <v>4.4</v>
      </c>
      <c r="Q36" s="6" t="n">
        <v>0</v>
      </c>
      <c r="R36" s="6" t="n">
        <v>0</v>
      </c>
      <c r="S36" s="6" t="n">
        <f aca="false">SUM(P36:R36)</f>
        <v>4.4</v>
      </c>
      <c r="T36" s="7"/>
      <c r="U36" s="6" t="n">
        <v>0</v>
      </c>
      <c r="V36" s="6" t="n">
        <v>15</v>
      </c>
      <c r="W36" s="7" t="n">
        <f aca="false">W35-V36</f>
        <v>2060</v>
      </c>
      <c r="X36" s="6" t="n">
        <f aca="false">N36+O36+S36+U36+V36</f>
        <v>19.4</v>
      </c>
      <c r="Y36" s="6" t="n">
        <f aca="false">IF(L36&lt;0,L36*-1,0)</f>
        <v>14.3254852533401</v>
      </c>
      <c r="Z36" s="6" t="n">
        <f aca="false">X36+Y36</f>
        <v>33.7254852533401</v>
      </c>
      <c r="AA36" s="60" t="n">
        <v>0</v>
      </c>
      <c r="AB36" s="72" t="n">
        <v>49</v>
      </c>
      <c r="AC36" s="93" t="n">
        <v>28</v>
      </c>
      <c r="AD36" s="13"/>
    </row>
    <row r="37" customFormat="false" ht="11.1" hidden="false" customHeight="true" outlineLevel="0" collapsed="false">
      <c r="A37" s="13" t="n">
        <f aca="false">A36+1</f>
        <v>26</v>
      </c>
      <c r="B37" s="74" t="n">
        <v>6857.78</v>
      </c>
      <c r="C37" s="67" t="n">
        <v>158075</v>
      </c>
      <c r="D37" s="72" t="n">
        <f aca="false">C37-C36</f>
        <v>67</v>
      </c>
      <c r="E37" s="67" t="n">
        <f aca="false">C37-152000</f>
        <v>6075</v>
      </c>
      <c r="F37" s="86" t="n">
        <f aca="false">D37/$D$2</f>
        <v>33.7786740610033</v>
      </c>
      <c r="G37" s="6" t="n">
        <v>56</v>
      </c>
      <c r="H37" s="8" t="n">
        <v>0</v>
      </c>
      <c r="I37" s="6" t="n">
        <f aca="false">G37+H37</f>
        <v>56</v>
      </c>
      <c r="J37" s="87" t="n">
        <f aca="false">IF(L37&gt;0,L37,0)</f>
        <v>0</v>
      </c>
      <c r="K37" s="6" t="n">
        <f aca="false">I37+J37</f>
        <v>56</v>
      </c>
      <c r="L37" s="6" t="n">
        <f aca="false">F37-(I37-X37)</f>
        <v>-2.82132593899672</v>
      </c>
      <c r="M37" s="88" t="n">
        <v>4.4</v>
      </c>
      <c r="N37" s="89" t="n">
        <v>0</v>
      </c>
      <c r="O37" s="89" t="n">
        <v>0</v>
      </c>
      <c r="P37" s="90" t="n">
        <f aca="false">M37-(N37+O37)</f>
        <v>4.4</v>
      </c>
      <c r="Q37" s="6" t="n">
        <v>0</v>
      </c>
      <c r="R37" s="6" t="n">
        <v>0</v>
      </c>
      <c r="S37" s="6" t="n">
        <f aca="false">SUM(P37:R37)</f>
        <v>4.4</v>
      </c>
      <c r="T37" s="7"/>
      <c r="U37" s="6" t="n">
        <v>0</v>
      </c>
      <c r="V37" s="6" t="n">
        <v>15</v>
      </c>
      <c r="W37" s="7" t="n">
        <f aca="false">W36-V37</f>
        <v>2045</v>
      </c>
      <c r="X37" s="6" t="n">
        <f aca="false">N37+O37+S37+U37+V37</f>
        <v>19.4</v>
      </c>
      <c r="Y37" s="6" t="n">
        <f aca="false">IF(L37&lt;0,L37*-1,0)</f>
        <v>2.82132593899672</v>
      </c>
      <c r="Z37" s="6" t="n">
        <f aca="false">X37+Y37</f>
        <v>22.2213259389967</v>
      </c>
      <c r="AA37" s="60" t="n">
        <v>0</v>
      </c>
      <c r="AB37" s="72" t="n">
        <v>46</v>
      </c>
      <c r="AC37" s="73" t="n">
        <v>23</v>
      </c>
      <c r="AD37" s="13"/>
    </row>
    <row r="38" customFormat="false" ht="11.1" hidden="false" customHeight="true" outlineLevel="0" collapsed="false">
      <c r="A38" s="13" t="n">
        <f aca="false">A37+1</f>
        <v>27</v>
      </c>
      <c r="B38" s="74" t="n">
        <v>6857.81</v>
      </c>
      <c r="C38" s="67" t="n">
        <v>158141</v>
      </c>
      <c r="D38" s="72" t="n">
        <f aca="false">C38-C37</f>
        <v>66</v>
      </c>
      <c r="E38" s="67" t="n">
        <f aca="false">C38-152000</f>
        <v>6141</v>
      </c>
      <c r="F38" s="86" t="n">
        <f aca="false">D38/$D$2</f>
        <v>33.2745147466599</v>
      </c>
      <c r="G38" s="6" t="n">
        <v>79</v>
      </c>
      <c r="H38" s="8" t="n">
        <v>0</v>
      </c>
      <c r="I38" s="6" t="n">
        <f aca="false">G38+H38</f>
        <v>79</v>
      </c>
      <c r="J38" s="87" t="n">
        <f aca="false">IF(L38&gt;0,L38,0)</f>
        <v>0</v>
      </c>
      <c r="K38" s="6" t="n">
        <f aca="false">I38+J38</f>
        <v>79</v>
      </c>
      <c r="L38" s="6" t="n">
        <f aca="false">F38-(I38-X38)</f>
        <v>-26.3254852533401</v>
      </c>
      <c r="M38" s="88" t="n">
        <v>4.4</v>
      </c>
      <c r="N38" s="89" t="n">
        <v>0</v>
      </c>
      <c r="O38" s="89" t="n">
        <v>0</v>
      </c>
      <c r="P38" s="90" t="n">
        <f aca="false">M38-(N38+O38)</f>
        <v>4.4</v>
      </c>
      <c r="Q38" s="6" t="n">
        <v>0</v>
      </c>
      <c r="R38" s="6" t="n">
        <v>0</v>
      </c>
      <c r="S38" s="6" t="n">
        <f aca="false">SUM(P38:R38)</f>
        <v>4.4</v>
      </c>
      <c r="T38" s="7"/>
      <c r="U38" s="6" t="n">
        <v>0</v>
      </c>
      <c r="V38" s="6" t="n">
        <v>15</v>
      </c>
      <c r="W38" s="7" t="n">
        <f aca="false">W37-V38</f>
        <v>2030</v>
      </c>
      <c r="X38" s="6" t="n">
        <f aca="false">N38+O38+S38+U38+V38</f>
        <v>19.4</v>
      </c>
      <c r="Y38" s="6" t="n">
        <f aca="false">IF(L38&lt;0,L38*-1,0)</f>
        <v>26.3254852533401</v>
      </c>
      <c r="Z38" s="6" t="n">
        <f aca="false">X38+Y38</f>
        <v>45.7254852533401</v>
      </c>
      <c r="AA38" s="60" t="n">
        <v>0</v>
      </c>
      <c r="AB38" s="72" t="n">
        <v>48</v>
      </c>
      <c r="AC38" s="73" t="n">
        <v>20</v>
      </c>
      <c r="AD38" s="13"/>
    </row>
    <row r="39" customFormat="false" ht="11.1" hidden="false" customHeight="true" outlineLevel="0" collapsed="false">
      <c r="A39" s="13" t="n">
        <f aca="false">A38+1</f>
        <v>28</v>
      </c>
      <c r="B39" s="74" t="n">
        <v>6857.84</v>
      </c>
      <c r="C39" s="67" t="n">
        <v>158208</v>
      </c>
      <c r="D39" s="72" t="n">
        <f aca="false">C39-C38</f>
        <v>67</v>
      </c>
      <c r="E39" s="67" t="n">
        <f aca="false">C39-152000</f>
        <v>6208</v>
      </c>
      <c r="F39" s="86" t="n">
        <f aca="false">D39/$D$2</f>
        <v>33.7786740610033</v>
      </c>
      <c r="G39" s="6" t="n">
        <v>74</v>
      </c>
      <c r="H39" s="8" t="n">
        <v>0</v>
      </c>
      <c r="I39" s="6" t="n">
        <f aca="false">G39+H39</f>
        <v>74</v>
      </c>
      <c r="J39" s="87" t="n">
        <f aca="false">IF(L39&gt;0,L39,0)</f>
        <v>0</v>
      </c>
      <c r="K39" s="6" t="n">
        <f aca="false">I39+J39</f>
        <v>74</v>
      </c>
      <c r="L39" s="6" t="n">
        <f aca="false">F39-(I39-X39)</f>
        <v>-21.0213259389967</v>
      </c>
      <c r="M39" s="88" t="n">
        <v>4.2</v>
      </c>
      <c r="N39" s="89" t="n">
        <v>0</v>
      </c>
      <c r="O39" s="89" t="n">
        <v>0</v>
      </c>
      <c r="P39" s="90" t="n">
        <f aca="false">M39-(N39+O39)</f>
        <v>4.2</v>
      </c>
      <c r="Q39" s="6" t="n">
        <v>0</v>
      </c>
      <c r="R39" s="6" t="n">
        <v>0</v>
      </c>
      <c r="S39" s="6" t="n">
        <f aca="false">SUM(P39:R39)</f>
        <v>4.2</v>
      </c>
      <c r="T39" s="7"/>
      <c r="U39" s="6" t="n">
        <v>0</v>
      </c>
      <c r="V39" s="6" t="n">
        <v>15</v>
      </c>
      <c r="W39" s="7" t="n">
        <f aca="false">W38-V39</f>
        <v>2015</v>
      </c>
      <c r="X39" s="6" t="n">
        <f aca="false">N39+O39+S39+U39+V39</f>
        <v>19.2</v>
      </c>
      <c r="Y39" s="6" t="n">
        <f aca="false">IF(L39&lt;0,L39*-1,0)</f>
        <v>21.0213259389967</v>
      </c>
      <c r="Z39" s="6" t="n">
        <f aca="false">X39+Y39</f>
        <v>40.2213259389967</v>
      </c>
      <c r="AA39" s="60" t="n">
        <v>0</v>
      </c>
      <c r="AB39" s="72" t="n">
        <v>52</v>
      </c>
      <c r="AC39" s="73" t="n">
        <v>22</v>
      </c>
      <c r="AD39" s="13"/>
    </row>
    <row r="40" customFormat="false" ht="11.1" hidden="false" customHeight="true" outlineLevel="0" collapsed="false">
      <c r="A40" s="13" t="n">
        <f aca="false">A39+1</f>
        <v>29</v>
      </c>
      <c r="B40" s="74" t="n">
        <v>6857.87</v>
      </c>
      <c r="C40" s="67" t="n">
        <v>158274</v>
      </c>
      <c r="D40" s="72" t="n">
        <f aca="false">C40-C39</f>
        <v>66</v>
      </c>
      <c r="E40" s="67" t="n">
        <f aca="false">C40-152000</f>
        <v>6274</v>
      </c>
      <c r="F40" s="86" t="n">
        <f aca="false">D40/$D$2</f>
        <v>33.2745147466599</v>
      </c>
      <c r="G40" s="6" t="n">
        <v>72</v>
      </c>
      <c r="H40" s="8" t="n">
        <v>0</v>
      </c>
      <c r="I40" s="6" t="n">
        <f aca="false">G40+H40</f>
        <v>72</v>
      </c>
      <c r="J40" s="87" t="n">
        <f aca="false">IF(L40&gt;0,L40,0)</f>
        <v>0</v>
      </c>
      <c r="K40" s="6" t="n">
        <f aca="false">I40+J40</f>
        <v>72</v>
      </c>
      <c r="L40" s="6" t="n">
        <f aca="false">F40-(I40-X40)</f>
        <v>-19.5254852533401</v>
      </c>
      <c r="M40" s="88" t="n">
        <v>4.2</v>
      </c>
      <c r="N40" s="89" t="n">
        <v>0</v>
      </c>
      <c r="O40" s="89" t="n">
        <v>0</v>
      </c>
      <c r="P40" s="90" t="n">
        <f aca="false">M40-(N40+O40)</f>
        <v>4.2</v>
      </c>
      <c r="Q40" s="6" t="n">
        <v>0</v>
      </c>
      <c r="R40" s="6" t="n">
        <v>0</v>
      </c>
      <c r="S40" s="6" t="n">
        <f aca="false">SUM(P40:R40)</f>
        <v>4.2</v>
      </c>
      <c r="T40" s="7"/>
      <c r="U40" s="6" t="n">
        <v>0</v>
      </c>
      <c r="V40" s="6" t="n">
        <v>15</v>
      </c>
      <c r="W40" s="7" t="n">
        <f aca="false">W39-V40</f>
        <v>2000</v>
      </c>
      <c r="X40" s="6" t="n">
        <f aca="false">N40+O40+S40+U40+V40</f>
        <v>19.2</v>
      </c>
      <c r="Y40" s="6" t="n">
        <f aca="false">IF(L40&lt;0,L40*-1,0)</f>
        <v>19.5254852533401</v>
      </c>
      <c r="Z40" s="6" t="n">
        <f aca="false">X40+Y40</f>
        <v>38.7254852533401</v>
      </c>
      <c r="AA40" s="60" t="n">
        <v>0</v>
      </c>
      <c r="AB40" s="92" t="n">
        <v>56</v>
      </c>
      <c r="AC40" s="73" t="n">
        <v>25</v>
      </c>
      <c r="AD40" s="13"/>
    </row>
    <row r="41" customFormat="false" ht="11.1" hidden="false" customHeight="true" outlineLevel="0" collapsed="false">
      <c r="A41" s="13" t="n">
        <v>30</v>
      </c>
      <c r="B41" s="74" t="n">
        <v>6857.9</v>
      </c>
      <c r="C41" s="67" t="n">
        <v>158341</v>
      </c>
      <c r="D41" s="72" t="n">
        <f aca="false">C41-C40</f>
        <v>67</v>
      </c>
      <c r="E41" s="67" t="n">
        <f aca="false">C41-152000</f>
        <v>6341</v>
      </c>
      <c r="F41" s="86" t="n">
        <f aca="false">D41/$D$2</f>
        <v>33.7786740610033</v>
      </c>
      <c r="G41" s="6" t="n">
        <v>72</v>
      </c>
      <c r="H41" s="8" t="n">
        <v>0</v>
      </c>
      <c r="I41" s="6" t="n">
        <f aca="false">G41+H41</f>
        <v>72</v>
      </c>
      <c r="J41" s="87" t="n">
        <f aca="false">IF(L41&gt;0,L41,0)</f>
        <v>0</v>
      </c>
      <c r="K41" s="6" t="n">
        <f aca="false">I41+J41</f>
        <v>72</v>
      </c>
      <c r="L41" s="6" t="n">
        <f aca="false">F41-(I41-X41)</f>
        <v>-19.1213259389967</v>
      </c>
      <c r="M41" s="88" t="n">
        <v>4.1</v>
      </c>
      <c r="N41" s="89" t="n">
        <v>0</v>
      </c>
      <c r="O41" s="89" t="n">
        <v>0</v>
      </c>
      <c r="P41" s="90" t="n">
        <f aca="false">M41-(N41+O41)</f>
        <v>4.1</v>
      </c>
      <c r="Q41" s="6" t="n">
        <v>0</v>
      </c>
      <c r="R41" s="6" t="n">
        <v>0</v>
      </c>
      <c r="S41" s="6" t="n">
        <f aca="false">SUM(P41:R41)</f>
        <v>4.1</v>
      </c>
      <c r="T41" s="7"/>
      <c r="U41" s="6" t="n">
        <v>0</v>
      </c>
      <c r="V41" s="6" t="n">
        <v>15</v>
      </c>
      <c r="W41" s="7" t="n">
        <f aca="false">W40-V41</f>
        <v>1985</v>
      </c>
      <c r="X41" s="6" t="n">
        <f aca="false">N41+O41+S41+U41+V41</f>
        <v>19.1</v>
      </c>
      <c r="Y41" s="6" t="n">
        <f aca="false">IF(L41&lt;0,L41*-1,0)</f>
        <v>19.1213259389967</v>
      </c>
      <c r="Z41" s="6" t="n">
        <f aca="false">X41+Y41</f>
        <v>38.2213259389967</v>
      </c>
      <c r="AA41" s="60" t="n">
        <v>0.08</v>
      </c>
      <c r="AB41" s="92" t="n">
        <v>50</v>
      </c>
      <c r="AC41" s="73" t="n">
        <v>25</v>
      </c>
      <c r="AD41" s="13"/>
    </row>
    <row r="42" customFormat="false" ht="3" hidden="false" customHeight="true" outlineLevel="0" collapsed="false">
      <c r="A42" s="75"/>
      <c r="B42" s="94"/>
      <c r="C42" s="77"/>
      <c r="D42" s="75"/>
      <c r="E42" s="77"/>
      <c r="F42" s="78"/>
      <c r="G42" s="75"/>
      <c r="H42" s="79"/>
      <c r="I42" s="75"/>
      <c r="J42" s="75"/>
      <c r="K42" s="75"/>
      <c r="L42" s="75"/>
      <c r="M42" s="80"/>
      <c r="N42" s="75"/>
      <c r="O42" s="75"/>
      <c r="P42" s="81"/>
      <c r="Q42" s="75"/>
      <c r="R42" s="75"/>
      <c r="S42" s="75"/>
      <c r="T42" s="77"/>
      <c r="U42" s="75"/>
      <c r="V42" s="75"/>
      <c r="W42" s="75"/>
      <c r="X42" s="75"/>
      <c r="Y42" s="75"/>
      <c r="Z42" s="75"/>
      <c r="AA42" s="82"/>
      <c r="AB42" s="83"/>
      <c r="AC42" s="84" t="n">
        <v>22</v>
      </c>
      <c r="AD42" s="85"/>
      <c r="AE42" s="85"/>
      <c r="AF42" s="85"/>
    </row>
    <row r="43" customFormat="false" ht="11.1" hidden="false" customHeight="true" outlineLevel="0" collapsed="false">
      <c r="A43" s="6" t="s">
        <v>54</v>
      </c>
      <c r="B43" s="66"/>
      <c r="C43" s="67"/>
      <c r="D43" s="67"/>
      <c r="E43" s="67"/>
      <c r="F43" s="68" t="n">
        <f aca="false">SUM(F12:F41)</f>
        <v>894.378623645072</v>
      </c>
      <c r="G43" s="7" t="n">
        <f aca="false">SUM(G12:G41)</f>
        <v>1859</v>
      </c>
      <c r="H43" s="7" t="n">
        <f aca="false">SUM(H12:H41)</f>
        <v>0</v>
      </c>
      <c r="I43" s="7" t="n">
        <f aca="false">SUM(I12:I41)</f>
        <v>1859</v>
      </c>
      <c r="J43" s="7" t="n">
        <f aca="false">SUM(J12:J41)</f>
        <v>67.3489538694227</v>
      </c>
      <c r="K43" s="7" t="n">
        <f aca="false">SUM(K12:K41)</f>
        <v>1926.34895386942</v>
      </c>
      <c r="L43" s="7" t="n">
        <f aca="false">SUM(L12:L41)</f>
        <v>-217.521376354928</v>
      </c>
      <c r="M43" s="69" t="n">
        <f aca="false">SUM(M12:M41)</f>
        <v>209.1</v>
      </c>
      <c r="N43" s="67" t="n">
        <f aca="false">SUM(N12:N41)</f>
        <v>0</v>
      </c>
      <c r="O43" s="67" t="n">
        <f aca="false">SUM(O12:O41)</f>
        <v>0</v>
      </c>
      <c r="P43" s="70" t="n">
        <f aca="false">SUM(P12:P41)</f>
        <v>209.1</v>
      </c>
      <c r="Q43" s="7" t="n">
        <f aca="false">SUM(Q12:Q41)</f>
        <v>62</v>
      </c>
      <c r="R43" s="7" t="n">
        <f aca="false">SUM(R12:R41)</f>
        <v>51</v>
      </c>
      <c r="S43" s="7" t="n">
        <f aca="false">SUM(S12:S41)</f>
        <v>322.1</v>
      </c>
      <c r="T43" s="7"/>
      <c r="U43" s="7" t="n">
        <f aca="false">SUM(U12:U41)</f>
        <v>0</v>
      </c>
      <c r="V43" s="7" t="n">
        <f aca="false">SUM(V12:V41)</f>
        <v>425</v>
      </c>
      <c r="W43" s="7"/>
      <c r="X43" s="7" t="n">
        <f aca="false">SUM(X12:X41)</f>
        <v>747.1</v>
      </c>
      <c r="Y43" s="7" t="n">
        <f aca="false">SUM(Y12:Y41)</f>
        <v>284.870330224351</v>
      </c>
      <c r="Z43" s="7" t="n">
        <f aca="false">SUM(Z12:Z41)</f>
        <v>1031.97033022435</v>
      </c>
      <c r="AA43" s="60" t="n">
        <f aca="false">SUM(AA12:AA41)</f>
        <v>1.23</v>
      </c>
      <c r="AB43" s="72" t="n">
        <f aca="false">AVERAGE(AB12:AB41)</f>
        <v>50.2</v>
      </c>
      <c r="AC43" s="73" t="n">
        <f aca="false">AVERAGE(AC12:AC42)</f>
        <v>26.7741935483871</v>
      </c>
      <c r="AD43" s="13" t="s">
        <v>55</v>
      </c>
    </row>
    <row r="44" customFormat="false" ht="11.1" hidden="false" customHeight="true" outlineLevel="0" collapsed="false">
      <c r="A44" s="6" t="s">
        <v>56</v>
      </c>
      <c r="B44" s="66"/>
      <c r="C44" s="67"/>
      <c r="D44" s="67" t="n">
        <f aca="false">SUM(D12:D41)</f>
        <v>1774</v>
      </c>
      <c r="E44" s="67"/>
      <c r="F44" s="68" t="n">
        <f aca="false">F43*$D$2</f>
        <v>1774</v>
      </c>
      <c r="G44" s="7" t="n">
        <f aca="false">G43*$D$2</f>
        <v>3687.3265</v>
      </c>
      <c r="H44" s="7" t="n">
        <f aca="false">H43*$D$2</f>
        <v>0</v>
      </c>
      <c r="I44" s="7" t="n">
        <f aca="false">I43*$D$2</f>
        <v>3687.3265</v>
      </c>
      <c r="J44" s="7" t="n">
        <f aca="false">J43*$D$2</f>
        <v>133.58665</v>
      </c>
      <c r="K44" s="7" t="n">
        <f aca="false">K43*$D$2</f>
        <v>3820.91315</v>
      </c>
      <c r="L44" s="7" t="n">
        <f aca="false">L43*$D$2</f>
        <v>-431.45365</v>
      </c>
      <c r="M44" s="69" t="n">
        <f aca="false">M43*$D$2</f>
        <v>414.74985</v>
      </c>
      <c r="N44" s="67" t="n">
        <f aca="false">N43*$D$2</f>
        <v>0</v>
      </c>
      <c r="O44" s="67" t="n">
        <f aca="false">O43*$D$2</f>
        <v>0</v>
      </c>
      <c r="P44" s="70" t="n">
        <f aca="false">P43*$D$2</f>
        <v>414.74985</v>
      </c>
      <c r="Q44" s="7" t="n">
        <f aca="false">Q43*$D$2</f>
        <v>122.977</v>
      </c>
      <c r="R44" s="7" t="n">
        <f aca="false">R43*$D$2</f>
        <v>101.1585</v>
      </c>
      <c r="S44" s="7" t="n">
        <f aca="false">S43*$D$2</f>
        <v>638.88535</v>
      </c>
      <c r="T44" s="7"/>
      <c r="U44" s="7" t="n">
        <f aca="false">U43*$D$2</f>
        <v>0</v>
      </c>
      <c r="V44" s="7" t="n">
        <f aca="false">V43*$D$2</f>
        <v>842.9875</v>
      </c>
      <c r="W44" s="7"/>
      <c r="X44" s="7" t="n">
        <f aca="false">X43*$D$2</f>
        <v>1481.87285</v>
      </c>
      <c r="Y44" s="7" t="n">
        <f aca="false">Y43*$D$2</f>
        <v>565.0403</v>
      </c>
      <c r="Z44" s="7" t="n">
        <f aca="false">Z43*$D$2</f>
        <v>2046.91315</v>
      </c>
      <c r="AA44" s="60"/>
      <c r="AB44" s="72" t="n">
        <f aca="false">MAX(AB12:AB41)</f>
        <v>60</v>
      </c>
      <c r="AC44" s="73" t="n">
        <f aca="false">MAX(AC12:AC42)</f>
        <v>34</v>
      </c>
      <c r="AD44" s="13" t="s">
        <v>57</v>
      </c>
    </row>
    <row r="45" customFormat="false" ht="3" hidden="false" customHeight="true" outlineLevel="0" collapsed="false">
      <c r="A45" s="75"/>
      <c r="B45" s="94"/>
      <c r="C45" s="77"/>
      <c r="D45" s="77"/>
      <c r="E45" s="77"/>
      <c r="F45" s="95"/>
      <c r="G45" s="77"/>
      <c r="H45" s="77"/>
      <c r="I45" s="77"/>
      <c r="J45" s="77"/>
      <c r="K45" s="77"/>
      <c r="L45" s="77"/>
      <c r="M45" s="96"/>
      <c r="N45" s="77"/>
      <c r="O45" s="77"/>
      <c r="P45" s="97"/>
      <c r="Q45" s="77"/>
      <c r="R45" s="77"/>
      <c r="S45" s="77"/>
      <c r="T45" s="77"/>
      <c r="U45" s="77"/>
      <c r="V45" s="77"/>
      <c r="W45" s="75"/>
      <c r="X45" s="77"/>
      <c r="Y45" s="77"/>
      <c r="Z45" s="77"/>
      <c r="AA45" s="77"/>
      <c r="AB45" s="77"/>
      <c r="AC45" s="77"/>
      <c r="AD45" s="77"/>
      <c r="AE45" s="77"/>
      <c r="AF45" s="77"/>
    </row>
    <row r="46" customFormat="false" ht="11.1" hidden="false" customHeight="true" outlineLevel="0" collapsed="false">
      <c r="A46" s="6" t="s">
        <v>58</v>
      </c>
      <c r="B46" s="66"/>
      <c r="C46" s="67"/>
      <c r="D46" s="67"/>
      <c r="E46" s="67"/>
      <c r="F46" s="68"/>
      <c r="G46" s="7"/>
      <c r="H46" s="12"/>
      <c r="I46" s="7"/>
      <c r="J46" s="7"/>
      <c r="K46" s="7"/>
      <c r="L46" s="7"/>
      <c r="M46" s="69"/>
      <c r="N46" s="67"/>
      <c r="O46" s="67"/>
      <c r="P46" s="70"/>
      <c r="Q46" s="7"/>
      <c r="R46" s="7"/>
      <c r="S46" s="7"/>
      <c r="T46" s="7"/>
      <c r="U46" s="7"/>
      <c r="V46" s="7"/>
      <c r="W46" s="7"/>
      <c r="X46" s="7"/>
      <c r="Y46" s="7"/>
      <c r="Z46" s="7"/>
      <c r="AA46" s="60"/>
      <c r="AB46" s="72" t="n">
        <f aca="false">MIN(AB12:AB41)</f>
        <v>41</v>
      </c>
      <c r="AC46" s="73" t="n">
        <f aca="false">MIN(AC12:AC42)</f>
        <v>20</v>
      </c>
      <c r="AD46" s="13" t="s">
        <v>59</v>
      </c>
    </row>
    <row r="47" customFormat="false" ht="11.1" hidden="false" customHeight="true" outlineLevel="0" collapsed="false">
      <c r="A47" s="6" t="s">
        <v>60</v>
      </c>
      <c r="B47" s="66"/>
      <c r="C47" s="67"/>
      <c r="D47" s="67"/>
      <c r="E47" s="67"/>
      <c r="F47" s="68"/>
      <c r="G47" s="7"/>
      <c r="H47" s="12"/>
      <c r="I47" s="7"/>
      <c r="J47" s="7"/>
      <c r="K47" s="7"/>
      <c r="L47" s="7"/>
      <c r="M47" s="69"/>
      <c r="N47" s="67"/>
      <c r="O47" s="67"/>
      <c r="P47" s="70"/>
      <c r="Q47" s="7"/>
      <c r="R47" s="7"/>
      <c r="S47" s="7"/>
      <c r="T47" s="7"/>
      <c r="U47" s="7"/>
      <c r="V47" s="7"/>
      <c r="W47" s="7"/>
      <c r="X47" s="7"/>
      <c r="Y47" s="7"/>
      <c r="Z47" s="7"/>
      <c r="AA47" s="60"/>
      <c r="AB47" s="72"/>
      <c r="AC47" s="73"/>
      <c r="AD47" s="13"/>
    </row>
    <row r="48" customFormat="false" ht="3" hidden="false" customHeight="true" outlineLevel="0" collapsed="false">
      <c r="A48" s="75"/>
      <c r="B48" s="94"/>
      <c r="C48" s="77"/>
      <c r="D48" s="77"/>
      <c r="E48" s="77"/>
      <c r="F48" s="95"/>
      <c r="G48" s="77"/>
      <c r="H48" s="83"/>
      <c r="I48" s="77"/>
      <c r="J48" s="77"/>
      <c r="K48" s="77"/>
      <c r="L48" s="77"/>
      <c r="M48" s="96"/>
      <c r="N48" s="77"/>
      <c r="O48" s="77"/>
      <c r="P48" s="97"/>
      <c r="Q48" s="77"/>
      <c r="R48" s="77"/>
      <c r="S48" s="77"/>
      <c r="T48" s="77"/>
      <c r="U48" s="77"/>
      <c r="V48" s="77"/>
      <c r="W48" s="77"/>
      <c r="X48" s="77"/>
      <c r="Y48" s="77"/>
      <c r="Z48" s="77"/>
      <c r="AA48" s="82"/>
      <c r="AB48" s="77"/>
      <c r="AC48" s="77"/>
      <c r="AD48" s="77"/>
      <c r="AE48" s="77"/>
      <c r="AF48" s="77"/>
    </row>
    <row r="49" customFormat="false" ht="11.1" hidden="false" customHeight="true" outlineLevel="0" collapsed="false">
      <c r="A49" s="6" t="s">
        <v>61</v>
      </c>
      <c r="B49" s="66"/>
      <c r="C49" s="67"/>
      <c r="D49" s="67"/>
      <c r="E49" s="67"/>
      <c r="F49" s="68" t="n">
        <f aca="false">F10+F43</f>
        <v>894.378623645072</v>
      </c>
      <c r="G49" s="7" t="n">
        <f aca="false">G10+G43</f>
        <v>1859</v>
      </c>
      <c r="H49" s="12" t="n">
        <f aca="false">H10+H43</f>
        <v>0</v>
      </c>
      <c r="I49" s="7" t="n">
        <f aca="false">I10+I43</f>
        <v>1859</v>
      </c>
      <c r="J49" s="7" t="n">
        <f aca="false">J10+J43</f>
        <v>67.3489538694227</v>
      </c>
      <c r="K49" s="7" t="n">
        <f aca="false">K10+K43</f>
        <v>1926.34895386942</v>
      </c>
      <c r="L49" s="7" t="n">
        <f aca="false">L10+L43</f>
        <v>-217.521376354928</v>
      </c>
      <c r="M49" s="69" t="n">
        <f aca="false">M10+M43</f>
        <v>209.1</v>
      </c>
      <c r="N49" s="67" t="n">
        <f aca="false">N10+N43</f>
        <v>0</v>
      </c>
      <c r="O49" s="67" t="n">
        <f aca="false">O10+O43</f>
        <v>0</v>
      </c>
      <c r="P49" s="70" t="n">
        <f aca="false">P10+P43</f>
        <v>209.1</v>
      </c>
      <c r="Q49" s="7" t="n">
        <f aca="false">Q10+Q43</f>
        <v>62</v>
      </c>
      <c r="R49" s="7" t="n">
        <f aca="false">R10+R43</f>
        <v>51</v>
      </c>
      <c r="S49" s="7" t="n">
        <f aca="false">S10+S43</f>
        <v>322.1</v>
      </c>
      <c r="T49" s="7"/>
      <c r="U49" s="7" t="n">
        <f aca="false">U10+U43</f>
        <v>0</v>
      </c>
      <c r="V49" s="7" t="n">
        <f aca="false">V10+V43</f>
        <v>425</v>
      </c>
      <c r="W49" s="7" t="n">
        <f aca="false">W41</f>
        <v>1985</v>
      </c>
      <c r="X49" s="7" t="n">
        <f aca="false">X10+X43</f>
        <v>747.1</v>
      </c>
      <c r="Y49" s="7" t="n">
        <f aca="false">Y10+Y43</f>
        <v>284.870330224351</v>
      </c>
      <c r="Z49" s="7" t="n">
        <f aca="false">Z10+Z43</f>
        <v>1031.97033022435</v>
      </c>
      <c r="AA49" s="60" t="n">
        <f aca="false">AA10+AA43</f>
        <v>1.23</v>
      </c>
      <c r="AB49" s="72"/>
      <c r="AC49" s="73"/>
      <c r="AD49" s="13"/>
    </row>
    <row r="50" customFormat="false" ht="11.1" hidden="false" customHeight="true" outlineLevel="0" collapsed="false">
      <c r="A50" s="6" t="s">
        <v>62</v>
      </c>
      <c r="B50" s="66"/>
      <c r="C50" s="67"/>
      <c r="D50" s="67" t="n">
        <f aca="false">D10+D44</f>
        <v>1774</v>
      </c>
      <c r="E50" s="67" t="n">
        <f aca="false">E41</f>
        <v>6341</v>
      </c>
      <c r="F50" s="68" t="n">
        <f aca="false">F49*$D$2</f>
        <v>1774</v>
      </c>
      <c r="G50" s="7" t="n">
        <f aca="false">G49*$D$2</f>
        <v>3687.3265</v>
      </c>
      <c r="H50" s="12" t="n">
        <f aca="false">H49*$D$2</f>
        <v>0</v>
      </c>
      <c r="I50" s="7" t="n">
        <f aca="false">I49*$D$2</f>
        <v>3687.3265</v>
      </c>
      <c r="J50" s="7" t="n">
        <f aca="false">J49*$D$2</f>
        <v>133.58665</v>
      </c>
      <c r="K50" s="7" t="n">
        <f aca="false">K49*$D$2</f>
        <v>3820.91315</v>
      </c>
      <c r="L50" s="7" t="n">
        <f aca="false">L49*$D$2</f>
        <v>-431.45365</v>
      </c>
      <c r="M50" s="69" t="n">
        <f aca="false">M49*$D$2</f>
        <v>414.74985</v>
      </c>
      <c r="N50" s="67" t="n">
        <f aca="false">N49*$D$2</f>
        <v>0</v>
      </c>
      <c r="O50" s="67" t="n">
        <f aca="false">O49*$D$2</f>
        <v>0</v>
      </c>
      <c r="P50" s="70" t="n">
        <f aca="false">P49*$D$2</f>
        <v>414.74985</v>
      </c>
      <c r="Q50" s="7" t="n">
        <f aca="false">Q49*$D$2</f>
        <v>122.977</v>
      </c>
      <c r="R50" s="7" t="n">
        <f aca="false">R49*$D$2</f>
        <v>101.1585</v>
      </c>
      <c r="S50" s="7" t="n">
        <f aca="false">S49*$D$2</f>
        <v>638.88535</v>
      </c>
      <c r="T50" s="7" t="n">
        <f aca="false">T49*$D$2</f>
        <v>0</v>
      </c>
      <c r="U50" s="7" t="n">
        <f aca="false">U49*$D$2</f>
        <v>0</v>
      </c>
      <c r="V50" s="7" t="n">
        <f aca="false">V49*$D$2</f>
        <v>842.9875</v>
      </c>
      <c r="W50" s="7" t="n">
        <f aca="false">W49*$D$2</f>
        <v>3937.2475</v>
      </c>
      <c r="X50" s="7" t="n">
        <f aca="false">X49*$D$2</f>
        <v>1481.87285</v>
      </c>
      <c r="Y50" s="7" t="n">
        <f aca="false">Y49*$D$2</f>
        <v>565.0403</v>
      </c>
      <c r="Z50" s="7" t="n">
        <f aca="false">Z49*$D$2</f>
        <v>2046.91315</v>
      </c>
      <c r="AA50" s="60"/>
      <c r="AB50" s="72"/>
      <c r="AC50" s="73"/>
      <c r="AD50" s="13"/>
    </row>
    <row r="51" customFormat="false" ht="3" hidden="false" customHeight="true" outlineLevel="0" collapsed="false">
      <c r="A51" s="75"/>
      <c r="B51" s="94"/>
      <c r="C51" s="77"/>
      <c r="D51" s="75"/>
      <c r="E51" s="77"/>
      <c r="F51" s="78"/>
      <c r="G51" s="75"/>
      <c r="H51" s="79"/>
      <c r="I51" s="75"/>
      <c r="J51" s="75"/>
      <c r="K51" s="75"/>
      <c r="L51" s="75"/>
      <c r="M51" s="80"/>
      <c r="N51" s="75"/>
      <c r="O51" s="75"/>
      <c r="P51" s="81"/>
      <c r="Q51" s="75"/>
      <c r="R51" s="75"/>
      <c r="S51" s="75"/>
      <c r="T51" s="77"/>
      <c r="U51" s="75"/>
      <c r="V51" s="75"/>
      <c r="W51" s="77"/>
      <c r="X51" s="75"/>
      <c r="Y51" s="75"/>
      <c r="Z51" s="75"/>
      <c r="AA51" s="75"/>
      <c r="AB51" s="75"/>
      <c r="AC51" s="75"/>
      <c r="AD51" s="75"/>
      <c r="AE51" s="75"/>
      <c r="AF51" s="75"/>
    </row>
    <row r="52" customFormat="false" ht="14.1" hidden="false" customHeight="true" outlineLevel="0" collapsed="false">
      <c r="A52" s="98"/>
      <c r="B52" s="99"/>
      <c r="C52" s="7"/>
      <c r="D52" s="6"/>
      <c r="E52" s="7"/>
      <c r="F52" s="6"/>
      <c r="G52" s="6"/>
      <c r="H52" s="11"/>
      <c r="I52" s="6"/>
      <c r="J52" s="6"/>
      <c r="K52" s="6"/>
      <c r="L52" s="6"/>
      <c r="M52" s="6"/>
      <c r="N52" s="6"/>
      <c r="O52" s="6"/>
      <c r="P52" s="6"/>
      <c r="Q52" s="6"/>
      <c r="R52" s="6"/>
      <c r="S52" s="6"/>
      <c r="T52" s="7"/>
      <c r="U52" s="6"/>
      <c r="V52" s="6"/>
      <c r="W52" s="7"/>
      <c r="X52" s="6"/>
      <c r="Y52" s="6"/>
      <c r="Z52" s="11"/>
      <c r="AA52" s="11"/>
      <c r="AB52" s="12"/>
      <c r="AC52" s="12"/>
      <c r="AD52" s="13"/>
    </row>
    <row r="53" customFormat="false" ht="11.1" hidden="false" customHeight="true" outlineLevel="0" collapsed="false">
      <c r="A53" s="6"/>
      <c r="B53" s="100"/>
      <c r="C53" s="7"/>
      <c r="D53" s="101"/>
      <c r="E53" s="7"/>
      <c r="F53" s="6"/>
      <c r="G53" s="6"/>
      <c r="H53" s="11"/>
      <c r="I53" s="8"/>
      <c r="J53" s="6"/>
      <c r="K53" s="102"/>
      <c r="L53" s="6"/>
      <c r="M53" s="6"/>
      <c r="N53" s="6"/>
      <c r="O53" s="6"/>
      <c r="P53" s="6"/>
      <c r="Q53" s="6"/>
      <c r="R53" s="6"/>
      <c r="S53" s="6"/>
      <c r="T53" s="7"/>
      <c r="U53" s="6"/>
      <c r="V53" s="6"/>
      <c r="W53" s="7"/>
      <c r="X53" s="6"/>
      <c r="Y53" s="6"/>
      <c r="Z53" s="11"/>
      <c r="AA53" s="11"/>
      <c r="AB53" s="12"/>
      <c r="AC53" s="12"/>
      <c r="AD53" s="13"/>
    </row>
    <row r="54" customFormat="false" ht="11.1" hidden="false" customHeight="true" outlineLevel="0" collapsed="false">
      <c r="B54" s="101"/>
      <c r="C54" s="7"/>
      <c r="D54" s="7"/>
      <c r="E54" s="7"/>
      <c r="F54" s="101"/>
      <c r="G54" s="101"/>
      <c r="H54" s="11"/>
      <c r="I54" s="101"/>
      <c r="J54" s="101"/>
      <c r="K54" s="101"/>
      <c r="L54" s="101"/>
      <c r="M54" s="87"/>
      <c r="N54" s="87"/>
      <c r="O54" s="87"/>
      <c r="P54" s="87"/>
      <c r="Q54" s="101"/>
      <c r="R54" s="101"/>
      <c r="S54" s="101"/>
      <c r="T54" s="7"/>
      <c r="U54" s="101"/>
      <c r="V54" s="101"/>
      <c r="W54" s="7"/>
      <c r="X54" s="101"/>
      <c r="Y54" s="101"/>
      <c r="Z54" s="11"/>
      <c r="AA54" s="11"/>
      <c r="AB54" s="12"/>
      <c r="AC54" s="12"/>
      <c r="AD54" s="13"/>
    </row>
    <row r="55" customFormat="false" ht="11.1" hidden="false" customHeight="true" outlineLevel="0" collapsed="false">
      <c r="A55" s="101"/>
      <c r="B55" s="10"/>
      <c r="C55" s="7"/>
      <c r="D55" s="7"/>
      <c r="E55" s="7"/>
      <c r="F55" s="101"/>
      <c r="G55" s="101"/>
      <c r="H55" s="11"/>
      <c r="I55" s="101"/>
      <c r="J55" s="101"/>
      <c r="K55" s="101"/>
      <c r="L55" s="101"/>
      <c r="M55" s="87"/>
      <c r="N55" s="87"/>
      <c r="O55" s="87"/>
      <c r="P55" s="87"/>
      <c r="Q55" s="101"/>
      <c r="R55" s="101"/>
      <c r="S55" s="101"/>
      <c r="T55" s="7"/>
      <c r="U55" s="101"/>
      <c r="V55" s="101"/>
      <c r="W55" s="7"/>
      <c r="X55" s="101"/>
      <c r="Y55" s="101"/>
      <c r="Z55" s="11"/>
      <c r="AA55" s="11"/>
      <c r="AB55" s="12"/>
      <c r="AC55" s="12"/>
      <c r="AD55" s="13"/>
    </row>
    <row r="56" customFormat="false" ht="11.1" hidden="false" customHeight="true" outlineLevel="0" collapsed="false">
      <c r="A56" s="101"/>
      <c r="B56" s="101"/>
      <c r="C56" s="7"/>
      <c r="D56" s="101"/>
      <c r="E56" s="7"/>
      <c r="F56" s="101"/>
      <c r="G56" s="103"/>
      <c r="H56" s="11"/>
      <c r="I56" s="101"/>
      <c r="J56" s="101"/>
      <c r="K56" s="101"/>
      <c r="L56" s="101"/>
      <c r="M56" s="87"/>
      <c r="N56" s="87"/>
      <c r="O56" s="87"/>
      <c r="P56" s="101"/>
      <c r="Q56" s="101"/>
      <c r="R56" s="101"/>
      <c r="S56" s="7"/>
      <c r="T56" s="101"/>
      <c r="U56" s="101"/>
      <c r="V56" s="7"/>
      <c r="W56" s="101"/>
      <c r="X56" s="101"/>
      <c r="Y56" s="101"/>
      <c r="Z56" s="11"/>
      <c r="AA56" s="11"/>
      <c r="AB56" s="12"/>
      <c r="AC56" s="13"/>
    </row>
  </sheetData>
  <mergeCells count="1">
    <mergeCell ref="M5:P5"/>
  </mergeCells>
  <printOptions headings="true" gridLines="true" gridLinesSet="true" horizontalCentered="true" verticalCentered="false"/>
  <pageMargins left="0" right="0" top="0" bottom="0" header="0.511811023622047" footer="0.511811023622047"/>
  <pageSetup paperSize="5"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F57"/>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pane xSplit="1" ySplit="11" topLeftCell="B12" activePane="bottomRight" state="frozen"/>
      <selection pane="topLeft" activeCell="A1" activeCellId="0" sqref="A1"/>
      <selection pane="topRight" activeCell="B1" activeCellId="0" sqref="B1"/>
      <selection pane="bottomLeft" activeCell="A12" activeCellId="0" sqref="A12"/>
      <selection pane="bottomRight" activeCell="F33" activeCellId="1" sqref="AA13:AA42 F33"/>
    </sheetView>
  </sheetViews>
  <sheetFormatPr defaultColWidth="9.3359375" defaultRowHeight="11.1" zeroHeight="false" outlineLevelRow="0" outlineLevelCol="0"/>
  <cols>
    <col collapsed="false" customWidth="true" hidden="false" outlineLevel="0" max="1" min="1" style="104" width="5.67"/>
    <col collapsed="false" customWidth="true" hidden="false" outlineLevel="0" max="2" min="2" style="104" width="7.49"/>
    <col collapsed="false" customWidth="true" hidden="false" outlineLevel="0" max="3" min="3" style="105" width="6.82"/>
    <col collapsed="false" customWidth="true" hidden="false" outlineLevel="0" max="4" min="4" style="104" width="6.99"/>
    <col collapsed="false" customWidth="true" hidden="false" outlineLevel="0" max="5" min="5" style="105" width="7.66"/>
    <col collapsed="false" customWidth="true" hidden="false" outlineLevel="0" max="6" min="6" style="104" width="7.66"/>
    <col collapsed="false" customWidth="true" hidden="false" outlineLevel="0" max="7" min="7" style="104" width="7.16"/>
    <col collapsed="false" customWidth="true" hidden="false" outlineLevel="0" max="8" min="8" style="106" width="6.66"/>
    <col collapsed="false" customWidth="true" hidden="false" outlineLevel="0" max="9" min="9" style="104" width="7.99"/>
    <col collapsed="false" customWidth="true" hidden="false" outlineLevel="0" max="11" min="10" style="104" width="6.66"/>
    <col collapsed="false" customWidth="true" hidden="false" outlineLevel="0" max="12" min="12" style="104" width="7.16"/>
    <col collapsed="false" customWidth="true" hidden="false" outlineLevel="0" max="13" min="13" style="107" width="6.16"/>
    <col collapsed="false" customWidth="true" hidden="false" outlineLevel="0" max="14" min="14" style="107" width="5.99"/>
    <col collapsed="false" customWidth="true" hidden="false" outlineLevel="0" max="15" min="15" style="107" width="6.49"/>
    <col collapsed="false" customWidth="true" hidden="false" outlineLevel="0" max="16" min="16" style="104" width="7.16"/>
    <col collapsed="false" customWidth="true" hidden="false" outlineLevel="0" max="18" min="17" style="104" width="5.49"/>
    <col collapsed="false" customWidth="true" hidden="false" outlineLevel="0" max="19" min="19" style="105" width="6.82"/>
    <col collapsed="false" customWidth="true" hidden="false" outlineLevel="0" max="20" min="20" style="104" width="6.49"/>
    <col collapsed="false" customWidth="true" hidden="false" outlineLevel="0" max="21" min="21" style="104" width="5.67"/>
    <col collapsed="false" customWidth="true" hidden="false" outlineLevel="0" max="22" min="22" style="105" width="6.16"/>
    <col collapsed="false" customWidth="true" hidden="false" outlineLevel="0" max="23" min="23" style="104" width="6.82"/>
    <col collapsed="false" customWidth="true" hidden="false" outlineLevel="0" max="25" min="24" style="104" width="7.82"/>
    <col collapsed="false" customWidth="true" hidden="false" outlineLevel="0" max="26" min="26" style="108" width="7.82"/>
    <col collapsed="false" customWidth="true" hidden="false" outlineLevel="0" max="27" min="27" style="106" width="5.32"/>
    <col collapsed="false" customWidth="true" hidden="false" outlineLevel="0" max="28" min="28" style="109" width="3.82"/>
    <col collapsed="false" customWidth="true" hidden="false" outlineLevel="0" max="29" min="29" style="110" width="3.82"/>
    <col collapsed="false" customWidth="true" hidden="false" outlineLevel="0" max="30" min="30" style="104" width="5.99"/>
    <col collapsed="false" customWidth="true" hidden="false" outlineLevel="0" max="31" min="31" style="104" width="6.66"/>
    <col collapsed="false" customWidth="false" hidden="false" outlineLevel="0" max="257" min="32" style="104" width="9.32"/>
  </cols>
  <sheetData>
    <row r="1" customFormat="false" ht="14.1" hidden="false" customHeight="true" outlineLevel="0" collapsed="false">
      <c r="A1" s="111"/>
      <c r="B1" s="111"/>
      <c r="C1" s="112"/>
      <c r="D1" s="111"/>
      <c r="E1" s="112"/>
      <c r="F1" s="111"/>
      <c r="G1" s="111"/>
      <c r="H1" s="113"/>
      <c r="I1" s="111"/>
      <c r="J1" s="111"/>
      <c r="K1" s="114" t="s">
        <v>0</v>
      </c>
      <c r="L1" s="111"/>
      <c r="M1" s="111"/>
      <c r="N1" s="111"/>
      <c r="O1" s="111"/>
      <c r="P1" s="111"/>
      <c r="Q1" s="111"/>
      <c r="R1" s="111"/>
      <c r="S1" s="112"/>
      <c r="T1" s="111"/>
      <c r="U1" s="111"/>
      <c r="V1" s="112"/>
      <c r="W1" s="111"/>
      <c r="X1" s="111"/>
      <c r="Y1" s="111"/>
      <c r="Z1" s="115"/>
      <c r="AA1" s="116"/>
      <c r="AB1" s="117"/>
      <c r="AC1" s="118"/>
    </row>
    <row r="2" customFormat="false" ht="14.1" hidden="false" customHeight="true" outlineLevel="0" collapsed="false">
      <c r="A2" s="111" t="s">
        <v>1</v>
      </c>
      <c r="B2" s="111"/>
      <c r="C2" s="112"/>
      <c r="D2" s="119" t="n">
        <v>1.9835</v>
      </c>
      <c r="E2" s="112"/>
      <c r="F2" s="111"/>
      <c r="G2" s="111"/>
      <c r="H2" s="113"/>
      <c r="I2" s="111"/>
      <c r="J2" s="111"/>
      <c r="K2" s="120" t="s">
        <v>63</v>
      </c>
      <c r="L2" s="120"/>
      <c r="M2" s="120"/>
      <c r="N2" s="120"/>
      <c r="O2" s="120"/>
      <c r="P2" s="120"/>
      <c r="Q2" s="120"/>
      <c r="R2" s="120"/>
      <c r="S2" s="120"/>
      <c r="T2" s="120"/>
      <c r="U2" s="111"/>
      <c r="V2" s="112"/>
      <c r="W2" s="111"/>
      <c r="X2" s="111"/>
      <c r="Y2" s="111"/>
      <c r="Z2" s="115"/>
      <c r="AA2" s="116"/>
      <c r="AB2" s="117"/>
      <c r="AC2" s="118"/>
    </row>
    <row r="3" customFormat="false" ht="14.1" hidden="false" customHeight="true" outlineLevel="0" collapsed="false">
      <c r="A3" s="121"/>
      <c r="B3" s="121"/>
      <c r="C3" s="122"/>
      <c r="D3" s="123"/>
      <c r="E3" s="122"/>
      <c r="F3" s="121"/>
      <c r="G3" s="121"/>
      <c r="H3" s="124"/>
      <c r="I3" s="121"/>
      <c r="J3" s="121"/>
      <c r="K3" s="121"/>
      <c r="L3" s="121"/>
      <c r="M3" s="121"/>
      <c r="N3" s="121"/>
      <c r="O3" s="121"/>
      <c r="P3" s="121"/>
      <c r="Q3" s="121"/>
      <c r="R3" s="121"/>
      <c r="S3" s="122"/>
      <c r="T3" s="121"/>
      <c r="U3" s="121"/>
      <c r="V3" s="122"/>
      <c r="W3" s="121"/>
      <c r="X3" s="121"/>
      <c r="Y3" s="121"/>
      <c r="Z3" s="125"/>
      <c r="AA3" s="126"/>
      <c r="AB3" s="127"/>
      <c r="AC3" s="128"/>
      <c r="AD3" s="129"/>
      <c r="AE3" s="129"/>
      <c r="AF3" s="129"/>
    </row>
    <row r="4" customFormat="false" ht="14.1" hidden="false" customHeight="true" outlineLevel="0" collapsed="false">
      <c r="A4" s="111"/>
      <c r="B4" s="130"/>
      <c r="C4" s="131"/>
      <c r="D4" s="132" t="s">
        <v>3</v>
      </c>
      <c r="E4" s="131"/>
      <c r="F4" s="133"/>
      <c r="G4" s="111"/>
      <c r="H4" s="113"/>
      <c r="I4" s="111"/>
      <c r="J4" s="111"/>
      <c r="K4" s="111"/>
      <c r="L4" s="111"/>
      <c r="M4" s="111"/>
      <c r="N4" s="111"/>
      <c r="O4" s="111"/>
      <c r="P4" s="111"/>
      <c r="Q4" s="134" t="s">
        <v>4</v>
      </c>
      <c r="R4" s="111"/>
      <c r="S4" s="112"/>
      <c r="T4" s="111"/>
      <c r="U4" s="111"/>
      <c r="V4" s="112"/>
      <c r="W4" s="111"/>
      <c r="X4" s="111"/>
      <c r="Y4" s="111"/>
      <c r="Z4" s="115"/>
      <c r="AA4" s="135"/>
      <c r="AB4" s="136" t="s">
        <v>5</v>
      </c>
      <c r="AC4" s="137"/>
    </row>
    <row r="5" customFormat="false" ht="11.1" hidden="false" customHeight="true" outlineLevel="0" collapsed="false">
      <c r="A5" s="138" t="s">
        <v>6</v>
      </c>
      <c r="B5" s="139" t="s">
        <v>7</v>
      </c>
      <c r="C5" s="140" t="s">
        <v>7</v>
      </c>
      <c r="D5" s="138" t="s">
        <v>8</v>
      </c>
      <c r="E5" s="140" t="s">
        <v>9</v>
      </c>
      <c r="F5" s="141" t="s">
        <v>10</v>
      </c>
      <c r="G5" s="138" t="s">
        <v>11</v>
      </c>
      <c r="H5" s="142" t="s">
        <v>12</v>
      </c>
      <c r="I5" s="138" t="s">
        <v>13</v>
      </c>
      <c r="J5" s="138" t="s">
        <v>14</v>
      </c>
      <c r="K5" s="138" t="s">
        <v>15</v>
      </c>
      <c r="L5" s="138" t="s">
        <v>14</v>
      </c>
      <c r="M5" s="143" t="s">
        <v>16</v>
      </c>
      <c r="N5" s="143"/>
      <c r="O5" s="143"/>
      <c r="P5" s="143"/>
      <c r="Q5" s="138" t="s">
        <v>17</v>
      </c>
      <c r="R5" s="138" t="s">
        <v>18</v>
      </c>
      <c r="S5" s="138" t="s">
        <v>15</v>
      </c>
      <c r="T5" s="140" t="s">
        <v>19</v>
      </c>
      <c r="U5" s="138" t="s">
        <v>20</v>
      </c>
      <c r="V5" s="138" t="s">
        <v>21</v>
      </c>
      <c r="W5" s="140" t="s">
        <v>22</v>
      </c>
      <c r="X5" s="138" t="s">
        <v>13</v>
      </c>
      <c r="Y5" s="138" t="s">
        <v>14</v>
      </c>
      <c r="Z5" s="138" t="s">
        <v>15</v>
      </c>
      <c r="AA5" s="144" t="s">
        <v>23</v>
      </c>
      <c r="AB5" s="145" t="s">
        <v>24</v>
      </c>
      <c r="AC5" s="146" t="s">
        <v>25</v>
      </c>
      <c r="AD5" s="145" t="s">
        <v>64</v>
      </c>
      <c r="AE5" s="147" t="s">
        <v>65</v>
      </c>
    </row>
    <row r="6" customFormat="false" ht="11.1" hidden="false" customHeight="true" outlineLevel="0" collapsed="false">
      <c r="A6" s="148" t="s">
        <v>66</v>
      </c>
      <c r="B6" s="139" t="s">
        <v>28</v>
      </c>
      <c r="C6" s="140" t="s">
        <v>8</v>
      </c>
      <c r="D6" s="138" t="s">
        <v>29</v>
      </c>
      <c r="E6" s="140" t="s">
        <v>30</v>
      </c>
      <c r="F6" s="141" t="s">
        <v>31</v>
      </c>
      <c r="G6" s="138" t="s">
        <v>32</v>
      </c>
      <c r="H6" s="142" t="s">
        <v>33</v>
      </c>
      <c r="I6" s="138" t="s">
        <v>34</v>
      </c>
      <c r="J6" s="138" t="s">
        <v>34</v>
      </c>
      <c r="K6" s="138" t="s">
        <v>34</v>
      </c>
      <c r="L6" s="138" t="s">
        <v>35</v>
      </c>
      <c r="M6" s="149" t="s">
        <v>36</v>
      </c>
      <c r="N6" s="138" t="s">
        <v>37</v>
      </c>
      <c r="O6" s="138" t="s">
        <v>38</v>
      </c>
      <c r="P6" s="150" t="s">
        <v>39</v>
      </c>
      <c r="Q6" s="138" t="s">
        <v>40</v>
      </c>
      <c r="R6" s="138" t="s">
        <v>41</v>
      </c>
      <c r="S6" s="138" t="s">
        <v>19</v>
      </c>
      <c r="T6" s="140" t="s">
        <v>42</v>
      </c>
      <c r="U6" s="138" t="s">
        <v>43</v>
      </c>
      <c r="V6" s="138" t="s">
        <v>44</v>
      </c>
      <c r="W6" s="140" t="s">
        <v>45</v>
      </c>
      <c r="X6" s="138" t="s">
        <v>46</v>
      </c>
      <c r="Y6" s="138" t="s">
        <v>46</v>
      </c>
      <c r="Z6" s="138" t="s">
        <v>46</v>
      </c>
      <c r="AA6" s="151"/>
      <c r="AB6" s="145" t="s">
        <v>47</v>
      </c>
      <c r="AC6" s="146" t="s">
        <v>47</v>
      </c>
      <c r="AD6" s="152" t="s">
        <v>42</v>
      </c>
      <c r="AE6" s="147" t="s">
        <v>42</v>
      </c>
    </row>
    <row r="7" customFormat="false" ht="11.1" hidden="false" customHeight="true" outlineLevel="0" collapsed="false">
      <c r="A7" s="153"/>
      <c r="B7" s="154"/>
      <c r="C7" s="155"/>
      <c r="D7" s="153"/>
      <c r="E7" s="156" t="s">
        <v>48</v>
      </c>
      <c r="F7" s="157"/>
      <c r="G7" s="153"/>
      <c r="H7" s="158"/>
      <c r="I7" s="153"/>
      <c r="J7" s="153"/>
      <c r="K7" s="153"/>
      <c r="L7" s="153"/>
      <c r="M7" s="159"/>
      <c r="N7" s="153"/>
      <c r="O7" s="153"/>
      <c r="P7" s="160"/>
      <c r="Q7" s="153"/>
      <c r="R7" s="153"/>
      <c r="S7" s="153"/>
      <c r="T7" s="156" t="s">
        <v>67</v>
      </c>
      <c r="U7" s="153"/>
      <c r="V7" s="153"/>
      <c r="W7" s="155"/>
      <c r="X7" s="153"/>
      <c r="Y7" s="153"/>
      <c r="Z7" s="153"/>
      <c r="AA7" s="161"/>
      <c r="AB7" s="152" t="s">
        <v>50</v>
      </c>
      <c r="AC7" s="162"/>
      <c r="AD7" s="118"/>
      <c r="AE7" s="147" t="s">
        <v>51</v>
      </c>
    </row>
    <row r="8" customFormat="false" ht="11.1" hidden="false" customHeight="true" outlineLevel="0" collapsed="false">
      <c r="A8" s="153"/>
      <c r="B8" s="154"/>
      <c r="C8" s="155"/>
      <c r="D8" s="153"/>
      <c r="E8" s="155"/>
      <c r="F8" s="157"/>
      <c r="G8" s="153"/>
      <c r="H8" s="158"/>
      <c r="I8" s="153"/>
      <c r="J8" s="153"/>
      <c r="K8" s="153"/>
      <c r="L8" s="153"/>
      <c r="M8" s="159"/>
      <c r="N8" s="153"/>
      <c r="O8" s="153"/>
      <c r="P8" s="160"/>
      <c r="Q8" s="153"/>
      <c r="R8" s="153"/>
      <c r="S8" s="153"/>
      <c r="T8" s="155"/>
      <c r="U8" s="153"/>
      <c r="V8" s="153"/>
      <c r="W8" s="155"/>
      <c r="X8" s="153"/>
      <c r="Y8" s="153"/>
      <c r="Z8" s="153"/>
      <c r="AA8" s="161"/>
      <c r="AB8" s="118"/>
      <c r="AC8" s="162"/>
      <c r="AD8" s="118"/>
      <c r="AE8" s="147"/>
    </row>
    <row r="9" customFormat="false" ht="11.1" hidden="false" customHeight="true" outlineLevel="0" collapsed="false">
      <c r="A9" s="111" t="s">
        <v>52</v>
      </c>
      <c r="B9" s="163"/>
      <c r="C9" s="112"/>
      <c r="D9" s="112"/>
      <c r="E9" s="112"/>
      <c r="F9" s="164"/>
      <c r="G9" s="112"/>
      <c r="H9" s="117"/>
      <c r="I9" s="112"/>
      <c r="J9" s="112"/>
      <c r="K9" s="112"/>
      <c r="L9" s="112"/>
      <c r="M9" s="165"/>
      <c r="N9" s="112"/>
      <c r="O9" s="112"/>
      <c r="P9" s="166"/>
      <c r="Q9" s="112"/>
      <c r="R9" s="112"/>
      <c r="S9" s="112"/>
      <c r="T9" s="112"/>
      <c r="U9" s="112"/>
      <c r="V9" s="112"/>
      <c r="W9" s="112"/>
      <c r="X9" s="112"/>
      <c r="Y9" s="112"/>
      <c r="Z9" s="112"/>
      <c r="AA9" s="161"/>
      <c r="AB9" s="117"/>
      <c r="AC9" s="167"/>
      <c r="AD9" s="118"/>
    </row>
    <row r="10" s="105" customFormat="true" ht="11.1" hidden="false" customHeight="true" outlineLevel="0" collapsed="false">
      <c r="A10" s="112" t="s">
        <v>53</v>
      </c>
      <c r="B10" s="168" t="n">
        <f aca="false">NOV!B41</f>
        <v>6857.9</v>
      </c>
      <c r="C10" s="112" t="n">
        <f aca="false">NOV!C41</f>
        <v>158341</v>
      </c>
      <c r="D10" s="112" t="n">
        <f aca="false">NOV!$D$50</f>
        <v>1774</v>
      </c>
      <c r="E10" s="112" t="n">
        <f aca="false">NOV!$E$41</f>
        <v>6341</v>
      </c>
      <c r="F10" s="164" t="n">
        <f aca="false">NOV!F49</f>
        <v>894.378623645072</v>
      </c>
      <c r="G10" s="112" t="n">
        <f aca="false">NOV!G49</f>
        <v>1859</v>
      </c>
      <c r="H10" s="117" t="n">
        <f aca="false">NOV!H49</f>
        <v>0</v>
      </c>
      <c r="I10" s="112" t="n">
        <f aca="false">NOV!I49</f>
        <v>1859</v>
      </c>
      <c r="J10" s="112" t="n">
        <f aca="false">NOV!J49</f>
        <v>67.3489538694227</v>
      </c>
      <c r="K10" s="112" t="n">
        <f aca="false">NOV!K49</f>
        <v>1926.34895386942</v>
      </c>
      <c r="L10" s="112" t="n">
        <f aca="false">NOV!L49</f>
        <v>-217.521376354928</v>
      </c>
      <c r="M10" s="165" t="n">
        <f aca="false">NOV!M49</f>
        <v>209.1</v>
      </c>
      <c r="N10" s="112" t="n">
        <f aca="false">NOV!N49</f>
        <v>0</v>
      </c>
      <c r="O10" s="112" t="n">
        <f aca="false">NOV!O49</f>
        <v>0</v>
      </c>
      <c r="P10" s="166" t="n">
        <f aca="false">NOV!P49</f>
        <v>209.1</v>
      </c>
      <c r="Q10" s="112" t="n">
        <f aca="false">NOV!Q49</f>
        <v>62</v>
      </c>
      <c r="R10" s="112" t="n">
        <f aca="false">NOV!R49</f>
        <v>51</v>
      </c>
      <c r="S10" s="112" t="n">
        <f aca="false">NOV!S49</f>
        <v>322.1</v>
      </c>
      <c r="T10" s="112" t="n">
        <f aca="false">NOV!T49</f>
        <v>0</v>
      </c>
      <c r="U10" s="112" t="n">
        <f aca="false">NOV!U49</f>
        <v>0</v>
      </c>
      <c r="V10" s="112" t="n">
        <f aca="false">NOV!V49</f>
        <v>425</v>
      </c>
      <c r="W10" s="112" t="n">
        <f aca="false">NOV!W49</f>
        <v>1985</v>
      </c>
      <c r="X10" s="112" t="n">
        <f aca="false">NOV!X49</f>
        <v>747.1</v>
      </c>
      <c r="Y10" s="112" t="n">
        <f aca="false">NOV!Y49</f>
        <v>284.870330224351</v>
      </c>
      <c r="Z10" s="112" t="n">
        <f aca="false">NOV!Z49</f>
        <v>1031.97033022435</v>
      </c>
      <c r="AA10" s="161" t="n">
        <f aca="false">NOV!AA49</f>
        <v>1.23</v>
      </c>
      <c r="AB10" s="117"/>
      <c r="AC10" s="167"/>
      <c r="AD10" s="118"/>
    </row>
    <row r="11" customFormat="false" ht="3" hidden="false" customHeight="true" outlineLevel="0" collapsed="false">
      <c r="A11" s="169"/>
      <c r="B11" s="170"/>
      <c r="C11" s="171"/>
      <c r="D11" s="169"/>
      <c r="E11" s="171"/>
      <c r="F11" s="172"/>
      <c r="G11" s="169"/>
      <c r="H11" s="173"/>
      <c r="I11" s="169"/>
      <c r="J11" s="169"/>
      <c r="K11" s="169"/>
      <c r="L11" s="169"/>
      <c r="M11" s="174"/>
      <c r="N11" s="169"/>
      <c r="O11" s="169"/>
      <c r="P11" s="175"/>
      <c r="Q11" s="169"/>
      <c r="R11" s="169"/>
      <c r="S11" s="169"/>
      <c r="T11" s="171"/>
      <c r="U11" s="169"/>
      <c r="V11" s="169"/>
      <c r="W11" s="171"/>
      <c r="X11" s="169"/>
      <c r="Y11" s="169"/>
      <c r="Z11" s="169"/>
      <c r="AA11" s="176"/>
      <c r="AB11" s="177"/>
      <c r="AC11" s="178"/>
      <c r="AD11" s="179"/>
      <c r="AE11" s="179"/>
      <c r="AF11" s="179"/>
    </row>
    <row r="12" customFormat="false" ht="11.1" hidden="false" customHeight="true" outlineLevel="0" collapsed="false">
      <c r="A12" s="118" t="n">
        <v>1</v>
      </c>
      <c r="B12" s="168" t="n">
        <v>6857.93</v>
      </c>
      <c r="C12" s="112" t="n">
        <v>158408</v>
      </c>
      <c r="D12" s="117" t="n">
        <f aca="false">C12-C10</f>
        <v>67</v>
      </c>
      <c r="E12" s="112" t="n">
        <f aca="false">C12-152000</f>
        <v>6408</v>
      </c>
      <c r="F12" s="180" t="n">
        <f aca="false">D12/$D$2</f>
        <v>33.7786740610033</v>
      </c>
      <c r="G12" s="111" t="n">
        <v>69</v>
      </c>
      <c r="H12" s="113" t="n">
        <v>0</v>
      </c>
      <c r="I12" s="111" t="n">
        <f aca="false">G12+H12</f>
        <v>69</v>
      </c>
      <c r="J12" s="181" t="n">
        <f aca="false">IF(L12&gt;0,L12,0)</f>
        <v>0</v>
      </c>
      <c r="K12" s="111" t="n">
        <f aca="false">I12+J12</f>
        <v>69</v>
      </c>
      <c r="L12" s="111" t="n">
        <f aca="false">F12-(I12-X12)</f>
        <v>-16.1213259389967</v>
      </c>
      <c r="M12" s="182" t="n">
        <v>4.1</v>
      </c>
      <c r="N12" s="111" t="n">
        <v>0</v>
      </c>
      <c r="O12" s="111" t="n">
        <v>0</v>
      </c>
      <c r="P12" s="90" t="n">
        <f aca="false">M12-(N12+O12)</f>
        <v>4.1</v>
      </c>
      <c r="Q12" s="111" t="n">
        <v>0</v>
      </c>
      <c r="R12" s="111" t="n">
        <v>0</v>
      </c>
      <c r="S12" s="111" t="n">
        <f aca="false">SUM(P12:R12)</f>
        <v>4.1</v>
      </c>
      <c r="T12" s="112"/>
      <c r="U12" s="111" t="n">
        <v>0</v>
      </c>
      <c r="V12" s="111" t="n">
        <v>15</v>
      </c>
      <c r="W12" s="112" t="n">
        <f aca="false">W10-V12</f>
        <v>1970</v>
      </c>
      <c r="X12" s="6" t="n">
        <f aca="false">N12+O12+S12+U12+V12</f>
        <v>19.1</v>
      </c>
      <c r="Y12" s="111" t="n">
        <f aca="false">IF(L12&lt;0,L12*-1,0)</f>
        <v>16.1213259389967</v>
      </c>
      <c r="Z12" s="111" t="n">
        <f aca="false">X12+Y12</f>
        <v>35.2213259389967</v>
      </c>
      <c r="AA12" s="161" t="n">
        <v>0.13</v>
      </c>
      <c r="AB12" s="117" t="n">
        <v>43</v>
      </c>
      <c r="AC12" s="167" t="n">
        <v>22</v>
      </c>
      <c r="AD12" s="118"/>
    </row>
    <row r="13" customFormat="false" ht="11.1" hidden="false" customHeight="true" outlineLevel="0" collapsed="false">
      <c r="A13" s="118" t="n">
        <f aca="false">A12+1</f>
        <v>2</v>
      </c>
      <c r="B13" s="168" t="n">
        <v>6857.95</v>
      </c>
      <c r="C13" s="112" t="n">
        <v>158452</v>
      </c>
      <c r="D13" s="117" t="n">
        <f aca="false">C13-C12</f>
        <v>44</v>
      </c>
      <c r="E13" s="112" t="n">
        <f aca="false">C13-152000</f>
        <v>6452</v>
      </c>
      <c r="F13" s="180" t="n">
        <f aca="false">D13/$D$2</f>
        <v>22.1830098311066</v>
      </c>
      <c r="G13" s="111" t="n">
        <v>62</v>
      </c>
      <c r="H13" s="113" t="n">
        <v>0</v>
      </c>
      <c r="I13" s="111" t="n">
        <f aca="false">G13+H13</f>
        <v>62</v>
      </c>
      <c r="J13" s="181" t="n">
        <f aca="false">IF(L13&gt;0,L13,0)</f>
        <v>0</v>
      </c>
      <c r="K13" s="111" t="n">
        <f aca="false">I13+J13</f>
        <v>62</v>
      </c>
      <c r="L13" s="111" t="n">
        <f aca="false">F13-(I13-X13)</f>
        <v>-20.7169901688934</v>
      </c>
      <c r="M13" s="182" t="n">
        <v>4.1</v>
      </c>
      <c r="N13" s="111" t="n">
        <v>0</v>
      </c>
      <c r="O13" s="111" t="n">
        <v>0</v>
      </c>
      <c r="P13" s="90" t="n">
        <f aca="false">M13-(N13+O13)</f>
        <v>4.1</v>
      </c>
      <c r="Q13" s="111" t="n">
        <v>0</v>
      </c>
      <c r="R13" s="111" t="n">
        <v>0</v>
      </c>
      <c r="S13" s="111" t="n">
        <f aca="false">SUM(P13:R13)</f>
        <v>4.1</v>
      </c>
      <c r="T13" s="112"/>
      <c r="U13" s="111" t="n">
        <v>0</v>
      </c>
      <c r="V13" s="111" t="n">
        <v>15</v>
      </c>
      <c r="W13" s="112" t="n">
        <f aca="false">W12-V13</f>
        <v>1955</v>
      </c>
      <c r="X13" s="6" t="n">
        <f aca="false">N13+O13+S13+U13+V13</f>
        <v>19.1</v>
      </c>
      <c r="Y13" s="111" t="n">
        <f aca="false">IF(L13&lt;0,L13*-1,0)</f>
        <v>20.7169901688934</v>
      </c>
      <c r="Z13" s="111" t="n">
        <f aca="false">X13+Y13</f>
        <v>39.8169901688934</v>
      </c>
      <c r="AA13" s="161" t="n">
        <v>0</v>
      </c>
      <c r="AB13" s="117" t="n">
        <v>44</v>
      </c>
      <c r="AC13" s="167" t="n">
        <v>20</v>
      </c>
      <c r="AD13" s="118"/>
    </row>
    <row r="14" customFormat="false" ht="11.1" hidden="false" customHeight="true" outlineLevel="0" collapsed="false">
      <c r="A14" s="118" t="n">
        <f aca="false">A13+1</f>
        <v>3</v>
      </c>
      <c r="B14" s="168" t="n">
        <v>6857.96</v>
      </c>
      <c r="C14" s="112" t="n">
        <v>158474</v>
      </c>
      <c r="D14" s="117" t="n">
        <f aca="false">C14-C13</f>
        <v>22</v>
      </c>
      <c r="E14" s="112" t="n">
        <f aca="false">C14-152000</f>
        <v>6474</v>
      </c>
      <c r="F14" s="180" t="n">
        <f aca="false">D14/$D$2</f>
        <v>11.0915049155533</v>
      </c>
      <c r="G14" s="111" t="n">
        <v>68</v>
      </c>
      <c r="H14" s="113" t="n">
        <v>0</v>
      </c>
      <c r="I14" s="111" t="n">
        <f aca="false">G14+H14</f>
        <v>68</v>
      </c>
      <c r="J14" s="181" t="n">
        <f aca="false">IF(L14&gt;0,L14,0)</f>
        <v>0</v>
      </c>
      <c r="K14" s="111" t="n">
        <f aca="false">I14+J14</f>
        <v>68</v>
      </c>
      <c r="L14" s="111" t="n">
        <f aca="false">F14-(I14-X14)</f>
        <v>-37.8084950844467</v>
      </c>
      <c r="M14" s="182" t="n">
        <v>4.1</v>
      </c>
      <c r="N14" s="111" t="n">
        <v>0</v>
      </c>
      <c r="O14" s="111" t="n">
        <v>0</v>
      </c>
      <c r="P14" s="90" t="n">
        <f aca="false">M14-(N14+O14)</f>
        <v>4.1</v>
      </c>
      <c r="Q14" s="111" t="n">
        <v>0</v>
      </c>
      <c r="R14" s="111" t="n">
        <v>0</v>
      </c>
      <c r="S14" s="111" t="n">
        <f aca="false">SUM(P14:R14)</f>
        <v>4.1</v>
      </c>
      <c r="T14" s="112"/>
      <c r="U14" s="111" t="n">
        <v>0</v>
      </c>
      <c r="V14" s="111" t="n">
        <v>15</v>
      </c>
      <c r="W14" s="112" t="n">
        <f aca="false">W13-V14</f>
        <v>1940</v>
      </c>
      <c r="X14" s="6" t="n">
        <f aca="false">N14+O14+S14+U14+V14</f>
        <v>19.1</v>
      </c>
      <c r="Y14" s="111" t="n">
        <f aca="false">IF(L14&lt;0,L14*-1,0)</f>
        <v>37.8084950844467</v>
      </c>
      <c r="Z14" s="111" t="n">
        <f aca="false">X14+Y14</f>
        <v>56.9084950844467</v>
      </c>
      <c r="AA14" s="161" t="n">
        <v>0</v>
      </c>
      <c r="AB14" s="117" t="n">
        <v>42</v>
      </c>
      <c r="AC14" s="167" t="n">
        <v>24</v>
      </c>
      <c r="AD14" s="118"/>
    </row>
    <row r="15" customFormat="false" ht="11.1" hidden="false" customHeight="true" outlineLevel="0" collapsed="false">
      <c r="A15" s="118" t="n">
        <f aca="false">A14+1</f>
        <v>4</v>
      </c>
      <c r="B15" s="168" t="n">
        <v>6857.98</v>
      </c>
      <c r="C15" s="112" t="n">
        <v>158518</v>
      </c>
      <c r="D15" s="117" t="n">
        <f aca="false">C15-C14</f>
        <v>44</v>
      </c>
      <c r="E15" s="112" t="n">
        <f aca="false">C15-152000</f>
        <v>6518</v>
      </c>
      <c r="F15" s="180" t="n">
        <f aca="false">D15/$D$2</f>
        <v>22.1830098311066</v>
      </c>
      <c r="G15" s="111" t="n">
        <v>71</v>
      </c>
      <c r="H15" s="113" t="n">
        <v>0</v>
      </c>
      <c r="I15" s="111" t="n">
        <f aca="false">G15+H15</f>
        <v>71</v>
      </c>
      <c r="J15" s="181" t="n">
        <f aca="false">IF(L15&gt;0,L15,0)</f>
        <v>0</v>
      </c>
      <c r="K15" s="111" t="n">
        <f aca="false">I15+J15</f>
        <v>71</v>
      </c>
      <c r="L15" s="111" t="n">
        <f aca="false">F15-(I15-X15)</f>
        <v>-29.7169901688934</v>
      </c>
      <c r="M15" s="182" t="n">
        <v>4.1</v>
      </c>
      <c r="N15" s="111" t="n">
        <v>0</v>
      </c>
      <c r="O15" s="111" t="n">
        <v>0</v>
      </c>
      <c r="P15" s="90" t="n">
        <f aca="false">M15-(N15+O15)</f>
        <v>4.1</v>
      </c>
      <c r="Q15" s="111" t="n">
        <v>0</v>
      </c>
      <c r="R15" s="111" t="n">
        <v>0</v>
      </c>
      <c r="S15" s="111" t="n">
        <f aca="false">SUM(P15:R15)</f>
        <v>4.1</v>
      </c>
      <c r="T15" s="112"/>
      <c r="U15" s="111" t="n">
        <v>0</v>
      </c>
      <c r="V15" s="111" t="n">
        <v>15</v>
      </c>
      <c r="W15" s="112" t="n">
        <f aca="false">W14-V15</f>
        <v>1925</v>
      </c>
      <c r="X15" s="6" t="n">
        <f aca="false">N15+O15+S15+U15+V15</f>
        <v>19.1</v>
      </c>
      <c r="Y15" s="111" t="n">
        <f aca="false">IF(L15&lt;0,L15*-1,0)</f>
        <v>29.7169901688934</v>
      </c>
      <c r="Z15" s="111" t="n">
        <f aca="false">X15+Y15</f>
        <v>48.8169901688934</v>
      </c>
      <c r="AA15" s="161" t="n">
        <v>0</v>
      </c>
      <c r="AB15" s="117" t="n">
        <v>44</v>
      </c>
      <c r="AC15" s="167" t="n">
        <v>19</v>
      </c>
      <c r="AD15" s="118"/>
    </row>
    <row r="16" customFormat="false" ht="11.1" hidden="false" customHeight="true" outlineLevel="0" collapsed="false">
      <c r="A16" s="118" t="n">
        <f aca="false">A15+1</f>
        <v>5</v>
      </c>
      <c r="B16" s="168" t="n">
        <v>6858</v>
      </c>
      <c r="C16" s="112" t="n">
        <v>158563</v>
      </c>
      <c r="D16" s="117" t="n">
        <f aca="false">C16-C15</f>
        <v>45</v>
      </c>
      <c r="E16" s="112" t="n">
        <f aca="false">C16-152000</f>
        <v>6563</v>
      </c>
      <c r="F16" s="180" t="n">
        <f aca="false">D16/$D$2</f>
        <v>22.68716914545</v>
      </c>
      <c r="G16" s="111" t="n">
        <v>60</v>
      </c>
      <c r="H16" s="113" t="n">
        <v>0</v>
      </c>
      <c r="I16" s="111" t="n">
        <f aca="false">G16+H16</f>
        <v>60</v>
      </c>
      <c r="J16" s="181" t="n">
        <f aca="false">IF(L16&gt;0,L16,0)</f>
        <v>0</v>
      </c>
      <c r="K16" s="111" t="n">
        <f aca="false">I16+J16</f>
        <v>60</v>
      </c>
      <c r="L16" s="111" t="n">
        <f aca="false">F16-(I16-X16)</f>
        <v>-18.21283085455</v>
      </c>
      <c r="M16" s="182" t="n">
        <v>4.1</v>
      </c>
      <c r="N16" s="111" t="n">
        <v>0</v>
      </c>
      <c r="O16" s="111" t="n">
        <v>0</v>
      </c>
      <c r="P16" s="90" t="n">
        <f aca="false">M16-(N16+O16)</f>
        <v>4.1</v>
      </c>
      <c r="Q16" s="111" t="n">
        <v>0</v>
      </c>
      <c r="R16" s="111" t="n">
        <v>0</v>
      </c>
      <c r="S16" s="111" t="n">
        <f aca="false">SUM(P16:R16)</f>
        <v>4.1</v>
      </c>
      <c r="T16" s="112"/>
      <c r="U16" s="111" t="n">
        <v>0</v>
      </c>
      <c r="V16" s="111" t="n">
        <v>15</v>
      </c>
      <c r="W16" s="112" t="n">
        <f aca="false">W15-V16</f>
        <v>1910</v>
      </c>
      <c r="X16" s="6" t="n">
        <f aca="false">N16+O16+S16+U16+V16</f>
        <v>19.1</v>
      </c>
      <c r="Y16" s="111" t="n">
        <f aca="false">IF(L16&lt;0,L16*-1,0)</f>
        <v>18.21283085455</v>
      </c>
      <c r="Z16" s="111" t="n">
        <f aca="false">X16+Y16</f>
        <v>37.31283085455</v>
      </c>
      <c r="AA16" s="161" t="n">
        <v>0</v>
      </c>
      <c r="AB16" s="117" t="n">
        <v>46</v>
      </c>
      <c r="AC16" s="167" t="n">
        <v>20</v>
      </c>
      <c r="AD16" s="118"/>
    </row>
    <row r="17" customFormat="false" ht="11.1" hidden="false" customHeight="true" outlineLevel="0" collapsed="false">
      <c r="A17" s="118" t="n">
        <f aca="false">A16+1</f>
        <v>6</v>
      </c>
      <c r="B17" s="168" t="n">
        <v>6858.02</v>
      </c>
      <c r="C17" s="112" t="n">
        <v>158608</v>
      </c>
      <c r="D17" s="117" t="n">
        <f aca="false">C17-C16</f>
        <v>45</v>
      </c>
      <c r="E17" s="112" t="n">
        <f aca="false">C17-152000</f>
        <v>6608</v>
      </c>
      <c r="F17" s="180" t="n">
        <f aca="false">D17/$D$2</f>
        <v>22.68716914545</v>
      </c>
      <c r="G17" s="111" t="n">
        <v>59</v>
      </c>
      <c r="H17" s="113" t="n">
        <v>0</v>
      </c>
      <c r="I17" s="111" t="n">
        <f aca="false">G17+H17</f>
        <v>59</v>
      </c>
      <c r="J17" s="181" t="n">
        <f aca="false">IF(L17&gt;0,L17,0)</f>
        <v>0</v>
      </c>
      <c r="K17" s="111" t="n">
        <f aca="false">I17+J17</f>
        <v>59</v>
      </c>
      <c r="L17" s="111" t="n">
        <f aca="false">F17-(I17-X17)</f>
        <v>-17.21283085455</v>
      </c>
      <c r="M17" s="182" t="n">
        <v>4.1</v>
      </c>
      <c r="N17" s="111" t="n">
        <v>0</v>
      </c>
      <c r="O17" s="111" t="n">
        <v>0</v>
      </c>
      <c r="P17" s="90" t="n">
        <f aca="false">M17-(N17+O17)</f>
        <v>4.1</v>
      </c>
      <c r="Q17" s="111" t="n">
        <v>0</v>
      </c>
      <c r="R17" s="111" t="n">
        <v>0</v>
      </c>
      <c r="S17" s="111" t="n">
        <f aca="false">SUM(P17:R17)</f>
        <v>4.1</v>
      </c>
      <c r="T17" s="112"/>
      <c r="U17" s="111" t="n">
        <v>0</v>
      </c>
      <c r="V17" s="111" t="n">
        <v>15</v>
      </c>
      <c r="W17" s="112" t="n">
        <f aca="false">W16-V17</f>
        <v>1895</v>
      </c>
      <c r="X17" s="6" t="n">
        <f aca="false">N17+O17+S17+U17+V17</f>
        <v>19.1</v>
      </c>
      <c r="Y17" s="111" t="n">
        <f aca="false">IF(L17&lt;0,L17*-1,0)</f>
        <v>17.21283085455</v>
      </c>
      <c r="Z17" s="111" t="n">
        <f aca="false">X17+Y17</f>
        <v>36.31283085455</v>
      </c>
      <c r="AA17" s="161" t="n">
        <v>0</v>
      </c>
      <c r="AB17" s="117" t="n">
        <v>44</v>
      </c>
      <c r="AC17" s="167" t="n">
        <v>19</v>
      </c>
      <c r="AD17" s="118"/>
    </row>
    <row r="18" customFormat="false" ht="11.1" hidden="false" customHeight="true" outlineLevel="0" collapsed="false">
      <c r="A18" s="118" t="n">
        <f aca="false">A17+1</f>
        <v>7</v>
      </c>
      <c r="B18" s="168" t="n">
        <v>6858.04</v>
      </c>
      <c r="C18" s="112" t="n">
        <v>158652</v>
      </c>
      <c r="D18" s="117" t="n">
        <f aca="false">C18-C17</f>
        <v>44</v>
      </c>
      <c r="E18" s="112" t="n">
        <f aca="false">C18-152000</f>
        <v>6652</v>
      </c>
      <c r="F18" s="180" t="n">
        <f aca="false">D18/$D$2</f>
        <v>22.1830098311066</v>
      </c>
      <c r="G18" s="111" t="n">
        <v>55</v>
      </c>
      <c r="H18" s="113" t="n">
        <v>0</v>
      </c>
      <c r="I18" s="111" t="n">
        <f aca="false">G18+H18</f>
        <v>55</v>
      </c>
      <c r="J18" s="181" t="n">
        <f aca="false">IF(L18&gt;0,L18,0)</f>
        <v>0</v>
      </c>
      <c r="K18" s="111" t="n">
        <f aca="false">I18+J18</f>
        <v>55</v>
      </c>
      <c r="L18" s="111" t="n">
        <f aca="false">F18-(I18-X18)</f>
        <v>-13.7169901688934</v>
      </c>
      <c r="M18" s="182" t="n">
        <v>4.1</v>
      </c>
      <c r="N18" s="111" t="n">
        <v>0</v>
      </c>
      <c r="O18" s="111" t="n">
        <v>0</v>
      </c>
      <c r="P18" s="90" t="n">
        <f aca="false">M18-(N18+O18)</f>
        <v>4.1</v>
      </c>
      <c r="Q18" s="111" t="n">
        <v>0</v>
      </c>
      <c r="R18" s="111" t="n">
        <v>0</v>
      </c>
      <c r="S18" s="111" t="n">
        <f aca="false">SUM(P18:R18)</f>
        <v>4.1</v>
      </c>
      <c r="T18" s="112"/>
      <c r="U18" s="111" t="n">
        <v>0</v>
      </c>
      <c r="V18" s="111" t="n">
        <v>15</v>
      </c>
      <c r="W18" s="112" t="n">
        <f aca="false">W17-V18</f>
        <v>1880</v>
      </c>
      <c r="X18" s="6" t="n">
        <f aca="false">N18+O18+S18+U18+V18</f>
        <v>19.1</v>
      </c>
      <c r="Y18" s="111" t="n">
        <f aca="false">IF(L18&lt;0,L18*-1,0)</f>
        <v>13.7169901688934</v>
      </c>
      <c r="Z18" s="111" t="n">
        <f aca="false">X18+Y18</f>
        <v>32.8169901688934</v>
      </c>
      <c r="AA18" s="161" t="n">
        <v>0</v>
      </c>
      <c r="AB18" s="117" t="n">
        <v>45</v>
      </c>
      <c r="AC18" s="167" t="n">
        <v>18</v>
      </c>
      <c r="AD18" s="118"/>
    </row>
    <row r="19" customFormat="false" ht="11.1" hidden="false" customHeight="true" outlineLevel="0" collapsed="false">
      <c r="A19" s="118" t="n">
        <f aca="false">A18+1</f>
        <v>8</v>
      </c>
      <c r="B19" s="168" t="n">
        <v>6858.05</v>
      </c>
      <c r="C19" s="112" t="n">
        <v>158675</v>
      </c>
      <c r="D19" s="117" t="n">
        <f aca="false">C19-C18</f>
        <v>23</v>
      </c>
      <c r="E19" s="112" t="n">
        <f aca="false">C19-152000</f>
        <v>6675</v>
      </c>
      <c r="F19" s="180" t="n">
        <f aca="false">D19/$D$2</f>
        <v>11.5956642298966</v>
      </c>
      <c r="G19" s="111" t="n">
        <v>36</v>
      </c>
      <c r="H19" s="113" t="n">
        <v>0</v>
      </c>
      <c r="I19" s="111" t="n">
        <f aca="false">G19+H19</f>
        <v>36</v>
      </c>
      <c r="J19" s="181" t="n">
        <f aca="false">IF(L19&gt;0,L19,0)</f>
        <v>0</v>
      </c>
      <c r="K19" s="111" t="n">
        <f aca="false">I19+J19</f>
        <v>36</v>
      </c>
      <c r="L19" s="111" t="n">
        <f aca="false">F19-(I19-X19)</f>
        <v>-5.30433577010335</v>
      </c>
      <c r="M19" s="182" t="n">
        <v>4.1</v>
      </c>
      <c r="N19" s="111" t="n">
        <v>0</v>
      </c>
      <c r="O19" s="111" t="n">
        <v>0</v>
      </c>
      <c r="P19" s="90" t="n">
        <f aca="false">M19-(N19+O19)</f>
        <v>4.1</v>
      </c>
      <c r="Q19" s="111" t="n">
        <v>0</v>
      </c>
      <c r="R19" s="111" t="n">
        <v>0</v>
      </c>
      <c r="S19" s="111" t="n">
        <f aca="false">SUM(P19:R19)</f>
        <v>4.1</v>
      </c>
      <c r="T19" s="112"/>
      <c r="U19" s="111" t="n">
        <v>0</v>
      </c>
      <c r="V19" s="111" t="n">
        <v>15</v>
      </c>
      <c r="W19" s="112" t="n">
        <f aca="false">W18-V19</f>
        <v>1865</v>
      </c>
      <c r="X19" s="6" t="n">
        <f aca="false">N19+O19+S19+U19+V19</f>
        <v>19.1</v>
      </c>
      <c r="Y19" s="111" t="n">
        <f aca="false">IF(L19&lt;0,L19*-1,0)</f>
        <v>5.30433577010335</v>
      </c>
      <c r="Z19" s="111" t="n">
        <f aca="false">X19+Y19</f>
        <v>24.4043357701034</v>
      </c>
      <c r="AA19" s="161" t="n">
        <v>0</v>
      </c>
      <c r="AB19" s="117" t="n">
        <v>41</v>
      </c>
      <c r="AC19" s="167" t="n">
        <v>20</v>
      </c>
      <c r="AD19" s="118"/>
    </row>
    <row r="20" customFormat="false" ht="11.1" hidden="false" customHeight="true" outlineLevel="0" collapsed="false">
      <c r="A20" s="118" t="n">
        <f aca="false">A19+1</f>
        <v>9</v>
      </c>
      <c r="B20" s="168" t="n">
        <v>6858.05</v>
      </c>
      <c r="C20" s="112" t="n">
        <v>158675</v>
      </c>
      <c r="D20" s="117" t="n">
        <f aca="false">C20-C19</f>
        <v>0</v>
      </c>
      <c r="E20" s="112" t="n">
        <f aca="false">C20-152000</f>
        <v>6675</v>
      </c>
      <c r="F20" s="180" t="n">
        <f aca="false">D20/$D$2</f>
        <v>0</v>
      </c>
      <c r="G20" s="111" t="n">
        <v>29</v>
      </c>
      <c r="H20" s="113" t="n">
        <v>0</v>
      </c>
      <c r="I20" s="111" t="n">
        <f aca="false">G20+H20</f>
        <v>29</v>
      </c>
      <c r="J20" s="181" t="n">
        <f aca="false">IF(L20&gt;0,L20,0)</f>
        <v>0</v>
      </c>
      <c r="K20" s="111" t="n">
        <f aca="false">I20+J20</f>
        <v>29</v>
      </c>
      <c r="L20" s="111" t="n">
        <f aca="false">F20-(I20-X20)</f>
        <v>-9.9</v>
      </c>
      <c r="M20" s="182" t="n">
        <v>4.1</v>
      </c>
      <c r="N20" s="111" t="n">
        <v>0</v>
      </c>
      <c r="O20" s="111" t="n">
        <v>0</v>
      </c>
      <c r="P20" s="90" t="n">
        <f aca="false">M20-(N20+O20)</f>
        <v>4.1</v>
      </c>
      <c r="Q20" s="111" t="n">
        <v>0</v>
      </c>
      <c r="R20" s="111" t="n">
        <v>0</v>
      </c>
      <c r="S20" s="111" t="n">
        <f aca="false">SUM(P20:R20)</f>
        <v>4.1</v>
      </c>
      <c r="T20" s="112"/>
      <c r="U20" s="111" t="n">
        <v>0</v>
      </c>
      <c r="V20" s="111" t="n">
        <v>15</v>
      </c>
      <c r="W20" s="112" t="n">
        <f aca="false">W19-V20</f>
        <v>1850</v>
      </c>
      <c r="X20" s="6" t="n">
        <f aca="false">N20+O20+S20+U20+V20</f>
        <v>19.1</v>
      </c>
      <c r="Y20" s="111" t="n">
        <f aca="false">IF(L20&lt;0,L20*-1,0)</f>
        <v>9.9</v>
      </c>
      <c r="Z20" s="111" t="n">
        <f aca="false">X20+Y20</f>
        <v>29</v>
      </c>
      <c r="AA20" s="161" t="n">
        <v>0</v>
      </c>
      <c r="AB20" s="183" t="n">
        <v>43</v>
      </c>
      <c r="AC20" s="167" t="n">
        <v>18</v>
      </c>
      <c r="AD20" s="118"/>
    </row>
    <row r="21" customFormat="false" ht="11.1" hidden="false" customHeight="true" outlineLevel="0" collapsed="false">
      <c r="A21" s="118" t="n">
        <f aca="false">A20+1</f>
        <v>10</v>
      </c>
      <c r="B21" s="168" t="n">
        <v>6858.06</v>
      </c>
      <c r="C21" s="112" t="n">
        <v>158697</v>
      </c>
      <c r="D21" s="117" t="n">
        <f aca="false">C21-C20</f>
        <v>22</v>
      </c>
      <c r="E21" s="112" t="n">
        <f aca="false">C21-152000</f>
        <v>6697</v>
      </c>
      <c r="F21" s="180" t="n">
        <f aca="false">D21/$D$2</f>
        <v>11.0915049155533</v>
      </c>
      <c r="G21" s="111" t="n">
        <v>33</v>
      </c>
      <c r="H21" s="113" t="n">
        <v>0</v>
      </c>
      <c r="I21" s="111" t="n">
        <f aca="false">G21+H21</f>
        <v>33</v>
      </c>
      <c r="J21" s="181" t="n">
        <f aca="false">IF(L21&gt;0,L21,0)</f>
        <v>0</v>
      </c>
      <c r="K21" s="111" t="n">
        <f aca="false">I21+J21</f>
        <v>33</v>
      </c>
      <c r="L21" s="111" t="n">
        <f aca="false">F21-(I21-X21)</f>
        <v>-2.80849508444668</v>
      </c>
      <c r="M21" s="182" t="n">
        <v>4.1</v>
      </c>
      <c r="N21" s="111" t="n">
        <v>0</v>
      </c>
      <c r="O21" s="111" t="n">
        <v>0</v>
      </c>
      <c r="P21" s="90" t="n">
        <f aca="false">M21-(N21+O21)</f>
        <v>4.1</v>
      </c>
      <c r="Q21" s="111" t="n">
        <v>0</v>
      </c>
      <c r="R21" s="111" t="n">
        <v>0</v>
      </c>
      <c r="S21" s="111" t="n">
        <f aca="false">SUM(P21:R21)</f>
        <v>4.1</v>
      </c>
      <c r="T21" s="112"/>
      <c r="U21" s="111" t="n">
        <v>0</v>
      </c>
      <c r="V21" s="111" t="n">
        <v>15</v>
      </c>
      <c r="W21" s="112" t="n">
        <f aca="false">W20-V21</f>
        <v>1835</v>
      </c>
      <c r="X21" s="6" t="n">
        <f aca="false">N21+O21+S21+U21+V21</f>
        <v>19.1</v>
      </c>
      <c r="Y21" s="111" t="n">
        <f aca="false">IF(L21&lt;0,L21*-1,0)</f>
        <v>2.80849508444668</v>
      </c>
      <c r="Z21" s="111" t="n">
        <f aca="false">X21+Y21</f>
        <v>21.9084950844467</v>
      </c>
      <c r="AA21" s="161" t="n">
        <v>0</v>
      </c>
      <c r="AB21" s="117" t="n">
        <v>47</v>
      </c>
      <c r="AC21" s="167" t="n">
        <v>19</v>
      </c>
      <c r="AD21" s="118"/>
    </row>
    <row r="22" customFormat="false" ht="11.1" hidden="false" customHeight="true" outlineLevel="0" collapsed="false">
      <c r="A22" s="118" t="n">
        <f aca="false">A21+1</f>
        <v>11</v>
      </c>
      <c r="B22" s="168" t="n">
        <v>6858.07</v>
      </c>
      <c r="C22" s="112" t="n">
        <v>158720</v>
      </c>
      <c r="D22" s="117" t="n">
        <f aca="false">C22-C21</f>
        <v>23</v>
      </c>
      <c r="E22" s="112" t="n">
        <f aca="false">C22-152000</f>
        <v>6720</v>
      </c>
      <c r="F22" s="180" t="n">
        <f aca="false">D22/$D$2</f>
        <v>11.5956642298966</v>
      </c>
      <c r="G22" s="111" t="n">
        <v>28</v>
      </c>
      <c r="H22" s="113" t="n">
        <v>0</v>
      </c>
      <c r="I22" s="111" t="n">
        <f aca="false">G22+H22</f>
        <v>28</v>
      </c>
      <c r="J22" s="181" t="n">
        <f aca="false">IF(L22&gt;0,L22,0)</f>
        <v>2.69566422989665</v>
      </c>
      <c r="K22" s="111" t="n">
        <f aca="false">I22+J22</f>
        <v>30.6956642298966</v>
      </c>
      <c r="L22" s="111" t="n">
        <f aca="false">F22-(I22-X22)</f>
        <v>2.69566422989665</v>
      </c>
      <c r="M22" s="182" t="n">
        <v>4.1</v>
      </c>
      <c r="N22" s="111" t="n">
        <v>0</v>
      </c>
      <c r="O22" s="111" t="n">
        <v>0</v>
      </c>
      <c r="P22" s="90" t="n">
        <f aca="false">M22-(N22+O22)</f>
        <v>4.1</v>
      </c>
      <c r="Q22" s="111" t="n">
        <v>0</v>
      </c>
      <c r="R22" s="111" t="n">
        <v>0</v>
      </c>
      <c r="S22" s="111" t="n">
        <f aca="false">SUM(P22:R22)</f>
        <v>4.1</v>
      </c>
      <c r="T22" s="112"/>
      <c r="U22" s="111" t="n">
        <v>0</v>
      </c>
      <c r="V22" s="111" t="n">
        <v>15</v>
      </c>
      <c r="W22" s="112" t="n">
        <f aca="false">W21-V22</f>
        <v>1820</v>
      </c>
      <c r="X22" s="6" t="n">
        <f aca="false">N22+O22+S22+U22+V22</f>
        <v>19.1</v>
      </c>
      <c r="Y22" s="111" t="n">
        <f aca="false">IF(L22&lt;0,L22*-1,0)</f>
        <v>0</v>
      </c>
      <c r="Z22" s="111" t="n">
        <f aca="false">X22+Y22</f>
        <v>19.1</v>
      </c>
      <c r="AA22" s="161" t="n">
        <v>0</v>
      </c>
      <c r="AB22" s="117" t="n">
        <v>46</v>
      </c>
      <c r="AC22" s="167" t="n">
        <v>18</v>
      </c>
      <c r="AD22" s="118"/>
    </row>
    <row r="23" customFormat="false" ht="11.1" hidden="false" customHeight="true" outlineLevel="0" collapsed="false">
      <c r="A23" s="118" t="n">
        <f aca="false">A22+1</f>
        <v>12</v>
      </c>
      <c r="B23" s="168" t="n">
        <v>6858.08</v>
      </c>
      <c r="C23" s="112" t="n">
        <v>158742</v>
      </c>
      <c r="D23" s="117" t="n">
        <f aca="false">C23-C22</f>
        <v>22</v>
      </c>
      <c r="E23" s="112" t="n">
        <f aca="false">C23-152000</f>
        <v>6742</v>
      </c>
      <c r="F23" s="180" t="n">
        <f aca="false">D23/$D$2</f>
        <v>11.0915049155533</v>
      </c>
      <c r="G23" s="111" t="n">
        <v>25</v>
      </c>
      <c r="H23" s="113" t="n">
        <v>0</v>
      </c>
      <c r="I23" s="111" t="n">
        <f aca="false">G23+H23</f>
        <v>25</v>
      </c>
      <c r="J23" s="181" t="n">
        <f aca="false">IF(L23&gt;0,L23,0)</f>
        <v>5.17150491555331</v>
      </c>
      <c r="K23" s="111" t="n">
        <f aca="false">I23+J23</f>
        <v>30.1715049155533</v>
      </c>
      <c r="L23" s="111" t="n">
        <f aca="false">F23-(I23-X23)</f>
        <v>5.17150491555331</v>
      </c>
      <c r="M23" s="182" t="n">
        <v>4.1</v>
      </c>
      <c r="N23" s="111" t="n">
        <v>0</v>
      </c>
      <c r="O23" s="111" t="n">
        <v>0</v>
      </c>
      <c r="P23" s="90" t="n">
        <f aca="false">M23-(N23+O23)</f>
        <v>4.1</v>
      </c>
      <c r="Q23" s="111" t="n">
        <v>0</v>
      </c>
      <c r="R23" s="111" t="n">
        <v>0</v>
      </c>
      <c r="S23" s="111" t="n">
        <f aca="false">SUM(P23:R23)</f>
        <v>4.1</v>
      </c>
      <c r="T23" s="112"/>
      <c r="U23" s="111" t="n">
        <v>0</v>
      </c>
      <c r="V23" s="111" t="n">
        <v>14.98</v>
      </c>
      <c r="W23" s="112" t="n">
        <f aca="false">W22-V23</f>
        <v>1805.02</v>
      </c>
      <c r="X23" s="6" t="n">
        <f aca="false">N23+O23+S23+U23+V23</f>
        <v>19.08</v>
      </c>
      <c r="Y23" s="111" t="n">
        <f aca="false">IF(L23&lt;0,L23*-1,0)</f>
        <v>0</v>
      </c>
      <c r="Z23" s="111" t="n">
        <f aca="false">X23+Y23</f>
        <v>19.08</v>
      </c>
      <c r="AA23" s="161" t="n">
        <v>0</v>
      </c>
      <c r="AB23" s="117" t="n">
        <v>48</v>
      </c>
      <c r="AC23" s="167" t="n">
        <v>18</v>
      </c>
      <c r="AD23" s="118"/>
    </row>
    <row r="24" customFormat="false" ht="11.1" hidden="false" customHeight="true" outlineLevel="0" collapsed="false">
      <c r="A24" s="118" t="n">
        <f aca="false">A23+1</f>
        <v>13</v>
      </c>
      <c r="B24" s="168" t="n">
        <v>6858.09</v>
      </c>
      <c r="C24" s="112" t="n">
        <v>158764</v>
      </c>
      <c r="D24" s="117" t="n">
        <f aca="false">C24-C23</f>
        <v>22</v>
      </c>
      <c r="E24" s="112" t="n">
        <f aca="false">C24-152000</f>
        <v>6764</v>
      </c>
      <c r="F24" s="180" t="n">
        <f aca="false">D24/$D$2</f>
        <v>11.0915049155533</v>
      </c>
      <c r="G24" s="111" t="n">
        <v>34</v>
      </c>
      <c r="H24" s="113" t="n">
        <v>0</v>
      </c>
      <c r="I24" s="111" t="n">
        <f aca="false">G24+H24</f>
        <v>34</v>
      </c>
      <c r="J24" s="181" t="n">
        <f aca="false">IF(L24&gt;0,L24,0)</f>
        <v>0</v>
      </c>
      <c r="K24" s="111" t="n">
        <f aca="false">I24+J24</f>
        <v>34</v>
      </c>
      <c r="L24" s="111" t="n">
        <f aca="false">F24-(I24-X24)</f>
        <v>-3.90849508444668</v>
      </c>
      <c r="M24" s="182" t="n">
        <v>4</v>
      </c>
      <c r="N24" s="111" t="n">
        <v>0</v>
      </c>
      <c r="O24" s="111" t="n">
        <v>0</v>
      </c>
      <c r="P24" s="90" t="n">
        <f aca="false">M24-(N24+O24)</f>
        <v>4</v>
      </c>
      <c r="Q24" s="111" t="n">
        <v>0</v>
      </c>
      <c r="R24" s="111" t="n">
        <v>0</v>
      </c>
      <c r="S24" s="111" t="n">
        <f aca="false">SUM(P24:R24)</f>
        <v>4</v>
      </c>
      <c r="T24" s="112"/>
      <c r="U24" s="111" t="n">
        <v>0</v>
      </c>
      <c r="V24" s="111" t="n">
        <v>15</v>
      </c>
      <c r="W24" s="112" t="n">
        <f aca="false">W23-V24</f>
        <v>1790.02</v>
      </c>
      <c r="X24" s="6" t="n">
        <f aca="false">N24+O24+S24+U24+V24</f>
        <v>19</v>
      </c>
      <c r="Y24" s="111" t="n">
        <f aca="false">IF(L24&lt;0,L24*-1,0)</f>
        <v>3.90849508444668</v>
      </c>
      <c r="Z24" s="111" t="n">
        <f aca="false">X24+Y24</f>
        <v>22.9084950844467</v>
      </c>
      <c r="AA24" s="161" t="n">
        <v>0</v>
      </c>
      <c r="AB24" s="117" t="n">
        <v>46</v>
      </c>
      <c r="AC24" s="167" t="n">
        <v>18</v>
      </c>
      <c r="AD24" s="118"/>
    </row>
    <row r="25" customFormat="false" ht="11.1" hidden="false" customHeight="true" outlineLevel="0" collapsed="false">
      <c r="A25" s="118" t="n">
        <f aca="false">A24+1</f>
        <v>14</v>
      </c>
      <c r="B25" s="168" t="n">
        <v>6858.1</v>
      </c>
      <c r="C25" s="112" t="n">
        <v>158787</v>
      </c>
      <c r="D25" s="117" t="n">
        <f aca="false">C25-C24</f>
        <v>23</v>
      </c>
      <c r="E25" s="112" t="n">
        <f aca="false">C25-152000</f>
        <v>6787</v>
      </c>
      <c r="F25" s="180" t="n">
        <f aca="false">D25/$D$2</f>
        <v>11.5956642298966</v>
      </c>
      <c r="G25" s="111" t="n">
        <v>40</v>
      </c>
      <c r="H25" s="113" t="n">
        <v>0</v>
      </c>
      <c r="I25" s="111" t="n">
        <f aca="false">G25+H25</f>
        <v>40</v>
      </c>
      <c r="J25" s="181" t="n">
        <f aca="false">IF(L25&gt;0,L25,0)</f>
        <v>0</v>
      </c>
      <c r="K25" s="111" t="n">
        <f aca="false">I25+J25</f>
        <v>40</v>
      </c>
      <c r="L25" s="111" t="n">
        <f aca="false">F25-(I25-X25)</f>
        <v>-9.70433577010335</v>
      </c>
      <c r="M25" s="182" t="n">
        <v>3.7</v>
      </c>
      <c r="N25" s="111" t="n">
        <v>0</v>
      </c>
      <c r="O25" s="111" t="n">
        <v>0</v>
      </c>
      <c r="P25" s="90" t="n">
        <f aca="false">M25-(N25+O25)</f>
        <v>3.7</v>
      </c>
      <c r="Q25" s="111" t="n">
        <v>0</v>
      </c>
      <c r="R25" s="111" t="n">
        <v>0</v>
      </c>
      <c r="S25" s="111" t="n">
        <f aca="false">SUM(P25:R25)</f>
        <v>3.7</v>
      </c>
      <c r="T25" s="112"/>
      <c r="U25" s="111" t="n">
        <v>0</v>
      </c>
      <c r="V25" s="111" t="n">
        <v>15</v>
      </c>
      <c r="W25" s="112" t="n">
        <f aca="false">W24-V25</f>
        <v>1775.02</v>
      </c>
      <c r="X25" s="6" t="n">
        <f aca="false">N25+O25+S25+U25+V25</f>
        <v>18.7</v>
      </c>
      <c r="Y25" s="111" t="n">
        <f aca="false">IF(L25&lt;0,L25*-1,0)</f>
        <v>9.70433577010335</v>
      </c>
      <c r="Z25" s="111" t="n">
        <f aca="false">X25+Y25</f>
        <v>28.4043357701033</v>
      </c>
      <c r="AA25" s="161" t="n">
        <v>0</v>
      </c>
      <c r="AB25" s="183" t="n">
        <v>50</v>
      </c>
      <c r="AC25" s="167" t="n">
        <v>21</v>
      </c>
      <c r="AD25" s="118"/>
    </row>
    <row r="26" customFormat="false" ht="11.1" hidden="false" customHeight="true" outlineLevel="0" collapsed="false">
      <c r="A26" s="118" t="n">
        <f aca="false">A25+1</f>
        <v>15</v>
      </c>
      <c r="B26" s="168" t="n">
        <v>6858.11</v>
      </c>
      <c r="C26" s="112" t="n">
        <v>158809</v>
      </c>
      <c r="D26" s="117" t="n">
        <f aca="false">C26-C25</f>
        <v>22</v>
      </c>
      <c r="E26" s="112" t="n">
        <f aca="false">C26-152000</f>
        <v>6809</v>
      </c>
      <c r="F26" s="180" t="n">
        <f aca="false">D26/$D$2</f>
        <v>11.0915049155533</v>
      </c>
      <c r="G26" s="111" t="n">
        <v>24</v>
      </c>
      <c r="H26" s="113" t="n">
        <v>0</v>
      </c>
      <c r="I26" s="111" t="n">
        <f aca="false">G26+H26</f>
        <v>24</v>
      </c>
      <c r="J26" s="181" t="n">
        <f aca="false">IF(L26&gt;0,L26,0)</f>
        <v>5.99150491555331</v>
      </c>
      <c r="K26" s="111" t="n">
        <f aca="false">I26+J26</f>
        <v>29.9915049155533</v>
      </c>
      <c r="L26" s="111" t="n">
        <f aca="false">F26-(I26-X26)</f>
        <v>5.99150491555331</v>
      </c>
      <c r="M26" s="182" t="n">
        <v>3.9</v>
      </c>
      <c r="N26" s="111" t="n">
        <v>0</v>
      </c>
      <c r="O26" s="111" t="n">
        <v>0</v>
      </c>
      <c r="P26" s="90" t="n">
        <f aca="false">M26-(N26+O26)</f>
        <v>3.9</v>
      </c>
      <c r="Q26" s="111" t="n">
        <v>0</v>
      </c>
      <c r="R26" s="111" t="n">
        <v>0</v>
      </c>
      <c r="S26" s="111" t="n">
        <f aca="false">SUM(P26:R26)</f>
        <v>3.9</v>
      </c>
      <c r="T26" s="112"/>
      <c r="U26" s="111" t="n">
        <v>0</v>
      </c>
      <c r="V26" s="111" t="n">
        <v>15</v>
      </c>
      <c r="W26" s="112" t="n">
        <f aca="false">W25-V26</f>
        <v>1760.02</v>
      </c>
      <c r="X26" s="6" t="n">
        <f aca="false">N26+O26+S26+U26+V26</f>
        <v>18.9</v>
      </c>
      <c r="Y26" s="111" t="n">
        <f aca="false">IF(L26&lt;0,L26*-1,0)</f>
        <v>0</v>
      </c>
      <c r="Z26" s="111" t="n">
        <f aca="false">X26+Y26</f>
        <v>18.9</v>
      </c>
      <c r="AA26" s="161" t="n">
        <v>0</v>
      </c>
      <c r="AB26" s="183" t="n">
        <v>51</v>
      </c>
      <c r="AC26" s="167" t="n">
        <v>27</v>
      </c>
      <c r="AD26" s="118"/>
    </row>
    <row r="27" customFormat="false" ht="11.1" hidden="false" customHeight="true" outlineLevel="0" collapsed="false">
      <c r="A27" s="118" t="n">
        <f aca="false">A26+1</f>
        <v>16</v>
      </c>
      <c r="B27" s="168" t="n">
        <v>6858.13</v>
      </c>
      <c r="C27" s="112" t="n">
        <v>158854</v>
      </c>
      <c r="D27" s="117" t="n">
        <f aca="false">C27-C26</f>
        <v>45</v>
      </c>
      <c r="E27" s="112" t="n">
        <f aca="false">C27-152000</f>
        <v>6854</v>
      </c>
      <c r="F27" s="180" t="n">
        <f aca="false">D27/$D$2</f>
        <v>22.68716914545</v>
      </c>
      <c r="G27" s="111" t="n">
        <v>39</v>
      </c>
      <c r="H27" s="113" t="n">
        <v>0</v>
      </c>
      <c r="I27" s="111" t="n">
        <f aca="false">G27+H27</f>
        <v>39</v>
      </c>
      <c r="J27" s="181" t="n">
        <f aca="false">IF(L27&gt;0,L27,0)</f>
        <v>2.68716914544996</v>
      </c>
      <c r="K27" s="111" t="n">
        <f aca="false">I27+J27</f>
        <v>41.68716914545</v>
      </c>
      <c r="L27" s="111" t="n">
        <f aca="false">F27-(I27-X27)</f>
        <v>2.68716914544996</v>
      </c>
      <c r="M27" s="182" t="n">
        <v>4.1</v>
      </c>
      <c r="N27" s="111" t="n">
        <v>0</v>
      </c>
      <c r="O27" s="111" t="n">
        <v>0</v>
      </c>
      <c r="P27" s="90" t="n">
        <f aca="false">M27-(N27+O27)</f>
        <v>4.1</v>
      </c>
      <c r="Q27" s="111" t="n">
        <v>0</v>
      </c>
      <c r="R27" s="111" t="n">
        <v>0</v>
      </c>
      <c r="S27" s="111" t="n">
        <f aca="false">SUM(P27:R27)</f>
        <v>4.1</v>
      </c>
      <c r="T27" s="112"/>
      <c r="U27" s="111" t="n">
        <v>0</v>
      </c>
      <c r="V27" s="111" t="n">
        <v>14.9</v>
      </c>
      <c r="W27" s="112" t="n">
        <f aca="false">W26-V27</f>
        <v>1745.12</v>
      </c>
      <c r="X27" s="6" t="n">
        <f aca="false">N27+O27+S27+U27+V27</f>
        <v>19</v>
      </c>
      <c r="Y27" s="111" t="n">
        <f aca="false">IF(L27&lt;0,L27*-1,0)</f>
        <v>0</v>
      </c>
      <c r="Z27" s="111" t="n">
        <f aca="false">X27+Y27</f>
        <v>19</v>
      </c>
      <c r="AA27" s="161" t="n">
        <v>0</v>
      </c>
      <c r="AB27" s="183" t="n">
        <v>48</v>
      </c>
      <c r="AC27" s="167" t="n">
        <v>29</v>
      </c>
      <c r="AD27" s="118"/>
    </row>
    <row r="28" customFormat="false" ht="11.1" hidden="false" customHeight="true" outlineLevel="0" collapsed="false">
      <c r="A28" s="118" t="n">
        <f aca="false">A27+1</f>
        <v>17</v>
      </c>
      <c r="B28" s="168" t="n">
        <v>6858.15</v>
      </c>
      <c r="C28" s="112" t="n">
        <v>158899</v>
      </c>
      <c r="D28" s="117" t="n">
        <f aca="false">C28-C27</f>
        <v>45</v>
      </c>
      <c r="E28" s="112" t="n">
        <f aca="false">C28-152000</f>
        <v>6899</v>
      </c>
      <c r="F28" s="180" t="n">
        <f aca="false">D28/$D$2</f>
        <v>22.68716914545</v>
      </c>
      <c r="G28" s="111" t="n">
        <v>53</v>
      </c>
      <c r="H28" s="113" t="n">
        <v>0</v>
      </c>
      <c r="I28" s="111" t="n">
        <f aca="false">G28+H28</f>
        <v>53</v>
      </c>
      <c r="J28" s="181" t="n">
        <f aca="false">IF(L28&gt;0,L28,0)</f>
        <v>0</v>
      </c>
      <c r="K28" s="111" t="n">
        <f aca="false">I28+J28</f>
        <v>53</v>
      </c>
      <c r="L28" s="111" t="n">
        <f aca="false">F28-(I28-X28)</f>
        <v>-11.41283085455</v>
      </c>
      <c r="M28" s="182" t="n">
        <v>3.9</v>
      </c>
      <c r="N28" s="111" t="n">
        <v>0</v>
      </c>
      <c r="O28" s="111" t="n">
        <v>0</v>
      </c>
      <c r="P28" s="90" t="n">
        <f aca="false">M28-(N28+O28)</f>
        <v>3.9</v>
      </c>
      <c r="Q28" s="111" t="n">
        <v>0</v>
      </c>
      <c r="R28" s="111" t="n">
        <v>0</v>
      </c>
      <c r="S28" s="111" t="n">
        <f aca="false">SUM(P28:R28)</f>
        <v>3.9</v>
      </c>
      <c r="T28" s="112"/>
      <c r="U28" s="111" t="n">
        <v>0</v>
      </c>
      <c r="V28" s="111" t="n">
        <v>15</v>
      </c>
      <c r="W28" s="112" t="n">
        <f aca="false">W27-V28</f>
        <v>1730.12</v>
      </c>
      <c r="X28" s="6" t="n">
        <f aca="false">N28+O28+S28+U28+V28</f>
        <v>18.9</v>
      </c>
      <c r="Y28" s="111" t="n">
        <f aca="false">IF(L28&lt;0,L28*-1,0)</f>
        <v>11.41283085455</v>
      </c>
      <c r="Z28" s="111" t="n">
        <f aca="false">X28+Y28</f>
        <v>30.31283085455</v>
      </c>
      <c r="AA28" s="161" t="n">
        <v>0.36</v>
      </c>
      <c r="AB28" s="183" t="n">
        <v>35</v>
      </c>
      <c r="AC28" s="167" t="n">
        <v>26</v>
      </c>
      <c r="AD28" s="118"/>
    </row>
    <row r="29" customFormat="false" ht="11.1" hidden="false" customHeight="true" outlineLevel="0" collapsed="false">
      <c r="A29" s="118" t="n">
        <f aca="false">A28+1</f>
        <v>18</v>
      </c>
      <c r="B29" s="168" t="n">
        <v>6858.17</v>
      </c>
      <c r="C29" s="112" t="n">
        <v>158944</v>
      </c>
      <c r="D29" s="117" t="n">
        <f aca="false">C29-C28</f>
        <v>45</v>
      </c>
      <c r="E29" s="112" t="n">
        <f aca="false">C29-152000</f>
        <v>6944</v>
      </c>
      <c r="F29" s="180" t="n">
        <f aca="false">D29/$D$2</f>
        <v>22.68716914545</v>
      </c>
      <c r="G29" s="111" t="n">
        <v>47</v>
      </c>
      <c r="H29" s="113" t="n">
        <v>0</v>
      </c>
      <c r="I29" s="111" t="n">
        <f aca="false">G29+H29</f>
        <v>47</v>
      </c>
      <c r="J29" s="181" t="n">
        <f aca="false">IF(L29&gt;0,L29,0)</f>
        <v>0</v>
      </c>
      <c r="K29" s="111" t="n">
        <f aca="false">I29+J29</f>
        <v>47</v>
      </c>
      <c r="L29" s="111" t="n">
        <f aca="false">F29-(I29-X29)</f>
        <v>-5.61283085455004</v>
      </c>
      <c r="M29" s="182" t="n">
        <v>3.7</v>
      </c>
      <c r="N29" s="111" t="n">
        <v>0</v>
      </c>
      <c r="O29" s="111" t="n">
        <v>0</v>
      </c>
      <c r="P29" s="90" t="n">
        <f aca="false">M29-(N29+O29)</f>
        <v>3.7</v>
      </c>
      <c r="Q29" s="111" t="n">
        <v>0</v>
      </c>
      <c r="R29" s="111" t="n">
        <v>0</v>
      </c>
      <c r="S29" s="111" t="n">
        <f aca="false">SUM(P29:R29)</f>
        <v>3.7</v>
      </c>
      <c r="T29" s="112"/>
      <c r="U29" s="111" t="n">
        <v>0</v>
      </c>
      <c r="V29" s="111" t="n">
        <v>15</v>
      </c>
      <c r="W29" s="112" t="n">
        <f aca="false">W28-V29</f>
        <v>1715.12</v>
      </c>
      <c r="X29" s="6" t="n">
        <f aca="false">N29+O29+S29+U29+V29</f>
        <v>18.7</v>
      </c>
      <c r="Y29" s="111" t="n">
        <f aca="false">IF(L29&lt;0,L29*-1,0)</f>
        <v>5.61283085455004</v>
      </c>
      <c r="Z29" s="111" t="n">
        <f aca="false">X29+Y29</f>
        <v>24.31283085455</v>
      </c>
      <c r="AA29" s="161" t="n">
        <v>0.04</v>
      </c>
      <c r="AB29" s="183" t="n">
        <v>33</v>
      </c>
      <c r="AC29" s="167" t="n">
        <v>11</v>
      </c>
      <c r="AD29" s="118"/>
    </row>
    <row r="30" customFormat="false" ht="11.1" hidden="false" customHeight="true" outlineLevel="0" collapsed="false">
      <c r="A30" s="118" t="n">
        <f aca="false">A29+1</f>
        <v>19</v>
      </c>
      <c r="B30" s="168" t="n">
        <v>6858.19</v>
      </c>
      <c r="C30" s="112" t="n">
        <v>158988</v>
      </c>
      <c r="D30" s="117" t="n">
        <f aca="false">C30-C29</f>
        <v>44</v>
      </c>
      <c r="E30" s="112" t="n">
        <f aca="false">C30-152000</f>
        <v>6988</v>
      </c>
      <c r="F30" s="180" t="n">
        <f aca="false">D30/$D$2</f>
        <v>22.1830098311066</v>
      </c>
      <c r="G30" s="111" t="n">
        <v>35</v>
      </c>
      <c r="H30" s="113" t="n">
        <v>0</v>
      </c>
      <c r="I30" s="111" t="n">
        <f aca="false">G30+H30</f>
        <v>35</v>
      </c>
      <c r="J30" s="181" t="n">
        <f aca="false">IF(L30&gt;0,L30,0)</f>
        <v>5.88300983110663</v>
      </c>
      <c r="K30" s="111" t="n">
        <f aca="false">I30+J30</f>
        <v>40.8830098311066</v>
      </c>
      <c r="L30" s="111" t="n">
        <f aca="false">F30-(I30-X30)</f>
        <v>5.88300983110663</v>
      </c>
      <c r="M30" s="182" t="n">
        <v>3.7</v>
      </c>
      <c r="N30" s="111" t="n">
        <v>0</v>
      </c>
      <c r="O30" s="111" t="n">
        <v>0</v>
      </c>
      <c r="P30" s="90" t="n">
        <f aca="false">M30-(N30+O30)</f>
        <v>3.7</v>
      </c>
      <c r="Q30" s="111" t="n">
        <v>0</v>
      </c>
      <c r="R30" s="111" t="n">
        <v>0</v>
      </c>
      <c r="S30" s="111" t="n">
        <f aca="false">SUM(P30:R30)</f>
        <v>3.7</v>
      </c>
      <c r="T30" s="112"/>
      <c r="U30" s="111" t="n">
        <v>0</v>
      </c>
      <c r="V30" s="111" t="n">
        <v>15</v>
      </c>
      <c r="W30" s="112" t="n">
        <f aca="false">W29-V30</f>
        <v>1700.12</v>
      </c>
      <c r="X30" s="6" t="n">
        <f aca="false">N30+O30+S30+U30+V30</f>
        <v>18.7</v>
      </c>
      <c r="Y30" s="111" t="n">
        <f aca="false">IF(L30&lt;0,L30*-1,0)</f>
        <v>0</v>
      </c>
      <c r="Z30" s="111" t="n">
        <f aca="false">X30+Y30</f>
        <v>18.7</v>
      </c>
      <c r="AA30" s="161" t="n">
        <v>0.01</v>
      </c>
      <c r="AB30" s="183" t="n">
        <v>28</v>
      </c>
      <c r="AC30" s="167" t="n">
        <v>7</v>
      </c>
      <c r="AD30" s="118"/>
    </row>
    <row r="31" customFormat="false" ht="11.1" hidden="false" customHeight="true" outlineLevel="0" collapsed="false">
      <c r="A31" s="118" t="n">
        <f aca="false">A30+1</f>
        <v>20</v>
      </c>
      <c r="B31" s="168" t="n">
        <v>6858.21</v>
      </c>
      <c r="C31" s="112" t="n">
        <v>159033</v>
      </c>
      <c r="D31" s="117" t="n">
        <f aca="false">C31-C30</f>
        <v>45</v>
      </c>
      <c r="E31" s="112" t="n">
        <f aca="false">C31-152000</f>
        <v>7033</v>
      </c>
      <c r="F31" s="180" t="n">
        <f aca="false">D31/$D$2</f>
        <v>22.68716914545</v>
      </c>
      <c r="G31" s="111" t="n">
        <v>28</v>
      </c>
      <c r="H31" s="113" t="n">
        <v>0</v>
      </c>
      <c r="I31" s="111" t="n">
        <f aca="false">G31+H31</f>
        <v>28</v>
      </c>
      <c r="J31" s="181" t="n">
        <f aca="false">IF(L31&gt;0,L31,0)</f>
        <v>13.38716914545</v>
      </c>
      <c r="K31" s="111" t="n">
        <f aca="false">I31+J31</f>
        <v>41.38716914545</v>
      </c>
      <c r="L31" s="111" t="n">
        <f aca="false">F31-(I31-X31)</f>
        <v>13.38716914545</v>
      </c>
      <c r="M31" s="182" t="n">
        <v>3.7</v>
      </c>
      <c r="N31" s="111" t="n">
        <v>0</v>
      </c>
      <c r="O31" s="111" t="n">
        <v>0</v>
      </c>
      <c r="P31" s="90" t="n">
        <f aca="false">M31-(N31+O31)</f>
        <v>3.7</v>
      </c>
      <c r="Q31" s="111" t="n">
        <v>0</v>
      </c>
      <c r="R31" s="111" t="n">
        <v>0</v>
      </c>
      <c r="S31" s="111" t="n">
        <f aca="false">SUM(P31:R31)</f>
        <v>3.7</v>
      </c>
      <c r="T31" s="112"/>
      <c r="U31" s="111" t="n">
        <v>0</v>
      </c>
      <c r="V31" s="111" t="n">
        <v>15</v>
      </c>
      <c r="W31" s="112" t="n">
        <f aca="false">W30-V31</f>
        <v>1685.12</v>
      </c>
      <c r="X31" s="6" t="n">
        <f aca="false">N31+O31+S31+U31+V31</f>
        <v>18.7</v>
      </c>
      <c r="Y31" s="111" t="n">
        <f aca="false">IF(L31&lt;0,L31*-1,0)</f>
        <v>0</v>
      </c>
      <c r="Z31" s="111" t="n">
        <f aca="false">X31+Y31</f>
        <v>18.7</v>
      </c>
      <c r="AA31" s="161" t="n">
        <v>0</v>
      </c>
      <c r="AB31" s="183" t="n">
        <v>36</v>
      </c>
      <c r="AC31" s="167" t="n">
        <v>11</v>
      </c>
      <c r="AD31" s="118"/>
    </row>
    <row r="32" customFormat="false" ht="11.1" hidden="false" customHeight="true" outlineLevel="0" collapsed="false">
      <c r="A32" s="118" t="n">
        <f aca="false">A31+1</f>
        <v>21</v>
      </c>
      <c r="B32" s="168" t="n">
        <v>6858.23</v>
      </c>
      <c r="C32" s="112" t="n">
        <v>159078</v>
      </c>
      <c r="D32" s="117" t="n">
        <f aca="false">C32-C31</f>
        <v>45</v>
      </c>
      <c r="E32" s="112" t="n">
        <f aca="false">C32-152000</f>
        <v>7078</v>
      </c>
      <c r="F32" s="180" t="n">
        <f aca="false">D32/$D$2</f>
        <v>22.68716914545</v>
      </c>
      <c r="G32" s="111" t="n">
        <v>22</v>
      </c>
      <c r="H32" s="113" t="n">
        <v>0</v>
      </c>
      <c r="I32" s="111" t="n">
        <f aca="false">G32+H32</f>
        <v>22</v>
      </c>
      <c r="J32" s="181" t="n">
        <f aca="false">IF(L32&gt;0,L32,0)</f>
        <v>19.38716914545</v>
      </c>
      <c r="K32" s="111" t="n">
        <f aca="false">I32+J32</f>
        <v>41.38716914545</v>
      </c>
      <c r="L32" s="111" t="n">
        <f aca="false">F32-(I32-X32)</f>
        <v>19.38716914545</v>
      </c>
      <c r="M32" s="182" t="n">
        <v>3.7</v>
      </c>
      <c r="N32" s="111" t="n">
        <v>0</v>
      </c>
      <c r="O32" s="111" t="n">
        <v>0</v>
      </c>
      <c r="P32" s="90" t="n">
        <f aca="false">M32-(N32+O32)</f>
        <v>3.7</v>
      </c>
      <c r="Q32" s="111" t="n">
        <v>0</v>
      </c>
      <c r="R32" s="111" t="n">
        <v>0</v>
      </c>
      <c r="S32" s="111" t="n">
        <f aca="false">SUM(P32:R32)</f>
        <v>3.7</v>
      </c>
      <c r="T32" s="112"/>
      <c r="U32" s="111" t="n">
        <v>0</v>
      </c>
      <c r="V32" s="111" t="n">
        <v>15</v>
      </c>
      <c r="W32" s="112" t="n">
        <f aca="false">W31-V32</f>
        <v>1670.12</v>
      </c>
      <c r="X32" s="6" t="n">
        <f aca="false">N32+O32+S32+U32+V32</f>
        <v>18.7</v>
      </c>
      <c r="Y32" s="111" t="n">
        <f aca="false">IF(L32&lt;0,L32*-1,0)</f>
        <v>0</v>
      </c>
      <c r="Z32" s="111" t="n">
        <f aca="false">X32+Y32</f>
        <v>18.7</v>
      </c>
      <c r="AA32" s="161" t="n">
        <v>0</v>
      </c>
      <c r="AB32" s="117" t="n">
        <v>32</v>
      </c>
      <c r="AC32" s="167" t="n">
        <v>9</v>
      </c>
      <c r="AD32" s="118"/>
    </row>
    <row r="33" customFormat="false" ht="11.1" hidden="false" customHeight="true" outlineLevel="0" collapsed="false">
      <c r="A33" s="118" t="n">
        <f aca="false">A32+1</f>
        <v>22</v>
      </c>
      <c r="B33" s="168" t="n">
        <v>6858.25</v>
      </c>
      <c r="C33" s="112" t="n">
        <v>159123</v>
      </c>
      <c r="D33" s="117" t="n">
        <f aca="false">C33-C32</f>
        <v>45</v>
      </c>
      <c r="E33" s="112" t="n">
        <f aca="false">C33-152000</f>
        <v>7123</v>
      </c>
      <c r="F33" s="180" t="n">
        <f aca="false">D33/$D$2</f>
        <v>22.68716914545</v>
      </c>
      <c r="G33" s="111" t="n">
        <v>20</v>
      </c>
      <c r="H33" s="113" t="n">
        <v>0</v>
      </c>
      <c r="I33" s="111" t="n">
        <f aca="false">G33+H33</f>
        <v>20</v>
      </c>
      <c r="J33" s="181" t="n">
        <f aca="false">IF(L33&gt;0,L33,0)</f>
        <v>21.18716914545</v>
      </c>
      <c r="K33" s="111" t="n">
        <f aca="false">I33+J33</f>
        <v>41.18716914545</v>
      </c>
      <c r="L33" s="111" t="n">
        <f aca="false">F33-(I33-X33)</f>
        <v>21.18716914545</v>
      </c>
      <c r="M33" s="182" t="n">
        <v>3.5</v>
      </c>
      <c r="N33" s="111" t="n">
        <v>0</v>
      </c>
      <c r="O33" s="111" t="n">
        <v>0</v>
      </c>
      <c r="P33" s="90" t="n">
        <f aca="false">M33-(N33+O33)</f>
        <v>3.5</v>
      </c>
      <c r="Q33" s="111" t="n">
        <v>0</v>
      </c>
      <c r="R33" s="111" t="n">
        <v>0</v>
      </c>
      <c r="S33" s="111" t="n">
        <f aca="false">SUM(P33:R33)</f>
        <v>3.5</v>
      </c>
      <c r="T33" s="112"/>
      <c r="U33" s="111" t="n">
        <v>0</v>
      </c>
      <c r="V33" s="111" t="n">
        <v>15</v>
      </c>
      <c r="W33" s="112" t="n">
        <f aca="false">W32-V33</f>
        <v>1655.12</v>
      </c>
      <c r="X33" s="6" t="n">
        <f aca="false">N33+O33+S33+U33+V33</f>
        <v>18.5</v>
      </c>
      <c r="Y33" s="111" t="n">
        <f aca="false">IF(L33&lt;0,L33*-1,0)</f>
        <v>0</v>
      </c>
      <c r="Z33" s="111" t="n">
        <f aca="false">X33+Y33</f>
        <v>18.5</v>
      </c>
      <c r="AA33" s="161" t="n">
        <v>0</v>
      </c>
      <c r="AB33" s="117" t="n">
        <v>36</v>
      </c>
      <c r="AC33" s="167" t="n">
        <v>5</v>
      </c>
      <c r="AD33" s="118"/>
    </row>
    <row r="34" customFormat="false" ht="11.1" hidden="false" customHeight="true" outlineLevel="0" collapsed="false">
      <c r="A34" s="118" t="n">
        <f aca="false">A33+1</f>
        <v>23</v>
      </c>
      <c r="B34" s="168" t="n">
        <v>6858.26</v>
      </c>
      <c r="C34" s="112" t="n">
        <v>159145</v>
      </c>
      <c r="D34" s="117" t="n">
        <f aca="false">C34-C33</f>
        <v>22</v>
      </c>
      <c r="E34" s="112" t="n">
        <f aca="false">C34-152000</f>
        <v>7145</v>
      </c>
      <c r="F34" s="180" t="n">
        <f aca="false">D34/$D$2</f>
        <v>11.0915049155533</v>
      </c>
      <c r="G34" s="111" t="n">
        <v>20</v>
      </c>
      <c r="H34" s="113" t="n">
        <v>0</v>
      </c>
      <c r="I34" s="111" t="n">
        <f aca="false">G34+H34</f>
        <v>20</v>
      </c>
      <c r="J34" s="181" t="n">
        <f aca="false">IF(L34&gt;0,L34,0)</f>
        <v>8.49150491555331</v>
      </c>
      <c r="K34" s="111" t="n">
        <f aca="false">I34+J34</f>
        <v>28.4915049155533</v>
      </c>
      <c r="L34" s="111" t="n">
        <f aca="false">F34-(I34-X34)</f>
        <v>8.49150491555331</v>
      </c>
      <c r="M34" s="182" t="n">
        <v>3.4</v>
      </c>
      <c r="N34" s="111" t="n">
        <v>0</v>
      </c>
      <c r="O34" s="111" t="n">
        <v>0</v>
      </c>
      <c r="P34" s="90" t="n">
        <f aca="false">M34-(N34+O34)</f>
        <v>3.4</v>
      </c>
      <c r="Q34" s="111" t="n">
        <v>0</v>
      </c>
      <c r="R34" s="111" t="n">
        <v>0</v>
      </c>
      <c r="S34" s="111" t="n">
        <f aca="false">SUM(P34:R34)</f>
        <v>3.4</v>
      </c>
      <c r="T34" s="112"/>
      <c r="U34" s="111" t="n">
        <v>0</v>
      </c>
      <c r="V34" s="111" t="n">
        <v>14</v>
      </c>
      <c r="W34" s="112" t="n">
        <f aca="false">W33-V34</f>
        <v>1641.12</v>
      </c>
      <c r="X34" s="6" t="n">
        <f aca="false">N34+O34+S34+U34+V34</f>
        <v>17.4</v>
      </c>
      <c r="Y34" s="111" t="n">
        <f aca="false">IF(L34&lt;0,L34*-1,0)</f>
        <v>0</v>
      </c>
      <c r="Z34" s="111" t="n">
        <f aca="false">X34+Y34</f>
        <v>17.4</v>
      </c>
      <c r="AA34" s="161" t="n">
        <v>0</v>
      </c>
      <c r="AB34" s="117" t="n">
        <v>34</v>
      </c>
      <c r="AC34" s="184" t="n">
        <v>14</v>
      </c>
      <c r="AD34" s="118"/>
    </row>
    <row r="35" customFormat="false" ht="11.1" hidden="false" customHeight="true" outlineLevel="0" collapsed="false">
      <c r="A35" s="118" t="n">
        <f aca="false">A34+1</f>
        <v>24</v>
      </c>
      <c r="B35" s="168" t="n">
        <v>6858.28</v>
      </c>
      <c r="C35" s="112" t="n">
        <v>159190</v>
      </c>
      <c r="D35" s="117" t="n">
        <f aca="false">C35-C34</f>
        <v>45</v>
      </c>
      <c r="E35" s="112" t="n">
        <f aca="false">C35-152000</f>
        <v>7190</v>
      </c>
      <c r="F35" s="180" t="n">
        <f aca="false">D35/$D$2</f>
        <v>22.68716914545</v>
      </c>
      <c r="G35" s="111" t="n">
        <v>23</v>
      </c>
      <c r="H35" s="113" t="n">
        <v>0</v>
      </c>
      <c r="I35" s="111" t="n">
        <f aca="false">G35+H35</f>
        <v>23</v>
      </c>
      <c r="J35" s="181" t="n">
        <f aca="false">IF(L35&gt;0,L35,0)</f>
        <v>17.08716914545</v>
      </c>
      <c r="K35" s="111" t="n">
        <f aca="false">I35+J35</f>
        <v>40.08716914545</v>
      </c>
      <c r="L35" s="111" t="n">
        <f aca="false">F35-(I35-X35)</f>
        <v>17.08716914545</v>
      </c>
      <c r="M35" s="182" t="n">
        <v>3.4</v>
      </c>
      <c r="N35" s="111" t="n">
        <v>0</v>
      </c>
      <c r="O35" s="111" t="n">
        <v>0</v>
      </c>
      <c r="P35" s="90" t="n">
        <f aca="false">M35-(N35+O35)</f>
        <v>3.4</v>
      </c>
      <c r="Q35" s="111" t="n">
        <v>0</v>
      </c>
      <c r="R35" s="111" t="n">
        <v>0</v>
      </c>
      <c r="S35" s="111" t="n">
        <f aca="false">SUM(P35:R35)</f>
        <v>3.4</v>
      </c>
      <c r="T35" s="112"/>
      <c r="U35" s="111" t="n">
        <v>0</v>
      </c>
      <c r="V35" s="111" t="n">
        <v>14</v>
      </c>
      <c r="W35" s="112" t="n">
        <f aca="false">W34-V35</f>
        <v>1627.12</v>
      </c>
      <c r="X35" s="6" t="n">
        <f aca="false">N35+O35+S35+U35+V35</f>
        <v>17.4</v>
      </c>
      <c r="Y35" s="111" t="n">
        <f aca="false">IF(L35&lt;0,L35*-1,0)</f>
        <v>0</v>
      </c>
      <c r="Z35" s="111" t="n">
        <f aca="false">X35+Y35</f>
        <v>17.4</v>
      </c>
      <c r="AA35" s="161" t="n">
        <v>0.15</v>
      </c>
      <c r="AB35" s="117" t="n">
        <v>24</v>
      </c>
      <c r="AC35" s="184" t="n">
        <v>17</v>
      </c>
      <c r="AD35" s="118"/>
    </row>
    <row r="36" customFormat="false" ht="11.1" hidden="false" customHeight="true" outlineLevel="0" collapsed="false">
      <c r="A36" s="118" t="n">
        <f aca="false">A35+1</f>
        <v>25</v>
      </c>
      <c r="B36" s="168" t="n">
        <v>6858.3</v>
      </c>
      <c r="C36" s="112" t="n">
        <v>159235</v>
      </c>
      <c r="D36" s="117" t="n">
        <f aca="false">C36-C35</f>
        <v>45</v>
      </c>
      <c r="E36" s="112" t="n">
        <f aca="false">C36-152000</f>
        <v>7235</v>
      </c>
      <c r="F36" s="180" t="n">
        <f aca="false">D36/$D$2</f>
        <v>22.68716914545</v>
      </c>
      <c r="G36" s="111" t="n">
        <v>23</v>
      </c>
      <c r="H36" s="113" t="n">
        <v>0</v>
      </c>
      <c r="I36" s="111" t="n">
        <f aca="false">G36+H36</f>
        <v>23</v>
      </c>
      <c r="J36" s="181" t="n">
        <f aca="false">IF(L36&gt;0,L36,0)</f>
        <v>17.08716914545</v>
      </c>
      <c r="K36" s="111" t="n">
        <f aca="false">I36+J36</f>
        <v>40.08716914545</v>
      </c>
      <c r="L36" s="111" t="n">
        <f aca="false">F36-(I36-X36)</f>
        <v>17.08716914545</v>
      </c>
      <c r="M36" s="182" t="n">
        <v>3.4</v>
      </c>
      <c r="N36" s="111" t="n">
        <v>0</v>
      </c>
      <c r="O36" s="111" t="n">
        <v>0</v>
      </c>
      <c r="P36" s="90" t="n">
        <f aca="false">M36-(N36+O36)</f>
        <v>3.4</v>
      </c>
      <c r="Q36" s="111" t="n">
        <v>0</v>
      </c>
      <c r="R36" s="111" t="n">
        <v>0</v>
      </c>
      <c r="S36" s="111" t="n">
        <f aca="false">SUM(P36:R36)</f>
        <v>3.4</v>
      </c>
      <c r="T36" s="112"/>
      <c r="U36" s="111" t="n">
        <v>0</v>
      </c>
      <c r="V36" s="111" t="n">
        <v>14</v>
      </c>
      <c r="W36" s="112" t="n">
        <f aca="false">W35-V36</f>
        <v>1613.12</v>
      </c>
      <c r="X36" s="6" t="n">
        <f aca="false">N36+O36+S36+U36+V36</f>
        <v>17.4</v>
      </c>
      <c r="Y36" s="111" t="n">
        <f aca="false">IF(L36&lt;0,L36*-1,0)</f>
        <v>0</v>
      </c>
      <c r="Z36" s="111" t="n">
        <f aca="false">X36+Y36</f>
        <v>17.4</v>
      </c>
      <c r="AA36" s="161" t="n">
        <v>0.03</v>
      </c>
      <c r="AB36" s="117" t="n">
        <v>30</v>
      </c>
      <c r="AC36" s="184" t="n">
        <v>19</v>
      </c>
      <c r="AD36" s="118"/>
    </row>
    <row r="37" customFormat="false" ht="11.1" hidden="false" customHeight="true" outlineLevel="0" collapsed="false">
      <c r="A37" s="118" t="n">
        <f aca="false">A36+1</f>
        <v>26</v>
      </c>
      <c r="B37" s="168" t="n">
        <v>6858.32</v>
      </c>
      <c r="C37" s="112" t="n">
        <v>159280</v>
      </c>
      <c r="D37" s="117" t="n">
        <f aca="false">C37-C36</f>
        <v>45</v>
      </c>
      <c r="E37" s="112" t="n">
        <f aca="false">C37-152000</f>
        <v>7280</v>
      </c>
      <c r="F37" s="180" t="n">
        <f aca="false">D37/$D$2</f>
        <v>22.68716914545</v>
      </c>
      <c r="G37" s="111" t="n">
        <v>24</v>
      </c>
      <c r="H37" s="113" t="n">
        <v>0</v>
      </c>
      <c r="I37" s="111" t="n">
        <f aca="false">G37+H37</f>
        <v>24</v>
      </c>
      <c r="J37" s="181" t="n">
        <f aca="false">IF(L37&gt;0,L37,0)</f>
        <v>16.08716914545</v>
      </c>
      <c r="K37" s="111" t="n">
        <f aca="false">I37+J37</f>
        <v>40.08716914545</v>
      </c>
      <c r="L37" s="111" t="n">
        <f aca="false">F37-(I37-X37)</f>
        <v>16.08716914545</v>
      </c>
      <c r="M37" s="182" t="n">
        <v>3.4</v>
      </c>
      <c r="N37" s="111" t="n">
        <v>0</v>
      </c>
      <c r="O37" s="111" t="n">
        <v>0</v>
      </c>
      <c r="P37" s="90" t="n">
        <f aca="false">M37-(N37+O37)</f>
        <v>3.4</v>
      </c>
      <c r="Q37" s="111" t="n">
        <v>0</v>
      </c>
      <c r="R37" s="111" t="n">
        <v>0</v>
      </c>
      <c r="S37" s="111" t="n">
        <f aca="false">SUM(P37:R37)</f>
        <v>3.4</v>
      </c>
      <c r="T37" s="112"/>
      <c r="U37" s="111" t="n">
        <v>0</v>
      </c>
      <c r="V37" s="111" t="n">
        <v>14</v>
      </c>
      <c r="W37" s="112" t="n">
        <f aca="false">W36-V37</f>
        <v>1599.12</v>
      </c>
      <c r="X37" s="6" t="n">
        <f aca="false">N37+O37+S37+U37+V37</f>
        <v>17.4</v>
      </c>
      <c r="Y37" s="111" t="n">
        <f aca="false">IF(L37&lt;0,L37*-1,0)</f>
        <v>0</v>
      </c>
      <c r="Z37" s="111" t="n">
        <f aca="false">X37+Y37</f>
        <v>17.4</v>
      </c>
      <c r="AA37" s="161" t="n">
        <v>0</v>
      </c>
      <c r="AB37" s="117" t="n">
        <v>9</v>
      </c>
      <c r="AC37" s="167" t="n">
        <v>4</v>
      </c>
      <c r="AD37" s="118"/>
    </row>
    <row r="38" customFormat="false" ht="11.1" hidden="false" customHeight="true" outlineLevel="0" collapsed="false">
      <c r="A38" s="118" t="n">
        <f aca="false">A37+1</f>
        <v>27</v>
      </c>
      <c r="B38" s="168" t="n">
        <v>6858.34</v>
      </c>
      <c r="C38" s="112" t="n">
        <v>159324</v>
      </c>
      <c r="D38" s="117" t="n">
        <f aca="false">C38-C37</f>
        <v>44</v>
      </c>
      <c r="E38" s="112" t="n">
        <f aca="false">C38-152000</f>
        <v>7324</v>
      </c>
      <c r="F38" s="180" t="n">
        <f aca="false">D38/$D$2</f>
        <v>22.1830098311066</v>
      </c>
      <c r="G38" s="111" t="n">
        <v>24</v>
      </c>
      <c r="H38" s="113" t="n">
        <v>0</v>
      </c>
      <c r="I38" s="111" t="n">
        <f aca="false">G38+H38</f>
        <v>24</v>
      </c>
      <c r="J38" s="181" t="n">
        <f aca="false">IF(L38&gt;0,L38,0)</f>
        <v>15.5830098311066</v>
      </c>
      <c r="K38" s="111" t="n">
        <f aca="false">I38+J38</f>
        <v>39.5830098311066</v>
      </c>
      <c r="L38" s="111" t="n">
        <f aca="false">F38-(I38-X38)</f>
        <v>15.5830098311066</v>
      </c>
      <c r="M38" s="182" t="n">
        <v>3.4</v>
      </c>
      <c r="N38" s="111" t="n">
        <v>0</v>
      </c>
      <c r="O38" s="111" t="n">
        <v>0</v>
      </c>
      <c r="P38" s="90" t="n">
        <f aca="false">M38-(N38+O38)</f>
        <v>3.4</v>
      </c>
      <c r="Q38" s="111" t="n">
        <v>0</v>
      </c>
      <c r="R38" s="111" t="n">
        <v>0</v>
      </c>
      <c r="S38" s="111" t="n">
        <f aca="false">SUM(P38:R38)</f>
        <v>3.4</v>
      </c>
      <c r="T38" s="112"/>
      <c r="U38" s="111" t="n">
        <v>0</v>
      </c>
      <c r="V38" s="111" t="n">
        <v>14</v>
      </c>
      <c r="W38" s="112" t="n">
        <f aca="false">W37-V38</f>
        <v>1585.12</v>
      </c>
      <c r="X38" s="6" t="n">
        <f aca="false">N38+O38+S38+U38+V38</f>
        <v>17.4</v>
      </c>
      <c r="Y38" s="111" t="n">
        <f aca="false">IF(L38&lt;0,L38*-1,0)</f>
        <v>0</v>
      </c>
      <c r="Z38" s="111" t="n">
        <f aca="false">X38+Y38</f>
        <v>17.4</v>
      </c>
      <c r="AA38" s="161" t="n">
        <v>0</v>
      </c>
      <c r="AB38" s="117" t="n">
        <v>16</v>
      </c>
      <c r="AC38" s="167" t="n">
        <v>8</v>
      </c>
      <c r="AD38" s="118"/>
    </row>
    <row r="39" customFormat="false" ht="11.1" hidden="false" customHeight="true" outlineLevel="0" collapsed="false">
      <c r="A39" s="118" t="n">
        <f aca="false">A38+1</f>
        <v>28</v>
      </c>
      <c r="B39" s="168" t="n">
        <v>6858.36</v>
      </c>
      <c r="C39" s="112" t="n">
        <v>159369</v>
      </c>
      <c r="D39" s="117" t="n">
        <f aca="false">C39-C38</f>
        <v>45</v>
      </c>
      <c r="E39" s="112" t="n">
        <f aca="false">C39-152000</f>
        <v>7369</v>
      </c>
      <c r="F39" s="180" t="n">
        <f aca="false">D39/$D$2</f>
        <v>22.68716914545</v>
      </c>
      <c r="G39" s="111" t="n">
        <v>21</v>
      </c>
      <c r="H39" s="113" t="n">
        <v>0</v>
      </c>
      <c r="I39" s="111" t="n">
        <f aca="false">G39+H39</f>
        <v>21</v>
      </c>
      <c r="J39" s="181" t="n">
        <f aca="false">IF(L39&gt;0,L39,0)</f>
        <v>19.08716914545</v>
      </c>
      <c r="K39" s="111" t="n">
        <f aca="false">I39+J39</f>
        <v>40.08716914545</v>
      </c>
      <c r="L39" s="111" t="n">
        <f aca="false">F39-(I39-X39)</f>
        <v>19.08716914545</v>
      </c>
      <c r="M39" s="182" t="n">
        <v>3.4</v>
      </c>
      <c r="N39" s="111" t="n">
        <v>0</v>
      </c>
      <c r="O39" s="111" t="n">
        <v>0</v>
      </c>
      <c r="P39" s="90" t="n">
        <f aca="false">M39-(N39+O39)</f>
        <v>3.4</v>
      </c>
      <c r="Q39" s="111" t="n">
        <v>0</v>
      </c>
      <c r="R39" s="111" t="n">
        <v>0</v>
      </c>
      <c r="S39" s="111" t="n">
        <f aca="false">SUM(P39:R39)</f>
        <v>3.4</v>
      </c>
      <c r="T39" s="112"/>
      <c r="U39" s="111" t="n">
        <v>0</v>
      </c>
      <c r="V39" s="111" t="n">
        <v>14</v>
      </c>
      <c r="W39" s="112" t="n">
        <f aca="false">W38-V39</f>
        <v>1571.12</v>
      </c>
      <c r="X39" s="6" t="n">
        <f aca="false">N39+O39+S39+U39+V39</f>
        <v>17.4</v>
      </c>
      <c r="Y39" s="111" t="n">
        <f aca="false">IF(L39&lt;0,L39*-1,0)</f>
        <v>0</v>
      </c>
      <c r="Z39" s="111" t="n">
        <f aca="false">X39+Y39</f>
        <v>17.4</v>
      </c>
      <c r="AA39" s="161" t="n">
        <v>0</v>
      </c>
      <c r="AB39" s="117" t="n">
        <v>25</v>
      </c>
      <c r="AC39" s="167" t="n">
        <v>12</v>
      </c>
      <c r="AD39" s="118"/>
    </row>
    <row r="40" customFormat="false" ht="11.1" hidden="false" customHeight="true" outlineLevel="0" collapsed="false">
      <c r="A40" s="118" t="n">
        <f aca="false">A39+1</f>
        <v>29</v>
      </c>
      <c r="B40" s="168" t="n">
        <v>6858.38</v>
      </c>
      <c r="C40" s="112" t="n">
        <v>159414</v>
      </c>
      <c r="D40" s="117" t="n">
        <f aca="false">C40-C39</f>
        <v>45</v>
      </c>
      <c r="E40" s="112" t="n">
        <f aca="false">C40-152000</f>
        <v>7414</v>
      </c>
      <c r="F40" s="180" t="n">
        <f aca="false">D40/$D$2</f>
        <v>22.68716914545</v>
      </c>
      <c r="G40" s="111" t="n">
        <v>20</v>
      </c>
      <c r="H40" s="113" t="n">
        <v>0</v>
      </c>
      <c r="I40" s="111" t="n">
        <f aca="false">G40+H40</f>
        <v>20</v>
      </c>
      <c r="J40" s="181" t="n">
        <f aca="false">IF(L40&gt;0,L40,0)</f>
        <v>20.08716914545</v>
      </c>
      <c r="K40" s="111" t="n">
        <f aca="false">I40+J40</f>
        <v>40.08716914545</v>
      </c>
      <c r="L40" s="111" t="n">
        <f aca="false">F40-(I40-X40)</f>
        <v>20.08716914545</v>
      </c>
      <c r="M40" s="182" t="n">
        <v>3.4</v>
      </c>
      <c r="N40" s="111" t="n">
        <v>0</v>
      </c>
      <c r="O40" s="111" t="n">
        <v>0</v>
      </c>
      <c r="P40" s="90" t="n">
        <f aca="false">M40-(N40+O40)</f>
        <v>3.4</v>
      </c>
      <c r="Q40" s="111" t="n">
        <v>0</v>
      </c>
      <c r="R40" s="111" t="n">
        <v>0</v>
      </c>
      <c r="S40" s="111" t="n">
        <f aca="false">SUM(P40:R40)</f>
        <v>3.4</v>
      </c>
      <c r="T40" s="112"/>
      <c r="U40" s="111" t="n">
        <v>0</v>
      </c>
      <c r="V40" s="111" t="n">
        <v>14</v>
      </c>
      <c r="W40" s="112" t="n">
        <f aca="false">W39-V40</f>
        <v>1557.12</v>
      </c>
      <c r="X40" s="6" t="n">
        <f aca="false">N40+O40+S40+U40+V40</f>
        <v>17.4</v>
      </c>
      <c r="Y40" s="111" t="n">
        <f aca="false">IF(L40&lt;0,L40*-1,0)</f>
        <v>0</v>
      </c>
      <c r="Z40" s="111" t="n">
        <f aca="false">X40+Y40</f>
        <v>17.4</v>
      </c>
      <c r="AA40" s="161" t="n">
        <v>0</v>
      </c>
      <c r="AB40" s="183" t="n">
        <v>35</v>
      </c>
      <c r="AC40" s="167" t="n">
        <v>20</v>
      </c>
      <c r="AD40" s="118"/>
    </row>
    <row r="41" customFormat="false" ht="11.1" hidden="false" customHeight="true" outlineLevel="0" collapsed="false">
      <c r="A41" s="118" t="n">
        <v>30</v>
      </c>
      <c r="B41" s="168" t="n">
        <v>6858.39</v>
      </c>
      <c r="C41" s="112" t="n">
        <v>159436</v>
      </c>
      <c r="D41" s="117" t="n">
        <f aca="false">C41-C40</f>
        <v>22</v>
      </c>
      <c r="E41" s="112" t="n">
        <f aca="false">C41-152000</f>
        <v>7436</v>
      </c>
      <c r="F41" s="180" t="n">
        <f aca="false">D41/$D$2</f>
        <v>11.0915049155533</v>
      </c>
      <c r="G41" s="111" t="n">
        <v>20</v>
      </c>
      <c r="H41" s="113" t="n">
        <v>0</v>
      </c>
      <c r="I41" s="111" t="n">
        <f aca="false">G41+H41</f>
        <v>20</v>
      </c>
      <c r="J41" s="181" t="n">
        <f aca="false">IF(L41&gt;0,L41,0)</f>
        <v>8.49150491555331</v>
      </c>
      <c r="K41" s="111" t="n">
        <f aca="false">I41+J41</f>
        <v>28.4915049155533</v>
      </c>
      <c r="L41" s="111" t="n">
        <f aca="false">F41-(I41-X41)</f>
        <v>8.49150491555331</v>
      </c>
      <c r="M41" s="182" t="n">
        <v>3.4</v>
      </c>
      <c r="N41" s="111" t="n">
        <v>0</v>
      </c>
      <c r="O41" s="111" t="n">
        <v>0</v>
      </c>
      <c r="P41" s="90" t="n">
        <f aca="false">M41-(N41+O41)</f>
        <v>3.4</v>
      </c>
      <c r="Q41" s="111" t="n">
        <v>0</v>
      </c>
      <c r="R41" s="111" t="n">
        <v>0</v>
      </c>
      <c r="S41" s="111" t="n">
        <f aca="false">SUM(P41:R41)</f>
        <v>3.4</v>
      </c>
      <c r="T41" s="112"/>
      <c r="U41" s="111" t="n">
        <v>0</v>
      </c>
      <c r="V41" s="111" t="n">
        <v>14</v>
      </c>
      <c r="W41" s="112" t="n">
        <f aca="false">W40-V41</f>
        <v>1543.12</v>
      </c>
      <c r="X41" s="6" t="n">
        <f aca="false">N41+O41+S41+U41+V41</f>
        <v>17.4</v>
      </c>
      <c r="Y41" s="111" t="n">
        <f aca="false">IF(L41&lt;0,L41*-1,0)</f>
        <v>0</v>
      </c>
      <c r="Z41" s="111" t="n">
        <f aca="false">X41+Y41</f>
        <v>17.4</v>
      </c>
      <c r="AA41" s="161" t="n">
        <v>0.1</v>
      </c>
      <c r="AB41" s="183" t="n">
        <v>37</v>
      </c>
      <c r="AC41" s="167" t="n">
        <v>14</v>
      </c>
      <c r="AD41" s="118"/>
    </row>
    <row r="42" customFormat="false" ht="11.1" hidden="false" customHeight="true" outlineLevel="0" collapsed="false">
      <c r="A42" s="118" t="n">
        <v>31</v>
      </c>
      <c r="B42" s="168" t="n">
        <v>6858.4</v>
      </c>
      <c r="C42" s="112" t="n">
        <v>159459</v>
      </c>
      <c r="D42" s="117" t="n">
        <f aca="false">C42-C41</f>
        <v>23</v>
      </c>
      <c r="E42" s="112" t="n">
        <f aca="false">C42-152000</f>
        <v>7459</v>
      </c>
      <c r="F42" s="180" t="n">
        <f aca="false">D42/$D$2</f>
        <v>11.5956642298966</v>
      </c>
      <c r="G42" s="111" t="n">
        <v>21</v>
      </c>
      <c r="H42" s="113" t="n">
        <v>0</v>
      </c>
      <c r="I42" s="111" t="n">
        <f aca="false">G42+H42</f>
        <v>21</v>
      </c>
      <c r="J42" s="181" t="n">
        <f aca="false">IF(L42&gt;0,L42,0)</f>
        <v>8.09566422989665</v>
      </c>
      <c r="K42" s="111" t="n">
        <f aca="false">I42+J42</f>
        <v>29.0956642298966</v>
      </c>
      <c r="L42" s="111" t="n">
        <f aca="false">F42-(I42-X42)</f>
        <v>8.09566422989665</v>
      </c>
      <c r="M42" s="182" t="n">
        <v>3.5</v>
      </c>
      <c r="N42" s="111" t="n">
        <v>0</v>
      </c>
      <c r="O42" s="111" t="n">
        <v>0</v>
      </c>
      <c r="P42" s="90" t="n">
        <f aca="false">M42-(N42+O42)</f>
        <v>3.5</v>
      </c>
      <c r="Q42" s="111" t="n">
        <v>0</v>
      </c>
      <c r="R42" s="111" t="n">
        <v>0</v>
      </c>
      <c r="S42" s="111" t="n">
        <f aca="false">SUM(P42:R42)</f>
        <v>3.5</v>
      </c>
      <c r="T42" s="112"/>
      <c r="U42" s="111" t="n">
        <v>0</v>
      </c>
      <c r="V42" s="111" t="n">
        <v>14</v>
      </c>
      <c r="W42" s="112" t="n">
        <f aca="false">W41-V42</f>
        <v>1529.12</v>
      </c>
      <c r="X42" s="6" t="n">
        <f aca="false">N42+O42+S42+U42+V42</f>
        <v>17.5</v>
      </c>
      <c r="Y42" s="111" t="n">
        <f aca="false">IF(L42&lt;0,L42*-1,0)</f>
        <v>0</v>
      </c>
      <c r="Z42" s="111" t="n">
        <f aca="false">X42+Y42</f>
        <v>17.5</v>
      </c>
      <c r="AA42" s="161" t="n">
        <v>0</v>
      </c>
      <c r="AB42" s="183" t="n">
        <v>36</v>
      </c>
      <c r="AC42" s="167" t="n">
        <v>13</v>
      </c>
      <c r="AD42" s="118"/>
    </row>
    <row r="43" customFormat="false" ht="3" hidden="false" customHeight="true" outlineLevel="0" collapsed="false">
      <c r="A43" s="169"/>
      <c r="B43" s="185"/>
      <c r="C43" s="171"/>
      <c r="D43" s="169"/>
      <c r="E43" s="171"/>
      <c r="F43" s="172"/>
      <c r="G43" s="169"/>
      <c r="H43" s="173"/>
      <c r="I43" s="169"/>
      <c r="J43" s="169"/>
      <c r="K43" s="169"/>
      <c r="L43" s="169"/>
      <c r="M43" s="169"/>
      <c r="N43" s="169"/>
      <c r="O43" s="169"/>
      <c r="P43" s="175"/>
      <c r="Q43" s="169"/>
      <c r="R43" s="169"/>
      <c r="S43" s="169"/>
      <c r="T43" s="171"/>
      <c r="U43" s="169"/>
      <c r="V43" s="169"/>
      <c r="W43" s="169"/>
      <c r="X43" s="169"/>
      <c r="Y43" s="169"/>
      <c r="Z43" s="169"/>
      <c r="AA43" s="176"/>
      <c r="AB43" s="177"/>
      <c r="AC43" s="178"/>
      <c r="AD43" s="179"/>
      <c r="AE43" s="179"/>
      <c r="AF43" s="179"/>
    </row>
    <row r="44" customFormat="false" ht="11.1" hidden="false" customHeight="true" outlineLevel="0" collapsed="false">
      <c r="A44" s="111" t="s">
        <v>54</v>
      </c>
      <c r="B44" s="163"/>
      <c r="C44" s="112"/>
      <c r="D44" s="112"/>
      <c r="E44" s="112"/>
      <c r="F44" s="164" t="n">
        <f aca="false">SUM(F12:F42)</f>
        <v>563.650113435846</v>
      </c>
      <c r="G44" s="112" t="n">
        <f aca="false">SUM(G12:G42)</f>
        <v>1133</v>
      </c>
      <c r="H44" s="112" t="n">
        <f aca="false">SUM(H12:H42)</f>
        <v>0</v>
      </c>
      <c r="I44" s="112" t="n">
        <f aca="false">SUM(I12:I42)</f>
        <v>1133</v>
      </c>
      <c r="J44" s="112" t="n">
        <f aca="false">SUM(J12:J42)</f>
        <v>206.48789009327</v>
      </c>
      <c r="K44" s="112" t="n">
        <f aca="false">SUM(K12:K42)</f>
        <v>1339.48789009327</v>
      </c>
      <c r="L44" s="112" t="n">
        <f aca="false">SUM(L12:L42)</f>
        <v>4.33011343584592</v>
      </c>
      <c r="M44" s="165" t="n">
        <f aca="false">SUM(M12:M42)</f>
        <v>117.8</v>
      </c>
      <c r="N44" s="112" t="n">
        <f aca="false">SUM(N12:N42)</f>
        <v>0</v>
      </c>
      <c r="O44" s="112" t="n">
        <f aca="false">SUM(O12:O42)</f>
        <v>0</v>
      </c>
      <c r="P44" s="166" t="n">
        <f aca="false">SUM(P12:P42)</f>
        <v>117.8</v>
      </c>
      <c r="Q44" s="112" t="n">
        <f aca="false">SUM(Q12:Q42)</f>
        <v>0</v>
      </c>
      <c r="R44" s="112" t="n">
        <f aca="false">SUM(R12:R42)</f>
        <v>0</v>
      </c>
      <c r="S44" s="112" t="n">
        <f aca="false">SUM(S12:S42)</f>
        <v>117.8</v>
      </c>
      <c r="T44" s="112"/>
      <c r="U44" s="112" t="n">
        <f aca="false">SUM(U12:U42)</f>
        <v>0</v>
      </c>
      <c r="V44" s="112" t="n">
        <f aca="false">SUM(V12:V42)</f>
        <v>455.88</v>
      </c>
      <c r="W44" s="112"/>
      <c r="X44" s="112" t="n">
        <f aca="false">SUM(X12:X42)</f>
        <v>573.68</v>
      </c>
      <c r="Y44" s="112" t="n">
        <f aca="false">SUM(Y12:Y42)</f>
        <v>202.157776657424</v>
      </c>
      <c r="Z44" s="112" t="n">
        <f aca="false">SUM(Z12:Z42)</f>
        <v>775.837776657424</v>
      </c>
      <c r="AA44" s="161" t="n">
        <f aca="false">SUM(AA12:AA42)</f>
        <v>0.82</v>
      </c>
      <c r="AB44" s="117" t="n">
        <f aca="false">AVERAGE(AB12:AB42)</f>
        <v>37.8709677419355</v>
      </c>
      <c r="AC44" s="167" t="n">
        <f aca="false">AVERAGE(AC12:AC42)</f>
        <v>16.7741935483871</v>
      </c>
      <c r="AD44" s="118" t="s">
        <v>55</v>
      </c>
    </row>
    <row r="45" customFormat="false" ht="11.1" hidden="false" customHeight="true" outlineLevel="0" collapsed="false">
      <c r="A45" s="111" t="s">
        <v>56</v>
      </c>
      <c r="B45" s="163"/>
      <c r="C45" s="112"/>
      <c r="D45" s="112" t="n">
        <f aca="false">SUM(D12:D42)</f>
        <v>1118</v>
      </c>
      <c r="E45" s="112"/>
      <c r="F45" s="164" t="n">
        <f aca="false">F44*$D$2</f>
        <v>1118</v>
      </c>
      <c r="G45" s="112" t="n">
        <f aca="false">G44*$D$2</f>
        <v>2247.3055</v>
      </c>
      <c r="H45" s="112" t="n">
        <f aca="false">H44*$D$2</f>
        <v>0</v>
      </c>
      <c r="I45" s="112" t="n">
        <f aca="false">I44*$D$2</f>
        <v>2247.3055</v>
      </c>
      <c r="J45" s="112" t="n">
        <f aca="false">J44*$D$2</f>
        <v>409.56873</v>
      </c>
      <c r="K45" s="112" t="n">
        <f aca="false">K44*$D$2</f>
        <v>2656.87423</v>
      </c>
      <c r="L45" s="112" t="n">
        <f aca="false">L44*$D$2</f>
        <v>8.58878000000039</v>
      </c>
      <c r="M45" s="165" t="n">
        <f aca="false">M44*$D$2</f>
        <v>233.6563</v>
      </c>
      <c r="N45" s="112" t="n">
        <f aca="false">N44*$D$2</f>
        <v>0</v>
      </c>
      <c r="O45" s="112" t="n">
        <f aca="false">O44*$D$2</f>
        <v>0</v>
      </c>
      <c r="P45" s="166" t="n">
        <f aca="false">P44*$D$2</f>
        <v>233.6563</v>
      </c>
      <c r="Q45" s="112" t="n">
        <f aca="false">Q44*$D$2</f>
        <v>0</v>
      </c>
      <c r="R45" s="112" t="n">
        <f aca="false">R44*$D$2</f>
        <v>0</v>
      </c>
      <c r="S45" s="112" t="n">
        <f aca="false">S44*$D$2</f>
        <v>233.6563</v>
      </c>
      <c r="T45" s="112"/>
      <c r="U45" s="112" t="n">
        <f aca="false">U44*$D$2</f>
        <v>0</v>
      </c>
      <c r="V45" s="112" t="n">
        <f aca="false">V44*$D$2</f>
        <v>904.23798</v>
      </c>
      <c r="W45" s="112"/>
      <c r="X45" s="112" t="n">
        <f aca="false">X44*$D$2</f>
        <v>1137.89428</v>
      </c>
      <c r="Y45" s="112" t="n">
        <f aca="false">Y44*$D$2</f>
        <v>400.97995</v>
      </c>
      <c r="Z45" s="112" t="n">
        <f aca="false">Z44*$D$2</f>
        <v>1538.87423</v>
      </c>
      <c r="AA45" s="161"/>
      <c r="AB45" s="117" t="n">
        <f aca="false">MAX(AB12:AB42)</f>
        <v>51</v>
      </c>
      <c r="AC45" s="167" t="n">
        <f aca="false">MAX(AC12:AC42)</f>
        <v>29</v>
      </c>
      <c r="AD45" s="118" t="s">
        <v>57</v>
      </c>
    </row>
    <row r="46" customFormat="false" ht="3" hidden="false" customHeight="true" outlineLevel="0" collapsed="false">
      <c r="A46" s="169"/>
      <c r="B46" s="185"/>
      <c r="C46" s="171"/>
      <c r="D46" s="171"/>
      <c r="E46" s="171"/>
      <c r="F46" s="186"/>
      <c r="G46" s="171"/>
      <c r="H46" s="171"/>
      <c r="I46" s="171"/>
      <c r="J46" s="171"/>
      <c r="K46" s="171"/>
      <c r="L46" s="171"/>
      <c r="M46" s="187"/>
      <c r="N46" s="171"/>
      <c r="O46" s="171"/>
      <c r="P46" s="188"/>
      <c r="Q46" s="171"/>
      <c r="R46" s="171"/>
      <c r="S46" s="171"/>
      <c r="T46" s="171"/>
      <c r="U46" s="171"/>
      <c r="V46" s="171"/>
      <c r="W46" s="169"/>
      <c r="X46" s="171"/>
      <c r="Y46" s="171"/>
      <c r="Z46" s="171"/>
      <c r="AA46" s="189"/>
      <c r="AB46" s="171"/>
      <c r="AC46" s="186"/>
      <c r="AD46" s="171"/>
      <c r="AE46" s="171"/>
      <c r="AF46" s="171"/>
    </row>
    <row r="47" customFormat="false" ht="11.1" hidden="false" customHeight="true" outlineLevel="0" collapsed="false">
      <c r="A47" s="111" t="s">
        <v>58</v>
      </c>
      <c r="B47" s="163"/>
      <c r="C47" s="112"/>
      <c r="D47" s="112"/>
      <c r="E47" s="112"/>
      <c r="F47" s="164"/>
      <c r="G47" s="112"/>
      <c r="H47" s="112"/>
      <c r="I47" s="112"/>
      <c r="J47" s="112"/>
      <c r="K47" s="112"/>
      <c r="L47" s="112"/>
      <c r="M47" s="165"/>
      <c r="N47" s="112"/>
      <c r="O47" s="112"/>
      <c r="P47" s="166"/>
      <c r="Q47" s="112"/>
      <c r="R47" s="112"/>
      <c r="S47" s="112"/>
      <c r="T47" s="112"/>
      <c r="U47" s="112"/>
      <c r="V47" s="112"/>
      <c r="W47" s="112"/>
      <c r="X47" s="112"/>
      <c r="Y47" s="112"/>
      <c r="Z47" s="112"/>
      <c r="AA47" s="161"/>
      <c r="AB47" s="117" t="n">
        <f aca="false">MIN(AB12:AB42)</f>
        <v>9</v>
      </c>
      <c r="AC47" s="167" t="n">
        <f aca="false">MIN(AC12:AC42)</f>
        <v>4</v>
      </c>
      <c r="AD47" s="118" t="s">
        <v>59</v>
      </c>
    </row>
    <row r="48" customFormat="false" ht="11.1" hidden="false" customHeight="true" outlineLevel="0" collapsed="false">
      <c r="A48" s="111" t="s">
        <v>60</v>
      </c>
      <c r="B48" s="163"/>
      <c r="C48" s="112"/>
      <c r="D48" s="112"/>
      <c r="E48" s="112"/>
      <c r="F48" s="164"/>
      <c r="G48" s="112"/>
      <c r="H48" s="112"/>
      <c r="I48" s="112"/>
      <c r="J48" s="112"/>
      <c r="K48" s="112"/>
      <c r="L48" s="112"/>
      <c r="M48" s="165"/>
      <c r="N48" s="112"/>
      <c r="O48" s="112"/>
      <c r="P48" s="166"/>
      <c r="Q48" s="112"/>
      <c r="R48" s="112"/>
      <c r="S48" s="112"/>
      <c r="T48" s="112"/>
      <c r="U48" s="112"/>
      <c r="V48" s="112"/>
      <c r="W48" s="112"/>
      <c r="X48" s="112"/>
      <c r="Y48" s="112"/>
      <c r="Z48" s="112"/>
      <c r="AA48" s="161"/>
      <c r="AB48" s="117"/>
      <c r="AC48" s="167"/>
      <c r="AD48" s="118"/>
    </row>
    <row r="49" customFormat="false" ht="3" hidden="false" customHeight="true" outlineLevel="0" collapsed="false">
      <c r="A49" s="169"/>
      <c r="B49" s="185"/>
      <c r="C49" s="171"/>
      <c r="D49" s="171"/>
      <c r="E49" s="171"/>
      <c r="F49" s="186"/>
      <c r="G49" s="171"/>
      <c r="H49" s="177"/>
      <c r="I49" s="171"/>
      <c r="J49" s="171"/>
      <c r="K49" s="171"/>
      <c r="L49" s="171"/>
      <c r="M49" s="187"/>
      <c r="N49" s="171"/>
      <c r="O49" s="171"/>
      <c r="P49" s="188"/>
      <c r="Q49" s="171"/>
      <c r="R49" s="171"/>
      <c r="S49" s="171"/>
      <c r="T49" s="171"/>
      <c r="U49" s="171"/>
      <c r="V49" s="171"/>
      <c r="W49" s="171"/>
      <c r="X49" s="171"/>
      <c r="Y49" s="171"/>
      <c r="Z49" s="171"/>
      <c r="AA49" s="176"/>
      <c r="AB49" s="190"/>
      <c r="AC49" s="191"/>
      <c r="AD49" s="190"/>
      <c r="AE49" s="190"/>
      <c r="AF49" s="190"/>
    </row>
    <row r="50" customFormat="false" ht="11.1" hidden="false" customHeight="true" outlineLevel="0" collapsed="false">
      <c r="A50" s="111" t="s">
        <v>61</v>
      </c>
      <c r="B50" s="163"/>
      <c r="C50" s="112"/>
      <c r="D50" s="112"/>
      <c r="E50" s="112"/>
      <c r="F50" s="164" t="n">
        <f aca="false">F10+F44</f>
        <v>1458.02873708092</v>
      </c>
      <c r="G50" s="112" t="n">
        <f aca="false">G10+G44</f>
        <v>2992</v>
      </c>
      <c r="H50" s="117" t="n">
        <f aca="false">H10+H44</f>
        <v>0</v>
      </c>
      <c r="I50" s="112" t="n">
        <f aca="false">I10+I44</f>
        <v>2992</v>
      </c>
      <c r="J50" s="112" t="n">
        <f aca="false">J10+J44</f>
        <v>273.836843962692</v>
      </c>
      <c r="K50" s="112" t="n">
        <f aca="false">K10+K44</f>
        <v>3265.83684396269</v>
      </c>
      <c r="L50" s="112" t="n">
        <f aca="false">L10+L44</f>
        <v>-213.191262919082</v>
      </c>
      <c r="M50" s="165" t="n">
        <f aca="false">M10+M44</f>
        <v>326.9</v>
      </c>
      <c r="N50" s="112" t="n">
        <f aca="false">N10+N44</f>
        <v>0</v>
      </c>
      <c r="O50" s="112" t="n">
        <f aca="false">O10+O44</f>
        <v>0</v>
      </c>
      <c r="P50" s="166" t="n">
        <f aca="false">P10+P44</f>
        <v>326.9</v>
      </c>
      <c r="Q50" s="112" t="n">
        <f aca="false">Q10+Q44</f>
        <v>62</v>
      </c>
      <c r="R50" s="112" t="n">
        <f aca="false">R10+R44</f>
        <v>51</v>
      </c>
      <c r="S50" s="112" t="n">
        <f aca="false">S10+S44</f>
        <v>439.9</v>
      </c>
      <c r="T50" s="112"/>
      <c r="U50" s="112" t="n">
        <f aca="false">U10+U44</f>
        <v>0</v>
      </c>
      <c r="V50" s="112" t="n">
        <f aca="false">V10+V44</f>
        <v>880.88</v>
      </c>
      <c r="W50" s="112" t="n">
        <f aca="false">W42</f>
        <v>1529.12</v>
      </c>
      <c r="X50" s="112" t="n">
        <f aca="false">X10+X44</f>
        <v>1320.78</v>
      </c>
      <c r="Y50" s="112" t="n">
        <f aca="false">Y10+Y44</f>
        <v>487.028106881775</v>
      </c>
      <c r="Z50" s="112" t="n">
        <f aca="false">Z10+Z44</f>
        <v>1807.80810688177</v>
      </c>
      <c r="AA50" s="161" t="n">
        <f aca="false">AA10+AA44</f>
        <v>2.05</v>
      </c>
      <c r="AB50" s="117"/>
      <c r="AC50" s="167"/>
      <c r="AD50" s="118"/>
    </row>
    <row r="51" customFormat="false" ht="11.1" hidden="false" customHeight="true" outlineLevel="0" collapsed="false">
      <c r="A51" s="111" t="s">
        <v>62</v>
      </c>
      <c r="B51" s="163"/>
      <c r="C51" s="112"/>
      <c r="D51" s="112" t="n">
        <f aca="false">D10+D45</f>
        <v>2892</v>
      </c>
      <c r="E51" s="112" t="n">
        <f aca="false">E42</f>
        <v>7459</v>
      </c>
      <c r="F51" s="164" t="n">
        <f aca="false">F50*$D$2</f>
        <v>2892</v>
      </c>
      <c r="G51" s="112" t="n">
        <f aca="false">G50*$D$2</f>
        <v>5934.632</v>
      </c>
      <c r="H51" s="117" t="n">
        <f aca="false">H50*$D$2</f>
        <v>0</v>
      </c>
      <c r="I51" s="112" t="n">
        <f aca="false">I50*$D$2</f>
        <v>5934.632</v>
      </c>
      <c r="J51" s="112" t="n">
        <f aca="false">J50*$D$2</f>
        <v>543.15538</v>
      </c>
      <c r="K51" s="112" t="n">
        <f aca="false">K50*$D$2</f>
        <v>6477.78737999999</v>
      </c>
      <c r="L51" s="112" t="n">
        <f aca="false">L50*$D$2</f>
        <v>-422.864869999999</v>
      </c>
      <c r="M51" s="165" t="n">
        <f aca="false">M50*$D$2</f>
        <v>648.40615</v>
      </c>
      <c r="N51" s="112" t="n">
        <f aca="false">N50*$D$2</f>
        <v>0</v>
      </c>
      <c r="O51" s="112" t="n">
        <f aca="false">O50*$D$2</f>
        <v>0</v>
      </c>
      <c r="P51" s="166" t="n">
        <f aca="false">P50*$D$2</f>
        <v>648.40615</v>
      </c>
      <c r="Q51" s="112" t="n">
        <f aca="false">Q50*$D$2</f>
        <v>122.977</v>
      </c>
      <c r="R51" s="112" t="n">
        <f aca="false">R50*$D$2</f>
        <v>101.1585</v>
      </c>
      <c r="S51" s="112" t="n">
        <f aca="false">S50*$D$2</f>
        <v>872.54165</v>
      </c>
      <c r="T51" s="112" t="n">
        <f aca="false">T50*$D$2</f>
        <v>0</v>
      </c>
      <c r="U51" s="112" t="n">
        <f aca="false">U50*$D$2</f>
        <v>0</v>
      </c>
      <c r="V51" s="112" t="n">
        <f aca="false">V50*$D$2</f>
        <v>1747.22548</v>
      </c>
      <c r="W51" s="112" t="n">
        <f aca="false">W50*$D$2</f>
        <v>3033.00952</v>
      </c>
      <c r="X51" s="112" t="n">
        <f aca="false">X50*$D$2</f>
        <v>2619.76713</v>
      </c>
      <c r="Y51" s="112" t="n">
        <f aca="false">Y50*$D$2</f>
        <v>966.02025</v>
      </c>
      <c r="Z51" s="112" t="n">
        <f aca="false">Z50*$D$2</f>
        <v>3585.78738</v>
      </c>
      <c r="AA51" s="161"/>
      <c r="AB51" s="117"/>
      <c r="AC51" s="167"/>
      <c r="AD51" s="118"/>
    </row>
    <row r="52" customFormat="false" ht="3" hidden="false" customHeight="true" outlineLevel="0" collapsed="false">
      <c r="A52" s="169"/>
      <c r="B52" s="185"/>
      <c r="C52" s="171"/>
      <c r="D52" s="169"/>
      <c r="E52" s="171"/>
      <c r="F52" s="172"/>
      <c r="G52" s="169"/>
      <c r="H52" s="173"/>
      <c r="I52" s="169"/>
      <c r="J52" s="169"/>
      <c r="K52" s="169"/>
      <c r="L52" s="169"/>
      <c r="M52" s="174"/>
      <c r="N52" s="169"/>
      <c r="O52" s="169"/>
      <c r="P52" s="175"/>
      <c r="Q52" s="169"/>
      <c r="R52" s="169"/>
      <c r="S52" s="169"/>
      <c r="T52" s="171"/>
      <c r="U52" s="169"/>
      <c r="V52" s="169"/>
      <c r="W52" s="171"/>
      <c r="X52" s="169"/>
      <c r="Y52" s="169"/>
      <c r="Z52" s="169"/>
      <c r="AA52" s="185"/>
      <c r="AB52" s="169"/>
      <c r="AC52" s="172"/>
      <c r="AD52" s="169"/>
      <c r="AE52" s="169"/>
      <c r="AF52" s="169"/>
    </row>
    <row r="53" customFormat="false" ht="11.1" hidden="false" customHeight="true" outlineLevel="0" collapsed="false">
      <c r="A53" s="111"/>
      <c r="B53" s="192"/>
      <c r="C53" s="112"/>
      <c r="D53" s="111"/>
      <c r="E53" s="112"/>
      <c r="F53" s="111"/>
      <c r="G53" s="111"/>
      <c r="H53" s="116"/>
      <c r="I53" s="111"/>
      <c r="J53" s="111"/>
      <c r="K53" s="111"/>
      <c r="L53" s="111"/>
      <c r="M53" s="111"/>
      <c r="N53" s="111"/>
      <c r="O53" s="111"/>
      <c r="P53" s="111"/>
      <c r="Q53" s="111"/>
      <c r="R53" s="111"/>
      <c r="S53" s="111"/>
      <c r="T53" s="112"/>
      <c r="U53" s="111"/>
      <c r="V53" s="111"/>
      <c r="W53" s="112"/>
      <c r="X53" s="111"/>
      <c r="Y53" s="111"/>
      <c r="Z53" s="111"/>
      <c r="AA53" s="116"/>
      <c r="AB53" s="117"/>
      <c r="AC53" s="117"/>
      <c r="AD53" s="118"/>
    </row>
    <row r="54" customFormat="false" ht="11.1" hidden="false" customHeight="true" outlineLevel="0" collapsed="false">
      <c r="A54" s="111"/>
      <c r="B54" s="193"/>
      <c r="C54" s="112"/>
      <c r="D54" s="183"/>
      <c r="E54" s="112"/>
      <c r="F54" s="111"/>
      <c r="G54" s="111"/>
      <c r="H54" s="116"/>
      <c r="I54" s="113"/>
      <c r="J54" s="111"/>
      <c r="K54" s="102"/>
      <c r="L54" s="111"/>
      <c r="M54" s="111"/>
      <c r="N54" s="111"/>
      <c r="O54" s="111"/>
      <c r="P54" s="111"/>
      <c r="Q54" s="111"/>
      <c r="R54" s="111"/>
      <c r="S54" s="111"/>
      <c r="T54" s="112"/>
      <c r="U54" s="111"/>
      <c r="V54" s="111"/>
      <c r="W54" s="112"/>
      <c r="X54" s="111"/>
      <c r="Y54" s="111"/>
      <c r="Z54" s="111"/>
      <c r="AA54" s="116"/>
      <c r="AB54" s="117"/>
      <c r="AC54" s="117"/>
      <c r="AD54" s="118"/>
    </row>
    <row r="55" customFormat="false" ht="11.1" hidden="false" customHeight="true" outlineLevel="0" collapsed="false">
      <c r="A55" s="183"/>
      <c r="B55" s="183"/>
      <c r="C55" s="112"/>
      <c r="D55" s="112"/>
      <c r="E55" s="112"/>
      <c r="F55" s="183"/>
      <c r="G55" s="183"/>
      <c r="H55" s="116"/>
      <c r="I55" s="183"/>
      <c r="J55" s="183"/>
      <c r="K55" s="183"/>
      <c r="L55" s="183"/>
      <c r="M55" s="181"/>
      <c r="N55" s="181"/>
      <c r="O55" s="181"/>
      <c r="P55" s="181"/>
      <c r="Q55" s="183"/>
      <c r="R55" s="183"/>
      <c r="S55" s="183"/>
      <c r="T55" s="112"/>
      <c r="U55" s="183"/>
      <c r="V55" s="183"/>
      <c r="W55" s="112"/>
      <c r="X55" s="183"/>
      <c r="Y55" s="183"/>
      <c r="Z55" s="183"/>
      <c r="AA55" s="116"/>
      <c r="AB55" s="117"/>
      <c r="AC55" s="117"/>
      <c r="AD55" s="118"/>
    </row>
    <row r="56" customFormat="false" ht="11.1" hidden="false" customHeight="true" outlineLevel="0" collapsed="false">
      <c r="A56" s="183"/>
      <c r="B56" s="115"/>
      <c r="C56" s="112"/>
      <c r="D56" s="112"/>
      <c r="E56" s="112"/>
      <c r="F56" s="183"/>
      <c r="G56" s="183"/>
      <c r="H56" s="116"/>
      <c r="I56" s="183"/>
      <c r="J56" s="183"/>
      <c r="K56" s="183"/>
      <c r="L56" s="183"/>
      <c r="M56" s="181"/>
      <c r="N56" s="181"/>
      <c r="O56" s="181"/>
      <c r="P56" s="183"/>
      <c r="Q56" s="183"/>
      <c r="R56" s="183"/>
      <c r="S56" s="112"/>
      <c r="T56" s="183"/>
      <c r="U56" s="183"/>
      <c r="V56" s="112"/>
      <c r="W56" s="183"/>
      <c r="X56" s="183"/>
      <c r="Y56" s="183"/>
      <c r="Z56" s="115"/>
      <c r="AA56" s="116"/>
      <c r="AB56" s="117"/>
      <c r="AC56" s="118"/>
    </row>
    <row r="57" customFormat="false" ht="11.1" hidden="false" customHeight="true" outlineLevel="0" collapsed="false">
      <c r="A57" s="183"/>
      <c r="B57" s="183"/>
      <c r="C57" s="112"/>
      <c r="D57" s="183"/>
      <c r="E57" s="112"/>
      <c r="F57" s="183"/>
      <c r="G57" s="194"/>
      <c r="H57" s="116"/>
      <c r="I57" s="183"/>
      <c r="J57" s="183"/>
      <c r="K57" s="183"/>
      <c r="L57" s="183"/>
      <c r="M57" s="181"/>
      <c r="N57" s="181"/>
      <c r="O57" s="181"/>
      <c r="P57" s="183"/>
      <c r="Q57" s="183"/>
      <c r="R57" s="183"/>
      <c r="S57" s="112"/>
      <c r="T57" s="183"/>
      <c r="U57" s="183"/>
      <c r="V57" s="112"/>
      <c r="W57" s="183"/>
      <c r="X57" s="183"/>
      <c r="Y57" s="183"/>
      <c r="Z57" s="115"/>
      <c r="AA57" s="116"/>
      <c r="AB57" s="117"/>
      <c r="AC57" s="118"/>
    </row>
  </sheetData>
  <mergeCells count="2">
    <mergeCell ref="K2:T2"/>
    <mergeCell ref="M5:P5"/>
  </mergeCells>
  <printOptions headings="true" gridLines="true" gridLinesSet="true" horizontalCentered="true" verticalCentered="false"/>
  <pageMargins left="0" right="0" top="0" bottom="0" header="0.511811023622047" footer="0.511811023622047"/>
  <pageSetup paperSize="5"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F57"/>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pane xSplit="1" ySplit="11" topLeftCell="B15" activePane="bottomRight" state="frozen"/>
      <selection pane="topLeft" activeCell="A1" activeCellId="0" sqref="A1"/>
      <selection pane="topRight" activeCell="B1" activeCellId="0" sqref="B1"/>
      <selection pane="bottomLeft" activeCell="A15" activeCellId="0" sqref="A15"/>
      <selection pane="bottomRight" activeCell="C24" activeCellId="1" sqref="AA13:AA42 C24"/>
    </sheetView>
  </sheetViews>
  <sheetFormatPr defaultColWidth="9.3359375" defaultRowHeight="11.1" zeroHeight="false" outlineLevelRow="0" outlineLevelCol="0"/>
  <cols>
    <col collapsed="false" customWidth="true" hidden="false" outlineLevel="0" max="1" min="1" style="104" width="5.67"/>
    <col collapsed="false" customWidth="true" hidden="false" outlineLevel="0" max="2" min="2" style="104" width="7.49"/>
    <col collapsed="false" customWidth="true" hidden="false" outlineLevel="0" max="3" min="3" style="105" width="6.82"/>
    <col collapsed="false" customWidth="true" hidden="false" outlineLevel="0" max="4" min="4" style="104" width="6.99"/>
    <col collapsed="false" customWidth="true" hidden="false" outlineLevel="0" max="5" min="5" style="105" width="7.66"/>
    <col collapsed="false" customWidth="true" hidden="false" outlineLevel="0" max="6" min="6" style="104" width="7.66"/>
    <col collapsed="false" customWidth="true" hidden="false" outlineLevel="0" max="7" min="7" style="104" width="7.16"/>
    <col collapsed="false" customWidth="true" hidden="false" outlineLevel="0" max="8" min="8" style="106" width="6.66"/>
    <col collapsed="false" customWidth="true" hidden="false" outlineLevel="0" max="9" min="9" style="104" width="7.99"/>
    <col collapsed="false" customWidth="true" hidden="false" outlineLevel="0" max="11" min="10" style="104" width="6.66"/>
    <col collapsed="false" customWidth="true" hidden="false" outlineLevel="0" max="12" min="12" style="104" width="7.16"/>
    <col collapsed="false" customWidth="true" hidden="false" outlineLevel="0" max="13" min="13" style="195" width="6.16"/>
    <col collapsed="false" customWidth="true" hidden="false" outlineLevel="0" max="14" min="14" style="107" width="5.99"/>
    <col collapsed="false" customWidth="true" hidden="false" outlineLevel="0" max="15" min="15" style="107" width="6.49"/>
    <col collapsed="false" customWidth="true" hidden="false" outlineLevel="0" max="16" min="16" style="104" width="7.16"/>
    <col collapsed="false" customWidth="true" hidden="false" outlineLevel="0" max="18" min="17" style="104" width="5.49"/>
    <col collapsed="false" customWidth="true" hidden="false" outlineLevel="0" max="19" min="19" style="105" width="6.82"/>
    <col collapsed="false" customWidth="true" hidden="false" outlineLevel="0" max="20" min="20" style="104" width="6.49"/>
    <col collapsed="false" customWidth="true" hidden="false" outlineLevel="0" max="21" min="21" style="104" width="5.67"/>
    <col collapsed="false" customWidth="true" hidden="false" outlineLevel="0" max="22" min="22" style="105" width="6.16"/>
    <col collapsed="false" customWidth="true" hidden="false" outlineLevel="0" max="23" min="23" style="104" width="6.82"/>
    <col collapsed="false" customWidth="true" hidden="false" outlineLevel="0" max="25" min="24" style="104" width="7.82"/>
    <col collapsed="false" customWidth="true" hidden="false" outlineLevel="0" max="26" min="26" style="108" width="7.82"/>
    <col collapsed="false" customWidth="true" hidden="false" outlineLevel="0" max="27" min="27" style="106" width="5.49"/>
    <col collapsed="false" customWidth="true" hidden="false" outlineLevel="0" max="28" min="28" style="109" width="3.82"/>
    <col collapsed="false" customWidth="true" hidden="false" outlineLevel="0" max="29" min="29" style="110" width="3.82"/>
    <col collapsed="false" customWidth="true" hidden="false" outlineLevel="0" max="30" min="30" style="104" width="5.99"/>
    <col collapsed="false" customWidth="true" hidden="false" outlineLevel="0" max="31" min="31" style="104" width="6.66"/>
    <col collapsed="false" customWidth="false" hidden="false" outlineLevel="0" max="257" min="32" style="104" width="9.32"/>
  </cols>
  <sheetData>
    <row r="1" customFormat="false" ht="14.1" hidden="false" customHeight="true" outlineLevel="0" collapsed="false">
      <c r="A1" s="111"/>
      <c r="B1" s="111"/>
      <c r="C1" s="112"/>
      <c r="D1" s="111"/>
      <c r="E1" s="112"/>
      <c r="F1" s="111"/>
      <c r="G1" s="111"/>
      <c r="H1" s="116"/>
      <c r="I1" s="111"/>
      <c r="J1" s="111"/>
      <c r="K1" s="114" t="s">
        <v>0</v>
      </c>
      <c r="L1" s="111"/>
      <c r="M1" s="196"/>
      <c r="N1" s="111"/>
      <c r="O1" s="111"/>
      <c r="P1" s="111"/>
      <c r="Q1" s="111"/>
      <c r="R1" s="111"/>
      <c r="S1" s="112"/>
      <c r="T1" s="111"/>
      <c r="U1" s="111"/>
      <c r="V1" s="112"/>
      <c r="W1" s="111"/>
      <c r="X1" s="111"/>
      <c r="Y1" s="111"/>
      <c r="Z1" s="115"/>
      <c r="AA1" s="116"/>
      <c r="AB1" s="117"/>
      <c r="AC1" s="118"/>
      <c r="AD1" s="197"/>
      <c r="AE1" s="197"/>
    </row>
    <row r="2" customFormat="false" ht="14.1" hidden="false" customHeight="true" outlineLevel="0" collapsed="false">
      <c r="A2" s="111" t="s">
        <v>1</v>
      </c>
      <c r="B2" s="111"/>
      <c r="C2" s="112"/>
      <c r="D2" s="119" t="n">
        <v>1.9835</v>
      </c>
      <c r="E2" s="112"/>
      <c r="F2" s="111"/>
      <c r="G2" s="111"/>
      <c r="H2" s="116"/>
      <c r="I2" s="111"/>
      <c r="J2" s="111"/>
      <c r="K2" s="120" t="s">
        <v>68</v>
      </c>
      <c r="L2" s="120"/>
      <c r="M2" s="120"/>
      <c r="N2" s="120"/>
      <c r="O2" s="120"/>
      <c r="P2" s="120"/>
      <c r="Q2" s="120"/>
      <c r="R2" s="120"/>
      <c r="S2" s="120"/>
      <c r="T2" s="120"/>
      <c r="U2" s="111"/>
      <c r="V2" s="112"/>
      <c r="W2" s="111"/>
      <c r="X2" s="111"/>
      <c r="Y2" s="111"/>
      <c r="Z2" s="115"/>
      <c r="AA2" s="116"/>
      <c r="AB2" s="117"/>
      <c r="AC2" s="118"/>
      <c r="AD2" s="197"/>
      <c r="AE2" s="197"/>
    </row>
    <row r="3" customFormat="false" ht="14.1" hidden="false" customHeight="true" outlineLevel="0" collapsed="false">
      <c r="A3" s="121"/>
      <c r="B3" s="121"/>
      <c r="C3" s="122"/>
      <c r="D3" s="123"/>
      <c r="E3" s="122"/>
      <c r="F3" s="121"/>
      <c r="G3" s="121"/>
      <c r="H3" s="126"/>
      <c r="I3" s="121"/>
      <c r="J3" s="121"/>
      <c r="K3" s="121"/>
      <c r="L3" s="121"/>
      <c r="M3" s="198"/>
      <c r="N3" s="121"/>
      <c r="O3" s="121"/>
      <c r="P3" s="121"/>
      <c r="Q3" s="121"/>
      <c r="R3" s="121"/>
      <c r="S3" s="122"/>
      <c r="T3" s="121"/>
      <c r="U3" s="121"/>
      <c r="V3" s="122"/>
      <c r="W3" s="121"/>
      <c r="X3" s="121"/>
      <c r="Y3" s="121"/>
      <c r="Z3" s="125"/>
      <c r="AA3" s="126"/>
      <c r="AB3" s="127"/>
      <c r="AC3" s="128"/>
      <c r="AD3" s="199"/>
      <c r="AE3" s="199"/>
      <c r="AF3" s="129"/>
    </row>
    <row r="4" customFormat="false" ht="14.1" hidden="false" customHeight="true" outlineLevel="0" collapsed="false">
      <c r="A4" s="111"/>
      <c r="B4" s="130"/>
      <c r="C4" s="131"/>
      <c r="D4" s="200" t="s">
        <v>3</v>
      </c>
      <c r="E4" s="131"/>
      <c r="F4" s="133"/>
      <c r="G4" s="111"/>
      <c r="H4" s="116"/>
      <c r="I4" s="111"/>
      <c r="J4" s="111"/>
      <c r="K4" s="111"/>
      <c r="L4" s="111"/>
      <c r="M4" s="196"/>
      <c r="N4" s="111"/>
      <c r="O4" s="111"/>
      <c r="P4" s="111"/>
      <c r="Q4" s="134" t="s">
        <v>4</v>
      </c>
      <c r="R4" s="111"/>
      <c r="S4" s="112"/>
      <c r="T4" s="111"/>
      <c r="U4" s="111"/>
      <c r="V4" s="112"/>
      <c r="W4" s="111"/>
      <c r="X4" s="111"/>
      <c r="Y4" s="111"/>
      <c r="Z4" s="115"/>
      <c r="AA4" s="135"/>
      <c r="AB4" s="136" t="s">
        <v>5</v>
      </c>
      <c r="AC4" s="137"/>
      <c r="AD4" s="197"/>
      <c r="AE4" s="197"/>
    </row>
    <row r="5" customFormat="false" ht="11.1" hidden="false" customHeight="true" outlineLevel="0" collapsed="false">
      <c r="A5" s="138" t="s">
        <v>6</v>
      </c>
      <c r="B5" s="139" t="s">
        <v>7</v>
      </c>
      <c r="C5" s="140" t="s">
        <v>7</v>
      </c>
      <c r="D5" s="138" t="s">
        <v>8</v>
      </c>
      <c r="E5" s="140" t="s">
        <v>9</v>
      </c>
      <c r="F5" s="141" t="s">
        <v>10</v>
      </c>
      <c r="G5" s="138" t="s">
        <v>11</v>
      </c>
      <c r="H5" s="201" t="s">
        <v>12</v>
      </c>
      <c r="I5" s="138" t="s">
        <v>13</v>
      </c>
      <c r="J5" s="138" t="s">
        <v>14</v>
      </c>
      <c r="K5" s="138" t="s">
        <v>15</v>
      </c>
      <c r="L5" s="138" t="s">
        <v>14</v>
      </c>
      <c r="M5" s="202" t="s">
        <v>16</v>
      </c>
      <c r="N5" s="202"/>
      <c r="O5" s="202"/>
      <c r="P5" s="202"/>
      <c r="Q5" s="138" t="s">
        <v>17</v>
      </c>
      <c r="R5" s="138" t="s">
        <v>18</v>
      </c>
      <c r="S5" s="138" t="s">
        <v>15</v>
      </c>
      <c r="T5" s="140" t="s">
        <v>19</v>
      </c>
      <c r="U5" s="138" t="s">
        <v>20</v>
      </c>
      <c r="V5" s="138" t="s">
        <v>21</v>
      </c>
      <c r="W5" s="140" t="s">
        <v>22</v>
      </c>
      <c r="X5" s="138" t="s">
        <v>13</v>
      </c>
      <c r="Y5" s="138" t="s">
        <v>14</v>
      </c>
      <c r="Z5" s="138" t="s">
        <v>15</v>
      </c>
      <c r="AA5" s="144" t="s">
        <v>23</v>
      </c>
      <c r="AB5" s="145" t="s">
        <v>24</v>
      </c>
      <c r="AC5" s="146" t="s">
        <v>25</v>
      </c>
      <c r="AD5" s="145" t="s">
        <v>64</v>
      </c>
      <c r="AE5" s="203" t="s">
        <v>19</v>
      </c>
      <c r="AF5" s="197"/>
    </row>
    <row r="6" customFormat="false" ht="11.1" hidden="false" customHeight="true" outlineLevel="0" collapsed="false">
      <c r="A6" s="148" t="s">
        <v>69</v>
      </c>
      <c r="B6" s="139" t="s">
        <v>28</v>
      </c>
      <c r="C6" s="140" t="s">
        <v>8</v>
      </c>
      <c r="D6" s="138" t="s">
        <v>29</v>
      </c>
      <c r="E6" s="140" t="s">
        <v>30</v>
      </c>
      <c r="F6" s="141" t="s">
        <v>31</v>
      </c>
      <c r="G6" s="138" t="s">
        <v>32</v>
      </c>
      <c r="H6" s="201" t="s">
        <v>33</v>
      </c>
      <c r="I6" s="138" t="s">
        <v>34</v>
      </c>
      <c r="J6" s="138" t="s">
        <v>34</v>
      </c>
      <c r="K6" s="138" t="s">
        <v>34</v>
      </c>
      <c r="L6" s="138" t="s">
        <v>35</v>
      </c>
      <c r="M6" s="204" t="s">
        <v>36</v>
      </c>
      <c r="N6" s="138" t="s">
        <v>37</v>
      </c>
      <c r="O6" s="138" t="s">
        <v>38</v>
      </c>
      <c r="P6" s="150" t="s">
        <v>39</v>
      </c>
      <c r="Q6" s="138" t="s">
        <v>40</v>
      </c>
      <c r="R6" s="138" t="s">
        <v>41</v>
      </c>
      <c r="S6" s="138" t="s">
        <v>19</v>
      </c>
      <c r="T6" s="140" t="s">
        <v>42</v>
      </c>
      <c r="U6" s="138" t="s">
        <v>43</v>
      </c>
      <c r="V6" s="138" t="s">
        <v>44</v>
      </c>
      <c r="W6" s="140" t="s">
        <v>45</v>
      </c>
      <c r="X6" s="138" t="s">
        <v>46</v>
      </c>
      <c r="Y6" s="138" t="s">
        <v>46</v>
      </c>
      <c r="Z6" s="138" t="s">
        <v>46</v>
      </c>
      <c r="AA6" s="151"/>
      <c r="AB6" s="145" t="s">
        <v>47</v>
      </c>
      <c r="AC6" s="146" t="s">
        <v>47</v>
      </c>
      <c r="AD6" s="152" t="s">
        <v>42</v>
      </c>
      <c r="AE6" s="203" t="s">
        <v>42</v>
      </c>
      <c r="AF6" s="197"/>
    </row>
    <row r="7" customFormat="false" ht="11.1" hidden="false" customHeight="true" outlineLevel="0" collapsed="false">
      <c r="A7" s="153"/>
      <c r="B7" s="154"/>
      <c r="C7" s="155"/>
      <c r="D7" s="153"/>
      <c r="E7" s="156" t="s">
        <v>48</v>
      </c>
      <c r="F7" s="157"/>
      <c r="G7" s="153"/>
      <c r="H7" s="205"/>
      <c r="I7" s="153"/>
      <c r="J7" s="153"/>
      <c r="K7" s="153"/>
      <c r="L7" s="153"/>
      <c r="M7" s="206"/>
      <c r="N7" s="153"/>
      <c r="O7" s="153"/>
      <c r="P7" s="160"/>
      <c r="Q7" s="153"/>
      <c r="R7" s="153"/>
      <c r="S7" s="153"/>
      <c r="T7" s="156" t="s">
        <v>49</v>
      </c>
      <c r="U7" s="153"/>
      <c r="V7" s="153"/>
      <c r="W7" s="155"/>
      <c r="X7" s="153"/>
      <c r="Y7" s="153"/>
      <c r="Z7" s="153"/>
      <c r="AA7" s="161"/>
      <c r="AB7" s="152" t="s">
        <v>50</v>
      </c>
      <c r="AC7" s="162"/>
      <c r="AD7" s="118"/>
      <c r="AE7" s="207" t="s">
        <v>51</v>
      </c>
      <c r="AF7" s="208"/>
    </row>
    <row r="8" customFormat="false" ht="11.1" hidden="false" customHeight="true" outlineLevel="0" collapsed="false">
      <c r="A8" s="153"/>
      <c r="B8" s="154"/>
      <c r="C8" s="155"/>
      <c r="D8" s="153"/>
      <c r="E8" s="155"/>
      <c r="F8" s="157"/>
      <c r="G8" s="153"/>
      <c r="H8" s="205"/>
      <c r="I8" s="153"/>
      <c r="J8" s="153"/>
      <c r="K8" s="153"/>
      <c r="L8" s="153"/>
      <c r="M8" s="206"/>
      <c r="N8" s="153"/>
      <c r="O8" s="153"/>
      <c r="P8" s="160"/>
      <c r="Q8" s="153"/>
      <c r="R8" s="153"/>
      <c r="S8" s="153"/>
      <c r="T8" s="155"/>
      <c r="U8" s="153"/>
      <c r="V8" s="153"/>
      <c r="W8" s="155"/>
      <c r="X8" s="153"/>
      <c r="Y8" s="153"/>
      <c r="Z8" s="153"/>
      <c r="AA8" s="161"/>
      <c r="AB8" s="118"/>
      <c r="AC8" s="162"/>
      <c r="AD8" s="118"/>
      <c r="AE8" s="208"/>
      <c r="AF8" s="208"/>
    </row>
    <row r="9" customFormat="false" ht="11.1" hidden="false" customHeight="true" outlineLevel="0" collapsed="false">
      <c r="A9" s="111" t="s">
        <v>52</v>
      </c>
      <c r="B9" s="163"/>
      <c r="C9" s="112"/>
      <c r="D9" s="112"/>
      <c r="E9" s="112"/>
      <c r="F9" s="164"/>
      <c r="G9" s="112"/>
      <c r="H9" s="116"/>
      <c r="I9" s="112"/>
      <c r="J9" s="112"/>
      <c r="K9" s="112"/>
      <c r="L9" s="112"/>
      <c r="M9" s="209"/>
      <c r="N9" s="112"/>
      <c r="O9" s="112"/>
      <c r="P9" s="166"/>
      <c r="Q9" s="112"/>
      <c r="R9" s="112"/>
      <c r="S9" s="112"/>
      <c r="T9" s="112"/>
      <c r="U9" s="112"/>
      <c r="V9" s="112"/>
      <c r="W9" s="112"/>
      <c r="X9" s="112"/>
      <c r="Y9" s="112"/>
      <c r="Z9" s="112"/>
      <c r="AA9" s="161"/>
      <c r="AB9" s="117"/>
      <c r="AC9" s="167"/>
      <c r="AD9" s="118"/>
      <c r="AE9" s="208"/>
      <c r="AF9" s="210"/>
    </row>
    <row r="10" s="105" customFormat="true" ht="11.1" hidden="false" customHeight="true" outlineLevel="0" collapsed="false">
      <c r="A10" s="112" t="s">
        <v>53</v>
      </c>
      <c r="B10" s="168" t="n">
        <f aca="false">DEC!B42</f>
        <v>6858.4</v>
      </c>
      <c r="C10" s="112" t="n">
        <f aca="false">DEC!C42</f>
        <v>159459</v>
      </c>
      <c r="D10" s="112" t="n">
        <f aca="false">DEC!$D$51</f>
        <v>2892</v>
      </c>
      <c r="E10" s="112" t="n">
        <f aca="false">DEC!$E$42</f>
        <v>7459</v>
      </c>
      <c r="F10" s="164" t="n">
        <f aca="false">DEC!F50</f>
        <v>1458.02873708092</v>
      </c>
      <c r="G10" s="112" t="n">
        <f aca="false">DEC!G50</f>
        <v>2992</v>
      </c>
      <c r="H10" s="116" t="n">
        <f aca="false">DEC!H50</f>
        <v>0</v>
      </c>
      <c r="I10" s="112" t="n">
        <f aca="false">DEC!I50</f>
        <v>2992</v>
      </c>
      <c r="J10" s="112" t="n">
        <f aca="false">DEC!J50</f>
        <v>273.836843962692</v>
      </c>
      <c r="K10" s="112" t="n">
        <f aca="false">DEC!K50</f>
        <v>3265.83684396269</v>
      </c>
      <c r="L10" s="112" t="n">
        <f aca="false">DEC!L50</f>
        <v>-213.191262919082</v>
      </c>
      <c r="M10" s="209" t="n">
        <f aca="false">DEC!M50</f>
        <v>326.9</v>
      </c>
      <c r="N10" s="112" t="n">
        <f aca="false">DEC!N50</f>
        <v>0</v>
      </c>
      <c r="O10" s="112" t="n">
        <f aca="false">DEC!O50</f>
        <v>0</v>
      </c>
      <c r="P10" s="166" t="n">
        <f aca="false">DEC!P50</f>
        <v>326.9</v>
      </c>
      <c r="Q10" s="112" t="n">
        <f aca="false">DEC!Q50</f>
        <v>62</v>
      </c>
      <c r="R10" s="112" t="n">
        <f aca="false">DEC!R50</f>
        <v>51</v>
      </c>
      <c r="S10" s="112" t="n">
        <f aca="false">DEC!S50</f>
        <v>439.9</v>
      </c>
      <c r="T10" s="112" t="n">
        <f aca="false">DEC!T50</f>
        <v>0</v>
      </c>
      <c r="U10" s="112" t="n">
        <f aca="false">DEC!U50</f>
        <v>0</v>
      </c>
      <c r="V10" s="112" t="n">
        <f aca="false">DEC!V50</f>
        <v>880.88</v>
      </c>
      <c r="W10" s="112" t="n">
        <f aca="false">DEC!W50</f>
        <v>1529.12</v>
      </c>
      <c r="X10" s="112" t="n">
        <f aca="false">DEC!X50</f>
        <v>1320.78</v>
      </c>
      <c r="Y10" s="112" t="n">
        <f aca="false">DEC!Y50</f>
        <v>487.028106881775</v>
      </c>
      <c r="Z10" s="112" t="n">
        <f aca="false">DEC!Z50</f>
        <v>1807.80810688177</v>
      </c>
      <c r="AA10" s="161" t="n">
        <f aca="false">DEC!AA50</f>
        <v>2.05</v>
      </c>
      <c r="AB10" s="117"/>
      <c r="AC10" s="167"/>
      <c r="AD10" s="118"/>
      <c r="AE10" s="211"/>
      <c r="AF10" s="208"/>
    </row>
    <row r="11" customFormat="false" ht="3" hidden="false" customHeight="true" outlineLevel="0" collapsed="false">
      <c r="A11" s="169"/>
      <c r="B11" s="170"/>
      <c r="C11" s="171"/>
      <c r="D11" s="169"/>
      <c r="E11" s="171"/>
      <c r="F11" s="172"/>
      <c r="G11" s="169"/>
      <c r="H11" s="190"/>
      <c r="I11" s="169"/>
      <c r="J11" s="169"/>
      <c r="K11" s="169"/>
      <c r="L11" s="169"/>
      <c r="M11" s="212"/>
      <c r="N11" s="169"/>
      <c r="O11" s="169"/>
      <c r="P11" s="175"/>
      <c r="Q11" s="169"/>
      <c r="R11" s="169"/>
      <c r="S11" s="169"/>
      <c r="T11" s="171"/>
      <c r="U11" s="169"/>
      <c r="V11" s="169"/>
      <c r="W11" s="171"/>
      <c r="X11" s="169"/>
      <c r="Y11" s="169"/>
      <c r="Z11" s="169"/>
      <c r="AA11" s="176"/>
      <c r="AB11" s="177"/>
      <c r="AC11" s="178"/>
      <c r="AD11" s="179"/>
      <c r="AE11" s="179"/>
      <c r="AF11" s="179"/>
    </row>
    <row r="12" customFormat="false" ht="11.1" hidden="false" customHeight="true" outlineLevel="0" collapsed="false">
      <c r="A12" s="118" t="n">
        <v>1</v>
      </c>
      <c r="B12" s="168" t="n">
        <v>6858.41</v>
      </c>
      <c r="C12" s="112" t="n">
        <v>159481</v>
      </c>
      <c r="D12" s="117" t="n">
        <f aca="false">C12-C10</f>
        <v>22</v>
      </c>
      <c r="E12" s="112" t="n">
        <f aca="false">C12-152000</f>
        <v>7481</v>
      </c>
      <c r="F12" s="180" t="n">
        <f aca="false">D12/$D$2</f>
        <v>11.0915049155533</v>
      </c>
      <c r="G12" s="111" t="n">
        <v>22</v>
      </c>
      <c r="H12" s="116" t="n">
        <v>0</v>
      </c>
      <c r="I12" s="111" t="n">
        <f aca="false">G12+H12</f>
        <v>22</v>
      </c>
      <c r="J12" s="181" t="n">
        <f aca="false">IF(L12&gt;0,L12,0)</f>
        <v>7.59150491555332</v>
      </c>
      <c r="K12" s="111" t="n">
        <f aca="false">I12+J12</f>
        <v>29.5915049155533</v>
      </c>
      <c r="L12" s="111" t="n">
        <f aca="false">F12-(I12-X12)</f>
        <v>7.59150491555332</v>
      </c>
      <c r="M12" s="209" t="n">
        <v>4.5</v>
      </c>
      <c r="N12" s="111" t="n">
        <v>0</v>
      </c>
      <c r="O12" s="111" t="n">
        <v>0</v>
      </c>
      <c r="P12" s="90" t="n">
        <f aca="false">M12-(N12+O12)</f>
        <v>4.5</v>
      </c>
      <c r="Q12" s="111" t="n">
        <v>0</v>
      </c>
      <c r="R12" s="111" t="n">
        <v>0</v>
      </c>
      <c r="S12" s="111" t="n">
        <f aca="false">SUM(P12:R12)</f>
        <v>4.5</v>
      </c>
      <c r="T12" s="112"/>
      <c r="U12" s="111" t="n">
        <v>0</v>
      </c>
      <c r="V12" s="111" t="n">
        <v>14</v>
      </c>
      <c r="W12" s="112" t="n">
        <f aca="false">W10-V12</f>
        <v>1515.12</v>
      </c>
      <c r="X12" s="6" t="n">
        <f aca="false">N12+O12+S12+U12+V12</f>
        <v>18.5</v>
      </c>
      <c r="Y12" s="111" t="n">
        <f aca="false">IF(L12&lt;0,L12*-1,0)</f>
        <v>0</v>
      </c>
      <c r="Z12" s="111" t="n">
        <f aca="false">X12+Y12</f>
        <v>18.5</v>
      </c>
      <c r="AA12" s="161" t="n">
        <v>0</v>
      </c>
      <c r="AB12" s="117" t="n">
        <v>37</v>
      </c>
      <c r="AC12" s="167" t="n">
        <v>16</v>
      </c>
      <c r="AD12" s="118"/>
      <c r="AE12" s="210"/>
      <c r="AF12" s="211"/>
    </row>
    <row r="13" customFormat="false" ht="11.1" hidden="false" customHeight="true" outlineLevel="0" collapsed="false">
      <c r="A13" s="118" t="n">
        <f aca="false">A12+1</f>
        <v>2</v>
      </c>
      <c r="B13" s="168" t="n">
        <v>6858.42</v>
      </c>
      <c r="C13" s="112" t="n">
        <v>159504</v>
      </c>
      <c r="D13" s="117" t="n">
        <f aca="false">C13-C12</f>
        <v>23</v>
      </c>
      <c r="E13" s="112" t="n">
        <f aca="false">C13-152000</f>
        <v>7504</v>
      </c>
      <c r="F13" s="180" t="n">
        <f aca="false">D13/$D$2</f>
        <v>11.5956642298966</v>
      </c>
      <c r="G13" s="111" t="n">
        <v>24</v>
      </c>
      <c r="H13" s="116" t="n">
        <v>0</v>
      </c>
      <c r="I13" s="111" t="n">
        <f aca="false">G13+H13</f>
        <v>24</v>
      </c>
      <c r="J13" s="181" t="n">
        <f aca="false">IF(L13&gt;0,L13,0)</f>
        <v>6.79566422989665</v>
      </c>
      <c r="K13" s="111" t="n">
        <f aca="false">I13+J13</f>
        <v>30.7956642298966</v>
      </c>
      <c r="L13" s="111" t="n">
        <f aca="false">F13-(I13-X13)</f>
        <v>6.79566422989665</v>
      </c>
      <c r="M13" s="209" t="n">
        <v>5.2</v>
      </c>
      <c r="N13" s="111" t="n">
        <v>0</v>
      </c>
      <c r="O13" s="111" t="n">
        <v>0</v>
      </c>
      <c r="P13" s="90" t="n">
        <f aca="false">M13-(N13+O13)</f>
        <v>5.2</v>
      </c>
      <c r="Q13" s="111" t="n">
        <v>0</v>
      </c>
      <c r="R13" s="111" t="n">
        <v>0</v>
      </c>
      <c r="S13" s="111" t="n">
        <f aca="false">SUM(P13:R13)</f>
        <v>5.2</v>
      </c>
      <c r="T13" s="112"/>
      <c r="U13" s="111" t="n">
        <v>0</v>
      </c>
      <c r="V13" s="111" t="n">
        <v>14</v>
      </c>
      <c r="W13" s="112" t="n">
        <f aca="false">W12-V13</f>
        <v>1501.12</v>
      </c>
      <c r="X13" s="6" t="n">
        <f aca="false">N13+O13+S13+U13+V13</f>
        <v>19.2</v>
      </c>
      <c r="Y13" s="111" t="n">
        <f aca="false">IF(L13&lt;0,L13*-1,0)</f>
        <v>0</v>
      </c>
      <c r="Z13" s="111" t="n">
        <f aca="false">X13+Y13</f>
        <v>19.2</v>
      </c>
      <c r="AA13" s="161" t="n">
        <v>0</v>
      </c>
      <c r="AB13" s="117" t="n">
        <v>46</v>
      </c>
      <c r="AC13" s="167" t="n">
        <v>10</v>
      </c>
      <c r="AD13" s="118"/>
      <c r="AE13" s="210"/>
      <c r="AF13" s="211"/>
    </row>
    <row r="14" customFormat="false" ht="11.1" hidden="false" customHeight="true" outlineLevel="0" collapsed="false">
      <c r="A14" s="118" t="n">
        <f aca="false">A13+1</f>
        <v>3</v>
      </c>
      <c r="B14" s="168" t="n">
        <v>6858.43</v>
      </c>
      <c r="C14" s="112" t="n">
        <v>159526</v>
      </c>
      <c r="D14" s="117" t="n">
        <f aca="false">C14-C13</f>
        <v>22</v>
      </c>
      <c r="E14" s="112" t="n">
        <f aca="false">C14-152000</f>
        <v>7526</v>
      </c>
      <c r="F14" s="180" t="n">
        <f aca="false">D14/$D$2</f>
        <v>11.0915049155533</v>
      </c>
      <c r="G14" s="111" t="n">
        <v>34</v>
      </c>
      <c r="H14" s="116" t="n">
        <v>0</v>
      </c>
      <c r="I14" s="111" t="n">
        <f aca="false">G14+H14</f>
        <v>34</v>
      </c>
      <c r="J14" s="181" t="n">
        <f aca="false">IF(L14&gt;0,L14,0)</f>
        <v>0</v>
      </c>
      <c r="K14" s="111" t="n">
        <f aca="false">I14+J14</f>
        <v>34</v>
      </c>
      <c r="L14" s="111" t="n">
        <f aca="false">F14-(I14-X14)</f>
        <v>-3.90849508444668</v>
      </c>
      <c r="M14" s="209" t="n">
        <v>5</v>
      </c>
      <c r="N14" s="111" t="n">
        <v>0</v>
      </c>
      <c r="O14" s="111" t="n">
        <v>0</v>
      </c>
      <c r="P14" s="90" t="n">
        <f aca="false">M14-(N14+O14)</f>
        <v>5</v>
      </c>
      <c r="Q14" s="111" t="n">
        <v>0</v>
      </c>
      <c r="R14" s="111" t="n">
        <v>0</v>
      </c>
      <c r="S14" s="111" t="n">
        <f aca="false">SUM(P14:R14)</f>
        <v>5</v>
      </c>
      <c r="T14" s="112"/>
      <c r="U14" s="111" t="n">
        <v>0</v>
      </c>
      <c r="V14" s="111" t="n">
        <v>14</v>
      </c>
      <c r="W14" s="112" t="n">
        <f aca="false">W13-V14</f>
        <v>1487.12</v>
      </c>
      <c r="X14" s="6" t="n">
        <f aca="false">N14+O14+S14+U14+V14</f>
        <v>19</v>
      </c>
      <c r="Y14" s="111" t="n">
        <f aca="false">IF(L14&lt;0,L14*-1,0)</f>
        <v>3.90849508444668</v>
      </c>
      <c r="Z14" s="111" t="n">
        <f aca="false">X14+Y14</f>
        <v>22.9084950844467</v>
      </c>
      <c r="AA14" s="161" t="n">
        <v>0</v>
      </c>
      <c r="AB14" s="117" t="n">
        <v>46</v>
      </c>
      <c r="AC14" s="167" t="n">
        <v>16</v>
      </c>
      <c r="AD14" s="118"/>
      <c r="AE14" s="210"/>
      <c r="AF14" s="211"/>
    </row>
    <row r="15" customFormat="false" ht="11.1" hidden="false" customHeight="true" outlineLevel="0" collapsed="false">
      <c r="A15" s="118" t="n">
        <f aca="false">A14+1</f>
        <v>4</v>
      </c>
      <c r="B15" s="168" t="n">
        <v>6858.44</v>
      </c>
      <c r="C15" s="112" t="n">
        <v>159548</v>
      </c>
      <c r="D15" s="117" t="n">
        <f aca="false">C15-C14</f>
        <v>22</v>
      </c>
      <c r="E15" s="112" t="n">
        <f aca="false">C15-152000</f>
        <v>7548</v>
      </c>
      <c r="F15" s="180" t="n">
        <f aca="false">D15/$D$2</f>
        <v>11.0915049155533</v>
      </c>
      <c r="G15" s="111" t="n">
        <v>38</v>
      </c>
      <c r="H15" s="116" t="n">
        <v>0</v>
      </c>
      <c r="I15" s="111" t="n">
        <f aca="false">G15+H15</f>
        <v>38</v>
      </c>
      <c r="J15" s="181" t="n">
        <f aca="false">IF(L15&gt;0,L15,0)</f>
        <v>0</v>
      </c>
      <c r="K15" s="111" t="n">
        <f aca="false">I15+J15</f>
        <v>38</v>
      </c>
      <c r="L15" s="111" t="n">
        <f aca="false">F15-(I15-X15)</f>
        <v>-7.40849508444668</v>
      </c>
      <c r="M15" s="209" t="n">
        <v>5.5</v>
      </c>
      <c r="N15" s="111" t="n">
        <v>0</v>
      </c>
      <c r="O15" s="111" t="n">
        <v>0</v>
      </c>
      <c r="P15" s="90" t="n">
        <f aca="false">M15-(N15+O15)</f>
        <v>5.5</v>
      </c>
      <c r="Q15" s="111" t="n">
        <v>0</v>
      </c>
      <c r="R15" s="111" t="n">
        <v>0</v>
      </c>
      <c r="S15" s="111" t="n">
        <f aca="false">SUM(P15:R15)</f>
        <v>5.5</v>
      </c>
      <c r="T15" s="112"/>
      <c r="U15" s="111" t="n">
        <v>0</v>
      </c>
      <c r="V15" s="111" t="n">
        <v>14</v>
      </c>
      <c r="W15" s="112" t="n">
        <f aca="false">W14-V15</f>
        <v>1473.12</v>
      </c>
      <c r="X15" s="6" t="n">
        <f aca="false">N15+O15+S15+U15+V15</f>
        <v>19.5</v>
      </c>
      <c r="Y15" s="111" t="n">
        <f aca="false">IF(L15&lt;0,L15*-1,0)</f>
        <v>7.40849508444668</v>
      </c>
      <c r="Z15" s="111" t="n">
        <f aca="false">X15+Y15</f>
        <v>26.9084950844467</v>
      </c>
      <c r="AA15" s="161" t="n">
        <v>0</v>
      </c>
      <c r="AB15" s="117" t="n">
        <v>47</v>
      </c>
      <c r="AC15" s="167" t="n">
        <v>21</v>
      </c>
      <c r="AD15" s="118"/>
      <c r="AE15" s="210"/>
      <c r="AF15" s="211"/>
    </row>
    <row r="16" customFormat="false" ht="11.1" hidden="false" customHeight="true" outlineLevel="0" collapsed="false">
      <c r="A16" s="118" t="n">
        <f aca="false">A15+1</f>
        <v>5</v>
      </c>
      <c r="B16" s="168" t="n">
        <v>6858.45</v>
      </c>
      <c r="C16" s="112" t="n">
        <v>159571</v>
      </c>
      <c r="D16" s="117" t="n">
        <f aca="false">C16-C15</f>
        <v>23</v>
      </c>
      <c r="E16" s="112" t="n">
        <f aca="false">C16-152000</f>
        <v>7571</v>
      </c>
      <c r="F16" s="180" t="n">
        <f aca="false">D16/$D$2</f>
        <v>11.5956642298966</v>
      </c>
      <c r="G16" s="111" t="n">
        <v>25</v>
      </c>
      <c r="H16" s="116" t="n">
        <v>0</v>
      </c>
      <c r="I16" s="111" t="n">
        <f aca="false">G16+H16</f>
        <v>25</v>
      </c>
      <c r="J16" s="181" t="n">
        <f aca="false">IF(L16&gt;0,L16,0)</f>
        <v>4.49566422989665</v>
      </c>
      <c r="K16" s="111" t="n">
        <f aca="false">I16+J16</f>
        <v>29.4956642298966</v>
      </c>
      <c r="L16" s="111" t="n">
        <f aca="false">F16-(I16-X16)</f>
        <v>4.49566422989665</v>
      </c>
      <c r="M16" s="209" t="n">
        <v>3.9</v>
      </c>
      <c r="N16" s="111" t="n">
        <v>0</v>
      </c>
      <c r="O16" s="111" t="n">
        <v>0</v>
      </c>
      <c r="P16" s="90" t="n">
        <f aca="false">M16-(N16+O16)</f>
        <v>3.9</v>
      </c>
      <c r="Q16" s="111" t="n">
        <v>0</v>
      </c>
      <c r="R16" s="111" t="n">
        <v>0</v>
      </c>
      <c r="S16" s="111" t="n">
        <f aca="false">SUM(P16:R16)</f>
        <v>3.9</v>
      </c>
      <c r="T16" s="112"/>
      <c r="U16" s="111" t="n">
        <v>0</v>
      </c>
      <c r="V16" s="111" t="n">
        <v>14</v>
      </c>
      <c r="W16" s="112" t="n">
        <f aca="false">W15-V16</f>
        <v>1459.12</v>
      </c>
      <c r="X16" s="6" t="n">
        <f aca="false">N16+O16+S16+U16+V16</f>
        <v>17.9</v>
      </c>
      <c r="Y16" s="111" t="n">
        <f aca="false">IF(L16&lt;0,L16*-1,0)</f>
        <v>0</v>
      </c>
      <c r="Z16" s="111" t="n">
        <f aca="false">X16+Y16</f>
        <v>17.9</v>
      </c>
      <c r="AA16" s="161" t="n">
        <v>0</v>
      </c>
      <c r="AB16" s="117" t="n">
        <v>44</v>
      </c>
      <c r="AC16" s="167" t="n">
        <v>22</v>
      </c>
      <c r="AD16" s="118"/>
      <c r="AE16" s="210"/>
      <c r="AF16" s="211"/>
    </row>
    <row r="17" customFormat="false" ht="11.1" hidden="false" customHeight="true" outlineLevel="0" collapsed="false">
      <c r="A17" s="118" t="n">
        <f aca="false">A16+1</f>
        <v>6</v>
      </c>
      <c r="B17" s="168" t="n">
        <v>6858.47</v>
      </c>
      <c r="C17" s="112" t="n">
        <v>159616</v>
      </c>
      <c r="D17" s="117" t="n">
        <f aca="false">C17-C16</f>
        <v>45</v>
      </c>
      <c r="E17" s="112" t="n">
        <f aca="false">C17-152000</f>
        <v>7616</v>
      </c>
      <c r="F17" s="180" t="n">
        <f aca="false">D17/$D$2</f>
        <v>22.68716914545</v>
      </c>
      <c r="G17" s="111" t="n">
        <v>27</v>
      </c>
      <c r="H17" s="116" t="n">
        <v>0</v>
      </c>
      <c r="I17" s="111" t="n">
        <f aca="false">G17+H17</f>
        <v>27</v>
      </c>
      <c r="J17" s="181" t="n">
        <f aca="false">IF(L17&gt;0,L17,0)</f>
        <v>13.38716914545</v>
      </c>
      <c r="K17" s="111" t="n">
        <f aca="false">I17+J17</f>
        <v>40.38716914545</v>
      </c>
      <c r="L17" s="111" t="n">
        <f aca="false">F17-(I17-X17)</f>
        <v>13.38716914545</v>
      </c>
      <c r="M17" s="209" t="n">
        <v>3.7</v>
      </c>
      <c r="N17" s="111" t="n">
        <v>0</v>
      </c>
      <c r="O17" s="111" t="n">
        <v>0</v>
      </c>
      <c r="P17" s="90" t="n">
        <f aca="false">M17-(N17+O17)</f>
        <v>3.7</v>
      </c>
      <c r="Q17" s="111" t="n">
        <v>0</v>
      </c>
      <c r="R17" s="111" t="n">
        <v>0</v>
      </c>
      <c r="S17" s="111" t="n">
        <f aca="false">SUM(P17:R17)</f>
        <v>3.7</v>
      </c>
      <c r="T17" s="112"/>
      <c r="U17" s="111" t="n">
        <v>0</v>
      </c>
      <c r="V17" s="111" t="n">
        <v>14</v>
      </c>
      <c r="W17" s="112" t="n">
        <f aca="false">W16-V17</f>
        <v>1445.12</v>
      </c>
      <c r="X17" s="6" t="n">
        <f aca="false">N17+O17+S17+U17+V17</f>
        <v>17.7</v>
      </c>
      <c r="Y17" s="111" t="n">
        <f aca="false">IF(L17&lt;0,L17*-1,0)</f>
        <v>0</v>
      </c>
      <c r="Z17" s="111" t="n">
        <f aca="false">X17+Y17</f>
        <v>17.7</v>
      </c>
      <c r="AA17" s="161" t="n">
        <v>0</v>
      </c>
      <c r="AB17" s="117" t="n">
        <v>46</v>
      </c>
      <c r="AC17" s="167" t="n">
        <v>29</v>
      </c>
      <c r="AD17" s="118"/>
      <c r="AE17" s="208"/>
      <c r="AF17" s="211"/>
    </row>
    <row r="18" customFormat="false" ht="11.1" hidden="false" customHeight="true" outlineLevel="0" collapsed="false">
      <c r="A18" s="118" t="n">
        <f aca="false">A17+1</f>
        <v>7</v>
      </c>
      <c r="B18" s="168" t="n">
        <v>6858.49</v>
      </c>
      <c r="C18" s="112" t="n">
        <v>159660</v>
      </c>
      <c r="D18" s="117" t="n">
        <f aca="false">C18-C17</f>
        <v>44</v>
      </c>
      <c r="E18" s="112" t="n">
        <f aca="false">C18-152000</f>
        <v>7660</v>
      </c>
      <c r="F18" s="180" t="n">
        <f aca="false">D18/$D$2</f>
        <v>22.1830098311066</v>
      </c>
      <c r="G18" s="111" t="n">
        <v>37</v>
      </c>
      <c r="H18" s="116" t="n">
        <v>0</v>
      </c>
      <c r="I18" s="111" t="n">
        <f aca="false">G18+H18</f>
        <v>37</v>
      </c>
      <c r="J18" s="181" t="n">
        <f aca="false">IF(L18&gt;0,L18,0)</f>
        <v>2.88300983110663</v>
      </c>
      <c r="K18" s="111" t="n">
        <f aca="false">I18+J18</f>
        <v>39.8830098311066</v>
      </c>
      <c r="L18" s="111" t="n">
        <f aca="false">F18-(I18-X18)</f>
        <v>2.88300983110663</v>
      </c>
      <c r="M18" s="209" t="n">
        <v>3.7</v>
      </c>
      <c r="N18" s="111" t="n">
        <v>0</v>
      </c>
      <c r="O18" s="111" t="n">
        <v>0</v>
      </c>
      <c r="P18" s="90" t="n">
        <f aca="false">M18-(N18+O18)</f>
        <v>3.7</v>
      </c>
      <c r="Q18" s="111" t="n">
        <v>0</v>
      </c>
      <c r="R18" s="111" t="n">
        <v>0</v>
      </c>
      <c r="S18" s="111" t="n">
        <f aca="false">SUM(P18:R18)</f>
        <v>3.7</v>
      </c>
      <c r="T18" s="112"/>
      <c r="U18" s="111" t="n">
        <v>0</v>
      </c>
      <c r="V18" s="111" t="n">
        <v>14</v>
      </c>
      <c r="W18" s="112" t="n">
        <f aca="false">W17-V18</f>
        <v>1431.12</v>
      </c>
      <c r="X18" s="6" t="n">
        <f aca="false">N18+O18+S18+U18+V18</f>
        <v>17.7</v>
      </c>
      <c r="Y18" s="111" t="n">
        <f aca="false">IF(L18&lt;0,L18*-1,0)</f>
        <v>0</v>
      </c>
      <c r="Z18" s="111" t="n">
        <f aca="false">X18+Y18</f>
        <v>17.7</v>
      </c>
      <c r="AA18" s="161" t="n">
        <v>0</v>
      </c>
      <c r="AB18" s="117" t="n">
        <v>50</v>
      </c>
      <c r="AC18" s="167" t="n">
        <v>21</v>
      </c>
      <c r="AD18" s="118"/>
      <c r="AE18" s="208"/>
      <c r="AF18" s="211"/>
    </row>
    <row r="19" customFormat="false" ht="11.1" hidden="false" customHeight="true" outlineLevel="0" collapsed="false">
      <c r="A19" s="118" t="n">
        <f aca="false">A18+1</f>
        <v>8</v>
      </c>
      <c r="B19" s="168" t="n">
        <v>6858.51</v>
      </c>
      <c r="C19" s="112" t="n">
        <v>159705</v>
      </c>
      <c r="D19" s="117" t="n">
        <f aca="false">C19-C18</f>
        <v>45</v>
      </c>
      <c r="E19" s="112" t="n">
        <f aca="false">C19-152000</f>
        <v>7705</v>
      </c>
      <c r="F19" s="180" t="n">
        <f aca="false">D19/$D$2</f>
        <v>22.68716914545</v>
      </c>
      <c r="G19" s="111" t="n">
        <v>35</v>
      </c>
      <c r="H19" s="116" t="n">
        <v>0</v>
      </c>
      <c r="I19" s="111" t="n">
        <f aca="false">G19+H19</f>
        <v>35</v>
      </c>
      <c r="J19" s="181" t="n">
        <f aca="false">IF(L19&gt;0,L19,0)</f>
        <v>5.38716914544996</v>
      </c>
      <c r="K19" s="111" t="n">
        <f aca="false">I19+J19</f>
        <v>40.38716914545</v>
      </c>
      <c r="L19" s="111" t="n">
        <f aca="false">F19-(I19-X19)</f>
        <v>5.38716914544996</v>
      </c>
      <c r="M19" s="209" t="n">
        <v>3.7</v>
      </c>
      <c r="N19" s="111" t="n">
        <v>0</v>
      </c>
      <c r="O19" s="111" t="n">
        <v>0</v>
      </c>
      <c r="P19" s="90" t="n">
        <f aca="false">M19-(N19+O19)</f>
        <v>3.7</v>
      </c>
      <c r="Q19" s="111" t="n">
        <v>0</v>
      </c>
      <c r="R19" s="111" t="n">
        <v>0</v>
      </c>
      <c r="S19" s="111" t="n">
        <f aca="false">SUM(P19:R19)</f>
        <v>3.7</v>
      </c>
      <c r="T19" s="112"/>
      <c r="U19" s="111" t="n">
        <v>0</v>
      </c>
      <c r="V19" s="111" t="n">
        <v>14</v>
      </c>
      <c r="W19" s="112" t="n">
        <f aca="false">W18-V19</f>
        <v>1417.12</v>
      </c>
      <c r="X19" s="6" t="n">
        <f aca="false">N19+O19+S19+U19+V19</f>
        <v>17.7</v>
      </c>
      <c r="Y19" s="111" t="n">
        <f aca="false">IF(L19&lt;0,L19*-1,0)</f>
        <v>0</v>
      </c>
      <c r="Z19" s="111" t="n">
        <f aca="false">X19+Y19</f>
        <v>17.7</v>
      </c>
      <c r="AA19" s="161" t="n">
        <v>0</v>
      </c>
      <c r="AB19" s="117" t="n">
        <v>52</v>
      </c>
      <c r="AC19" s="167" t="n">
        <v>20</v>
      </c>
      <c r="AD19" s="118"/>
      <c r="AE19" s="208"/>
      <c r="AF19" s="211"/>
    </row>
    <row r="20" customFormat="false" ht="11.1" hidden="false" customHeight="true" outlineLevel="0" collapsed="false">
      <c r="A20" s="118" t="n">
        <f aca="false">A19+1</f>
        <v>9</v>
      </c>
      <c r="B20" s="168" t="n">
        <v>6858.54</v>
      </c>
      <c r="C20" s="112" t="n">
        <v>159772</v>
      </c>
      <c r="D20" s="117" t="n">
        <f aca="false">C20-C19</f>
        <v>67</v>
      </c>
      <c r="E20" s="112" t="n">
        <f aca="false">C20-152000</f>
        <v>7772</v>
      </c>
      <c r="F20" s="180" t="n">
        <f aca="false">D20/$D$2</f>
        <v>33.7786740610033</v>
      </c>
      <c r="G20" s="111" t="n">
        <v>40</v>
      </c>
      <c r="H20" s="116" t="n">
        <v>0</v>
      </c>
      <c r="I20" s="111" t="n">
        <f aca="false">G20+H20</f>
        <v>40</v>
      </c>
      <c r="J20" s="181" t="n">
        <f aca="false">IF(L20&gt;0,L20,0)</f>
        <v>12.4786740610033</v>
      </c>
      <c r="K20" s="111" t="n">
        <f aca="false">I20+J20</f>
        <v>52.4786740610033</v>
      </c>
      <c r="L20" s="111" t="n">
        <f aca="false">F20-(I20-X20)</f>
        <v>12.4786740610033</v>
      </c>
      <c r="M20" s="209" t="n">
        <v>3.7</v>
      </c>
      <c r="N20" s="111" t="n">
        <v>0</v>
      </c>
      <c r="O20" s="111" t="n">
        <v>0</v>
      </c>
      <c r="P20" s="90" t="n">
        <f aca="false">M20-(N20+O20)</f>
        <v>3.7</v>
      </c>
      <c r="Q20" s="111" t="n">
        <v>0</v>
      </c>
      <c r="R20" s="111" t="n">
        <v>0</v>
      </c>
      <c r="S20" s="111" t="n">
        <f aca="false">SUM(P20:R20)</f>
        <v>3.7</v>
      </c>
      <c r="T20" s="112"/>
      <c r="U20" s="111" t="n">
        <v>0</v>
      </c>
      <c r="V20" s="111" t="n">
        <v>15</v>
      </c>
      <c r="W20" s="112" t="n">
        <f aca="false">W19-V20</f>
        <v>1402.12</v>
      </c>
      <c r="X20" s="6" t="n">
        <f aca="false">N20+O20+S20+U20+V20</f>
        <v>18.7</v>
      </c>
      <c r="Y20" s="111" t="n">
        <f aca="false">IF(L20&lt;0,L20*-1,0)</f>
        <v>0</v>
      </c>
      <c r="Z20" s="111" t="n">
        <f aca="false">X20+Y20</f>
        <v>18.7</v>
      </c>
      <c r="AA20" s="161" t="n">
        <v>0.04</v>
      </c>
      <c r="AB20" s="183" t="n">
        <v>38</v>
      </c>
      <c r="AC20" s="167" t="n">
        <v>27</v>
      </c>
      <c r="AD20" s="118"/>
      <c r="AE20" s="208"/>
      <c r="AF20" s="211"/>
    </row>
    <row r="21" customFormat="false" ht="11.1" hidden="false" customHeight="true" outlineLevel="0" collapsed="false">
      <c r="A21" s="118" t="n">
        <f aca="false">A20+1</f>
        <v>10</v>
      </c>
      <c r="B21" s="168" t="n">
        <v>6858.56</v>
      </c>
      <c r="C21" s="112" t="n">
        <v>159817</v>
      </c>
      <c r="D21" s="117" t="n">
        <f aca="false">C21-C20</f>
        <v>45</v>
      </c>
      <c r="E21" s="112" t="n">
        <f aca="false">C21-152000</f>
        <v>7817</v>
      </c>
      <c r="F21" s="180" t="n">
        <f aca="false">D21/$D$2</f>
        <v>22.68716914545</v>
      </c>
      <c r="G21" s="111" t="n">
        <v>44</v>
      </c>
      <c r="H21" s="116" t="n">
        <v>0</v>
      </c>
      <c r="I21" s="111" t="n">
        <f aca="false">G21+H21</f>
        <v>44</v>
      </c>
      <c r="J21" s="181" t="n">
        <f aca="false">IF(L21&gt;0,L21,0)</f>
        <v>0</v>
      </c>
      <c r="K21" s="111" t="n">
        <f aca="false">I21+J21</f>
        <v>44</v>
      </c>
      <c r="L21" s="111" t="n">
        <f aca="false">F21-(I21-X21)</f>
        <v>-3.61283085455004</v>
      </c>
      <c r="M21" s="209" t="n">
        <v>3.7</v>
      </c>
      <c r="N21" s="111" t="n">
        <v>0</v>
      </c>
      <c r="O21" s="111" t="n">
        <v>0</v>
      </c>
      <c r="P21" s="90" t="n">
        <f aca="false">M21-(N21+O21)</f>
        <v>3.7</v>
      </c>
      <c r="Q21" s="111" t="n">
        <v>0</v>
      </c>
      <c r="R21" s="111" t="n">
        <v>0</v>
      </c>
      <c r="S21" s="111" t="n">
        <f aca="false">SUM(P21:R21)</f>
        <v>3.7</v>
      </c>
      <c r="T21" s="112"/>
      <c r="U21" s="111" t="n">
        <v>0</v>
      </c>
      <c r="V21" s="111" t="n">
        <v>14</v>
      </c>
      <c r="W21" s="112" t="n">
        <f aca="false">W20-V21</f>
        <v>1388.12</v>
      </c>
      <c r="X21" s="6" t="n">
        <f aca="false">N21+O21+S21+U21+V21</f>
        <v>17.7</v>
      </c>
      <c r="Y21" s="111" t="n">
        <f aca="false">IF(L21&lt;0,L21*-1,0)</f>
        <v>3.61283085455004</v>
      </c>
      <c r="Z21" s="111" t="n">
        <f aca="false">X21+Y21</f>
        <v>21.31283085455</v>
      </c>
      <c r="AA21" s="161" t="n">
        <v>0</v>
      </c>
      <c r="AB21" s="117" t="n">
        <v>41</v>
      </c>
      <c r="AC21" s="167" t="n">
        <v>31</v>
      </c>
      <c r="AD21" s="118"/>
      <c r="AE21" s="208"/>
      <c r="AF21" s="211"/>
    </row>
    <row r="22" customFormat="false" ht="11.1" hidden="false" customHeight="true" outlineLevel="0" collapsed="false">
      <c r="A22" s="118" t="n">
        <f aca="false">A21+1</f>
        <v>11</v>
      </c>
      <c r="B22" s="168" t="n">
        <v>6858.62</v>
      </c>
      <c r="C22" s="112" t="n">
        <v>159952</v>
      </c>
      <c r="D22" s="117" t="n">
        <f aca="false">C22-C21</f>
        <v>135</v>
      </c>
      <c r="E22" s="112" t="n">
        <f aca="false">C22-152000</f>
        <v>7952</v>
      </c>
      <c r="F22" s="180" t="n">
        <f aca="false">D22/$D$2</f>
        <v>68.0615074363499</v>
      </c>
      <c r="G22" s="111" t="n">
        <v>27</v>
      </c>
      <c r="H22" s="116" t="n">
        <v>0</v>
      </c>
      <c r="I22" s="111" t="n">
        <f aca="false">G22+H22</f>
        <v>27</v>
      </c>
      <c r="J22" s="181" t="n">
        <f aca="false">IF(L22&gt;0,L22,0)</f>
        <v>58.7615074363499</v>
      </c>
      <c r="K22" s="111" t="n">
        <f aca="false">I22+J22</f>
        <v>85.7615074363499</v>
      </c>
      <c r="L22" s="111" t="n">
        <f aca="false">F22-(I22-X22)</f>
        <v>58.7615074363499</v>
      </c>
      <c r="M22" s="209" t="n">
        <v>3.7</v>
      </c>
      <c r="N22" s="111" t="n">
        <v>0</v>
      </c>
      <c r="O22" s="111" t="n">
        <v>0</v>
      </c>
      <c r="P22" s="90" t="n">
        <f aca="false">M22-(N22+O22)</f>
        <v>3.7</v>
      </c>
      <c r="Q22" s="111" t="n">
        <v>0</v>
      </c>
      <c r="R22" s="111" t="n">
        <v>0</v>
      </c>
      <c r="S22" s="111" t="n">
        <f aca="false">SUM(P22:R22)</f>
        <v>3.7</v>
      </c>
      <c r="T22" s="112"/>
      <c r="U22" s="111" t="n">
        <v>0</v>
      </c>
      <c r="V22" s="111" t="n">
        <v>14</v>
      </c>
      <c r="W22" s="112" t="n">
        <f aca="false">W21-V22</f>
        <v>1374.12</v>
      </c>
      <c r="X22" s="6" t="n">
        <f aca="false">N22+O22+S22+U22+V22</f>
        <v>17.7</v>
      </c>
      <c r="Y22" s="111" t="n">
        <f aca="false">IF(L22&lt;0,L22*-1,0)</f>
        <v>0</v>
      </c>
      <c r="Z22" s="111" t="n">
        <f aca="false">X22+Y22</f>
        <v>17.7</v>
      </c>
      <c r="AA22" s="161" t="n">
        <v>0.18</v>
      </c>
      <c r="AB22" s="117" t="n">
        <v>38</v>
      </c>
      <c r="AC22" s="167" t="n">
        <v>18</v>
      </c>
      <c r="AD22" s="118"/>
      <c r="AE22" s="208"/>
      <c r="AF22" s="211"/>
    </row>
    <row r="23" customFormat="false" ht="11.1" hidden="false" customHeight="true" outlineLevel="0" collapsed="false">
      <c r="A23" s="118" t="n">
        <f aca="false">A22+1</f>
        <v>12</v>
      </c>
      <c r="B23" s="168" t="n">
        <v>6858.64</v>
      </c>
      <c r="C23" s="112" t="n">
        <v>159997</v>
      </c>
      <c r="D23" s="117" t="n">
        <f aca="false">C23-C22</f>
        <v>45</v>
      </c>
      <c r="E23" s="112" t="n">
        <f aca="false">C23-152000</f>
        <v>7997</v>
      </c>
      <c r="F23" s="180" t="n">
        <f aca="false">D23/$D$2</f>
        <v>22.68716914545</v>
      </c>
      <c r="G23" s="111" t="n">
        <v>16</v>
      </c>
      <c r="H23" s="116" t="n">
        <v>0</v>
      </c>
      <c r="I23" s="111" t="n">
        <f aca="false">G23+H23</f>
        <v>16</v>
      </c>
      <c r="J23" s="181" t="n">
        <f aca="false">IF(L23&gt;0,L23,0)</f>
        <v>24.38716914545</v>
      </c>
      <c r="K23" s="111" t="n">
        <f aca="false">I23+J23</f>
        <v>40.38716914545</v>
      </c>
      <c r="L23" s="111" t="n">
        <f aca="false">F23-(I23-X23)</f>
        <v>24.38716914545</v>
      </c>
      <c r="M23" s="209" t="n">
        <v>3.7</v>
      </c>
      <c r="N23" s="111" t="n">
        <v>0</v>
      </c>
      <c r="O23" s="111" t="n">
        <v>0</v>
      </c>
      <c r="P23" s="90" t="n">
        <f aca="false">M23-(N23+O23)</f>
        <v>3.7</v>
      </c>
      <c r="Q23" s="111" t="n">
        <v>0</v>
      </c>
      <c r="R23" s="111" t="n">
        <v>0</v>
      </c>
      <c r="S23" s="111" t="n">
        <f aca="false">SUM(P23:R23)</f>
        <v>3.7</v>
      </c>
      <c r="T23" s="112"/>
      <c r="U23" s="111" t="n">
        <v>0</v>
      </c>
      <c r="V23" s="111" t="n">
        <v>14</v>
      </c>
      <c r="W23" s="112" t="n">
        <f aca="false">W22-V23</f>
        <v>1360.12</v>
      </c>
      <c r="X23" s="6" t="n">
        <f aca="false">N23+O23+S23+U23+V23</f>
        <v>17.7</v>
      </c>
      <c r="Y23" s="111" t="n">
        <f aca="false">IF(L23&lt;0,L23*-1,0)</f>
        <v>0</v>
      </c>
      <c r="Z23" s="111" t="n">
        <f aca="false">X23+Y23</f>
        <v>17.7</v>
      </c>
      <c r="AA23" s="161" t="n">
        <v>0</v>
      </c>
      <c r="AB23" s="117" t="n">
        <v>42</v>
      </c>
      <c r="AC23" s="167" t="n">
        <v>15</v>
      </c>
      <c r="AD23" s="118"/>
      <c r="AE23" s="208"/>
      <c r="AF23" s="211"/>
    </row>
    <row r="24" customFormat="false" ht="11.1" hidden="false" customHeight="true" outlineLevel="0" collapsed="false">
      <c r="A24" s="118" t="n">
        <v>13</v>
      </c>
      <c r="B24" s="168" t="n">
        <v>6858.65</v>
      </c>
      <c r="C24" s="112" t="n">
        <v>160019</v>
      </c>
      <c r="D24" s="117" t="n">
        <f aca="false">C24-C23</f>
        <v>22</v>
      </c>
      <c r="E24" s="112" t="n">
        <f aca="false">C24-152000</f>
        <v>8019</v>
      </c>
      <c r="F24" s="180" t="n">
        <f aca="false">D24/$D$2</f>
        <v>11.0915049155533</v>
      </c>
      <c r="G24" s="111" t="n">
        <v>25</v>
      </c>
      <c r="H24" s="116" t="n">
        <v>0</v>
      </c>
      <c r="I24" s="111" t="n">
        <f aca="false">G24+H24</f>
        <v>25</v>
      </c>
      <c r="J24" s="181" t="n">
        <f aca="false">IF(L24&gt;0,L24,0)</f>
        <v>4.19150491555332</v>
      </c>
      <c r="K24" s="111" t="n">
        <f aca="false">I24+J24</f>
        <v>29.1915049155533</v>
      </c>
      <c r="L24" s="111" t="n">
        <f aca="false">F24-(I24-X24)</f>
        <v>4.19150491555332</v>
      </c>
      <c r="M24" s="209" t="n">
        <v>4.1</v>
      </c>
      <c r="N24" s="111" t="n">
        <v>0</v>
      </c>
      <c r="O24" s="111" t="n">
        <v>0</v>
      </c>
      <c r="P24" s="90" t="n">
        <f aca="false">M24-(N24+O24)</f>
        <v>4.1</v>
      </c>
      <c r="Q24" s="111" t="n">
        <v>0</v>
      </c>
      <c r="R24" s="111" t="n">
        <v>0</v>
      </c>
      <c r="S24" s="111" t="n">
        <f aca="false">SUM(P24:R24)</f>
        <v>4.1</v>
      </c>
      <c r="T24" s="112"/>
      <c r="U24" s="111" t="n">
        <v>0</v>
      </c>
      <c r="V24" s="111" t="n">
        <v>14</v>
      </c>
      <c r="W24" s="112" t="n">
        <f aca="false">W23-V24</f>
        <v>1346.12</v>
      </c>
      <c r="X24" s="6" t="n">
        <f aca="false">N24+O24+S24+U24+V24</f>
        <v>18.1</v>
      </c>
      <c r="Y24" s="111" t="n">
        <f aca="false">IF(L24&lt;0,L24*-1,0)</f>
        <v>0</v>
      </c>
      <c r="Z24" s="111" t="n">
        <f aca="false">X24+Y24</f>
        <v>18.1</v>
      </c>
      <c r="AA24" s="161" t="n">
        <v>0</v>
      </c>
      <c r="AB24" s="117" t="n">
        <v>46</v>
      </c>
      <c r="AC24" s="167" t="n">
        <v>15</v>
      </c>
      <c r="AD24" s="118"/>
      <c r="AE24" s="208"/>
      <c r="AF24" s="211"/>
    </row>
    <row r="25" customFormat="false" ht="11.1" hidden="false" customHeight="true" outlineLevel="0" collapsed="false">
      <c r="A25" s="118" t="n">
        <f aca="false">A24+1</f>
        <v>14</v>
      </c>
      <c r="B25" s="168" t="n">
        <v>6858.66</v>
      </c>
      <c r="C25" s="112" t="n">
        <v>160041</v>
      </c>
      <c r="D25" s="117" t="n">
        <f aca="false">C25-C24</f>
        <v>22</v>
      </c>
      <c r="E25" s="112" t="n">
        <f aca="false">C25-152000</f>
        <v>8041</v>
      </c>
      <c r="F25" s="180" t="n">
        <f aca="false">D25/$D$2</f>
        <v>11.0915049155533</v>
      </c>
      <c r="G25" s="111" t="n">
        <v>36</v>
      </c>
      <c r="H25" s="116" t="n">
        <v>0</v>
      </c>
      <c r="I25" s="111" t="n">
        <f aca="false">G25+H25</f>
        <v>36</v>
      </c>
      <c r="J25" s="181" t="n">
        <f aca="false">IF(L25&gt;0,L25,0)</f>
        <v>0</v>
      </c>
      <c r="K25" s="111" t="n">
        <f aca="false">I25+J25</f>
        <v>36</v>
      </c>
      <c r="L25" s="111" t="n">
        <f aca="false">F25-(I25-X25)</f>
        <v>-6.10849508444668</v>
      </c>
      <c r="M25" s="209" t="n">
        <v>4.8</v>
      </c>
      <c r="N25" s="111" t="n">
        <v>0</v>
      </c>
      <c r="O25" s="111" t="n">
        <v>0</v>
      </c>
      <c r="P25" s="90" t="n">
        <f aca="false">M25-(N25+O25)</f>
        <v>4.8</v>
      </c>
      <c r="Q25" s="111" t="n">
        <v>0</v>
      </c>
      <c r="R25" s="111" t="n">
        <v>0</v>
      </c>
      <c r="S25" s="111" t="n">
        <f aca="false">SUM(P25:R25)</f>
        <v>4.8</v>
      </c>
      <c r="T25" s="112"/>
      <c r="U25" s="111" t="n">
        <v>0</v>
      </c>
      <c r="V25" s="111" t="n">
        <v>14</v>
      </c>
      <c r="W25" s="112" t="n">
        <f aca="false">W24-V25</f>
        <v>1332.12</v>
      </c>
      <c r="X25" s="6" t="n">
        <f aca="false">N25+O25+S25+U25+V25</f>
        <v>18.8</v>
      </c>
      <c r="Y25" s="111" t="n">
        <f aca="false">IF(L25&lt;0,L25*-1,0)</f>
        <v>6.10849508444668</v>
      </c>
      <c r="Z25" s="111" t="n">
        <f aca="false">X25+Y25</f>
        <v>24.9084950844467</v>
      </c>
      <c r="AA25" s="161" t="n">
        <v>0</v>
      </c>
      <c r="AB25" s="183" t="n">
        <v>50</v>
      </c>
      <c r="AC25" s="167" t="n">
        <v>22</v>
      </c>
      <c r="AD25" s="118"/>
      <c r="AE25" s="208"/>
      <c r="AF25" s="211"/>
    </row>
    <row r="26" customFormat="false" ht="11.1" hidden="false" customHeight="true" outlineLevel="0" collapsed="false">
      <c r="A26" s="118" t="n">
        <f aca="false">A25+1</f>
        <v>15</v>
      </c>
      <c r="B26" s="168" t="n">
        <v>6858.67</v>
      </c>
      <c r="C26" s="112" t="n">
        <v>160064</v>
      </c>
      <c r="D26" s="117" t="n">
        <f aca="false">C26-C25</f>
        <v>23</v>
      </c>
      <c r="E26" s="112" t="n">
        <f aca="false">C26-152000</f>
        <v>8064</v>
      </c>
      <c r="F26" s="180" t="n">
        <f aca="false">D26/$D$2</f>
        <v>11.5956642298966</v>
      </c>
      <c r="G26" s="111" t="n">
        <v>41</v>
      </c>
      <c r="H26" s="116" t="n">
        <v>0</v>
      </c>
      <c r="I26" s="111" t="n">
        <f aca="false">G26+H26</f>
        <v>41</v>
      </c>
      <c r="J26" s="181" t="n">
        <f aca="false">IF(L26&gt;0,L26,0)</f>
        <v>0</v>
      </c>
      <c r="K26" s="111" t="n">
        <f aca="false">I26+J26</f>
        <v>41</v>
      </c>
      <c r="L26" s="111" t="n">
        <f aca="false">F26-(I26-X26)</f>
        <v>-11.9043357701034</v>
      </c>
      <c r="M26" s="209" t="n">
        <v>3.5</v>
      </c>
      <c r="N26" s="111" t="n">
        <v>0</v>
      </c>
      <c r="O26" s="111" t="n">
        <v>0</v>
      </c>
      <c r="P26" s="90" t="n">
        <f aca="false">M26-(N26+O26)</f>
        <v>3.5</v>
      </c>
      <c r="Q26" s="111" t="n">
        <v>0</v>
      </c>
      <c r="R26" s="111" t="n">
        <v>0</v>
      </c>
      <c r="S26" s="111" t="n">
        <f aca="false">SUM(P26:R26)</f>
        <v>3.5</v>
      </c>
      <c r="T26" s="112"/>
      <c r="U26" s="111" t="n">
        <v>0</v>
      </c>
      <c r="V26" s="111" t="n">
        <v>14</v>
      </c>
      <c r="W26" s="112" t="n">
        <f aca="false">W25-V26</f>
        <v>1318.12</v>
      </c>
      <c r="X26" s="6" t="n">
        <f aca="false">N26+O26+S26+U26+V26</f>
        <v>17.5</v>
      </c>
      <c r="Y26" s="111" t="n">
        <f aca="false">IF(L26&lt;0,L26*-1,0)</f>
        <v>11.9043357701034</v>
      </c>
      <c r="Z26" s="111" t="n">
        <f aca="false">X26+Y26</f>
        <v>29.4043357701034</v>
      </c>
      <c r="AA26" s="161" t="n">
        <v>0</v>
      </c>
      <c r="AB26" s="183" t="n">
        <v>44</v>
      </c>
      <c r="AC26" s="167" t="n">
        <v>24</v>
      </c>
      <c r="AD26" s="118"/>
      <c r="AE26" s="208"/>
      <c r="AF26" s="211"/>
    </row>
    <row r="27" customFormat="false" ht="11.1" hidden="false" customHeight="true" outlineLevel="0" collapsed="false">
      <c r="A27" s="118" t="n">
        <f aca="false">A26+1</f>
        <v>16</v>
      </c>
      <c r="B27" s="168" t="n">
        <v>6858.68</v>
      </c>
      <c r="C27" s="112" t="n">
        <v>160086</v>
      </c>
      <c r="D27" s="117" t="n">
        <f aca="false">C27-C26</f>
        <v>22</v>
      </c>
      <c r="E27" s="112" t="n">
        <f aca="false">C27-152000</f>
        <v>8086</v>
      </c>
      <c r="F27" s="180" t="n">
        <f aca="false">D27/$D$2</f>
        <v>11.0915049155533</v>
      </c>
      <c r="G27" s="111" t="n">
        <v>34</v>
      </c>
      <c r="H27" s="116" t="n">
        <v>0</v>
      </c>
      <c r="I27" s="111" t="n">
        <f aca="false">G27+H27</f>
        <v>34</v>
      </c>
      <c r="J27" s="181" t="n">
        <f aca="false">IF(L27&gt;0,L27,0)</f>
        <v>0</v>
      </c>
      <c r="K27" s="111" t="n">
        <f aca="false">I27+J27</f>
        <v>34</v>
      </c>
      <c r="L27" s="111" t="n">
        <f aca="false">F27-(I27-X27)</f>
        <v>-5.20849508444669</v>
      </c>
      <c r="M27" s="209" t="n">
        <v>3.7</v>
      </c>
      <c r="N27" s="111" t="n">
        <v>0</v>
      </c>
      <c r="O27" s="111" t="n">
        <v>0</v>
      </c>
      <c r="P27" s="90" t="n">
        <f aca="false">M27-(N27+O27)</f>
        <v>3.7</v>
      </c>
      <c r="Q27" s="111" t="n">
        <v>0</v>
      </c>
      <c r="R27" s="111" t="n">
        <v>0</v>
      </c>
      <c r="S27" s="111" t="n">
        <f aca="false">SUM(P27:R27)</f>
        <v>3.7</v>
      </c>
      <c r="T27" s="112"/>
      <c r="U27" s="111" t="n">
        <v>0</v>
      </c>
      <c r="V27" s="111" t="n">
        <v>14</v>
      </c>
      <c r="W27" s="112" t="n">
        <f aca="false">W26-V27</f>
        <v>1304.12</v>
      </c>
      <c r="X27" s="6" t="n">
        <f aca="false">N27+O27+S27+U27+V27</f>
        <v>17.7</v>
      </c>
      <c r="Y27" s="111" t="n">
        <f aca="false">IF(L27&lt;0,L27*-1,0)</f>
        <v>5.20849508444669</v>
      </c>
      <c r="Z27" s="111" t="n">
        <f aca="false">X27+Y27</f>
        <v>22.9084950844467</v>
      </c>
      <c r="AA27" s="161" t="n">
        <v>0</v>
      </c>
      <c r="AB27" s="183" t="n">
        <v>46</v>
      </c>
      <c r="AC27" s="167" t="n">
        <v>20</v>
      </c>
      <c r="AD27" s="118"/>
      <c r="AE27" s="208"/>
      <c r="AF27" s="0"/>
    </row>
    <row r="28" customFormat="false" ht="11.1" hidden="false" customHeight="true" outlineLevel="0" collapsed="false">
      <c r="A28" s="118" t="n">
        <f aca="false">A27+1</f>
        <v>17</v>
      </c>
      <c r="B28" s="168" t="n">
        <v>6858.69</v>
      </c>
      <c r="C28" s="112" t="n">
        <v>160109</v>
      </c>
      <c r="D28" s="117" t="n">
        <f aca="false">C28-C27</f>
        <v>23</v>
      </c>
      <c r="E28" s="112" t="n">
        <f aca="false">C28-152000</f>
        <v>8109</v>
      </c>
      <c r="F28" s="180" t="n">
        <f aca="false">D28/$D$2</f>
        <v>11.5956642298966</v>
      </c>
      <c r="G28" s="111" t="n">
        <v>32</v>
      </c>
      <c r="H28" s="116" t="n">
        <v>0</v>
      </c>
      <c r="I28" s="111" t="n">
        <f aca="false">G28+H28</f>
        <v>32</v>
      </c>
      <c r="J28" s="181" t="n">
        <f aca="false">IF(L28&gt;0,L28,0)</f>
        <v>0</v>
      </c>
      <c r="K28" s="111" t="n">
        <f aca="false">I28+J28</f>
        <v>32</v>
      </c>
      <c r="L28" s="111" t="n">
        <f aca="false">F28-(I28-X28)</f>
        <v>-1.10433577010335</v>
      </c>
      <c r="M28" s="209" t="n">
        <v>5.3</v>
      </c>
      <c r="N28" s="111" t="n">
        <v>0</v>
      </c>
      <c r="O28" s="111" t="n">
        <v>0</v>
      </c>
      <c r="P28" s="90" t="n">
        <f aca="false">M28-(N28+O28)</f>
        <v>5.3</v>
      </c>
      <c r="Q28" s="111" t="n">
        <v>0</v>
      </c>
      <c r="R28" s="111" t="n">
        <v>0</v>
      </c>
      <c r="S28" s="111" t="n">
        <f aca="false">SUM(P28:R28)</f>
        <v>5.3</v>
      </c>
      <c r="T28" s="112"/>
      <c r="U28" s="111" t="n">
        <v>0</v>
      </c>
      <c r="V28" s="111" t="n">
        <v>14</v>
      </c>
      <c r="W28" s="112" t="n">
        <f aca="false">W27-V28</f>
        <v>1290.12</v>
      </c>
      <c r="X28" s="6" t="n">
        <f aca="false">N28+O28+S28+U28+V28</f>
        <v>19.3</v>
      </c>
      <c r="Y28" s="111" t="n">
        <f aca="false">IF(L28&lt;0,L28*-1,0)</f>
        <v>1.10433577010335</v>
      </c>
      <c r="Z28" s="111" t="n">
        <f aca="false">X28+Y28</f>
        <v>20.4043357701034</v>
      </c>
      <c r="AA28" s="161" t="n">
        <v>0</v>
      </c>
      <c r="AB28" s="183" t="n">
        <v>45</v>
      </c>
      <c r="AC28" s="167" t="n">
        <v>22</v>
      </c>
      <c r="AD28" s="118"/>
      <c r="AE28" s="208"/>
      <c r="AF28" s="211"/>
    </row>
    <row r="29" customFormat="false" ht="11.1" hidden="false" customHeight="true" outlineLevel="0" collapsed="false">
      <c r="A29" s="118" t="n">
        <f aca="false">A28+1</f>
        <v>18</v>
      </c>
      <c r="B29" s="168" t="n">
        <v>6858.7</v>
      </c>
      <c r="C29" s="112" t="n">
        <v>160131</v>
      </c>
      <c r="D29" s="117" t="n">
        <f aca="false">C29-C28</f>
        <v>22</v>
      </c>
      <c r="E29" s="112" t="n">
        <f aca="false">C29-152000</f>
        <v>8131</v>
      </c>
      <c r="F29" s="180" t="n">
        <f aca="false">D29/$D$2</f>
        <v>11.0915049155533</v>
      </c>
      <c r="G29" s="111" t="n">
        <v>20</v>
      </c>
      <c r="H29" s="116" t="n">
        <v>0</v>
      </c>
      <c r="I29" s="111" t="n">
        <f aca="false">G29+H29</f>
        <v>20</v>
      </c>
      <c r="J29" s="181" t="n">
        <f aca="false">IF(L29&gt;0,L29,0)</f>
        <v>12.5915049155533</v>
      </c>
      <c r="K29" s="111" t="n">
        <f aca="false">I29+J29</f>
        <v>32.5915049155533</v>
      </c>
      <c r="L29" s="111" t="n">
        <f aca="false">F29-(I29-X29)</f>
        <v>12.5915049155533</v>
      </c>
      <c r="M29" s="209" t="n">
        <v>7.5</v>
      </c>
      <c r="N29" s="111" t="n">
        <v>0</v>
      </c>
      <c r="O29" s="111" t="n">
        <v>0</v>
      </c>
      <c r="P29" s="90" t="n">
        <f aca="false">M29-(N29+O29)</f>
        <v>7.5</v>
      </c>
      <c r="Q29" s="111" t="n">
        <v>0</v>
      </c>
      <c r="R29" s="111" t="n">
        <v>0</v>
      </c>
      <c r="S29" s="111" t="n">
        <f aca="false">SUM(P29:R29)</f>
        <v>7.5</v>
      </c>
      <c r="T29" s="112"/>
      <c r="U29" s="111" t="n">
        <v>0</v>
      </c>
      <c r="V29" s="111" t="n">
        <v>14</v>
      </c>
      <c r="W29" s="112" t="n">
        <f aca="false">W28-V29</f>
        <v>1276.12</v>
      </c>
      <c r="X29" s="6" t="n">
        <f aca="false">N29+O29+S29+U29+V29</f>
        <v>21.5</v>
      </c>
      <c r="Y29" s="111" t="n">
        <f aca="false">IF(L29&lt;0,L29*-1,0)</f>
        <v>0</v>
      </c>
      <c r="Z29" s="111" t="n">
        <f aca="false">X29+Y29</f>
        <v>21.5</v>
      </c>
      <c r="AA29" s="161" t="n">
        <v>0</v>
      </c>
      <c r="AB29" s="183" t="n">
        <v>47</v>
      </c>
      <c r="AC29" s="167" t="n">
        <v>18</v>
      </c>
      <c r="AD29" s="118"/>
      <c r="AE29" s="208"/>
      <c r="AF29" s="211"/>
    </row>
    <row r="30" customFormat="false" ht="11.1" hidden="false" customHeight="true" outlineLevel="0" collapsed="false">
      <c r="A30" s="118" t="n">
        <f aca="false">A29+1</f>
        <v>19</v>
      </c>
      <c r="B30" s="168" t="n">
        <v>6858.72</v>
      </c>
      <c r="C30" s="112" t="n">
        <v>160176</v>
      </c>
      <c r="D30" s="117" t="n">
        <f aca="false">C30-C29</f>
        <v>45</v>
      </c>
      <c r="E30" s="112" t="n">
        <f aca="false">C30-152000</f>
        <v>8176</v>
      </c>
      <c r="F30" s="180" t="n">
        <f aca="false">D30/$D$2</f>
        <v>22.68716914545</v>
      </c>
      <c r="G30" s="111" t="n">
        <v>21</v>
      </c>
      <c r="H30" s="116" t="n">
        <v>0</v>
      </c>
      <c r="I30" s="111" t="n">
        <f aca="false">G30+H30</f>
        <v>21</v>
      </c>
      <c r="J30" s="181" t="n">
        <f aca="false">IF(L30&gt;0,L30,0)</f>
        <v>23.18716914545</v>
      </c>
      <c r="K30" s="111" t="n">
        <f aca="false">I30+J30</f>
        <v>44.18716914545</v>
      </c>
      <c r="L30" s="111" t="n">
        <f aca="false">F30-(I30-X30)</f>
        <v>23.18716914545</v>
      </c>
      <c r="M30" s="209" t="n">
        <v>7.5</v>
      </c>
      <c r="N30" s="111" t="n">
        <v>0</v>
      </c>
      <c r="O30" s="111" t="n">
        <v>0</v>
      </c>
      <c r="P30" s="90" t="n">
        <f aca="false">M30-(N30+O30)</f>
        <v>7.5</v>
      </c>
      <c r="Q30" s="111" t="n">
        <v>0</v>
      </c>
      <c r="R30" s="111" t="n">
        <v>0</v>
      </c>
      <c r="S30" s="111" t="n">
        <f aca="false">SUM(P30:R30)</f>
        <v>7.5</v>
      </c>
      <c r="T30" s="112"/>
      <c r="U30" s="111" t="n">
        <v>0</v>
      </c>
      <c r="V30" s="111" t="n">
        <v>14</v>
      </c>
      <c r="W30" s="112" t="n">
        <f aca="false">W29-V30</f>
        <v>1262.12</v>
      </c>
      <c r="X30" s="6" t="n">
        <f aca="false">N30+O30+S30+U30+V30</f>
        <v>21.5</v>
      </c>
      <c r="Y30" s="111" t="n">
        <f aca="false">IF(L30&lt;0,L30*-1,0)</f>
        <v>0</v>
      </c>
      <c r="Z30" s="111" t="n">
        <f aca="false">X30+Y30</f>
        <v>21.5</v>
      </c>
      <c r="AA30" s="161" t="n">
        <v>0</v>
      </c>
      <c r="AB30" s="183" t="n">
        <v>50</v>
      </c>
      <c r="AC30" s="167" t="n">
        <v>20</v>
      </c>
      <c r="AD30" s="118"/>
      <c r="AE30" s="208"/>
      <c r="AF30" s="211"/>
    </row>
    <row r="31" customFormat="false" ht="11.1" hidden="false" customHeight="true" outlineLevel="0" collapsed="false">
      <c r="A31" s="118" t="n">
        <f aca="false">A30+1</f>
        <v>20</v>
      </c>
      <c r="B31" s="168" t="n">
        <v>6858.74</v>
      </c>
      <c r="C31" s="112" t="n">
        <v>160221</v>
      </c>
      <c r="D31" s="117" t="n">
        <f aca="false">C31-C30</f>
        <v>45</v>
      </c>
      <c r="E31" s="112" t="n">
        <f aca="false">C31-152000</f>
        <v>8221</v>
      </c>
      <c r="F31" s="180" t="n">
        <f aca="false">D31/$D$2</f>
        <v>22.68716914545</v>
      </c>
      <c r="G31" s="111" t="n">
        <v>21</v>
      </c>
      <c r="H31" s="116" t="n">
        <v>0</v>
      </c>
      <c r="I31" s="111" t="n">
        <f aca="false">G31+H31</f>
        <v>21</v>
      </c>
      <c r="J31" s="181" t="n">
        <f aca="false">IF(L31&gt;0,L31,0)</f>
        <v>24.38716914545</v>
      </c>
      <c r="K31" s="111" t="n">
        <f aca="false">I31+J31</f>
        <v>45.38716914545</v>
      </c>
      <c r="L31" s="111" t="n">
        <f aca="false">F31-(I31-X31)</f>
        <v>24.38716914545</v>
      </c>
      <c r="M31" s="209" t="n">
        <v>8.7</v>
      </c>
      <c r="N31" s="111" t="n">
        <v>0</v>
      </c>
      <c r="O31" s="111" t="n">
        <v>0</v>
      </c>
      <c r="P31" s="90" t="n">
        <f aca="false">M31-(N31+O31)</f>
        <v>8.7</v>
      </c>
      <c r="Q31" s="111" t="n">
        <v>0</v>
      </c>
      <c r="R31" s="111" t="n">
        <v>0</v>
      </c>
      <c r="S31" s="111" t="n">
        <f aca="false">SUM(P31:R31)</f>
        <v>8.7</v>
      </c>
      <c r="T31" s="112"/>
      <c r="U31" s="111" t="n">
        <v>0</v>
      </c>
      <c r="V31" s="111" t="n">
        <v>14</v>
      </c>
      <c r="W31" s="112" t="n">
        <f aca="false">W30-V31</f>
        <v>1248.12</v>
      </c>
      <c r="X31" s="6" t="n">
        <f aca="false">N31+O31+S31+U31+V31</f>
        <v>22.7</v>
      </c>
      <c r="Y31" s="111" t="n">
        <f aca="false">IF(L31&lt;0,L31*-1,0)</f>
        <v>0</v>
      </c>
      <c r="Z31" s="111" t="n">
        <f aca="false">X31+Y31</f>
        <v>22.7</v>
      </c>
      <c r="AA31" s="161" t="n">
        <v>0</v>
      </c>
      <c r="AB31" s="183" t="n">
        <v>51</v>
      </c>
      <c r="AC31" s="167" t="n">
        <v>24</v>
      </c>
      <c r="AD31" s="118"/>
      <c r="AE31" s="208"/>
      <c r="AF31" s="211"/>
    </row>
    <row r="32" customFormat="false" ht="11.1" hidden="false" customHeight="true" outlineLevel="0" collapsed="false">
      <c r="A32" s="118" t="n">
        <f aca="false">A31+1</f>
        <v>21</v>
      </c>
      <c r="B32" s="168" t="n">
        <v>6858.75</v>
      </c>
      <c r="C32" s="112" t="n">
        <v>160243</v>
      </c>
      <c r="D32" s="117" t="n">
        <f aca="false">C32-C31</f>
        <v>22</v>
      </c>
      <c r="E32" s="112" t="n">
        <f aca="false">C32-152000</f>
        <v>8243</v>
      </c>
      <c r="F32" s="180" t="n">
        <f aca="false">D32/$D$2</f>
        <v>11.0915049155533</v>
      </c>
      <c r="G32" s="111" t="n">
        <v>30</v>
      </c>
      <c r="H32" s="116" t="n">
        <v>0</v>
      </c>
      <c r="I32" s="111" t="n">
        <f aca="false">G32+H32</f>
        <v>30</v>
      </c>
      <c r="J32" s="181" t="n">
        <f aca="false">IF(L32&gt;0,L32,0)</f>
        <v>5.99150491555331</v>
      </c>
      <c r="K32" s="111" t="n">
        <f aca="false">I32+J32</f>
        <v>35.9915049155533</v>
      </c>
      <c r="L32" s="111" t="n">
        <f aca="false">F32-(I32-X32)</f>
        <v>5.99150491555331</v>
      </c>
      <c r="M32" s="209" t="n">
        <v>9.9</v>
      </c>
      <c r="N32" s="111" t="n">
        <v>0</v>
      </c>
      <c r="O32" s="111" t="n">
        <v>0</v>
      </c>
      <c r="P32" s="90" t="n">
        <f aca="false">M32-(N32+O32)</f>
        <v>9.9</v>
      </c>
      <c r="Q32" s="111" t="n">
        <v>0</v>
      </c>
      <c r="R32" s="111" t="n">
        <v>0</v>
      </c>
      <c r="S32" s="111" t="n">
        <f aca="false">SUM(P32:R32)</f>
        <v>9.9</v>
      </c>
      <c r="T32" s="112"/>
      <c r="U32" s="111" t="n">
        <v>0</v>
      </c>
      <c r="V32" s="111" t="n">
        <v>15</v>
      </c>
      <c r="W32" s="112" t="n">
        <f aca="false">W31-V32</f>
        <v>1233.12</v>
      </c>
      <c r="X32" s="6" t="n">
        <f aca="false">N32+O32+S32+U32+V32</f>
        <v>24.9</v>
      </c>
      <c r="Y32" s="111" t="n">
        <f aca="false">IF(L32&lt;0,L32*-1,0)</f>
        <v>0</v>
      </c>
      <c r="Z32" s="111" t="n">
        <f aca="false">X32+Y32</f>
        <v>24.9</v>
      </c>
      <c r="AA32" s="161" t="n">
        <v>0</v>
      </c>
      <c r="AB32" s="117" t="n">
        <v>49</v>
      </c>
      <c r="AC32" s="167" t="n">
        <v>23</v>
      </c>
      <c r="AD32" s="118"/>
      <c r="AE32" s="208"/>
      <c r="AF32" s="211"/>
    </row>
    <row r="33" customFormat="false" ht="11.1" hidden="false" customHeight="true" outlineLevel="0" collapsed="false">
      <c r="A33" s="118" t="n">
        <f aca="false">A32+1</f>
        <v>22</v>
      </c>
      <c r="B33" s="168" t="n">
        <v>6858.76</v>
      </c>
      <c r="C33" s="112" t="n">
        <v>160265</v>
      </c>
      <c r="D33" s="117" t="n">
        <f aca="false">C33-C32</f>
        <v>22</v>
      </c>
      <c r="E33" s="112" t="n">
        <f aca="false">C33-152000</f>
        <v>8265</v>
      </c>
      <c r="F33" s="180" t="n">
        <f aca="false">D33/$D$2</f>
        <v>11.0915049155533</v>
      </c>
      <c r="G33" s="111" t="n">
        <v>37</v>
      </c>
      <c r="H33" s="116" t="n">
        <v>0</v>
      </c>
      <c r="I33" s="111" t="n">
        <f aca="false">G33+H33</f>
        <v>37</v>
      </c>
      <c r="J33" s="181" t="n">
        <f aca="false">IF(L33&gt;0,L33,0)</f>
        <v>0</v>
      </c>
      <c r="K33" s="111" t="n">
        <f aca="false">I33+J33</f>
        <v>37</v>
      </c>
      <c r="L33" s="111" t="n">
        <f aca="false">F33-(I33-X33)</f>
        <v>-3.40849508444668</v>
      </c>
      <c r="M33" s="209" t="n">
        <v>8.5</v>
      </c>
      <c r="N33" s="111" t="n">
        <v>0</v>
      </c>
      <c r="O33" s="111" t="n">
        <v>0</v>
      </c>
      <c r="P33" s="90" t="n">
        <f aca="false">M33-(N33+O33)</f>
        <v>8.5</v>
      </c>
      <c r="Q33" s="111" t="n">
        <v>0</v>
      </c>
      <c r="R33" s="111" t="n">
        <v>0</v>
      </c>
      <c r="S33" s="111" t="n">
        <f aca="false">SUM(P33:R33)</f>
        <v>8.5</v>
      </c>
      <c r="T33" s="112"/>
      <c r="U33" s="111" t="n">
        <v>0</v>
      </c>
      <c r="V33" s="111" t="n">
        <v>14</v>
      </c>
      <c r="W33" s="112" t="n">
        <f aca="false">W32-V33</f>
        <v>1219.12</v>
      </c>
      <c r="X33" s="6" t="n">
        <f aca="false">N33+O33+S33+U33+V33</f>
        <v>22.5</v>
      </c>
      <c r="Y33" s="111" t="n">
        <f aca="false">IF(L33&lt;0,L33*-1,0)</f>
        <v>3.40849508444668</v>
      </c>
      <c r="Z33" s="111" t="n">
        <f aca="false">X33+Y33</f>
        <v>25.9084950844467</v>
      </c>
      <c r="AA33" s="161" t="n">
        <v>0</v>
      </c>
      <c r="AB33" s="117" t="n">
        <v>48</v>
      </c>
      <c r="AC33" s="167" t="n">
        <v>24</v>
      </c>
      <c r="AD33" s="118"/>
      <c r="AE33" s="208"/>
      <c r="AF33" s="211"/>
    </row>
    <row r="34" customFormat="false" ht="11.1" hidden="false" customHeight="true" outlineLevel="0" collapsed="false">
      <c r="A34" s="118" t="n">
        <f aca="false">A33+1</f>
        <v>23</v>
      </c>
      <c r="B34" s="168" t="n">
        <v>6858.78</v>
      </c>
      <c r="C34" s="112" t="n">
        <v>160310</v>
      </c>
      <c r="D34" s="117" t="n">
        <f aca="false">C34-C33</f>
        <v>45</v>
      </c>
      <c r="E34" s="112" t="n">
        <f aca="false">C34-152000</f>
        <v>8310</v>
      </c>
      <c r="F34" s="180" t="n">
        <f aca="false">D34/$D$2</f>
        <v>22.68716914545</v>
      </c>
      <c r="G34" s="111" t="n">
        <v>35</v>
      </c>
      <c r="H34" s="116" t="n">
        <v>0</v>
      </c>
      <c r="I34" s="111" t="n">
        <f aca="false">G34+H34</f>
        <v>35</v>
      </c>
      <c r="J34" s="181" t="n">
        <f aca="false">IF(L34&gt;0,L34,0)</f>
        <v>10.08716914545</v>
      </c>
      <c r="K34" s="111" t="n">
        <f aca="false">I34+J34</f>
        <v>45.08716914545</v>
      </c>
      <c r="L34" s="111" t="n">
        <f aca="false">F34-(I34-X34)</f>
        <v>10.08716914545</v>
      </c>
      <c r="M34" s="209" t="n">
        <v>8.4</v>
      </c>
      <c r="N34" s="111" t="n">
        <v>0</v>
      </c>
      <c r="O34" s="111" t="n">
        <v>0</v>
      </c>
      <c r="P34" s="90" t="n">
        <f aca="false">M34-(N34+O34)</f>
        <v>8.4</v>
      </c>
      <c r="Q34" s="111" t="n">
        <v>0</v>
      </c>
      <c r="R34" s="111" t="n">
        <v>0</v>
      </c>
      <c r="S34" s="111" t="n">
        <f aca="false">SUM(P34:R34)</f>
        <v>8.4</v>
      </c>
      <c r="T34" s="112"/>
      <c r="U34" s="111" t="n">
        <v>0</v>
      </c>
      <c r="V34" s="111" t="n">
        <v>14</v>
      </c>
      <c r="W34" s="112" t="n">
        <f aca="false">W33-V34</f>
        <v>1205.12</v>
      </c>
      <c r="X34" s="6" t="n">
        <f aca="false">N34+O34+S34+U34+V34</f>
        <v>22.4</v>
      </c>
      <c r="Y34" s="111" t="n">
        <f aca="false">IF(L34&lt;0,L34*-1,0)</f>
        <v>0</v>
      </c>
      <c r="Z34" s="111" t="n">
        <f aca="false">X34+Y34</f>
        <v>22.4</v>
      </c>
      <c r="AA34" s="161" t="n">
        <v>0</v>
      </c>
      <c r="AB34" s="117" t="n">
        <v>53</v>
      </c>
      <c r="AC34" s="184" t="n">
        <v>26</v>
      </c>
      <c r="AD34" s="118"/>
      <c r="AE34" s="208"/>
      <c r="AF34" s="211"/>
    </row>
    <row r="35" customFormat="false" ht="11.1" hidden="false" customHeight="true" outlineLevel="0" collapsed="false">
      <c r="A35" s="118" t="n">
        <f aca="false">A34+1</f>
        <v>24</v>
      </c>
      <c r="B35" s="168" t="n">
        <v>6858.8</v>
      </c>
      <c r="C35" s="112" t="n">
        <v>160355</v>
      </c>
      <c r="D35" s="117" t="n">
        <f aca="false">C35-C34</f>
        <v>45</v>
      </c>
      <c r="E35" s="112" t="n">
        <f aca="false">C35-152000</f>
        <v>8355</v>
      </c>
      <c r="F35" s="180" t="n">
        <f aca="false">D35/$D$2</f>
        <v>22.68716914545</v>
      </c>
      <c r="G35" s="111" t="n">
        <v>35</v>
      </c>
      <c r="H35" s="116" t="n">
        <v>0</v>
      </c>
      <c r="I35" s="111" t="n">
        <f aca="false">G35+H35</f>
        <v>35</v>
      </c>
      <c r="J35" s="181" t="n">
        <f aca="false">IF(L35&gt;0,L35,0)</f>
        <v>10.98716914545</v>
      </c>
      <c r="K35" s="111" t="n">
        <f aca="false">I35+J35</f>
        <v>45.98716914545</v>
      </c>
      <c r="L35" s="111" t="n">
        <f aca="false">F35-(I35-X35)</f>
        <v>10.98716914545</v>
      </c>
      <c r="M35" s="209" t="n">
        <v>9.3</v>
      </c>
      <c r="N35" s="111" t="n">
        <v>0</v>
      </c>
      <c r="O35" s="111" t="n">
        <v>0</v>
      </c>
      <c r="P35" s="90" t="n">
        <f aca="false">M35-(N35+O35)</f>
        <v>9.3</v>
      </c>
      <c r="Q35" s="111" t="n">
        <v>0</v>
      </c>
      <c r="R35" s="111" t="n">
        <v>0</v>
      </c>
      <c r="S35" s="111" t="n">
        <f aca="false">SUM(P35:R35)</f>
        <v>9.3</v>
      </c>
      <c r="T35" s="112"/>
      <c r="U35" s="111" t="n">
        <v>0</v>
      </c>
      <c r="V35" s="111" t="n">
        <v>14</v>
      </c>
      <c r="W35" s="112" t="n">
        <f aca="false">W34-V35</f>
        <v>1191.12</v>
      </c>
      <c r="X35" s="6" t="n">
        <f aca="false">N35+O35+S35+U35+V35</f>
        <v>23.3</v>
      </c>
      <c r="Y35" s="111" t="n">
        <f aca="false">IF(L35&lt;0,L35*-1,0)</f>
        <v>0</v>
      </c>
      <c r="Z35" s="111" t="n">
        <f aca="false">X35+Y35</f>
        <v>23.3</v>
      </c>
      <c r="AA35" s="161" t="n">
        <v>0</v>
      </c>
      <c r="AB35" s="117" t="n">
        <v>52</v>
      </c>
      <c r="AC35" s="184" t="n">
        <v>27</v>
      </c>
      <c r="AD35" s="118"/>
      <c r="AE35" s="208"/>
      <c r="AF35" s="211"/>
    </row>
    <row r="36" customFormat="false" ht="11.1" hidden="false" customHeight="true" outlineLevel="0" collapsed="false">
      <c r="A36" s="118" t="n">
        <f aca="false">A35+1</f>
        <v>25</v>
      </c>
      <c r="B36" s="168" t="n">
        <v>6858.81</v>
      </c>
      <c r="C36" s="112" t="n">
        <v>160377</v>
      </c>
      <c r="D36" s="117" t="n">
        <f aca="false">C36-C35</f>
        <v>22</v>
      </c>
      <c r="E36" s="112" t="n">
        <f aca="false">C36-152000</f>
        <v>8377</v>
      </c>
      <c r="F36" s="180" t="n">
        <f aca="false">D36/$D$2</f>
        <v>11.0915049155533</v>
      </c>
      <c r="G36" s="111" t="n">
        <v>34</v>
      </c>
      <c r="H36" s="116" t="n">
        <v>0</v>
      </c>
      <c r="I36" s="111" t="n">
        <f aca="false">G36+H36</f>
        <v>34</v>
      </c>
      <c r="J36" s="181" t="n">
        <f aca="false">IF(L36&gt;0,L36,0)</f>
        <v>0</v>
      </c>
      <c r="K36" s="111" t="n">
        <f aca="false">I36+J36</f>
        <v>34</v>
      </c>
      <c r="L36" s="111" t="n">
        <f aca="false">F36-(I36-X36)</f>
        <v>-0.908495084446685</v>
      </c>
      <c r="M36" s="209" t="n">
        <v>8</v>
      </c>
      <c r="N36" s="111" t="n">
        <v>0</v>
      </c>
      <c r="O36" s="111" t="n">
        <v>0</v>
      </c>
      <c r="P36" s="90" t="n">
        <f aca="false">M36-(N36+O36)</f>
        <v>8</v>
      </c>
      <c r="Q36" s="111" t="n">
        <v>0</v>
      </c>
      <c r="R36" s="111" t="n">
        <v>0</v>
      </c>
      <c r="S36" s="111" t="n">
        <f aca="false">SUM(P36:R36)</f>
        <v>8</v>
      </c>
      <c r="T36" s="112"/>
      <c r="U36" s="111" t="n">
        <v>0</v>
      </c>
      <c r="V36" s="111" t="n">
        <v>14</v>
      </c>
      <c r="W36" s="112" t="n">
        <f aca="false">W35-V36</f>
        <v>1177.12</v>
      </c>
      <c r="X36" s="6" t="n">
        <f aca="false">N36+O36+S36+U36+V36</f>
        <v>22</v>
      </c>
      <c r="Y36" s="111" t="n">
        <f aca="false">IF(L36&lt;0,L36*-1,0)</f>
        <v>0.908495084446685</v>
      </c>
      <c r="Z36" s="111" t="n">
        <f aca="false">X36+Y36</f>
        <v>22.9084950844467</v>
      </c>
      <c r="AA36" s="161" t="n">
        <v>0</v>
      </c>
      <c r="AB36" s="117" t="n">
        <v>47</v>
      </c>
      <c r="AC36" s="184" t="n">
        <v>29</v>
      </c>
      <c r="AD36" s="118"/>
      <c r="AE36" s="208"/>
      <c r="AF36" s="211"/>
    </row>
    <row r="37" customFormat="false" ht="11.1" hidden="false" customHeight="true" outlineLevel="0" collapsed="false">
      <c r="A37" s="118" t="n">
        <f aca="false">A36+1</f>
        <v>26</v>
      </c>
      <c r="B37" s="168" t="n">
        <v>6858.82</v>
      </c>
      <c r="C37" s="112" t="n">
        <v>160400</v>
      </c>
      <c r="D37" s="117" t="n">
        <f aca="false">C37-C36</f>
        <v>23</v>
      </c>
      <c r="E37" s="112" t="n">
        <f aca="false">C37-152000</f>
        <v>8400</v>
      </c>
      <c r="F37" s="180" t="n">
        <f aca="false">D37/$D$2</f>
        <v>11.5956642298966</v>
      </c>
      <c r="G37" s="111" t="n">
        <v>34</v>
      </c>
      <c r="H37" s="116" t="n">
        <v>0.26</v>
      </c>
      <c r="I37" s="111" t="n">
        <f aca="false">G37+H37</f>
        <v>34.26</v>
      </c>
      <c r="J37" s="181" t="n">
        <f aca="false">IF(L37&gt;0,L37,0)</f>
        <v>0</v>
      </c>
      <c r="K37" s="111" t="n">
        <f aca="false">I37+J37</f>
        <v>34.26</v>
      </c>
      <c r="L37" s="111" t="n">
        <f aca="false">F37-(I37-X37)</f>
        <v>-0.664335770103351</v>
      </c>
      <c r="M37" s="209" t="n">
        <v>8</v>
      </c>
      <c r="N37" s="111" t="n">
        <v>0</v>
      </c>
      <c r="O37" s="111" t="n">
        <v>0</v>
      </c>
      <c r="P37" s="90" t="n">
        <f aca="false">M37-(N37+O37)</f>
        <v>8</v>
      </c>
      <c r="Q37" s="111" t="n">
        <v>0</v>
      </c>
      <c r="R37" s="111" t="n">
        <v>0</v>
      </c>
      <c r="S37" s="111" t="n">
        <f aca="false">SUM(P37:R37)</f>
        <v>8</v>
      </c>
      <c r="T37" s="112"/>
      <c r="U37" s="111" t="n">
        <v>0</v>
      </c>
      <c r="V37" s="111" t="n">
        <v>14</v>
      </c>
      <c r="W37" s="112" t="n">
        <f aca="false">W36-V37</f>
        <v>1163.12</v>
      </c>
      <c r="X37" s="6" t="n">
        <f aca="false">N37+O37+S37+U37+V37</f>
        <v>22</v>
      </c>
      <c r="Y37" s="111" t="n">
        <f aca="false">IF(L37&lt;0,L37*-1,0)</f>
        <v>0.664335770103351</v>
      </c>
      <c r="Z37" s="111" t="n">
        <f aca="false">X37+Y37</f>
        <v>22.6643357701033</v>
      </c>
      <c r="AA37" s="161" t="n">
        <v>0</v>
      </c>
      <c r="AB37" s="117" t="n">
        <v>51</v>
      </c>
      <c r="AC37" s="167" t="n">
        <v>24</v>
      </c>
      <c r="AD37" s="118"/>
      <c r="AE37" s="208"/>
      <c r="AF37" s="211"/>
    </row>
    <row r="38" customFormat="false" ht="11.1" hidden="false" customHeight="true" outlineLevel="0" collapsed="false">
      <c r="A38" s="118" t="n">
        <f aca="false">A37+1</f>
        <v>27</v>
      </c>
      <c r="B38" s="168" t="n">
        <v>6858.84</v>
      </c>
      <c r="C38" s="112" t="n">
        <v>160445</v>
      </c>
      <c r="D38" s="117" t="n">
        <f aca="false">C38-C37</f>
        <v>45</v>
      </c>
      <c r="E38" s="112" t="n">
        <f aca="false">C38-152000</f>
        <v>8445</v>
      </c>
      <c r="F38" s="180" t="n">
        <f aca="false">D38/$D$2</f>
        <v>22.68716914545</v>
      </c>
      <c r="G38" s="111" t="n">
        <v>26</v>
      </c>
      <c r="H38" s="116" t="n">
        <v>0.25</v>
      </c>
      <c r="I38" s="111" t="n">
        <f aca="false">G38+H38</f>
        <v>26.25</v>
      </c>
      <c r="J38" s="181" t="n">
        <f aca="false">IF(L38&gt;0,L38,0)</f>
        <v>18.43716914545</v>
      </c>
      <c r="K38" s="111" t="n">
        <f aca="false">I38+J38</f>
        <v>44.68716914545</v>
      </c>
      <c r="L38" s="111" t="n">
        <f aca="false">F38-(I38-X38)</f>
        <v>18.43716914545</v>
      </c>
      <c r="M38" s="209" t="n">
        <v>8</v>
      </c>
      <c r="N38" s="111" t="n">
        <v>0</v>
      </c>
      <c r="O38" s="111" t="n">
        <v>0</v>
      </c>
      <c r="P38" s="90" t="n">
        <f aca="false">M38-(N38+O38)</f>
        <v>8</v>
      </c>
      <c r="Q38" s="111" t="n">
        <v>0</v>
      </c>
      <c r="R38" s="111" t="n">
        <v>0</v>
      </c>
      <c r="S38" s="111" t="n">
        <f aca="false">SUM(P38:R38)</f>
        <v>8</v>
      </c>
      <c r="T38" s="112"/>
      <c r="U38" s="111" t="n">
        <v>0</v>
      </c>
      <c r="V38" s="111" t="n">
        <v>14</v>
      </c>
      <c r="W38" s="112" t="n">
        <f aca="false">W37-V38</f>
        <v>1149.12</v>
      </c>
      <c r="X38" s="6" t="n">
        <f aca="false">N38+O38+S38+U38+V38</f>
        <v>22</v>
      </c>
      <c r="Y38" s="111" t="n">
        <f aca="false">IF(L38&lt;0,L38*-1,0)</f>
        <v>0</v>
      </c>
      <c r="Z38" s="111" t="n">
        <f aca="false">X38+Y38</f>
        <v>22</v>
      </c>
      <c r="AA38" s="161" t="n">
        <v>0</v>
      </c>
      <c r="AB38" s="117" t="n">
        <v>54</v>
      </c>
      <c r="AC38" s="167" t="n">
        <v>27</v>
      </c>
      <c r="AD38" s="118"/>
      <c r="AE38" s="208"/>
      <c r="AF38" s="211"/>
    </row>
    <row r="39" customFormat="false" ht="11.1" hidden="false" customHeight="true" outlineLevel="0" collapsed="false">
      <c r="A39" s="118" t="n">
        <f aca="false">A38+1</f>
        <v>28</v>
      </c>
      <c r="B39" s="168" t="n">
        <v>6858.86</v>
      </c>
      <c r="C39" s="112" t="n">
        <v>160489</v>
      </c>
      <c r="D39" s="117" t="n">
        <f aca="false">C39-C38</f>
        <v>44</v>
      </c>
      <c r="E39" s="112" t="n">
        <f aca="false">C39-152000</f>
        <v>8489</v>
      </c>
      <c r="F39" s="180" t="n">
        <f aca="false">D39/$D$2</f>
        <v>22.1830098311066</v>
      </c>
      <c r="G39" s="111" t="n">
        <v>28</v>
      </c>
      <c r="H39" s="116" t="n">
        <v>0.28</v>
      </c>
      <c r="I39" s="111" t="n">
        <f aca="false">G39+H39</f>
        <v>28.28</v>
      </c>
      <c r="J39" s="181" t="n">
        <f aca="false">IF(L39&gt;0,L39,0)</f>
        <v>15.9030098311066</v>
      </c>
      <c r="K39" s="111" t="n">
        <f aca="false">I39+J39</f>
        <v>44.1830098311066</v>
      </c>
      <c r="L39" s="111" t="n">
        <f aca="false">F39-(I39-X39)</f>
        <v>15.9030098311066</v>
      </c>
      <c r="M39" s="209" t="n">
        <v>8</v>
      </c>
      <c r="N39" s="111" t="n">
        <v>0</v>
      </c>
      <c r="O39" s="111" t="n">
        <v>0</v>
      </c>
      <c r="P39" s="90" t="n">
        <f aca="false">M39-(N39+O39)</f>
        <v>8</v>
      </c>
      <c r="Q39" s="111" t="n">
        <v>0</v>
      </c>
      <c r="R39" s="111" t="n">
        <v>0</v>
      </c>
      <c r="S39" s="111" t="n">
        <f aca="false">SUM(P39:R39)</f>
        <v>8</v>
      </c>
      <c r="T39" s="112"/>
      <c r="U39" s="111" t="n">
        <v>0</v>
      </c>
      <c r="V39" s="111" t="n">
        <v>14</v>
      </c>
      <c r="W39" s="112" t="n">
        <f aca="false">W38-V39</f>
        <v>1135.12</v>
      </c>
      <c r="X39" s="6" t="n">
        <f aca="false">N39+O39+S39+U39+V39</f>
        <v>22</v>
      </c>
      <c r="Y39" s="111" t="n">
        <f aca="false">IF(L39&lt;0,L39*-1,0)</f>
        <v>0</v>
      </c>
      <c r="Z39" s="111" t="n">
        <f aca="false">X39+Y39</f>
        <v>22</v>
      </c>
      <c r="AA39" s="161" t="n">
        <v>0</v>
      </c>
      <c r="AB39" s="117" t="n">
        <v>51</v>
      </c>
      <c r="AC39" s="167" t="n">
        <v>29</v>
      </c>
      <c r="AD39" s="118"/>
      <c r="AE39" s="208"/>
      <c r="AF39" s="211"/>
    </row>
    <row r="40" customFormat="false" ht="11.1" hidden="false" customHeight="true" outlineLevel="0" collapsed="false">
      <c r="A40" s="118" t="n">
        <f aca="false">A39+1</f>
        <v>29</v>
      </c>
      <c r="B40" s="168" t="n">
        <v>6858.88</v>
      </c>
      <c r="C40" s="112" t="n">
        <v>160534</v>
      </c>
      <c r="D40" s="117" t="n">
        <f aca="false">C40-C39</f>
        <v>45</v>
      </c>
      <c r="E40" s="112" t="n">
        <f aca="false">C40-152000</f>
        <v>8534</v>
      </c>
      <c r="F40" s="180" t="n">
        <f aca="false">D40/$D$2</f>
        <v>22.68716914545</v>
      </c>
      <c r="G40" s="111" t="n">
        <v>37</v>
      </c>
      <c r="H40" s="116" t="n">
        <v>0.3</v>
      </c>
      <c r="I40" s="111" t="n">
        <f aca="false">G40+H40</f>
        <v>37.3</v>
      </c>
      <c r="J40" s="181" t="n">
        <f aca="false">IF(L40&gt;0,L40,0)</f>
        <v>7.38716914544996</v>
      </c>
      <c r="K40" s="111" t="n">
        <f aca="false">I40+J40</f>
        <v>44.68716914545</v>
      </c>
      <c r="L40" s="111" t="n">
        <f aca="false">F40-(I40-X40)</f>
        <v>7.38716914544996</v>
      </c>
      <c r="M40" s="209" t="n">
        <v>8</v>
      </c>
      <c r="N40" s="111" t="n">
        <v>0</v>
      </c>
      <c r="O40" s="111" t="n">
        <v>0</v>
      </c>
      <c r="P40" s="90" t="n">
        <f aca="false">M40-(N40+O40)</f>
        <v>8</v>
      </c>
      <c r="Q40" s="111" t="n">
        <v>0</v>
      </c>
      <c r="R40" s="111" t="n">
        <v>0</v>
      </c>
      <c r="S40" s="111" t="n">
        <f aca="false">SUM(P40:R40)</f>
        <v>8</v>
      </c>
      <c r="T40" s="112"/>
      <c r="U40" s="111" t="n">
        <v>0</v>
      </c>
      <c r="V40" s="111" t="n">
        <v>14</v>
      </c>
      <c r="W40" s="112" t="n">
        <f aca="false">W39-V40</f>
        <v>1121.12</v>
      </c>
      <c r="X40" s="6" t="n">
        <f aca="false">N40+O40+S40+U40+V40</f>
        <v>22</v>
      </c>
      <c r="Y40" s="111" t="n">
        <f aca="false">IF(L40&lt;0,L40*-1,0)</f>
        <v>0</v>
      </c>
      <c r="Z40" s="111" t="n">
        <f aca="false">X40+Y40</f>
        <v>22</v>
      </c>
      <c r="AA40" s="161" t="n">
        <v>0</v>
      </c>
      <c r="AB40" s="183" t="n">
        <v>50</v>
      </c>
      <c r="AC40" s="167" t="n">
        <v>26</v>
      </c>
      <c r="AD40" s="118"/>
      <c r="AE40" s="208"/>
      <c r="AF40" s="211"/>
    </row>
    <row r="41" customFormat="false" ht="11.1" hidden="false" customHeight="true" outlineLevel="0" collapsed="false">
      <c r="A41" s="118" t="n">
        <v>30</v>
      </c>
      <c r="B41" s="168" t="n">
        <v>6858.91</v>
      </c>
      <c r="C41" s="112" t="n">
        <v>160601</v>
      </c>
      <c r="D41" s="117" t="n">
        <f aca="false">C41-C40</f>
        <v>67</v>
      </c>
      <c r="E41" s="112" t="n">
        <f aca="false">C41-152000</f>
        <v>8601</v>
      </c>
      <c r="F41" s="180" t="n">
        <f aca="false">D41/$D$2</f>
        <v>33.7786740610033</v>
      </c>
      <c r="G41" s="111" t="n">
        <v>34</v>
      </c>
      <c r="H41" s="116" t="n">
        <v>0.38</v>
      </c>
      <c r="I41" s="111" t="n">
        <f aca="false">G41+H41</f>
        <v>34.38</v>
      </c>
      <c r="J41" s="181" t="n">
        <f aca="false">IF(L41&gt;0,L41,0)</f>
        <v>22.4086740610033</v>
      </c>
      <c r="K41" s="111" t="n">
        <f aca="false">I41+J41</f>
        <v>56.7886740610033</v>
      </c>
      <c r="L41" s="111" t="n">
        <f aca="false">F41-(I41-X41)</f>
        <v>22.4086740610033</v>
      </c>
      <c r="M41" s="209" t="n">
        <v>8</v>
      </c>
      <c r="N41" s="111" t="n">
        <v>0</v>
      </c>
      <c r="O41" s="111" t="n">
        <v>0</v>
      </c>
      <c r="P41" s="90" t="n">
        <f aca="false">M41-(N41+O41)</f>
        <v>8</v>
      </c>
      <c r="Q41" s="111" t="n">
        <v>0</v>
      </c>
      <c r="R41" s="111" t="n">
        <v>0</v>
      </c>
      <c r="S41" s="111" t="n">
        <f aca="false">SUM(P41:R41)</f>
        <v>8</v>
      </c>
      <c r="T41" s="112"/>
      <c r="U41" s="111" t="n">
        <v>0</v>
      </c>
      <c r="V41" s="111" t="n">
        <v>15.01</v>
      </c>
      <c r="W41" s="112" t="n">
        <f aca="false">W40-V41</f>
        <v>1106.11</v>
      </c>
      <c r="X41" s="6" t="n">
        <f aca="false">N41+O41+S41+U41+V41</f>
        <v>23.01</v>
      </c>
      <c r="Y41" s="111" t="n">
        <f aca="false">IF(L41&lt;0,L41*-1,0)</f>
        <v>0</v>
      </c>
      <c r="Z41" s="111" t="n">
        <f aca="false">X41+Y41</f>
        <v>23.01</v>
      </c>
      <c r="AA41" s="161" t="n">
        <v>0</v>
      </c>
      <c r="AB41" s="183" t="n">
        <v>52</v>
      </c>
      <c r="AC41" s="167" t="n">
        <v>27</v>
      </c>
      <c r="AD41" s="118"/>
      <c r="AE41" s="208"/>
      <c r="AF41" s="211"/>
    </row>
    <row r="42" customFormat="false" ht="11.1" hidden="false" customHeight="true" outlineLevel="0" collapsed="false">
      <c r="A42" s="118" t="n">
        <v>31</v>
      </c>
      <c r="B42" s="168" t="n">
        <v>6858.93</v>
      </c>
      <c r="C42" s="112" t="n">
        <v>160646</v>
      </c>
      <c r="D42" s="117" t="n">
        <f aca="false">C42-C41</f>
        <v>45</v>
      </c>
      <c r="E42" s="112" t="n">
        <f aca="false">C42-152000</f>
        <v>8646</v>
      </c>
      <c r="F42" s="180" t="n">
        <f aca="false">D42/$D$2</f>
        <v>22.68716914545</v>
      </c>
      <c r="G42" s="111" t="n">
        <v>29</v>
      </c>
      <c r="H42" s="116" t="n">
        <v>0.43</v>
      </c>
      <c r="I42" s="111" t="n">
        <f aca="false">G42+H42</f>
        <v>29.43</v>
      </c>
      <c r="J42" s="181" t="n">
        <f aca="false">IF(L42&gt;0,L42,0)</f>
        <v>15.25716914545</v>
      </c>
      <c r="K42" s="111" t="n">
        <f aca="false">I42+J42</f>
        <v>44.68716914545</v>
      </c>
      <c r="L42" s="111" t="n">
        <f aca="false">F42-(I42-X42)</f>
        <v>15.25716914545</v>
      </c>
      <c r="M42" s="209" t="n">
        <v>8</v>
      </c>
      <c r="N42" s="111" t="n">
        <v>0</v>
      </c>
      <c r="O42" s="111" t="n">
        <v>0</v>
      </c>
      <c r="P42" s="90" t="n">
        <f aca="false">M42-(N42+O42)</f>
        <v>8</v>
      </c>
      <c r="Q42" s="111" t="n">
        <v>0</v>
      </c>
      <c r="R42" s="111" t="n">
        <v>0</v>
      </c>
      <c r="S42" s="111" t="n">
        <f aca="false">SUM(P42:R42)</f>
        <v>8</v>
      </c>
      <c r="T42" s="112"/>
      <c r="U42" s="111" t="n">
        <v>0</v>
      </c>
      <c r="V42" s="111" t="n">
        <v>14</v>
      </c>
      <c r="W42" s="112" t="n">
        <f aca="false">W41-V42</f>
        <v>1092.11</v>
      </c>
      <c r="X42" s="6" t="n">
        <f aca="false">N42+O42+S42+U42+V42</f>
        <v>22</v>
      </c>
      <c r="Y42" s="111" t="n">
        <f aca="false">IF(L42&lt;0,L42*-1,0)</f>
        <v>0</v>
      </c>
      <c r="Z42" s="111" t="n">
        <f aca="false">X42+Y42</f>
        <v>22</v>
      </c>
      <c r="AA42" s="161" t="n">
        <v>0</v>
      </c>
      <c r="AB42" s="183" t="n">
        <v>51</v>
      </c>
      <c r="AC42" s="167" t="n">
        <v>29</v>
      </c>
      <c r="AD42" s="118"/>
      <c r="AE42" s="208"/>
      <c r="AF42" s="208"/>
    </row>
    <row r="43" customFormat="false" ht="3" hidden="false" customHeight="true" outlineLevel="0" collapsed="false">
      <c r="A43" s="169"/>
      <c r="B43" s="171"/>
      <c r="C43" s="171"/>
      <c r="D43" s="169"/>
      <c r="E43" s="171"/>
      <c r="F43" s="172"/>
      <c r="G43" s="172"/>
      <c r="H43" s="190"/>
      <c r="I43" s="169"/>
      <c r="J43" s="169"/>
      <c r="K43" s="169"/>
      <c r="L43" s="169"/>
      <c r="M43" s="169"/>
      <c r="N43" s="169"/>
      <c r="O43" s="169"/>
      <c r="P43" s="175"/>
      <c r="Q43" s="169"/>
      <c r="R43" s="169"/>
      <c r="S43" s="169"/>
      <c r="T43" s="171"/>
      <c r="U43" s="169"/>
      <c r="V43" s="169"/>
      <c r="W43" s="169"/>
      <c r="X43" s="169"/>
      <c r="Y43" s="169"/>
      <c r="Z43" s="169"/>
      <c r="AA43" s="176"/>
      <c r="AB43" s="177" t="n">
        <v>39</v>
      </c>
      <c r="AC43" s="178"/>
      <c r="AD43" s="179"/>
      <c r="AE43" s="179"/>
      <c r="AF43" s="179"/>
    </row>
    <row r="44" customFormat="false" ht="11.1" hidden="false" customHeight="true" outlineLevel="0" collapsed="false">
      <c r="A44" s="111" t="s">
        <v>54</v>
      </c>
      <c r="B44" s="163"/>
      <c r="C44" s="112"/>
      <c r="D44" s="112"/>
      <c r="E44" s="112"/>
      <c r="F44" s="164" t="n">
        <f aca="false">SUM(F12:F42)</f>
        <v>598.437106125536</v>
      </c>
      <c r="G44" s="112" t="n">
        <f aca="false">SUM(G12:G42)</f>
        <v>958</v>
      </c>
      <c r="H44" s="116" t="n">
        <f aca="false">SUM(H12:H42)</f>
        <v>1.9</v>
      </c>
      <c r="I44" s="112" t="n">
        <f aca="false">SUM(I12:I42)</f>
        <v>959.9</v>
      </c>
      <c r="J44" s="112" t="n">
        <f aca="false">SUM(J12:J42)</f>
        <v>306.983914797076</v>
      </c>
      <c r="K44" s="112" t="n">
        <f aca="false">SUM(K12:K42)</f>
        <v>1266.88391479708</v>
      </c>
      <c r="L44" s="112" t="n">
        <f aca="false">SUM(L12:L42)</f>
        <v>262.747106125536</v>
      </c>
      <c r="M44" s="209" t="n">
        <f aca="false">SUM(M12:M42)</f>
        <v>187.2</v>
      </c>
      <c r="N44" s="112" t="n">
        <f aca="false">SUM(N12:N42)</f>
        <v>0</v>
      </c>
      <c r="O44" s="112" t="n">
        <f aca="false">SUM(O12:O42)</f>
        <v>0</v>
      </c>
      <c r="P44" s="166" t="n">
        <f aca="false">SUM(P12:P42)</f>
        <v>187.2</v>
      </c>
      <c r="Q44" s="112" t="n">
        <f aca="false">SUM(Q12:Q42)</f>
        <v>0</v>
      </c>
      <c r="R44" s="112" t="n">
        <f aca="false">SUM(R12:R42)</f>
        <v>0</v>
      </c>
      <c r="S44" s="112" t="n">
        <f aca="false">SUM(S12:S42)</f>
        <v>187.2</v>
      </c>
      <c r="T44" s="112"/>
      <c r="U44" s="112" t="n">
        <f aca="false">SUM(U12:U42)</f>
        <v>0</v>
      </c>
      <c r="V44" s="112" t="n">
        <f aca="false">SUM(V12:V42)</f>
        <v>437.01</v>
      </c>
      <c r="W44" s="112"/>
      <c r="X44" s="112" t="n">
        <f aca="false">SUM(X12:X42)</f>
        <v>624.21</v>
      </c>
      <c r="Y44" s="112" t="n">
        <f aca="false">SUM(Y12:Y42)</f>
        <v>44.2368086715402</v>
      </c>
      <c r="Z44" s="112" t="n">
        <f aca="false">SUM(Z12:Z42)</f>
        <v>668.44680867154</v>
      </c>
      <c r="AA44" s="161" t="n">
        <f aca="false">SUM(AA12:AA42)</f>
        <v>0.22</v>
      </c>
      <c r="AB44" s="117" t="n">
        <f aca="false">AVERAGE(AB12:AB42)</f>
        <v>47.2258064516129</v>
      </c>
      <c r="AC44" s="167" t="n">
        <f aca="false">AVERAGE(AC12:AC42)</f>
        <v>22.6451612903226</v>
      </c>
      <c r="AD44" s="118" t="s">
        <v>70</v>
      </c>
      <c r="AE44" s="208"/>
      <c r="AF44" s="208"/>
    </row>
    <row r="45" customFormat="false" ht="11.1" hidden="false" customHeight="true" outlineLevel="0" collapsed="false">
      <c r="A45" s="111" t="s">
        <v>56</v>
      </c>
      <c r="B45" s="163"/>
      <c r="C45" s="112"/>
      <c r="D45" s="112" t="n">
        <f aca="false">SUM(D12:D42)</f>
        <v>1187</v>
      </c>
      <c r="E45" s="112"/>
      <c r="F45" s="164" t="n">
        <f aca="false">F44*$D$2</f>
        <v>1187</v>
      </c>
      <c r="G45" s="112" t="n">
        <f aca="false">G44*$D$2</f>
        <v>1900.193</v>
      </c>
      <c r="H45" s="116" t="n">
        <f aca="false">H44*$D$2</f>
        <v>3.76865</v>
      </c>
      <c r="I45" s="112" t="n">
        <f aca="false">I44*$D$2</f>
        <v>1903.96165</v>
      </c>
      <c r="J45" s="112" t="n">
        <f aca="false">J44*$D$2</f>
        <v>608.902595000001</v>
      </c>
      <c r="K45" s="112" t="n">
        <f aca="false">K44*$D$2</f>
        <v>2512.864245</v>
      </c>
      <c r="L45" s="112" t="n">
        <f aca="false">L44*$D$2</f>
        <v>521.158885000001</v>
      </c>
      <c r="M45" s="209" t="n">
        <f aca="false">M44*$D$2</f>
        <v>371.3112</v>
      </c>
      <c r="N45" s="112" t="n">
        <f aca="false">N44*$D$2</f>
        <v>0</v>
      </c>
      <c r="O45" s="112" t="n">
        <f aca="false">O44*$D$2</f>
        <v>0</v>
      </c>
      <c r="P45" s="166" t="n">
        <f aca="false">P44*$D$2</f>
        <v>371.3112</v>
      </c>
      <c r="Q45" s="112" t="n">
        <f aca="false">Q44*$D$2</f>
        <v>0</v>
      </c>
      <c r="R45" s="112" t="n">
        <f aca="false">R44*$D$2</f>
        <v>0</v>
      </c>
      <c r="S45" s="112" t="n">
        <f aca="false">S44*$D$2</f>
        <v>371.3112</v>
      </c>
      <c r="T45" s="112"/>
      <c r="U45" s="112" t="n">
        <f aca="false">U44*$D$2</f>
        <v>0</v>
      </c>
      <c r="V45" s="112" t="n">
        <f aca="false">V44*$D$2</f>
        <v>866.809335</v>
      </c>
      <c r="W45" s="112"/>
      <c r="X45" s="112" t="n">
        <f aca="false">X44*$D$2</f>
        <v>1238.120535</v>
      </c>
      <c r="Y45" s="112" t="n">
        <f aca="false">Y44*$D$2</f>
        <v>87.7437100000001</v>
      </c>
      <c r="Z45" s="112" t="n">
        <f aca="false">Z44*$D$2</f>
        <v>1325.864245</v>
      </c>
      <c r="AA45" s="161"/>
      <c r="AB45" s="117" t="n">
        <f aca="false">MAX(AB12:AB42)</f>
        <v>54</v>
      </c>
      <c r="AC45" s="167" t="n">
        <f aca="false">MAX(AC12:AC42)</f>
        <v>31</v>
      </c>
      <c r="AD45" s="118" t="s">
        <v>57</v>
      </c>
      <c r="AE45" s="208"/>
      <c r="AF45" s="208"/>
    </row>
    <row r="46" customFormat="false" ht="3" hidden="false" customHeight="true" outlineLevel="0" collapsed="false">
      <c r="A46" s="169"/>
      <c r="B46" s="185"/>
      <c r="C46" s="171"/>
      <c r="D46" s="171"/>
      <c r="E46" s="171"/>
      <c r="F46" s="186"/>
      <c r="G46" s="171"/>
      <c r="H46" s="190"/>
      <c r="I46" s="171"/>
      <c r="J46" s="171"/>
      <c r="K46" s="171"/>
      <c r="L46" s="171"/>
      <c r="M46" s="212"/>
      <c r="N46" s="171"/>
      <c r="O46" s="171"/>
      <c r="P46" s="188"/>
      <c r="Q46" s="171"/>
      <c r="R46" s="171"/>
      <c r="S46" s="171"/>
      <c r="T46" s="171"/>
      <c r="U46" s="171"/>
      <c r="V46" s="171"/>
      <c r="W46" s="169"/>
      <c r="X46" s="171"/>
      <c r="Y46" s="171"/>
      <c r="Z46" s="171"/>
      <c r="AA46" s="189"/>
      <c r="AB46" s="171"/>
      <c r="AC46" s="186"/>
      <c r="AD46" s="171"/>
      <c r="AE46" s="171"/>
      <c r="AF46" s="171"/>
    </row>
    <row r="47" customFormat="false" ht="11.1" hidden="false" customHeight="true" outlineLevel="0" collapsed="false">
      <c r="A47" s="111" t="s">
        <v>58</v>
      </c>
      <c r="B47" s="163"/>
      <c r="C47" s="112"/>
      <c r="D47" s="112"/>
      <c r="E47" s="112"/>
      <c r="F47" s="164"/>
      <c r="G47" s="112"/>
      <c r="H47" s="116"/>
      <c r="I47" s="112"/>
      <c r="J47" s="112"/>
      <c r="K47" s="112"/>
      <c r="L47" s="112"/>
      <c r="M47" s="209"/>
      <c r="N47" s="112"/>
      <c r="O47" s="112"/>
      <c r="P47" s="166"/>
      <c r="Q47" s="112"/>
      <c r="R47" s="112"/>
      <c r="S47" s="112"/>
      <c r="T47" s="112"/>
      <c r="U47" s="112"/>
      <c r="V47" s="112"/>
      <c r="W47" s="112"/>
      <c r="X47" s="112"/>
      <c r="Y47" s="112"/>
      <c r="Z47" s="112"/>
      <c r="AA47" s="161"/>
      <c r="AB47" s="117" t="n">
        <f aca="false">MIN(AB12:AB42)</f>
        <v>37</v>
      </c>
      <c r="AC47" s="167" t="n">
        <f aca="false">MIN(AC12:AC42)</f>
        <v>10</v>
      </c>
      <c r="AD47" s="118" t="s">
        <v>59</v>
      </c>
      <c r="AE47" s="208"/>
      <c r="AF47" s="208"/>
    </row>
    <row r="48" customFormat="false" ht="11.1" hidden="false" customHeight="true" outlineLevel="0" collapsed="false">
      <c r="A48" s="111" t="s">
        <v>60</v>
      </c>
      <c r="B48" s="163"/>
      <c r="C48" s="112"/>
      <c r="D48" s="112"/>
      <c r="E48" s="112"/>
      <c r="F48" s="164"/>
      <c r="G48" s="112"/>
      <c r="H48" s="116"/>
      <c r="I48" s="112"/>
      <c r="J48" s="112"/>
      <c r="K48" s="112"/>
      <c r="L48" s="112"/>
      <c r="M48" s="209"/>
      <c r="N48" s="112"/>
      <c r="O48" s="112"/>
      <c r="P48" s="166"/>
      <c r="Q48" s="112"/>
      <c r="R48" s="112"/>
      <c r="S48" s="112"/>
      <c r="T48" s="112"/>
      <c r="U48" s="112"/>
      <c r="V48" s="112"/>
      <c r="W48" s="112"/>
      <c r="X48" s="112"/>
      <c r="Y48" s="112"/>
      <c r="Z48" s="112"/>
      <c r="AA48" s="161"/>
      <c r="AB48" s="117"/>
      <c r="AC48" s="167"/>
      <c r="AD48" s="118"/>
      <c r="AE48" s="208"/>
      <c r="AF48" s="208"/>
    </row>
    <row r="49" customFormat="false" ht="3" hidden="false" customHeight="true" outlineLevel="0" collapsed="false">
      <c r="A49" s="169"/>
      <c r="B49" s="185"/>
      <c r="C49" s="171"/>
      <c r="D49" s="171"/>
      <c r="E49" s="171"/>
      <c r="F49" s="186"/>
      <c r="G49" s="171"/>
      <c r="H49" s="190"/>
      <c r="I49" s="171"/>
      <c r="J49" s="171"/>
      <c r="K49" s="171"/>
      <c r="L49" s="171"/>
      <c r="M49" s="212"/>
      <c r="N49" s="171"/>
      <c r="O49" s="171"/>
      <c r="P49" s="188"/>
      <c r="Q49" s="171"/>
      <c r="R49" s="171"/>
      <c r="S49" s="171"/>
      <c r="T49" s="171"/>
      <c r="U49" s="171"/>
      <c r="V49" s="171"/>
      <c r="W49" s="171"/>
      <c r="X49" s="171"/>
      <c r="Y49" s="171"/>
      <c r="Z49" s="171"/>
      <c r="AA49" s="176"/>
      <c r="AB49" s="190"/>
      <c r="AC49" s="191"/>
      <c r="AD49" s="190"/>
      <c r="AE49" s="190"/>
      <c r="AF49" s="190"/>
    </row>
    <row r="50" customFormat="false" ht="11.1" hidden="false" customHeight="true" outlineLevel="0" collapsed="false">
      <c r="A50" s="111" t="s">
        <v>61</v>
      </c>
      <c r="B50" s="163"/>
      <c r="C50" s="112"/>
      <c r="D50" s="112"/>
      <c r="E50" s="112"/>
      <c r="F50" s="164" t="n">
        <f aca="false">F10+F44</f>
        <v>2056.46584320645</v>
      </c>
      <c r="G50" s="112" t="n">
        <f aca="false">G10+G44</f>
        <v>3950</v>
      </c>
      <c r="H50" s="116" t="n">
        <f aca="false">H10+H44</f>
        <v>1.9</v>
      </c>
      <c r="I50" s="112" t="n">
        <f aca="false">I10+I44</f>
        <v>3951.9</v>
      </c>
      <c r="J50" s="112" t="n">
        <f aca="false">J10+J44</f>
        <v>580.820758759769</v>
      </c>
      <c r="K50" s="112" t="n">
        <f aca="false">K10+K44</f>
        <v>4532.72075875977</v>
      </c>
      <c r="L50" s="112" t="n">
        <f aca="false">L10+L44</f>
        <v>49.5558432064539</v>
      </c>
      <c r="M50" s="209" t="n">
        <f aca="false">M10+M44</f>
        <v>514.1</v>
      </c>
      <c r="N50" s="112" t="n">
        <f aca="false">N10+N44</f>
        <v>0</v>
      </c>
      <c r="O50" s="112" t="n">
        <f aca="false">O10+O44</f>
        <v>0</v>
      </c>
      <c r="P50" s="166" t="n">
        <f aca="false">P10+P44</f>
        <v>514.1</v>
      </c>
      <c r="Q50" s="112" t="n">
        <f aca="false">Q10+Q44</f>
        <v>62</v>
      </c>
      <c r="R50" s="112" t="n">
        <f aca="false">R10+R44</f>
        <v>51</v>
      </c>
      <c r="S50" s="112" t="n">
        <f aca="false">S10+S44</f>
        <v>627.1</v>
      </c>
      <c r="T50" s="112"/>
      <c r="U50" s="112" t="n">
        <f aca="false">U10+U44</f>
        <v>0</v>
      </c>
      <c r="V50" s="112" t="n">
        <f aca="false">V10+V44</f>
        <v>1317.89</v>
      </c>
      <c r="W50" s="112" t="n">
        <f aca="false">W42</f>
        <v>1092.11</v>
      </c>
      <c r="X50" s="112" t="n">
        <f aca="false">X10+X44</f>
        <v>1944.99</v>
      </c>
      <c r="Y50" s="112" t="n">
        <f aca="false">Y10+Y44</f>
        <v>531.264915553315</v>
      </c>
      <c r="Z50" s="112" t="n">
        <f aca="false">Z10+Z44</f>
        <v>2476.25491555331</v>
      </c>
      <c r="AA50" s="161" t="n">
        <f aca="false">AA10+AA44</f>
        <v>2.27</v>
      </c>
      <c r="AB50" s="117"/>
      <c r="AC50" s="167"/>
      <c r="AD50" s="118"/>
      <c r="AE50" s="208"/>
      <c r="AF50" s="208"/>
    </row>
    <row r="51" customFormat="false" ht="11.1" hidden="false" customHeight="true" outlineLevel="0" collapsed="false">
      <c r="A51" s="111" t="s">
        <v>62</v>
      </c>
      <c r="B51" s="163"/>
      <c r="C51" s="112"/>
      <c r="D51" s="112" t="n">
        <f aca="false">D10+D45</f>
        <v>4079</v>
      </c>
      <c r="E51" s="112" t="n">
        <f aca="false">E42</f>
        <v>8646</v>
      </c>
      <c r="F51" s="164" t="n">
        <f aca="false">F50*$D$2</f>
        <v>4079</v>
      </c>
      <c r="G51" s="112" t="n">
        <f aca="false">G50*$D$2</f>
        <v>7834.825</v>
      </c>
      <c r="H51" s="116" t="n">
        <f aca="false">H50*$D$2</f>
        <v>3.76865</v>
      </c>
      <c r="I51" s="112" t="n">
        <f aca="false">I50*$D$2</f>
        <v>7838.59365</v>
      </c>
      <c r="J51" s="112" t="n">
        <f aca="false">J50*$D$2</f>
        <v>1152.057975</v>
      </c>
      <c r="K51" s="112" t="n">
        <f aca="false">K50*$D$2</f>
        <v>8990.65162499999</v>
      </c>
      <c r="L51" s="112" t="n">
        <f aca="false">L50*$D$2</f>
        <v>98.2940150000012</v>
      </c>
      <c r="M51" s="209" t="n">
        <f aca="false">M50*$D$2</f>
        <v>1019.71735</v>
      </c>
      <c r="N51" s="112" t="n">
        <f aca="false">N50*$D$2</f>
        <v>0</v>
      </c>
      <c r="O51" s="112" t="n">
        <f aca="false">O50*$D$2</f>
        <v>0</v>
      </c>
      <c r="P51" s="166" t="n">
        <f aca="false">P50*$D$2</f>
        <v>1019.71735</v>
      </c>
      <c r="Q51" s="112" t="n">
        <f aca="false">Q50*$D$2</f>
        <v>122.977</v>
      </c>
      <c r="R51" s="112" t="n">
        <f aca="false">R50*$D$2</f>
        <v>101.1585</v>
      </c>
      <c r="S51" s="112" t="n">
        <f aca="false">S50*$D$2</f>
        <v>1243.85285</v>
      </c>
      <c r="T51" s="112" t="n">
        <f aca="false">T50*$D$2</f>
        <v>0</v>
      </c>
      <c r="U51" s="112" t="n">
        <f aca="false">U50*$D$2</f>
        <v>0</v>
      </c>
      <c r="V51" s="112" t="n">
        <f aca="false">V50*$D$2</f>
        <v>2614.034815</v>
      </c>
      <c r="W51" s="112" t="n">
        <f aca="false">W50*$D$2</f>
        <v>2166.200185</v>
      </c>
      <c r="X51" s="112" t="n">
        <f aca="false">X50*$D$2</f>
        <v>3857.887665</v>
      </c>
      <c r="Y51" s="112" t="n">
        <f aca="false">Y50*$D$2</f>
        <v>1053.76396</v>
      </c>
      <c r="Z51" s="112" t="n">
        <f aca="false">Z50*$D$2</f>
        <v>4911.651625</v>
      </c>
      <c r="AA51" s="161"/>
      <c r="AB51" s="117"/>
      <c r="AC51" s="167"/>
      <c r="AD51" s="118"/>
      <c r="AE51" s="208"/>
      <c r="AF51" s="208"/>
    </row>
    <row r="52" customFormat="false" ht="3" hidden="false" customHeight="true" outlineLevel="0" collapsed="false">
      <c r="A52" s="169"/>
      <c r="B52" s="185"/>
      <c r="C52" s="171"/>
      <c r="D52" s="169"/>
      <c r="E52" s="171"/>
      <c r="F52" s="172"/>
      <c r="G52" s="169"/>
      <c r="H52" s="190"/>
      <c r="I52" s="169"/>
      <c r="J52" s="169"/>
      <c r="K52" s="169"/>
      <c r="L52" s="169"/>
      <c r="M52" s="212"/>
      <c r="N52" s="169"/>
      <c r="O52" s="169"/>
      <c r="P52" s="175"/>
      <c r="Q52" s="169"/>
      <c r="R52" s="169"/>
      <c r="S52" s="169"/>
      <c r="T52" s="171"/>
      <c r="U52" s="169"/>
      <c r="V52" s="169"/>
      <c r="W52" s="171"/>
      <c r="X52" s="169"/>
      <c r="Y52" s="169"/>
      <c r="Z52" s="169"/>
      <c r="AA52" s="185"/>
      <c r="AB52" s="169"/>
      <c r="AC52" s="172"/>
      <c r="AD52" s="169"/>
      <c r="AE52" s="169"/>
      <c r="AF52" s="169"/>
    </row>
    <row r="53" customFormat="false" ht="11.1" hidden="false" customHeight="true" outlineLevel="0" collapsed="false">
      <c r="A53" s="111"/>
      <c r="B53" s="192"/>
      <c r="C53" s="112"/>
      <c r="D53" s="111"/>
      <c r="E53" s="112"/>
      <c r="F53" s="111"/>
      <c r="G53" s="111"/>
      <c r="H53" s="116"/>
      <c r="I53" s="111"/>
      <c r="J53" s="111"/>
      <c r="K53" s="111"/>
      <c r="L53" s="111"/>
      <c r="M53" s="196"/>
      <c r="N53" s="111"/>
      <c r="O53" s="111"/>
      <c r="P53" s="111"/>
      <c r="Q53" s="111"/>
      <c r="R53" s="111"/>
      <c r="S53" s="111"/>
      <c r="T53" s="112"/>
      <c r="U53" s="111"/>
      <c r="V53" s="111"/>
      <c r="W53" s="112"/>
      <c r="X53" s="111"/>
      <c r="Y53" s="111"/>
      <c r="Z53" s="111"/>
      <c r="AA53" s="116"/>
      <c r="AB53" s="117"/>
      <c r="AC53" s="117"/>
      <c r="AD53" s="118"/>
      <c r="AE53" s="197"/>
      <c r="AF53" s="197"/>
    </row>
    <row r="54" customFormat="false" ht="11.1" hidden="false" customHeight="true" outlineLevel="0" collapsed="false">
      <c r="A54" s="111"/>
      <c r="B54" s="193"/>
      <c r="C54" s="112"/>
      <c r="D54" s="183"/>
      <c r="E54" s="112"/>
      <c r="F54" s="111"/>
      <c r="G54" s="111"/>
      <c r="H54" s="116"/>
      <c r="I54" s="113"/>
      <c r="J54" s="111"/>
      <c r="K54" s="102"/>
      <c r="L54" s="111"/>
      <c r="M54" s="196"/>
      <c r="N54" s="111"/>
      <c r="O54" s="111"/>
      <c r="P54" s="111"/>
      <c r="Q54" s="111"/>
      <c r="R54" s="111"/>
      <c r="S54" s="111"/>
      <c r="T54" s="112"/>
      <c r="U54" s="111"/>
      <c r="V54" s="111"/>
      <c r="W54" s="112"/>
      <c r="X54" s="111"/>
      <c r="Y54" s="111"/>
      <c r="Z54" s="111"/>
      <c r="AA54" s="116"/>
      <c r="AB54" s="117"/>
      <c r="AC54" s="117"/>
      <c r="AD54" s="118"/>
      <c r="AE54" s="197"/>
      <c r="AF54" s="197"/>
    </row>
    <row r="55" customFormat="false" ht="11.1" hidden="false" customHeight="true" outlineLevel="0" collapsed="false">
      <c r="A55" s="183"/>
      <c r="B55" s="183"/>
      <c r="C55" s="112"/>
      <c r="D55" s="112"/>
      <c r="E55" s="112"/>
      <c r="F55" s="183"/>
      <c r="G55" s="183"/>
      <c r="H55" s="116"/>
      <c r="I55" s="183"/>
      <c r="J55" s="183"/>
      <c r="K55" s="183"/>
      <c r="L55" s="183"/>
      <c r="M55" s="196"/>
      <c r="N55" s="181"/>
      <c r="O55" s="181"/>
      <c r="P55" s="181"/>
      <c r="Q55" s="183"/>
      <c r="R55" s="183"/>
      <c r="S55" s="183"/>
      <c r="T55" s="112"/>
      <c r="U55" s="183"/>
      <c r="V55" s="183"/>
      <c r="W55" s="112"/>
      <c r="X55" s="183"/>
      <c r="Y55" s="183"/>
      <c r="Z55" s="183"/>
      <c r="AA55" s="116"/>
      <c r="AB55" s="117"/>
      <c r="AC55" s="117"/>
      <c r="AD55" s="118"/>
      <c r="AE55" s="213"/>
      <c r="AF55" s="213"/>
    </row>
    <row r="56" customFormat="false" ht="11.1" hidden="false" customHeight="true" outlineLevel="0" collapsed="false">
      <c r="A56" s="183"/>
      <c r="B56" s="115"/>
      <c r="C56" s="112"/>
      <c r="D56" s="112"/>
      <c r="E56" s="112"/>
      <c r="F56" s="183"/>
      <c r="G56" s="183"/>
      <c r="H56" s="116"/>
      <c r="I56" s="183"/>
      <c r="J56" s="183"/>
      <c r="K56" s="183"/>
      <c r="L56" s="183"/>
      <c r="M56" s="196"/>
      <c r="N56" s="181"/>
      <c r="O56" s="181"/>
      <c r="P56" s="183"/>
      <c r="Q56" s="183"/>
      <c r="R56" s="183"/>
      <c r="S56" s="112"/>
      <c r="T56" s="183"/>
      <c r="U56" s="183"/>
      <c r="V56" s="112"/>
      <c r="W56" s="183"/>
      <c r="X56" s="183"/>
      <c r="Y56" s="183"/>
      <c r="Z56" s="115"/>
      <c r="AA56" s="116"/>
      <c r="AB56" s="117"/>
      <c r="AC56" s="118"/>
      <c r="AD56" s="213"/>
      <c r="AE56" s="213"/>
    </row>
    <row r="57" customFormat="false" ht="11.1" hidden="false" customHeight="true" outlineLevel="0" collapsed="false">
      <c r="A57" s="183"/>
      <c r="B57" s="183"/>
      <c r="C57" s="112"/>
      <c r="D57" s="183"/>
      <c r="E57" s="112"/>
      <c r="F57" s="183"/>
      <c r="G57" s="194"/>
      <c r="H57" s="116"/>
      <c r="I57" s="183"/>
      <c r="J57" s="183"/>
      <c r="K57" s="183"/>
      <c r="L57" s="183"/>
      <c r="M57" s="196"/>
      <c r="N57" s="181"/>
      <c r="O57" s="181"/>
      <c r="P57" s="183"/>
      <c r="Q57" s="183"/>
      <c r="R57" s="183"/>
      <c r="S57" s="112"/>
      <c r="T57" s="183"/>
      <c r="U57" s="183"/>
      <c r="V57" s="112"/>
      <c r="W57" s="183"/>
      <c r="X57" s="183"/>
      <c r="Y57" s="183"/>
      <c r="Z57" s="115"/>
      <c r="AA57" s="116"/>
      <c r="AB57" s="117"/>
      <c r="AC57" s="118"/>
      <c r="AD57" s="213"/>
      <c r="AE57" s="213"/>
    </row>
  </sheetData>
  <mergeCells count="2">
    <mergeCell ref="K2:T2"/>
    <mergeCell ref="M5:P5"/>
  </mergeCells>
  <printOptions headings="true" gridLines="true" gridLinesSet="true" horizontalCentered="true" verticalCentered="false"/>
  <pageMargins left="0" right="0" top="0" bottom="0" header="0.511811023622047" footer="0.511811023622047"/>
  <pageSetup paperSize="5"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F55"/>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pane xSplit="1" ySplit="11" topLeftCell="B28" activePane="bottomRight" state="frozen"/>
      <selection pane="topLeft" activeCell="A1" activeCellId="0" sqref="A1"/>
      <selection pane="topRight" activeCell="B1" activeCellId="0" sqref="B1"/>
      <selection pane="bottomLeft" activeCell="A28" activeCellId="0" sqref="A28"/>
      <selection pane="bottomRight" activeCell="B37" activeCellId="1" sqref="AA13:AA42 B37"/>
    </sheetView>
  </sheetViews>
  <sheetFormatPr defaultColWidth="9.3359375" defaultRowHeight="11.1" zeroHeight="false" outlineLevelRow="0" outlineLevelCol="0"/>
  <cols>
    <col collapsed="false" customWidth="true" hidden="false" outlineLevel="0" max="1" min="1" style="104" width="5.67"/>
    <col collapsed="false" customWidth="true" hidden="false" outlineLevel="0" max="2" min="2" style="104" width="7.49"/>
    <col collapsed="false" customWidth="true" hidden="false" outlineLevel="0" max="3" min="3" style="105" width="6.82"/>
    <col collapsed="false" customWidth="true" hidden="false" outlineLevel="0" max="4" min="4" style="104" width="6.99"/>
    <col collapsed="false" customWidth="true" hidden="false" outlineLevel="0" max="5" min="5" style="105" width="7.66"/>
    <col collapsed="false" customWidth="true" hidden="false" outlineLevel="0" max="6" min="6" style="104" width="7.66"/>
    <col collapsed="false" customWidth="true" hidden="false" outlineLevel="0" max="7" min="7" style="104" width="7.16"/>
    <col collapsed="false" customWidth="true" hidden="false" outlineLevel="0" max="8" min="8" style="195" width="6.66"/>
    <col collapsed="false" customWidth="true" hidden="false" outlineLevel="0" max="9" min="9" style="104" width="7.99"/>
    <col collapsed="false" customWidth="true" hidden="false" outlineLevel="0" max="11" min="10" style="104" width="6.66"/>
    <col collapsed="false" customWidth="true" hidden="false" outlineLevel="0" max="12" min="12" style="104" width="7.16"/>
    <col collapsed="false" customWidth="true" hidden="false" outlineLevel="0" max="13" min="13" style="107" width="6.16"/>
    <col collapsed="false" customWidth="true" hidden="false" outlineLevel="0" max="14" min="14" style="107" width="5.99"/>
    <col collapsed="false" customWidth="true" hidden="false" outlineLevel="0" max="15" min="15" style="107" width="6.49"/>
    <col collapsed="false" customWidth="true" hidden="false" outlineLevel="0" max="16" min="16" style="108" width="7.16"/>
    <col collapsed="false" customWidth="true" hidden="false" outlineLevel="0" max="18" min="17" style="104" width="5.49"/>
    <col collapsed="false" customWidth="true" hidden="false" outlineLevel="0" max="19" min="19" style="105" width="6.82"/>
    <col collapsed="false" customWidth="true" hidden="false" outlineLevel="0" max="20" min="20" style="104" width="6.49"/>
    <col collapsed="false" customWidth="true" hidden="false" outlineLevel="0" max="21" min="21" style="104" width="5.67"/>
    <col collapsed="false" customWidth="true" hidden="false" outlineLevel="0" max="22" min="22" style="105" width="6.16"/>
    <col collapsed="false" customWidth="true" hidden="false" outlineLevel="0" max="23" min="23" style="104" width="6.82"/>
    <col collapsed="false" customWidth="true" hidden="false" outlineLevel="0" max="25" min="24" style="104" width="7.82"/>
    <col collapsed="false" customWidth="true" hidden="false" outlineLevel="0" max="26" min="26" style="108" width="7.82"/>
    <col collapsed="false" customWidth="true" hidden="false" outlineLevel="0" max="27" min="27" style="106" width="5.32"/>
    <col collapsed="false" customWidth="true" hidden="false" outlineLevel="0" max="28" min="28" style="109" width="3.82"/>
    <col collapsed="false" customWidth="true" hidden="false" outlineLevel="0" max="29" min="29" style="110" width="3.82"/>
    <col collapsed="false" customWidth="true" hidden="false" outlineLevel="0" max="30" min="30" style="107" width="5.99"/>
    <col collapsed="false" customWidth="true" hidden="false" outlineLevel="0" max="31" min="31" style="104" width="6.66"/>
    <col collapsed="false" customWidth="false" hidden="false" outlineLevel="0" max="257" min="32" style="104" width="9.32"/>
  </cols>
  <sheetData>
    <row r="1" customFormat="false" ht="14.1" hidden="false" customHeight="true" outlineLevel="0" collapsed="false">
      <c r="A1" s="111" t="s">
        <v>71</v>
      </c>
      <c r="B1" s="111"/>
      <c r="C1" s="112"/>
      <c r="D1" s="111"/>
      <c r="E1" s="112"/>
      <c r="F1" s="111"/>
      <c r="G1" s="111"/>
      <c r="H1" s="196"/>
      <c r="I1" s="111"/>
      <c r="J1" s="111"/>
      <c r="K1" s="114" t="s">
        <v>0</v>
      </c>
      <c r="L1" s="111"/>
      <c r="M1" s="111"/>
      <c r="N1" s="111"/>
      <c r="O1" s="111"/>
      <c r="P1" s="115"/>
      <c r="Q1" s="111"/>
      <c r="R1" s="111"/>
      <c r="S1" s="112"/>
      <c r="T1" s="111"/>
      <c r="U1" s="111"/>
      <c r="V1" s="112"/>
      <c r="W1" s="111"/>
      <c r="X1" s="111"/>
      <c r="Y1" s="111"/>
      <c r="Z1" s="115"/>
      <c r="AA1" s="116"/>
      <c r="AB1" s="117"/>
      <c r="AC1" s="118"/>
      <c r="AD1" s="214"/>
      <c r="AE1" s="197"/>
    </row>
    <row r="2" customFormat="false" ht="14.1" hidden="false" customHeight="true" outlineLevel="0" collapsed="false">
      <c r="A2" s="111" t="s">
        <v>1</v>
      </c>
      <c r="B2" s="111"/>
      <c r="C2" s="112"/>
      <c r="D2" s="119" t="n">
        <v>1.9835</v>
      </c>
      <c r="E2" s="112"/>
      <c r="F2" s="111"/>
      <c r="G2" s="111"/>
      <c r="H2" s="196"/>
      <c r="I2" s="111"/>
      <c r="J2" s="111"/>
      <c r="K2" s="120" t="s">
        <v>72</v>
      </c>
      <c r="L2" s="120"/>
      <c r="M2" s="120"/>
      <c r="N2" s="120"/>
      <c r="O2" s="120"/>
      <c r="P2" s="120"/>
      <c r="Q2" s="120"/>
      <c r="R2" s="120"/>
      <c r="S2" s="120"/>
      <c r="T2" s="120"/>
      <c r="U2" s="111"/>
      <c r="V2" s="112"/>
      <c r="W2" s="111"/>
      <c r="X2" s="111"/>
      <c r="Y2" s="111"/>
      <c r="Z2" s="115"/>
      <c r="AA2" s="116"/>
      <c r="AB2" s="117"/>
      <c r="AC2" s="118"/>
      <c r="AD2" s="214"/>
      <c r="AE2" s="197"/>
    </row>
    <row r="3" customFormat="false" ht="14.1" hidden="false" customHeight="true" outlineLevel="0" collapsed="false">
      <c r="A3" s="121"/>
      <c r="B3" s="121"/>
      <c r="C3" s="122"/>
      <c r="D3" s="123"/>
      <c r="E3" s="122"/>
      <c r="F3" s="121"/>
      <c r="G3" s="121"/>
      <c r="H3" s="198"/>
      <c r="I3" s="121"/>
      <c r="J3" s="121"/>
      <c r="K3" s="121"/>
      <c r="L3" s="121"/>
      <c r="M3" s="121"/>
      <c r="N3" s="121"/>
      <c r="O3" s="121"/>
      <c r="P3" s="125"/>
      <c r="Q3" s="121"/>
      <c r="R3" s="121"/>
      <c r="S3" s="122"/>
      <c r="T3" s="121"/>
      <c r="U3" s="121"/>
      <c r="V3" s="122"/>
      <c r="W3" s="121"/>
      <c r="X3" s="121"/>
      <c r="Y3" s="121"/>
      <c r="Z3" s="125"/>
      <c r="AA3" s="126"/>
      <c r="AB3" s="127"/>
      <c r="AC3" s="128"/>
      <c r="AD3" s="215"/>
      <c r="AE3" s="199"/>
      <c r="AF3" s="129"/>
    </row>
    <row r="4" customFormat="false" ht="14.1" hidden="false" customHeight="true" outlineLevel="0" collapsed="false">
      <c r="A4" s="111"/>
      <c r="B4" s="130"/>
      <c r="C4" s="131"/>
      <c r="D4" s="200" t="s">
        <v>3</v>
      </c>
      <c r="E4" s="131"/>
      <c r="F4" s="133"/>
      <c r="G4" s="111"/>
      <c r="H4" s="196"/>
      <c r="I4" s="111"/>
      <c r="J4" s="111"/>
      <c r="K4" s="111"/>
      <c r="L4" s="111"/>
      <c r="M4" s="111"/>
      <c r="N4" s="111"/>
      <c r="O4" s="111"/>
      <c r="P4" s="115"/>
      <c r="Q4" s="134" t="s">
        <v>4</v>
      </c>
      <c r="R4" s="111"/>
      <c r="S4" s="112"/>
      <c r="T4" s="111"/>
      <c r="U4" s="111"/>
      <c r="V4" s="112"/>
      <c r="W4" s="111"/>
      <c r="X4" s="111"/>
      <c r="Y4" s="111"/>
      <c r="Z4" s="115"/>
      <c r="AA4" s="135"/>
      <c r="AB4" s="136" t="s">
        <v>5</v>
      </c>
      <c r="AC4" s="137"/>
      <c r="AD4" s="214"/>
      <c r="AE4" s="197"/>
    </row>
    <row r="5" customFormat="false" ht="11.1" hidden="false" customHeight="true" outlineLevel="0" collapsed="false">
      <c r="A5" s="138" t="s">
        <v>6</v>
      </c>
      <c r="B5" s="139" t="s">
        <v>7</v>
      </c>
      <c r="C5" s="140" t="s">
        <v>7</v>
      </c>
      <c r="D5" s="138" t="s">
        <v>8</v>
      </c>
      <c r="E5" s="140" t="s">
        <v>9</v>
      </c>
      <c r="F5" s="141" t="s">
        <v>10</v>
      </c>
      <c r="G5" s="138" t="s">
        <v>11</v>
      </c>
      <c r="H5" s="216" t="s">
        <v>12</v>
      </c>
      <c r="I5" s="138" t="s">
        <v>13</v>
      </c>
      <c r="J5" s="138" t="s">
        <v>14</v>
      </c>
      <c r="K5" s="138" t="s">
        <v>15</v>
      </c>
      <c r="L5" s="138" t="s">
        <v>14</v>
      </c>
      <c r="M5" s="143" t="s">
        <v>16</v>
      </c>
      <c r="N5" s="143"/>
      <c r="O5" s="143"/>
      <c r="P5" s="143"/>
      <c r="Q5" s="138" t="s">
        <v>17</v>
      </c>
      <c r="R5" s="138" t="s">
        <v>18</v>
      </c>
      <c r="S5" s="138" t="s">
        <v>15</v>
      </c>
      <c r="T5" s="140" t="s">
        <v>19</v>
      </c>
      <c r="U5" s="138" t="s">
        <v>20</v>
      </c>
      <c r="V5" s="138" t="s">
        <v>21</v>
      </c>
      <c r="W5" s="140" t="s">
        <v>22</v>
      </c>
      <c r="X5" s="138" t="s">
        <v>13</v>
      </c>
      <c r="Y5" s="138" t="s">
        <v>14</v>
      </c>
      <c r="Z5" s="138" t="s">
        <v>15</v>
      </c>
      <c r="AA5" s="144" t="s">
        <v>23</v>
      </c>
      <c r="AB5" s="145" t="s">
        <v>24</v>
      </c>
      <c r="AC5" s="146" t="s">
        <v>25</v>
      </c>
      <c r="AD5" s="217" t="s">
        <v>64</v>
      </c>
      <c r="AE5" s="203" t="s">
        <v>19</v>
      </c>
      <c r="AF5" s="197"/>
    </row>
    <row r="6" customFormat="false" ht="11.1" hidden="false" customHeight="true" outlineLevel="0" collapsed="false">
      <c r="A6" s="148" t="s">
        <v>73</v>
      </c>
      <c r="B6" s="139" t="s">
        <v>28</v>
      </c>
      <c r="C6" s="140" t="s">
        <v>8</v>
      </c>
      <c r="D6" s="138" t="s">
        <v>29</v>
      </c>
      <c r="E6" s="140" t="s">
        <v>30</v>
      </c>
      <c r="F6" s="141" t="s">
        <v>31</v>
      </c>
      <c r="G6" s="138" t="s">
        <v>32</v>
      </c>
      <c r="H6" s="216" t="s">
        <v>33</v>
      </c>
      <c r="I6" s="138" t="s">
        <v>34</v>
      </c>
      <c r="J6" s="138" t="s">
        <v>34</v>
      </c>
      <c r="K6" s="138" t="s">
        <v>34</v>
      </c>
      <c r="L6" s="138" t="s">
        <v>35</v>
      </c>
      <c r="M6" s="149" t="s">
        <v>36</v>
      </c>
      <c r="N6" s="138" t="s">
        <v>37</v>
      </c>
      <c r="O6" s="138" t="s">
        <v>38</v>
      </c>
      <c r="P6" s="218" t="s">
        <v>39</v>
      </c>
      <c r="Q6" s="138" t="s">
        <v>40</v>
      </c>
      <c r="R6" s="138" t="s">
        <v>41</v>
      </c>
      <c r="S6" s="138" t="s">
        <v>19</v>
      </c>
      <c r="T6" s="140" t="s">
        <v>42</v>
      </c>
      <c r="U6" s="138" t="s">
        <v>43</v>
      </c>
      <c r="V6" s="138" t="s">
        <v>44</v>
      </c>
      <c r="W6" s="140" t="s">
        <v>45</v>
      </c>
      <c r="X6" s="138" t="s">
        <v>46</v>
      </c>
      <c r="Y6" s="138" t="s">
        <v>46</v>
      </c>
      <c r="Z6" s="138" t="s">
        <v>46</v>
      </c>
      <c r="AA6" s="151"/>
      <c r="AB6" s="145" t="s">
        <v>47</v>
      </c>
      <c r="AC6" s="146" t="s">
        <v>47</v>
      </c>
      <c r="AD6" s="219" t="s">
        <v>42</v>
      </c>
      <c r="AE6" s="203" t="s">
        <v>42</v>
      </c>
      <c r="AF6" s="197"/>
    </row>
    <row r="7" customFormat="false" ht="11.1" hidden="false" customHeight="true" outlineLevel="0" collapsed="false">
      <c r="A7" s="153"/>
      <c r="B7" s="154"/>
      <c r="C7" s="155"/>
      <c r="D7" s="153"/>
      <c r="E7" s="156" t="s">
        <v>48</v>
      </c>
      <c r="F7" s="157"/>
      <c r="G7" s="153"/>
      <c r="H7" s="220"/>
      <c r="I7" s="153"/>
      <c r="J7" s="153"/>
      <c r="K7" s="153"/>
      <c r="L7" s="153"/>
      <c r="M7" s="159"/>
      <c r="N7" s="153"/>
      <c r="O7" s="153"/>
      <c r="P7" s="221"/>
      <c r="Q7" s="153"/>
      <c r="R7" s="153"/>
      <c r="S7" s="153"/>
      <c r="T7" s="156" t="s">
        <v>49</v>
      </c>
      <c r="U7" s="153"/>
      <c r="V7" s="153"/>
      <c r="W7" s="155"/>
      <c r="X7" s="153"/>
      <c r="Y7" s="153"/>
      <c r="Z7" s="153"/>
      <c r="AA7" s="161"/>
      <c r="AB7" s="152" t="s">
        <v>50</v>
      </c>
      <c r="AC7" s="162"/>
      <c r="AD7" s="222"/>
      <c r="AE7" s="203" t="s">
        <v>51</v>
      </c>
      <c r="AF7" s="208"/>
    </row>
    <row r="8" customFormat="false" ht="11.1" hidden="false" customHeight="true" outlineLevel="0" collapsed="false">
      <c r="A8" s="153"/>
      <c r="B8" s="154"/>
      <c r="C8" s="155"/>
      <c r="D8" s="153"/>
      <c r="E8" s="155"/>
      <c r="F8" s="157"/>
      <c r="G8" s="153"/>
      <c r="H8" s="220"/>
      <c r="I8" s="153"/>
      <c r="J8" s="153"/>
      <c r="K8" s="153"/>
      <c r="L8" s="153"/>
      <c r="M8" s="159"/>
      <c r="N8" s="153"/>
      <c r="O8" s="153"/>
      <c r="P8" s="221"/>
      <c r="Q8" s="153"/>
      <c r="R8" s="153"/>
      <c r="S8" s="153"/>
      <c r="T8" s="155"/>
      <c r="U8" s="153"/>
      <c r="V8" s="153"/>
      <c r="W8" s="155"/>
      <c r="X8" s="153"/>
      <c r="Y8" s="153"/>
      <c r="Z8" s="153"/>
      <c r="AA8" s="161"/>
      <c r="AB8" s="118"/>
      <c r="AC8" s="162"/>
      <c r="AD8" s="222"/>
      <c r="AE8" s="208"/>
      <c r="AF8" s="208"/>
    </row>
    <row r="9" customFormat="false" ht="11.1" hidden="false" customHeight="true" outlineLevel="0" collapsed="false">
      <c r="A9" s="111" t="s">
        <v>52</v>
      </c>
      <c r="B9" s="163"/>
      <c r="C9" s="112"/>
      <c r="D9" s="112"/>
      <c r="E9" s="112"/>
      <c r="F9" s="164"/>
      <c r="G9" s="112"/>
      <c r="H9" s="196"/>
      <c r="I9" s="112"/>
      <c r="J9" s="112"/>
      <c r="K9" s="112"/>
      <c r="L9" s="112"/>
      <c r="M9" s="165"/>
      <c r="N9" s="112"/>
      <c r="O9" s="112"/>
      <c r="P9" s="223"/>
      <c r="Q9" s="112"/>
      <c r="R9" s="112"/>
      <c r="S9" s="112"/>
      <c r="T9" s="112"/>
      <c r="U9" s="112"/>
      <c r="V9" s="112"/>
      <c r="W9" s="112"/>
      <c r="X9" s="112"/>
      <c r="Y9" s="112"/>
      <c r="Z9" s="112"/>
      <c r="AA9" s="161"/>
      <c r="AB9" s="117"/>
      <c r="AC9" s="167"/>
      <c r="AD9" s="222"/>
      <c r="AE9" s="208"/>
      <c r="AF9" s="210"/>
    </row>
    <row r="10" s="105" customFormat="true" ht="11.1" hidden="false" customHeight="true" outlineLevel="0" collapsed="false">
      <c r="A10" s="112" t="s">
        <v>53</v>
      </c>
      <c r="B10" s="168" t="n">
        <f aca="false">JAN!B42</f>
        <v>6858.93</v>
      </c>
      <c r="C10" s="112" t="n">
        <f aca="false">JAN!C42</f>
        <v>160646</v>
      </c>
      <c r="D10" s="112" t="n">
        <f aca="false">JAN!$D$51</f>
        <v>4079</v>
      </c>
      <c r="E10" s="112" t="n">
        <f aca="false">JAN!$E$42</f>
        <v>8646</v>
      </c>
      <c r="F10" s="164" t="n">
        <f aca="false">JAN!F50</f>
        <v>2056.46584320645</v>
      </c>
      <c r="G10" s="112" t="n">
        <f aca="false">JAN!G50</f>
        <v>3950</v>
      </c>
      <c r="H10" s="196" t="n">
        <f aca="false">JAN!H50</f>
        <v>1.9</v>
      </c>
      <c r="I10" s="112" t="n">
        <f aca="false">JAN!I50</f>
        <v>3951.9</v>
      </c>
      <c r="J10" s="112" t="n">
        <f aca="false">JAN!J50</f>
        <v>580.820758759769</v>
      </c>
      <c r="K10" s="112" t="n">
        <f aca="false">JAN!K50</f>
        <v>4532.72075875977</v>
      </c>
      <c r="L10" s="112" t="n">
        <f aca="false">JAN!L50</f>
        <v>49.5558432064539</v>
      </c>
      <c r="M10" s="165" t="n">
        <f aca="false">JAN!M50</f>
        <v>514.1</v>
      </c>
      <c r="N10" s="112" t="n">
        <f aca="false">JAN!N50</f>
        <v>0</v>
      </c>
      <c r="O10" s="112" t="n">
        <f aca="false">JAN!O50</f>
        <v>0</v>
      </c>
      <c r="P10" s="223" t="n">
        <f aca="false">JAN!P50</f>
        <v>514.1</v>
      </c>
      <c r="Q10" s="112" t="n">
        <f aca="false">JAN!Q50</f>
        <v>62</v>
      </c>
      <c r="R10" s="112" t="n">
        <f aca="false">JAN!R50</f>
        <v>51</v>
      </c>
      <c r="S10" s="112" t="n">
        <f aca="false">JAN!S50</f>
        <v>627.1</v>
      </c>
      <c r="T10" s="112" t="n">
        <f aca="false">JAN!T50</f>
        <v>0</v>
      </c>
      <c r="U10" s="112" t="n">
        <f aca="false">JAN!U50</f>
        <v>0</v>
      </c>
      <c r="V10" s="112" t="n">
        <f aca="false">JAN!V50</f>
        <v>1317.89</v>
      </c>
      <c r="W10" s="112" t="n">
        <f aca="false">JAN!W50</f>
        <v>1092.11</v>
      </c>
      <c r="X10" s="112" t="n">
        <f aca="false">JAN!X50</f>
        <v>1944.99</v>
      </c>
      <c r="Y10" s="112" t="n">
        <f aca="false">JAN!Y50</f>
        <v>531.264915553315</v>
      </c>
      <c r="Z10" s="112" t="n">
        <f aca="false">JAN!Z50</f>
        <v>2476.25491555331</v>
      </c>
      <c r="AA10" s="161" t="n">
        <f aca="false">JAN!AA50</f>
        <v>2.27</v>
      </c>
      <c r="AB10" s="117"/>
      <c r="AC10" s="167"/>
      <c r="AD10" s="222"/>
      <c r="AE10" s="211"/>
      <c r="AF10" s="208"/>
    </row>
    <row r="11" customFormat="false" ht="3" hidden="false" customHeight="true" outlineLevel="0" collapsed="false">
      <c r="A11" s="169"/>
      <c r="B11" s="170"/>
      <c r="C11" s="171"/>
      <c r="D11" s="169"/>
      <c r="E11" s="171"/>
      <c r="F11" s="172"/>
      <c r="G11" s="169"/>
      <c r="H11" s="224"/>
      <c r="I11" s="169"/>
      <c r="J11" s="169"/>
      <c r="K11" s="169"/>
      <c r="L11" s="169"/>
      <c r="M11" s="174"/>
      <c r="N11" s="169"/>
      <c r="O11" s="169"/>
      <c r="P11" s="225"/>
      <c r="Q11" s="169"/>
      <c r="R11" s="169"/>
      <c r="S11" s="169"/>
      <c r="T11" s="171"/>
      <c r="U11" s="169"/>
      <c r="V11" s="169"/>
      <c r="W11" s="171"/>
      <c r="X11" s="169"/>
      <c r="Y11" s="169"/>
      <c r="Z11" s="169"/>
      <c r="AA11" s="176"/>
      <c r="AB11" s="177"/>
      <c r="AC11" s="178"/>
      <c r="AD11" s="226"/>
      <c r="AE11" s="179"/>
      <c r="AF11" s="179"/>
    </row>
    <row r="12" customFormat="false" ht="11.1" hidden="false" customHeight="true" outlineLevel="0" collapsed="false">
      <c r="A12" s="118" t="n">
        <v>1</v>
      </c>
      <c r="B12" s="168" t="n">
        <v>6858.96</v>
      </c>
      <c r="C12" s="112" t="n">
        <v>160713</v>
      </c>
      <c r="D12" s="117" t="n">
        <f aca="false">C12-C10</f>
        <v>67</v>
      </c>
      <c r="E12" s="112" t="n">
        <f aca="false">C12-152000</f>
        <v>8713</v>
      </c>
      <c r="F12" s="180" t="n">
        <f aca="false">D12/$D$2</f>
        <v>33.7786740610033</v>
      </c>
      <c r="G12" s="111" t="n">
        <v>28</v>
      </c>
      <c r="H12" s="196" t="n">
        <v>0.47</v>
      </c>
      <c r="I12" s="111" t="n">
        <f aca="false">G12+H12</f>
        <v>28.47</v>
      </c>
      <c r="J12" s="181" t="n">
        <f aca="false">IF(L12&gt;0,L12,0)</f>
        <v>27.3086740610033</v>
      </c>
      <c r="K12" s="111" t="n">
        <f aca="false">I12+J12</f>
        <v>55.7786740610033</v>
      </c>
      <c r="L12" s="111" t="n">
        <f aca="false">F12-(I12-X12)</f>
        <v>27.3086740610033</v>
      </c>
      <c r="M12" s="182" t="n">
        <v>8</v>
      </c>
      <c r="N12" s="111" t="n">
        <v>0</v>
      </c>
      <c r="O12" s="111" t="n">
        <v>0</v>
      </c>
      <c r="P12" s="227" t="n">
        <f aca="false">M12-(N12+O12)</f>
        <v>8</v>
      </c>
      <c r="Q12" s="111" t="n">
        <v>0</v>
      </c>
      <c r="R12" s="111" t="n">
        <v>0</v>
      </c>
      <c r="S12" s="111" t="n">
        <f aca="false">SUM(P12:R12)</f>
        <v>8</v>
      </c>
      <c r="T12" s="112"/>
      <c r="U12" s="111" t="n">
        <v>0</v>
      </c>
      <c r="V12" s="111" t="n">
        <v>14</v>
      </c>
      <c r="W12" s="112" t="n">
        <f aca="false">W10-V12</f>
        <v>1078.11</v>
      </c>
      <c r="X12" s="6" t="n">
        <f aca="false">N12+O12+S12+U12+V12</f>
        <v>22</v>
      </c>
      <c r="Y12" s="111" t="n">
        <f aca="false">IF(L12&lt;0,L12*-1,0)</f>
        <v>0</v>
      </c>
      <c r="Z12" s="111" t="n">
        <f aca="false">X12+Y12</f>
        <v>22</v>
      </c>
      <c r="AA12" s="161" t="n">
        <v>0</v>
      </c>
      <c r="AB12" s="117" t="n">
        <v>53</v>
      </c>
      <c r="AC12" s="167" t="n">
        <v>30</v>
      </c>
      <c r="AD12" s="222"/>
      <c r="AE12" s="210"/>
      <c r="AF12" s="211"/>
    </row>
    <row r="13" customFormat="false" ht="11.1" hidden="false" customHeight="true" outlineLevel="0" collapsed="false">
      <c r="A13" s="118" t="n">
        <f aca="false">A12+1</f>
        <v>2</v>
      </c>
      <c r="B13" s="168" t="n">
        <v>6858.98</v>
      </c>
      <c r="C13" s="112" t="n">
        <v>160758</v>
      </c>
      <c r="D13" s="117" t="n">
        <f aca="false">C13-C12</f>
        <v>45</v>
      </c>
      <c r="E13" s="112" t="n">
        <f aca="false">C13-152000</f>
        <v>8758</v>
      </c>
      <c r="F13" s="180" t="n">
        <f aca="false">D13/$D$2</f>
        <v>22.68716914545</v>
      </c>
      <c r="G13" s="111" t="n">
        <v>35</v>
      </c>
      <c r="H13" s="196" t="n">
        <v>0.6</v>
      </c>
      <c r="I13" s="111" t="n">
        <f aca="false">G13+H13</f>
        <v>35.6</v>
      </c>
      <c r="J13" s="181" t="n">
        <f aca="false">IF(L13&gt;0,L13,0)</f>
        <v>9.08716914544996</v>
      </c>
      <c r="K13" s="111" t="n">
        <f aca="false">I13+J13</f>
        <v>44.68716914545</v>
      </c>
      <c r="L13" s="111" t="n">
        <f aca="false">F13-(I13-X13)</f>
        <v>9.08716914544996</v>
      </c>
      <c r="M13" s="182" t="n">
        <v>8</v>
      </c>
      <c r="N13" s="111" t="n">
        <v>0</v>
      </c>
      <c r="O13" s="111" t="n">
        <v>0</v>
      </c>
      <c r="P13" s="227" t="n">
        <f aca="false">M13-(N13+O13)</f>
        <v>8</v>
      </c>
      <c r="Q13" s="111" t="n">
        <v>0</v>
      </c>
      <c r="R13" s="111" t="n">
        <v>0</v>
      </c>
      <c r="S13" s="111" t="n">
        <f aca="false">SUM(P13:R13)</f>
        <v>8</v>
      </c>
      <c r="T13" s="112"/>
      <c r="U13" s="111" t="n">
        <v>0</v>
      </c>
      <c r="V13" s="111" t="n">
        <v>14</v>
      </c>
      <c r="W13" s="112" t="n">
        <f aca="false">W12-V13</f>
        <v>1064.11</v>
      </c>
      <c r="X13" s="6" t="n">
        <f aca="false">N13+O13+S13+U13+V13</f>
        <v>22</v>
      </c>
      <c r="Y13" s="111" t="n">
        <f aca="false">IF(L13&lt;0,L13*-1,0)</f>
        <v>0</v>
      </c>
      <c r="Z13" s="111" t="n">
        <f aca="false">X13+Y13</f>
        <v>22</v>
      </c>
      <c r="AA13" s="161" t="n">
        <v>0.08</v>
      </c>
      <c r="AB13" s="117" t="n">
        <v>47</v>
      </c>
      <c r="AC13" s="167" t="n">
        <v>35</v>
      </c>
      <c r="AD13" s="222"/>
      <c r="AE13" s="210"/>
      <c r="AF13" s="211"/>
    </row>
    <row r="14" customFormat="false" ht="11.1" hidden="false" customHeight="true" outlineLevel="0" collapsed="false">
      <c r="A14" s="118" t="n">
        <f aca="false">A13+1</f>
        <v>3</v>
      </c>
      <c r="B14" s="168" t="n">
        <v>6858.98</v>
      </c>
      <c r="C14" s="112" t="n">
        <v>160758</v>
      </c>
      <c r="D14" s="117" t="n">
        <f aca="false">C14-C13</f>
        <v>0</v>
      </c>
      <c r="E14" s="112" t="n">
        <f aca="false">C14-152000</f>
        <v>8758</v>
      </c>
      <c r="F14" s="180" t="n">
        <f aca="false">D14/$D$2</f>
        <v>0</v>
      </c>
      <c r="G14" s="111" t="n">
        <v>34</v>
      </c>
      <c r="H14" s="196" t="n">
        <v>0.64</v>
      </c>
      <c r="I14" s="111" t="n">
        <f aca="false">G14+H14</f>
        <v>34.64</v>
      </c>
      <c r="J14" s="181" t="n">
        <f aca="false">IF(L14&gt;0,L14,0)</f>
        <v>0</v>
      </c>
      <c r="K14" s="111" t="n">
        <f aca="false">I14+J14</f>
        <v>34.64</v>
      </c>
      <c r="L14" s="111" t="n">
        <f aca="false">F14-(I14-X14)</f>
        <v>-12.94</v>
      </c>
      <c r="M14" s="182" t="n">
        <v>7.7</v>
      </c>
      <c r="N14" s="111" t="n">
        <v>0</v>
      </c>
      <c r="O14" s="111" t="n">
        <v>0</v>
      </c>
      <c r="P14" s="227" t="n">
        <f aca="false">M14-(N14+O14)</f>
        <v>7.7</v>
      </c>
      <c r="Q14" s="111" t="n">
        <v>0</v>
      </c>
      <c r="R14" s="111" t="n">
        <v>0</v>
      </c>
      <c r="S14" s="111" t="n">
        <f aca="false">SUM(P14:R14)</f>
        <v>7.7</v>
      </c>
      <c r="T14" s="112"/>
      <c r="U14" s="111" t="n">
        <v>0</v>
      </c>
      <c r="V14" s="111" t="n">
        <v>14</v>
      </c>
      <c r="W14" s="112" t="n">
        <f aca="false">W13-V14</f>
        <v>1050.11</v>
      </c>
      <c r="X14" s="6" t="n">
        <f aca="false">N14+O14+S14+U14+V14</f>
        <v>21.7</v>
      </c>
      <c r="Y14" s="111" t="n">
        <f aca="false">IF(L14&lt;0,L14*-1,0)</f>
        <v>12.94</v>
      </c>
      <c r="Z14" s="111" t="n">
        <f aca="false">X14+Y14</f>
        <v>34.64</v>
      </c>
      <c r="AA14" s="161" t="n">
        <v>0</v>
      </c>
      <c r="AB14" s="117" t="n">
        <v>35</v>
      </c>
      <c r="AC14" s="167" t="n">
        <v>14</v>
      </c>
      <c r="AD14" s="222"/>
      <c r="AE14" s="210"/>
      <c r="AF14" s="211"/>
    </row>
    <row r="15" customFormat="false" ht="11.1" hidden="false" customHeight="true" outlineLevel="0" collapsed="false">
      <c r="A15" s="118" t="n">
        <f aca="false">A14+1</f>
        <v>4</v>
      </c>
      <c r="B15" s="168" t="n">
        <v>6858.98</v>
      </c>
      <c r="C15" s="112" t="n">
        <v>160758</v>
      </c>
      <c r="D15" s="117" t="n">
        <f aca="false">C15-C14</f>
        <v>0</v>
      </c>
      <c r="E15" s="112" t="n">
        <f aca="false">C15-152000</f>
        <v>8758</v>
      </c>
      <c r="F15" s="180" t="n">
        <f aca="false">D15/$D$2</f>
        <v>0</v>
      </c>
      <c r="G15" s="111" t="n">
        <v>25</v>
      </c>
      <c r="H15" s="196" t="n">
        <v>0.58</v>
      </c>
      <c r="I15" s="111" t="n">
        <f aca="false">G15+H15</f>
        <v>25.58</v>
      </c>
      <c r="J15" s="181" t="n">
        <f aca="false">IF(L15&gt;0,L15,0)</f>
        <v>0</v>
      </c>
      <c r="K15" s="111" t="n">
        <f aca="false">I15+J15</f>
        <v>25.58</v>
      </c>
      <c r="L15" s="111" t="n">
        <f aca="false">F15-(I15-X15)</f>
        <v>-4.08</v>
      </c>
      <c r="M15" s="182" t="n">
        <v>7.5</v>
      </c>
      <c r="N15" s="111" t="n">
        <v>0</v>
      </c>
      <c r="O15" s="111" t="n">
        <v>0</v>
      </c>
      <c r="P15" s="227" t="n">
        <f aca="false">M15-(N15+O15)</f>
        <v>7.5</v>
      </c>
      <c r="Q15" s="111" t="n">
        <v>0</v>
      </c>
      <c r="R15" s="111" t="n">
        <v>0</v>
      </c>
      <c r="S15" s="111" t="n">
        <f aca="false">SUM(P15:R15)</f>
        <v>7.5</v>
      </c>
      <c r="T15" s="112"/>
      <c r="U15" s="111" t="n">
        <v>0</v>
      </c>
      <c r="V15" s="111" t="n">
        <v>14</v>
      </c>
      <c r="W15" s="112" t="n">
        <f aca="false">W14-V15</f>
        <v>1036.11</v>
      </c>
      <c r="X15" s="6" t="n">
        <f aca="false">N15+O15+S15+U15+V15</f>
        <v>21.5</v>
      </c>
      <c r="Y15" s="111" t="n">
        <f aca="false">IF(L15&lt;0,L15*-1,0)</f>
        <v>4.08</v>
      </c>
      <c r="Z15" s="111" t="n">
        <f aca="false">X15+Y15</f>
        <v>25.58</v>
      </c>
      <c r="AA15" s="161" t="n">
        <v>0</v>
      </c>
      <c r="AB15" s="117" t="n">
        <v>39</v>
      </c>
      <c r="AC15" s="167" t="n">
        <v>10.9</v>
      </c>
      <c r="AD15" s="222"/>
      <c r="AE15" s="210"/>
      <c r="AF15" s="211"/>
    </row>
    <row r="16" customFormat="false" ht="11.1" hidden="false" customHeight="true" outlineLevel="0" collapsed="false">
      <c r="A16" s="118" t="n">
        <f aca="false">A15+1</f>
        <v>5</v>
      </c>
      <c r="B16" s="168" t="n">
        <v>6858.98</v>
      </c>
      <c r="C16" s="112" t="n">
        <v>160758</v>
      </c>
      <c r="D16" s="117" t="n">
        <f aca="false">C16-C15</f>
        <v>0</v>
      </c>
      <c r="E16" s="112" t="n">
        <f aca="false">C16-152000</f>
        <v>8758</v>
      </c>
      <c r="F16" s="180" t="n">
        <f aca="false">D16/$D$2</f>
        <v>0</v>
      </c>
      <c r="G16" s="111" t="n">
        <v>28</v>
      </c>
      <c r="H16" s="196" t="n">
        <v>0.56</v>
      </c>
      <c r="I16" s="111" t="n">
        <f aca="false">G16+H16</f>
        <v>28.56</v>
      </c>
      <c r="J16" s="181" t="n">
        <f aca="false">IF(L16&gt;0,L16,0)</f>
        <v>0</v>
      </c>
      <c r="K16" s="111" t="n">
        <f aca="false">I16+J16</f>
        <v>28.56</v>
      </c>
      <c r="L16" s="111" t="n">
        <f aca="false">F16-(I16-X16)</f>
        <v>-7.06</v>
      </c>
      <c r="M16" s="182" t="n">
        <v>7.5</v>
      </c>
      <c r="N16" s="111" t="n">
        <v>0</v>
      </c>
      <c r="O16" s="111" t="n">
        <v>0</v>
      </c>
      <c r="P16" s="227" t="n">
        <f aca="false">M16-(N16+O16)</f>
        <v>7.5</v>
      </c>
      <c r="Q16" s="111" t="n">
        <v>0</v>
      </c>
      <c r="R16" s="111" t="n">
        <v>0</v>
      </c>
      <c r="S16" s="111" t="n">
        <f aca="false">SUM(P16:R16)</f>
        <v>7.5</v>
      </c>
      <c r="T16" s="112"/>
      <c r="U16" s="111" t="n">
        <v>0</v>
      </c>
      <c r="V16" s="111" t="n">
        <v>14</v>
      </c>
      <c r="W16" s="112" t="n">
        <f aca="false">W15-V16</f>
        <v>1022.11</v>
      </c>
      <c r="X16" s="6" t="n">
        <f aca="false">N16+O16+S16+U16+V16</f>
        <v>21.5</v>
      </c>
      <c r="Y16" s="111" t="n">
        <f aca="false">IF(L16&lt;0,L16*-1,0)</f>
        <v>7.06</v>
      </c>
      <c r="Z16" s="111" t="n">
        <f aca="false">X16+Y16</f>
        <v>28.56</v>
      </c>
      <c r="AA16" s="161" t="n">
        <v>0</v>
      </c>
      <c r="AB16" s="117" t="n">
        <v>34</v>
      </c>
      <c r="AC16" s="167" t="n">
        <v>10</v>
      </c>
      <c r="AD16" s="222"/>
      <c r="AE16" s="210"/>
      <c r="AF16" s="211"/>
    </row>
    <row r="17" customFormat="false" ht="11.1" hidden="false" customHeight="true" outlineLevel="0" collapsed="false">
      <c r="A17" s="118" t="n">
        <f aca="false">A16+1</f>
        <v>6</v>
      </c>
      <c r="B17" s="168" t="n">
        <v>6858.98</v>
      </c>
      <c r="C17" s="112" t="n">
        <v>160758</v>
      </c>
      <c r="D17" s="117" t="n">
        <f aca="false">C17-C16</f>
        <v>0</v>
      </c>
      <c r="E17" s="112" t="n">
        <f aca="false">C17-152000</f>
        <v>8758</v>
      </c>
      <c r="F17" s="180" t="n">
        <f aca="false">D17/$D$2</f>
        <v>0</v>
      </c>
      <c r="G17" s="111" t="n">
        <v>24</v>
      </c>
      <c r="H17" s="196" t="n">
        <v>0.51</v>
      </c>
      <c r="I17" s="111" t="n">
        <f aca="false">G17+H17</f>
        <v>24.51</v>
      </c>
      <c r="J17" s="181" t="n">
        <f aca="false">IF(L17&gt;0,L17,0)</f>
        <v>0</v>
      </c>
      <c r="K17" s="111" t="n">
        <f aca="false">I17+J17</f>
        <v>24.51</v>
      </c>
      <c r="L17" s="111" t="n">
        <f aca="false">F17-(I17-X17)</f>
        <v>-3.01</v>
      </c>
      <c r="M17" s="182" t="n">
        <v>7.5</v>
      </c>
      <c r="N17" s="111" t="n">
        <v>0</v>
      </c>
      <c r="O17" s="111" t="n">
        <v>0</v>
      </c>
      <c r="P17" s="227" t="n">
        <f aca="false">M17-(N17+O17)</f>
        <v>7.5</v>
      </c>
      <c r="Q17" s="111" t="n">
        <v>0</v>
      </c>
      <c r="R17" s="111" t="n">
        <v>0</v>
      </c>
      <c r="S17" s="111" t="n">
        <f aca="false">SUM(P17:R17)</f>
        <v>7.5</v>
      </c>
      <c r="T17" s="112"/>
      <c r="U17" s="111" t="n">
        <v>0</v>
      </c>
      <c r="V17" s="111" t="n">
        <v>14</v>
      </c>
      <c r="W17" s="112" t="n">
        <f aca="false">W16-V17</f>
        <v>1008.11</v>
      </c>
      <c r="X17" s="6" t="n">
        <f aca="false">N17+O17+S17+U17+V17</f>
        <v>21.5</v>
      </c>
      <c r="Y17" s="111" t="n">
        <f aca="false">IF(L17&lt;0,L17*-1,0)</f>
        <v>3.01</v>
      </c>
      <c r="Z17" s="111" t="n">
        <f aca="false">X17+Y17</f>
        <v>24.51</v>
      </c>
      <c r="AA17" s="161" t="n">
        <v>0</v>
      </c>
      <c r="AB17" s="117" t="n">
        <v>28</v>
      </c>
      <c r="AC17" s="167" t="n">
        <v>8.1</v>
      </c>
      <c r="AD17" s="222"/>
      <c r="AE17" s="208"/>
      <c r="AF17" s="211"/>
    </row>
    <row r="18" customFormat="false" ht="11.1" hidden="false" customHeight="true" outlineLevel="0" collapsed="false">
      <c r="A18" s="118" t="n">
        <f aca="false">A17+1</f>
        <v>7</v>
      </c>
      <c r="B18" s="168" t="n">
        <v>6858.98</v>
      </c>
      <c r="C18" s="112" t="n">
        <v>160758</v>
      </c>
      <c r="D18" s="117" t="n">
        <f aca="false">C18-C17</f>
        <v>0</v>
      </c>
      <c r="E18" s="112" t="n">
        <f aca="false">C18-152000</f>
        <v>8758</v>
      </c>
      <c r="F18" s="180" t="n">
        <f aca="false">D18/$D$2</f>
        <v>0</v>
      </c>
      <c r="G18" s="111" t="n">
        <v>17</v>
      </c>
      <c r="H18" s="196" t="n">
        <v>0.44</v>
      </c>
      <c r="I18" s="111" t="n">
        <f aca="false">G18+H18</f>
        <v>17.44</v>
      </c>
      <c r="J18" s="181" t="n">
        <f aca="false">IF(L18&gt;0,L18,0)</f>
        <v>4.36</v>
      </c>
      <c r="K18" s="111" t="n">
        <f aca="false">I18+J18</f>
        <v>21.8</v>
      </c>
      <c r="L18" s="111" t="n">
        <f aca="false">F18-(I18-X18)</f>
        <v>4.36</v>
      </c>
      <c r="M18" s="182" t="n">
        <v>7.8</v>
      </c>
      <c r="N18" s="111" t="n">
        <v>0</v>
      </c>
      <c r="O18" s="111" t="n">
        <v>0</v>
      </c>
      <c r="P18" s="227" t="n">
        <f aca="false">M18-(N18+O18)</f>
        <v>7.8</v>
      </c>
      <c r="Q18" s="111" t="n">
        <v>0</v>
      </c>
      <c r="R18" s="111" t="n">
        <v>0</v>
      </c>
      <c r="S18" s="111" t="n">
        <f aca="false">SUM(P18:R18)</f>
        <v>7.8</v>
      </c>
      <c r="T18" s="112"/>
      <c r="U18" s="111" t="n">
        <v>0</v>
      </c>
      <c r="V18" s="111" t="n">
        <v>14</v>
      </c>
      <c r="W18" s="112" t="n">
        <f aca="false">W17-V18</f>
        <v>994.11</v>
      </c>
      <c r="X18" s="6" t="n">
        <f aca="false">N18+O18+S18+U18+V18</f>
        <v>21.8</v>
      </c>
      <c r="Y18" s="111" t="n">
        <f aca="false">IF(L18&lt;0,L18*-1,0)</f>
        <v>0</v>
      </c>
      <c r="Z18" s="111" t="n">
        <f aca="false">X18+Y18</f>
        <v>21.8</v>
      </c>
      <c r="AA18" s="161" t="n">
        <v>0</v>
      </c>
      <c r="AB18" s="117" t="n">
        <v>34</v>
      </c>
      <c r="AC18" s="167" t="n">
        <v>1</v>
      </c>
      <c r="AD18" s="222"/>
      <c r="AE18" s="208"/>
      <c r="AF18" s="211"/>
    </row>
    <row r="19" customFormat="false" ht="11.1" hidden="false" customHeight="true" outlineLevel="0" collapsed="false">
      <c r="A19" s="118" t="n">
        <f aca="false">A18+1</f>
        <v>8</v>
      </c>
      <c r="B19" s="168" t="n">
        <v>6858.98</v>
      </c>
      <c r="C19" s="112" t="n">
        <v>160758</v>
      </c>
      <c r="D19" s="117" t="n">
        <f aca="false">C19-C18</f>
        <v>0</v>
      </c>
      <c r="E19" s="112" t="n">
        <f aca="false">C19-152000</f>
        <v>8758</v>
      </c>
      <c r="F19" s="180" t="n">
        <f aca="false">D19/$D$2</f>
        <v>0</v>
      </c>
      <c r="G19" s="111" t="n">
        <v>19</v>
      </c>
      <c r="H19" s="196" t="n">
        <v>0.31</v>
      </c>
      <c r="I19" s="111" t="n">
        <f aca="false">G19+H19</f>
        <v>19.31</v>
      </c>
      <c r="J19" s="181" t="n">
        <f aca="false">IF(L19&gt;0,L19,0)</f>
        <v>2.69</v>
      </c>
      <c r="K19" s="111" t="n">
        <f aca="false">I19+J19</f>
        <v>22</v>
      </c>
      <c r="L19" s="111" t="n">
        <f aca="false">F19-(I19-X19)</f>
        <v>2.69</v>
      </c>
      <c r="M19" s="182" t="n">
        <v>8</v>
      </c>
      <c r="N19" s="111" t="n">
        <v>0</v>
      </c>
      <c r="O19" s="111" t="n">
        <v>0</v>
      </c>
      <c r="P19" s="227" t="n">
        <f aca="false">M19-(N19+O19)</f>
        <v>8</v>
      </c>
      <c r="Q19" s="111" t="n">
        <v>0</v>
      </c>
      <c r="R19" s="111" t="n">
        <v>0</v>
      </c>
      <c r="S19" s="111" t="n">
        <f aca="false">SUM(P19:R19)</f>
        <v>8</v>
      </c>
      <c r="T19" s="112"/>
      <c r="U19" s="111" t="n">
        <v>0</v>
      </c>
      <c r="V19" s="111" t="n">
        <v>14</v>
      </c>
      <c r="W19" s="112" t="n">
        <f aca="false">W18-V19</f>
        <v>980.11</v>
      </c>
      <c r="X19" s="6" t="n">
        <f aca="false">N19+O19+S19+U19+V19</f>
        <v>22</v>
      </c>
      <c r="Y19" s="111" t="n">
        <f aca="false">IF(L19&lt;0,L19*-1,0)</f>
        <v>0</v>
      </c>
      <c r="Z19" s="111" t="n">
        <f aca="false">X19+Y19</f>
        <v>22</v>
      </c>
      <c r="AA19" s="161" t="n">
        <v>0</v>
      </c>
      <c r="AB19" s="117" t="n">
        <v>38</v>
      </c>
      <c r="AC19" s="167" t="n">
        <v>5</v>
      </c>
      <c r="AD19" s="222"/>
      <c r="AE19" s="208"/>
      <c r="AF19" s="211"/>
    </row>
    <row r="20" customFormat="false" ht="11.1" hidden="false" customHeight="true" outlineLevel="0" collapsed="false">
      <c r="A20" s="118" t="n">
        <f aca="false">A19+1</f>
        <v>9</v>
      </c>
      <c r="B20" s="168" t="n">
        <v>6858.99</v>
      </c>
      <c r="C20" s="112" t="n">
        <v>160781</v>
      </c>
      <c r="D20" s="117" t="n">
        <f aca="false">C20-C19</f>
        <v>23</v>
      </c>
      <c r="E20" s="112" t="n">
        <f aca="false">C20-152000</f>
        <v>8781</v>
      </c>
      <c r="F20" s="180" t="n">
        <f aca="false">D20/$D$2</f>
        <v>11.5956642298966</v>
      </c>
      <c r="G20" s="111" t="n">
        <v>22</v>
      </c>
      <c r="H20" s="196" t="n">
        <v>0.22</v>
      </c>
      <c r="I20" s="111" t="n">
        <f aca="false">G20+H20</f>
        <v>22.22</v>
      </c>
      <c r="J20" s="181" t="n">
        <f aca="false">IF(L20&gt;0,L20,0)</f>
        <v>11.3756642298966</v>
      </c>
      <c r="K20" s="111" t="n">
        <f aca="false">I20+J20</f>
        <v>33.5956642298966</v>
      </c>
      <c r="L20" s="111" t="n">
        <f aca="false">F20-(I20-X20)</f>
        <v>11.3756642298966</v>
      </c>
      <c r="M20" s="182" t="n">
        <v>8</v>
      </c>
      <c r="N20" s="111" t="n">
        <v>0</v>
      </c>
      <c r="O20" s="111" t="n">
        <v>0</v>
      </c>
      <c r="P20" s="227" t="n">
        <f aca="false">M20-(N20+O20)</f>
        <v>8</v>
      </c>
      <c r="Q20" s="111" t="n">
        <v>0</v>
      </c>
      <c r="R20" s="111" t="n">
        <v>0</v>
      </c>
      <c r="S20" s="111" t="n">
        <f aca="false">SUM(P20:R20)</f>
        <v>8</v>
      </c>
      <c r="T20" s="112"/>
      <c r="U20" s="111" t="n">
        <v>0</v>
      </c>
      <c r="V20" s="111" t="n">
        <v>14</v>
      </c>
      <c r="W20" s="112" t="n">
        <f aca="false">W19-V20</f>
        <v>966.11</v>
      </c>
      <c r="X20" s="6" t="n">
        <f aca="false">N20+O20+S20+U20+V20</f>
        <v>22</v>
      </c>
      <c r="Y20" s="111" t="n">
        <f aca="false">IF(L20&lt;0,L20*-1,0)</f>
        <v>0</v>
      </c>
      <c r="Z20" s="111" t="n">
        <f aca="false">X20+Y20</f>
        <v>22</v>
      </c>
      <c r="AA20" s="161" t="n">
        <v>0</v>
      </c>
      <c r="AB20" s="183" t="n">
        <v>32</v>
      </c>
      <c r="AC20" s="167" t="n">
        <v>8.1</v>
      </c>
      <c r="AD20" s="222"/>
      <c r="AE20" s="208"/>
      <c r="AF20" s="211"/>
    </row>
    <row r="21" customFormat="false" ht="11.1" hidden="false" customHeight="true" outlineLevel="0" collapsed="false">
      <c r="A21" s="118" t="n">
        <f aca="false">A20+1</f>
        <v>10</v>
      </c>
      <c r="B21" s="168" t="n">
        <v>6859</v>
      </c>
      <c r="C21" s="112" t="n">
        <v>160803</v>
      </c>
      <c r="D21" s="117" t="n">
        <f aca="false">C21-C20</f>
        <v>22</v>
      </c>
      <c r="E21" s="112" t="n">
        <f aca="false">C21-152000</f>
        <v>8803</v>
      </c>
      <c r="F21" s="180" t="n">
        <f aca="false">D21/$D$2</f>
        <v>11.0915049155533</v>
      </c>
      <c r="G21" s="111" t="n">
        <v>28</v>
      </c>
      <c r="H21" s="196" t="n">
        <v>0.2</v>
      </c>
      <c r="I21" s="111" t="n">
        <f aca="false">G21+H21</f>
        <v>28.2</v>
      </c>
      <c r="J21" s="181" t="n">
        <f aca="false">IF(L21&gt;0,L21,0)</f>
        <v>4.89150491555332</v>
      </c>
      <c r="K21" s="111" t="n">
        <f aca="false">I21+J21</f>
        <v>33.0915049155533</v>
      </c>
      <c r="L21" s="111" t="n">
        <f aca="false">F21-(I21-X21)</f>
        <v>4.89150491555332</v>
      </c>
      <c r="M21" s="182" t="n">
        <v>8</v>
      </c>
      <c r="N21" s="111" t="n">
        <v>0</v>
      </c>
      <c r="O21" s="111" t="n">
        <v>0</v>
      </c>
      <c r="P21" s="227" t="n">
        <f aca="false">M21-(N21+O21)</f>
        <v>8</v>
      </c>
      <c r="Q21" s="111" t="n">
        <v>0</v>
      </c>
      <c r="R21" s="111" t="n">
        <v>0</v>
      </c>
      <c r="S21" s="111" t="n">
        <f aca="false">SUM(P21:R21)</f>
        <v>8</v>
      </c>
      <c r="T21" s="112"/>
      <c r="U21" s="111" t="n">
        <v>0</v>
      </c>
      <c r="V21" s="111" t="n">
        <v>14</v>
      </c>
      <c r="W21" s="112" t="n">
        <f aca="false">W20-V21</f>
        <v>952.11</v>
      </c>
      <c r="X21" s="6" t="n">
        <f aca="false">N21+O21+S21+U21+V21</f>
        <v>22</v>
      </c>
      <c r="Y21" s="111" t="n">
        <f aca="false">IF(L21&lt;0,L21*-1,0)</f>
        <v>0</v>
      </c>
      <c r="Z21" s="111" t="n">
        <f aca="false">X21+Y21</f>
        <v>22</v>
      </c>
      <c r="AA21" s="161" t="n">
        <v>0</v>
      </c>
      <c r="AB21" s="117" t="n">
        <v>43</v>
      </c>
      <c r="AC21" s="167" t="n">
        <v>11</v>
      </c>
      <c r="AD21" s="222"/>
      <c r="AE21" s="208"/>
      <c r="AF21" s="211"/>
    </row>
    <row r="22" customFormat="false" ht="11.1" hidden="false" customHeight="true" outlineLevel="0" collapsed="false">
      <c r="A22" s="118" t="n">
        <f aca="false">A21+1</f>
        <v>11</v>
      </c>
      <c r="B22" s="168" t="n">
        <v>6859.01</v>
      </c>
      <c r="C22" s="112" t="n">
        <v>160826</v>
      </c>
      <c r="D22" s="117" t="n">
        <f aca="false">C22-C21</f>
        <v>23</v>
      </c>
      <c r="E22" s="112" t="n">
        <f aca="false">C22-152000</f>
        <v>8826</v>
      </c>
      <c r="F22" s="180" t="n">
        <f aca="false">D22/$D$2</f>
        <v>11.5956642298966</v>
      </c>
      <c r="G22" s="111" t="n">
        <v>28</v>
      </c>
      <c r="H22" s="196" t="n">
        <v>0.22</v>
      </c>
      <c r="I22" s="111" t="n">
        <f aca="false">G22+H22</f>
        <v>28.22</v>
      </c>
      <c r="J22" s="181" t="n">
        <f aca="false">IF(L22&gt;0,L22,0)</f>
        <v>5.37566422989665</v>
      </c>
      <c r="K22" s="111" t="n">
        <f aca="false">I22+J22</f>
        <v>33.5956642298966</v>
      </c>
      <c r="L22" s="111" t="n">
        <f aca="false">F22-(I22-X22)</f>
        <v>5.37566422989665</v>
      </c>
      <c r="M22" s="182" t="n">
        <v>8</v>
      </c>
      <c r="N22" s="111" t="n">
        <v>0</v>
      </c>
      <c r="O22" s="111" t="n">
        <v>0</v>
      </c>
      <c r="P22" s="227" t="n">
        <f aca="false">M22-(N22+O22)</f>
        <v>8</v>
      </c>
      <c r="Q22" s="111" t="n">
        <v>0</v>
      </c>
      <c r="R22" s="111" t="n">
        <v>0</v>
      </c>
      <c r="S22" s="111" t="n">
        <f aca="false">SUM(P22:R22)</f>
        <v>8</v>
      </c>
      <c r="T22" s="112"/>
      <c r="U22" s="111" t="n">
        <v>0</v>
      </c>
      <c r="V22" s="111" t="n">
        <v>14</v>
      </c>
      <c r="W22" s="112" t="n">
        <f aca="false">W21-V22</f>
        <v>938.11</v>
      </c>
      <c r="X22" s="6" t="n">
        <f aca="false">N22+O22+S22+U22+V22</f>
        <v>22</v>
      </c>
      <c r="Y22" s="111" t="n">
        <f aca="false">IF(L22&lt;0,L22*-1,0)</f>
        <v>0</v>
      </c>
      <c r="Z22" s="111" t="n">
        <f aca="false">X22+Y22</f>
        <v>22</v>
      </c>
      <c r="AA22" s="161" t="n">
        <v>0</v>
      </c>
      <c r="AB22" s="117" t="n">
        <v>44</v>
      </c>
      <c r="AC22" s="167" t="n">
        <v>21</v>
      </c>
      <c r="AD22" s="222"/>
      <c r="AE22" s="208"/>
      <c r="AF22" s="211"/>
    </row>
    <row r="23" customFormat="false" ht="11.1" hidden="false" customHeight="true" outlineLevel="0" collapsed="false">
      <c r="A23" s="118" t="n">
        <f aca="false">A22+1</f>
        <v>12</v>
      </c>
      <c r="B23" s="168" t="n">
        <v>6859.02</v>
      </c>
      <c r="C23" s="112" t="n">
        <v>160848</v>
      </c>
      <c r="D23" s="117" t="n">
        <f aca="false">C23-C22</f>
        <v>22</v>
      </c>
      <c r="E23" s="112" t="n">
        <f aca="false">C23-152000</f>
        <v>8848</v>
      </c>
      <c r="F23" s="180" t="n">
        <f aca="false">D23/$D$2</f>
        <v>11.0915049155533</v>
      </c>
      <c r="G23" s="111" t="n">
        <v>57</v>
      </c>
      <c r="H23" s="196" t="n">
        <v>0.23</v>
      </c>
      <c r="I23" s="111" t="n">
        <f aca="false">G23+H23</f>
        <v>57.23</v>
      </c>
      <c r="J23" s="181" t="n">
        <f aca="false">IF(L23&gt;0,L23,0)</f>
        <v>0</v>
      </c>
      <c r="K23" s="111" t="n">
        <f aca="false">I23+J23</f>
        <v>57.23</v>
      </c>
      <c r="L23" s="111" t="n">
        <f aca="false">F23-(I23-X23)</f>
        <v>-24.1384950844467</v>
      </c>
      <c r="M23" s="182" t="n">
        <v>8</v>
      </c>
      <c r="N23" s="111" t="n">
        <v>0</v>
      </c>
      <c r="O23" s="111" t="n">
        <v>0</v>
      </c>
      <c r="P23" s="227" t="n">
        <f aca="false">M23-(N23+O23)</f>
        <v>8</v>
      </c>
      <c r="Q23" s="111" t="n">
        <v>0</v>
      </c>
      <c r="R23" s="111" t="n">
        <v>0</v>
      </c>
      <c r="S23" s="111" t="n">
        <f aca="false">SUM(P23:R23)</f>
        <v>8</v>
      </c>
      <c r="T23" s="112"/>
      <c r="U23" s="111" t="n">
        <v>0</v>
      </c>
      <c r="V23" s="111" t="n">
        <v>14</v>
      </c>
      <c r="W23" s="112" t="n">
        <f aca="false">W22-V23</f>
        <v>924.11</v>
      </c>
      <c r="X23" s="6" t="n">
        <f aca="false">N23+O23+S23+U23+V23</f>
        <v>22</v>
      </c>
      <c r="Y23" s="111" t="n">
        <f aca="false">IF(L23&lt;0,L23*-1,0)</f>
        <v>24.1384950844467</v>
      </c>
      <c r="Z23" s="111" t="n">
        <f aca="false">X23+Y23</f>
        <v>46.1384950844467</v>
      </c>
      <c r="AA23" s="161" t="n">
        <v>0</v>
      </c>
      <c r="AB23" s="117" t="n">
        <v>50</v>
      </c>
      <c r="AC23" s="167" t="n">
        <v>27</v>
      </c>
      <c r="AD23" s="222"/>
      <c r="AE23" s="208"/>
      <c r="AF23" s="211"/>
    </row>
    <row r="24" customFormat="false" ht="11.1" hidden="false" customHeight="true" outlineLevel="0" collapsed="false">
      <c r="A24" s="118" t="n">
        <f aca="false">A23+1</f>
        <v>13</v>
      </c>
      <c r="B24" s="168" t="n">
        <v>6859.5</v>
      </c>
      <c r="C24" s="112" t="n">
        <v>161935</v>
      </c>
      <c r="D24" s="117" t="n">
        <f aca="false">C24-C23</f>
        <v>1087</v>
      </c>
      <c r="E24" s="112" t="n">
        <f aca="false">C24-152000</f>
        <v>9935</v>
      </c>
      <c r="F24" s="180" t="n">
        <f aca="false">D24/$D$2</f>
        <v>548.021174691202</v>
      </c>
      <c r="G24" s="111" t="n">
        <v>69</v>
      </c>
      <c r="H24" s="196" t="n">
        <v>0.76</v>
      </c>
      <c r="I24" s="111" t="n">
        <f aca="false">G24+H24</f>
        <v>69.76</v>
      </c>
      <c r="J24" s="181" t="n">
        <f aca="false">IF(L24&gt;0,L24,0)</f>
        <v>501.261174691202</v>
      </c>
      <c r="K24" s="111" t="n">
        <f aca="false">I24+J24</f>
        <v>571.021174691202</v>
      </c>
      <c r="L24" s="111" t="n">
        <f aca="false">F24-(I24-X24)</f>
        <v>501.261174691202</v>
      </c>
      <c r="M24" s="182" t="n">
        <v>8</v>
      </c>
      <c r="N24" s="111" t="n">
        <v>0</v>
      </c>
      <c r="O24" s="111" t="n">
        <v>0</v>
      </c>
      <c r="P24" s="227" t="n">
        <f aca="false">M24-(N24+O24)</f>
        <v>8</v>
      </c>
      <c r="Q24" s="111" t="n">
        <v>0</v>
      </c>
      <c r="R24" s="111" t="n">
        <v>0</v>
      </c>
      <c r="S24" s="111" t="n">
        <f aca="false">SUM(P24:R24)</f>
        <v>8</v>
      </c>
      <c r="T24" s="112"/>
      <c r="U24" s="111" t="n">
        <v>0</v>
      </c>
      <c r="V24" s="111" t="n">
        <v>15</v>
      </c>
      <c r="W24" s="112" t="n">
        <f aca="false">W23-V24</f>
        <v>909.11</v>
      </c>
      <c r="X24" s="6" t="n">
        <f aca="false">N24+O24+S24+U24+V24</f>
        <v>23</v>
      </c>
      <c r="Y24" s="111" t="n">
        <f aca="false">IF(L24&lt;0,L24*-1,0)</f>
        <v>0</v>
      </c>
      <c r="Z24" s="111" t="n">
        <f aca="false">X24+Y24</f>
        <v>23</v>
      </c>
      <c r="AA24" s="161" t="n">
        <v>0.75</v>
      </c>
      <c r="AB24" s="117" t="n">
        <v>41</v>
      </c>
      <c r="AC24" s="167" t="n">
        <v>35</v>
      </c>
      <c r="AD24" s="222"/>
      <c r="AE24" s="208"/>
      <c r="AF24" s="211"/>
    </row>
    <row r="25" customFormat="false" ht="11.1" hidden="false" customHeight="true" outlineLevel="0" collapsed="false">
      <c r="A25" s="118" t="n">
        <f aca="false">A24+1</f>
        <v>14</v>
      </c>
      <c r="B25" s="168" t="n">
        <v>6859.6</v>
      </c>
      <c r="C25" s="112" t="n">
        <v>162161</v>
      </c>
      <c r="D25" s="117" t="n">
        <f aca="false">C25-C24</f>
        <v>226</v>
      </c>
      <c r="E25" s="112" t="n">
        <f aca="false">C25-152000</f>
        <v>10161</v>
      </c>
      <c r="F25" s="180" t="n">
        <f aca="false">D25/$D$2</f>
        <v>113.940005041593</v>
      </c>
      <c r="G25" s="111" t="n">
        <v>69</v>
      </c>
      <c r="H25" s="196" t="n">
        <v>1.2</v>
      </c>
      <c r="I25" s="111" t="n">
        <f aca="false">G25+H25</f>
        <v>70.2</v>
      </c>
      <c r="J25" s="181" t="n">
        <f aca="false">IF(L25&gt;0,L25,0)</f>
        <v>65.7400050415931</v>
      </c>
      <c r="K25" s="111" t="n">
        <f aca="false">I25+J25</f>
        <v>135.940005041593</v>
      </c>
      <c r="L25" s="111" t="n">
        <f aca="false">F25-(I25-X25)</f>
        <v>65.7400050415931</v>
      </c>
      <c r="M25" s="182" t="n">
        <v>8</v>
      </c>
      <c r="N25" s="111" t="n">
        <v>0</v>
      </c>
      <c r="O25" s="111" t="n">
        <v>0</v>
      </c>
      <c r="P25" s="227" t="n">
        <f aca="false">M25-(N25+O25)</f>
        <v>8</v>
      </c>
      <c r="Q25" s="111" t="n">
        <v>0</v>
      </c>
      <c r="R25" s="111" t="n">
        <v>0</v>
      </c>
      <c r="S25" s="111" t="n">
        <f aca="false">SUM(P25:R25)</f>
        <v>8</v>
      </c>
      <c r="T25" s="112"/>
      <c r="U25" s="111" t="n">
        <v>0</v>
      </c>
      <c r="V25" s="111" t="n">
        <v>14</v>
      </c>
      <c r="W25" s="112" t="n">
        <f aca="false">W24-V25</f>
        <v>895.11</v>
      </c>
      <c r="X25" s="6" t="n">
        <f aca="false">N25+O25+S25+U25+V25</f>
        <v>22</v>
      </c>
      <c r="Y25" s="111" t="n">
        <f aca="false">IF(L25&lt;0,L25*-1,0)</f>
        <v>0</v>
      </c>
      <c r="Z25" s="111" t="n">
        <f aca="false">X25+Y25</f>
        <v>22</v>
      </c>
      <c r="AA25" s="161" t="n">
        <v>0</v>
      </c>
      <c r="AB25" s="183" t="n">
        <v>46</v>
      </c>
      <c r="AC25" s="167" t="n">
        <v>29</v>
      </c>
      <c r="AD25" s="222"/>
      <c r="AE25" s="208"/>
      <c r="AF25" s="211"/>
    </row>
    <row r="26" customFormat="false" ht="11.1" hidden="false" customHeight="true" outlineLevel="0" collapsed="false">
      <c r="A26" s="118" t="n">
        <f aca="false">A25+1</f>
        <v>15</v>
      </c>
      <c r="B26" s="168" t="n">
        <v>6859.67</v>
      </c>
      <c r="C26" s="112" t="n">
        <v>162319</v>
      </c>
      <c r="D26" s="117" t="n">
        <f aca="false">C26-C25</f>
        <v>158</v>
      </c>
      <c r="E26" s="112" t="n">
        <f aca="false">C26-152000</f>
        <v>10319</v>
      </c>
      <c r="F26" s="180" t="n">
        <f aca="false">D26/$D$2</f>
        <v>79.6571716662465</v>
      </c>
      <c r="G26" s="111" t="n">
        <v>52</v>
      </c>
      <c r="H26" s="196" t="n">
        <v>1.5</v>
      </c>
      <c r="I26" s="111" t="n">
        <f aca="false">G26+H26</f>
        <v>53.5</v>
      </c>
      <c r="J26" s="181" t="n">
        <f aca="false">IF(L26&gt;0,L26,0)</f>
        <v>48.1571716662465</v>
      </c>
      <c r="K26" s="111" t="n">
        <f aca="false">I26+J26</f>
        <v>101.657171666247</v>
      </c>
      <c r="L26" s="111" t="n">
        <f aca="false">F26-(I26-X26)</f>
        <v>48.1571716662465</v>
      </c>
      <c r="M26" s="182" t="n">
        <v>8</v>
      </c>
      <c r="N26" s="111" t="n">
        <v>0</v>
      </c>
      <c r="O26" s="111" t="n">
        <v>0</v>
      </c>
      <c r="P26" s="227" t="n">
        <f aca="false">M26-(N26+O26)</f>
        <v>8</v>
      </c>
      <c r="Q26" s="111" t="n">
        <v>0</v>
      </c>
      <c r="R26" s="111" t="n">
        <v>0</v>
      </c>
      <c r="S26" s="111" t="n">
        <f aca="false">SUM(P26:R26)</f>
        <v>8</v>
      </c>
      <c r="T26" s="112"/>
      <c r="U26" s="111" t="n">
        <v>0</v>
      </c>
      <c r="V26" s="111" t="n">
        <v>14</v>
      </c>
      <c r="W26" s="112" t="n">
        <f aca="false">W25-V26</f>
        <v>881.11</v>
      </c>
      <c r="X26" s="6" t="n">
        <f aca="false">N26+O26+S26+U26+V26</f>
        <v>22</v>
      </c>
      <c r="Y26" s="111" t="n">
        <f aca="false">IF(L26&lt;0,L26*-1,0)</f>
        <v>0</v>
      </c>
      <c r="Z26" s="111" t="n">
        <f aca="false">X26+Y26</f>
        <v>22</v>
      </c>
      <c r="AA26" s="161" t="n">
        <v>0</v>
      </c>
      <c r="AB26" s="183" t="n">
        <v>45</v>
      </c>
      <c r="AC26" s="167" t="n">
        <v>27</v>
      </c>
      <c r="AD26" s="222"/>
      <c r="AE26" s="208"/>
      <c r="AF26" s="211"/>
    </row>
    <row r="27" customFormat="false" ht="11.1" hidden="false" customHeight="true" outlineLevel="0" collapsed="false">
      <c r="A27" s="118" t="n">
        <f aca="false">A26+1</f>
        <v>16</v>
      </c>
      <c r="B27" s="168" t="n">
        <v>6859.73</v>
      </c>
      <c r="C27" s="112" t="n">
        <v>162455</v>
      </c>
      <c r="D27" s="117" t="n">
        <f aca="false">C27-C26</f>
        <v>136</v>
      </c>
      <c r="E27" s="112" t="n">
        <f aca="false">C27-152000</f>
        <v>10455</v>
      </c>
      <c r="F27" s="180" t="n">
        <f aca="false">D27/$D$2</f>
        <v>68.5656667506932</v>
      </c>
      <c r="G27" s="111" t="n">
        <v>35</v>
      </c>
      <c r="H27" s="196" t="n">
        <v>1.6</v>
      </c>
      <c r="I27" s="111" t="n">
        <f aca="false">G27+H27</f>
        <v>36.6</v>
      </c>
      <c r="J27" s="181" t="n">
        <f aca="false">IF(L27&gt;0,L27,0)</f>
        <v>53.8656667506932</v>
      </c>
      <c r="K27" s="111" t="n">
        <f aca="false">I27+J27</f>
        <v>90.4656667506932</v>
      </c>
      <c r="L27" s="111" t="n">
        <f aca="false">F27-(I27-X27)</f>
        <v>53.8656667506932</v>
      </c>
      <c r="M27" s="182" t="n">
        <v>7.9</v>
      </c>
      <c r="N27" s="111" t="n">
        <v>0</v>
      </c>
      <c r="O27" s="111" t="n">
        <v>0</v>
      </c>
      <c r="P27" s="227" t="n">
        <f aca="false">M27-(N27+O27)</f>
        <v>7.9</v>
      </c>
      <c r="Q27" s="111" t="n">
        <v>0</v>
      </c>
      <c r="R27" s="111" t="n">
        <v>0</v>
      </c>
      <c r="S27" s="111" t="n">
        <f aca="false">SUM(P27:R27)</f>
        <v>7.9</v>
      </c>
      <c r="T27" s="112"/>
      <c r="U27" s="111" t="n">
        <v>0</v>
      </c>
      <c r="V27" s="111" t="n">
        <v>14</v>
      </c>
      <c r="W27" s="112" t="n">
        <f aca="false">W26-V27</f>
        <v>867.11</v>
      </c>
      <c r="X27" s="6" t="n">
        <f aca="false">N27+O27+S27+U27+V27</f>
        <v>21.9</v>
      </c>
      <c r="Y27" s="111" t="n">
        <f aca="false">IF(L27&lt;0,L27*-1,0)</f>
        <v>0</v>
      </c>
      <c r="Z27" s="111" t="n">
        <f aca="false">X27+Y27</f>
        <v>21.9</v>
      </c>
      <c r="AA27" s="161" t="n">
        <v>0</v>
      </c>
      <c r="AB27" s="183" t="n">
        <v>49</v>
      </c>
      <c r="AC27" s="167" t="n">
        <v>24</v>
      </c>
      <c r="AD27" s="222"/>
      <c r="AE27" s="208"/>
      <c r="AF27" s="211"/>
    </row>
    <row r="28" customFormat="false" ht="11.1" hidden="false" customHeight="true" outlineLevel="0" collapsed="false">
      <c r="A28" s="118" t="n">
        <f aca="false">A27+1</f>
        <v>17</v>
      </c>
      <c r="B28" s="168" t="n">
        <v>6859.78</v>
      </c>
      <c r="C28" s="112" t="n">
        <v>162568</v>
      </c>
      <c r="D28" s="117" t="n">
        <f aca="false">C28-C27</f>
        <v>113</v>
      </c>
      <c r="E28" s="112" t="n">
        <f aca="false">C28-152000</f>
        <v>10568</v>
      </c>
      <c r="F28" s="180" t="n">
        <f aca="false">D28/$D$2</f>
        <v>56.9700025207966</v>
      </c>
      <c r="G28" s="111" t="n">
        <v>33</v>
      </c>
      <c r="H28" s="196" t="n">
        <v>1.8</v>
      </c>
      <c r="I28" s="111" t="n">
        <f aca="false">G28+H28</f>
        <v>34.8</v>
      </c>
      <c r="J28" s="181" t="n">
        <f aca="false">IF(L28&gt;0,L28,0)</f>
        <v>45.1700025207966</v>
      </c>
      <c r="K28" s="111" t="n">
        <f aca="false">I28+J28</f>
        <v>79.9700025207966</v>
      </c>
      <c r="L28" s="111" t="n">
        <f aca="false">F28-(I28-X28)</f>
        <v>45.1700025207966</v>
      </c>
      <c r="M28" s="182" t="n">
        <v>8</v>
      </c>
      <c r="N28" s="111" t="n">
        <v>0</v>
      </c>
      <c r="O28" s="111" t="n">
        <v>0</v>
      </c>
      <c r="P28" s="227" t="n">
        <f aca="false">M28-(N28+O28)</f>
        <v>8</v>
      </c>
      <c r="Q28" s="111" t="n">
        <v>0</v>
      </c>
      <c r="R28" s="111" t="n">
        <v>0</v>
      </c>
      <c r="S28" s="111" t="n">
        <f aca="false">SUM(P28:R28)</f>
        <v>8</v>
      </c>
      <c r="T28" s="112"/>
      <c r="U28" s="111" t="n">
        <v>0</v>
      </c>
      <c r="V28" s="111" t="n">
        <v>15</v>
      </c>
      <c r="W28" s="112" t="n">
        <f aca="false">W27-V28</f>
        <v>852.11</v>
      </c>
      <c r="X28" s="6" t="n">
        <f aca="false">N28+O28+S28+U28+V28</f>
        <v>23</v>
      </c>
      <c r="Y28" s="111" t="n">
        <f aca="false">IF(L28&lt;0,L28*-1,0)</f>
        <v>0</v>
      </c>
      <c r="Z28" s="111" t="n">
        <f aca="false">X28+Y28</f>
        <v>23</v>
      </c>
      <c r="AA28" s="161" t="n">
        <v>0</v>
      </c>
      <c r="AB28" s="183" t="n">
        <v>45</v>
      </c>
      <c r="AC28" s="167" t="n">
        <v>30</v>
      </c>
      <c r="AD28" s="222"/>
      <c r="AE28" s="208"/>
      <c r="AF28" s="211"/>
    </row>
    <row r="29" customFormat="false" ht="11.1" hidden="false" customHeight="true" outlineLevel="0" collapsed="false">
      <c r="A29" s="118" t="n">
        <f aca="false">A28+1</f>
        <v>18</v>
      </c>
      <c r="B29" s="168" t="n">
        <v>6859.84</v>
      </c>
      <c r="C29" s="112" t="n">
        <v>162704</v>
      </c>
      <c r="D29" s="117" t="n">
        <f aca="false">C29-C28</f>
        <v>136</v>
      </c>
      <c r="E29" s="112" t="n">
        <f aca="false">C29-152000</f>
        <v>10704</v>
      </c>
      <c r="F29" s="180" t="n">
        <f aca="false">D29/$D$2</f>
        <v>68.5656667506932</v>
      </c>
      <c r="G29" s="111" t="n">
        <v>43</v>
      </c>
      <c r="H29" s="196" t="n">
        <v>1.9</v>
      </c>
      <c r="I29" s="111" t="n">
        <f aca="false">G29+H29</f>
        <v>44.9</v>
      </c>
      <c r="J29" s="181" t="n">
        <f aca="false">IF(L29&gt;0,L29,0)</f>
        <v>46.6656667506932</v>
      </c>
      <c r="K29" s="111" t="n">
        <f aca="false">I29+J29</f>
        <v>91.5656667506932</v>
      </c>
      <c r="L29" s="111" t="n">
        <f aca="false">F29-(I29-X29)</f>
        <v>46.6656667506932</v>
      </c>
      <c r="M29" s="182" t="n">
        <v>8</v>
      </c>
      <c r="N29" s="111" t="n">
        <v>0</v>
      </c>
      <c r="O29" s="111" t="n">
        <v>0</v>
      </c>
      <c r="P29" s="227" t="n">
        <f aca="false">M29-(N29+O29)</f>
        <v>8</v>
      </c>
      <c r="Q29" s="111" t="n">
        <v>0</v>
      </c>
      <c r="R29" s="111" t="n">
        <v>0</v>
      </c>
      <c r="S29" s="111" t="n">
        <f aca="false">SUM(P29:R29)</f>
        <v>8</v>
      </c>
      <c r="T29" s="112"/>
      <c r="U29" s="111" t="n">
        <v>0</v>
      </c>
      <c r="V29" s="111" t="n">
        <v>15</v>
      </c>
      <c r="W29" s="112" t="n">
        <f aca="false">W28-V29</f>
        <v>837.11</v>
      </c>
      <c r="X29" s="6" t="n">
        <f aca="false">N29+O29+S29+U29+V29</f>
        <v>23</v>
      </c>
      <c r="Y29" s="111" t="n">
        <f aca="false">IF(L29&lt;0,L29*-1,0)</f>
        <v>0</v>
      </c>
      <c r="Z29" s="111" t="n">
        <f aca="false">X29+Y29</f>
        <v>23</v>
      </c>
      <c r="AA29" s="161" t="n">
        <v>0.26</v>
      </c>
      <c r="AB29" s="183" t="n">
        <v>40</v>
      </c>
      <c r="AC29" s="167" t="n">
        <v>27</v>
      </c>
      <c r="AD29" s="222"/>
      <c r="AE29" s="208"/>
      <c r="AF29" s="211"/>
    </row>
    <row r="30" customFormat="false" ht="11.1" hidden="false" customHeight="true" outlineLevel="0" collapsed="false">
      <c r="A30" s="118" t="n">
        <f aca="false">A29+1</f>
        <v>19</v>
      </c>
      <c r="B30" s="168" t="n">
        <v>6859.86</v>
      </c>
      <c r="C30" s="228" t="n">
        <v>162750</v>
      </c>
      <c r="D30" s="117" t="n">
        <f aca="false">C30-C29</f>
        <v>46</v>
      </c>
      <c r="E30" s="112" t="n">
        <f aca="false">C30-152000</f>
        <v>10750</v>
      </c>
      <c r="F30" s="180" t="n">
        <f aca="false">D30/$D$2</f>
        <v>23.1913284597933</v>
      </c>
      <c r="G30" s="111" t="n">
        <v>39</v>
      </c>
      <c r="H30" s="196" t="n">
        <v>1.8</v>
      </c>
      <c r="I30" s="111" t="n">
        <f aca="false">G30+H30</f>
        <v>40.8</v>
      </c>
      <c r="J30" s="181" t="n">
        <f aca="false">IF(L30&gt;0,L30,0)</f>
        <v>5.3913284597933</v>
      </c>
      <c r="K30" s="111" t="n">
        <f aca="false">I30+J30</f>
        <v>46.1913284597933</v>
      </c>
      <c r="L30" s="111" t="n">
        <f aca="false">F30-(I30-X30)</f>
        <v>5.3913284597933</v>
      </c>
      <c r="M30" s="182" t="n">
        <v>8</v>
      </c>
      <c r="N30" s="111" t="n">
        <v>0</v>
      </c>
      <c r="O30" s="111" t="n">
        <v>0</v>
      </c>
      <c r="P30" s="227" t="n">
        <f aca="false">M30-(N30+O30)</f>
        <v>8</v>
      </c>
      <c r="Q30" s="111" t="n">
        <v>0</v>
      </c>
      <c r="R30" s="111" t="n">
        <v>0</v>
      </c>
      <c r="S30" s="111" t="n">
        <f aca="false">SUM(P30:R30)</f>
        <v>8</v>
      </c>
      <c r="T30" s="112"/>
      <c r="U30" s="111" t="n">
        <v>0</v>
      </c>
      <c r="V30" s="111" t="n">
        <v>15</v>
      </c>
      <c r="W30" s="112" t="n">
        <f aca="false">W29-V30</f>
        <v>822.11</v>
      </c>
      <c r="X30" s="6" t="n">
        <f aca="false">N30+O30+S30+U30+V30</f>
        <v>23</v>
      </c>
      <c r="Y30" s="111" t="n">
        <f aca="false">IF(L30&lt;0,L30*-1,0)</f>
        <v>0</v>
      </c>
      <c r="Z30" s="111" t="n">
        <f aca="false">X30+Y30</f>
        <v>23</v>
      </c>
      <c r="AA30" s="161" t="n">
        <v>0</v>
      </c>
      <c r="AB30" s="183" t="n">
        <v>41</v>
      </c>
      <c r="AC30" s="167" t="n">
        <v>18</v>
      </c>
      <c r="AD30" s="222"/>
      <c r="AE30" s="208"/>
      <c r="AF30" s="211"/>
    </row>
    <row r="31" customFormat="false" ht="11.1" hidden="false" customHeight="true" outlineLevel="0" collapsed="false">
      <c r="A31" s="118" t="n">
        <f aca="false">A30+1</f>
        <v>20</v>
      </c>
      <c r="B31" s="168" t="n">
        <v>6859.9</v>
      </c>
      <c r="C31" s="112" t="n">
        <v>162840</v>
      </c>
      <c r="D31" s="117" t="n">
        <f aca="false">C31-C30</f>
        <v>90</v>
      </c>
      <c r="E31" s="112" t="n">
        <f aca="false">C31-152000</f>
        <v>10840</v>
      </c>
      <c r="F31" s="180" t="n">
        <f aca="false">D31/$D$2</f>
        <v>45.3743382908999</v>
      </c>
      <c r="G31" s="111" t="n">
        <v>38</v>
      </c>
      <c r="H31" s="196" t="n">
        <v>1.6</v>
      </c>
      <c r="I31" s="111" t="n">
        <f aca="false">G31+H31</f>
        <v>39.6</v>
      </c>
      <c r="J31" s="181" t="n">
        <f aca="false">IF(L31&gt;0,L31,0)</f>
        <v>28.7743382908999</v>
      </c>
      <c r="K31" s="111" t="n">
        <f aca="false">I31+J31</f>
        <v>68.3743382908999</v>
      </c>
      <c r="L31" s="111" t="n">
        <f aca="false">F31-(I31-X31)</f>
        <v>28.7743382908999</v>
      </c>
      <c r="M31" s="182" t="n">
        <v>8</v>
      </c>
      <c r="N31" s="111" t="n">
        <v>0</v>
      </c>
      <c r="O31" s="111" t="n">
        <v>0</v>
      </c>
      <c r="P31" s="227" t="n">
        <f aca="false">M31-(N31+O31)</f>
        <v>8</v>
      </c>
      <c r="Q31" s="111" t="n">
        <v>0</v>
      </c>
      <c r="R31" s="111" t="n">
        <v>0</v>
      </c>
      <c r="S31" s="111" t="n">
        <f aca="false">SUM(P31:R31)</f>
        <v>8</v>
      </c>
      <c r="T31" s="112"/>
      <c r="U31" s="111" t="n">
        <v>0</v>
      </c>
      <c r="V31" s="111" t="n">
        <v>15</v>
      </c>
      <c r="W31" s="112" t="n">
        <f aca="false">W30-V31</f>
        <v>807.11</v>
      </c>
      <c r="X31" s="6" t="n">
        <f aca="false">N31+O31+S31+U31+V31</f>
        <v>23</v>
      </c>
      <c r="Y31" s="111" t="n">
        <f aca="false">IF(L31&lt;0,L31*-1,0)</f>
        <v>0</v>
      </c>
      <c r="Z31" s="111" t="n">
        <f aca="false">X31+Y31</f>
        <v>23</v>
      </c>
      <c r="AA31" s="161" t="n">
        <v>0</v>
      </c>
      <c r="AB31" s="183" t="n">
        <v>46</v>
      </c>
      <c r="AC31" s="167" t="n">
        <v>28</v>
      </c>
      <c r="AD31" s="222"/>
      <c r="AE31" s="208"/>
      <c r="AF31" s="211"/>
    </row>
    <row r="32" customFormat="false" ht="11.1" hidden="false" customHeight="true" outlineLevel="0" collapsed="false">
      <c r="A32" s="118" t="n">
        <f aca="false">A31+1</f>
        <v>21</v>
      </c>
      <c r="B32" s="168" t="n">
        <v>6859.91</v>
      </c>
      <c r="C32" s="112" t="n">
        <v>162863</v>
      </c>
      <c r="D32" s="117" t="n">
        <f aca="false">C32-C31</f>
        <v>23</v>
      </c>
      <c r="E32" s="112" t="n">
        <f aca="false">C32-152000</f>
        <v>10863</v>
      </c>
      <c r="F32" s="180" t="n">
        <f aca="false">D32/$D$2</f>
        <v>11.5956642298966</v>
      </c>
      <c r="G32" s="111" t="n">
        <v>39</v>
      </c>
      <c r="H32" s="196" t="n">
        <v>1.4</v>
      </c>
      <c r="I32" s="111" t="n">
        <f aca="false">G32+H32</f>
        <v>40.4</v>
      </c>
      <c r="J32" s="181" t="n">
        <f aca="false">IF(L32&gt;0,L32,0)</f>
        <v>0</v>
      </c>
      <c r="K32" s="111" t="n">
        <f aca="false">I32+J32</f>
        <v>40.4</v>
      </c>
      <c r="L32" s="111" t="n">
        <f aca="false">F32-(I32-X32)</f>
        <v>-6.30433577010335</v>
      </c>
      <c r="M32" s="182" t="n">
        <v>7.5</v>
      </c>
      <c r="N32" s="111" t="n">
        <v>0</v>
      </c>
      <c r="O32" s="111" t="n">
        <v>0</v>
      </c>
      <c r="P32" s="227" t="n">
        <f aca="false">M32-(N32+O32)</f>
        <v>7.5</v>
      </c>
      <c r="Q32" s="111" t="n">
        <v>0</v>
      </c>
      <c r="R32" s="111" t="n">
        <v>0</v>
      </c>
      <c r="S32" s="111" t="n">
        <f aca="false">SUM(P32:R32)</f>
        <v>7.5</v>
      </c>
      <c r="T32" s="112"/>
      <c r="U32" s="111" t="n">
        <v>0</v>
      </c>
      <c r="V32" s="111" t="n">
        <v>15</v>
      </c>
      <c r="W32" s="112" t="n">
        <f aca="false">W31-V32</f>
        <v>792.11</v>
      </c>
      <c r="X32" s="6" t="n">
        <f aca="false">N32+O32+S32+U32+V32</f>
        <v>22.5</v>
      </c>
      <c r="Y32" s="111" t="n">
        <f aca="false">IF(L32&lt;0,L32*-1,0)</f>
        <v>6.30433577010335</v>
      </c>
      <c r="Z32" s="111" t="n">
        <f aca="false">X32+Y32</f>
        <v>28.8043357701033</v>
      </c>
      <c r="AA32" s="161" t="n">
        <v>0</v>
      </c>
      <c r="AB32" s="117" t="n">
        <v>44</v>
      </c>
      <c r="AC32" s="167" t="n">
        <v>24</v>
      </c>
      <c r="AD32" s="222" t="n">
        <f aca="false">(G32+H32-P32-3.35)*0.33*1.9835</f>
        <v>19.34210025</v>
      </c>
      <c r="AE32" s="208"/>
      <c r="AF32" s="211"/>
    </row>
    <row r="33" customFormat="false" ht="11.1" hidden="false" customHeight="true" outlineLevel="0" collapsed="false">
      <c r="A33" s="118" t="n">
        <f aca="false">A32+1</f>
        <v>22</v>
      </c>
      <c r="B33" s="168" t="n">
        <v>6859.92</v>
      </c>
      <c r="C33" s="112" t="n">
        <v>162885</v>
      </c>
      <c r="D33" s="117" t="n">
        <f aca="false">C33-C32</f>
        <v>22</v>
      </c>
      <c r="E33" s="112" t="n">
        <f aca="false">C33-152000</f>
        <v>10885</v>
      </c>
      <c r="F33" s="180" t="n">
        <f aca="false">D33/$D$2</f>
        <v>11.0915049155533</v>
      </c>
      <c r="G33" s="111" t="n">
        <v>23</v>
      </c>
      <c r="H33" s="196" t="n">
        <v>1.3</v>
      </c>
      <c r="I33" s="111" t="n">
        <f aca="false">G33+H33</f>
        <v>24.3</v>
      </c>
      <c r="J33" s="181" t="n">
        <f aca="false">IF(L33&gt;0,L33,0)</f>
        <v>9.39150491555332</v>
      </c>
      <c r="K33" s="111" t="n">
        <f aca="false">I33+J33</f>
        <v>33.6915049155533</v>
      </c>
      <c r="L33" s="111" t="n">
        <f aca="false">F33-(I33-X33)</f>
        <v>9.39150491555332</v>
      </c>
      <c r="M33" s="182" t="n">
        <v>7.6</v>
      </c>
      <c r="N33" s="111" t="n">
        <v>0</v>
      </c>
      <c r="O33" s="111" t="n">
        <v>0</v>
      </c>
      <c r="P33" s="227" t="n">
        <f aca="false">M33-(N33+O33)</f>
        <v>7.6</v>
      </c>
      <c r="Q33" s="111" t="n">
        <v>0</v>
      </c>
      <c r="R33" s="111" t="n">
        <v>0</v>
      </c>
      <c r="S33" s="111" t="n">
        <f aca="false">SUM(P33:R33)</f>
        <v>7.6</v>
      </c>
      <c r="T33" s="112"/>
      <c r="U33" s="111" t="n">
        <v>0</v>
      </c>
      <c r="V33" s="111" t="n">
        <v>15</v>
      </c>
      <c r="W33" s="112" t="n">
        <f aca="false">W32-V33</f>
        <v>777.11</v>
      </c>
      <c r="X33" s="6" t="n">
        <f aca="false">N33+O33+S33+U33+V33</f>
        <v>22.6</v>
      </c>
      <c r="Y33" s="111" t="n">
        <f aca="false">IF(L33&lt;0,L33*-1,0)</f>
        <v>0</v>
      </c>
      <c r="Z33" s="111" t="n">
        <f aca="false">X33+Y33</f>
        <v>22.6</v>
      </c>
      <c r="AA33" s="161" t="n">
        <v>0</v>
      </c>
      <c r="AB33" s="117" t="n">
        <v>45</v>
      </c>
      <c r="AC33" s="167" t="n">
        <v>22</v>
      </c>
      <c r="AD33" s="222" t="n">
        <f aca="false">AD32+(G33+H33-P33-3.35)*1.9835</f>
        <v>45.82182525</v>
      </c>
      <c r="AE33" s="208"/>
      <c r="AF33" s="211"/>
    </row>
    <row r="34" customFormat="false" ht="11.1" hidden="false" customHeight="true" outlineLevel="0" collapsed="false">
      <c r="A34" s="118" t="n">
        <f aca="false">A33+1</f>
        <v>23</v>
      </c>
      <c r="B34" s="168" t="n">
        <v>6859.93</v>
      </c>
      <c r="C34" s="112" t="n">
        <v>162908</v>
      </c>
      <c r="D34" s="117" t="n">
        <f aca="false">C34-C33</f>
        <v>23</v>
      </c>
      <c r="E34" s="112" t="n">
        <f aca="false">C34-152000</f>
        <v>10908</v>
      </c>
      <c r="F34" s="180" t="n">
        <f aca="false">D34/$D$2</f>
        <v>11.5956642298966</v>
      </c>
      <c r="G34" s="111" t="n">
        <v>19</v>
      </c>
      <c r="H34" s="196" t="n">
        <v>1.2</v>
      </c>
      <c r="I34" s="111" t="n">
        <f aca="false">G34+H34</f>
        <v>20.2</v>
      </c>
      <c r="J34" s="181" t="n">
        <f aca="false">IF(L34&gt;0,L34,0)</f>
        <v>13.8956642298966</v>
      </c>
      <c r="K34" s="111" t="n">
        <f aca="false">I34+J34</f>
        <v>34.0956642298966</v>
      </c>
      <c r="L34" s="111" t="n">
        <f aca="false">F34-(I34-X34)</f>
        <v>13.8956642298966</v>
      </c>
      <c r="M34" s="182" t="n">
        <v>7.5</v>
      </c>
      <c r="N34" s="111" t="n">
        <v>0</v>
      </c>
      <c r="O34" s="111" t="n">
        <v>0</v>
      </c>
      <c r="P34" s="227" t="n">
        <f aca="false">M34-(N34+O34)</f>
        <v>7.5</v>
      </c>
      <c r="Q34" s="111" t="n">
        <v>0</v>
      </c>
      <c r="R34" s="111" t="n">
        <v>0</v>
      </c>
      <c r="S34" s="111" t="n">
        <f aca="false">SUM(P34:R34)</f>
        <v>7.5</v>
      </c>
      <c r="T34" s="112"/>
      <c r="U34" s="111" t="n">
        <v>0</v>
      </c>
      <c r="V34" s="111" t="n">
        <v>15</v>
      </c>
      <c r="W34" s="112" t="n">
        <f aca="false">W33-V34</f>
        <v>762.11</v>
      </c>
      <c r="X34" s="6" t="n">
        <f aca="false">N34+O34+S34+U34+V34</f>
        <v>22.5</v>
      </c>
      <c r="Y34" s="111" t="n">
        <f aca="false">IF(L34&lt;0,L34*-1,0)</f>
        <v>0</v>
      </c>
      <c r="Z34" s="111" t="n">
        <f aca="false">X34+Y34</f>
        <v>22.5</v>
      </c>
      <c r="AA34" s="161" t="n">
        <v>0</v>
      </c>
      <c r="AB34" s="117" t="n">
        <v>38</v>
      </c>
      <c r="AC34" s="184" t="n">
        <v>16</v>
      </c>
      <c r="AD34" s="222" t="n">
        <f aca="false">AD33+(G34+H34-P34-3.35)*1.9835</f>
        <v>64.36755025</v>
      </c>
      <c r="AE34" s="208"/>
      <c r="AF34" s="211"/>
    </row>
    <row r="35" customFormat="false" ht="11.1" hidden="false" customHeight="true" outlineLevel="0" collapsed="false">
      <c r="A35" s="118" t="n">
        <f aca="false">A34+1</f>
        <v>24</v>
      </c>
      <c r="B35" s="168" t="n">
        <v>6859.94</v>
      </c>
      <c r="C35" s="112" t="n">
        <v>162931</v>
      </c>
      <c r="D35" s="117" t="n">
        <f aca="false">C35-C34</f>
        <v>23</v>
      </c>
      <c r="E35" s="112" t="n">
        <f aca="false">C35-152000</f>
        <v>10931</v>
      </c>
      <c r="F35" s="180" t="n">
        <f aca="false">D35/$D$2</f>
        <v>11.5956642298966</v>
      </c>
      <c r="G35" s="111" t="n">
        <v>21</v>
      </c>
      <c r="H35" s="196" t="n">
        <v>1.1</v>
      </c>
      <c r="I35" s="111" t="n">
        <f aca="false">G35+H35</f>
        <v>22.1</v>
      </c>
      <c r="J35" s="181" t="n">
        <f aca="false">IF(L35&gt;0,L35,0)</f>
        <v>11.9956642298966</v>
      </c>
      <c r="K35" s="111" t="n">
        <f aca="false">I35+J35</f>
        <v>34.0956642298966</v>
      </c>
      <c r="L35" s="111" t="n">
        <f aca="false">F35-(I35-X35)</f>
        <v>11.9956642298966</v>
      </c>
      <c r="M35" s="182" t="n">
        <v>7.5</v>
      </c>
      <c r="N35" s="111" t="n">
        <v>0</v>
      </c>
      <c r="O35" s="111" t="n">
        <v>0</v>
      </c>
      <c r="P35" s="227" t="n">
        <f aca="false">M35-(N35+O35)</f>
        <v>7.5</v>
      </c>
      <c r="Q35" s="111" t="n">
        <v>0</v>
      </c>
      <c r="R35" s="111" t="n">
        <v>0</v>
      </c>
      <c r="S35" s="111" t="n">
        <f aca="false">SUM(P35:R35)</f>
        <v>7.5</v>
      </c>
      <c r="T35" s="112"/>
      <c r="U35" s="111" t="n">
        <v>0</v>
      </c>
      <c r="V35" s="111" t="n">
        <v>15</v>
      </c>
      <c r="W35" s="112" t="n">
        <f aca="false">W34-V35</f>
        <v>747.11</v>
      </c>
      <c r="X35" s="6" t="n">
        <f aca="false">N35+O35+S35+U35+V35</f>
        <v>22.5</v>
      </c>
      <c r="Y35" s="111" t="n">
        <f aca="false">IF(L35&lt;0,L35*-1,0)</f>
        <v>0</v>
      </c>
      <c r="Z35" s="111" t="n">
        <f aca="false">X35+Y35</f>
        <v>22.5</v>
      </c>
      <c r="AA35" s="161" t="n">
        <v>0</v>
      </c>
      <c r="AB35" s="117" t="n">
        <v>45</v>
      </c>
      <c r="AC35" s="184" t="n">
        <v>25</v>
      </c>
      <c r="AD35" s="222" t="n">
        <f aca="false">AD34+(G35+H35-P35-3.35)*1.9835</f>
        <v>86.68192525</v>
      </c>
      <c r="AE35" s="208"/>
      <c r="AF35" s="211"/>
    </row>
    <row r="36" customFormat="false" ht="11.1" hidden="false" customHeight="true" outlineLevel="0" collapsed="false">
      <c r="A36" s="118" t="n">
        <f aca="false">A35+1</f>
        <v>25</v>
      </c>
      <c r="B36" s="168" t="n">
        <v>6860.08</v>
      </c>
      <c r="C36" s="112" t="n">
        <v>163250</v>
      </c>
      <c r="D36" s="117" t="n">
        <f aca="false">C36-C35</f>
        <v>319</v>
      </c>
      <c r="E36" s="112" t="n">
        <f aca="false">C36-152000</f>
        <v>11250</v>
      </c>
      <c r="F36" s="180" t="n">
        <f aca="false">D36/$D$2</f>
        <v>160.826821275523</v>
      </c>
      <c r="G36" s="111" t="n">
        <v>44</v>
      </c>
      <c r="H36" s="196" t="n">
        <v>1.2</v>
      </c>
      <c r="I36" s="111" t="n">
        <f aca="false">G36+H36</f>
        <v>45.2</v>
      </c>
      <c r="J36" s="181" t="n">
        <f aca="false">IF(L36&gt;0,L36,0)</f>
        <v>138.126821275523</v>
      </c>
      <c r="K36" s="111" t="n">
        <f aca="false">I36+J36</f>
        <v>183.326821275523</v>
      </c>
      <c r="L36" s="111" t="n">
        <f aca="false">F36-(I36-X36)</f>
        <v>138.126821275523</v>
      </c>
      <c r="M36" s="182" t="n">
        <v>7.5</v>
      </c>
      <c r="N36" s="111" t="n">
        <v>0</v>
      </c>
      <c r="O36" s="111" t="n">
        <v>0</v>
      </c>
      <c r="P36" s="227" t="n">
        <f aca="false">M36-(N36+O36)</f>
        <v>7.5</v>
      </c>
      <c r="Q36" s="111" t="n">
        <v>0</v>
      </c>
      <c r="R36" s="111" t="n">
        <v>0</v>
      </c>
      <c r="S36" s="111" t="n">
        <f aca="false">SUM(P36:R36)</f>
        <v>7.5</v>
      </c>
      <c r="T36" s="112"/>
      <c r="U36" s="111" t="n">
        <v>0</v>
      </c>
      <c r="V36" s="111" t="n">
        <v>15</v>
      </c>
      <c r="W36" s="112" t="n">
        <f aca="false">W35-V36</f>
        <v>732.11</v>
      </c>
      <c r="X36" s="6" t="n">
        <f aca="false">N36+O36+S36+U36+V36</f>
        <v>22.5</v>
      </c>
      <c r="Y36" s="111" t="n">
        <f aca="false">IF(L36&lt;0,L36*-1,0)</f>
        <v>0</v>
      </c>
      <c r="Z36" s="111" t="n">
        <f aca="false">X36+Y36</f>
        <v>22.5</v>
      </c>
      <c r="AA36" s="161" t="n">
        <v>0.76</v>
      </c>
      <c r="AB36" s="117" t="n">
        <v>38</v>
      </c>
      <c r="AC36" s="184" t="n">
        <v>28</v>
      </c>
      <c r="AD36" s="222" t="n">
        <f aca="false">AD35+(G36+H36-P36-3.35)*1.9835</f>
        <v>154.81515025</v>
      </c>
      <c r="AE36" s="208"/>
      <c r="AF36" s="211"/>
    </row>
    <row r="37" customFormat="false" ht="11.1" hidden="false" customHeight="true" outlineLevel="0" collapsed="false">
      <c r="A37" s="118" t="n">
        <f aca="false">A36+1</f>
        <v>26</v>
      </c>
      <c r="B37" s="168" t="n">
        <v>6860.11</v>
      </c>
      <c r="C37" s="112" t="n">
        <v>163319</v>
      </c>
      <c r="D37" s="117" t="n">
        <f aca="false">C37-C36</f>
        <v>69</v>
      </c>
      <c r="E37" s="112" t="n">
        <f aca="false">C37-152000</f>
        <v>11319</v>
      </c>
      <c r="F37" s="180" t="n">
        <f aca="false">D37/$D$2</f>
        <v>34.7869926896899</v>
      </c>
      <c r="G37" s="111" t="n">
        <v>49</v>
      </c>
      <c r="H37" s="196" t="n">
        <v>1.2</v>
      </c>
      <c r="I37" s="111" t="n">
        <f aca="false">G37+H37</f>
        <v>50.2</v>
      </c>
      <c r="J37" s="181" t="n">
        <f aca="false">IF(L37&gt;0,L37,0)</f>
        <v>7.98699268968993</v>
      </c>
      <c r="K37" s="111" t="n">
        <f aca="false">I37+J37</f>
        <v>58.1869926896899</v>
      </c>
      <c r="L37" s="111" t="n">
        <f aca="false">F37-(I37-X37)</f>
        <v>7.98699268968993</v>
      </c>
      <c r="M37" s="182" t="n">
        <v>7.4</v>
      </c>
      <c r="N37" s="111" t="n">
        <v>0</v>
      </c>
      <c r="O37" s="111" t="n">
        <v>0</v>
      </c>
      <c r="P37" s="227" t="n">
        <f aca="false">M37-(N37+O37)</f>
        <v>7.4</v>
      </c>
      <c r="Q37" s="111" t="n">
        <v>0</v>
      </c>
      <c r="R37" s="111" t="n">
        <v>0</v>
      </c>
      <c r="S37" s="111" t="n">
        <f aca="false">SUM(P37:R37)</f>
        <v>7.4</v>
      </c>
      <c r="T37" s="112"/>
      <c r="U37" s="111" t="n">
        <v>0</v>
      </c>
      <c r="V37" s="111" t="n">
        <v>16</v>
      </c>
      <c r="W37" s="112" t="n">
        <f aca="false">W36-V37</f>
        <v>716.11</v>
      </c>
      <c r="X37" s="6" t="n">
        <f aca="false">N37+O37+S37+U37+V37</f>
        <v>23.4</v>
      </c>
      <c r="Y37" s="111" t="n">
        <f aca="false">IF(L37&lt;0,L37*-1,0)</f>
        <v>0</v>
      </c>
      <c r="Z37" s="111" t="n">
        <f aca="false">X37+Y37</f>
        <v>23.4</v>
      </c>
      <c r="AA37" s="161" t="n">
        <v>0.53</v>
      </c>
      <c r="AB37" s="117" t="n">
        <v>38</v>
      </c>
      <c r="AC37" s="167" t="n">
        <v>29</v>
      </c>
      <c r="AD37" s="222" t="n">
        <f aca="false">AD36+(G37+H37-P37-3.35)*1.9835</f>
        <v>233.06422525</v>
      </c>
      <c r="AE37" s="208"/>
      <c r="AF37" s="211"/>
    </row>
    <row r="38" customFormat="false" ht="11.1" hidden="false" customHeight="true" outlineLevel="0" collapsed="false">
      <c r="A38" s="118" t="n">
        <f aca="false">A37+1</f>
        <v>27</v>
      </c>
      <c r="B38" s="168" t="n">
        <v>6860.16</v>
      </c>
      <c r="C38" s="112" t="n">
        <v>163434</v>
      </c>
      <c r="D38" s="117" t="n">
        <f aca="false">C38-C37</f>
        <v>115</v>
      </c>
      <c r="E38" s="112" t="n">
        <f aca="false">C38-152000</f>
        <v>11434</v>
      </c>
      <c r="F38" s="180" t="n">
        <f aca="false">D38/$D$2</f>
        <v>57.9783211494832</v>
      </c>
      <c r="G38" s="111" t="n">
        <v>48</v>
      </c>
      <c r="H38" s="196" t="n">
        <v>1.2</v>
      </c>
      <c r="I38" s="111" t="n">
        <f aca="false">G38+H38</f>
        <v>49.2</v>
      </c>
      <c r="J38" s="181" t="n">
        <f aca="false">IF(L38&gt;0,L38,0)</f>
        <v>31.1783211494832</v>
      </c>
      <c r="K38" s="111" t="n">
        <f aca="false">I38+J38</f>
        <v>80.3783211494832</v>
      </c>
      <c r="L38" s="111" t="n">
        <f aca="false">F38-(I38-X38)</f>
        <v>31.1783211494832</v>
      </c>
      <c r="M38" s="182" t="n">
        <v>7.4</v>
      </c>
      <c r="N38" s="111" t="n">
        <v>0</v>
      </c>
      <c r="O38" s="111" t="n">
        <v>0</v>
      </c>
      <c r="P38" s="227" t="n">
        <f aca="false">M38-(N38+O38)</f>
        <v>7.4</v>
      </c>
      <c r="Q38" s="111" t="n">
        <v>0</v>
      </c>
      <c r="R38" s="111" t="n">
        <v>0</v>
      </c>
      <c r="S38" s="111" t="n">
        <f aca="false">SUM(P38:R38)</f>
        <v>7.4</v>
      </c>
      <c r="T38" s="112"/>
      <c r="U38" s="111" t="n">
        <v>0</v>
      </c>
      <c r="V38" s="111" t="n">
        <v>15</v>
      </c>
      <c r="W38" s="112" t="n">
        <f aca="false">W37-V38</f>
        <v>701.11</v>
      </c>
      <c r="X38" s="6" t="n">
        <f aca="false">N38+O38+S38+U38+V38</f>
        <v>22.4</v>
      </c>
      <c r="Y38" s="111" t="n">
        <f aca="false">IF(L38&lt;0,L38*-1,0)</f>
        <v>0</v>
      </c>
      <c r="Z38" s="111" t="n">
        <f aca="false">X38+Y38</f>
        <v>22.4</v>
      </c>
      <c r="AA38" s="161" t="n">
        <v>0.17</v>
      </c>
      <c r="AB38" s="117" t="n">
        <v>34</v>
      </c>
      <c r="AC38" s="167" t="n">
        <v>19</v>
      </c>
      <c r="AD38" s="222" t="n">
        <f aca="false">AD37+(G38+H38-P38-3.35)*1.9835</f>
        <v>309.32980025</v>
      </c>
      <c r="AE38" s="208"/>
      <c r="AF38" s="211"/>
    </row>
    <row r="39" customFormat="false" ht="11.1" hidden="false" customHeight="true" outlineLevel="0" collapsed="false">
      <c r="A39" s="118" t="n">
        <v>28</v>
      </c>
      <c r="B39" s="168" t="n">
        <v>6860.23</v>
      </c>
      <c r="C39" s="112" t="n">
        <v>163594</v>
      </c>
      <c r="D39" s="117" t="n">
        <f aca="false">C39-C38</f>
        <v>160</v>
      </c>
      <c r="E39" s="112" t="n">
        <f aca="false">C39-152000</f>
        <v>11594</v>
      </c>
      <c r="F39" s="180" t="n">
        <f aca="false">D39/$D$2</f>
        <v>80.6654902949332</v>
      </c>
      <c r="G39" s="111" t="n">
        <v>45</v>
      </c>
      <c r="H39" s="196" t="n">
        <v>1.2</v>
      </c>
      <c r="I39" s="111" t="n">
        <f aca="false">G39+H39</f>
        <v>46.2</v>
      </c>
      <c r="J39" s="181" t="n">
        <f aca="false">IF(L39&gt;0,L39,0)</f>
        <v>55.9654902949332</v>
      </c>
      <c r="K39" s="111" t="n">
        <f aca="false">I39+J39</f>
        <v>102.165490294933</v>
      </c>
      <c r="L39" s="111" t="n">
        <f aca="false">F39-(I39-X39)</f>
        <v>55.9654902949332</v>
      </c>
      <c r="M39" s="182" t="n">
        <v>7.5</v>
      </c>
      <c r="N39" s="111" t="n">
        <v>0</v>
      </c>
      <c r="O39" s="111" t="n">
        <v>0</v>
      </c>
      <c r="P39" s="227" t="n">
        <f aca="false">M39-(N39+O39)</f>
        <v>7.5</v>
      </c>
      <c r="Q39" s="111" t="n">
        <v>0</v>
      </c>
      <c r="R39" s="111" t="n">
        <v>0</v>
      </c>
      <c r="S39" s="111" t="n">
        <f aca="false">SUM(P39:R39)</f>
        <v>7.5</v>
      </c>
      <c r="T39" s="112"/>
      <c r="U39" s="111" t="n">
        <v>0</v>
      </c>
      <c r="V39" s="111" t="n">
        <v>14</v>
      </c>
      <c r="W39" s="112" t="n">
        <f aca="false">W38-V39</f>
        <v>687.11</v>
      </c>
      <c r="X39" s="6" t="n">
        <f aca="false">N39+O39+S39+U39+V39</f>
        <v>21.5</v>
      </c>
      <c r="Y39" s="111" t="n">
        <f aca="false">IF(L39&lt;0,L39*-1,0)</f>
        <v>0</v>
      </c>
      <c r="Z39" s="111" t="n">
        <f aca="false">X39+Y39</f>
        <v>21.5</v>
      </c>
      <c r="AA39" s="161" t="n">
        <v>0.42</v>
      </c>
      <c r="AB39" s="117" t="n">
        <v>34</v>
      </c>
      <c r="AC39" s="167" t="n">
        <v>22</v>
      </c>
      <c r="AD39" s="222" t="n">
        <f aca="false">AD38+(G39+H39-P39-3.35)*1.9835</f>
        <v>379.44652525</v>
      </c>
      <c r="AE39" s="208"/>
      <c r="AF39" s="211"/>
    </row>
    <row r="40" customFormat="false" ht="3" hidden="false" customHeight="true" outlineLevel="0" collapsed="false">
      <c r="A40" s="169"/>
      <c r="B40" s="185"/>
      <c r="C40" s="171"/>
      <c r="D40" s="169"/>
      <c r="E40" s="171"/>
      <c r="F40" s="172"/>
      <c r="G40" s="169"/>
      <c r="H40" s="224"/>
      <c r="I40" s="169"/>
      <c r="J40" s="169"/>
      <c r="K40" s="169"/>
      <c r="L40" s="169"/>
      <c r="M40" s="174"/>
      <c r="N40" s="169"/>
      <c r="O40" s="169"/>
      <c r="P40" s="225"/>
      <c r="Q40" s="169"/>
      <c r="R40" s="169"/>
      <c r="S40" s="169"/>
      <c r="T40" s="171"/>
      <c r="U40" s="169"/>
      <c r="V40" s="169"/>
      <c r="W40" s="169"/>
      <c r="X40" s="169"/>
      <c r="Y40" s="169"/>
      <c r="Z40" s="169"/>
      <c r="AA40" s="176"/>
      <c r="AB40" s="177"/>
      <c r="AC40" s="178"/>
      <c r="AD40" s="226"/>
      <c r="AE40" s="179"/>
      <c r="AF40" s="179"/>
    </row>
    <row r="41" customFormat="false" ht="11.1" hidden="false" customHeight="true" outlineLevel="0" collapsed="false">
      <c r="A41" s="111" t="s">
        <v>54</v>
      </c>
      <c r="B41" s="163"/>
      <c r="C41" s="112"/>
      <c r="D41" s="112"/>
      <c r="E41" s="112"/>
      <c r="F41" s="164" t="n">
        <f aca="false">SUM(F12:F39)</f>
        <v>1486.26165868414</v>
      </c>
      <c r="G41" s="112" t="n">
        <f aca="false">SUM(G12:G39)</f>
        <v>1011</v>
      </c>
      <c r="H41" s="196" t="n">
        <f aca="false">SUM(H12:H39)</f>
        <v>26.94</v>
      </c>
      <c r="I41" s="112" t="n">
        <f aca="false">SUM(I12:I39)</f>
        <v>1037.94</v>
      </c>
      <c r="J41" s="112" t="n">
        <f aca="false">SUM(J12:J39)</f>
        <v>1128.65448953869</v>
      </c>
      <c r="K41" s="112" t="n">
        <f aca="false">SUM(K12:K39)</f>
        <v>2166.59448953869</v>
      </c>
      <c r="L41" s="112" t="n">
        <f aca="false">SUM(L12:L39)</f>
        <v>1071.12165868414</v>
      </c>
      <c r="M41" s="165" t="n">
        <f aca="false">SUM(M12:M39)</f>
        <v>217.8</v>
      </c>
      <c r="N41" s="112" t="n">
        <f aca="false">SUM(N12:N39)</f>
        <v>0</v>
      </c>
      <c r="O41" s="112" t="n">
        <f aca="false">SUM(O12:O39)</f>
        <v>0</v>
      </c>
      <c r="P41" s="223" t="n">
        <f aca="false">SUM(P12:P39)</f>
        <v>217.8</v>
      </c>
      <c r="Q41" s="112" t="n">
        <f aca="false">SUM(Q12:Q39)</f>
        <v>0</v>
      </c>
      <c r="R41" s="112" t="n">
        <f aca="false">SUM(R12:R39)</f>
        <v>0</v>
      </c>
      <c r="S41" s="112" t="n">
        <f aca="false">SUM(S12:S39)</f>
        <v>217.8</v>
      </c>
      <c r="T41" s="112"/>
      <c r="U41" s="112" t="n">
        <f aca="false">SUM(U12:U39)</f>
        <v>0</v>
      </c>
      <c r="V41" s="112" t="n">
        <f aca="false">SUM(V12:V39)</f>
        <v>405</v>
      </c>
      <c r="W41" s="112"/>
      <c r="X41" s="112" t="n">
        <f aca="false">SUM(X12:X39)</f>
        <v>622.8</v>
      </c>
      <c r="Y41" s="112" t="n">
        <f aca="false">SUM(Y12:Y39)</f>
        <v>57.53283085455</v>
      </c>
      <c r="Z41" s="112" t="n">
        <f aca="false">SUM(Z12:Z39)</f>
        <v>680.33283085455</v>
      </c>
      <c r="AA41" s="161" t="n">
        <f aca="false">SUM(AA12:AA39)</f>
        <v>2.97</v>
      </c>
      <c r="AB41" s="117" t="n">
        <f aca="false">AVERAGE(AB12:AB39)</f>
        <v>40.9285714285714</v>
      </c>
      <c r="AC41" s="167" t="n">
        <f aca="false">AVERAGE(AC12:AC39)</f>
        <v>20.8607142857143</v>
      </c>
      <c r="AD41" s="222" t="s">
        <v>70</v>
      </c>
      <c r="AE41" s="208"/>
      <c r="AF41" s="208"/>
    </row>
    <row r="42" customFormat="false" ht="11.1" hidden="false" customHeight="true" outlineLevel="0" collapsed="false">
      <c r="A42" s="111" t="s">
        <v>56</v>
      </c>
      <c r="B42" s="163"/>
      <c r="C42" s="112"/>
      <c r="D42" s="112" t="n">
        <f aca="false">SUM(D12:D39)</f>
        <v>2948</v>
      </c>
      <c r="E42" s="112"/>
      <c r="F42" s="164" t="n">
        <f aca="false">F41*$D$2</f>
        <v>2948</v>
      </c>
      <c r="G42" s="112" t="n">
        <f aca="false">G41*$D$2</f>
        <v>2005.3185</v>
      </c>
      <c r="H42" s="196" t="n">
        <f aca="false">H41*$D$2</f>
        <v>53.43549</v>
      </c>
      <c r="I42" s="112" t="n">
        <f aca="false">I41*$D$2</f>
        <v>2058.75399</v>
      </c>
      <c r="J42" s="112" t="n">
        <f aca="false">J41*$D$2</f>
        <v>2238.68618</v>
      </c>
      <c r="K42" s="112" t="n">
        <f aca="false">K41*$D$2</f>
        <v>4297.44017</v>
      </c>
      <c r="L42" s="112" t="n">
        <f aca="false">L41*$D$2</f>
        <v>2124.56981</v>
      </c>
      <c r="M42" s="165" t="n">
        <f aca="false">M41*$D$2</f>
        <v>432.0063</v>
      </c>
      <c r="N42" s="112" t="n">
        <f aca="false">N41*$D$2</f>
        <v>0</v>
      </c>
      <c r="O42" s="112" t="n">
        <f aca="false">O41*$D$2</f>
        <v>0</v>
      </c>
      <c r="P42" s="223" t="n">
        <f aca="false">P41*$D$2</f>
        <v>432.0063</v>
      </c>
      <c r="Q42" s="112" t="n">
        <f aca="false">Q41*$D$2</f>
        <v>0</v>
      </c>
      <c r="R42" s="112" t="n">
        <f aca="false">R41*$D$2</f>
        <v>0</v>
      </c>
      <c r="S42" s="112" t="n">
        <f aca="false">S41*$D$2</f>
        <v>432.0063</v>
      </c>
      <c r="T42" s="112"/>
      <c r="U42" s="112" t="n">
        <f aca="false">U41*$D$2</f>
        <v>0</v>
      </c>
      <c r="V42" s="112" t="n">
        <f aca="false">V41*$D$2</f>
        <v>803.3175</v>
      </c>
      <c r="W42" s="112"/>
      <c r="X42" s="112" t="n">
        <f aca="false">X41*$D$2</f>
        <v>1235.3238</v>
      </c>
      <c r="Y42" s="112" t="n">
        <f aca="false">Y41*$D$2</f>
        <v>114.11637</v>
      </c>
      <c r="Z42" s="112" t="n">
        <f aca="false">Z41*$D$2</f>
        <v>1349.44017</v>
      </c>
      <c r="AA42" s="161"/>
      <c r="AB42" s="117" t="n">
        <f aca="false">MAX(AB12:AB39)</f>
        <v>53</v>
      </c>
      <c r="AC42" s="167" t="n">
        <f aca="false">MAX(AC12:AC39)</f>
        <v>35</v>
      </c>
      <c r="AD42" s="222" t="s">
        <v>57</v>
      </c>
      <c r="AE42" s="208"/>
      <c r="AF42" s="208"/>
    </row>
    <row r="43" customFormat="false" ht="3" hidden="false" customHeight="true" outlineLevel="0" collapsed="false">
      <c r="A43" s="169"/>
      <c r="B43" s="185"/>
      <c r="C43" s="171"/>
      <c r="D43" s="171"/>
      <c r="E43" s="171"/>
      <c r="F43" s="186"/>
      <c r="G43" s="171"/>
      <c r="H43" s="224"/>
      <c r="I43" s="171"/>
      <c r="J43" s="171"/>
      <c r="K43" s="171"/>
      <c r="L43" s="171"/>
      <c r="M43" s="187"/>
      <c r="N43" s="171"/>
      <c r="O43" s="171"/>
      <c r="P43" s="225"/>
      <c r="Q43" s="171"/>
      <c r="R43" s="171"/>
      <c r="S43" s="171"/>
      <c r="T43" s="171"/>
      <c r="U43" s="171"/>
      <c r="V43" s="171"/>
      <c r="W43" s="169"/>
      <c r="X43" s="171"/>
      <c r="Y43" s="171"/>
      <c r="Z43" s="171"/>
      <c r="AA43" s="189"/>
      <c r="AB43" s="171"/>
      <c r="AC43" s="186"/>
      <c r="AD43" s="229"/>
      <c r="AE43" s="171"/>
      <c r="AF43" s="171"/>
    </row>
    <row r="44" customFormat="false" ht="11.1" hidden="false" customHeight="true" outlineLevel="0" collapsed="false">
      <c r="A44" s="111" t="s">
        <v>58</v>
      </c>
      <c r="B44" s="163"/>
      <c r="C44" s="112"/>
      <c r="D44" s="112"/>
      <c r="E44" s="112"/>
      <c r="F44" s="164"/>
      <c r="G44" s="112"/>
      <c r="H44" s="196"/>
      <c r="I44" s="112"/>
      <c r="J44" s="112"/>
      <c r="K44" s="112"/>
      <c r="L44" s="112"/>
      <c r="M44" s="165"/>
      <c r="N44" s="112"/>
      <c r="O44" s="112"/>
      <c r="P44" s="223"/>
      <c r="Q44" s="112"/>
      <c r="R44" s="112"/>
      <c r="S44" s="112"/>
      <c r="T44" s="112"/>
      <c r="U44" s="112"/>
      <c r="V44" s="112"/>
      <c r="W44" s="112"/>
      <c r="X44" s="112"/>
      <c r="Y44" s="112"/>
      <c r="Z44" s="112"/>
      <c r="AA44" s="161"/>
      <c r="AB44" s="117" t="n">
        <f aca="false">MIN(AB12:AB39)</f>
        <v>28</v>
      </c>
      <c r="AC44" s="167" t="n">
        <f aca="false">MIN(AC12:AC39)</f>
        <v>1</v>
      </c>
      <c r="AD44" s="222" t="s">
        <v>59</v>
      </c>
      <c r="AE44" s="208"/>
      <c r="AF44" s="208"/>
    </row>
    <row r="45" customFormat="false" ht="11.1" hidden="false" customHeight="true" outlineLevel="0" collapsed="false">
      <c r="A45" s="111" t="s">
        <v>60</v>
      </c>
      <c r="B45" s="163"/>
      <c r="C45" s="112"/>
      <c r="D45" s="112"/>
      <c r="E45" s="112"/>
      <c r="F45" s="164"/>
      <c r="G45" s="112"/>
      <c r="H45" s="196"/>
      <c r="I45" s="112"/>
      <c r="J45" s="112"/>
      <c r="K45" s="112"/>
      <c r="L45" s="112"/>
      <c r="M45" s="165"/>
      <c r="N45" s="112"/>
      <c r="O45" s="112"/>
      <c r="P45" s="223"/>
      <c r="Q45" s="112"/>
      <c r="R45" s="112"/>
      <c r="S45" s="112"/>
      <c r="T45" s="112"/>
      <c r="U45" s="112"/>
      <c r="V45" s="112"/>
      <c r="W45" s="112"/>
      <c r="X45" s="112"/>
      <c r="Y45" s="112"/>
      <c r="Z45" s="112"/>
      <c r="AA45" s="161"/>
      <c r="AB45" s="117"/>
      <c r="AC45" s="167"/>
      <c r="AD45" s="222"/>
      <c r="AE45" s="208"/>
      <c r="AF45" s="208"/>
    </row>
    <row r="46" customFormat="false" ht="3" hidden="false" customHeight="true" outlineLevel="0" collapsed="false">
      <c r="A46" s="169"/>
      <c r="B46" s="185"/>
      <c r="C46" s="171"/>
      <c r="D46" s="171"/>
      <c r="E46" s="171"/>
      <c r="F46" s="186"/>
      <c r="G46" s="171"/>
      <c r="H46" s="224"/>
      <c r="I46" s="171"/>
      <c r="J46" s="171"/>
      <c r="K46" s="171"/>
      <c r="L46" s="171"/>
      <c r="M46" s="187"/>
      <c r="N46" s="171"/>
      <c r="O46" s="171"/>
      <c r="P46" s="225"/>
      <c r="Q46" s="171"/>
      <c r="R46" s="171"/>
      <c r="S46" s="171"/>
      <c r="T46" s="171"/>
      <c r="U46" s="171"/>
      <c r="V46" s="171"/>
      <c r="W46" s="171"/>
      <c r="X46" s="171"/>
      <c r="Y46" s="171"/>
      <c r="Z46" s="171"/>
      <c r="AA46" s="176"/>
      <c r="AB46" s="190"/>
      <c r="AC46" s="191"/>
      <c r="AD46" s="229"/>
      <c r="AE46" s="190"/>
      <c r="AF46" s="190"/>
    </row>
    <row r="47" customFormat="false" ht="11.1" hidden="false" customHeight="true" outlineLevel="0" collapsed="false">
      <c r="A47" s="111" t="s">
        <v>61</v>
      </c>
      <c r="B47" s="163"/>
      <c r="C47" s="112"/>
      <c r="D47" s="112"/>
      <c r="E47" s="112"/>
      <c r="F47" s="164" t="n">
        <f aca="false">F10+F41</f>
        <v>3542.72750189059</v>
      </c>
      <c r="G47" s="112" t="n">
        <f aca="false">G10+G41</f>
        <v>4961</v>
      </c>
      <c r="H47" s="196" t="n">
        <f aca="false">H10+H41</f>
        <v>28.84</v>
      </c>
      <c r="I47" s="112" t="n">
        <f aca="false">I10+I41</f>
        <v>4989.84</v>
      </c>
      <c r="J47" s="112" t="n">
        <f aca="false">J10+J41</f>
        <v>1709.47524829846</v>
      </c>
      <c r="K47" s="112" t="n">
        <f aca="false">K10+K41</f>
        <v>6699.31524829846</v>
      </c>
      <c r="L47" s="112" t="n">
        <f aca="false">L10+L41</f>
        <v>1120.67750189059</v>
      </c>
      <c r="M47" s="165" t="n">
        <f aca="false">M10+M41</f>
        <v>731.9</v>
      </c>
      <c r="N47" s="112" t="n">
        <f aca="false">N10+N41</f>
        <v>0</v>
      </c>
      <c r="O47" s="112" t="n">
        <f aca="false">O10+O41</f>
        <v>0</v>
      </c>
      <c r="P47" s="223" t="n">
        <f aca="false">P10+P41</f>
        <v>731.9</v>
      </c>
      <c r="Q47" s="112" t="n">
        <f aca="false">Q10+Q41</f>
        <v>62</v>
      </c>
      <c r="R47" s="112" t="n">
        <f aca="false">R10+R41</f>
        <v>51</v>
      </c>
      <c r="S47" s="112" t="n">
        <f aca="false">S10+S41</f>
        <v>844.9</v>
      </c>
      <c r="T47" s="112"/>
      <c r="U47" s="112" t="n">
        <f aca="false">U10+U41</f>
        <v>0</v>
      </c>
      <c r="V47" s="112" t="n">
        <f aca="false">V10+V41</f>
        <v>1722.89</v>
      </c>
      <c r="W47" s="112" t="n">
        <f aca="false">W39</f>
        <v>687.11</v>
      </c>
      <c r="X47" s="112" t="n">
        <f aca="false">X10+X41</f>
        <v>2567.79</v>
      </c>
      <c r="Y47" s="112" t="n">
        <f aca="false">Y10+Y41</f>
        <v>588.797746407865</v>
      </c>
      <c r="Z47" s="112" t="n">
        <f aca="false">Z10+Z41</f>
        <v>3156.58774640786</v>
      </c>
      <c r="AA47" s="161" t="n">
        <f aca="false">AA10+AA41</f>
        <v>5.24</v>
      </c>
      <c r="AB47" s="117"/>
      <c r="AC47" s="167"/>
      <c r="AD47" s="222"/>
      <c r="AE47" s="208"/>
      <c r="AF47" s="208"/>
    </row>
    <row r="48" customFormat="false" ht="11.1" hidden="false" customHeight="true" outlineLevel="0" collapsed="false">
      <c r="A48" s="111" t="s">
        <v>62</v>
      </c>
      <c r="B48" s="163"/>
      <c r="C48" s="112"/>
      <c r="D48" s="112" t="n">
        <f aca="false">D10+D42</f>
        <v>7027</v>
      </c>
      <c r="E48" s="112" t="n">
        <f aca="false">E39</f>
        <v>11594</v>
      </c>
      <c r="F48" s="164" t="n">
        <f aca="false">F47*$D$2</f>
        <v>7026.99999999999</v>
      </c>
      <c r="G48" s="112" t="n">
        <f aca="false">G47*$D$2</f>
        <v>9840.1435</v>
      </c>
      <c r="H48" s="196" t="n">
        <f aca="false">H47*$D$2</f>
        <v>57.20414</v>
      </c>
      <c r="I48" s="112" t="n">
        <f aca="false">I47*$D$2</f>
        <v>9897.34764</v>
      </c>
      <c r="J48" s="112" t="n">
        <f aca="false">J47*$D$2</f>
        <v>3390.74415499999</v>
      </c>
      <c r="K48" s="112" t="n">
        <f aca="false">K47*$D$2</f>
        <v>13288.091795</v>
      </c>
      <c r="L48" s="112" t="n">
        <f aca="false">L47*$D$2</f>
        <v>2222.86382499999</v>
      </c>
      <c r="M48" s="165" t="n">
        <f aca="false">M47*$D$2</f>
        <v>1451.72365</v>
      </c>
      <c r="N48" s="112" t="n">
        <f aca="false">N47*$D$2</f>
        <v>0</v>
      </c>
      <c r="O48" s="112" t="n">
        <f aca="false">O47*$D$2</f>
        <v>0</v>
      </c>
      <c r="P48" s="223" t="n">
        <f aca="false">P47*$D$2</f>
        <v>1451.72365</v>
      </c>
      <c r="Q48" s="112" t="n">
        <f aca="false">Q47*$D$2</f>
        <v>122.977</v>
      </c>
      <c r="R48" s="112" t="n">
        <f aca="false">R47*$D$2</f>
        <v>101.1585</v>
      </c>
      <c r="S48" s="112" t="n">
        <f aca="false">S47*$D$2</f>
        <v>1675.85915</v>
      </c>
      <c r="T48" s="112" t="n">
        <f aca="false">T47*$D$2</f>
        <v>0</v>
      </c>
      <c r="U48" s="112" t="n">
        <f aca="false">U47*$D$2</f>
        <v>0</v>
      </c>
      <c r="V48" s="112" t="n">
        <f aca="false">V47*$D$2</f>
        <v>3417.352315</v>
      </c>
      <c r="W48" s="112" t="n">
        <f aca="false">W47*$D$2</f>
        <v>1362.882685</v>
      </c>
      <c r="X48" s="112" t="n">
        <f aca="false">X47*$D$2</f>
        <v>5093.211465</v>
      </c>
      <c r="Y48" s="112" t="n">
        <f aca="false">Y47*$D$2</f>
        <v>1167.88033</v>
      </c>
      <c r="Z48" s="112" t="n">
        <f aca="false">Z47*$D$2</f>
        <v>6261.091795</v>
      </c>
      <c r="AA48" s="161"/>
      <c r="AB48" s="117"/>
      <c r="AC48" s="167"/>
      <c r="AD48" s="222"/>
      <c r="AE48" s="208"/>
      <c r="AF48" s="208"/>
    </row>
    <row r="49" customFormat="false" ht="3" hidden="false" customHeight="true" outlineLevel="0" collapsed="false">
      <c r="A49" s="169"/>
      <c r="B49" s="185"/>
      <c r="C49" s="171"/>
      <c r="D49" s="169"/>
      <c r="E49" s="171"/>
      <c r="F49" s="172"/>
      <c r="G49" s="169"/>
      <c r="H49" s="224"/>
      <c r="I49" s="169"/>
      <c r="J49" s="169"/>
      <c r="K49" s="169"/>
      <c r="L49" s="169"/>
      <c r="M49" s="174"/>
      <c r="N49" s="169"/>
      <c r="O49" s="169"/>
      <c r="P49" s="225"/>
      <c r="Q49" s="169"/>
      <c r="R49" s="169"/>
      <c r="S49" s="169"/>
      <c r="T49" s="171"/>
      <c r="U49" s="169"/>
      <c r="V49" s="169"/>
      <c r="W49" s="171"/>
      <c r="X49" s="169"/>
      <c r="Y49" s="169"/>
      <c r="Z49" s="169"/>
      <c r="AA49" s="185"/>
      <c r="AB49" s="169"/>
      <c r="AC49" s="172"/>
      <c r="AD49" s="229"/>
      <c r="AE49" s="169"/>
      <c r="AF49" s="169"/>
    </row>
    <row r="50" customFormat="false" ht="11.1" hidden="false" customHeight="true" outlineLevel="0" collapsed="false">
      <c r="A50" s="111"/>
      <c r="B50" s="192"/>
      <c r="C50" s="112"/>
      <c r="D50" s="111"/>
      <c r="E50" s="112"/>
      <c r="F50" s="111"/>
      <c r="G50" s="111"/>
      <c r="H50" s="196"/>
      <c r="I50" s="111"/>
      <c r="J50" s="111"/>
      <c r="K50" s="111"/>
      <c r="L50" s="111"/>
      <c r="M50" s="111"/>
      <c r="N50" s="111"/>
      <c r="O50" s="111"/>
      <c r="P50" s="115"/>
      <c r="Q50" s="111"/>
      <c r="R50" s="111"/>
      <c r="S50" s="111"/>
      <c r="T50" s="112"/>
      <c r="U50" s="111"/>
      <c r="V50" s="111"/>
      <c r="W50" s="112"/>
      <c r="X50" s="111"/>
      <c r="Y50" s="111"/>
      <c r="Z50" s="111"/>
      <c r="AA50" s="116"/>
      <c r="AB50" s="117"/>
      <c r="AC50" s="118"/>
      <c r="AE50" s="197"/>
      <c r="AF50" s="197"/>
    </row>
    <row r="51" customFormat="false" ht="11.1" hidden="false" customHeight="true" outlineLevel="0" collapsed="false">
      <c r="A51" s="111"/>
      <c r="B51" s="193"/>
      <c r="C51" s="112"/>
      <c r="D51" s="183"/>
      <c r="E51" s="112"/>
      <c r="F51" s="111"/>
      <c r="G51" s="111"/>
      <c r="H51" s="230"/>
      <c r="I51" s="112"/>
      <c r="J51" s="111"/>
      <c r="K51" s="102"/>
      <c r="L51" s="111"/>
      <c r="M51" s="111"/>
      <c r="N51" s="111"/>
      <c r="O51" s="111"/>
      <c r="P51" s="115"/>
      <c r="Q51" s="111"/>
      <c r="R51" s="111"/>
      <c r="S51" s="111"/>
      <c r="T51" s="112"/>
      <c r="U51" s="111"/>
      <c r="V51" s="111"/>
      <c r="W51" s="112"/>
      <c r="X51" s="111"/>
      <c r="Y51" s="111"/>
      <c r="Z51" s="111"/>
      <c r="AA51" s="116"/>
      <c r="AB51" s="117"/>
      <c r="AC51" s="117"/>
      <c r="AD51" s="222"/>
      <c r="AE51" s="197"/>
      <c r="AF51" s="197"/>
    </row>
    <row r="52" customFormat="false" ht="11.1" hidden="false" customHeight="true" outlineLevel="0" collapsed="false">
      <c r="A52" s="183"/>
      <c r="B52" s="183"/>
      <c r="C52" s="112"/>
      <c r="D52" s="112"/>
      <c r="E52" s="112"/>
      <c r="F52" s="183"/>
      <c r="G52" s="183"/>
      <c r="H52" s="196"/>
      <c r="I52" s="112"/>
      <c r="J52" s="183"/>
      <c r="K52" s="183"/>
      <c r="L52" s="183"/>
      <c r="M52" s="181"/>
      <c r="N52" s="181"/>
      <c r="O52" s="181"/>
      <c r="P52" s="115"/>
      <c r="Q52" s="183"/>
      <c r="R52" s="183"/>
      <c r="S52" s="183"/>
      <c r="T52" s="112"/>
      <c r="U52" s="183"/>
      <c r="V52" s="183"/>
      <c r="W52" s="112"/>
      <c r="X52" s="183"/>
      <c r="Y52" s="183"/>
      <c r="Z52" s="183"/>
      <c r="AA52" s="116"/>
      <c r="AB52" s="117"/>
      <c r="AC52" s="117"/>
      <c r="AD52" s="222"/>
      <c r="AE52" s="213"/>
      <c r="AF52" s="213"/>
    </row>
    <row r="53" customFormat="false" ht="11.1" hidden="false" customHeight="true" outlineLevel="0" collapsed="false">
      <c r="A53" s="183"/>
      <c r="B53" s="115"/>
      <c r="C53" s="112"/>
      <c r="D53" s="112"/>
      <c r="E53" s="112"/>
      <c r="F53" s="183"/>
      <c r="G53" s="183"/>
      <c r="H53" s="196"/>
      <c r="I53" s="112"/>
      <c r="J53" s="183"/>
      <c r="K53" s="183"/>
      <c r="L53" s="183"/>
      <c r="M53" s="181"/>
      <c r="N53" s="181"/>
      <c r="O53" s="181"/>
      <c r="P53" s="115"/>
      <c r="Q53" s="183"/>
      <c r="R53" s="183"/>
      <c r="S53" s="183"/>
      <c r="T53" s="112"/>
      <c r="U53" s="183"/>
      <c r="V53" s="183"/>
      <c r="W53" s="112"/>
      <c r="X53" s="183"/>
      <c r="Y53" s="183"/>
      <c r="Z53" s="183"/>
      <c r="AA53" s="116"/>
      <c r="AB53" s="117"/>
      <c r="AC53" s="117"/>
      <c r="AD53" s="222"/>
      <c r="AE53" s="213"/>
      <c r="AF53" s="213"/>
    </row>
    <row r="54" customFormat="false" ht="11.1" hidden="false" customHeight="true" outlineLevel="0" collapsed="false">
      <c r="A54" s="183"/>
      <c r="B54" s="183"/>
      <c r="C54" s="112"/>
      <c r="D54" s="183"/>
      <c r="E54" s="112"/>
      <c r="F54" s="183"/>
      <c r="G54" s="194"/>
      <c r="H54" s="196"/>
      <c r="I54" s="183"/>
      <c r="J54" s="183"/>
      <c r="K54" s="183"/>
      <c r="L54" s="183"/>
      <c r="M54" s="181"/>
      <c r="N54" s="181"/>
      <c r="O54" s="181"/>
      <c r="P54" s="115"/>
      <c r="Q54" s="183"/>
      <c r="R54" s="183"/>
      <c r="S54" s="183"/>
      <c r="T54" s="112"/>
      <c r="U54" s="183"/>
      <c r="V54" s="183"/>
      <c r="W54" s="112"/>
      <c r="X54" s="183"/>
      <c r="Y54" s="183"/>
      <c r="Z54" s="183"/>
      <c r="AA54" s="116"/>
      <c r="AB54" s="117"/>
      <c r="AC54" s="117"/>
      <c r="AD54" s="222"/>
      <c r="AE54" s="213"/>
      <c r="AF54" s="213"/>
    </row>
    <row r="55" customFormat="false" ht="11.1" hidden="false" customHeight="true" outlineLevel="0" collapsed="false">
      <c r="S55" s="104"/>
      <c r="T55" s="105"/>
      <c r="V55" s="104"/>
      <c r="W55" s="105"/>
      <c r="Z55" s="104"/>
      <c r="AC55" s="109"/>
      <c r="AD55" s="231"/>
    </row>
  </sheetData>
  <mergeCells count="2">
    <mergeCell ref="K2:T2"/>
    <mergeCell ref="M5:P5"/>
  </mergeCells>
  <printOptions headings="true" gridLines="true" gridLinesSet="true" horizontalCentered="true" verticalCentered="false"/>
  <pageMargins left="0" right="0" top="0" bottom="0" header="0.511811023622047" footer="0.511811023622047"/>
  <pageSetup paperSize="5"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F57"/>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pane xSplit="1" ySplit="11" topLeftCell="B20" activePane="bottomRight" state="frozen"/>
      <selection pane="topLeft" activeCell="A1" activeCellId="0" sqref="A1"/>
      <selection pane="topRight" activeCell="B1" activeCellId="0" sqref="B1"/>
      <selection pane="bottomLeft" activeCell="A20" activeCellId="0" sqref="A20"/>
      <selection pane="bottomRight" activeCell="V12" activeCellId="1" sqref="AA13:AA42 V12"/>
    </sheetView>
  </sheetViews>
  <sheetFormatPr defaultColWidth="9.3359375" defaultRowHeight="11.1" zeroHeight="false" outlineLevelRow="0" outlineLevelCol="0"/>
  <cols>
    <col collapsed="false" customWidth="true" hidden="false" outlineLevel="0" max="1" min="1" style="104" width="5.67"/>
    <col collapsed="false" customWidth="true" hidden="false" outlineLevel="0" max="2" min="2" style="104" width="7.49"/>
    <col collapsed="false" customWidth="true" hidden="false" outlineLevel="0" max="3" min="3" style="105" width="6.82"/>
    <col collapsed="false" customWidth="true" hidden="false" outlineLevel="0" max="4" min="4" style="104" width="6.99"/>
    <col collapsed="false" customWidth="true" hidden="false" outlineLevel="0" max="5" min="5" style="105" width="7.66"/>
    <col collapsed="false" customWidth="true" hidden="false" outlineLevel="0" max="6" min="6" style="104" width="7.66"/>
    <col collapsed="false" customWidth="true" hidden="false" outlineLevel="0" max="7" min="7" style="104" width="7.16"/>
    <col collapsed="false" customWidth="true" hidden="false" outlineLevel="0" max="8" min="8" style="106" width="6.66"/>
    <col collapsed="false" customWidth="true" hidden="false" outlineLevel="0" max="9" min="9" style="104" width="7.99"/>
    <col collapsed="false" customWidth="true" hidden="false" outlineLevel="0" max="11" min="10" style="104" width="6.66"/>
    <col collapsed="false" customWidth="true" hidden="false" outlineLevel="0" max="12" min="12" style="104" width="7.16"/>
    <col collapsed="false" customWidth="true" hidden="false" outlineLevel="0" max="13" min="13" style="107" width="6.16"/>
    <col collapsed="false" customWidth="true" hidden="false" outlineLevel="0" max="14" min="14" style="107" width="5.99"/>
    <col collapsed="false" customWidth="true" hidden="false" outlineLevel="0" max="15" min="15" style="107" width="6.49"/>
    <col collapsed="false" customWidth="true" hidden="false" outlineLevel="0" max="16" min="16" style="104" width="7.16"/>
    <col collapsed="false" customWidth="true" hidden="false" outlineLevel="0" max="18" min="17" style="104" width="5.49"/>
    <col collapsed="false" customWidth="true" hidden="false" outlineLevel="0" max="19" min="19" style="105" width="6.82"/>
    <col collapsed="false" customWidth="true" hidden="false" outlineLevel="0" max="20" min="20" style="104" width="6.49"/>
    <col collapsed="false" customWidth="true" hidden="false" outlineLevel="0" max="21" min="21" style="104" width="5.67"/>
    <col collapsed="false" customWidth="true" hidden="false" outlineLevel="0" max="22" min="22" style="105" width="6.16"/>
    <col collapsed="false" customWidth="true" hidden="false" outlineLevel="0" max="23" min="23" style="104" width="6.82"/>
    <col collapsed="false" customWidth="true" hidden="false" outlineLevel="0" max="25" min="24" style="104" width="7.82"/>
    <col collapsed="false" customWidth="true" hidden="false" outlineLevel="0" max="26" min="26" style="108" width="7.82"/>
    <col collapsed="false" customWidth="true" hidden="false" outlineLevel="0" max="27" min="27" style="106" width="5.32"/>
    <col collapsed="false" customWidth="true" hidden="false" outlineLevel="0" max="28" min="28" style="109" width="3.82"/>
    <col collapsed="false" customWidth="true" hidden="false" outlineLevel="0" max="29" min="29" style="110" width="3.82"/>
    <col collapsed="false" customWidth="true" hidden="false" outlineLevel="0" max="30" min="30" style="107" width="5.99"/>
    <col collapsed="false" customWidth="true" hidden="false" outlineLevel="0" max="31" min="31" style="104" width="6.66"/>
    <col collapsed="false" customWidth="false" hidden="false" outlineLevel="0" max="257" min="32" style="104" width="9.32"/>
  </cols>
  <sheetData>
    <row r="1" customFormat="false" ht="14.1" hidden="false" customHeight="true" outlineLevel="0" collapsed="false">
      <c r="A1" s="111"/>
      <c r="B1" s="111"/>
      <c r="C1" s="112"/>
      <c r="D1" s="111"/>
      <c r="E1" s="112"/>
      <c r="F1" s="111"/>
      <c r="G1" s="111"/>
      <c r="H1" s="116"/>
      <c r="I1" s="111"/>
      <c r="J1" s="111"/>
      <c r="K1" s="114" t="s">
        <v>0</v>
      </c>
      <c r="L1" s="111"/>
      <c r="M1" s="111"/>
      <c r="N1" s="111"/>
      <c r="O1" s="111"/>
      <c r="P1" s="111"/>
      <c r="Q1" s="111"/>
      <c r="R1" s="111"/>
      <c r="S1" s="112"/>
      <c r="T1" s="111"/>
      <c r="U1" s="111"/>
      <c r="V1" s="112"/>
      <c r="W1" s="111"/>
      <c r="X1" s="111"/>
      <c r="Y1" s="111"/>
      <c r="Z1" s="115"/>
      <c r="AA1" s="116"/>
      <c r="AB1" s="117"/>
      <c r="AC1" s="118"/>
      <c r="AD1" s="214"/>
      <c r="AE1" s="197"/>
    </row>
    <row r="2" customFormat="false" ht="14.1" hidden="false" customHeight="true" outlineLevel="0" collapsed="false">
      <c r="A2" s="111" t="s">
        <v>1</v>
      </c>
      <c r="B2" s="111"/>
      <c r="C2" s="112"/>
      <c r="D2" s="119" t="n">
        <v>1.9835</v>
      </c>
      <c r="E2" s="112"/>
      <c r="F2" s="111"/>
      <c r="G2" s="111"/>
      <c r="H2" s="116"/>
      <c r="I2" s="111"/>
      <c r="J2" s="111"/>
      <c r="K2" s="120" t="s">
        <v>74</v>
      </c>
      <c r="L2" s="120"/>
      <c r="M2" s="120"/>
      <c r="N2" s="120"/>
      <c r="O2" s="120"/>
      <c r="P2" s="120"/>
      <c r="Q2" s="120"/>
      <c r="R2" s="120"/>
      <c r="S2" s="120"/>
      <c r="T2" s="120"/>
      <c r="U2" s="111"/>
      <c r="V2" s="112"/>
      <c r="W2" s="111"/>
      <c r="X2" s="111"/>
      <c r="Y2" s="111"/>
      <c r="Z2" s="115"/>
      <c r="AA2" s="116"/>
      <c r="AB2" s="117"/>
      <c r="AC2" s="118"/>
      <c r="AD2" s="214"/>
      <c r="AE2" s="197"/>
    </row>
    <row r="3" customFormat="false" ht="14.1" hidden="false" customHeight="true" outlineLevel="0" collapsed="false">
      <c r="A3" s="121"/>
      <c r="B3" s="121"/>
      <c r="C3" s="122"/>
      <c r="D3" s="123"/>
      <c r="E3" s="122"/>
      <c r="F3" s="121"/>
      <c r="G3" s="121"/>
      <c r="H3" s="126"/>
      <c r="I3" s="121"/>
      <c r="J3" s="121"/>
      <c r="K3" s="121"/>
      <c r="L3" s="121"/>
      <c r="M3" s="121"/>
      <c r="N3" s="121"/>
      <c r="O3" s="121"/>
      <c r="P3" s="121"/>
      <c r="Q3" s="121"/>
      <c r="R3" s="121"/>
      <c r="S3" s="122"/>
      <c r="T3" s="121"/>
      <c r="U3" s="121"/>
      <c r="V3" s="122"/>
      <c r="W3" s="121"/>
      <c r="X3" s="121"/>
      <c r="Y3" s="121"/>
      <c r="Z3" s="125"/>
      <c r="AA3" s="126"/>
      <c r="AB3" s="127"/>
      <c r="AC3" s="128"/>
      <c r="AD3" s="215"/>
      <c r="AE3" s="199"/>
      <c r="AF3" s="129"/>
    </row>
    <row r="4" customFormat="false" ht="14.1" hidden="false" customHeight="true" outlineLevel="0" collapsed="false">
      <c r="A4" s="111"/>
      <c r="B4" s="130"/>
      <c r="C4" s="131"/>
      <c r="D4" s="200" t="s">
        <v>3</v>
      </c>
      <c r="E4" s="131"/>
      <c r="F4" s="133"/>
      <c r="G4" s="111"/>
      <c r="H4" s="116"/>
      <c r="I4" s="111"/>
      <c r="J4" s="111"/>
      <c r="K4" s="111"/>
      <c r="L4" s="111"/>
      <c r="M4" s="111"/>
      <c r="N4" s="111"/>
      <c r="O4" s="111"/>
      <c r="P4" s="111"/>
      <c r="Q4" s="134" t="s">
        <v>4</v>
      </c>
      <c r="R4" s="111"/>
      <c r="S4" s="112"/>
      <c r="T4" s="111"/>
      <c r="U4" s="111"/>
      <c r="V4" s="112"/>
      <c r="W4" s="111"/>
      <c r="X4" s="111"/>
      <c r="Y4" s="111"/>
      <c r="Z4" s="115"/>
      <c r="AA4" s="135"/>
      <c r="AB4" s="136" t="s">
        <v>5</v>
      </c>
      <c r="AC4" s="137"/>
      <c r="AD4" s="214"/>
      <c r="AE4" s="197"/>
    </row>
    <row r="5" customFormat="false" ht="11.1" hidden="false" customHeight="true" outlineLevel="0" collapsed="false">
      <c r="A5" s="138" t="s">
        <v>6</v>
      </c>
      <c r="B5" s="232" t="s">
        <v>7</v>
      </c>
      <c r="C5" s="233" t="s">
        <v>7</v>
      </c>
      <c r="D5" s="234" t="s">
        <v>8</v>
      </c>
      <c r="E5" s="233" t="s">
        <v>9</v>
      </c>
      <c r="F5" s="141" t="s">
        <v>10</v>
      </c>
      <c r="G5" s="138" t="s">
        <v>11</v>
      </c>
      <c r="H5" s="201" t="s">
        <v>12</v>
      </c>
      <c r="I5" s="138" t="s">
        <v>13</v>
      </c>
      <c r="J5" s="138" t="s">
        <v>14</v>
      </c>
      <c r="K5" s="138" t="s">
        <v>15</v>
      </c>
      <c r="L5" s="138" t="s">
        <v>14</v>
      </c>
      <c r="M5" s="143" t="s">
        <v>16</v>
      </c>
      <c r="N5" s="143"/>
      <c r="O5" s="143"/>
      <c r="P5" s="143"/>
      <c r="Q5" s="138" t="s">
        <v>17</v>
      </c>
      <c r="R5" s="138" t="s">
        <v>18</v>
      </c>
      <c r="S5" s="138" t="s">
        <v>15</v>
      </c>
      <c r="T5" s="140" t="s">
        <v>19</v>
      </c>
      <c r="U5" s="138" t="s">
        <v>20</v>
      </c>
      <c r="V5" s="138" t="s">
        <v>21</v>
      </c>
      <c r="W5" s="140" t="s">
        <v>22</v>
      </c>
      <c r="X5" s="138" t="s">
        <v>13</v>
      </c>
      <c r="Y5" s="138" t="s">
        <v>14</v>
      </c>
      <c r="Z5" s="138" t="s">
        <v>15</v>
      </c>
      <c r="AA5" s="144" t="s">
        <v>23</v>
      </c>
      <c r="AB5" s="145" t="s">
        <v>24</v>
      </c>
      <c r="AC5" s="146" t="s">
        <v>25</v>
      </c>
      <c r="AD5" s="217" t="s">
        <v>64</v>
      </c>
      <c r="AE5" s="203" t="s">
        <v>19</v>
      </c>
      <c r="AF5" s="197"/>
    </row>
    <row r="6" customFormat="false" ht="11.1" hidden="false" customHeight="true" outlineLevel="0" collapsed="false">
      <c r="A6" s="148" t="s">
        <v>75</v>
      </c>
      <c r="B6" s="232" t="s">
        <v>28</v>
      </c>
      <c r="C6" s="233" t="s">
        <v>8</v>
      </c>
      <c r="D6" s="234" t="s">
        <v>29</v>
      </c>
      <c r="E6" s="233" t="s">
        <v>30</v>
      </c>
      <c r="F6" s="141" t="s">
        <v>31</v>
      </c>
      <c r="G6" s="138" t="s">
        <v>32</v>
      </c>
      <c r="H6" s="201" t="s">
        <v>33</v>
      </c>
      <c r="I6" s="138" t="s">
        <v>34</v>
      </c>
      <c r="J6" s="138" t="s">
        <v>34</v>
      </c>
      <c r="K6" s="138" t="s">
        <v>34</v>
      </c>
      <c r="L6" s="138" t="s">
        <v>35</v>
      </c>
      <c r="M6" s="149" t="s">
        <v>36</v>
      </c>
      <c r="N6" s="138" t="s">
        <v>37</v>
      </c>
      <c r="O6" s="138" t="s">
        <v>38</v>
      </c>
      <c r="P6" s="150" t="s">
        <v>39</v>
      </c>
      <c r="Q6" s="138" t="s">
        <v>40</v>
      </c>
      <c r="R6" s="138" t="s">
        <v>41</v>
      </c>
      <c r="S6" s="138" t="s">
        <v>19</v>
      </c>
      <c r="T6" s="140" t="s">
        <v>42</v>
      </c>
      <c r="U6" s="138" t="s">
        <v>43</v>
      </c>
      <c r="V6" s="138" t="s">
        <v>44</v>
      </c>
      <c r="W6" s="140" t="s">
        <v>45</v>
      </c>
      <c r="X6" s="138" t="s">
        <v>46</v>
      </c>
      <c r="Y6" s="138" t="s">
        <v>46</v>
      </c>
      <c r="Z6" s="138" t="s">
        <v>46</v>
      </c>
      <c r="AA6" s="151"/>
      <c r="AB6" s="145" t="s">
        <v>47</v>
      </c>
      <c r="AC6" s="146" t="s">
        <v>47</v>
      </c>
      <c r="AD6" s="219" t="s">
        <v>42</v>
      </c>
      <c r="AE6" s="203" t="s">
        <v>42</v>
      </c>
      <c r="AF6" s="197"/>
    </row>
    <row r="7" customFormat="false" ht="11.1" hidden="false" customHeight="true" outlineLevel="0" collapsed="false">
      <c r="A7" s="153"/>
      <c r="B7" s="154"/>
      <c r="C7" s="155"/>
      <c r="D7" s="153"/>
      <c r="E7" s="156" t="s">
        <v>48</v>
      </c>
      <c r="F7" s="157"/>
      <c r="G7" s="153"/>
      <c r="H7" s="205"/>
      <c r="I7" s="153"/>
      <c r="J7" s="153"/>
      <c r="K7" s="153"/>
      <c r="L7" s="153"/>
      <c r="M7" s="159"/>
      <c r="N7" s="153"/>
      <c r="O7" s="153"/>
      <c r="P7" s="160"/>
      <c r="Q7" s="153"/>
      <c r="R7" s="153"/>
      <c r="S7" s="153"/>
      <c r="T7" s="156" t="s">
        <v>49</v>
      </c>
      <c r="U7" s="153"/>
      <c r="V7" s="153"/>
      <c r="W7" s="155"/>
      <c r="X7" s="153"/>
      <c r="Y7" s="153"/>
      <c r="Z7" s="153"/>
      <c r="AA7" s="161"/>
      <c r="AB7" s="152" t="s">
        <v>50</v>
      </c>
      <c r="AC7" s="162"/>
      <c r="AD7" s="222"/>
      <c r="AE7" s="203" t="s">
        <v>51</v>
      </c>
      <c r="AF7" s="208"/>
    </row>
    <row r="8" customFormat="false" ht="11.1" hidden="false" customHeight="true" outlineLevel="0" collapsed="false">
      <c r="A8" s="153"/>
      <c r="B8" s="154"/>
      <c r="C8" s="155"/>
      <c r="D8" s="153"/>
      <c r="E8" s="155"/>
      <c r="F8" s="157"/>
      <c r="G8" s="153"/>
      <c r="H8" s="205"/>
      <c r="I8" s="153"/>
      <c r="J8" s="153"/>
      <c r="K8" s="153"/>
      <c r="L8" s="153"/>
      <c r="M8" s="159"/>
      <c r="N8" s="153"/>
      <c r="O8" s="153"/>
      <c r="P8" s="160"/>
      <c r="Q8" s="153"/>
      <c r="R8" s="153"/>
      <c r="S8" s="153"/>
      <c r="T8" s="155"/>
      <c r="U8" s="153"/>
      <c r="V8" s="153"/>
      <c r="W8" s="155"/>
      <c r="X8" s="153"/>
      <c r="Y8" s="153"/>
      <c r="Z8" s="153"/>
      <c r="AA8" s="161"/>
      <c r="AB8" s="118"/>
      <c r="AC8" s="162"/>
      <c r="AD8" s="222"/>
      <c r="AE8" s="208"/>
      <c r="AF8" s="208"/>
    </row>
    <row r="9" customFormat="false" ht="11.1" hidden="false" customHeight="true" outlineLevel="0" collapsed="false">
      <c r="A9" s="111" t="s">
        <v>52</v>
      </c>
      <c r="B9" s="163"/>
      <c r="C9" s="112"/>
      <c r="D9" s="112"/>
      <c r="E9" s="112"/>
      <c r="F9" s="164"/>
      <c r="G9" s="112"/>
      <c r="H9" s="116"/>
      <c r="I9" s="112"/>
      <c r="J9" s="112"/>
      <c r="K9" s="112"/>
      <c r="L9" s="112"/>
      <c r="M9" s="165"/>
      <c r="N9" s="112"/>
      <c r="O9" s="112"/>
      <c r="P9" s="166"/>
      <c r="Q9" s="112"/>
      <c r="R9" s="112"/>
      <c r="S9" s="112"/>
      <c r="T9" s="112"/>
      <c r="U9" s="112"/>
      <c r="V9" s="112"/>
      <c r="W9" s="112"/>
      <c r="X9" s="112"/>
      <c r="Y9" s="112"/>
      <c r="Z9" s="112"/>
      <c r="AA9" s="161"/>
      <c r="AB9" s="117"/>
      <c r="AC9" s="167"/>
      <c r="AD9" s="222"/>
      <c r="AE9" s="208"/>
      <c r="AF9" s="210"/>
    </row>
    <row r="10" s="105" customFormat="true" ht="11.1" hidden="false" customHeight="true" outlineLevel="0" collapsed="false">
      <c r="A10" s="112" t="s">
        <v>53</v>
      </c>
      <c r="B10" s="168" t="n">
        <f aca="false">FEB!B39</f>
        <v>6860.23</v>
      </c>
      <c r="C10" s="112" t="n">
        <f aca="false">FEB!C39</f>
        <v>163594</v>
      </c>
      <c r="D10" s="112" t="n">
        <f aca="false">FEB!$D$48</f>
        <v>7027</v>
      </c>
      <c r="E10" s="112" t="n">
        <f aca="false">FEB!$E$39</f>
        <v>11594</v>
      </c>
      <c r="F10" s="164" t="n">
        <f aca="false">FEB!F47</f>
        <v>3542.72750189059</v>
      </c>
      <c r="G10" s="112" t="n">
        <f aca="false">FEB!G47</f>
        <v>4961</v>
      </c>
      <c r="H10" s="116" t="n">
        <f aca="false">FEB!H47</f>
        <v>28.84</v>
      </c>
      <c r="I10" s="112" t="n">
        <f aca="false">FEB!I47</f>
        <v>4989.84</v>
      </c>
      <c r="J10" s="112" t="n">
        <f aca="false">FEB!J47</f>
        <v>1709.47524829846</v>
      </c>
      <c r="K10" s="112" t="n">
        <f aca="false">FEB!K47</f>
        <v>6699.31524829846</v>
      </c>
      <c r="L10" s="112" t="n">
        <f aca="false">FEB!L47</f>
        <v>1120.67750189059</v>
      </c>
      <c r="M10" s="165" t="n">
        <f aca="false">FEB!M47</f>
        <v>731.9</v>
      </c>
      <c r="N10" s="112" t="n">
        <f aca="false">FEB!N47</f>
        <v>0</v>
      </c>
      <c r="O10" s="112" t="n">
        <f aca="false">FEB!O47</f>
        <v>0</v>
      </c>
      <c r="P10" s="166" t="n">
        <f aca="false">FEB!P47</f>
        <v>731.9</v>
      </c>
      <c r="Q10" s="112" t="n">
        <f aca="false">FEB!Q47</f>
        <v>62</v>
      </c>
      <c r="R10" s="112" t="n">
        <f aca="false">FEB!R47</f>
        <v>51</v>
      </c>
      <c r="S10" s="112" t="n">
        <f aca="false">FEB!S47</f>
        <v>844.9</v>
      </c>
      <c r="T10" s="112" t="n">
        <f aca="false">FEB!T47</f>
        <v>0</v>
      </c>
      <c r="U10" s="112" t="n">
        <f aca="false">FEB!U47</f>
        <v>0</v>
      </c>
      <c r="V10" s="112" t="n">
        <f aca="false">FEB!V47</f>
        <v>1722.89</v>
      </c>
      <c r="W10" s="112" t="n">
        <f aca="false">FEB!W47</f>
        <v>687.11</v>
      </c>
      <c r="X10" s="112" t="n">
        <f aca="false">FEB!X47</f>
        <v>2567.79</v>
      </c>
      <c r="Y10" s="112" t="n">
        <f aca="false">FEB!Y47</f>
        <v>588.797746407865</v>
      </c>
      <c r="Z10" s="112" t="n">
        <f aca="false">FEB!Z47</f>
        <v>3156.58774640786</v>
      </c>
      <c r="AA10" s="161" t="n">
        <f aca="false">FEB!AA47</f>
        <v>5.24</v>
      </c>
      <c r="AB10" s="117"/>
      <c r="AC10" s="167"/>
      <c r="AD10" s="222" t="n">
        <f aca="false">FEB!AD39</f>
        <v>379.44652525</v>
      </c>
      <c r="AE10" s="211"/>
      <c r="AF10" s="208"/>
    </row>
    <row r="11" customFormat="false" ht="3" hidden="false" customHeight="true" outlineLevel="0" collapsed="false">
      <c r="A11" s="169"/>
      <c r="B11" s="170"/>
      <c r="C11" s="171"/>
      <c r="D11" s="169"/>
      <c r="E11" s="171"/>
      <c r="F11" s="172"/>
      <c r="G11" s="169"/>
      <c r="H11" s="190"/>
      <c r="I11" s="169"/>
      <c r="J11" s="169"/>
      <c r="K11" s="169"/>
      <c r="L11" s="169"/>
      <c r="M11" s="174"/>
      <c r="N11" s="169"/>
      <c r="O11" s="169"/>
      <c r="P11" s="175"/>
      <c r="Q11" s="169"/>
      <c r="R11" s="169"/>
      <c r="S11" s="169"/>
      <c r="T11" s="171"/>
      <c r="U11" s="169"/>
      <c r="V11" s="169"/>
      <c r="W11" s="171"/>
      <c r="X11" s="169"/>
      <c r="Y11" s="169"/>
      <c r="Z11" s="169"/>
      <c r="AA11" s="176"/>
      <c r="AB11" s="177"/>
      <c r="AC11" s="178"/>
      <c r="AD11" s="226"/>
      <c r="AE11" s="179"/>
      <c r="AF11" s="179"/>
    </row>
    <row r="12" customFormat="false" ht="11.1" hidden="false" customHeight="true" outlineLevel="0" collapsed="false">
      <c r="A12" s="118" t="n">
        <v>1</v>
      </c>
      <c r="B12" s="168" t="n">
        <v>6860.28</v>
      </c>
      <c r="C12" s="112" t="n">
        <v>163709</v>
      </c>
      <c r="D12" s="117" t="n">
        <f aca="false">C12-C10</f>
        <v>115</v>
      </c>
      <c r="E12" s="112" t="n">
        <f aca="false">C12-152000</f>
        <v>11709</v>
      </c>
      <c r="F12" s="180" t="n">
        <f aca="false">D12/$D$2</f>
        <v>57.9783211494832</v>
      </c>
      <c r="G12" s="111" t="n">
        <v>29</v>
      </c>
      <c r="H12" s="116" t="n">
        <v>1.2</v>
      </c>
      <c r="I12" s="111" t="n">
        <f aca="false">G12+H12</f>
        <v>30.2</v>
      </c>
      <c r="J12" s="181" t="n">
        <f aca="false">IF(L12&gt;0,L12,0)</f>
        <v>50.0783211494832</v>
      </c>
      <c r="K12" s="111" t="n">
        <f aca="false">I12+J12</f>
        <v>80.2783211494832</v>
      </c>
      <c r="L12" s="111" t="n">
        <f aca="false">F12-(I12-X12)</f>
        <v>50.0783211494832</v>
      </c>
      <c r="M12" s="182" t="n">
        <v>7.3</v>
      </c>
      <c r="N12" s="111" t="n">
        <v>0</v>
      </c>
      <c r="O12" s="111" t="n">
        <v>0</v>
      </c>
      <c r="P12" s="90" t="n">
        <f aca="false">M12-(N12+O12)</f>
        <v>7.3</v>
      </c>
      <c r="Q12" s="111" t="n">
        <v>0</v>
      </c>
      <c r="R12" s="111" t="n">
        <v>0</v>
      </c>
      <c r="S12" s="111" t="n">
        <f aca="false">SUM(P12:R12)</f>
        <v>7.3</v>
      </c>
      <c r="T12" s="112"/>
      <c r="U12" s="111" t="n">
        <v>0</v>
      </c>
      <c r="V12" s="235" t="n">
        <v>15</v>
      </c>
      <c r="W12" s="236" t="n">
        <f aca="false">W10-V12</f>
        <v>672.11</v>
      </c>
      <c r="X12" s="6" t="n">
        <f aca="false">N12+O12+S12+U12+V12</f>
        <v>22.3</v>
      </c>
      <c r="Y12" s="111" t="n">
        <f aca="false">IF(L12&lt;0,L12*-1,0)</f>
        <v>0</v>
      </c>
      <c r="Z12" s="111" t="n">
        <f aca="false">X12+Y12</f>
        <v>22.3</v>
      </c>
      <c r="AA12" s="161" t="n">
        <v>0.15</v>
      </c>
      <c r="AB12" s="117" t="n">
        <v>45</v>
      </c>
      <c r="AC12" s="167" t="n">
        <v>11</v>
      </c>
      <c r="AD12" s="222" t="n">
        <f aca="false">AD10+(G12+H12-P12-3.35)*1.9835</f>
        <v>418.22395025</v>
      </c>
      <c r="AE12" s="210"/>
      <c r="AF12" s="211"/>
    </row>
    <row r="13" customFormat="false" ht="11.1" hidden="false" customHeight="true" outlineLevel="0" collapsed="false">
      <c r="A13" s="118" t="n">
        <f aca="false">A12+1</f>
        <v>2</v>
      </c>
      <c r="B13" s="168" t="n">
        <v>6860.31</v>
      </c>
      <c r="C13" s="112" t="n">
        <v>163778</v>
      </c>
      <c r="D13" s="117" t="n">
        <f aca="false">C13-C12</f>
        <v>69</v>
      </c>
      <c r="E13" s="112" t="n">
        <f aca="false">C13-152000</f>
        <v>11778</v>
      </c>
      <c r="F13" s="180" t="n">
        <f aca="false">D13/$D$2</f>
        <v>34.7869926896899</v>
      </c>
      <c r="G13" s="111" t="n">
        <v>19</v>
      </c>
      <c r="H13" s="116" t="n">
        <v>1.1</v>
      </c>
      <c r="I13" s="111" t="n">
        <f aca="false">G13+H13</f>
        <v>20.1</v>
      </c>
      <c r="J13" s="181" t="n">
        <f aca="false">IF(L13&gt;0,L13,0)</f>
        <v>36.7869926896899</v>
      </c>
      <c r="K13" s="111" t="n">
        <f aca="false">I13+J13</f>
        <v>56.8869926896899</v>
      </c>
      <c r="L13" s="111" t="n">
        <f aca="false">F13-(I13-X13)</f>
        <v>36.7869926896899</v>
      </c>
      <c r="M13" s="182" t="n">
        <v>7.1</v>
      </c>
      <c r="N13" s="111" t="n">
        <v>0</v>
      </c>
      <c r="O13" s="111" t="n">
        <v>0</v>
      </c>
      <c r="P13" s="90" t="n">
        <f aca="false">M13-(N13+O13)</f>
        <v>7.1</v>
      </c>
      <c r="Q13" s="111" t="n">
        <v>0</v>
      </c>
      <c r="R13" s="111" t="n">
        <v>0</v>
      </c>
      <c r="S13" s="111" t="n">
        <f aca="false">SUM(P13:R13)</f>
        <v>7.1</v>
      </c>
      <c r="T13" s="112"/>
      <c r="U13" s="111" t="n">
        <v>0</v>
      </c>
      <c r="V13" s="235" t="n">
        <v>15</v>
      </c>
      <c r="W13" s="236" t="n">
        <f aca="false">W12-V13</f>
        <v>657.11</v>
      </c>
      <c r="X13" s="6" t="n">
        <f aca="false">N13+O13+S13+U13+V13</f>
        <v>22.1</v>
      </c>
      <c r="Y13" s="111" t="n">
        <f aca="false">IF(L13&lt;0,L13*-1,0)</f>
        <v>0</v>
      </c>
      <c r="Z13" s="111" t="n">
        <f aca="false">X13+Y13</f>
        <v>22.1</v>
      </c>
      <c r="AA13" s="161" t="n">
        <v>0</v>
      </c>
      <c r="AB13" s="117" t="n">
        <v>39</v>
      </c>
      <c r="AC13" s="167" t="n">
        <v>6</v>
      </c>
      <c r="AD13" s="222" t="n">
        <f aca="false">AD12+(G13+H13-P13-3.35)*1.9835</f>
        <v>437.36472525</v>
      </c>
      <c r="AE13" s="210"/>
      <c r="AF13" s="211"/>
    </row>
    <row r="14" customFormat="false" ht="11.1" hidden="false" customHeight="true" outlineLevel="0" collapsed="false">
      <c r="A14" s="118" t="n">
        <f aca="false">A13+1</f>
        <v>3</v>
      </c>
      <c r="B14" s="168" t="n">
        <v>6860.33</v>
      </c>
      <c r="C14" s="112" t="n">
        <v>163824</v>
      </c>
      <c r="D14" s="117" t="n">
        <f aca="false">C14-C13</f>
        <v>46</v>
      </c>
      <c r="E14" s="112" t="n">
        <f aca="false">C14-152000</f>
        <v>11824</v>
      </c>
      <c r="F14" s="180" t="n">
        <f aca="false">D14/$D$2</f>
        <v>23.1913284597933</v>
      </c>
      <c r="G14" s="111" t="n">
        <v>18</v>
      </c>
      <c r="H14" s="116" t="n">
        <v>1.2</v>
      </c>
      <c r="I14" s="111" t="n">
        <f aca="false">G14+H14</f>
        <v>19.2</v>
      </c>
      <c r="J14" s="181" t="n">
        <f aca="false">IF(L14&gt;0,L14,0)</f>
        <v>26.3913284597933</v>
      </c>
      <c r="K14" s="111" t="n">
        <f aca="false">I14+J14</f>
        <v>45.5913284597933</v>
      </c>
      <c r="L14" s="111" t="n">
        <f aca="false">F14-(I14-X14)</f>
        <v>26.3913284597933</v>
      </c>
      <c r="M14" s="182" t="n">
        <v>7.4</v>
      </c>
      <c r="N14" s="111" t="n">
        <v>0</v>
      </c>
      <c r="O14" s="111" t="n">
        <v>0</v>
      </c>
      <c r="P14" s="90" t="n">
        <f aca="false">M14-(N14+O14)</f>
        <v>7.4</v>
      </c>
      <c r="Q14" s="111" t="n">
        <v>0</v>
      </c>
      <c r="R14" s="111" t="n">
        <v>0</v>
      </c>
      <c r="S14" s="111" t="n">
        <f aca="false">SUM(P14:R14)</f>
        <v>7.4</v>
      </c>
      <c r="T14" s="112"/>
      <c r="U14" s="111" t="n">
        <v>0</v>
      </c>
      <c r="V14" s="235" t="n">
        <v>15</v>
      </c>
      <c r="W14" s="236" t="n">
        <f aca="false">W13-V14</f>
        <v>642.11</v>
      </c>
      <c r="X14" s="6" t="n">
        <f aca="false">N14+O14+S14+U14+V14</f>
        <v>22.4</v>
      </c>
      <c r="Y14" s="111" t="n">
        <f aca="false">IF(L14&lt;0,L14*-1,0)</f>
        <v>0</v>
      </c>
      <c r="Z14" s="111" t="n">
        <f aca="false">X14+Y14</f>
        <v>22.4</v>
      </c>
      <c r="AA14" s="161" t="n">
        <v>0</v>
      </c>
      <c r="AB14" s="117" t="n">
        <v>41</v>
      </c>
      <c r="AC14" s="167" t="n">
        <v>10</v>
      </c>
      <c r="AD14" s="222" t="n">
        <f aca="false">AD13+(G14+H14-P14-3.35)*1.9835</f>
        <v>454.12530025</v>
      </c>
      <c r="AE14" s="210"/>
      <c r="AF14" s="211"/>
    </row>
    <row r="15" customFormat="false" ht="11.1" hidden="false" customHeight="true" outlineLevel="0" collapsed="false">
      <c r="A15" s="118" t="n">
        <f aca="false">A14+1</f>
        <v>4</v>
      </c>
      <c r="B15" s="168" t="n">
        <v>6860.38</v>
      </c>
      <c r="C15" s="112" t="n">
        <v>163939</v>
      </c>
      <c r="D15" s="117" t="n">
        <f aca="false">C15-C14</f>
        <v>115</v>
      </c>
      <c r="E15" s="112" t="n">
        <f aca="false">C15-152000</f>
        <v>11939</v>
      </c>
      <c r="F15" s="180" t="n">
        <f aca="false">D15/$D$2</f>
        <v>57.9783211494832</v>
      </c>
      <c r="G15" s="111" t="n">
        <v>38</v>
      </c>
      <c r="H15" s="116" t="n">
        <v>1.2</v>
      </c>
      <c r="I15" s="111" t="n">
        <f aca="false">G15+H15</f>
        <v>39.2</v>
      </c>
      <c r="J15" s="181" t="n">
        <f aca="false">IF(L15&gt;0,L15,0)</f>
        <v>41.4783211494832</v>
      </c>
      <c r="K15" s="111" t="n">
        <f aca="false">I15+J15</f>
        <v>80.6783211494832</v>
      </c>
      <c r="L15" s="111" t="n">
        <f aca="false">F15-(I15-X15)</f>
        <v>41.4783211494832</v>
      </c>
      <c r="M15" s="182" t="n">
        <v>7.7</v>
      </c>
      <c r="N15" s="111" t="n">
        <v>0</v>
      </c>
      <c r="O15" s="111" t="n">
        <v>0</v>
      </c>
      <c r="P15" s="90" t="n">
        <f aca="false">M15-(N15+O15)</f>
        <v>7.7</v>
      </c>
      <c r="Q15" s="111" t="n">
        <v>0</v>
      </c>
      <c r="R15" s="111" t="n">
        <v>0</v>
      </c>
      <c r="S15" s="111" t="n">
        <f aca="false">SUM(P15:R15)</f>
        <v>7.7</v>
      </c>
      <c r="T15" s="112"/>
      <c r="U15" s="111" t="n">
        <v>0</v>
      </c>
      <c r="V15" s="235" t="n">
        <v>15</v>
      </c>
      <c r="W15" s="236" t="n">
        <f aca="false">W14-V15</f>
        <v>627.11</v>
      </c>
      <c r="X15" s="6" t="n">
        <f aca="false">N15+O15+S15+U15+V15</f>
        <v>22.7</v>
      </c>
      <c r="Y15" s="111" t="n">
        <f aca="false">IF(L15&lt;0,L15*-1,0)</f>
        <v>0</v>
      </c>
      <c r="Z15" s="111" t="n">
        <f aca="false">X15+Y15</f>
        <v>22.7</v>
      </c>
      <c r="AA15" s="161" t="n">
        <v>0.35</v>
      </c>
      <c r="AB15" s="117" t="n">
        <v>33</v>
      </c>
      <c r="AC15" s="167" t="n">
        <v>25</v>
      </c>
      <c r="AD15" s="222" t="n">
        <f aca="false">AD14+(G15+H15-P15-3.35)*1.9835</f>
        <v>509.96082525</v>
      </c>
      <c r="AE15" s="210"/>
      <c r="AF15" s="211"/>
    </row>
    <row r="16" customFormat="false" ht="11.1" hidden="false" customHeight="true" outlineLevel="0" collapsed="false">
      <c r="A16" s="118" t="n">
        <f aca="false">A15+1</f>
        <v>5</v>
      </c>
      <c r="B16" s="168" t="n">
        <v>6860.44</v>
      </c>
      <c r="C16" s="112" t="n">
        <v>164077</v>
      </c>
      <c r="D16" s="117" t="n">
        <f aca="false">C16-C15</f>
        <v>138</v>
      </c>
      <c r="E16" s="112" t="n">
        <f aca="false">C16-152000</f>
        <v>12077</v>
      </c>
      <c r="F16" s="180" t="n">
        <f aca="false">D16/$D$2</f>
        <v>69.5739853793799</v>
      </c>
      <c r="G16" s="111" t="n">
        <v>40</v>
      </c>
      <c r="H16" s="116" t="n">
        <v>1.4</v>
      </c>
      <c r="I16" s="111" t="n">
        <f aca="false">G16+H16</f>
        <v>41.4</v>
      </c>
      <c r="J16" s="181" t="n">
        <f aca="false">IF(L16&gt;0,L16,0)</f>
        <v>50.7739853793799</v>
      </c>
      <c r="K16" s="111" t="n">
        <f aca="false">I16+J16</f>
        <v>92.1739853793799</v>
      </c>
      <c r="L16" s="111" t="n">
        <f aca="false">F16-(I16-X16)</f>
        <v>50.7739853793799</v>
      </c>
      <c r="M16" s="182" t="n">
        <v>7.6</v>
      </c>
      <c r="N16" s="111" t="n">
        <v>0</v>
      </c>
      <c r="O16" s="111" t="n">
        <v>0</v>
      </c>
      <c r="P16" s="90" t="n">
        <f aca="false">M16-(N16+O16)</f>
        <v>7.6</v>
      </c>
      <c r="Q16" s="111" t="n">
        <v>0</v>
      </c>
      <c r="R16" s="111" t="n">
        <v>0</v>
      </c>
      <c r="S16" s="111" t="n">
        <f aca="false">SUM(P16:R16)</f>
        <v>7.6</v>
      </c>
      <c r="T16" s="112"/>
      <c r="U16" s="111" t="n">
        <v>0</v>
      </c>
      <c r="V16" s="235" t="n">
        <v>15</v>
      </c>
      <c r="W16" s="236" t="n">
        <f aca="false">W15-V16</f>
        <v>612.11</v>
      </c>
      <c r="X16" s="6" t="n">
        <f aca="false">N16+O16+S16+U16+V16</f>
        <v>22.6</v>
      </c>
      <c r="Y16" s="111" t="n">
        <f aca="false">IF(L16&lt;0,L16*-1,0)</f>
        <v>0</v>
      </c>
      <c r="Z16" s="111" t="n">
        <f aca="false">X16+Y16</f>
        <v>22.6</v>
      </c>
      <c r="AA16" s="161" t="n">
        <v>0</v>
      </c>
      <c r="AB16" s="117" t="n">
        <v>39</v>
      </c>
      <c r="AC16" s="167" t="n">
        <v>15</v>
      </c>
      <c r="AD16" s="222" t="n">
        <f aca="false">AD15+(G16+H16-P16-3.35)*1.9835</f>
        <v>570.35840025</v>
      </c>
      <c r="AE16" s="210"/>
      <c r="AF16" s="211"/>
    </row>
    <row r="17" customFormat="false" ht="11.1" hidden="false" customHeight="true" outlineLevel="0" collapsed="false">
      <c r="A17" s="118" t="n">
        <f aca="false">A16+1</f>
        <v>6</v>
      </c>
      <c r="B17" s="168" t="n">
        <v>6860.45</v>
      </c>
      <c r="C17" s="112" t="n">
        <v>164099</v>
      </c>
      <c r="D17" s="117" t="n">
        <f aca="false">C17-C16</f>
        <v>22</v>
      </c>
      <c r="E17" s="112" t="n">
        <f aca="false">C17-152000</f>
        <v>12099</v>
      </c>
      <c r="F17" s="180" t="n">
        <f aca="false">D17/$D$2</f>
        <v>11.0915049155533</v>
      </c>
      <c r="G17" s="111" t="n">
        <v>42</v>
      </c>
      <c r="H17" s="116" t="n">
        <v>1.3</v>
      </c>
      <c r="I17" s="111" t="n">
        <f aca="false">G17+H17</f>
        <v>43.3</v>
      </c>
      <c r="J17" s="181" t="n">
        <f aca="false">IF(L17&gt;0,L17,0)</f>
        <v>0</v>
      </c>
      <c r="K17" s="111" t="n">
        <f aca="false">I17+J17</f>
        <v>43.3</v>
      </c>
      <c r="L17" s="111" t="n">
        <f aca="false">F17-(I17-X17)</f>
        <v>-9.00849508444668</v>
      </c>
      <c r="M17" s="182" t="n">
        <v>7.2</v>
      </c>
      <c r="N17" s="111" t="n">
        <v>0</v>
      </c>
      <c r="O17" s="111" t="n">
        <v>0</v>
      </c>
      <c r="P17" s="90" t="n">
        <f aca="false">M17-(N17+O17)</f>
        <v>7.2</v>
      </c>
      <c r="Q17" s="111" t="n">
        <v>0</v>
      </c>
      <c r="R17" s="111" t="n">
        <v>0</v>
      </c>
      <c r="S17" s="111" t="n">
        <f aca="false">SUM(P17:R17)</f>
        <v>7.2</v>
      </c>
      <c r="T17" s="112"/>
      <c r="U17" s="111" t="n">
        <v>0</v>
      </c>
      <c r="V17" s="235" t="n">
        <v>16</v>
      </c>
      <c r="W17" s="236" t="n">
        <f aca="false">W16-V17</f>
        <v>596.11</v>
      </c>
      <c r="X17" s="6" t="n">
        <f aca="false">N17+O17+S17+U17+V17</f>
        <v>23.2</v>
      </c>
      <c r="Y17" s="111" t="n">
        <f aca="false">IF(L17&lt;0,L17*-1,0)</f>
        <v>9.00849508444668</v>
      </c>
      <c r="Z17" s="111" t="n">
        <f aca="false">X17+Y17</f>
        <v>32.2084950844467</v>
      </c>
      <c r="AA17" s="161" t="n">
        <v>0</v>
      </c>
      <c r="AB17" s="117" t="n">
        <v>42</v>
      </c>
      <c r="AC17" s="167" t="n">
        <v>15</v>
      </c>
      <c r="AD17" s="222" t="n">
        <f aca="false">AD16+(G17+H17-P17-3.35)*1.9835</f>
        <v>635.31802525</v>
      </c>
      <c r="AE17" s="208"/>
      <c r="AF17" s="211"/>
    </row>
    <row r="18" customFormat="false" ht="11.1" hidden="false" customHeight="true" outlineLevel="0" collapsed="false">
      <c r="A18" s="118" t="n">
        <f aca="false">A17+1</f>
        <v>7</v>
      </c>
      <c r="B18" s="168" t="n">
        <v>6860.46</v>
      </c>
      <c r="C18" s="112" t="n">
        <v>164122</v>
      </c>
      <c r="D18" s="117" t="n">
        <f aca="false">C18-C17</f>
        <v>23</v>
      </c>
      <c r="E18" s="112" t="n">
        <f aca="false">C18-152000</f>
        <v>12122</v>
      </c>
      <c r="F18" s="180" t="n">
        <f aca="false">D18/$D$2</f>
        <v>11.5956642298966</v>
      </c>
      <c r="G18" s="111" t="n">
        <v>46</v>
      </c>
      <c r="H18" s="116" t="n">
        <v>1.4</v>
      </c>
      <c r="I18" s="111" t="n">
        <f aca="false">G18+H18</f>
        <v>47.4</v>
      </c>
      <c r="J18" s="181" t="n">
        <f aca="false">IF(L18&gt;0,L18,0)</f>
        <v>0</v>
      </c>
      <c r="K18" s="111" t="n">
        <f aca="false">I18+J18</f>
        <v>47.4</v>
      </c>
      <c r="L18" s="111" t="n">
        <f aca="false">F18-(I18-X18)</f>
        <v>-11.0043357701034</v>
      </c>
      <c r="M18" s="182" t="n">
        <v>6.8</v>
      </c>
      <c r="N18" s="111" t="n">
        <v>0</v>
      </c>
      <c r="O18" s="111" t="n">
        <v>0</v>
      </c>
      <c r="P18" s="90" t="n">
        <f aca="false">M18-(N18+O18)</f>
        <v>6.8</v>
      </c>
      <c r="Q18" s="111" t="n">
        <v>0</v>
      </c>
      <c r="R18" s="111" t="n">
        <v>0</v>
      </c>
      <c r="S18" s="111" t="n">
        <f aca="false">SUM(P18:R18)</f>
        <v>6.8</v>
      </c>
      <c r="T18" s="112"/>
      <c r="U18" s="111" t="n">
        <v>0</v>
      </c>
      <c r="V18" s="235" t="n">
        <v>18</v>
      </c>
      <c r="W18" s="236" t="n">
        <f aca="false">W17-V18</f>
        <v>578.11</v>
      </c>
      <c r="X18" s="6" t="n">
        <f aca="false">N18+O18+S18+U18+V18</f>
        <v>24.8</v>
      </c>
      <c r="Y18" s="111" t="n">
        <f aca="false">IF(L18&lt;0,L18*-1,0)</f>
        <v>11.0043357701034</v>
      </c>
      <c r="Z18" s="111" t="n">
        <f aca="false">X18+Y18</f>
        <v>35.8043357701033</v>
      </c>
      <c r="AA18" s="161" t="n">
        <v>0</v>
      </c>
      <c r="AB18" s="117" t="n">
        <v>47</v>
      </c>
      <c r="AC18" s="167" t="n">
        <v>23</v>
      </c>
      <c r="AD18" s="222" t="n">
        <f aca="false">AD17+(G18+H18-P18-3.35)*1.9835</f>
        <v>709.20340025</v>
      </c>
      <c r="AE18" s="208"/>
      <c r="AF18" s="211"/>
    </row>
    <row r="19" customFormat="false" ht="11.1" hidden="false" customHeight="true" outlineLevel="0" collapsed="false">
      <c r="A19" s="118" t="n">
        <f aca="false">A18+1</f>
        <v>8</v>
      </c>
      <c r="B19" s="168" t="n">
        <v>6860.47</v>
      </c>
      <c r="C19" s="112" t="n">
        <v>164145</v>
      </c>
      <c r="D19" s="117" t="n">
        <f aca="false">C19-C18</f>
        <v>23</v>
      </c>
      <c r="E19" s="112" t="n">
        <f aca="false">C19-152000</f>
        <v>12145</v>
      </c>
      <c r="F19" s="180" t="n">
        <f aca="false">D19/$D$2</f>
        <v>11.5956642298966</v>
      </c>
      <c r="G19" s="111" t="n">
        <v>46</v>
      </c>
      <c r="H19" s="116" t="n">
        <v>1.5</v>
      </c>
      <c r="I19" s="111" t="n">
        <f aca="false">G19+H19</f>
        <v>47.5</v>
      </c>
      <c r="J19" s="181" t="n">
        <f aca="false">IF(L19&gt;0,L19,0)</f>
        <v>0</v>
      </c>
      <c r="K19" s="111" t="n">
        <f aca="false">I19+J19</f>
        <v>47.5</v>
      </c>
      <c r="L19" s="111" t="n">
        <f aca="false">F19-(I19-X19)</f>
        <v>-10.8043357701034</v>
      </c>
      <c r="M19" s="182" t="n">
        <v>7.1</v>
      </c>
      <c r="N19" s="111" t="n">
        <v>0</v>
      </c>
      <c r="O19" s="111" t="n">
        <v>0</v>
      </c>
      <c r="P19" s="90" t="n">
        <f aca="false">M19-(N19+O19)</f>
        <v>7.1</v>
      </c>
      <c r="Q19" s="111" t="n">
        <v>0</v>
      </c>
      <c r="R19" s="111" t="n">
        <v>0</v>
      </c>
      <c r="S19" s="111" t="n">
        <f aca="false">SUM(P19:R19)</f>
        <v>7.1</v>
      </c>
      <c r="T19" s="112"/>
      <c r="U19" s="111" t="n">
        <v>0</v>
      </c>
      <c r="V19" s="235" t="n">
        <v>18</v>
      </c>
      <c r="W19" s="236" t="n">
        <f aca="false">W18-V19</f>
        <v>560.11</v>
      </c>
      <c r="X19" s="6" t="n">
        <f aca="false">N19+O19+S19+U19+V19</f>
        <v>25.1</v>
      </c>
      <c r="Y19" s="111" t="n">
        <f aca="false">IF(L19&lt;0,L19*-1,0)</f>
        <v>10.8043357701034</v>
      </c>
      <c r="Z19" s="111" t="n">
        <f aca="false">X19+Y19</f>
        <v>35.9043357701033</v>
      </c>
      <c r="AA19" s="161" t="n">
        <v>0</v>
      </c>
      <c r="AB19" s="117" t="n">
        <v>54</v>
      </c>
      <c r="AC19" s="167" t="n">
        <v>27</v>
      </c>
      <c r="AD19" s="222" t="n">
        <f aca="false">AD18+(G19+H19-P19-3.35)*1.9835</f>
        <v>782.69207525</v>
      </c>
      <c r="AE19" s="208"/>
      <c r="AF19" s="211"/>
    </row>
    <row r="20" customFormat="false" ht="11.1" hidden="false" customHeight="true" outlineLevel="0" collapsed="false">
      <c r="A20" s="118" t="n">
        <f aca="false">A19+1</f>
        <v>9</v>
      </c>
      <c r="B20" s="168" t="n">
        <v>6860.48</v>
      </c>
      <c r="C20" s="112" t="n">
        <v>164168</v>
      </c>
      <c r="D20" s="117" t="n">
        <f aca="false">C20-C19</f>
        <v>23</v>
      </c>
      <c r="E20" s="112" t="n">
        <f aca="false">C20-152000</f>
        <v>12168</v>
      </c>
      <c r="F20" s="180" t="n">
        <f aca="false">D20/$D$2</f>
        <v>11.5956642298966</v>
      </c>
      <c r="G20" s="111" t="n">
        <v>47</v>
      </c>
      <c r="H20" s="116" t="n">
        <v>1.8</v>
      </c>
      <c r="I20" s="111" t="n">
        <f aca="false">G20+H20</f>
        <v>48.8</v>
      </c>
      <c r="J20" s="181" t="n">
        <f aca="false">IF(L20&gt;0,L20,0)</f>
        <v>0</v>
      </c>
      <c r="K20" s="111" t="n">
        <f aca="false">I20+J20</f>
        <v>48.8</v>
      </c>
      <c r="L20" s="111" t="n">
        <f aca="false">F20-(I20-X20)</f>
        <v>-12.1043357701034</v>
      </c>
      <c r="M20" s="182" t="n">
        <v>7.1</v>
      </c>
      <c r="N20" s="111" t="n">
        <v>0</v>
      </c>
      <c r="O20" s="111" t="n">
        <v>0</v>
      </c>
      <c r="P20" s="90" t="n">
        <f aca="false">M20-(N20+O20)</f>
        <v>7.1</v>
      </c>
      <c r="Q20" s="111" t="n">
        <v>0</v>
      </c>
      <c r="R20" s="111" t="n">
        <v>0</v>
      </c>
      <c r="S20" s="111" t="n">
        <f aca="false">SUM(P20:R20)</f>
        <v>7.1</v>
      </c>
      <c r="T20" s="112"/>
      <c r="U20" s="111" t="n">
        <v>0</v>
      </c>
      <c r="V20" s="235" t="n">
        <v>18</v>
      </c>
      <c r="W20" s="236" t="n">
        <f aca="false">W19-V20</f>
        <v>542.11</v>
      </c>
      <c r="X20" s="6" t="n">
        <f aca="false">N20+O20+S20+U20+V20</f>
        <v>25.1</v>
      </c>
      <c r="Y20" s="111" t="n">
        <f aca="false">IF(L20&lt;0,L20*-1,0)</f>
        <v>12.1043357701034</v>
      </c>
      <c r="Z20" s="111" t="n">
        <f aca="false">X20+Y20</f>
        <v>37.2043357701033</v>
      </c>
      <c r="AA20" s="161" t="n">
        <v>0</v>
      </c>
      <c r="AB20" s="183" t="n">
        <v>58</v>
      </c>
      <c r="AC20" s="167" t="n">
        <v>28</v>
      </c>
      <c r="AD20" s="222" t="n">
        <f aca="false">AD19+(G20+H20-P20-3.35)*1.9835</f>
        <v>858.75930025</v>
      </c>
      <c r="AE20" s="208"/>
      <c r="AF20" s="211"/>
    </row>
    <row r="21" customFormat="false" ht="11.1" hidden="false" customHeight="true" outlineLevel="0" collapsed="false">
      <c r="A21" s="118" t="n">
        <f aca="false">A20+1</f>
        <v>10</v>
      </c>
      <c r="B21" s="168" t="n">
        <v>6860.51</v>
      </c>
      <c r="C21" s="112" t="n">
        <v>164237</v>
      </c>
      <c r="D21" s="117" t="n">
        <f aca="false">C21-C20</f>
        <v>69</v>
      </c>
      <c r="E21" s="112" t="n">
        <f aca="false">C21-152000</f>
        <v>12237</v>
      </c>
      <c r="F21" s="180" t="n">
        <f aca="false">D21/$D$2</f>
        <v>34.7869926896899</v>
      </c>
      <c r="G21" s="111" t="n">
        <v>54</v>
      </c>
      <c r="H21" s="116" t="n">
        <v>2.1</v>
      </c>
      <c r="I21" s="111" t="n">
        <f aca="false">G21+H21</f>
        <v>56.1</v>
      </c>
      <c r="J21" s="181" t="n">
        <f aca="false">IF(L21&gt;0,L21,0)</f>
        <v>4.08699268968994</v>
      </c>
      <c r="K21" s="111" t="n">
        <f aca="false">I21+J21</f>
        <v>60.1869926896899</v>
      </c>
      <c r="L21" s="111" t="n">
        <f aca="false">F21-(I21-X21)</f>
        <v>4.08699268968994</v>
      </c>
      <c r="M21" s="182" t="n">
        <v>7.4</v>
      </c>
      <c r="N21" s="111" t="n">
        <v>0</v>
      </c>
      <c r="O21" s="111" t="n">
        <v>0</v>
      </c>
      <c r="P21" s="90" t="n">
        <f aca="false">M21-(N21+O21)</f>
        <v>7.4</v>
      </c>
      <c r="Q21" s="111" t="n">
        <v>0</v>
      </c>
      <c r="R21" s="111" t="n">
        <v>0</v>
      </c>
      <c r="S21" s="111" t="n">
        <f aca="false">SUM(P21:R21)</f>
        <v>7.4</v>
      </c>
      <c r="T21" s="112"/>
      <c r="U21" s="111" t="n">
        <v>0</v>
      </c>
      <c r="V21" s="235" t="n">
        <v>18</v>
      </c>
      <c r="W21" s="236" t="n">
        <f aca="false">W20-V21</f>
        <v>524.11</v>
      </c>
      <c r="X21" s="6" t="n">
        <f aca="false">N21+O21+S21+U21+V21</f>
        <v>25.4</v>
      </c>
      <c r="Y21" s="111" t="n">
        <f aca="false">IF(L21&lt;0,L21*-1,0)</f>
        <v>0</v>
      </c>
      <c r="Z21" s="111" t="n">
        <f aca="false">X21+Y21</f>
        <v>25.4</v>
      </c>
      <c r="AA21" s="161" t="n">
        <v>0</v>
      </c>
      <c r="AB21" s="117" t="n">
        <v>56</v>
      </c>
      <c r="AC21" s="167" t="n">
        <v>30</v>
      </c>
      <c r="AD21" s="222" t="n">
        <f aca="false">AD20+(G21+H21-P21-3.35)*1.9835</f>
        <v>948.71102525</v>
      </c>
      <c r="AE21" s="208"/>
      <c r="AF21" s="211"/>
    </row>
    <row r="22" customFormat="false" ht="11.1" hidden="false" customHeight="true" outlineLevel="0" collapsed="false">
      <c r="A22" s="118" t="n">
        <f aca="false">A21+1</f>
        <v>11</v>
      </c>
      <c r="B22" s="168" t="n">
        <v>6860.57</v>
      </c>
      <c r="C22" s="112" t="n">
        <v>164375</v>
      </c>
      <c r="D22" s="117" t="n">
        <f aca="false">C22-C21</f>
        <v>138</v>
      </c>
      <c r="E22" s="112" t="n">
        <f aca="false">C22-152000</f>
        <v>12375</v>
      </c>
      <c r="F22" s="180" t="n">
        <f aca="false">D22/$D$2</f>
        <v>69.5739853793799</v>
      </c>
      <c r="G22" s="111" t="n">
        <v>64</v>
      </c>
      <c r="H22" s="116" t="n">
        <v>2.7</v>
      </c>
      <c r="I22" s="111" t="n">
        <f aca="false">G22+H22</f>
        <v>66.7</v>
      </c>
      <c r="J22" s="181" t="n">
        <f aca="false">IF(L22&gt;0,L22,0)</f>
        <v>28.3739853793799</v>
      </c>
      <c r="K22" s="111" t="n">
        <f aca="false">I22+J22</f>
        <v>95.0739853793799</v>
      </c>
      <c r="L22" s="111" t="n">
        <f aca="false">F22-(I22-X22)</f>
        <v>28.3739853793799</v>
      </c>
      <c r="M22" s="182" t="n">
        <v>7.5</v>
      </c>
      <c r="N22" s="111" t="n">
        <v>0</v>
      </c>
      <c r="O22" s="111" t="n">
        <v>0</v>
      </c>
      <c r="P22" s="90" t="n">
        <f aca="false">M22-(N22+O22)</f>
        <v>7.5</v>
      </c>
      <c r="Q22" s="111" t="n">
        <v>0</v>
      </c>
      <c r="R22" s="111" t="n">
        <v>0</v>
      </c>
      <c r="S22" s="111" t="n">
        <f aca="false">SUM(P22:R22)</f>
        <v>7.5</v>
      </c>
      <c r="T22" s="112"/>
      <c r="U22" s="111" t="n">
        <v>0</v>
      </c>
      <c r="V22" s="235" t="n">
        <v>18</v>
      </c>
      <c r="W22" s="236" t="n">
        <f aca="false">W21-V22</f>
        <v>506.11</v>
      </c>
      <c r="X22" s="6" t="n">
        <f aca="false">N22+O22+S22+U22+V22</f>
        <v>25.5</v>
      </c>
      <c r="Y22" s="111" t="n">
        <f aca="false">IF(L22&lt;0,L22*-1,0)</f>
        <v>0</v>
      </c>
      <c r="Z22" s="111" t="n">
        <f aca="false">X22+Y22</f>
        <v>25.5</v>
      </c>
      <c r="AA22" s="161" t="n">
        <v>0</v>
      </c>
      <c r="AB22" s="117" t="n">
        <v>57</v>
      </c>
      <c r="AC22" s="167" t="n">
        <v>31</v>
      </c>
      <c r="AD22" s="222" t="n">
        <f aca="false">AD21+(G22+H22-P22-3.35)*1.9835</f>
        <v>1059.48950025</v>
      </c>
      <c r="AE22" s="208"/>
      <c r="AF22" s="211"/>
    </row>
    <row r="23" customFormat="false" ht="11.1" hidden="false" customHeight="true" outlineLevel="0" collapsed="false">
      <c r="A23" s="118" t="n">
        <f aca="false">A22+1</f>
        <v>12</v>
      </c>
      <c r="B23" s="168" t="n">
        <v>6860.68</v>
      </c>
      <c r="C23" s="112" t="n">
        <v>164627</v>
      </c>
      <c r="D23" s="117" t="n">
        <f aca="false">C23-C22</f>
        <v>252</v>
      </c>
      <c r="E23" s="112" t="n">
        <f aca="false">C23-152000</f>
        <v>12627</v>
      </c>
      <c r="F23" s="180" t="n">
        <f aca="false">D23/$D$2</f>
        <v>127.04814721452</v>
      </c>
      <c r="G23" s="111" t="n">
        <v>75</v>
      </c>
      <c r="H23" s="116" t="n">
        <v>3.4</v>
      </c>
      <c r="I23" s="111" t="n">
        <f aca="false">G23+H23</f>
        <v>78.4</v>
      </c>
      <c r="J23" s="181" t="n">
        <f aca="false">IF(L23&gt;0,L23,0)</f>
        <v>74.1481472145198</v>
      </c>
      <c r="K23" s="111" t="n">
        <f aca="false">I23+J23</f>
        <v>152.54814721452</v>
      </c>
      <c r="L23" s="111" t="n">
        <f aca="false">F23-(I23-X23)</f>
        <v>74.1481472145198</v>
      </c>
      <c r="M23" s="182" t="n">
        <v>7.5</v>
      </c>
      <c r="N23" s="111" t="n">
        <v>0</v>
      </c>
      <c r="O23" s="111" t="n">
        <v>0</v>
      </c>
      <c r="P23" s="90" t="n">
        <f aca="false">M23-(N23+O23)</f>
        <v>7.5</v>
      </c>
      <c r="Q23" s="111" t="n">
        <v>0</v>
      </c>
      <c r="R23" s="111" t="n">
        <v>0</v>
      </c>
      <c r="S23" s="111" t="n">
        <f aca="false">SUM(P23:R23)</f>
        <v>7.5</v>
      </c>
      <c r="T23" s="112"/>
      <c r="U23" s="111" t="n">
        <v>0</v>
      </c>
      <c r="V23" s="235" t="n">
        <v>18</v>
      </c>
      <c r="W23" s="236" t="n">
        <f aca="false">W22-V23</f>
        <v>488.11</v>
      </c>
      <c r="X23" s="6" t="n">
        <f aca="false">N23+O23+S23+U23+V23</f>
        <v>25.5</v>
      </c>
      <c r="Y23" s="111" t="n">
        <f aca="false">IF(L23&lt;0,L23*-1,0)</f>
        <v>0</v>
      </c>
      <c r="Z23" s="111" t="n">
        <f aca="false">X23+Y23</f>
        <v>25.5</v>
      </c>
      <c r="AA23" s="161" t="n">
        <v>0</v>
      </c>
      <c r="AB23" s="117" t="n">
        <v>59</v>
      </c>
      <c r="AC23" s="167" t="n">
        <v>32</v>
      </c>
      <c r="AD23" s="222" t="n">
        <f aca="false">AD22+(G23+H23-P23-3.35)*1.9835</f>
        <v>1193.47492525</v>
      </c>
      <c r="AE23" s="208"/>
      <c r="AF23" s="211"/>
    </row>
    <row r="24" customFormat="false" ht="11.1" hidden="false" customHeight="true" outlineLevel="0" collapsed="false">
      <c r="A24" s="118" t="n">
        <f aca="false">A23+1</f>
        <v>13</v>
      </c>
      <c r="B24" s="168" t="n">
        <v>6860.77</v>
      </c>
      <c r="C24" s="112" t="n">
        <v>164834</v>
      </c>
      <c r="D24" s="117" t="n">
        <f aca="false">C24-C23</f>
        <v>207</v>
      </c>
      <c r="E24" s="112" t="n">
        <f aca="false">C24-152000</f>
        <v>12834</v>
      </c>
      <c r="F24" s="180" t="n">
        <f aca="false">D24/$D$2</f>
        <v>104.36097806907</v>
      </c>
      <c r="G24" s="111" t="n">
        <v>87</v>
      </c>
      <c r="H24" s="116" t="n">
        <v>4.8</v>
      </c>
      <c r="I24" s="111" t="n">
        <f aca="false">G24+H24</f>
        <v>91.8</v>
      </c>
      <c r="J24" s="181" t="n">
        <f aca="false">IF(L24&gt;0,L24,0)</f>
        <v>38.0609780690698</v>
      </c>
      <c r="K24" s="111" t="n">
        <f aca="false">I24+J24</f>
        <v>129.86097806907</v>
      </c>
      <c r="L24" s="111" t="n">
        <f aca="false">F24-(I24-X24)</f>
        <v>38.0609780690698</v>
      </c>
      <c r="M24" s="182" t="n">
        <v>7.5</v>
      </c>
      <c r="N24" s="111" t="n">
        <v>0</v>
      </c>
      <c r="O24" s="111" t="n">
        <v>0</v>
      </c>
      <c r="P24" s="90" t="n">
        <f aca="false">M24-(N24+O24)</f>
        <v>7.5</v>
      </c>
      <c r="Q24" s="111" t="n">
        <v>0</v>
      </c>
      <c r="R24" s="111" t="n">
        <v>0</v>
      </c>
      <c r="S24" s="111" t="n">
        <f aca="false">SUM(P24:R24)</f>
        <v>7.5</v>
      </c>
      <c r="T24" s="112"/>
      <c r="U24" s="111" t="n">
        <v>0</v>
      </c>
      <c r="V24" s="235" t="n">
        <v>18</v>
      </c>
      <c r="W24" s="236" t="n">
        <f aca="false">W23-V24</f>
        <v>470.11</v>
      </c>
      <c r="X24" s="6" t="n">
        <f aca="false">N24+O24+S24+U24+V24</f>
        <v>25.5</v>
      </c>
      <c r="Y24" s="111" t="n">
        <f aca="false">IF(L24&lt;0,L24*-1,0)</f>
        <v>0</v>
      </c>
      <c r="Z24" s="111" t="n">
        <f aca="false">X24+Y24</f>
        <v>25.5</v>
      </c>
      <c r="AA24" s="161" t="n">
        <v>0</v>
      </c>
      <c r="AB24" s="117" t="n">
        <v>59</v>
      </c>
      <c r="AC24" s="167" t="n">
        <v>35</v>
      </c>
      <c r="AD24" s="222" t="n">
        <f aca="false">AD23+(G24+H24-P24-3.35)*1.9835</f>
        <v>1354.03925025</v>
      </c>
      <c r="AE24" s="208"/>
      <c r="AF24" s="211"/>
    </row>
    <row r="25" customFormat="false" ht="11.1" hidden="false" customHeight="true" outlineLevel="0" collapsed="false">
      <c r="A25" s="118" t="n">
        <f aca="false">A24+1</f>
        <v>14</v>
      </c>
      <c r="B25" s="168" t="n">
        <v>6861.01</v>
      </c>
      <c r="C25" s="112" t="n">
        <v>165386</v>
      </c>
      <c r="D25" s="117" t="n">
        <f aca="false">C25-C24</f>
        <v>552</v>
      </c>
      <c r="E25" s="112" t="n">
        <f aca="false">C25-152000</f>
        <v>13386</v>
      </c>
      <c r="F25" s="180" t="n">
        <f aca="false">D25/$D$2</f>
        <v>278.295941517519</v>
      </c>
      <c r="G25" s="111" t="n">
        <v>106</v>
      </c>
      <c r="H25" s="116" t="n">
        <v>5.8</v>
      </c>
      <c r="I25" s="111" t="n">
        <f aca="false">G25+H25</f>
        <v>111.8</v>
      </c>
      <c r="J25" s="181" t="n">
        <f aca="false">IF(L25&gt;0,L25,0)</f>
        <v>191.99594151752</v>
      </c>
      <c r="K25" s="111" t="n">
        <f aca="false">I25+J25</f>
        <v>303.795941517519</v>
      </c>
      <c r="L25" s="111" t="n">
        <f aca="false">F25-(I25-X25)</f>
        <v>191.99594151752</v>
      </c>
      <c r="M25" s="182" t="n">
        <v>7.5</v>
      </c>
      <c r="N25" s="111" t="n">
        <v>0</v>
      </c>
      <c r="O25" s="111" t="n">
        <v>0</v>
      </c>
      <c r="P25" s="90" t="n">
        <f aca="false">M25-(N25+O25)</f>
        <v>7.5</v>
      </c>
      <c r="Q25" s="111" t="n">
        <v>0</v>
      </c>
      <c r="R25" s="111" t="n">
        <v>0</v>
      </c>
      <c r="S25" s="111" t="n">
        <f aca="false">SUM(P25:R25)</f>
        <v>7.5</v>
      </c>
      <c r="T25" s="112"/>
      <c r="U25" s="111" t="n">
        <v>0</v>
      </c>
      <c r="V25" s="235" t="n">
        <v>18</v>
      </c>
      <c r="W25" s="236" t="n">
        <f aca="false">W24-V25</f>
        <v>452.11</v>
      </c>
      <c r="X25" s="6" t="n">
        <f aca="false">N25+O25+S25+U25+V25</f>
        <v>25.5</v>
      </c>
      <c r="Y25" s="111" t="n">
        <f aca="false">IF(L25&lt;0,L25*-1,0)</f>
        <v>0</v>
      </c>
      <c r="Z25" s="111" t="n">
        <f aca="false">X25+Y25</f>
        <v>25.5</v>
      </c>
      <c r="AA25" s="161" t="n">
        <v>0</v>
      </c>
      <c r="AB25" s="183" t="n">
        <v>56</v>
      </c>
      <c r="AC25" s="167" t="n">
        <v>38</v>
      </c>
      <c r="AD25" s="222" t="n">
        <f aca="false">AD24+(G25+H25-P25-3.35)*1.9835</f>
        <v>1554.27357525</v>
      </c>
      <c r="AE25" s="208"/>
      <c r="AF25" s="211"/>
    </row>
    <row r="26" customFormat="false" ht="11.1" hidden="false" customHeight="true" outlineLevel="0" collapsed="false">
      <c r="A26" s="118" t="n">
        <f aca="false">A25+1</f>
        <v>15</v>
      </c>
      <c r="B26" s="168" t="n">
        <v>6861.17</v>
      </c>
      <c r="C26" s="112" t="n">
        <v>165759</v>
      </c>
      <c r="D26" s="117" t="n">
        <f aca="false">C26-C25</f>
        <v>373</v>
      </c>
      <c r="E26" s="112" t="n">
        <f aca="false">C26-152000</f>
        <v>13759</v>
      </c>
      <c r="F26" s="180" t="n">
        <f aca="false">D26/$D$2</f>
        <v>188.051424250063</v>
      </c>
      <c r="G26" s="111" t="n">
        <v>111</v>
      </c>
      <c r="H26" s="116" t="n">
        <v>7.1</v>
      </c>
      <c r="I26" s="111" t="n">
        <f aca="false">G26+H26</f>
        <v>118.1</v>
      </c>
      <c r="J26" s="181" t="n">
        <f aca="false">IF(L26&gt;0,L26,0)</f>
        <v>95.451424250063</v>
      </c>
      <c r="K26" s="111" t="n">
        <f aca="false">I26+J26</f>
        <v>213.551424250063</v>
      </c>
      <c r="L26" s="111" t="n">
        <f aca="false">F26-(I26-X26)</f>
        <v>95.451424250063</v>
      </c>
      <c r="M26" s="182" t="n">
        <v>7.5</v>
      </c>
      <c r="N26" s="111" t="n">
        <v>0</v>
      </c>
      <c r="O26" s="111" t="n">
        <v>0</v>
      </c>
      <c r="P26" s="90" t="n">
        <f aca="false">M26-(N26+O26)</f>
        <v>7.5</v>
      </c>
      <c r="Q26" s="111" t="n">
        <v>0</v>
      </c>
      <c r="R26" s="111" t="n">
        <v>0</v>
      </c>
      <c r="S26" s="111" t="n">
        <f aca="false">SUM(P26:R26)</f>
        <v>7.5</v>
      </c>
      <c r="T26" s="112"/>
      <c r="U26" s="111" t="n">
        <v>0</v>
      </c>
      <c r="V26" s="235" t="n">
        <v>18</v>
      </c>
      <c r="W26" s="236" t="n">
        <f aca="false">W25-V26</f>
        <v>434.11</v>
      </c>
      <c r="X26" s="6" t="n">
        <f aca="false">N26+O26+S26+U26+V26</f>
        <v>25.5</v>
      </c>
      <c r="Y26" s="111" t="n">
        <f aca="false">IF(L26&lt;0,L26*-1,0)</f>
        <v>0</v>
      </c>
      <c r="Z26" s="111" t="n">
        <f aca="false">X26+Y26</f>
        <v>25.5</v>
      </c>
      <c r="AA26" s="161" t="n">
        <v>0</v>
      </c>
      <c r="AB26" s="183" t="n">
        <v>55</v>
      </c>
      <c r="AC26" s="167" t="n">
        <v>34</v>
      </c>
      <c r="AD26" s="222" t="n">
        <f aca="false">AD25+(G26+H26-P26-3.35)*1.9835</f>
        <v>1767.00395025</v>
      </c>
      <c r="AE26" s="208"/>
      <c r="AF26" s="211"/>
    </row>
    <row r="27" customFormat="false" ht="11.1" hidden="false" customHeight="true" outlineLevel="0" collapsed="false">
      <c r="A27" s="118" t="n">
        <f aca="false">A26+1</f>
        <v>16</v>
      </c>
      <c r="B27" s="168" t="n">
        <v>6861.52</v>
      </c>
      <c r="C27" s="112" t="n">
        <v>166577</v>
      </c>
      <c r="D27" s="117" t="n">
        <f aca="false">C27-C26</f>
        <v>818</v>
      </c>
      <c r="E27" s="112" t="n">
        <f aca="false">C27-152000</f>
        <v>14577</v>
      </c>
      <c r="F27" s="180" t="n">
        <f aca="false">D27/$D$2</f>
        <v>412.402319132846</v>
      </c>
      <c r="G27" s="111" t="n">
        <v>124</v>
      </c>
      <c r="H27" s="116" t="n">
        <v>9</v>
      </c>
      <c r="I27" s="111" t="n">
        <f aca="false">G27+H27</f>
        <v>133</v>
      </c>
      <c r="J27" s="181" t="n">
        <f aca="false">IF(L27&gt;0,L27,0)</f>
        <v>304.902319132846</v>
      </c>
      <c r="K27" s="111" t="n">
        <f aca="false">I27+J27</f>
        <v>437.902319132846</v>
      </c>
      <c r="L27" s="111" t="n">
        <f aca="false">F27-(I27-X27)</f>
        <v>304.902319132846</v>
      </c>
      <c r="M27" s="182" t="n">
        <v>7.5</v>
      </c>
      <c r="N27" s="111" t="n">
        <v>0</v>
      </c>
      <c r="O27" s="111" t="n">
        <v>0</v>
      </c>
      <c r="P27" s="90" t="n">
        <f aca="false">M27-(N27+O27)</f>
        <v>7.5</v>
      </c>
      <c r="Q27" s="111" t="n">
        <v>0</v>
      </c>
      <c r="R27" s="111" t="n">
        <v>0</v>
      </c>
      <c r="S27" s="111" t="n">
        <f aca="false">SUM(P27:R27)</f>
        <v>7.5</v>
      </c>
      <c r="T27" s="112"/>
      <c r="U27" s="111" t="n">
        <v>0</v>
      </c>
      <c r="V27" s="235" t="n">
        <v>18</v>
      </c>
      <c r="W27" s="236" t="n">
        <f aca="false">W26-V27</f>
        <v>416.11</v>
      </c>
      <c r="X27" s="6" t="n">
        <f aca="false">N27+O27+S27+U27+V27</f>
        <v>25.5</v>
      </c>
      <c r="Y27" s="111" t="n">
        <f aca="false">IF(L27&lt;0,L27*-1,0)</f>
        <v>0</v>
      </c>
      <c r="Z27" s="111" t="n">
        <f aca="false">X27+Y27</f>
        <v>25.5</v>
      </c>
      <c r="AA27" s="161" t="n">
        <v>0.76</v>
      </c>
      <c r="AB27" s="183" t="n">
        <v>35</v>
      </c>
      <c r="AC27" s="167" t="n">
        <v>30</v>
      </c>
      <c r="AD27" s="222" t="n">
        <f aca="false">AD26+(G27+H27-P27-3.35)*1.9835</f>
        <v>2009.28847525</v>
      </c>
      <c r="AE27" s="208"/>
      <c r="AF27" s="0"/>
    </row>
    <row r="28" customFormat="false" ht="11.1" hidden="false" customHeight="true" outlineLevel="0" collapsed="false">
      <c r="A28" s="118" t="n">
        <f aca="false">A27+1</f>
        <v>17</v>
      </c>
      <c r="B28" s="168" t="n">
        <v>6861.84</v>
      </c>
      <c r="C28" s="112" t="n">
        <v>167325</v>
      </c>
      <c r="D28" s="117" t="n">
        <f aca="false">C28-C27</f>
        <v>748</v>
      </c>
      <c r="E28" s="112" t="n">
        <f aca="false">C28-152000</f>
        <v>15325</v>
      </c>
      <c r="F28" s="180" t="n">
        <f aca="false">D28/$D$2</f>
        <v>377.111167128813</v>
      </c>
      <c r="G28" s="111" t="n">
        <v>121</v>
      </c>
      <c r="H28" s="116" t="n">
        <v>11</v>
      </c>
      <c r="I28" s="111" t="n">
        <f aca="false">G28+H28</f>
        <v>132</v>
      </c>
      <c r="J28" s="181" t="n">
        <f aca="false">IF(L28&gt;0,L28,0)</f>
        <v>270.611167128813</v>
      </c>
      <c r="K28" s="111" t="n">
        <f aca="false">I28+J28</f>
        <v>402.611167128813</v>
      </c>
      <c r="L28" s="111" t="n">
        <f aca="false">F28-(I28-X28)</f>
        <v>270.611167128813</v>
      </c>
      <c r="M28" s="182" t="n">
        <v>7.5</v>
      </c>
      <c r="N28" s="111" t="n">
        <v>0</v>
      </c>
      <c r="O28" s="111" t="n">
        <v>0</v>
      </c>
      <c r="P28" s="90" t="n">
        <f aca="false">M28-(N28+O28)</f>
        <v>7.5</v>
      </c>
      <c r="Q28" s="111" t="n">
        <v>0</v>
      </c>
      <c r="R28" s="111" t="n">
        <v>0</v>
      </c>
      <c r="S28" s="111" t="n">
        <f aca="false">SUM(P28:R28)</f>
        <v>7.5</v>
      </c>
      <c r="T28" s="112"/>
      <c r="U28" s="111" t="n">
        <v>0</v>
      </c>
      <c r="V28" s="235" t="n">
        <v>18</v>
      </c>
      <c r="W28" s="236" t="n">
        <f aca="false">W27-V28</f>
        <v>398.11</v>
      </c>
      <c r="X28" s="6" t="n">
        <f aca="false">N28+O28+S28+U28+V28</f>
        <v>25.5</v>
      </c>
      <c r="Y28" s="111" t="n">
        <f aca="false">IF(L28&lt;0,L28*-1,0)</f>
        <v>0</v>
      </c>
      <c r="Z28" s="111" t="n">
        <f aca="false">X28+Y28</f>
        <v>25.5</v>
      </c>
      <c r="AA28" s="161" t="n">
        <v>0.54</v>
      </c>
      <c r="AB28" s="183" t="n">
        <v>35</v>
      </c>
      <c r="AC28" s="167" t="n">
        <v>27</v>
      </c>
      <c r="AD28" s="222" t="n">
        <f aca="false">AD27+(G28+H28-P28-3.35)*1.9835</f>
        <v>2249.58950025</v>
      </c>
      <c r="AE28" s="208"/>
      <c r="AF28" s="211"/>
    </row>
    <row r="29" customFormat="false" ht="11.1" hidden="false" customHeight="true" outlineLevel="0" collapsed="false">
      <c r="A29" s="118" t="n">
        <f aca="false">A28+1</f>
        <v>18</v>
      </c>
      <c r="B29" s="168" t="n">
        <v>6861.99</v>
      </c>
      <c r="C29" s="112" t="n">
        <v>167676</v>
      </c>
      <c r="D29" s="117" t="n">
        <f aca="false">C29-C28</f>
        <v>351</v>
      </c>
      <c r="E29" s="112" t="n">
        <f aca="false">C29-152000</f>
        <v>15676</v>
      </c>
      <c r="F29" s="180" t="n">
        <f aca="false">D29/$D$2</f>
        <v>176.95991933451</v>
      </c>
      <c r="G29" s="111" t="n">
        <v>99</v>
      </c>
      <c r="H29" s="116" t="n">
        <v>10</v>
      </c>
      <c r="I29" s="111" t="n">
        <f aca="false">G29+H29</f>
        <v>109</v>
      </c>
      <c r="J29" s="181" t="n">
        <f aca="false">IF(L29&gt;0,L29,0)</f>
        <v>93.4599193345097</v>
      </c>
      <c r="K29" s="111" t="n">
        <f aca="false">I29+J29</f>
        <v>202.45991933451</v>
      </c>
      <c r="L29" s="111" t="n">
        <f aca="false">F29-(I29-X29)</f>
        <v>93.4599193345097</v>
      </c>
      <c r="M29" s="182" t="n">
        <v>7.5</v>
      </c>
      <c r="N29" s="111" t="n">
        <v>0</v>
      </c>
      <c r="O29" s="111" t="n">
        <v>0</v>
      </c>
      <c r="P29" s="90" t="n">
        <f aca="false">M29-(N29+O29)</f>
        <v>7.5</v>
      </c>
      <c r="Q29" s="111" t="n">
        <v>0</v>
      </c>
      <c r="R29" s="111" t="n">
        <v>0</v>
      </c>
      <c r="S29" s="111" t="n">
        <f aca="false">SUM(P29:R29)</f>
        <v>7.5</v>
      </c>
      <c r="T29" s="112"/>
      <c r="U29" s="111" t="n">
        <v>0</v>
      </c>
      <c r="V29" s="235" t="n">
        <v>18</v>
      </c>
      <c r="W29" s="236" t="n">
        <f aca="false">W28-V29</f>
        <v>380.11</v>
      </c>
      <c r="X29" s="6" t="n">
        <f aca="false">N29+O29+S29+U29+V29</f>
        <v>25.5</v>
      </c>
      <c r="Y29" s="111" t="n">
        <f aca="false">IF(L29&lt;0,L29*-1,0)</f>
        <v>0</v>
      </c>
      <c r="Z29" s="111" t="n">
        <f aca="false">X29+Y29</f>
        <v>25.5</v>
      </c>
      <c r="AA29" s="161" t="n">
        <v>0</v>
      </c>
      <c r="AB29" s="183" t="n">
        <v>41</v>
      </c>
      <c r="AC29" s="167" t="n">
        <v>27</v>
      </c>
      <c r="AD29" s="222" t="n">
        <f aca="false">AD28+(G29+H29-P29-3.35)*1.9835</f>
        <v>2444.27002525</v>
      </c>
      <c r="AE29" s="208"/>
      <c r="AF29" s="211"/>
    </row>
    <row r="30" customFormat="false" ht="11.1" hidden="false" customHeight="true" outlineLevel="0" collapsed="false">
      <c r="A30" s="118" t="n">
        <f aca="false">A29+1</f>
        <v>19</v>
      </c>
      <c r="B30" s="168" t="n">
        <v>6862.14</v>
      </c>
      <c r="C30" s="228" t="n">
        <v>168032</v>
      </c>
      <c r="D30" s="117" t="n">
        <f aca="false">C30-C29</f>
        <v>356</v>
      </c>
      <c r="E30" s="112" t="n">
        <f aca="false">C30-152000</f>
        <v>16032</v>
      </c>
      <c r="F30" s="180" t="n">
        <f aca="false">D30/$D$2</f>
        <v>179.480715906226</v>
      </c>
      <c r="G30" s="111" t="n">
        <v>92</v>
      </c>
      <c r="H30" s="116" t="n">
        <v>10</v>
      </c>
      <c r="I30" s="111" t="n">
        <f aca="false">G30+H30</f>
        <v>102</v>
      </c>
      <c r="J30" s="181" t="n">
        <f aca="false">IF(L30&gt;0,L30,0)</f>
        <v>102.680715906226</v>
      </c>
      <c r="K30" s="111" t="n">
        <f aca="false">I30+J30</f>
        <v>204.680715906226</v>
      </c>
      <c r="L30" s="111" t="n">
        <f aca="false">F30-(I30-X30)</f>
        <v>102.680715906226</v>
      </c>
      <c r="M30" s="182" t="n">
        <v>7.2</v>
      </c>
      <c r="N30" s="111" t="n">
        <v>0</v>
      </c>
      <c r="O30" s="111" t="n">
        <v>0</v>
      </c>
      <c r="P30" s="90" t="n">
        <f aca="false">M30-(N30+O30)</f>
        <v>7.2</v>
      </c>
      <c r="Q30" s="111" t="n">
        <v>0</v>
      </c>
      <c r="R30" s="111" t="n">
        <v>0</v>
      </c>
      <c r="S30" s="111" t="n">
        <f aca="false">SUM(P30:R30)</f>
        <v>7.2</v>
      </c>
      <c r="T30" s="112"/>
      <c r="U30" s="111" t="n">
        <v>0</v>
      </c>
      <c r="V30" s="235" t="n">
        <v>18</v>
      </c>
      <c r="W30" s="236" t="n">
        <f aca="false">W29-V30</f>
        <v>362.11</v>
      </c>
      <c r="X30" s="6" t="n">
        <f aca="false">N30+O30+S30+U30+V30</f>
        <v>25.2</v>
      </c>
      <c r="Y30" s="111" t="n">
        <f aca="false">IF(L30&lt;0,L30*-1,0)</f>
        <v>0</v>
      </c>
      <c r="Z30" s="111" t="n">
        <f aca="false">X30+Y30</f>
        <v>25.2</v>
      </c>
      <c r="AA30" s="161" t="n">
        <v>0</v>
      </c>
      <c r="AB30" s="183" t="n">
        <v>45</v>
      </c>
      <c r="AC30" s="167" t="n">
        <v>31</v>
      </c>
      <c r="AD30" s="222" t="n">
        <f aca="false">AD29+(G30+H30-P30-3.35)*1.9835</f>
        <v>2625.66110025</v>
      </c>
      <c r="AE30" s="208"/>
      <c r="AF30" s="211"/>
    </row>
    <row r="31" customFormat="false" ht="11.1" hidden="false" customHeight="true" outlineLevel="0" collapsed="false">
      <c r="A31" s="118" t="n">
        <f aca="false">A30+1</f>
        <v>20</v>
      </c>
      <c r="B31" s="168" t="n">
        <v>6862.2</v>
      </c>
      <c r="C31" s="112" t="n">
        <v>168174</v>
      </c>
      <c r="D31" s="117" t="n">
        <f aca="false">C31-C30</f>
        <v>142</v>
      </c>
      <c r="E31" s="112" t="n">
        <f aca="false">C31-152000</f>
        <v>16174</v>
      </c>
      <c r="F31" s="180" t="n">
        <f aca="false">D31/$D$2</f>
        <v>71.5906226367532</v>
      </c>
      <c r="G31" s="111" t="n">
        <v>87</v>
      </c>
      <c r="H31" s="116" t="n">
        <v>8.7</v>
      </c>
      <c r="I31" s="111" t="n">
        <f aca="false">G31+H31</f>
        <v>95.7</v>
      </c>
      <c r="J31" s="181" t="n">
        <f aca="false">IF(L31&gt;0,L31,0)</f>
        <v>0.59062263675321</v>
      </c>
      <c r="K31" s="111" t="n">
        <f aca="false">I31+J31</f>
        <v>96.2906226367532</v>
      </c>
      <c r="L31" s="111" t="n">
        <f aca="false">F31-(I31-X31)</f>
        <v>0.59062263675321</v>
      </c>
      <c r="M31" s="182" t="n">
        <v>6.7</v>
      </c>
      <c r="N31" s="111" t="n">
        <v>0</v>
      </c>
      <c r="O31" s="111" t="n">
        <v>0</v>
      </c>
      <c r="P31" s="90" t="n">
        <f aca="false">M31-(N31+O31)</f>
        <v>6.7</v>
      </c>
      <c r="Q31" s="111" t="n">
        <v>0</v>
      </c>
      <c r="R31" s="111" t="n">
        <v>0</v>
      </c>
      <c r="S31" s="111" t="n">
        <f aca="false">SUM(P31:R31)</f>
        <v>6.7</v>
      </c>
      <c r="T31" s="112"/>
      <c r="U31" s="111" t="n">
        <v>0</v>
      </c>
      <c r="V31" s="235" t="n">
        <v>18</v>
      </c>
      <c r="W31" s="236" t="n">
        <f aca="false">W30-V31</f>
        <v>344.11</v>
      </c>
      <c r="X31" s="6" t="n">
        <f aca="false">N31+O31+S31+U31+V31</f>
        <v>24.7</v>
      </c>
      <c r="Y31" s="111" t="n">
        <f aca="false">IF(L31&lt;0,L31*-1,0)</f>
        <v>0</v>
      </c>
      <c r="Z31" s="111" t="n">
        <f aca="false">X31+Y31</f>
        <v>24.7</v>
      </c>
      <c r="AA31" s="161" t="n">
        <v>0</v>
      </c>
      <c r="AB31" s="183" t="n">
        <v>43</v>
      </c>
      <c r="AC31" s="167" t="n">
        <v>27</v>
      </c>
      <c r="AD31" s="222" t="n">
        <f aca="false">AD30+(G31+H31-P31-3.35)*1.9835</f>
        <v>2795.54787525</v>
      </c>
      <c r="AE31" s="208"/>
      <c r="AF31" s="211"/>
    </row>
    <row r="32" customFormat="false" ht="11.1" hidden="false" customHeight="true" outlineLevel="0" collapsed="false">
      <c r="A32" s="118" t="n">
        <f aca="false">A31+1</f>
        <v>21</v>
      </c>
      <c r="B32" s="168" t="n">
        <v>6862.35</v>
      </c>
      <c r="C32" s="112" t="n">
        <v>168531</v>
      </c>
      <c r="D32" s="117" t="n">
        <f aca="false">C32-C31</f>
        <v>357</v>
      </c>
      <c r="E32" s="112" t="n">
        <f aca="false">C32-152000</f>
        <v>16531</v>
      </c>
      <c r="F32" s="180" t="n">
        <f aca="false">D32/$D$2</f>
        <v>179.98487522057</v>
      </c>
      <c r="G32" s="111" t="n">
        <v>97</v>
      </c>
      <c r="H32" s="116" t="n">
        <v>8.5</v>
      </c>
      <c r="I32" s="111" t="n">
        <f aca="false">G32+H32</f>
        <v>105.5</v>
      </c>
      <c r="J32" s="181" t="n">
        <f aca="false">IF(L32&gt;0,L32,0)</f>
        <v>99.5848752205697</v>
      </c>
      <c r="K32" s="111" t="n">
        <f aca="false">I32+J32</f>
        <v>205.08487522057</v>
      </c>
      <c r="L32" s="111" t="n">
        <f aca="false">F32-(I32-X32)</f>
        <v>99.5848752205697</v>
      </c>
      <c r="M32" s="182" t="n">
        <v>7.1</v>
      </c>
      <c r="N32" s="111" t="n">
        <v>0</v>
      </c>
      <c r="O32" s="111" t="n">
        <v>0</v>
      </c>
      <c r="P32" s="90" t="n">
        <f aca="false">M32-(N32+O32)</f>
        <v>7.1</v>
      </c>
      <c r="Q32" s="111" t="n">
        <v>0</v>
      </c>
      <c r="R32" s="111" t="n">
        <v>0</v>
      </c>
      <c r="S32" s="111" t="n">
        <f aca="false">SUM(P32:R32)</f>
        <v>7.1</v>
      </c>
      <c r="T32" s="112"/>
      <c r="U32" s="111" t="n">
        <v>0</v>
      </c>
      <c r="V32" s="235" t="n">
        <v>18</v>
      </c>
      <c r="W32" s="236" t="n">
        <f aca="false">W31-V32</f>
        <v>326.11</v>
      </c>
      <c r="X32" s="6" t="n">
        <f aca="false">N32+O32+S32+U32+V32</f>
        <v>25.1</v>
      </c>
      <c r="Y32" s="111" t="n">
        <f aca="false">IF(L32&lt;0,L32*-1,0)</f>
        <v>0</v>
      </c>
      <c r="Z32" s="111" t="n">
        <f aca="false">X32+Y32</f>
        <v>25.1</v>
      </c>
      <c r="AA32" s="161" t="n">
        <v>0</v>
      </c>
      <c r="AB32" s="117" t="n">
        <v>46</v>
      </c>
      <c r="AC32" s="167" t="n">
        <v>30</v>
      </c>
      <c r="AD32" s="222" t="n">
        <f aca="false">AD31+(G32+H32-P32-3.35)*1.9835</f>
        <v>2984.07955025</v>
      </c>
      <c r="AE32" s="208"/>
      <c r="AF32" s="211"/>
    </row>
    <row r="33" customFormat="false" ht="11.1" hidden="false" customHeight="true" outlineLevel="0" collapsed="false">
      <c r="A33" s="118" t="n">
        <f aca="false">A32+1</f>
        <v>22</v>
      </c>
      <c r="B33" s="168" t="n">
        <v>6862.5</v>
      </c>
      <c r="C33" s="112" t="n">
        <v>168888</v>
      </c>
      <c r="D33" s="117" t="n">
        <f aca="false">C33-C32</f>
        <v>357</v>
      </c>
      <c r="E33" s="112" t="n">
        <f aca="false">C33-152000</f>
        <v>16888</v>
      </c>
      <c r="F33" s="180" t="n">
        <f aca="false">D33/$D$2</f>
        <v>179.98487522057</v>
      </c>
      <c r="G33" s="111" t="n">
        <v>90</v>
      </c>
      <c r="H33" s="116" t="n">
        <v>11</v>
      </c>
      <c r="I33" s="111" t="n">
        <f aca="false">G33+H33</f>
        <v>101</v>
      </c>
      <c r="J33" s="181" t="n">
        <f aca="false">IF(L33&gt;0,L33,0)</f>
        <v>104.48487522057</v>
      </c>
      <c r="K33" s="111" t="n">
        <f aca="false">I33+J33</f>
        <v>205.48487522057</v>
      </c>
      <c r="L33" s="111" t="n">
        <f aca="false">F33-(I33-X33)</f>
        <v>104.48487522057</v>
      </c>
      <c r="M33" s="182" t="n">
        <v>7.5</v>
      </c>
      <c r="N33" s="111" t="n">
        <v>0</v>
      </c>
      <c r="O33" s="111" t="n">
        <v>0</v>
      </c>
      <c r="P33" s="90" t="n">
        <f aca="false">M33-(N33+O33)</f>
        <v>7.5</v>
      </c>
      <c r="Q33" s="111" t="n">
        <v>0</v>
      </c>
      <c r="R33" s="111" t="n">
        <v>0</v>
      </c>
      <c r="S33" s="111" t="n">
        <f aca="false">SUM(P33:R33)</f>
        <v>7.5</v>
      </c>
      <c r="T33" s="112"/>
      <c r="U33" s="111" t="n">
        <v>0</v>
      </c>
      <c r="V33" s="235" t="n">
        <v>18</v>
      </c>
      <c r="W33" s="236" t="n">
        <f aca="false">W32-V33</f>
        <v>308.11</v>
      </c>
      <c r="X33" s="6" t="n">
        <f aca="false">N33+O33+S33+U33+V33</f>
        <v>25.5</v>
      </c>
      <c r="Y33" s="111" t="n">
        <f aca="false">IF(L33&lt;0,L33*-1,0)</f>
        <v>0</v>
      </c>
      <c r="Z33" s="111" t="n">
        <f aca="false">X33+Y33</f>
        <v>25.5</v>
      </c>
      <c r="AA33" s="161" t="n">
        <v>0</v>
      </c>
      <c r="AB33" s="117" t="n">
        <v>64</v>
      </c>
      <c r="AC33" s="167" t="n">
        <v>36</v>
      </c>
      <c r="AD33" s="222" t="n">
        <f aca="false">AD32+(G33+H33-P33-3.35)*1.9835</f>
        <v>3162.89207525</v>
      </c>
      <c r="AE33" s="208"/>
      <c r="AF33" s="211"/>
    </row>
    <row r="34" customFormat="false" ht="11.1" hidden="false" customHeight="true" outlineLevel="0" collapsed="false">
      <c r="A34" s="118" t="n">
        <f aca="false">A33+1</f>
        <v>23</v>
      </c>
      <c r="B34" s="168" t="n">
        <v>6862.69</v>
      </c>
      <c r="C34" s="112" t="n">
        <v>169339</v>
      </c>
      <c r="D34" s="117" t="n">
        <f aca="false">C34-C33</f>
        <v>451</v>
      </c>
      <c r="E34" s="112" t="n">
        <f aca="false">C34-152000</f>
        <v>17339</v>
      </c>
      <c r="F34" s="180" t="n">
        <f aca="false">D34/$D$2</f>
        <v>227.375850768843</v>
      </c>
      <c r="G34" s="111" t="n">
        <v>107</v>
      </c>
      <c r="H34" s="116" t="n">
        <v>15</v>
      </c>
      <c r="I34" s="111" t="n">
        <f aca="false">G34+H34</f>
        <v>122</v>
      </c>
      <c r="J34" s="181" t="n">
        <f aca="false">IF(L34&gt;0,L34,0)</f>
        <v>130.875850768843</v>
      </c>
      <c r="K34" s="111" t="n">
        <f aca="false">I34+J34</f>
        <v>252.875850768843</v>
      </c>
      <c r="L34" s="111" t="n">
        <f aca="false">F34-(I34-X34)</f>
        <v>130.875850768843</v>
      </c>
      <c r="M34" s="182" t="n">
        <v>7.5</v>
      </c>
      <c r="N34" s="111" t="n">
        <v>0</v>
      </c>
      <c r="O34" s="111" t="n">
        <v>0</v>
      </c>
      <c r="P34" s="90" t="n">
        <f aca="false">M34-(N34+O34)</f>
        <v>7.5</v>
      </c>
      <c r="Q34" s="111" t="n">
        <v>0</v>
      </c>
      <c r="R34" s="111" t="n">
        <v>0</v>
      </c>
      <c r="S34" s="111" t="n">
        <f aca="false">SUM(P34:R34)</f>
        <v>7.5</v>
      </c>
      <c r="T34" s="112"/>
      <c r="U34" s="111" t="n">
        <v>0</v>
      </c>
      <c r="V34" s="235" t="n">
        <v>18</v>
      </c>
      <c r="W34" s="236" t="n">
        <f aca="false">W33-V34</f>
        <v>290.11</v>
      </c>
      <c r="X34" s="6" t="n">
        <f aca="false">N34+O34+S34+U34+V34</f>
        <v>25.5</v>
      </c>
      <c r="Y34" s="111" t="n">
        <f aca="false">IF(L34&lt;0,L34*-1,0)</f>
        <v>0</v>
      </c>
      <c r="Z34" s="111" t="n">
        <f aca="false">X34+Y34</f>
        <v>25.5</v>
      </c>
      <c r="AA34" s="161" t="n">
        <v>0</v>
      </c>
      <c r="AB34" s="117" t="n">
        <v>57</v>
      </c>
      <c r="AC34" s="184" t="n">
        <v>32</v>
      </c>
      <c r="AD34" s="222" t="n">
        <f aca="false">AD33+(G34+H34-P34-3.35)*1.9835</f>
        <v>3383.35810025</v>
      </c>
      <c r="AE34" s="208"/>
      <c r="AF34" s="211"/>
    </row>
    <row r="35" customFormat="false" ht="11.1" hidden="false" customHeight="true" outlineLevel="0" collapsed="false">
      <c r="A35" s="118" t="n">
        <f aca="false">A34+1</f>
        <v>24</v>
      </c>
      <c r="B35" s="168" t="n">
        <v>6863.06</v>
      </c>
      <c r="C35" s="112" t="n">
        <v>170221</v>
      </c>
      <c r="D35" s="117" t="n">
        <f aca="false">C35-C34</f>
        <v>882</v>
      </c>
      <c r="E35" s="112" t="n">
        <f aca="false">C35-152000</f>
        <v>18221</v>
      </c>
      <c r="F35" s="180" t="n">
        <f aca="false">D35/$D$2</f>
        <v>444.668515250819</v>
      </c>
      <c r="G35" s="111" t="n">
        <v>133</v>
      </c>
      <c r="H35" s="116" t="n">
        <v>20</v>
      </c>
      <c r="I35" s="111" t="n">
        <f aca="false">G35+H35</f>
        <v>153</v>
      </c>
      <c r="J35" s="181" t="n">
        <f aca="false">IF(L35&gt;0,L35,0)</f>
        <v>318.668515250819</v>
      </c>
      <c r="K35" s="111" t="n">
        <f aca="false">I35+J35</f>
        <v>471.668515250819</v>
      </c>
      <c r="L35" s="111" t="n">
        <f aca="false">F35-(I35-X35)</f>
        <v>318.668515250819</v>
      </c>
      <c r="M35" s="182" t="n">
        <v>9</v>
      </c>
      <c r="N35" s="111" t="n">
        <v>0</v>
      </c>
      <c r="O35" s="111" t="n">
        <v>0</v>
      </c>
      <c r="P35" s="90" t="n">
        <f aca="false">M35-(N35+O35)</f>
        <v>9</v>
      </c>
      <c r="Q35" s="111" t="n">
        <v>0</v>
      </c>
      <c r="R35" s="111" t="n">
        <v>0</v>
      </c>
      <c r="S35" s="111" t="n">
        <f aca="false">SUM(P35:R35)</f>
        <v>9</v>
      </c>
      <c r="T35" s="112"/>
      <c r="U35" s="111" t="n">
        <v>0</v>
      </c>
      <c r="V35" s="235" t="n">
        <v>18</v>
      </c>
      <c r="W35" s="236" t="n">
        <f aca="false">W34-V35</f>
        <v>272.11</v>
      </c>
      <c r="X35" s="6" t="n">
        <f aca="false">N35+O35+S35+U35+V35</f>
        <v>27</v>
      </c>
      <c r="Y35" s="111" t="n">
        <f aca="false">IF(L35&lt;0,L35*-1,0)</f>
        <v>0</v>
      </c>
      <c r="Z35" s="111" t="n">
        <f aca="false">X35+Y35</f>
        <v>27</v>
      </c>
      <c r="AA35" s="161" t="n">
        <v>0</v>
      </c>
      <c r="AB35" s="117" t="n">
        <v>54</v>
      </c>
      <c r="AC35" s="184" t="n">
        <v>32</v>
      </c>
      <c r="AD35" s="222" t="n">
        <f aca="false">AD34+(G35+H35-7.98-3.35-1.42)*1.9835</f>
        <v>3661.54397525</v>
      </c>
      <c r="AE35" s="208"/>
      <c r="AF35" s="211"/>
    </row>
    <row r="36" customFormat="false" ht="11.1" hidden="false" customHeight="true" outlineLevel="0" collapsed="false">
      <c r="A36" s="118" t="n">
        <f aca="false">A35+1</f>
        <v>25</v>
      </c>
      <c r="B36" s="168" t="n">
        <v>6863.32</v>
      </c>
      <c r="C36" s="112" t="n">
        <v>170850</v>
      </c>
      <c r="D36" s="117" t="n">
        <f aca="false">C36-C35</f>
        <v>629</v>
      </c>
      <c r="E36" s="112" t="n">
        <f aca="false">C36-152000</f>
        <v>18850</v>
      </c>
      <c r="F36" s="180" t="n">
        <f aca="false">D36/$D$2</f>
        <v>317.116208721956</v>
      </c>
      <c r="G36" s="111" t="n">
        <v>136</v>
      </c>
      <c r="H36" s="116" t="n">
        <v>22</v>
      </c>
      <c r="I36" s="111" t="n">
        <f aca="false">G36+H36</f>
        <v>158</v>
      </c>
      <c r="J36" s="181" t="n">
        <f aca="false">IF(L36&gt;0,L36,0)</f>
        <v>202.116208721956</v>
      </c>
      <c r="K36" s="111" t="n">
        <f aca="false">I36+J36</f>
        <v>360.116208721956</v>
      </c>
      <c r="L36" s="111" t="n">
        <f aca="false">F36-(I36-X36)</f>
        <v>202.116208721956</v>
      </c>
      <c r="M36" s="182" t="n">
        <v>25</v>
      </c>
      <c r="N36" s="111" t="n">
        <v>0</v>
      </c>
      <c r="O36" s="111" t="n">
        <v>0</v>
      </c>
      <c r="P36" s="90" t="n">
        <f aca="false">M36-(N36+O36)</f>
        <v>25</v>
      </c>
      <c r="Q36" s="111" t="n">
        <v>0</v>
      </c>
      <c r="R36" s="111" t="n">
        <v>0</v>
      </c>
      <c r="S36" s="111" t="n">
        <f aca="false">SUM(P36:R36)</f>
        <v>25</v>
      </c>
      <c r="T36" s="112"/>
      <c r="U36" s="111" t="n">
        <v>0</v>
      </c>
      <c r="V36" s="235" t="n">
        <v>18</v>
      </c>
      <c r="W36" s="236" t="n">
        <f aca="false">W35-V36</f>
        <v>254.11</v>
      </c>
      <c r="X36" s="6" t="n">
        <f aca="false">N36+O36+S36+U36+V36</f>
        <v>43</v>
      </c>
      <c r="Y36" s="111" t="n">
        <f aca="false">IF(L36&lt;0,L36*-1,0)</f>
        <v>0</v>
      </c>
      <c r="Z36" s="111" t="n">
        <f aca="false">X36+Y36</f>
        <v>43</v>
      </c>
      <c r="AA36" s="161" t="n">
        <v>0</v>
      </c>
      <c r="AB36" s="117" t="n">
        <v>55</v>
      </c>
      <c r="AC36" s="184" t="n">
        <v>28</v>
      </c>
      <c r="AD36" s="222" t="n">
        <f aca="false">AD35+(G36+H36-7.98-3.35-16)*1.9835</f>
        <v>3920.72792025</v>
      </c>
      <c r="AE36" s="208"/>
      <c r="AF36" s="211"/>
    </row>
    <row r="37" customFormat="false" ht="11.1" hidden="false" customHeight="true" outlineLevel="0" collapsed="false">
      <c r="A37" s="118" t="n">
        <f aca="false">A36+1</f>
        <v>26</v>
      </c>
      <c r="B37" s="168" t="n">
        <v>6863.5</v>
      </c>
      <c r="C37" s="112" t="n">
        <v>171285</v>
      </c>
      <c r="D37" s="117" t="n">
        <f aca="false">C37-C36</f>
        <v>435</v>
      </c>
      <c r="E37" s="112" t="n">
        <f aca="false">C37-152000</f>
        <v>19285</v>
      </c>
      <c r="F37" s="180" t="n">
        <f aca="false">D37/$D$2</f>
        <v>219.30930173935</v>
      </c>
      <c r="G37" s="111" t="n">
        <v>139</v>
      </c>
      <c r="H37" s="116" t="n">
        <v>25</v>
      </c>
      <c r="I37" s="111" t="n">
        <f aca="false">G37+H37</f>
        <v>164</v>
      </c>
      <c r="J37" s="181" t="n">
        <f aca="false">IF(L37&gt;0,L37,0)</f>
        <v>94.3093017393496</v>
      </c>
      <c r="K37" s="111" t="n">
        <f aca="false">I37+J37</f>
        <v>258.30930173935</v>
      </c>
      <c r="L37" s="111" t="n">
        <f aca="false">F37-(I37-X37)</f>
        <v>94.3093017393496</v>
      </c>
      <c r="M37" s="182" t="n">
        <v>21</v>
      </c>
      <c r="N37" s="111" t="n">
        <v>0</v>
      </c>
      <c r="O37" s="111" t="n">
        <v>0</v>
      </c>
      <c r="P37" s="90" t="n">
        <f aca="false">M37-(N37+O37)</f>
        <v>21</v>
      </c>
      <c r="Q37" s="111" t="n">
        <v>0</v>
      </c>
      <c r="R37" s="111" t="n">
        <v>0</v>
      </c>
      <c r="S37" s="111" t="n">
        <f aca="false">SUM(P37:R37)</f>
        <v>21</v>
      </c>
      <c r="T37" s="112"/>
      <c r="U37" s="111" t="n">
        <v>0</v>
      </c>
      <c r="V37" s="235" t="n">
        <v>18</v>
      </c>
      <c r="W37" s="236" t="n">
        <f aca="false">W36-V37</f>
        <v>236.11</v>
      </c>
      <c r="X37" s="6" t="n">
        <f aca="false">N37+O37+S37+U37+V37</f>
        <v>39</v>
      </c>
      <c r="Y37" s="111" t="n">
        <f aca="false">IF(L37&lt;0,L37*-1,0)</f>
        <v>0</v>
      </c>
      <c r="Z37" s="111" t="n">
        <f aca="false">X37+Y37</f>
        <v>39</v>
      </c>
      <c r="AA37" s="161" t="n">
        <v>0</v>
      </c>
      <c r="AB37" s="117" t="n">
        <v>57</v>
      </c>
      <c r="AC37" s="167" t="n">
        <v>32</v>
      </c>
      <c r="AD37" s="222" t="n">
        <f aca="false">AD36+(G37+H37-7.98-3.35-12.12)*1.9835</f>
        <v>4199.50884525</v>
      </c>
      <c r="AE37" s="208"/>
      <c r="AF37" s="211"/>
    </row>
    <row r="38" customFormat="false" ht="11.1" hidden="false" customHeight="true" outlineLevel="0" collapsed="false">
      <c r="A38" s="118" t="n">
        <f aca="false">A37+1</f>
        <v>27</v>
      </c>
      <c r="B38" s="168" t="n">
        <v>6863.65</v>
      </c>
      <c r="C38" s="112" t="n">
        <v>171647</v>
      </c>
      <c r="D38" s="117" t="n">
        <f aca="false">C38-C37</f>
        <v>362</v>
      </c>
      <c r="E38" s="112" t="n">
        <f aca="false">C38-152000</f>
        <v>19647</v>
      </c>
      <c r="F38" s="180" t="n">
        <f aca="false">D38/$D$2</f>
        <v>182.505671792286</v>
      </c>
      <c r="G38" s="111" t="n">
        <v>134</v>
      </c>
      <c r="H38" s="116" t="n">
        <v>22</v>
      </c>
      <c r="I38" s="111" t="n">
        <f aca="false">G38+H38</f>
        <v>156</v>
      </c>
      <c r="J38" s="181" t="n">
        <f aca="false">IF(L38&gt;0,L38,0)</f>
        <v>69.5056717922864</v>
      </c>
      <c r="K38" s="111" t="n">
        <f aca="false">I38+J38</f>
        <v>225.505671792286</v>
      </c>
      <c r="L38" s="111" t="n">
        <f aca="false">F38-(I38-X38)</f>
        <v>69.5056717922864</v>
      </c>
      <c r="M38" s="182" t="n">
        <v>25</v>
      </c>
      <c r="N38" s="111" t="n">
        <v>0</v>
      </c>
      <c r="O38" s="111" t="n">
        <v>0</v>
      </c>
      <c r="P38" s="90" t="n">
        <f aca="false">M38-(N38+O38)</f>
        <v>25</v>
      </c>
      <c r="Q38" s="111" t="n">
        <v>0</v>
      </c>
      <c r="R38" s="111" t="n">
        <v>0</v>
      </c>
      <c r="S38" s="111" t="n">
        <f aca="false">SUM(P38:R38)</f>
        <v>25</v>
      </c>
      <c r="T38" s="112"/>
      <c r="U38" s="111" t="n">
        <v>0</v>
      </c>
      <c r="V38" s="235" t="n">
        <v>18</v>
      </c>
      <c r="W38" s="236" t="n">
        <f aca="false">W37-V38</f>
        <v>218.11</v>
      </c>
      <c r="X38" s="6" t="n">
        <f aca="false">N38+O38+S38+U38+V38</f>
        <v>43</v>
      </c>
      <c r="Y38" s="111" t="n">
        <f aca="false">IF(L38&lt;0,L38*-1,0)</f>
        <v>0</v>
      </c>
      <c r="Z38" s="111" t="n">
        <f aca="false">X38+Y38</f>
        <v>43</v>
      </c>
      <c r="AA38" s="161" t="n">
        <v>0</v>
      </c>
      <c r="AB38" s="117" t="n">
        <v>40</v>
      </c>
      <c r="AC38" s="167" t="n">
        <v>21</v>
      </c>
      <c r="AD38" s="222" t="n">
        <f aca="false">AD37+(G38+H38-7.98-3.35-16.08)*1.9835</f>
        <v>4454.56711025</v>
      </c>
      <c r="AE38" s="208"/>
      <c r="AF38" s="211"/>
    </row>
    <row r="39" customFormat="false" ht="11.1" hidden="false" customHeight="true" outlineLevel="0" collapsed="false">
      <c r="A39" s="118" t="n">
        <f aca="false">A38+1</f>
        <v>28</v>
      </c>
      <c r="B39" s="168" t="n">
        <v>6863.82</v>
      </c>
      <c r="C39" s="112" t="n">
        <v>172058</v>
      </c>
      <c r="D39" s="117" t="n">
        <f aca="false">C39-C38</f>
        <v>411</v>
      </c>
      <c r="E39" s="112" t="n">
        <f aca="false">C39-152000</f>
        <v>20058</v>
      </c>
      <c r="F39" s="180" t="n">
        <f aca="false">D39/$D$2</f>
        <v>207.20947819511</v>
      </c>
      <c r="G39" s="111" t="n">
        <v>104</v>
      </c>
      <c r="H39" s="116" t="n">
        <v>15</v>
      </c>
      <c r="I39" s="111" t="n">
        <f aca="false">G39+H39</f>
        <v>119</v>
      </c>
      <c r="J39" s="181" t="n">
        <f aca="false">IF(L39&gt;0,L39,0)</f>
        <v>111.20947819511</v>
      </c>
      <c r="K39" s="111" t="n">
        <f aca="false">I39+J39</f>
        <v>230.20947819511</v>
      </c>
      <c r="L39" s="111" t="n">
        <f aca="false">F39-(I39-X39)</f>
        <v>111.20947819511</v>
      </c>
      <c r="M39" s="182" t="n">
        <v>5</v>
      </c>
      <c r="N39" s="111" t="n">
        <v>0</v>
      </c>
      <c r="O39" s="111" t="n">
        <v>0</v>
      </c>
      <c r="P39" s="90" t="n">
        <f aca="false">M39-(N39+O39)</f>
        <v>5</v>
      </c>
      <c r="Q39" s="111" t="n">
        <v>0</v>
      </c>
      <c r="R39" s="111" t="n">
        <v>0</v>
      </c>
      <c r="S39" s="111" t="n">
        <f aca="false">SUM(P39:R39)</f>
        <v>5</v>
      </c>
      <c r="T39" s="112"/>
      <c r="U39" s="111" t="n">
        <v>0</v>
      </c>
      <c r="V39" s="235" t="n">
        <v>18</v>
      </c>
      <c r="W39" s="236" t="n">
        <f aca="false">W38-V39</f>
        <v>200.11</v>
      </c>
      <c r="X39" s="6" t="n">
        <f aca="false">N39+O39+S39+U39+V39</f>
        <v>23</v>
      </c>
      <c r="Y39" s="111" t="n">
        <f aca="false">IF(L39&lt;0,L39*-1,0)</f>
        <v>0</v>
      </c>
      <c r="Z39" s="111" t="n">
        <f aca="false">X39+Y39</f>
        <v>23</v>
      </c>
      <c r="AA39" s="161" t="n">
        <v>0</v>
      </c>
      <c r="AB39" s="117" t="n">
        <v>62</v>
      </c>
      <c r="AC39" s="167" t="n">
        <v>34</v>
      </c>
      <c r="AD39" s="222" t="n">
        <f aca="false">AD38+(G39+H39-5.34-3.35-0)*1.9835</f>
        <v>4673.36699525</v>
      </c>
      <c r="AE39" s="208"/>
      <c r="AF39" s="211"/>
    </row>
    <row r="40" customFormat="false" ht="11.1" hidden="false" customHeight="true" outlineLevel="0" collapsed="false">
      <c r="A40" s="118" t="n">
        <f aca="false">A39+1</f>
        <v>29</v>
      </c>
      <c r="B40" s="168" t="n">
        <v>6863.88</v>
      </c>
      <c r="C40" s="112" t="n">
        <v>172203</v>
      </c>
      <c r="D40" s="117" t="n">
        <f aca="false">C40-C39</f>
        <v>145</v>
      </c>
      <c r="E40" s="112" t="n">
        <f aca="false">C40-152000</f>
        <v>20203</v>
      </c>
      <c r="F40" s="180" t="n">
        <f aca="false">D40/$D$2</f>
        <v>73.1031005797832</v>
      </c>
      <c r="G40" s="111" t="n">
        <v>87</v>
      </c>
      <c r="H40" s="116" t="n">
        <v>12</v>
      </c>
      <c r="I40" s="111" t="n">
        <f aca="false">G40+H40</f>
        <v>99</v>
      </c>
      <c r="J40" s="181" t="n">
        <f aca="false">IF(L40&gt;0,L40,0)</f>
        <v>0</v>
      </c>
      <c r="K40" s="111" t="n">
        <f aca="false">I40+J40</f>
        <v>99</v>
      </c>
      <c r="L40" s="111" t="n">
        <f aca="false">F40-(I40-X40)</f>
        <v>-2.79689942021679</v>
      </c>
      <c r="M40" s="182" t="n">
        <v>5.1</v>
      </c>
      <c r="N40" s="111" t="n">
        <v>0</v>
      </c>
      <c r="O40" s="111" t="n">
        <v>0</v>
      </c>
      <c r="P40" s="90" t="n">
        <f aca="false">M40-(N40+O40)</f>
        <v>5.1</v>
      </c>
      <c r="Q40" s="111" t="n">
        <v>0</v>
      </c>
      <c r="R40" s="111" t="n">
        <v>0</v>
      </c>
      <c r="S40" s="111" t="n">
        <f aca="false">SUM(P40:R40)</f>
        <v>5.1</v>
      </c>
      <c r="T40" s="112"/>
      <c r="U40" s="111" t="n">
        <v>0</v>
      </c>
      <c r="V40" s="235" t="n">
        <v>18</v>
      </c>
      <c r="W40" s="236" t="n">
        <f aca="false">W39-V40</f>
        <v>182.11</v>
      </c>
      <c r="X40" s="6" t="n">
        <f aca="false">N40+O40+S40+U40+V40</f>
        <v>23.1</v>
      </c>
      <c r="Y40" s="111" t="n">
        <f aca="false">IF(L40&lt;0,L40*-1,0)</f>
        <v>2.79689942021679</v>
      </c>
      <c r="Z40" s="111" t="n">
        <f aca="false">X40+Y40</f>
        <v>25.8968994202168</v>
      </c>
      <c r="AA40" s="161" t="n">
        <v>0</v>
      </c>
      <c r="AB40" s="183" t="n">
        <v>62</v>
      </c>
      <c r="AC40" s="167" t="n">
        <v>31</v>
      </c>
      <c r="AD40" s="222" t="n">
        <f aca="false">AD39+(G40+H40-5.51-3.35-0)*1.9835</f>
        <v>4852.15968525</v>
      </c>
      <c r="AE40" s="208"/>
      <c r="AF40" s="211"/>
    </row>
    <row r="41" customFormat="false" ht="11.1" hidden="false" customHeight="true" outlineLevel="0" collapsed="false">
      <c r="A41" s="118" t="n">
        <v>30</v>
      </c>
      <c r="B41" s="168" t="n">
        <v>6864</v>
      </c>
      <c r="C41" s="112" t="n">
        <v>172493</v>
      </c>
      <c r="D41" s="117" t="n">
        <f aca="false">C41-C40</f>
        <v>290</v>
      </c>
      <c r="E41" s="112" t="n">
        <f aca="false">C41-152000</f>
        <v>20493</v>
      </c>
      <c r="F41" s="180" t="n">
        <f aca="false">D41/$D$2</f>
        <v>146.206201159566</v>
      </c>
      <c r="G41" s="111" t="n">
        <v>98</v>
      </c>
      <c r="H41" s="116" t="n">
        <v>8.7</v>
      </c>
      <c r="I41" s="111" t="n">
        <f aca="false">G41+H41</f>
        <v>106.7</v>
      </c>
      <c r="J41" s="181" t="n">
        <f aca="false">IF(L41&gt;0,L41,0)</f>
        <v>62.6062011595664</v>
      </c>
      <c r="K41" s="111" t="n">
        <f aca="false">I41+J41</f>
        <v>169.306201159566</v>
      </c>
      <c r="L41" s="111" t="n">
        <f aca="false">F41-(I41-X41)</f>
        <v>62.6062011595664</v>
      </c>
      <c r="M41" s="182" t="n">
        <v>5.1</v>
      </c>
      <c r="N41" s="111" t="n">
        <v>0</v>
      </c>
      <c r="O41" s="111" t="n">
        <v>0</v>
      </c>
      <c r="P41" s="90" t="n">
        <f aca="false">M41-(N41+O41)</f>
        <v>5.1</v>
      </c>
      <c r="Q41" s="111" t="n">
        <v>0</v>
      </c>
      <c r="R41" s="111" t="n">
        <v>0</v>
      </c>
      <c r="S41" s="111" t="n">
        <f aca="false">SUM(P41:R41)</f>
        <v>5.1</v>
      </c>
      <c r="T41" s="112"/>
      <c r="U41" s="111" t="n">
        <v>0</v>
      </c>
      <c r="V41" s="235" t="n">
        <v>18</v>
      </c>
      <c r="W41" s="236" t="n">
        <f aca="false">W40-V41</f>
        <v>164.11</v>
      </c>
      <c r="X41" s="6" t="n">
        <f aca="false">N41+O41+S41+U41+V41</f>
        <v>23.1</v>
      </c>
      <c r="Y41" s="111" t="n">
        <f aca="false">IF(L41&lt;0,L41*-1,0)</f>
        <v>0</v>
      </c>
      <c r="Z41" s="111" t="n">
        <f aca="false">X41+Y41</f>
        <v>23.1</v>
      </c>
      <c r="AA41" s="161" t="n">
        <v>0</v>
      </c>
      <c r="AB41" s="183" t="n">
        <v>61</v>
      </c>
      <c r="AC41" s="167" t="n">
        <v>33</v>
      </c>
      <c r="AD41" s="222" t="n">
        <f aca="false">AD40+(G41+H41-5.51-3.35-0)*1.9835</f>
        <v>5046.22532525</v>
      </c>
      <c r="AE41" s="208"/>
      <c r="AF41" s="211"/>
    </row>
    <row r="42" customFormat="false" ht="11.1" hidden="false" customHeight="true" outlineLevel="0" collapsed="false">
      <c r="A42" s="118" t="n">
        <v>31</v>
      </c>
      <c r="B42" s="168" t="n">
        <v>6864.2</v>
      </c>
      <c r="C42" s="112" t="n">
        <v>172985</v>
      </c>
      <c r="D42" s="117" t="n">
        <f aca="false">C42-C41</f>
        <v>492</v>
      </c>
      <c r="E42" s="112" t="n">
        <f aca="false">C42-152000</f>
        <v>20985</v>
      </c>
      <c r="F42" s="180" t="n">
        <f aca="false">D42/$D$2</f>
        <v>248.04638265692</v>
      </c>
      <c r="G42" s="111" t="n">
        <v>123</v>
      </c>
      <c r="H42" s="116" t="n">
        <v>8</v>
      </c>
      <c r="I42" s="111" t="n">
        <f aca="false">G42+H42</f>
        <v>131</v>
      </c>
      <c r="J42" s="181" t="n">
        <f aca="false">IF(L42&gt;0,L42,0)</f>
        <v>166.04638265692</v>
      </c>
      <c r="K42" s="111" t="n">
        <f aca="false">I42+J42</f>
        <v>297.04638265692</v>
      </c>
      <c r="L42" s="111" t="n">
        <f aca="false">F42-(I42-X42)</f>
        <v>166.04638265692</v>
      </c>
      <c r="M42" s="182" t="n">
        <v>31</v>
      </c>
      <c r="N42" s="111" t="n">
        <v>0</v>
      </c>
      <c r="O42" s="111" t="n">
        <f aca="false">(0.71+0.84)*1.05</f>
        <v>1.6275</v>
      </c>
      <c r="P42" s="90" t="n">
        <f aca="false">M42-(N42+O42)</f>
        <v>29.3725</v>
      </c>
      <c r="Q42" s="111" t="n">
        <v>0</v>
      </c>
      <c r="R42" s="111" t="n">
        <v>0</v>
      </c>
      <c r="S42" s="111" t="n">
        <f aca="false">SUM(P42:R42)</f>
        <v>29.3725</v>
      </c>
      <c r="T42" s="112"/>
      <c r="U42" s="111" t="n">
        <v>0</v>
      </c>
      <c r="V42" s="235" t="n">
        <v>18</v>
      </c>
      <c r="W42" s="236" t="n">
        <f aca="false">W41-V42</f>
        <v>146.11</v>
      </c>
      <c r="X42" s="6" t="n">
        <f aca="false">N42+O42+S42+U42+V42</f>
        <v>49</v>
      </c>
      <c r="Y42" s="111" t="n">
        <f aca="false">IF(L42&lt;0,L42*-1,0)</f>
        <v>0</v>
      </c>
      <c r="Z42" s="111" t="n">
        <f aca="false">X42+Y42</f>
        <v>49</v>
      </c>
      <c r="AA42" s="161" t="n">
        <v>0</v>
      </c>
      <c r="AB42" s="183" t="n">
        <v>61</v>
      </c>
      <c r="AC42" s="167" t="n">
        <v>31</v>
      </c>
      <c r="AD42" s="222" t="n">
        <f aca="false">AD41+(G42+H42-5.51-3.35-22.99)*1.9835</f>
        <v>5242.88935025</v>
      </c>
      <c r="AE42" s="208"/>
      <c r="AF42" s="208"/>
    </row>
    <row r="43" customFormat="false" ht="3" hidden="false" customHeight="true" outlineLevel="0" collapsed="false">
      <c r="A43" s="169"/>
      <c r="B43" s="185"/>
      <c r="C43" s="171"/>
      <c r="D43" s="169"/>
      <c r="E43" s="171"/>
      <c r="F43" s="172"/>
      <c r="G43" s="169"/>
      <c r="H43" s="190"/>
      <c r="I43" s="169"/>
      <c r="J43" s="169"/>
      <c r="K43" s="169"/>
      <c r="L43" s="169"/>
      <c r="M43" s="174"/>
      <c r="N43" s="169"/>
      <c r="O43" s="169"/>
      <c r="P43" s="175"/>
      <c r="Q43" s="169"/>
      <c r="R43" s="169"/>
      <c r="S43" s="169"/>
      <c r="T43" s="171"/>
      <c r="U43" s="169"/>
      <c r="V43" s="169"/>
      <c r="W43" s="169"/>
      <c r="X43" s="169"/>
      <c r="Y43" s="169"/>
      <c r="Z43" s="169"/>
      <c r="AA43" s="176"/>
      <c r="AB43" s="177"/>
      <c r="AC43" s="178"/>
      <c r="AD43" s="226"/>
      <c r="AE43" s="179"/>
      <c r="AF43" s="179"/>
    </row>
    <row r="44" customFormat="false" ht="11.1" hidden="false" customHeight="true" outlineLevel="0" collapsed="false">
      <c r="A44" s="111" t="s">
        <v>54</v>
      </c>
      <c r="B44" s="163"/>
      <c r="C44" s="112"/>
      <c r="D44" s="112"/>
      <c r="E44" s="112"/>
      <c r="F44" s="164" t="n">
        <f aca="false">SUM(F12:F42)</f>
        <v>4734.56012099824</v>
      </c>
      <c r="G44" s="112" t="n">
        <f aca="false">SUM(G12:G42)</f>
        <v>2593</v>
      </c>
      <c r="H44" s="116" t="n">
        <f aca="false">SUM(H12:H42)</f>
        <v>253.9</v>
      </c>
      <c r="I44" s="112" t="n">
        <f aca="false">SUM(I12:I42)</f>
        <v>2846.9</v>
      </c>
      <c r="J44" s="112" t="n">
        <f aca="false">SUM(J12:J42)</f>
        <v>2769.27852281321</v>
      </c>
      <c r="K44" s="112" t="n">
        <f aca="false">SUM(K12:K42)</f>
        <v>5616.17852281321</v>
      </c>
      <c r="L44" s="112" t="n">
        <f aca="false">SUM(L12:L42)</f>
        <v>2723.56012099823</v>
      </c>
      <c r="M44" s="165" t="n">
        <f aca="false">SUM(M12:M42)</f>
        <v>294.9</v>
      </c>
      <c r="N44" s="112" t="n">
        <f aca="false">SUM(N12:N42)</f>
        <v>0</v>
      </c>
      <c r="O44" s="112" t="n">
        <f aca="false">SUM(O12:O42)</f>
        <v>1.6275</v>
      </c>
      <c r="P44" s="166" t="n">
        <f aca="false">SUM(P12:P42)</f>
        <v>293.2725</v>
      </c>
      <c r="Q44" s="112" t="n">
        <f aca="false">SUM(Q12:Q42)</f>
        <v>0</v>
      </c>
      <c r="R44" s="112" t="n">
        <f aca="false">SUM(R12:R42)</f>
        <v>0</v>
      </c>
      <c r="S44" s="112" t="n">
        <f aca="false">SUM(S12:S42)</f>
        <v>293.2725</v>
      </c>
      <c r="T44" s="112"/>
      <c r="U44" s="112" t="n">
        <f aca="false">SUM(U12:U42)</f>
        <v>0</v>
      </c>
      <c r="V44" s="112" t="n">
        <f aca="false">SUM(V12:V42)</f>
        <v>541</v>
      </c>
      <c r="W44" s="112"/>
      <c r="X44" s="112" t="n">
        <f aca="false">SUM(X12:X42)</f>
        <v>835.9</v>
      </c>
      <c r="Y44" s="112" t="n">
        <f aca="false">SUM(Y12:Y42)</f>
        <v>45.7184018149735</v>
      </c>
      <c r="Z44" s="112" t="n">
        <f aca="false">SUM(Z12:Z42)</f>
        <v>881.618401814973</v>
      </c>
      <c r="AA44" s="161" t="n">
        <f aca="false">SUM(AA12:AA42)</f>
        <v>1.8</v>
      </c>
      <c r="AB44" s="117" t="n">
        <f aca="false">AVERAGE(AB12:AB42)</f>
        <v>50.258064516129</v>
      </c>
      <c r="AC44" s="167" t="n">
        <f aca="false">AVERAGE(AC12:AC42)</f>
        <v>27.1612903225806</v>
      </c>
      <c r="AD44" s="222" t="s">
        <v>70</v>
      </c>
      <c r="AE44" s="208"/>
      <c r="AF44" s="208"/>
    </row>
    <row r="45" customFormat="false" ht="11.1" hidden="false" customHeight="true" outlineLevel="0" collapsed="false">
      <c r="A45" s="111" t="s">
        <v>56</v>
      </c>
      <c r="B45" s="163"/>
      <c r="C45" s="112"/>
      <c r="D45" s="112" t="n">
        <f aca="false">SUM(D12:D42)</f>
        <v>9391</v>
      </c>
      <c r="E45" s="112"/>
      <c r="F45" s="164" t="n">
        <f aca="false">F44*$D$2</f>
        <v>9391</v>
      </c>
      <c r="G45" s="112" t="n">
        <f aca="false">G44*$D$2</f>
        <v>5143.2155</v>
      </c>
      <c r="H45" s="116" t="n">
        <f aca="false">H44*$D$2</f>
        <v>503.61065</v>
      </c>
      <c r="I45" s="112" t="n">
        <f aca="false">I44*$D$2</f>
        <v>5646.82615</v>
      </c>
      <c r="J45" s="112" t="n">
        <f aca="false">J44*$D$2</f>
        <v>5492.86395</v>
      </c>
      <c r="K45" s="112" t="n">
        <f aca="false">K44*$D$2</f>
        <v>11139.6901</v>
      </c>
      <c r="L45" s="112" t="n">
        <f aca="false">L44*$D$2</f>
        <v>5402.1815</v>
      </c>
      <c r="M45" s="165" t="n">
        <f aca="false">M44*$D$2</f>
        <v>584.93415</v>
      </c>
      <c r="N45" s="112" t="n">
        <f aca="false">N44*$D$2</f>
        <v>0</v>
      </c>
      <c r="O45" s="112" t="n">
        <f aca="false">O44*$D$2</f>
        <v>3.22814625</v>
      </c>
      <c r="P45" s="166" t="n">
        <f aca="false">P44*$D$2</f>
        <v>581.70600375</v>
      </c>
      <c r="Q45" s="112" t="n">
        <f aca="false">Q44*$D$2</f>
        <v>0</v>
      </c>
      <c r="R45" s="112" t="n">
        <f aca="false">R44*$D$2</f>
        <v>0</v>
      </c>
      <c r="S45" s="112" t="n">
        <f aca="false">S44*$D$2</f>
        <v>581.70600375</v>
      </c>
      <c r="T45" s="112"/>
      <c r="U45" s="112" t="n">
        <f aca="false">U44*$D$2</f>
        <v>0</v>
      </c>
      <c r="V45" s="112" t="n">
        <f aca="false">V44*$D$2</f>
        <v>1073.0735</v>
      </c>
      <c r="W45" s="112"/>
      <c r="X45" s="112" t="n">
        <f aca="false">X44*$D$2</f>
        <v>1658.00765</v>
      </c>
      <c r="Y45" s="112" t="n">
        <f aca="false">Y44*$D$2</f>
        <v>90.68245</v>
      </c>
      <c r="Z45" s="112" t="n">
        <f aca="false">Z44*$D$2</f>
        <v>1748.6901</v>
      </c>
      <c r="AA45" s="161"/>
      <c r="AB45" s="117" t="n">
        <f aca="false">MAX(AB12:AB42)</f>
        <v>64</v>
      </c>
      <c r="AC45" s="167" t="n">
        <f aca="false">MAX(AC12:AC42)</f>
        <v>38</v>
      </c>
      <c r="AD45" s="222" t="s">
        <v>57</v>
      </c>
      <c r="AE45" s="208"/>
      <c r="AF45" s="208"/>
    </row>
    <row r="46" customFormat="false" ht="3" hidden="false" customHeight="true" outlineLevel="0" collapsed="false">
      <c r="A46" s="169"/>
      <c r="B46" s="185"/>
      <c r="C46" s="171"/>
      <c r="D46" s="171"/>
      <c r="E46" s="171"/>
      <c r="F46" s="186"/>
      <c r="G46" s="171"/>
      <c r="H46" s="190"/>
      <c r="I46" s="171"/>
      <c r="J46" s="171"/>
      <c r="K46" s="171"/>
      <c r="L46" s="171"/>
      <c r="M46" s="187"/>
      <c r="N46" s="171"/>
      <c r="O46" s="171"/>
      <c r="P46" s="188"/>
      <c r="Q46" s="171"/>
      <c r="R46" s="171"/>
      <c r="S46" s="171"/>
      <c r="T46" s="171"/>
      <c r="U46" s="171"/>
      <c r="V46" s="171"/>
      <c r="W46" s="169"/>
      <c r="X46" s="171"/>
      <c r="Y46" s="171"/>
      <c r="Z46" s="171"/>
      <c r="AA46" s="189"/>
      <c r="AB46" s="171"/>
      <c r="AC46" s="186"/>
      <c r="AD46" s="229"/>
      <c r="AE46" s="171"/>
      <c r="AF46" s="171"/>
    </row>
    <row r="47" customFormat="false" ht="11.1" hidden="false" customHeight="true" outlineLevel="0" collapsed="false">
      <c r="A47" s="111" t="s">
        <v>58</v>
      </c>
      <c r="B47" s="163"/>
      <c r="C47" s="112"/>
      <c r="D47" s="112"/>
      <c r="E47" s="112"/>
      <c r="F47" s="164"/>
      <c r="G47" s="112"/>
      <c r="H47" s="116"/>
      <c r="I47" s="112"/>
      <c r="J47" s="112"/>
      <c r="K47" s="112"/>
      <c r="L47" s="112"/>
      <c r="M47" s="165" t="n">
        <v>69.98</v>
      </c>
      <c r="N47" s="112"/>
      <c r="O47" s="112" t="n">
        <f aca="false">O42</f>
        <v>1.6275</v>
      </c>
      <c r="P47" s="166" t="n">
        <v>68</v>
      </c>
      <c r="Q47" s="112"/>
      <c r="R47" s="112"/>
      <c r="S47" s="112"/>
      <c r="T47" s="112"/>
      <c r="U47" s="112"/>
      <c r="V47" s="112"/>
      <c r="W47" s="112"/>
      <c r="X47" s="112"/>
      <c r="Y47" s="112"/>
      <c r="Z47" s="112"/>
      <c r="AA47" s="161"/>
      <c r="AB47" s="117" t="n">
        <f aca="false">MIN(AB12:AB42)</f>
        <v>33</v>
      </c>
      <c r="AC47" s="167" t="n">
        <f aca="false">MIN(AC12:AC42)</f>
        <v>6</v>
      </c>
      <c r="AD47" s="222" t="s">
        <v>59</v>
      </c>
      <c r="AE47" s="208"/>
      <c r="AF47" s="208"/>
    </row>
    <row r="48" customFormat="false" ht="11.1" hidden="false" customHeight="true" outlineLevel="0" collapsed="false">
      <c r="A48" s="111" t="s">
        <v>60</v>
      </c>
      <c r="B48" s="163"/>
      <c r="C48" s="112"/>
      <c r="D48" s="112"/>
      <c r="E48" s="112"/>
      <c r="F48" s="164"/>
      <c r="G48" s="112"/>
      <c r="H48" s="116"/>
      <c r="I48" s="112"/>
      <c r="J48" s="112"/>
      <c r="K48" s="112"/>
      <c r="L48" s="112"/>
      <c r="M48" s="165" t="n">
        <f aca="false">M47*$D$2</f>
        <v>138.80533</v>
      </c>
      <c r="N48" s="112"/>
      <c r="O48" s="112" t="n">
        <f aca="false">O47*$D$2</f>
        <v>3.22814625</v>
      </c>
      <c r="P48" s="166" t="n">
        <f aca="false">P47*$D$2</f>
        <v>134.878</v>
      </c>
      <c r="Q48" s="112"/>
      <c r="R48" s="112"/>
      <c r="S48" s="112"/>
      <c r="T48" s="112"/>
      <c r="U48" s="112"/>
      <c r="V48" s="112"/>
      <c r="W48" s="112"/>
      <c r="X48" s="112"/>
      <c r="Y48" s="112"/>
      <c r="Z48" s="112"/>
      <c r="AA48" s="161"/>
      <c r="AB48" s="117"/>
      <c r="AC48" s="167"/>
      <c r="AD48" s="222"/>
      <c r="AE48" s="208"/>
      <c r="AF48" s="208"/>
    </row>
    <row r="49" customFormat="false" ht="3" hidden="false" customHeight="true" outlineLevel="0" collapsed="false">
      <c r="A49" s="169"/>
      <c r="B49" s="185"/>
      <c r="C49" s="171"/>
      <c r="D49" s="171"/>
      <c r="E49" s="171"/>
      <c r="F49" s="186"/>
      <c r="G49" s="171"/>
      <c r="H49" s="190"/>
      <c r="I49" s="171"/>
      <c r="J49" s="171"/>
      <c r="K49" s="171"/>
      <c r="L49" s="171"/>
      <c r="M49" s="187"/>
      <c r="N49" s="171"/>
      <c r="O49" s="171"/>
      <c r="P49" s="188"/>
      <c r="Q49" s="171"/>
      <c r="R49" s="171"/>
      <c r="S49" s="171"/>
      <c r="T49" s="171"/>
      <c r="U49" s="171"/>
      <c r="V49" s="171"/>
      <c r="W49" s="171"/>
      <c r="X49" s="171"/>
      <c r="Y49" s="171"/>
      <c r="Z49" s="171"/>
      <c r="AA49" s="176"/>
      <c r="AB49" s="190"/>
      <c r="AC49" s="191"/>
      <c r="AD49" s="229"/>
      <c r="AE49" s="190"/>
      <c r="AF49" s="190"/>
    </row>
    <row r="50" customFormat="false" ht="11.1" hidden="false" customHeight="true" outlineLevel="0" collapsed="false">
      <c r="A50" s="111" t="s">
        <v>61</v>
      </c>
      <c r="B50" s="163"/>
      <c r="C50" s="112"/>
      <c r="D50" s="112"/>
      <c r="E50" s="112"/>
      <c r="F50" s="164" t="n">
        <f aca="false">F10+F44</f>
        <v>8277.28762288883</v>
      </c>
      <c r="G50" s="112" t="n">
        <f aca="false">G10+G44</f>
        <v>7554</v>
      </c>
      <c r="H50" s="116" t="n">
        <f aca="false">H10+H44</f>
        <v>282.74</v>
      </c>
      <c r="I50" s="112" t="n">
        <f aca="false">I10+I44</f>
        <v>7836.74</v>
      </c>
      <c r="J50" s="112" t="n">
        <f aca="false">J10+J44</f>
        <v>4478.75377111167</v>
      </c>
      <c r="K50" s="112" t="n">
        <f aca="false">K10+K44</f>
        <v>12315.4937711117</v>
      </c>
      <c r="L50" s="112" t="n">
        <f aca="false">L10+L44</f>
        <v>3844.23762288882</v>
      </c>
      <c r="M50" s="165" t="n">
        <f aca="false">M10+M44</f>
        <v>1026.8</v>
      </c>
      <c r="N50" s="112" t="n">
        <f aca="false">N10+N44</f>
        <v>0</v>
      </c>
      <c r="O50" s="112" t="n">
        <f aca="false">O10+O44</f>
        <v>1.6275</v>
      </c>
      <c r="P50" s="166" t="n">
        <f aca="false">P10+P44</f>
        <v>1025.1725</v>
      </c>
      <c r="Q50" s="112" t="n">
        <f aca="false">Q10+Q44</f>
        <v>62</v>
      </c>
      <c r="R50" s="112" t="n">
        <f aca="false">R10+R44</f>
        <v>51</v>
      </c>
      <c r="S50" s="112" t="n">
        <f aca="false">S10+S44</f>
        <v>1138.1725</v>
      </c>
      <c r="T50" s="112"/>
      <c r="U50" s="112" t="n">
        <f aca="false">U10+U44</f>
        <v>0</v>
      </c>
      <c r="V50" s="112" t="n">
        <f aca="false">V10+V44</f>
        <v>2263.89</v>
      </c>
      <c r="W50" s="112" t="n">
        <f aca="false">W42</f>
        <v>146.11</v>
      </c>
      <c r="X50" s="112" t="n">
        <f aca="false">X10+X44</f>
        <v>3403.69</v>
      </c>
      <c r="Y50" s="112" t="n">
        <f aca="false">Y10+Y44</f>
        <v>634.516148222838</v>
      </c>
      <c r="Z50" s="112" t="n">
        <f aca="false">Z10+Z44</f>
        <v>4038.20614822284</v>
      </c>
      <c r="AA50" s="161" t="n">
        <f aca="false">AA10+AA44</f>
        <v>7.04</v>
      </c>
      <c r="AB50" s="117"/>
      <c r="AC50" s="167"/>
      <c r="AD50" s="222"/>
      <c r="AE50" s="208"/>
      <c r="AF50" s="208"/>
    </row>
    <row r="51" customFormat="false" ht="11.1" hidden="false" customHeight="true" outlineLevel="0" collapsed="false">
      <c r="A51" s="111" t="s">
        <v>62</v>
      </c>
      <c r="B51" s="163"/>
      <c r="C51" s="112"/>
      <c r="D51" s="112" t="n">
        <f aca="false">D10+D45</f>
        <v>16418</v>
      </c>
      <c r="E51" s="112" t="n">
        <f aca="false">E42</f>
        <v>20985</v>
      </c>
      <c r="F51" s="164" t="n">
        <f aca="false">F50*$D$2</f>
        <v>16418</v>
      </c>
      <c r="G51" s="112" t="n">
        <f aca="false">G50*$D$2</f>
        <v>14983.359</v>
      </c>
      <c r="H51" s="116" t="n">
        <f aca="false">H50*$D$2</f>
        <v>560.81479</v>
      </c>
      <c r="I51" s="112" t="n">
        <f aca="false">I50*$D$2</f>
        <v>15544.17379</v>
      </c>
      <c r="J51" s="112" t="n">
        <f aca="false">J50*$D$2</f>
        <v>8883.608105</v>
      </c>
      <c r="K51" s="112" t="n">
        <f aca="false">K50*$D$2</f>
        <v>24427.781895</v>
      </c>
      <c r="L51" s="112" t="n">
        <f aca="false">L50*$D$2</f>
        <v>7625.04532499998</v>
      </c>
      <c r="M51" s="165" t="n">
        <f aca="false">M50*$D$2</f>
        <v>2036.6578</v>
      </c>
      <c r="N51" s="112" t="n">
        <f aca="false">N50*$D$2</f>
        <v>0</v>
      </c>
      <c r="O51" s="112" t="n">
        <f aca="false">O50*$D$2</f>
        <v>3.22814625</v>
      </c>
      <c r="P51" s="166" t="n">
        <f aca="false">P50*$D$2</f>
        <v>2033.42965375</v>
      </c>
      <c r="Q51" s="112" t="n">
        <f aca="false">Q50*$D$2</f>
        <v>122.977</v>
      </c>
      <c r="R51" s="112" t="n">
        <f aca="false">R50*$D$2</f>
        <v>101.1585</v>
      </c>
      <c r="S51" s="112" t="n">
        <f aca="false">S50*$D$2</f>
        <v>2257.56515375</v>
      </c>
      <c r="T51" s="112"/>
      <c r="U51" s="112" t="n">
        <f aca="false">U50*$D$2</f>
        <v>0</v>
      </c>
      <c r="V51" s="112" t="n">
        <f aca="false">V50*$D$2</f>
        <v>4490.425815</v>
      </c>
      <c r="W51" s="112" t="n">
        <f aca="false">W50*$D$2</f>
        <v>289.809185</v>
      </c>
      <c r="X51" s="112" t="n">
        <f aca="false">X50*$D$2</f>
        <v>6751.219115</v>
      </c>
      <c r="Y51" s="112" t="n">
        <f aca="false">Y50*$D$2</f>
        <v>1258.56278</v>
      </c>
      <c r="Z51" s="112" t="n">
        <f aca="false">Z50*$D$2</f>
        <v>8009.781895</v>
      </c>
      <c r="AA51" s="161"/>
      <c r="AB51" s="117"/>
      <c r="AC51" s="167"/>
      <c r="AD51" s="222"/>
      <c r="AE51" s="208"/>
      <c r="AF51" s="208"/>
    </row>
    <row r="52" customFormat="false" ht="3" hidden="false" customHeight="true" outlineLevel="0" collapsed="false">
      <c r="A52" s="169"/>
      <c r="B52" s="185"/>
      <c r="C52" s="171"/>
      <c r="D52" s="169"/>
      <c r="E52" s="171"/>
      <c r="F52" s="172"/>
      <c r="G52" s="169"/>
      <c r="H52" s="190"/>
      <c r="I52" s="169"/>
      <c r="J52" s="169"/>
      <c r="K52" s="169"/>
      <c r="L52" s="169"/>
      <c r="M52" s="174"/>
      <c r="N52" s="169"/>
      <c r="O52" s="169"/>
      <c r="P52" s="175"/>
      <c r="Q52" s="169"/>
      <c r="R52" s="169"/>
      <c r="S52" s="169"/>
      <c r="T52" s="171"/>
      <c r="U52" s="169"/>
      <c r="V52" s="169"/>
      <c r="W52" s="171"/>
      <c r="X52" s="169"/>
      <c r="Y52" s="169"/>
      <c r="Z52" s="169"/>
      <c r="AA52" s="185"/>
      <c r="AB52" s="169"/>
      <c r="AC52" s="172"/>
      <c r="AD52" s="229"/>
      <c r="AE52" s="169"/>
      <c r="AF52" s="169"/>
    </row>
    <row r="53" customFormat="false" ht="11.1" hidden="false" customHeight="true" outlineLevel="0" collapsed="false">
      <c r="A53" s="111"/>
      <c r="B53" s="192"/>
      <c r="C53" s="112"/>
      <c r="D53" s="111"/>
      <c r="E53" s="112"/>
      <c r="F53" s="111"/>
      <c r="G53" s="111"/>
      <c r="H53" s="116"/>
      <c r="I53" s="111"/>
      <c r="J53" s="111"/>
      <c r="K53" s="111"/>
      <c r="L53" s="111"/>
      <c r="M53" s="111"/>
      <c r="N53" s="111"/>
      <c r="O53" s="111"/>
      <c r="P53" s="111"/>
      <c r="Q53" s="111"/>
      <c r="R53" s="111"/>
      <c r="S53" s="111"/>
      <c r="T53" s="112"/>
      <c r="U53" s="111"/>
      <c r="V53" s="111"/>
      <c r="W53" s="112"/>
      <c r="X53" s="111"/>
      <c r="Y53" s="111"/>
      <c r="Z53" s="111"/>
      <c r="AA53" s="116"/>
      <c r="AB53" s="117"/>
      <c r="AC53" s="117"/>
      <c r="AD53" s="222"/>
      <c r="AE53" s="197"/>
      <c r="AF53" s="197"/>
    </row>
    <row r="54" customFormat="false" ht="11.1" hidden="false" customHeight="true" outlineLevel="0" collapsed="false">
      <c r="A54" s="111"/>
      <c r="B54" s="193"/>
      <c r="C54" s="112"/>
      <c r="D54" s="183"/>
      <c r="E54" s="112"/>
      <c r="F54" s="111"/>
      <c r="G54" s="111"/>
      <c r="H54" s="116"/>
      <c r="I54" s="113"/>
      <c r="J54" s="111"/>
      <c r="K54" s="102"/>
      <c r="L54" s="111"/>
      <c r="M54" s="111"/>
      <c r="N54" s="111"/>
      <c r="O54" s="111"/>
      <c r="P54" s="111"/>
      <c r="Q54" s="111"/>
      <c r="R54" s="111"/>
      <c r="S54" s="111"/>
      <c r="T54" s="112"/>
      <c r="U54" s="111"/>
      <c r="V54" s="111"/>
      <c r="W54" s="112"/>
      <c r="X54" s="111"/>
      <c r="Y54" s="111"/>
      <c r="Z54" s="111"/>
      <c r="AA54" s="116"/>
      <c r="AB54" s="117"/>
      <c r="AC54" s="117"/>
      <c r="AD54" s="222"/>
      <c r="AE54" s="197"/>
      <c r="AF54" s="197"/>
    </row>
    <row r="55" customFormat="false" ht="11.1" hidden="false" customHeight="true" outlineLevel="0" collapsed="false">
      <c r="A55" s="183"/>
      <c r="B55" s="183"/>
      <c r="C55" s="112"/>
      <c r="D55" s="112"/>
      <c r="E55" s="112"/>
      <c r="F55" s="183"/>
      <c r="G55" s="183"/>
      <c r="H55" s="116"/>
      <c r="I55" s="183"/>
      <c r="J55" s="183"/>
      <c r="K55" s="183"/>
      <c r="L55" s="183"/>
      <c r="M55" s="181"/>
      <c r="N55" s="181"/>
      <c r="O55" s="181"/>
      <c r="P55" s="181"/>
      <c r="Q55" s="183"/>
      <c r="R55" s="183"/>
      <c r="S55" s="183"/>
      <c r="T55" s="112"/>
      <c r="U55" s="183"/>
      <c r="V55" s="183"/>
      <c r="W55" s="112"/>
      <c r="X55" s="183"/>
      <c r="Y55" s="183"/>
      <c r="Z55" s="183"/>
      <c r="AA55" s="116"/>
      <c r="AB55" s="117"/>
      <c r="AC55" s="117"/>
      <c r="AD55" s="222"/>
      <c r="AE55" s="213"/>
      <c r="AF55" s="213"/>
    </row>
    <row r="56" customFormat="false" ht="11.1" hidden="false" customHeight="true" outlineLevel="0" collapsed="false">
      <c r="A56" s="183"/>
      <c r="B56" s="115"/>
      <c r="C56" s="112"/>
      <c r="D56" s="112"/>
      <c r="E56" s="112"/>
      <c r="F56" s="183"/>
      <c r="G56" s="183"/>
      <c r="H56" s="116"/>
      <c r="I56" s="183"/>
      <c r="J56" s="183"/>
      <c r="K56" s="183"/>
      <c r="L56" s="183"/>
      <c r="M56" s="181"/>
      <c r="N56" s="181"/>
      <c r="O56" s="181"/>
      <c r="P56" s="183"/>
      <c r="Q56" s="183"/>
      <c r="R56" s="183"/>
      <c r="S56" s="112"/>
      <c r="T56" s="183"/>
      <c r="U56" s="183"/>
      <c r="V56" s="112"/>
      <c r="W56" s="183"/>
      <c r="X56" s="183"/>
      <c r="Y56" s="183"/>
      <c r="Z56" s="115"/>
      <c r="AA56" s="116"/>
      <c r="AB56" s="117"/>
      <c r="AC56" s="118"/>
      <c r="AD56" s="214"/>
      <c r="AE56" s="213"/>
    </row>
    <row r="57" customFormat="false" ht="11.1" hidden="false" customHeight="true" outlineLevel="0" collapsed="false">
      <c r="A57" s="183"/>
      <c r="B57" s="183"/>
      <c r="C57" s="112"/>
      <c r="D57" s="183"/>
      <c r="E57" s="112"/>
      <c r="F57" s="183"/>
      <c r="G57" s="194"/>
      <c r="H57" s="116"/>
      <c r="I57" s="183"/>
      <c r="J57" s="183"/>
      <c r="K57" s="183"/>
      <c r="L57" s="183"/>
      <c r="M57" s="181"/>
      <c r="N57" s="181"/>
      <c r="O57" s="181"/>
      <c r="P57" s="183"/>
      <c r="Q57" s="183"/>
      <c r="R57" s="183"/>
      <c r="S57" s="112"/>
      <c r="T57" s="183"/>
      <c r="U57" s="183"/>
      <c r="V57" s="112"/>
      <c r="W57" s="183"/>
      <c r="X57" s="183"/>
      <c r="Y57" s="183"/>
      <c r="Z57" s="115"/>
      <c r="AA57" s="116"/>
      <c r="AB57" s="117"/>
      <c r="AC57" s="118"/>
      <c r="AD57" s="214"/>
      <c r="AE57" s="213"/>
    </row>
  </sheetData>
  <mergeCells count="2">
    <mergeCell ref="K2:T2"/>
    <mergeCell ref="M5:P5"/>
  </mergeCells>
  <printOptions headings="true" gridLines="true" gridLinesSet="true" horizontalCentered="true" verticalCentered="false"/>
  <pageMargins left="0" right="0" top="0" bottom="0" header="0.511811023622047" footer="0.511811023622047"/>
  <pageSetup paperSize="5"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F57"/>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pane xSplit="1" ySplit="11" topLeftCell="B16" activePane="bottomRight" state="frozen"/>
      <selection pane="topLeft" activeCell="A1" activeCellId="0" sqref="A1"/>
      <selection pane="topRight" activeCell="B1" activeCellId="0" sqref="B1"/>
      <selection pane="bottomLeft" activeCell="A16" activeCellId="0" sqref="A16"/>
      <selection pane="bottomRight" activeCell="B30" activeCellId="1" sqref="AA13:AA42 B30"/>
    </sheetView>
  </sheetViews>
  <sheetFormatPr defaultColWidth="9.296875" defaultRowHeight="11.1" zeroHeight="false" outlineLevelRow="0" outlineLevelCol="0"/>
  <cols>
    <col collapsed="false" customWidth="true" hidden="false" outlineLevel="0" max="1" min="1" style="0" width="5.67"/>
    <col collapsed="false" customWidth="true" hidden="false" outlineLevel="0" max="2" min="2" style="0" width="7.49"/>
    <col collapsed="false" customWidth="true" hidden="false" outlineLevel="0" max="3" min="3" style="1" width="6.82"/>
    <col collapsed="false" customWidth="true" hidden="false" outlineLevel="0" max="4" min="4" style="0" width="6.99"/>
    <col collapsed="false" customWidth="true" hidden="false" outlineLevel="0" max="5" min="5" style="1" width="7.66"/>
    <col collapsed="false" customWidth="true" hidden="false" outlineLevel="0" max="6" min="6" style="0" width="7.66"/>
    <col collapsed="false" customWidth="true" hidden="false" outlineLevel="0" max="7" min="7" style="0" width="7.16"/>
    <col collapsed="false" customWidth="true" hidden="false" outlineLevel="0" max="8" min="8" style="237" width="6.66"/>
    <col collapsed="false" customWidth="true" hidden="false" outlineLevel="0" max="9" min="9" style="0" width="7.99"/>
    <col collapsed="false" customWidth="true" hidden="false" outlineLevel="0" max="11" min="10" style="0" width="6.66"/>
    <col collapsed="false" customWidth="true" hidden="false" outlineLevel="0" max="12" min="12" style="0" width="7.16"/>
    <col collapsed="false" customWidth="true" hidden="false" outlineLevel="0" max="13" min="13" style="3" width="6.16"/>
    <col collapsed="false" customWidth="true" hidden="false" outlineLevel="0" max="14" min="14" style="3" width="5.99"/>
    <col collapsed="false" customWidth="true" hidden="false" outlineLevel="0" max="15" min="15" style="3" width="6.49"/>
    <col collapsed="false" customWidth="true" hidden="false" outlineLevel="0" max="16" min="16" style="0" width="7.16"/>
    <col collapsed="false" customWidth="true" hidden="false" outlineLevel="0" max="18" min="17" style="0" width="5.49"/>
    <col collapsed="false" customWidth="true" hidden="false" outlineLevel="0" max="19" min="19" style="1" width="6.82"/>
    <col collapsed="false" customWidth="true" hidden="false" outlineLevel="0" max="20" min="20" style="3" width="6.49"/>
    <col collapsed="false" customWidth="true" hidden="false" outlineLevel="0" max="21" min="21" style="0" width="5.67"/>
    <col collapsed="false" customWidth="true" hidden="false" outlineLevel="0" max="22" min="22" style="1" width="6.16"/>
    <col collapsed="false" customWidth="true" hidden="false" outlineLevel="0" max="23" min="23" style="0" width="6.82"/>
    <col collapsed="false" customWidth="true" hidden="false" outlineLevel="0" max="25" min="24" style="0" width="7.82"/>
    <col collapsed="false" customWidth="true" hidden="false" outlineLevel="0" max="26" min="26" style="238" width="7.82"/>
    <col collapsed="false" customWidth="true" hidden="false" outlineLevel="0" max="27" min="27" style="239" width="5.32"/>
    <col collapsed="false" customWidth="true" hidden="false" outlineLevel="0" max="28" min="28" style="240" width="3.82"/>
    <col collapsed="false" customWidth="true" hidden="false" outlineLevel="0" max="29" min="29" style="241" width="3.82"/>
    <col collapsed="false" customWidth="true" hidden="false" outlineLevel="0" max="30" min="30" style="242" width="6.66"/>
    <col collapsed="false" customWidth="true" hidden="false" outlineLevel="0" max="31" min="31" style="243" width="5.99"/>
    <col collapsed="false" customWidth="true" hidden="false" outlineLevel="0" max="32" min="32" style="244" width="8.32"/>
  </cols>
  <sheetData>
    <row r="1" customFormat="false" ht="14.1" hidden="false" customHeight="true" outlineLevel="0" collapsed="false">
      <c r="A1" s="6"/>
      <c r="B1" s="6"/>
      <c r="C1" s="7"/>
      <c r="D1" s="6"/>
      <c r="E1" s="7"/>
      <c r="F1" s="89"/>
      <c r="G1" s="6"/>
      <c r="H1" s="8"/>
      <c r="I1" s="6"/>
      <c r="J1" s="6"/>
      <c r="K1" s="9" t="s">
        <v>76</v>
      </c>
      <c r="L1" s="6"/>
      <c r="M1" s="6"/>
      <c r="N1" s="6"/>
      <c r="O1" s="6"/>
      <c r="P1" s="6"/>
      <c r="Q1" s="6"/>
      <c r="R1" s="6"/>
      <c r="S1" s="7"/>
      <c r="T1" s="87"/>
      <c r="U1" s="6"/>
      <c r="V1" s="7"/>
      <c r="W1" s="6"/>
      <c r="X1" s="6"/>
      <c r="Y1" s="6"/>
      <c r="Z1" s="245"/>
      <c r="AA1" s="246"/>
      <c r="AB1" s="72"/>
      <c r="AC1" s="65"/>
      <c r="AD1" s="247"/>
      <c r="AE1" s="248"/>
    </row>
    <row r="2" customFormat="false" ht="14.1" hidden="false" customHeight="true" outlineLevel="0" collapsed="false">
      <c r="A2" s="6" t="s">
        <v>1</v>
      </c>
      <c r="B2" s="6"/>
      <c r="C2" s="7"/>
      <c r="D2" s="14" t="n">
        <v>1.9835</v>
      </c>
      <c r="E2" s="7"/>
      <c r="F2" s="89"/>
      <c r="G2" s="6"/>
      <c r="H2" s="8"/>
      <c r="I2" s="6"/>
      <c r="J2" s="6"/>
      <c r="K2" s="249" t="s">
        <v>77</v>
      </c>
      <c r="L2" s="250"/>
      <c r="M2" s="49"/>
      <c r="N2" s="49"/>
      <c r="O2" s="49"/>
      <c r="P2" s="49"/>
      <c r="Q2" s="49"/>
      <c r="R2" s="49"/>
      <c r="S2" s="64"/>
      <c r="T2" s="247"/>
      <c r="U2" s="49"/>
      <c r="V2" s="64"/>
      <c r="W2" s="6"/>
      <c r="X2" s="6"/>
      <c r="Y2" s="6"/>
      <c r="Z2" s="245"/>
      <c r="AA2" s="246"/>
      <c r="AB2" s="72"/>
      <c r="AC2" s="65"/>
      <c r="AD2" s="247"/>
      <c r="AE2" s="248"/>
    </row>
    <row r="3" customFormat="false" ht="14.1" hidden="false" customHeight="true" outlineLevel="0" collapsed="false">
      <c r="A3" s="6"/>
      <c r="B3" s="6"/>
      <c r="C3" s="7"/>
      <c r="D3" s="14"/>
      <c r="E3" s="7"/>
      <c r="F3" s="89"/>
      <c r="G3" s="6"/>
      <c r="H3" s="251"/>
      <c r="I3" s="6"/>
      <c r="J3" s="6"/>
      <c r="K3" s="252"/>
      <c r="L3" s="250"/>
      <c r="M3" s="49"/>
      <c r="N3" s="49"/>
      <c r="O3" s="49"/>
      <c r="P3" s="49"/>
      <c r="Q3" s="49"/>
      <c r="R3" s="49"/>
      <c r="S3" s="253"/>
      <c r="T3" s="247"/>
      <c r="U3" s="49"/>
      <c r="V3" s="64"/>
      <c r="W3" s="6"/>
      <c r="X3" s="6"/>
      <c r="Y3" s="6"/>
      <c r="Z3" s="245"/>
      <c r="AA3" s="246"/>
      <c r="AB3" s="72"/>
      <c r="AC3" s="65"/>
      <c r="AD3" s="247"/>
      <c r="AE3" s="248"/>
    </row>
    <row r="4" customFormat="false" ht="14.1" hidden="false" customHeight="true" outlineLevel="0" collapsed="false">
      <c r="A4" s="27"/>
      <c r="B4" s="24"/>
      <c r="C4" s="25"/>
      <c r="D4" s="254" t="s">
        <v>3</v>
      </c>
      <c r="E4" s="25"/>
      <c r="F4" s="27"/>
      <c r="G4" s="255"/>
      <c r="H4" s="256"/>
      <c r="I4" s="255"/>
      <c r="J4" s="255"/>
      <c r="K4" s="255"/>
      <c r="L4" s="255"/>
      <c r="M4" s="255"/>
      <c r="N4" s="255"/>
      <c r="O4" s="255"/>
      <c r="P4" s="255"/>
      <c r="Q4" s="257"/>
      <c r="R4" s="255"/>
      <c r="S4" s="258" t="s">
        <v>4</v>
      </c>
      <c r="T4" s="259"/>
      <c r="U4" s="255"/>
      <c r="V4" s="25"/>
      <c r="W4" s="255"/>
      <c r="X4" s="255"/>
      <c r="Y4" s="255"/>
      <c r="Z4" s="260"/>
      <c r="AA4" s="29"/>
      <c r="AB4" s="261" t="s">
        <v>5</v>
      </c>
      <c r="AC4" s="31"/>
      <c r="AD4" s="262"/>
      <c r="AE4" s="263"/>
      <c r="AF4" s="264"/>
    </row>
    <row r="5" customFormat="false" ht="11.1" hidden="false" customHeight="true" outlineLevel="0" collapsed="false">
      <c r="A5" s="32" t="s">
        <v>6</v>
      </c>
      <c r="B5" s="33" t="s">
        <v>7</v>
      </c>
      <c r="C5" s="34" t="s">
        <v>7</v>
      </c>
      <c r="D5" s="35" t="s">
        <v>8</v>
      </c>
      <c r="E5" s="34" t="s">
        <v>9</v>
      </c>
      <c r="F5" s="36" t="s">
        <v>10</v>
      </c>
      <c r="G5" s="265" t="s">
        <v>11</v>
      </c>
      <c r="H5" s="266" t="s">
        <v>12</v>
      </c>
      <c r="I5" s="265" t="s">
        <v>13</v>
      </c>
      <c r="J5" s="265" t="s">
        <v>14</v>
      </c>
      <c r="K5" s="265" t="s">
        <v>15</v>
      </c>
      <c r="L5" s="32" t="s">
        <v>14</v>
      </c>
      <c r="M5" s="38" t="s">
        <v>16</v>
      </c>
      <c r="N5" s="38"/>
      <c r="O5" s="38"/>
      <c r="P5" s="38"/>
      <c r="Q5" s="32" t="s">
        <v>17</v>
      </c>
      <c r="R5" s="32" t="s">
        <v>18</v>
      </c>
      <c r="S5" s="267" t="s">
        <v>15</v>
      </c>
      <c r="T5" s="268" t="s">
        <v>19</v>
      </c>
      <c r="U5" s="32" t="s">
        <v>20</v>
      </c>
      <c r="V5" s="32" t="s">
        <v>21</v>
      </c>
      <c r="W5" s="39" t="s">
        <v>22</v>
      </c>
      <c r="X5" s="32" t="s">
        <v>13</v>
      </c>
      <c r="Y5" s="32" t="s">
        <v>14</v>
      </c>
      <c r="Z5" s="35" t="s">
        <v>15</v>
      </c>
      <c r="AA5" s="40" t="s">
        <v>23</v>
      </c>
      <c r="AB5" s="41" t="s">
        <v>24</v>
      </c>
      <c r="AC5" s="42" t="s">
        <v>25</v>
      </c>
      <c r="AD5" s="268" t="s">
        <v>64</v>
      </c>
      <c r="AE5" s="269" t="s">
        <v>65</v>
      </c>
      <c r="AF5" s="269" t="s">
        <v>65</v>
      </c>
    </row>
    <row r="6" customFormat="false" ht="11.1" hidden="false" customHeight="true" outlineLevel="0" collapsed="false">
      <c r="A6" s="44" t="s">
        <v>78</v>
      </c>
      <c r="B6" s="33" t="s">
        <v>28</v>
      </c>
      <c r="C6" s="34" t="s">
        <v>8</v>
      </c>
      <c r="D6" s="35" t="s">
        <v>29</v>
      </c>
      <c r="E6" s="34" t="s">
        <v>30</v>
      </c>
      <c r="F6" s="36" t="s">
        <v>31</v>
      </c>
      <c r="G6" s="265" t="s">
        <v>32</v>
      </c>
      <c r="H6" s="266" t="s">
        <v>33</v>
      </c>
      <c r="I6" s="265" t="s">
        <v>34</v>
      </c>
      <c r="J6" s="265" t="s">
        <v>34</v>
      </c>
      <c r="K6" s="265" t="s">
        <v>34</v>
      </c>
      <c r="L6" s="32" t="s">
        <v>35</v>
      </c>
      <c r="M6" s="45" t="s">
        <v>36</v>
      </c>
      <c r="N6" s="35" t="s">
        <v>37</v>
      </c>
      <c r="O6" s="35" t="s">
        <v>38</v>
      </c>
      <c r="P6" s="270" t="s">
        <v>79</v>
      </c>
      <c r="Q6" s="32" t="s">
        <v>40</v>
      </c>
      <c r="R6" s="32" t="s">
        <v>41</v>
      </c>
      <c r="S6" s="32" t="s">
        <v>19</v>
      </c>
      <c r="T6" s="268" t="s">
        <v>80</v>
      </c>
      <c r="U6" s="32" t="s">
        <v>43</v>
      </c>
      <c r="V6" s="32" t="s">
        <v>44</v>
      </c>
      <c r="W6" s="39" t="s">
        <v>45</v>
      </c>
      <c r="X6" s="32" t="s">
        <v>46</v>
      </c>
      <c r="Y6" s="32" t="s">
        <v>46</v>
      </c>
      <c r="Z6" s="35" t="s">
        <v>46</v>
      </c>
      <c r="AA6" s="47"/>
      <c r="AB6" s="41" t="s">
        <v>47</v>
      </c>
      <c r="AC6" s="42" t="s">
        <v>47</v>
      </c>
      <c r="AD6" s="268" t="s">
        <v>42</v>
      </c>
      <c r="AE6" s="269" t="s">
        <v>42</v>
      </c>
      <c r="AF6" s="269" t="s">
        <v>42</v>
      </c>
    </row>
    <row r="7" customFormat="false" ht="11.1" hidden="false" customHeight="true" outlineLevel="0" collapsed="false">
      <c r="A7" s="49"/>
      <c r="B7" s="50"/>
      <c r="C7" s="51"/>
      <c r="D7" s="52"/>
      <c r="E7" s="53" t="s">
        <v>48</v>
      </c>
      <c r="F7" s="54"/>
      <c r="G7" s="49"/>
      <c r="H7" s="55"/>
      <c r="I7" s="49"/>
      <c r="J7" s="49"/>
      <c r="K7" s="49"/>
      <c r="L7" s="49"/>
      <c r="M7" s="56"/>
      <c r="N7" s="52"/>
      <c r="O7" s="52"/>
      <c r="P7" s="57"/>
      <c r="Q7" s="49"/>
      <c r="R7" s="49"/>
      <c r="S7" s="49"/>
      <c r="T7" s="271" t="s">
        <v>81</v>
      </c>
      <c r="U7" s="49"/>
      <c r="V7" s="49"/>
      <c r="W7" s="64"/>
      <c r="X7" s="49"/>
      <c r="Y7" s="49"/>
      <c r="Z7" s="52"/>
      <c r="AA7" s="60"/>
      <c r="AB7" s="61" t="s">
        <v>50</v>
      </c>
      <c r="AC7" s="62"/>
      <c r="AD7" s="271" t="s">
        <v>48</v>
      </c>
      <c r="AE7" s="269" t="s">
        <v>82</v>
      </c>
      <c r="AF7" s="269" t="s">
        <v>83</v>
      </c>
    </row>
    <row r="8" customFormat="false" ht="11.1" hidden="false" customHeight="true" outlineLevel="0" collapsed="false">
      <c r="A8" s="49"/>
      <c r="B8" s="50"/>
      <c r="C8" s="51"/>
      <c r="D8" s="52"/>
      <c r="E8" s="53"/>
      <c r="F8" s="54"/>
      <c r="G8" s="49"/>
      <c r="H8" s="55"/>
      <c r="I8" s="49"/>
      <c r="J8" s="49"/>
      <c r="K8" s="49"/>
      <c r="L8" s="49"/>
      <c r="M8" s="56"/>
      <c r="N8" s="52"/>
      <c r="O8" s="52"/>
      <c r="P8" s="57"/>
      <c r="Q8" s="49"/>
      <c r="R8" s="49"/>
      <c r="S8" s="49"/>
      <c r="T8" s="247"/>
      <c r="U8" s="49"/>
      <c r="V8" s="49"/>
      <c r="W8" s="64" t="n">
        <f aca="false">14324+1200+150+100+573</f>
        <v>16347</v>
      </c>
      <c r="X8" s="49"/>
      <c r="Y8" s="49"/>
      <c r="Z8" s="52"/>
      <c r="AA8" s="60"/>
      <c r="AB8" s="61"/>
      <c r="AC8" s="62"/>
      <c r="AD8" s="271"/>
      <c r="AE8" s="269"/>
      <c r="AF8" s="269"/>
    </row>
    <row r="9" customFormat="false" ht="11.1" hidden="false" customHeight="true" outlineLevel="0" collapsed="false">
      <c r="A9" s="6" t="s">
        <v>52</v>
      </c>
      <c r="B9" s="66"/>
      <c r="C9" s="67"/>
      <c r="D9" s="67"/>
      <c r="E9" s="67"/>
      <c r="F9" s="68"/>
      <c r="G9" s="7"/>
      <c r="H9" s="12"/>
      <c r="I9" s="7"/>
      <c r="J9" s="7"/>
      <c r="K9" s="7"/>
      <c r="L9" s="7"/>
      <c r="M9" s="69" t="n">
        <f aca="false">MAR!M47</f>
        <v>69.98</v>
      </c>
      <c r="N9" s="67"/>
      <c r="O9" s="67" t="n">
        <f aca="false">MAR!O47</f>
        <v>1.6275</v>
      </c>
      <c r="P9" s="70" t="n">
        <f aca="false">MAR!P47</f>
        <v>68</v>
      </c>
      <c r="Q9" s="7"/>
      <c r="R9" s="7"/>
      <c r="S9" s="7"/>
      <c r="T9" s="87" t="n">
        <v>0</v>
      </c>
      <c r="U9" s="7"/>
      <c r="V9" s="7"/>
      <c r="W9" s="7"/>
      <c r="X9" s="7"/>
      <c r="Y9" s="7"/>
      <c r="Z9" s="67"/>
      <c r="AA9" s="60"/>
      <c r="AB9" s="72"/>
      <c r="AC9" s="73"/>
      <c r="AD9" s="87"/>
      <c r="AE9" s="248"/>
    </row>
    <row r="10" s="1" customFormat="true" ht="11.1" hidden="false" customHeight="true" outlineLevel="0" collapsed="false">
      <c r="A10" s="7" t="s">
        <v>53</v>
      </c>
      <c r="B10" s="74" t="n">
        <f aca="false">MAR!B42</f>
        <v>6864.2</v>
      </c>
      <c r="C10" s="67" t="n">
        <f aca="false">MAR!C42</f>
        <v>172985</v>
      </c>
      <c r="D10" s="67" t="n">
        <f aca="false">MAR!D51</f>
        <v>16418</v>
      </c>
      <c r="E10" s="67" t="n">
        <f aca="false">MAR!E51</f>
        <v>20985</v>
      </c>
      <c r="F10" s="68" t="n">
        <f aca="false">MAR!F50</f>
        <v>8277.28762288883</v>
      </c>
      <c r="G10" s="7" t="n">
        <f aca="false">MAR!G50</f>
        <v>7554</v>
      </c>
      <c r="H10" s="12" t="n">
        <f aca="false">MAR!H50</f>
        <v>282.74</v>
      </c>
      <c r="I10" s="7" t="n">
        <f aca="false">MAR!I50</f>
        <v>7836.74</v>
      </c>
      <c r="J10" s="7" t="n">
        <f aca="false">MAR!J50</f>
        <v>4478.75377111167</v>
      </c>
      <c r="K10" s="7" t="n">
        <f aca="false">MAR!K50</f>
        <v>12315.4937711117</v>
      </c>
      <c r="L10" s="7" t="n">
        <f aca="false">MAR!L50</f>
        <v>3844.23762288882</v>
      </c>
      <c r="M10" s="69" t="n">
        <f aca="false">MAR!M50</f>
        <v>1026.8</v>
      </c>
      <c r="N10" s="67" t="n">
        <f aca="false">MAR!N50</f>
        <v>0</v>
      </c>
      <c r="O10" s="67" t="n">
        <f aca="false">MAR!O50</f>
        <v>1.6275</v>
      </c>
      <c r="P10" s="70" t="n">
        <f aca="false">MAR!P50</f>
        <v>1025.1725</v>
      </c>
      <c r="Q10" s="7" t="n">
        <f aca="false">MAR!Q50</f>
        <v>62</v>
      </c>
      <c r="R10" s="7" t="n">
        <f aca="false">MAR!R50</f>
        <v>51</v>
      </c>
      <c r="S10" s="7" t="n">
        <f aca="false">MAR!S50</f>
        <v>1138.1725</v>
      </c>
      <c r="T10" s="87"/>
      <c r="U10" s="7" t="n">
        <f aca="false">MAR!U50</f>
        <v>0</v>
      </c>
      <c r="V10" s="7" t="n">
        <f aca="false">MAR!V50</f>
        <v>2263.89</v>
      </c>
      <c r="W10" s="7" t="n">
        <f aca="false">W8/D2</f>
        <v>8241.49231157046</v>
      </c>
      <c r="X10" s="7" t="n">
        <f aca="false">MAR!X50</f>
        <v>3403.69</v>
      </c>
      <c r="Y10" s="7" t="n">
        <f aca="false">MAR!Y50</f>
        <v>634.516148222838</v>
      </c>
      <c r="Z10" s="67" t="n">
        <f aca="false">MAR!Z50</f>
        <v>4038.20614822284</v>
      </c>
      <c r="AA10" s="60" t="n">
        <f aca="false">MAR!AA50</f>
        <v>7.04</v>
      </c>
      <c r="AB10" s="72"/>
      <c r="AC10" s="73"/>
      <c r="AD10" s="87" t="n">
        <f aca="false">MAR!AD42</f>
        <v>5242.88935025</v>
      </c>
      <c r="AE10" s="248"/>
      <c r="AF10" s="269"/>
    </row>
    <row r="11" customFormat="false" ht="3" hidden="false" customHeight="true" outlineLevel="0" collapsed="false">
      <c r="A11" s="75"/>
      <c r="B11" s="76"/>
      <c r="C11" s="77"/>
      <c r="D11" s="75"/>
      <c r="E11" s="77"/>
      <c r="F11" s="78"/>
      <c r="G11" s="75"/>
      <c r="H11" s="79"/>
      <c r="I11" s="75"/>
      <c r="J11" s="75"/>
      <c r="K11" s="75"/>
      <c r="L11" s="75"/>
      <c r="M11" s="80"/>
      <c r="N11" s="75"/>
      <c r="O11" s="75"/>
      <c r="P11" s="81"/>
      <c r="Q11" s="75"/>
      <c r="R11" s="75"/>
      <c r="S11" s="75"/>
      <c r="T11" s="272"/>
      <c r="U11" s="75"/>
      <c r="V11" s="75"/>
      <c r="W11" s="77"/>
      <c r="X11" s="75"/>
      <c r="Y11" s="75"/>
      <c r="Z11" s="75"/>
      <c r="AA11" s="82"/>
      <c r="AB11" s="83"/>
      <c r="AC11" s="84"/>
      <c r="AD11" s="272"/>
      <c r="AE11" s="273"/>
      <c r="AF11" s="274"/>
    </row>
    <row r="12" customFormat="false" ht="11.1" hidden="false" customHeight="true" outlineLevel="0" collapsed="false">
      <c r="A12" s="13" t="n">
        <v>1</v>
      </c>
      <c r="B12" s="74" t="n">
        <v>6864.44</v>
      </c>
      <c r="C12" s="67" t="n">
        <v>173574</v>
      </c>
      <c r="D12" s="72" t="n">
        <f aca="false">C12-C10</f>
        <v>589</v>
      </c>
      <c r="E12" s="67" t="n">
        <f aca="false">C12-152000</f>
        <v>21574</v>
      </c>
      <c r="F12" s="86" t="n">
        <f aca="false">D12/$D$2</f>
        <v>296.949836148223</v>
      </c>
      <c r="G12" s="6" t="n">
        <v>146</v>
      </c>
      <c r="H12" s="8" t="n">
        <v>12</v>
      </c>
      <c r="I12" s="6" t="n">
        <f aca="false">G12+H12</f>
        <v>158</v>
      </c>
      <c r="J12" s="275" t="n">
        <f aca="false">IF(L12&gt;0,L12,0)</f>
        <v>170.949836148223</v>
      </c>
      <c r="K12" s="6" t="n">
        <f aca="false">I12+J12</f>
        <v>328.949836148223</v>
      </c>
      <c r="L12" s="6" t="n">
        <f aca="false">F12-(I12-X12)</f>
        <v>170.949836148223</v>
      </c>
      <c r="M12" s="88" t="n">
        <v>14</v>
      </c>
      <c r="N12" s="89" t="n">
        <v>0</v>
      </c>
      <c r="O12" s="89" t="n">
        <f aca="false">6.06*1.05</f>
        <v>6.363</v>
      </c>
      <c r="P12" s="90" t="n">
        <f aca="false">M12-(N12+O12)</f>
        <v>7.637</v>
      </c>
      <c r="Q12" s="6" t="n">
        <v>0</v>
      </c>
      <c r="R12" s="6" t="n">
        <v>0</v>
      </c>
      <c r="S12" s="6" t="n">
        <f aca="false">SUM(P12:R12)</f>
        <v>7.637</v>
      </c>
      <c r="T12" s="87" t="n">
        <f aca="false">T9+AE12</f>
        <v>0</v>
      </c>
      <c r="U12" s="6" t="n">
        <v>0</v>
      </c>
      <c r="V12" s="276" t="n">
        <v>18</v>
      </c>
      <c r="W12" s="277" t="n">
        <f aca="false">W10-V12</f>
        <v>8223.49231157046</v>
      </c>
      <c r="X12" s="6" t="n">
        <f aca="false">N12+O12+S12+U12+V12</f>
        <v>32</v>
      </c>
      <c r="Y12" s="6" t="n">
        <f aca="false">IF(L12&lt;0,L12*-1,0)</f>
        <v>0</v>
      </c>
      <c r="Z12" s="89" t="n">
        <f aca="false">X12+Y12</f>
        <v>32</v>
      </c>
      <c r="AA12" s="60" t="n">
        <v>0</v>
      </c>
      <c r="AB12" s="72" t="n">
        <v>66</v>
      </c>
      <c r="AC12" s="73" t="n">
        <v>33</v>
      </c>
      <c r="AD12" s="87" t="n">
        <f aca="false">AD10+(G12+H12-8-3.35-0)*1.9835</f>
        <v>5533.76962525</v>
      </c>
      <c r="AE12" s="10" t="n">
        <v>0</v>
      </c>
      <c r="AF12" s="278"/>
    </row>
    <row r="13" customFormat="false" ht="11.1" hidden="false" customHeight="true" outlineLevel="0" collapsed="false">
      <c r="A13" s="13" t="n">
        <f aca="false">A12+1</f>
        <v>2</v>
      </c>
      <c r="B13" s="74" t="n">
        <v>6864.65</v>
      </c>
      <c r="C13" s="67" t="n">
        <v>174090</v>
      </c>
      <c r="D13" s="72" t="n">
        <f aca="false">C13-C12</f>
        <v>516</v>
      </c>
      <c r="E13" s="67" t="n">
        <f aca="false">C13-152000</f>
        <v>22090</v>
      </c>
      <c r="F13" s="86" t="n">
        <f aca="false">D13/$D$2</f>
        <v>260.14620620116</v>
      </c>
      <c r="G13" s="6" t="n">
        <v>176</v>
      </c>
      <c r="H13" s="8" t="n">
        <v>16</v>
      </c>
      <c r="I13" s="6" t="n">
        <f aca="false">G13+H13</f>
        <v>192</v>
      </c>
      <c r="J13" s="275" t="n">
        <f aca="false">IF(L13&gt;0,L13,0)</f>
        <v>123.14620620116</v>
      </c>
      <c r="K13" s="6" t="n">
        <f aca="false">I13+J13</f>
        <v>315.14620620116</v>
      </c>
      <c r="L13" s="6" t="n">
        <f aca="false">F13-(I13-X13)</f>
        <v>123.14620620116</v>
      </c>
      <c r="M13" s="88" t="n">
        <v>37</v>
      </c>
      <c r="N13" s="89" t="n">
        <v>0</v>
      </c>
      <c r="O13" s="89" t="n">
        <f aca="false">10.33*1.05</f>
        <v>10.8465</v>
      </c>
      <c r="P13" s="90" t="n">
        <f aca="false">M13-(N13+O13)</f>
        <v>26.1535</v>
      </c>
      <c r="Q13" s="6" t="n">
        <v>0</v>
      </c>
      <c r="R13" s="6" t="n">
        <v>0</v>
      </c>
      <c r="S13" s="6" t="n">
        <f aca="false">SUM(P13:R13)</f>
        <v>26.1535</v>
      </c>
      <c r="T13" s="87" t="n">
        <f aca="false">T12+AE13</f>
        <v>0</v>
      </c>
      <c r="U13" s="6" t="n">
        <v>0</v>
      </c>
      <c r="V13" s="276" t="n">
        <v>18</v>
      </c>
      <c r="W13" s="277" t="n">
        <f aca="false">W12-V13</f>
        <v>8205.49231157046</v>
      </c>
      <c r="X13" s="6" t="n">
        <f aca="false">N13+O13+S13+U13+V13</f>
        <v>55</v>
      </c>
      <c r="Y13" s="6" t="n">
        <f aca="false">IF(L13&lt;0,L13*-1,0)</f>
        <v>0</v>
      </c>
      <c r="Z13" s="89" t="n">
        <f aca="false">X13+Y13</f>
        <v>55</v>
      </c>
      <c r="AA13" s="60" t="n">
        <v>0</v>
      </c>
      <c r="AB13" s="72" t="n">
        <v>59</v>
      </c>
      <c r="AC13" s="73" t="n">
        <v>37</v>
      </c>
      <c r="AD13" s="87" t="n">
        <f aca="false">AD12+(G13+H13-8-3.35-17.4)*1.9835</f>
        <v>5857.57600025</v>
      </c>
      <c r="AE13" s="10" t="n">
        <v>0</v>
      </c>
      <c r="AF13" s="278"/>
    </row>
    <row r="14" customFormat="false" ht="11.1" hidden="false" customHeight="true" outlineLevel="0" collapsed="false">
      <c r="A14" s="13" t="n">
        <f aca="false">A13+1</f>
        <v>3</v>
      </c>
      <c r="B14" s="74" t="n">
        <v>6864.87</v>
      </c>
      <c r="C14" s="67" t="n">
        <v>174631</v>
      </c>
      <c r="D14" s="72" t="n">
        <f aca="false">C14-C13</f>
        <v>541</v>
      </c>
      <c r="E14" s="67" t="n">
        <f aca="false">C14-152000</f>
        <v>22631</v>
      </c>
      <c r="F14" s="86" t="n">
        <f aca="false">D14/$D$2</f>
        <v>272.750189059743</v>
      </c>
      <c r="G14" s="6" t="n">
        <v>158</v>
      </c>
      <c r="H14" s="8" t="n">
        <v>12</v>
      </c>
      <c r="I14" s="6" t="n">
        <f aca="false">G14+H14</f>
        <v>170</v>
      </c>
      <c r="J14" s="275" t="n">
        <f aca="false">IF(L14&gt;0,L14,0)</f>
        <v>181.750189059743</v>
      </c>
      <c r="K14" s="6" t="n">
        <f aca="false">I14+J14</f>
        <v>351.750189059743</v>
      </c>
      <c r="L14" s="6" t="n">
        <f aca="false">F14-(I14-X14)</f>
        <v>181.750189059743</v>
      </c>
      <c r="M14" s="88" t="n">
        <v>61</v>
      </c>
      <c r="N14" s="89" t="n">
        <v>0</v>
      </c>
      <c r="O14" s="89" t="n">
        <f aca="false">(4.76+7.06)*1.05</f>
        <v>12.411</v>
      </c>
      <c r="P14" s="90" t="n">
        <f aca="false">M14-(N14+O14)</f>
        <v>48.589</v>
      </c>
      <c r="Q14" s="6" t="n">
        <v>0</v>
      </c>
      <c r="R14" s="6" t="n">
        <v>0</v>
      </c>
      <c r="S14" s="6" t="n">
        <f aca="false">SUM(P14:R14)</f>
        <v>48.589</v>
      </c>
      <c r="T14" s="87" t="n">
        <f aca="false">T13+AE14</f>
        <v>0</v>
      </c>
      <c r="U14" s="6" t="n">
        <v>0</v>
      </c>
      <c r="V14" s="276" t="n">
        <v>18</v>
      </c>
      <c r="W14" s="277" t="n">
        <f aca="false">W13-V14</f>
        <v>8187.49231157046</v>
      </c>
      <c r="X14" s="6" t="n">
        <f aca="false">N14+O14+S14+U14+V14</f>
        <v>79</v>
      </c>
      <c r="Y14" s="6" t="n">
        <f aca="false">IF(L14&lt;0,L14*-1,0)</f>
        <v>0</v>
      </c>
      <c r="Z14" s="89" t="n">
        <f aca="false">X14+Y14</f>
        <v>79</v>
      </c>
      <c r="AA14" s="60" t="n">
        <v>0</v>
      </c>
      <c r="AB14" s="72" t="n">
        <v>47</v>
      </c>
      <c r="AC14" s="73" t="n">
        <v>26</v>
      </c>
      <c r="AD14" s="87" t="n">
        <f aca="false">AD13+(G14+H14-8-3.35-38.1)*1.9835</f>
        <v>6096.68692525</v>
      </c>
      <c r="AE14" s="10" t="n">
        <v>0</v>
      </c>
      <c r="AF14" s="278"/>
    </row>
    <row r="15" customFormat="false" ht="11.1" hidden="false" customHeight="true" outlineLevel="0" collapsed="false">
      <c r="A15" s="13" t="n">
        <f aca="false">A14+1</f>
        <v>4</v>
      </c>
      <c r="B15" s="74" t="n">
        <v>6864.99</v>
      </c>
      <c r="C15" s="67" t="n">
        <v>174925</v>
      </c>
      <c r="D15" s="72" t="n">
        <f aca="false">C15-C14</f>
        <v>294</v>
      </c>
      <c r="E15" s="67" t="n">
        <f aca="false">C15-152000</f>
        <v>22925</v>
      </c>
      <c r="F15" s="86" t="n">
        <f aca="false">D15/$D$2</f>
        <v>148.22283841694</v>
      </c>
      <c r="G15" s="6" t="n">
        <v>133</v>
      </c>
      <c r="H15" s="8" t="n">
        <v>9.3</v>
      </c>
      <c r="I15" s="6" t="n">
        <f aca="false">G15+H15</f>
        <v>142.3</v>
      </c>
      <c r="J15" s="275" t="n">
        <f aca="false">IF(L15&gt;0,L15,0)</f>
        <v>68.9228384169397</v>
      </c>
      <c r="K15" s="6" t="n">
        <f aca="false">I15+J15</f>
        <v>211.22283841694</v>
      </c>
      <c r="L15" s="6" t="n">
        <f aca="false">F15-(I15-X15)</f>
        <v>68.9228384169397</v>
      </c>
      <c r="M15" s="88" t="n">
        <v>45</v>
      </c>
      <c r="N15" s="89" t="n">
        <v>0</v>
      </c>
      <c r="O15" s="89" t="n">
        <f aca="false">19.23*1.05</f>
        <v>20.1915</v>
      </c>
      <c r="P15" s="90" t="n">
        <f aca="false">M15-(N15+O15)</f>
        <v>24.8085</v>
      </c>
      <c r="Q15" s="6" t="n">
        <v>0</v>
      </c>
      <c r="R15" s="6" t="n">
        <v>0</v>
      </c>
      <c r="S15" s="6" t="n">
        <f aca="false">SUM(P15:R15)</f>
        <v>24.8085</v>
      </c>
      <c r="T15" s="87" t="n">
        <f aca="false">T14+AE15</f>
        <v>0</v>
      </c>
      <c r="U15" s="6" t="n">
        <v>0</v>
      </c>
      <c r="V15" s="276" t="n">
        <v>18</v>
      </c>
      <c r="W15" s="277" t="n">
        <f aca="false">W14-V15</f>
        <v>8169.49231157046</v>
      </c>
      <c r="X15" s="6" t="n">
        <f aca="false">N15+O15+S15+U15+V15</f>
        <v>63</v>
      </c>
      <c r="Y15" s="6" t="n">
        <f aca="false">IF(L15&lt;0,L15*-1,0)</f>
        <v>0</v>
      </c>
      <c r="Z15" s="89" t="n">
        <f aca="false">X15+Y15</f>
        <v>63</v>
      </c>
      <c r="AA15" s="60" t="n">
        <v>0</v>
      </c>
      <c r="AB15" s="72" t="n">
        <v>47</v>
      </c>
      <c r="AC15" s="73" t="n">
        <v>22</v>
      </c>
      <c r="AD15" s="87" t="n">
        <f aca="false">AD14+(G15+H15-8-3.35-13.8)*1.9835</f>
        <v>6329.05395025</v>
      </c>
      <c r="AE15" s="10" t="n">
        <v>0</v>
      </c>
      <c r="AF15" s="278"/>
    </row>
    <row r="16" customFormat="false" ht="11.1" hidden="false" customHeight="true" outlineLevel="0" collapsed="false">
      <c r="A16" s="13" t="n">
        <f aca="false">A15+1</f>
        <v>5</v>
      </c>
      <c r="B16" s="74" t="n">
        <v>6865.15</v>
      </c>
      <c r="C16" s="67" t="n">
        <v>175324</v>
      </c>
      <c r="D16" s="72" t="n">
        <f aca="false">C16-C15</f>
        <v>399</v>
      </c>
      <c r="E16" s="67" t="n">
        <f aca="false">C16-152000</f>
        <v>23324</v>
      </c>
      <c r="F16" s="86" t="n">
        <f aca="false">D16/$D$2</f>
        <v>201.15956642299</v>
      </c>
      <c r="G16" s="6" t="n">
        <v>136</v>
      </c>
      <c r="H16" s="8" t="n">
        <v>8.4</v>
      </c>
      <c r="I16" s="6" t="n">
        <f aca="false">G16+H16</f>
        <v>144.4</v>
      </c>
      <c r="J16" s="275" t="n">
        <f aca="false">IF(L16&gt;0,L16,0)</f>
        <v>93.7595664229896</v>
      </c>
      <c r="K16" s="6" t="n">
        <f aca="false">I16+J16</f>
        <v>238.15956642299</v>
      </c>
      <c r="L16" s="6" t="n">
        <f aca="false">F16-(I16-X16)</f>
        <v>93.7595664229896</v>
      </c>
      <c r="M16" s="88" t="n">
        <v>19</v>
      </c>
      <c r="N16" s="89" t="n">
        <v>0</v>
      </c>
      <c r="O16" s="89" t="n">
        <f aca="false">17.6*1.05</f>
        <v>18.48</v>
      </c>
      <c r="P16" s="90" t="n">
        <f aca="false">M16-(N16+O16)</f>
        <v>0.519999999999996</v>
      </c>
      <c r="Q16" s="6" t="n">
        <v>0</v>
      </c>
      <c r="R16" s="6" t="n">
        <v>0</v>
      </c>
      <c r="S16" s="6" t="n">
        <f aca="false">SUM(P16:R16)</f>
        <v>0.519999999999996</v>
      </c>
      <c r="T16" s="87" t="n">
        <f aca="false">T15+AE16</f>
        <v>0</v>
      </c>
      <c r="U16" s="6" t="n">
        <v>0</v>
      </c>
      <c r="V16" s="276" t="n">
        <v>18</v>
      </c>
      <c r="W16" s="277" t="n">
        <f aca="false">W15-V16</f>
        <v>8151.49231157046</v>
      </c>
      <c r="X16" s="6" t="n">
        <f aca="false">N16+O16+S16+U16+V16</f>
        <v>37</v>
      </c>
      <c r="Y16" s="6" t="n">
        <f aca="false">IF(L16&lt;0,L16*-1,0)</f>
        <v>0</v>
      </c>
      <c r="Z16" s="89" t="n">
        <f aca="false">X16+Y16</f>
        <v>37</v>
      </c>
      <c r="AA16" s="60" t="n">
        <v>0.03</v>
      </c>
      <c r="AB16" s="72" t="n">
        <v>47</v>
      </c>
      <c r="AC16" s="73" t="n">
        <v>27</v>
      </c>
      <c r="AD16" s="87" t="n">
        <f aca="false">AD15+(G16+H16-8-3.35-1.5)*1.9835</f>
        <v>6589.98337525</v>
      </c>
      <c r="AE16" s="10" t="n">
        <v>0</v>
      </c>
      <c r="AF16" s="278"/>
    </row>
    <row r="17" customFormat="false" ht="11.1" hidden="false" customHeight="true" outlineLevel="0" collapsed="false">
      <c r="A17" s="13" t="n">
        <f aca="false">A16+1</f>
        <v>6</v>
      </c>
      <c r="B17" s="74" t="n">
        <v>6865.32</v>
      </c>
      <c r="C17" s="67" t="n">
        <v>175749</v>
      </c>
      <c r="D17" s="72" t="n">
        <f aca="false">C17-C16</f>
        <v>425</v>
      </c>
      <c r="E17" s="67" t="n">
        <f aca="false">C17-152000</f>
        <v>23749</v>
      </c>
      <c r="F17" s="86" t="n">
        <f aca="false">D17/$D$2</f>
        <v>214.267708595916</v>
      </c>
      <c r="G17" s="6" t="n">
        <v>132</v>
      </c>
      <c r="H17" s="8" t="n">
        <v>7.3</v>
      </c>
      <c r="I17" s="6" t="n">
        <f aca="false">G17+H17</f>
        <v>139.3</v>
      </c>
      <c r="J17" s="275" t="n">
        <f aca="false">IF(L17&gt;0,L17,0)</f>
        <v>107.967708595916</v>
      </c>
      <c r="K17" s="6" t="n">
        <f aca="false">I17+J17</f>
        <v>247.267708595916</v>
      </c>
      <c r="L17" s="6" t="n">
        <f aca="false">F17-(I17-X17)</f>
        <v>107.967708595916</v>
      </c>
      <c r="M17" s="88" t="n">
        <v>15</v>
      </c>
      <c r="N17" s="89" t="n">
        <v>0</v>
      </c>
      <c r="O17" s="89" t="n">
        <f aca="false">15.78*1.05</f>
        <v>16.569</v>
      </c>
      <c r="P17" s="90" t="n">
        <f aca="false">M17-(N17+O17)</f>
        <v>-1.569</v>
      </c>
      <c r="Q17" s="6" t="n">
        <v>0</v>
      </c>
      <c r="R17" s="6" t="n">
        <v>0</v>
      </c>
      <c r="S17" s="6" t="n">
        <f aca="false">SUM(P17:R17)</f>
        <v>-1.569</v>
      </c>
      <c r="T17" s="87" t="n">
        <f aca="false">T16+AE17</f>
        <v>0</v>
      </c>
      <c r="U17" s="6" t="n">
        <v>0</v>
      </c>
      <c r="V17" s="276" t="n">
        <v>18</v>
      </c>
      <c r="W17" s="277" t="n">
        <f aca="false">W16-V17</f>
        <v>8133.49231157046</v>
      </c>
      <c r="X17" s="6" t="n">
        <f aca="false">N17+O17+S17+U17+V17</f>
        <v>33</v>
      </c>
      <c r="Y17" s="6" t="n">
        <f aca="false">IF(L17&lt;0,L17*-1,0)</f>
        <v>0</v>
      </c>
      <c r="Z17" s="89" t="n">
        <f aca="false">X17+Y17</f>
        <v>33</v>
      </c>
      <c r="AA17" s="60" t="n">
        <v>0.16</v>
      </c>
      <c r="AB17" s="72" t="n">
        <v>40</v>
      </c>
      <c r="AC17" s="73" t="n">
        <v>22</v>
      </c>
      <c r="AD17" s="87" t="n">
        <f aca="false">AD16+(G17+H17-8-3.35-3.4)*1.9835</f>
        <v>6837.02830025</v>
      </c>
      <c r="AE17" s="10" t="n">
        <v>0</v>
      </c>
      <c r="AF17" s="278"/>
    </row>
    <row r="18" customFormat="false" ht="11.1" hidden="false" customHeight="true" outlineLevel="0" collapsed="false">
      <c r="A18" s="13" t="n">
        <f aca="false">A17+1</f>
        <v>7</v>
      </c>
      <c r="B18" s="74" t="n">
        <v>6865.5</v>
      </c>
      <c r="C18" s="67" t="n">
        <v>176198</v>
      </c>
      <c r="D18" s="72" t="n">
        <f aca="false">C18-C17</f>
        <v>449</v>
      </c>
      <c r="E18" s="67" t="n">
        <f aca="false">C18-152000</f>
        <v>24198</v>
      </c>
      <c r="F18" s="86" t="n">
        <f aca="false">D18/$D$2</f>
        <v>226.367532140156</v>
      </c>
      <c r="G18" s="6" t="n">
        <v>118</v>
      </c>
      <c r="H18" s="8" t="n">
        <v>6.5</v>
      </c>
      <c r="I18" s="6" t="n">
        <f aca="false">G18+H18</f>
        <v>124.5</v>
      </c>
      <c r="J18" s="275" t="n">
        <f aca="false">IF(L18&gt;0,L18,0)</f>
        <v>125.767532140156</v>
      </c>
      <c r="K18" s="6" t="n">
        <f aca="false">I18+J18</f>
        <v>250.267532140156</v>
      </c>
      <c r="L18" s="6" t="n">
        <f aca="false">F18-(I18-X18)</f>
        <v>125.767532140156</v>
      </c>
      <c r="M18" s="88" t="n">
        <v>5.9</v>
      </c>
      <c r="N18" s="89" t="n">
        <v>0</v>
      </c>
      <c r="O18" s="89" t="n">
        <f aca="false">20.92*1.05</f>
        <v>21.966</v>
      </c>
      <c r="P18" s="90" t="n">
        <f aca="false">M18-(N18+O18)</f>
        <v>-16.066</v>
      </c>
      <c r="Q18" s="6" t="n">
        <v>0</v>
      </c>
      <c r="R18" s="6" t="n">
        <v>0</v>
      </c>
      <c r="S18" s="6" t="n">
        <f aca="false">SUM(P18:R18)</f>
        <v>-16.066</v>
      </c>
      <c r="T18" s="87" t="n">
        <f aca="false">T17+AE18</f>
        <v>0</v>
      </c>
      <c r="U18" s="6" t="n">
        <v>0</v>
      </c>
      <c r="V18" s="276" t="n">
        <v>18</v>
      </c>
      <c r="W18" s="277" t="n">
        <f aca="false">W17-V18</f>
        <v>8115.49231157046</v>
      </c>
      <c r="X18" s="6" t="n">
        <f aca="false">N18+O18+S18+U18+V18</f>
        <v>23.9</v>
      </c>
      <c r="Y18" s="6" t="n">
        <f aca="false">IF(L18&lt;0,L18*-1,0)</f>
        <v>0</v>
      </c>
      <c r="Z18" s="89" t="n">
        <f aca="false">X18+Y18</f>
        <v>23.9</v>
      </c>
      <c r="AA18" s="60" t="n">
        <v>0</v>
      </c>
      <c r="AB18" s="72" t="n">
        <v>46</v>
      </c>
      <c r="AC18" s="73" t="n">
        <v>23</v>
      </c>
      <c r="AD18" s="87" t="n">
        <f aca="false">AD17+(G18+H18-8-3.35-0)*1.9835</f>
        <v>7061.46132525</v>
      </c>
      <c r="AE18" s="10" t="n">
        <v>0</v>
      </c>
      <c r="AF18" s="278"/>
    </row>
    <row r="19" customFormat="false" ht="11.1" hidden="false" customHeight="true" outlineLevel="0" collapsed="false">
      <c r="A19" s="13" t="n">
        <f aca="false">A18+1</f>
        <v>8</v>
      </c>
      <c r="B19" s="74" t="n">
        <v>6865.59</v>
      </c>
      <c r="C19" s="67" t="n">
        <v>176422</v>
      </c>
      <c r="D19" s="72" t="n">
        <f aca="false">C19-C18</f>
        <v>224</v>
      </c>
      <c r="E19" s="67" t="n">
        <f aca="false">C19-152000</f>
        <v>24422</v>
      </c>
      <c r="F19" s="86" t="n">
        <f aca="false">D19/$D$2</f>
        <v>112.931686412906</v>
      </c>
      <c r="G19" s="6" t="n">
        <v>104</v>
      </c>
      <c r="H19" s="8" t="n">
        <v>5.3</v>
      </c>
      <c r="I19" s="6" t="n">
        <f aca="false">G19+H19</f>
        <v>109.3</v>
      </c>
      <c r="J19" s="275" t="n">
        <f aca="false">IF(L19&gt;0,L19,0)</f>
        <v>27.4316864129065</v>
      </c>
      <c r="K19" s="6" t="n">
        <f aca="false">I19+J19</f>
        <v>136.731686412906</v>
      </c>
      <c r="L19" s="6" t="n">
        <f aca="false">F19-(I19-X19)</f>
        <v>27.4316864129065</v>
      </c>
      <c r="M19" s="88" t="n">
        <v>5.8</v>
      </c>
      <c r="N19" s="89" t="n">
        <v>0</v>
      </c>
      <c r="O19" s="89" t="n">
        <f aca="false">3.52*1.05</f>
        <v>3.696</v>
      </c>
      <c r="P19" s="90" t="n">
        <f aca="false">M19-(N19+O19)</f>
        <v>2.104</v>
      </c>
      <c r="Q19" s="6" t="n">
        <v>0</v>
      </c>
      <c r="R19" s="6" t="n">
        <v>0</v>
      </c>
      <c r="S19" s="6" t="n">
        <f aca="false">SUM(P19:R19)</f>
        <v>2.104</v>
      </c>
      <c r="T19" s="87" t="n">
        <f aca="false">T18+AE19</f>
        <v>0</v>
      </c>
      <c r="U19" s="6" t="n">
        <v>0</v>
      </c>
      <c r="V19" s="276" t="n">
        <v>18</v>
      </c>
      <c r="W19" s="277" t="n">
        <f aca="false">W18-V19</f>
        <v>8097.49231157046</v>
      </c>
      <c r="X19" s="6" t="n">
        <f aca="false">N19+O19+S19+U19+V19</f>
        <v>23.8</v>
      </c>
      <c r="Y19" s="6" t="n">
        <f aca="false">IF(L19&lt;0,L19*-1,0)</f>
        <v>0</v>
      </c>
      <c r="Z19" s="89" t="n">
        <f aca="false">X19+Y19</f>
        <v>23.8</v>
      </c>
      <c r="AA19" s="60" t="n">
        <v>0</v>
      </c>
      <c r="AB19" s="72" t="n">
        <v>58</v>
      </c>
      <c r="AC19" s="73" t="n">
        <v>25</v>
      </c>
      <c r="AD19" s="87" t="n">
        <f aca="false">AD18+(G19+H19-8-3.35-0)*1.9835</f>
        <v>7255.74515025</v>
      </c>
      <c r="AE19" s="10" t="n">
        <v>0</v>
      </c>
      <c r="AF19" s="278"/>
    </row>
    <row r="20" customFormat="false" ht="11.1" hidden="false" customHeight="true" outlineLevel="0" collapsed="false">
      <c r="A20" s="13" t="n">
        <f aca="false">A19+1</f>
        <v>9</v>
      </c>
      <c r="B20" s="74" t="n">
        <v>6865.77</v>
      </c>
      <c r="C20" s="67" t="n">
        <v>176871</v>
      </c>
      <c r="D20" s="72" t="n">
        <f aca="false">C20-C19</f>
        <v>449</v>
      </c>
      <c r="E20" s="67" t="n">
        <f aca="false">C20-152000</f>
        <v>24871</v>
      </c>
      <c r="F20" s="86" t="n">
        <f aca="false">D20/$D$2</f>
        <v>226.367532140156</v>
      </c>
      <c r="G20" s="6" t="n">
        <v>139</v>
      </c>
      <c r="H20" s="8" t="n">
        <v>6.8</v>
      </c>
      <c r="I20" s="6" t="n">
        <f aca="false">G20+H20</f>
        <v>145.8</v>
      </c>
      <c r="J20" s="275" t="n">
        <f aca="false">IF(L20&gt;0,L20,0)</f>
        <v>104.067532140156</v>
      </c>
      <c r="K20" s="6" t="n">
        <f aca="false">I20+J20</f>
        <v>249.867532140156</v>
      </c>
      <c r="L20" s="6" t="n">
        <f aca="false">F20-(I20-X20)</f>
        <v>104.067532140156</v>
      </c>
      <c r="M20" s="88" t="n">
        <v>5.5</v>
      </c>
      <c r="N20" s="89" t="n">
        <v>0</v>
      </c>
      <c r="O20" s="89" t="n">
        <v>0</v>
      </c>
      <c r="P20" s="90" t="n">
        <f aca="false">M20-(N20+O20)</f>
        <v>5.5</v>
      </c>
      <c r="Q20" s="6" t="n">
        <v>0</v>
      </c>
      <c r="R20" s="6" t="n">
        <v>0</v>
      </c>
      <c r="S20" s="6" t="n">
        <f aca="false">SUM(P20:R20)</f>
        <v>5.5</v>
      </c>
      <c r="T20" s="87" t="n">
        <f aca="false">T19+AE20</f>
        <v>0</v>
      </c>
      <c r="U20" s="6" t="n">
        <v>0</v>
      </c>
      <c r="V20" s="276" t="n">
        <v>18</v>
      </c>
      <c r="W20" s="277" t="n">
        <f aca="false">W19-V20</f>
        <v>8079.49231157046</v>
      </c>
      <c r="X20" s="6" t="n">
        <f aca="false">N20+O20+S20+U20+V20</f>
        <v>23.5</v>
      </c>
      <c r="Y20" s="6" t="n">
        <f aca="false">IF(L20&lt;0,L20*-1,0)</f>
        <v>0</v>
      </c>
      <c r="Z20" s="89" t="n">
        <f aca="false">X20+Y20</f>
        <v>23.5</v>
      </c>
      <c r="AA20" s="60" t="n">
        <v>0</v>
      </c>
      <c r="AB20" s="92" t="n">
        <v>66</v>
      </c>
      <c r="AC20" s="73" t="n">
        <v>30</v>
      </c>
      <c r="AD20" s="87" t="n">
        <f aca="false">AD19+(G20+H20-8-3.35-0)*1.9835</f>
        <v>7522.42672525</v>
      </c>
      <c r="AE20" s="10" t="n">
        <v>0</v>
      </c>
      <c r="AF20" s="278"/>
    </row>
    <row r="21" customFormat="false" ht="11.1" hidden="false" customHeight="true" outlineLevel="0" collapsed="false">
      <c r="A21" s="13" t="n">
        <f aca="false">A20+1</f>
        <v>10</v>
      </c>
      <c r="B21" s="74" t="n">
        <v>6866.08</v>
      </c>
      <c r="C21" s="67" t="n">
        <v>177648</v>
      </c>
      <c r="D21" s="72" t="n">
        <f aca="false">C21-C20</f>
        <v>777</v>
      </c>
      <c r="E21" s="67" t="n">
        <f aca="false">C21-152000</f>
        <v>25648</v>
      </c>
      <c r="F21" s="86" t="n">
        <f aca="false">D21/$D$2</f>
        <v>391.731787244769</v>
      </c>
      <c r="G21" s="6" t="n">
        <v>212</v>
      </c>
      <c r="H21" s="8" t="n">
        <v>12</v>
      </c>
      <c r="I21" s="6" t="n">
        <f aca="false">G21+H21</f>
        <v>224</v>
      </c>
      <c r="J21" s="275" t="n">
        <f aca="false">IF(L21&gt;0,L21,0)</f>
        <v>201.731787244769</v>
      </c>
      <c r="K21" s="6" t="n">
        <f aca="false">I21+J21</f>
        <v>425.731787244769</v>
      </c>
      <c r="L21" s="6" t="n">
        <f aca="false">F21-(I21-X21)</f>
        <v>201.731787244769</v>
      </c>
      <c r="M21" s="88" t="n">
        <v>16</v>
      </c>
      <c r="N21" s="89" t="n">
        <v>0</v>
      </c>
      <c r="O21" s="89" t="n">
        <v>0</v>
      </c>
      <c r="P21" s="90" t="n">
        <f aca="false">M21-(N21+O21)</f>
        <v>16</v>
      </c>
      <c r="Q21" s="6" t="n">
        <v>0</v>
      </c>
      <c r="R21" s="6" t="n">
        <v>0</v>
      </c>
      <c r="S21" s="6" t="n">
        <f aca="false">SUM(P21:R21)</f>
        <v>16</v>
      </c>
      <c r="T21" s="87" t="n">
        <f aca="false">T20+AE21</f>
        <v>0</v>
      </c>
      <c r="U21" s="6" t="n">
        <v>0</v>
      </c>
      <c r="V21" s="276" t="n">
        <v>18</v>
      </c>
      <c r="W21" s="277" t="n">
        <f aca="false">W20-V21</f>
        <v>8061.49231157046</v>
      </c>
      <c r="X21" s="6" t="n">
        <f aca="false">N21+O21+S21+U21+V21</f>
        <v>34</v>
      </c>
      <c r="Y21" s="6" t="n">
        <f aca="false">IF(L21&lt;0,L21*-1,0)</f>
        <v>0</v>
      </c>
      <c r="Z21" s="89" t="n">
        <f aca="false">X21+Y21</f>
        <v>34</v>
      </c>
      <c r="AA21" s="60" t="n">
        <v>0</v>
      </c>
      <c r="AB21" s="72" t="n">
        <v>67</v>
      </c>
      <c r="AC21" s="73" t="n">
        <v>34</v>
      </c>
      <c r="AD21" s="87" t="n">
        <f aca="false">AD20+(G21+H21-8-3.35-8)*1.9835</f>
        <v>7928.35000025</v>
      </c>
      <c r="AE21" s="10" t="n">
        <v>0</v>
      </c>
      <c r="AF21" s="278"/>
    </row>
    <row r="22" customFormat="false" ht="11.1" hidden="false" customHeight="true" outlineLevel="0" collapsed="false">
      <c r="A22" s="13" t="n">
        <f aca="false">A21+1</f>
        <v>11</v>
      </c>
      <c r="B22" s="74" t="n">
        <v>6866.53</v>
      </c>
      <c r="C22" s="67" t="n">
        <v>178788</v>
      </c>
      <c r="D22" s="72" t="n">
        <f aca="false">C22-C21</f>
        <v>1140</v>
      </c>
      <c r="E22" s="67" t="n">
        <f aca="false">C22-152000</f>
        <v>26788</v>
      </c>
      <c r="F22" s="86" t="n">
        <f aca="false">D22/$D$2</f>
        <v>574.741618351399</v>
      </c>
      <c r="G22" s="6" t="n">
        <v>328</v>
      </c>
      <c r="H22" s="8" t="n">
        <v>18</v>
      </c>
      <c r="I22" s="6" t="n">
        <f aca="false">G22+H22</f>
        <v>346</v>
      </c>
      <c r="J22" s="275" t="n">
        <f aca="false">IF(L22&gt;0,L22,0)</f>
        <v>269.741618351399</v>
      </c>
      <c r="K22" s="6" t="n">
        <f aca="false">I22+J22</f>
        <v>615.741618351399</v>
      </c>
      <c r="L22" s="6" t="n">
        <f aca="false">F22-(I22-X22)</f>
        <v>269.741618351399</v>
      </c>
      <c r="M22" s="88" t="n">
        <v>23</v>
      </c>
      <c r="N22" s="89" t="n">
        <v>0</v>
      </c>
      <c r="O22" s="89" t="n">
        <f aca="false">13.6*1.05</f>
        <v>14.28</v>
      </c>
      <c r="P22" s="90" t="n">
        <f aca="false">M22-(N22+O22)</f>
        <v>8.72</v>
      </c>
      <c r="Q22" s="6" t="n">
        <v>0</v>
      </c>
      <c r="R22" s="6" t="n">
        <v>0</v>
      </c>
      <c r="S22" s="6" t="n">
        <f aca="false">SUM(P22:R22)</f>
        <v>8.72</v>
      </c>
      <c r="T22" s="87" t="n">
        <f aca="false">T21+AE22</f>
        <v>0</v>
      </c>
      <c r="U22" s="6" t="n">
        <v>0</v>
      </c>
      <c r="V22" s="276" t="n">
        <v>18</v>
      </c>
      <c r="W22" s="277" t="n">
        <f aca="false">W21-V22</f>
        <v>8043.49231157046</v>
      </c>
      <c r="X22" s="6" t="n">
        <f aca="false">N22+O22+S22+U22+V22</f>
        <v>41</v>
      </c>
      <c r="Y22" s="6" t="n">
        <f aca="false">IF(L22&lt;0,L22*-1,0)</f>
        <v>0</v>
      </c>
      <c r="Z22" s="89" t="n">
        <f aca="false">X22+Y22</f>
        <v>41</v>
      </c>
      <c r="AA22" s="60" t="n">
        <v>0</v>
      </c>
      <c r="AB22" s="72" t="n">
        <v>68</v>
      </c>
      <c r="AC22" s="73" t="n">
        <v>35</v>
      </c>
      <c r="AD22" s="87" t="n">
        <f aca="false">AD21+(G22+H22-8-3.35-0.7)*1.9835</f>
        <v>8590.73982525</v>
      </c>
      <c r="AE22" s="10" t="n">
        <v>0</v>
      </c>
      <c r="AF22" s="278"/>
    </row>
    <row r="23" customFormat="false" ht="11.1" hidden="false" customHeight="true" outlineLevel="0" collapsed="false">
      <c r="A23" s="13" t="n">
        <f aca="false">A22+1</f>
        <v>12</v>
      </c>
      <c r="B23" s="74" t="n">
        <v>6867.05</v>
      </c>
      <c r="C23" s="67" t="n">
        <v>180107</v>
      </c>
      <c r="D23" s="72" t="n">
        <f aca="false">C23-C22</f>
        <v>1319</v>
      </c>
      <c r="E23" s="67" t="n">
        <f aca="false">C23-152000</f>
        <v>28107</v>
      </c>
      <c r="F23" s="86" t="n">
        <f aca="false">D23/$D$2</f>
        <v>664.986135618856</v>
      </c>
      <c r="G23" s="6" t="n">
        <v>445</v>
      </c>
      <c r="H23" s="8" t="n">
        <v>22</v>
      </c>
      <c r="I23" s="6" t="n">
        <f aca="false">G23+H23</f>
        <v>467</v>
      </c>
      <c r="J23" s="275" t="n">
        <f aca="false">IF(L23&gt;0,L23,0)</f>
        <v>232.986135618856</v>
      </c>
      <c r="K23" s="6" t="n">
        <f aca="false">I23+J23</f>
        <v>699.986135618856</v>
      </c>
      <c r="L23" s="6" t="n">
        <f aca="false">F23-(I23-X23)</f>
        <v>232.986135618856</v>
      </c>
      <c r="M23" s="88" t="n">
        <v>17</v>
      </c>
      <c r="N23" s="89" t="n">
        <v>0</v>
      </c>
      <c r="O23" s="89" t="n">
        <f aca="false">5.7*1.05</f>
        <v>5.985</v>
      </c>
      <c r="P23" s="90" t="n">
        <f aca="false">M23-(N23+O23)</f>
        <v>11.015</v>
      </c>
      <c r="Q23" s="6" t="n">
        <v>0</v>
      </c>
      <c r="R23" s="6" t="n">
        <v>0</v>
      </c>
      <c r="S23" s="6" t="n">
        <f aca="false">SUM(P23:R23)</f>
        <v>11.015</v>
      </c>
      <c r="T23" s="87" t="n">
        <f aca="false">T22+AE23</f>
        <v>0</v>
      </c>
      <c r="U23" s="6" t="n">
        <v>0</v>
      </c>
      <c r="V23" s="276" t="n">
        <v>18</v>
      </c>
      <c r="W23" s="277" t="n">
        <f aca="false">W22-V23</f>
        <v>8025.49231157046</v>
      </c>
      <c r="X23" s="6" t="n">
        <f aca="false">N23+O23+S23+U23+V23</f>
        <v>35</v>
      </c>
      <c r="Y23" s="6" t="n">
        <f aca="false">IF(L23&lt;0,L23*-1,0)</f>
        <v>0</v>
      </c>
      <c r="Z23" s="89" t="n">
        <f aca="false">X23+Y23</f>
        <v>35</v>
      </c>
      <c r="AA23" s="60" t="n">
        <v>0</v>
      </c>
      <c r="AB23" s="72" t="n">
        <v>64</v>
      </c>
      <c r="AC23" s="73" t="n">
        <v>37</v>
      </c>
      <c r="AD23" s="87" t="n">
        <f aca="false">AD22+(G23+H23-8-3.35-3)*1.9835</f>
        <v>9488.57110025</v>
      </c>
      <c r="AE23" s="10" t="n">
        <v>0</v>
      </c>
      <c r="AF23" s="278"/>
    </row>
    <row r="24" customFormat="false" ht="11.1" hidden="false" customHeight="true" outlineLevel="0" collapsed="false">
      <c r="A24" s="13" t="n">
        <f aca="false">A23+1</f>
        <v>13</v>
      </c>
      <c r="B24" s="74" t="n">
        <v>6867.55</v>
      </c>
      <c r="C24" s="67" t="n">
        <v>181393</v>
      </c>
      <c r="D24" s="72" t="n">
        <f aca="false">C24-C23</f>
        <v>1286</v>
      </c>
      <c r="E24" s="67" t="n">
        <f aca="false">C24-152000</f>
        <v>29393</v>
      </c>
      <c r="F24" s="86" t="n">
        <f aca="false">D24/$D$2</f>
        <v>648.348878245526</v>
      </c>
      <c r="G24" s="6" t="n">
        <v>485</v>
      </c>
      <c r="H24" s="8" t="n">
        <v>20</v>
      </c>
      <c r="I24" s="6" t="n">
        <f aca="false">G24+H24</f>
        <v>505</v>
      </c>
      <c r="J24" s="275" t="n">
        <f aca="false">IF(L24&gt;0,L24,0)</f>
        <v>177.348878245526</v>
      </c>
      <c r="K24" s="6" t="n">
        <f aca="false">I24+J24</f>
        <v>682.348878245526</v>
      </c>
      <c r="L24" s="6" t="n">
        <f aca="false">F24-(I24-X24)</f>
        <v>177.348878245526</v>
      </c>
      <c r="M24" s="88" t="n">
        <v>16</v>
      </c>
      <c r="N24" s="89" t="n">
        <v>0</v>
      </c>
      <c r="O24" s="89" t="n">
        <f aca="false">3.62*1.05</f>
        <v>3.801</v>
      </c>
      <c r="P24" s="90" t="n">
        <f aca="false">M24-(N24+O24)</f>
        <v>12.199</v>
      </c>
      <c r="Q24" s="6" t="n">
        <v>0</v>
      </c>
      <c r="R24" s="6" t="n">
        <v>0</v>
      </c>
      <c r="S24" s="6" t="n">
        <f aca="false">SUM(P24:R24)</f>
        <v>12.199</v>
      </c>
      <c r="T24" s="87" t="n">
        <f aca="false">T23+AE24-(AF24/1.9835)</f>
        <v>61.7505902765965</v>
      </c>
      <c r="U24" s="6" t="n">
        <v>0</v>
      </c>
      <c r="V24" s="276" t="n">
        <v>18</v>
      </c>
      <c r="W24" s="277" t="n">
        <f aca="false">W23-V24</f>
        <v>8007.49231157046</v>
      </c>
      <c r="X24" s="6" t="n">
        <f aca="false">N24+O24+S24+U24+V24</f>
        <v>34</v>
      </c>
      <c r="Y24" s="6" t="n">
        <f aca="false">IF(L24&lt;0,L24*-1,0)</f>
        <v>0</v>
      </c>
      <c r="Z24" s="89" t="n">
        <f aca="false">X24+Y24</f>
        <v>34</v>
      </c>
      <c r="AA24" s="60" t="n">
        <v>0</v>
      </c>
      <c r="AB24" s="72" t="n">
        <v>69</v>
      </c>
      <c r="AC24" s="73" t="n">
        <v>33</v>
      </c>
      <c r="AD24" s="87" t="n">
        <v>10400</v>
      </c>
      <c r="AE24" s="10" t="n">
        <v>61.8</v>
      </c>
      <c r="AF24" s="278" t="n">
        <f aca="false">23.5*(AE24*1.9835/E24)</f>
        <v>0.0980041863709046</v>
      </c>
    </row>
    <row r="25" customFormat="false" ht="11.1" hidden="false" customHeight="true" outlineLevel="0" collapsed="false">
      <c r="A25" s="13" t="n">
        <f aca="false">A24+1</f>
        <v>14</v>
      </c>
      <c r="B25" s="74" t="n">
        <v>6868.17</v>
      </c>
      <c r="C25" s="67" t="n">
        <v>182993</v>
      </c>
      <c r="D25" s="72" t="n">
        <f aca="false">C25-C24</f>
        <v>1600</v>
      </c>
      <c r="E25" s="67" t="n">
        <f aca="false">C25-152000</f>
        <v>30993</v>
      </c>
      <c r="F25" s="86" t="n">
        <f aca="false">D25/$D$2</f>
        <v>806.654902949332</v>
      </c>
      <c r="G25" s="6" t="n">
        <v>633</v>
      </c>
      <c r="H25" s="8" t="n">
        <v>98</v>
      </c>
      <c r="I25" s="6" t="n">
        <f aca="false">G25+H25</f>
        <v>731</v>
      </c>
      <c r="J25" s="275" t="n">
        <f aca="false">IF(L25&gt;0,L25,0)</f>
        <v>140.754902949332</v>
      </c>
      <c r="K25" s="6" t="n">
        <f aca="false">I25+J25</f>
        <v>871.754902949332</v>
      </c>
      <c r="L25" s="6" t="n">
        <f aca="false">F25-(I25-X25)</f>
        <v>140.754902949332</v>
      </c>
      <c r="M25" s="88" t="n">
        <v>45</v>
      </c>
      <c r="N25" s="89" t="n">
        <v>0</v>
      </c>
      <c r="O25" s="89" t="n">
        <f aca="false">14.68*1.05</f>
        <v>15.414</v>
      </c>
      <c r="P25" s="90" t="n">
        <f aca="false">M25-(N25+O25)</f>
        <v>29.586</v>
      </c>
      <c r="Q25" s="6" t="n">
        <v>2.1</v>
      </c>
      <c r="R25" s="6" t="n">
        <v>0</v>
      </c>
      <c r="S25" s="6" t="n">
        <f aca="false">SUM(P25:R25)</f>
        <v>31.686</v>
      </c>
      <c r="T25" s="87" t="n">
        <f aca="false">T24+AE25-(AF25/1.9835)</f>
        <v>757.140064000615</v>
      </c>
      <c r="U25" s="6" t="n">
        <v>0</v>
      </c>
      <c r="V25" s="276" t="n">
        <v>18</v>
      </c>
      <c r="W25" s="277" t="n">
        <f aca="false">W24-V25</f>
        <v>7989.49231157046</v>
      </c>
      <c r="X25" s="6" t="n">
        <f aca="false">N25+O25+S25+U25+V25</f>
        <v>65.1</v>
      </c>
      <c r="Y25" s="6" t="n">
        <f aca="false">IF(L25&lt;0,L25*-1,0)</f>
        <v>0</v>
      </c>
      <c r="Z25" s="89" t="n">
        <f aca="false">X25+Y25</f>
        <v>65.1</v>
      </c>
      <c r="AA25" s="60" t="n">
        <v>0</v>
      </c>
      <c r="AB25" s="92" t="n">
        <v>64</v>
      </c>
      <c r="AC25" s="73" t="n">
        <v>33</v>
      </c>
      <c r="AD25" s="87" t="n">
        <f aca="false">AD24</f>
        <v>10400</v>
      </c>
      <c r="AE25" s="10" t="n">
        <f aca="false">IF(I25&gt;S25,I25-S25,I25-S25)-3.35</f>
        <v>695.964</v>
      </c>
      <c r="AF25" s="278" t="n">
        <f aca="false">23.5*(T24*1.9835+AE25*1.9835)/E25</f>
        <v>1.13957286840965</v>
      </c>
    </row>
    <row r="26" customFormat="false" ht="11.1" hidden="false" customHeight="true" outlineLevel="0" collapsed="false">
      <c r="A26" s="13" t="n">
        <f aca="false">A25+1</f>
        <v>15</v>
      </c>
      <c r="B26" s="74" t="n">
        <v>6868.88</v>
      </c>
      <c r="C26" s="67" t="n">
        <v>184845</v>
      </c>
      <c r="D26" s="72" t="n">
        <f aca="false">C26-C25</f>
        <v>1852</v>
      </c>
      <c r="E26" s="67" t="n">
        <f aca="false">C26-152000</f>
        <v>32845</v>
      </c>
      <c r="F26" s="86" t="n">
        <f aca="false">D26/$D$2</f>
        <v>933.703050163852</v>
      </c>
      <c r="G26" s="6" t="n">
        <v>729</v>
      </c>
      <c r="H26" s="8" t="n">
        <v>111</v>
      </c>
      <c r="I26" s="6" t="n">
        <f aca="false">G26+H26</f>
        <v>840</v>
      </c>
      <c r="J26" s="275" t="n">
        <f aca="false">IF(L26&gt;0,L26,0)</f>
        <v>188.703050163852</v>
      </c>
      <c r="K26" s="6" t="n">
        <f aca="false">I26+J26</f>
        <v>1028.70305016385</v>
      </c>
      <c r="L26" s="6" t="n">
        <f aca="false">F26-(I26-X26)</f>
        <v>188.703050163852</v>
      </c>
      <c r="M26" s="88" t="n">
        <v>61</v>
      </c>
      <c r="N26" s="89" t="n">
        <v>0</v>
      </c>
      <c r="O26" s="89" t="n">
        <f aca="false">33.35*1.05</f>
        <v>35.0175</v>
      </c>
      <c r="P26" s="90" t="n">
        <f aca="false">M26-(N26+O26)</f>
        <v>25.9825</v>
      </c>
      <c r="Q26" s="6" t="n">
        <v>16</v>
      </c>
      <c r="R26" s="6" t="n">
        <v>0</v>
      </c>
      <c r="S26" s="6" t="n">
        <f aca="false">SUM(P26:R26)</f>
        <v>41.9825</v>
      </c>
      <c r="T26" s="87" t="n">
        <f aca="false">T25+AE26-(AF26/1.9835)</f>
        <v>1520.05171595665</v>
      </c>
      <c r="U26" s="6" t="n">
        <v>0</v>
      </c>
      <c r="V26" s="276" t="n">
        <v>18</v>
      </c>
      <c r="W26" s="277" t="n">
        <f aca="false">W25-V26</f>
        <v>7971.49231157046</v>
      </c>
      <c r="X26" s="6" t="n">
        <f aca="false">N26+O26+S26+U26+V26</f>
        <v>95</v>
      </c>
      <c r="Y26" s="6" t="n">
        <f aca="false">IF(L26&lt;0,L26*-1,0)</f>
        <v>0</v>
      </c>
      <c r="Z26" s="89" t="n">
        <f aca="false">X26+Y26</f>
        <v>95</v>
      </c>
      <c r="AA26" s="60" t="n">
        <v>0</v>
      </c>
      <c r="AB26" s="92" t="n">
        <v>52</v>
      </c>
      <c r="AC26" s="73" t="n">
        <v>31</v>
      </c>
      <c r="AD26" s="87" t="n">
        <f aca="false">AD25</f>
        <v>10400</v>
      </c>
      <c r="AE26" s="10" t="n">
        <v>764</v>
      </c>
      <c r="AF26" s="278" t="n">
        <f aca="false">23.5*(T25*1.9835+AE26*1.9835)/E26</f>
        <v>2.15873834520361</v>
      </c>
    </row>
    <row r="27" customFormat="false" ht="11.1" hidden="false" customHeight="true" outlineLevel="0" collapsed="false">
      <c r="A27" s="13" t="n">
        <f aca="false">A26+1</f>
        <v>16</v>
      </c>
      <c r="B27" s="74" t="n">
        <v>6869.33</v>
      </c>
      <c r="C27" s="67" t="n">
        <v>186031</v>
      </c>
      <c r="D27" s="72" t="n">
        <f aca="false">C27-C26</f>
        <v>1186</v>
      </c>
      <c r="E27" s="67" t="n">
        <f aca="false">C27-152000</f>
        <v>34031</v>
      </c>
      <c r="F27" s="86" t="n">
        <f aca="false">D27/$D$2</f>
        <v>597.932946811192</v>
      </c>
      <c r="G27" s="6" t="n">
        <v>539</v>
      </c>
      <c r="H27" s="8" t="n">
        <v>40</v>
      </c>
      <c r="I27" s="6" t="n">
        <f aca="false">G27+H27</f>
        <v>579</v>
      </c>
      <c r="J27" s="275" t="n">
        <f aca="false">IF(L27&gt;0,L27,0)</f>
        <v>119.932946811192</v>
      </c>
      <c r="K27" s="6" t="n">
        <f aca="false">I27+J27</f>
        <v>698.932946811192</v>
      </c>
      <c r="L27" s="6" t="n">
        <f aca="false">F27-(I27-X27)</f>
        <v>119.932946811192</v>
      </c>
      <c r="M27" s="88" t="n">
        <v>72</v>
      </c>
      <c r="N27" s="89" t="n">
        <v>0</v>
      </c>
      <c r="O27" s="89" t="n">
        <f aca="false">40.67*1.05</f>
        <v>42.7035</v>
      </c>
      <c r="P27" s="90" t="n">
        <f aca="false">M27-(N27+O27)</f>
        <v>29.2965</v>
      </c>
      <c r="Q27" s="6" t="n">
        <v>11</v>
      </c>
      <c r="R27" s="6" t="n">
        <v>0</v>
      </c>
      <c r="S27" s="6" t="n">
        <f aca="false">SUM(P27:R27)</f>
        <v>40.2965</v>
      </c>
      <c r="T27" s="87" t="n">
        <f aca="false">T26+AE27-(AF27/1.9835)</f>
        <v>2053.98586235038</v>
      </c>
      <c r="U27" s="6" t="n">
        <v>0</v>
      </c>
      <c r="V27" s="276" t="n">
        <v>18</v>
      </c>
      <c r="W27" s="277" t="n">
        <f aca="false">W26-V27</f>
        <v>7953.49231157046</v>
      </c>
      <c r="X27" s="6" t="n">
        <f aca="false">N27+O27+S27+U27+V27</f>
        <v>101</v>
      </c>
      <c r="Y27" s="6" t="n">
        <f aca="false">IF(L27&lt;0,L27*-1,0)</f>
        <v>0</v>
      </c>
      <c r="Z27" s="89" t="n">
        <f aca="false">X27+Y27</f>
        <v>101</v>
      </c>
      <c r="AA27" s="60" t="n">
        <v>0</v>
      </c>
      <c r="AB27" s="92" t="n">
        <v>58</v>
      </c>
      <c r="AC27" s="73" t="n">
        <v>26</v>
      </c>
      <c r="AD27" s="87" t="n">
        <f aca="false">AD26</f>
        <v>10400</v>
      </c>
      <c r="AE27" s="10" t="n">
        <f aca="false">IF(I27&gt;S27,I27-S27,I27-S27)-3.35</f>
        <v>535.3535</v>
      </c>
      <c r="AF27" s="278" t="n">
        <f aca="false">23.5*(T26*1.9835+AE27*1.9835)/E27</f>
        <v>2.81528787803695</v>
      </c>
    </row>
    <row r="28" customFormat="false" ht="11.1" hidden="false" customHeight="true" outlineLevel="0" collapsed="false">
      <c r="A28" s="13" t="n">
        <f aca="false">A27+1</f>
        <v>17</v>
      </c>
      <c r="B28" s="74" t="n">
        <v>6869.8</v>
      </c>
      <c r="C28" s="67" t="n">
        <v>187274</v>
      </c>
      <c r="D28" s="72" t="n">
        <f aca="false">C28-C27</f>
        <v>1243</v>
      </c>
      <c r="E28" s="67" t="n">
        <f aca="false">C28-152000</f>
        <v>35274</v>
      </c>
      <c r="F28" s="86" t="n">
        <f aca="false">D28/$D$2</f>
        <v>626.670027728762</v>
      </c>
      <c r="G28" s="6" t="n">
        <v>580</v>
      </c>
      <c r="H28" s="8" t="n">
        <v>39</v>
      </c>
      <c r="I28" s="6" t="n">
        <f aca="false">G28+H28</f>
        <v>619</v>
      </c>
      <c r="J28" s="275" t="n">
        <f aca="false">IF(L28&gt;0,L28,0)</f>
        <v>102.370027728762</v>
      </c>
      <c r="K28" s="6" t="n">
        <f aca="false">I28+J28</f>
        <v>721.370027728762</v>
      </c>
      <c r="L28" s="6" t="n">
        <f aca="false">F28-(I28-X28)</f>
        <v>102.370027728762</v>
      </c>
      <c r="M28" s="88" t="n">
        <v>68</v>
      </c>
      <c r="N28" s="89" t="n">
        <v>0</v>
      </c>
      <c r="O28" s="89" t="n">
        <f aca="false">38.7*1.05</f>
        <v>40.635</v>
      </c>
      <c r="P28" s="90" t="n">
        <f aca="false">M28-(N28+O28)</f>
        <v>27.365</v>
      </c>
      <c r="Q28" s="6" t="n">
        <v>8.7</v>
      </c>
      <c r="R28" s="6" t="n">
        <v>0</v>
      </c>
      <c r="S28" s="6" t="n">
        <f aca="false">SUM(P28:R28)</f>
        <v>36.065</v>
      </c>
      <c r="T28" s="87" t="n">
        <f aca="false">T27+AE28-(AF28/1.9835)</f>
        <v>2631.81634300851</v>
      </c>
      <c r="U28" s="6" t="n">
        <v>0</v>
      </c>
      <c r="V28" s="276" t="n">
        <v>18</v>
      </c>
      <c r="W28" s="277" t="n">
        <f aca="false">W27-V28</f>
        <v>7935.49231157046</v>
      </c>
      <c r="X28" s="6" t="n">
        <f aca="false">N28+O28+S28+U28+V28</f>
        <v>94.7</v>
      </c>
      <c r="Y28" s="6" t="n">
        <f aca="false">IF(L28&lt;0,L28*-1,0)</f>
        <v>0</v>
      </c>
      <c r="Z28" s="89" t="n">
        <f aca="false">X28+Y28</f>
        <v>94.7</v>
      </c>
      <c r="AA28" s="60" t="n">
        <v>0</v>
      </c>
      <c r="AB28" s="92" t="n">
        <v>61</v>
      </c>
      <c r="AC28" s="73" t="n">
        <v>33</v>
      </c>
      <c r="AD28" s="87" t="n">
        <f aca="false">AD27</f>
        <v>10400</v>
      </c>
      <c r="AE28" s="10" t="n">
        <f aca="false">IF(I28&gt;S28,I28-S28,I28-S28)-3.35</f>
        <v>579.585</v>
      </c>
      <c r="AF28" s="278" t="n">
        <f aca="false">23.5*(T27*1.9835+AE28*1.9835)/E28</f>
        <v>3.48008911460542</v>
      </c>
    </row>
    <row r="29" customFormat="false" ht="11.1" hidden="false" customHeight="true" outlineLevel="0" collapsed="false">
      <c r="A29" s="13" t="n">
        <f aca="false">A28+1</f>
        <v>18</v>
      </c>
      <c r="B29" s="74" t="n">
        <v>6870.16</v>
      </c>
      <c r="C29" s="67" t="n">
        <v>188232</v>
      </c>
      <c r="D29" s="72" t="n">
        <f aca="false">C29-C28</f>
        <v>958</v>
      </c>
      <c r="E29" s="67" t="n">
        <f aca="false">C29-152000</f>
        <v>36232</v>
      </c>
      <c r="F29" s="86" t="n">
        <f aca="false">D29/$D$2</f>
        <v>482.984623140912</v>
      </c>
      <c r="G29" s="6" t="n">
        <v>593</v>
      </c>
      <c r="H29" s="8" t="n">
        <v>48</v>
      </c>
      <c r="I29" s="6" t="n">
        <f aca="false">G29+H29</f>
        <v>641</v>
      </c>
      <c r="J29" s="275" t="n">
        <f aca="false">IF(L29&gt;0,L29,0)</f>
        <v>108.984623140913</v>
      </c>
      <c r="K29" s="6" t="n">
        <f aca="false">I29+J29</f>
        <v>749.984623140913</v>
      </c>
      <c r="L29" s="6" t="n">
        <f aca="false">F29-(I29-X29)</f>
        <v>108.984623140913</v>
      </c>
      <c r="M29" s="88" t="n">
        <v>46</v>
      </c>
      <c r="N29" s="89" t="n">
        <v>0</v>
      </c>
      <c r="O29" s="89" t="n">
        <f aca="false">32.08*1.05</f>
        <v>33.684</v>
      </c>
      <c r="P29" s="90" t="n">
        <f aca="false">M29-(N29+O29)</f>
        <v>12.316</v>
      </c>
      <c r="Q29" s="6" t="n">
        <v>203</v>
      </c>
      <c r="R29" s="6" t="n">
        <v>0</v>
      </c>
      <c r="S29" s="6" t="n">
        <f aca="false">SUM(P29:R29)</f>
        <v>215.316</v>
      </c>
      <c r="T29" s="87" t="n">
        <f aca="false">T28+AE29-(AF29/1.9835)</f>
        <v>3252.33951327069</v>
      </c>
      <c r="U29" s="6" t="n">
        <v>0</v>
      </c>
      <c r="V29" s="276" t="n">
        <v>18</v>
      </c>
      <c r="W29" s="277" t="n">
        <f aca="false">W28-V29</f>
        <v>7917.49231157046</v>
      </c>
      <c r="X29" s="6" t="n">
        <f aca="false">N29+O29+S29+U29+V29</f>
        <v>267</v>
      </c>
      <c r="Y29" s="6" t="n">
        <f aca="false">IF(L29&lt;0,L29*-1,0)</f>
        <v>0</v>
      </c>
      <c r="Z29" s="89" t="n">
        <f aca="false">X29+Y29</f>
        <v>267</v>
      </c>
      <c r="AA29" s="60" t="n">
        <v>0</v>
      </c>
      <c r="AB29" s="92" t="n">
        <v>51</v>
      </c>
      <c r="AC29" s="73" t="n">
        <v>32</v>
      </c>
      <c r="AD29" s="87" t="n">
        <f aca="false">AD28-(195.51*1.9835)</f>
        <v>10012.205915</v>
      </c>
      <c r="AE29" s="10" t="n">
        <f aca="false">I29-(P29+3.35+2.7)</f>
        <v>622.634</v>
      </c>
      <c r="AF29" s="278" t="n">
        <f aca="false">23.5*(T28*1.9835+AE29*1.9835)/E29</f>
        <v>4.18683078496628</v>
      </c>
    </row>
    <row r="30" customFormat="false" ht="11.1" hidden="false" customHeight="true" outlineLevel="0" collapsed="false">
      <c r="A30" s="13" t="n">
        <f aca="false">A29+1</f>
        <v>19</v>
      </c>
      <c r="B30" s="74" t="n">
        <v>6870.33</v>
      </c>
      <c r="C30" s="67" t="n">
        <v>188688</v>
      </c>
      <c r="D30" s="72" t="n">
        <f aca="false">C30-C29</f>
        <v>456</v>
      </c>
      <c r="E30" s="67" t="n">
        <f aca="false">C30-152000</f>
        <v>36688</v>
      </c>
      <c r="F30" s="86" t="n">
        <f aca="false">D30/$D$2</f>
        <v>229.89664734056</v>
      </c>
      <c r="G30" s="6" t="n">
        <v>480</v>
      </c>
      <c r="H30" s="8" t="n">
        <v>14</v>
      </c>
      <c r="I30" s="6" t="n">
        <f aca="false">G30+H30</f>
        <v>494</v>
      </c>
      <c r="J30" s="275" t="n">
        <f aca="false">IF(L30&gt;0,L30,0)</f>
        <v>124.89664734056</v>
      </c>
      <c r="K30" s="6" t="n">
        <f aca="false">I30+J30</f>
        <v>618.89664734056</v>
      </c>
      <c r="L30" s="6" t="n">
        <f aca="false">F30-(I30-X30)</f>
        <v>124.89664734056</v>
      </c>
      <c r="M30" s="88" t="n">
        <v>12</v>
      </c>
      <c r="N30" s="89" t="n">
        <v>0</v>
      </c>
      <c r="O30" s="89" t="n">
        <f aca="false">7.96*1.05</f>
        <v>8.358</v>
      </c>
      <c r="P30" s="90" t="n">
        <f aca="false">M30-(N30+O30)</f>
        <v>3.642</v>
      </c>
      <c r="Q30" s="6" t="n">
        <v>359</v>
      </c>
      <c r="R30" s="6" t="n">
        <v>0</v>
      </c>
      <c r="S30" s="6" t="n">
        <f aca="false">SUM(P30:R30)</f>
        <v>362.642</v>
      </c>
      <c r="T30" s="87" t="n">
        <f aca="false">T29+AE30-(AF30/1.9835)</f>
        <v>3736.95232501944</v>
      </c>
      <c r="U30" s="6" t="n">
        <v>0</v>
      </c>
      <c r="V30" s="276" t="n">
        <v>18</v>
      </c>
      <c r="W30" s="277" t="n">
        <f aca="false">W29-V30</f>
        <v>7899.49231157046</v>
      </c>
      <c r="X30" s="6" t="n">
        <f aca="false">N30+O30+S30+U30+V30</f>
        <v>389</v>
      </c>
      <c r="Y30" s="6" t="n">
        <f aca="false">IF(L30&lt;0,L30*-1,0)</f>
        <v>0</v>
      </c>
      <c r="Z30" s="89" t="n">
        <f aca="false">X30+Y30</f>
        <v>389</v>
      </c>
      <c r="AA30" s="60" t="n">
        <v>0.08</v>
      </c>
      <c r="AB30" s="92" t="n">
        <v>49</v>
      </c>
      <c r="AC30" s="73" t="n">
        <v>28</v>
      </c>
      <c r="AD30" s="87" t="n">
        <f aca="false">AD29-(Q30*1.9835)</f>
        <v>9300.129415</v>
      </c>
      <c r="AE30" s="10" t="n">
        <f aca="false">I30-(P30+3.35)</f>
        <v>487.008</v>
      </c>
      <c r="AF30" s="278" t="n">
        <f aca="false">23.5*(T29*1.9835+AE30*1.9835)/E30</f>
        <v>4.75085589635444</v>
      </c>
    </row>
    <row r="31" customFormat="false" ht="11.1" hidden="false" customHeight="true" outlineLevel="0" collapsed="false">
      <c r="A31" s="13" t="n">
        <f aca="false">A30+1</f>
        <v>20</v>
      </c>
      <c r="B31" s="74" t="n">
        <v>6870.36</v>
      </c>
      <c r="C31" s="67" t="n">
        <v>188768</v>
      </c>
      <c r="D31" s="72" t="n">
        <f aca="false">C31-C30</f>
        <v>80</v>
      </c>
      <c r="E31" s="67" t="n">
        <f aca="false">C31-152000</f>
        <v>36768</v>
      </c>
      <c r="F31" s="86" t="n">
        <f aca="false">D31/$D$2</f>
        <v>40.3327451474666</v>
      </c>
      <c r="G31" s="6" t="n">
        <v>436</v>
      </c>
      <c r="H31" s="8" t="n">
        <v>6.9</v>
      </c>
      <c r="I31" s="6" t="n">
        <f aca="false">G31+H31</f>
        <v>442.9</v>
      </c>
      <c r="J31" s="275" t="n">
        <f aca="false">IF(L31&gt;0,L31,0)</f>
        <v>0</v>
      </c>
      <c r="K31" s="6" t="n">
        <f aca="false">I31+J31</f>
        <v>442.9</v>
      </c>
      <c r="L31" s="6" t="n">
        <f aca="false">F31-(I31-X31)</f>
        <v>-20.0672548525334</v>
      </c>
      <c r="M31" s="88" t="n">
        <v>5.5</v>
      </c>
      <c r="N31" s="89" t="n">
        <v>0</v>
      </c>
      <c r="O31" s="89" t="n">
        <v>0</v>
      </c>
      <c r="P31" s="90" t="n">
        <f aca="false">M31-(N31+O31)</f>
        <v>5.5</v>
      </c>
      <c r="Q31" s="6" t="n">
        <v>359</v>
      </c>
      <c r="R31" s="6" t="n">
        <v>0</v>
      </c>
      <c r="S31" s="6" t="n">
        <f aca="false">SUM(P31:R31)</f>
        <v>364.5</v>
      </c>
      <c r="T31" s="87" t="n">
        <f aca="false">T30+AE31-(AF31/1.9835)</f>
        <v>4168.33645919486</v>
      </c>
      <c r="U31" s="6" t="n">
        <v>0</v>
      </c>
      <c r="V31" s="276" t="n">
        <v>18</v>
      </c>
      <c r="W31" s="277" t="n">
        <f aca="false">W30-V31</f>
        <v>7881.49231157046</v>
      </c>
      <c r="X31" s="6" t="n">
        <f aca="false">N31+O31+S31+U31+V31</f>
        <v>382.5</v>
      </c>
      <c r="Y31" s="6" t="n">
        <f aca="false">IF(L31&lt;0,L31*-1,0)</f>
        <v>20.0672548525334</v>
      </c>
      <c r="Z31" s="89" t="n">
        <f aca="false">X31+Y31</f>
        <v>402.567254852533</v>
      </c>
      <c r="AA31" s="60" t="n">
        <v>0</v>
      </c>
      <c r="AB31" s="92" t="n">
        <v>60</v>
      </c>
      <c r="AC31" s="73" t="n">
        <v>27</v>
      </c>
      <c r="AD31" s="87" t="n">
        <f aca="false">AD30-(Q31*1.9835)</f>
        <v>8588.052915</v>
      </c>
      <c r="AE31" s="10" t="n">
        <f aca="false">I31-(P31+R31+3.35)</f>
        <v>434.05</v>
      </c>
      <c r="AF31" s="278" t="n">
        <f aca="false">23.5*(T30*1.9835+AE31*1.9835)/E31</f>
        <v>5.2877448630436</v>
      </c>
    </row>
    <row r="32" customFormat="false" ht="11.1" hidden="false" customHeight="true" outlineLevel="0" collapsed="false">
      <c r="A32" s="13" t="n">
        <f aca="false">A31+1</f>
        <v>21</v>
      </c>
      <c r="B32" s="74" t="n">
        <v>6870.5</v>
      </c>
      <c r="C32" s="67" t="n">
        <v>189144</v>
      </c>
      <c r="D32" s="72" t="n">
        <f aca="false">C32-C31</f>
        <v>376</v>
      </c>
      <c r="E32" s="67" t="n">
        <f aca="false">C32-152000</f>
        <v>37144</v>
      </c>
      <c r="F32" s="86" t="n">
        <f aca="false">D32/$D$2</f>
        <v>189.563902193093</v>
      </c>
      <c r="G32" s="6" t="n">
        <v>539</v>
      </c>
      <c r="H32" s="8" t="n">
        <v>25</v>
      </c>
      <c r="I32" s="6" t="n">
        <f aca="false">G32+H32</f>
        <v>564</v>
      </c>
      <c r="J32" s="275" t="n">
        <f aca="false">IF(L32&gt;0,L32,0)</f>
        <v>54.663902193093</v>
      </c>
      <c r="K32" s="6" t="n">
        <f aca="false">I32+J32</f>
        <v>618.663902193093</v>
      </c>
      <c r="L32" s="6" t="n">
        <f aca="false">F32-(I32-X32)</f>
        <v>54.663902193093</v>
      </c>
      <c r="M32" s="88" t="n">
        <v>52</v>
      </c>
      <c r="N32" s="89" t="n">
        <v>0</v>
      </c>
      <c r="O32" s="89" t="n">
        <f aca="false">35.03*1.05</f>
        <v>36.7815</v>
      </c>
      <c r="P32" s="90" t="n">
        <f aca="false">M32-(N32+O32)</f>
        <v>15.2185</v>
      </c>
      <c r="Q32" s="6" t="n">
        <v>358</v>
      </c>
      <c r="R32" s="6" t="n">
        <v>1.1</v>
      </c>
      <c r="S32" s="6" t="n">
        <f aca="false">SUM(P32:R32)</f>
        <v>374.3185</v>
      </c>
      <c r="T32" s="87" t="n">
        <f aca="false">T31+AE32-(AF32/1.9835)</f>
        <v>4709.6863821692</v>
      </c>
      <c r="U32" s="6" t="n">
        <v>0</v>
      </c>
      <c r="V32" s="276" t="n">
        <v>18</v>
      </c>
      <c r="W32" s="277" t="n">
        <f aca="false">W31-V32</f>
        <v>7863.49231157046</v>
      </c>
      <c r="X32" s="6" t="n">
        <f aca="false">N32+O32+S32+U32+V32</f>
        <v>429.1</v>
      </c>
      <c r="Y32" s="6" t="n">
        <f aca="false">IF(L32&lt;0,L32*-1,0)</f>
        <v>0</v>
      </c>
      <c r="Z32" s="89" t="n">
        <f aca="false">X32+Y32</f>
        <v>429.1</v>
      </c>
      <c r="AA32" s="60" t="n">
        <v>0</v>
      </c>
      <c r="AB32" s="72" t="n">
        <v>65</v>
      </c>
      <c r="AC32" s="73" t="n">
        <v>38</v>
      </c>
      <c r="AD32" s="87" t="n">
        <f aca="false">AD31-(Q32*1.9835)</f>
        <v>7877.959915</v>
      </c>
      <c r="AE32" s="10" t="n">
        <f aca="false">I32-(P32+R32+3.35)</f>
        <v>544.3315</v>
      </c>
      <c r="AF32" s="278" t="n">
        <f aca="false">23.5*(T31*1.9835+AE32*1.9835)/E32</f>
        <v>5.9139580303947</v>
      </c>
    </row>
    <row r="33" customFormat="false" ht="11.1" hidden="false" customHeight="true" outlineLevel="0" collapsed="false">
      <c r="A33" s="13" t="n">
        <f aca="false">A32+1</f>
        <v>22</v>
      </c>
      <c r="B33" s="74" t="n">
        <v>6870.73</v>
      </c>
      <c r="C33" s="67" t="n">
        <v>189760</v>
      </c>
      <c r="D33" s="72" t="n">
        <f aca="false">C33-C32</f>
        <v>616</v>
      </c>
      <c r="E33" s="67" t="n">
        <f aca="false">C33-152000</f>
        <v>37760</v>
      </c>
      <c r="F33" s="86" t="n">
        <f aca="false">D33/$D$2</f>
        <v>310.562137635493</v>
      </c>
      <c r="G33" s="6" t="n">
        <v>641</v>
      </c>
      <c r="H33" s="8" t="n">
        <v>41</v>
      </c>
      <c r="I33" s="6" t="n">
        <f aca="false">G33+H33</f>
        <v>682</v>
      </c>
      <c r="J33" s="275" t="n">
        <f aca="false">IF(L33&gt;0,L33,0)</f>
        <v>64.5621376354928</v>
      </c>
      <c r="K33" s="6" t="n">
        <f aca="false">I33+J33</f>
        <v>746.562137635493</v>
      </c>
      <c r="L33" s="6" t="n">
        <f aca="false">F33-(I33-X33)</f>
        <v>64.5621376354928</v>
      </c>
      <c r="M33" s="88" t="n">
        <v>59</v>
      </c>
      <c r="N33" s="89" t="n">
        <v>0</v>
      </c>
      <c r="O33" s="89" t="n">
        <f aca="false">59.9*1.05</f>
        <v>62.895</v>
      </c>
      <c r="P33" s="90" t="n">
        <f aca="false">M33-(N33+O33)</f>
        <v>-3.895</v>
      </c>
      <c r="Q33" s="6" t="n">
        <v>359</v>
      </c>
      <c r="R33" s="6" t="n">
        <v>0</v>
      </c>
      <c r="S33" s="6" t="n">
        <f aca="false">SUM(P33:R33)</f>
        <v>355.105</v>
      </c>
      <c r="T33" s="87" t="n">
        <f aca="false">T32+AE33-(AF33/1.9835)</f>
        <v>5388.87551782914</v>
      </c>
      <c r="U33" s="6" t="n">
        <v>0</v>
      </c>
      <c r="V33" s="276" t="n">
        <v>18</v>
      </c>
      <c r="W33" s="277" t="n">
        <f aca="false">W32-V33</f>
        <v>7845.49231157046</v>
      </c>
      <c r="X33" s="6" t="n">
        <f aca="false">N33+O33+S33+U33+V33</f>
        <v>436</v>
      </c>
      <c r="Y33" s="6" t="n">
        <f aca="false">IF(L33&lt;0,L33*-1,0)</f>
        <v>0</v>
      </c>
      <c r="Z33" s="89" t="n">
        <f aca="false">X33+Y33</f>
        <v>436</v>
      </c>
      <c r="AA33" s="60" t="n">
        <v>0.01</v>
      </c>
      <c r="AB33" s="72" t="n">
        <v>56</v>
      </c>
      <c r="AC33" s="73" t="n">
        <v>35</v>
      </c>
      <c r="AD33" s="87" t="n">
        <f aca="false">AD32-(Q33*1.9835)</f>
        <v>7165.883415</v>
      </c>
      <c r="AE33" s="10" t="n">
        <f aca="false">I33-(P33+R33+3.35)</f>
        <v>682.545</v>
      </c>
      <c r="AF33" s="278" t="n">
        <f aca="false">23.5*(T32*1.9835+AE33*1.9835)/E33</f>
        <v>6.65635691852533</v>
      </c>
    </row>
    <row r="34" customFormat="false" ht="11.1" hidden="false" customHeight="true" outlineLevel="0" collapsed="false">
      <c r="A34" s="13" t="n">
        <f aca="false">A33+1</f>
        <v>23</v>
      </c>
      <c r="B34" s="74" t="n">
        <v>6870.84</v>
      </c>
      <c r="C34" s="67" t="n">
        <v>190055</v>
      </c>
      <c r="D34" s="72" t="n">
        <f aca="false">C34-C33</f>
        <v>295</v>
      </c>
      <c r="E34" s="67" t="n">
        <f aca="false">C34-152000</f>
        <v>38055</v>
      </c>
      <c r="F34" s="86" t="n">
        <f aca="false">D34/$D$2</f>
        <v>148.726997731283</v>
      </c>
      <c r="G34" s="6" t="n">
        <v>543</v>
      </c>
      <c r="H34" s="8" t="n">
        <v>19</v>
      </c>
      <c r="I34" s="6" t="n">
        <f aca="false">G34+H34</f>
        <v>562</v>
      </c>
      <c r="J34" s="275" t="n">
        <f aca="false">IF(L34&gt;0,L34,0)</f>
        <v>30.7269977312831</v>
      </c>
      <c r="K34" s="6" t="n">
        <f aca="false">I34+J34</f>
        <v>592.726997731283</v>
      </c>
      <c r="L34" s="6" t="n">
        <f aca="false">F34-(I34-X34)</f>
        <v>30.7269977312831</v>
      </c>
      <c r="M34" s="88" t="n">
        <v>62</v>
      </c>
      <c r="N34" s="89" t="n">
        <v>0</v>
      </c>
      <c r="O34" s="89" t="n">
        <f aca="false">52.09*1.05</f>
        <v>54.6945</v>
      </c>
      <c r="P34" s="90" t="n">
        <f aca="false">M34-(N34+O34)</f>
        <v>7.3055</v>
      </c>
      <c r="Q34" s="6" t="n">
        <v>360</v>
      </c>
      <c r="R34" s="6" t="n">
        <v>4</v>
      </c>
      <c r="S34" s="6" t="n">
        <f aca="false">SUM(P34:R34)</f>
        <v>371.3055</v>
      </c>
      <c r="T34" s="87" t="n">
        <f aca="false">T33+AE34-(AF34/1.9835)</f>
        <v>5932.55424012794</v>
      </c>
      <c r="U34" s="6" t="n">
        <v>0</v>
      </c>
      <c r="V34" s="276" t="n">
        <v>18</v>
      </c>
      <c r="W34" s="277" t="n">
        <f aca="false">W33-V34</f>
        <v>7827.49231157046</v>
      </c>
      <c r="X34" s="6" t="n">
        <f aca="false">N34+O34+S34+U34+V34</f>
        <v>444</v>
      </c>
      <c r="Y34" s="6" t="n">
        <f aca="false">IF(L34&lt;0,L34*-1,0)</f>
        <v>0</v>
      </c>
      <c r="Z34" s="89" t="n">
        <f aca="false">X34+Y34</f>
        <v>444</v>
      </c>
      <c r="AA34" s="60" t="n">
        <v>0.03</v>
      </c>
      <c r="AB34" s="72" t="n">
        <v>47</v>
      </c>
      <c r="AC34" s="93" t="n">
        <v>27</v>
      </c>
      <c r="AD34" s="87" t="n">
        <f aca="false">AD33-(Q34*1.9835)</f>
        <v>6451.823415</v>
      </c>
      <c r="AE34" s="10" t="n">
        <f aca="false">I34-(P34+R34+3.35)</f>
        <v>547.3445</v>
      </c>
      <c r="AF34" s="278" t="n">
        <f aca="false">23.5*(T33*1.9835+AE34*1.9835)/E34</f>
        <v>7.27107007032075</v>
      </c>
    </row>
    <row r="35" customFormat="false" ht="11.1" hidden="false" customHeight="true" outlineLevel="0" collapsed="false">
      <c r="A35" s="13" t="n">
        <f aca="false">A34+1</f>
        <v>24</v>
      </c>
      <c r="B35" s="74" t="n">
        <v>6870.9</v>
      </c>
      <c r="C35" s="67" t="n">
        <v>190216</v>
      </c>
      <c r="D35" s="72" t="n">
        <f aca="false">C35-C34</f>
        <v>161</v>
      </c>
      <c r="E35" s="67" t="n">
        <f aca="false">C35-152000</f>
        <v>38216</v>
      </c>
      <c r="F35" s="86" t="n">
        <f aca="false">D35/$D$2</f>
        <v>81.1696496092765</v>
      </c>
      <c r="G35" s="6" t="n">
        <v>448</v>
      </c>
      <c r="H35" s="8" t="n">
        <v>6.3</v>
      </c>
      <c r="I35" s="6" t="n">
        <f aca="false">G35+H35</f>
        <v>454.3</v>
      </c>
      <c r="J35" s="275" t="n">
        <f aca="false">IF(L35&gt;0,L35,0)</f>
        <v>47.0696496092765</v>
      </c>
      <c r="K35" s="6" t="n">
        <f aca="false">I35+J35</f>
        <v>501.369649609277</v>
      </c>
      <c r="L35" s="6" t="n">
        <f aca="false">F35-(I35-X35)</f>
        <v>47.0696496092765</v>
      </c>
      <c r="M35" s="88" t="n">
        <v>38</v>
      </c>
      <c r="N35" s="89" t="n">
        <v>0</v>
      </c>
      <c r="O35" s="89" t="n">
        <f aca="false">34.41*1.05</f>
        <v>36.1305</v>
      </c>
      <c r="P35" s="90" t="n">
        <f aca="false">M35-(N35+O35)</f>
        <v>1.8695</v>
      </c>
      <c r="Q35" s="6" t="n">
        <v>360</v>
      </c>
      <c r="R35" s="6" t="n">
        <v>4.2</v>
      </c>
      <c r="S35" s="6" t="n">
        <f aca="false">SUM(P35:R35)</f>
        <v>366.0695</v>
      </c>
      <c r="T35" s="87" t="n">
        <f aca="false">T34+AE35-(AF35/1.9835)</f>
        <v>6373.51309169815</v>
      </c>
      <c r="U35" s="6" t="n">
        <v>0</v>
      </c>
      <c r="V35" s="276" t="n">
        <v>18</v>
      </c>
      <c r="W35" s="277" t="n">
        <f aca="false">W34-V35</f>
        <v>7809.49231157046</v>
      </c>
      <c r="X35" s="6" t="n">
        <f aca="false">N35+O35+S35+U35+V35</f>
        <v>420.2</v>
      </c>
      <c r="Y35" s="6" t="n">
        <f aca="false">IF(L35&lt;0,L35*-1,0)</f>
        <v>0</v>
      </c>
      <c r="Z35" s="89" t="n">
        <f aca="false">X35+Y35</f>
        <v>420.2</v>
      </c>
      <c r="AA35" s="60" t="n">
        <v>0</v>
      </c>
      <c r="AB35" s="72" t="n">
        <v>62</v>
      </c>
      <c r="AC35" s="93" t="n">
        <v>31</v>
      </c>
      <c r="AD35" s="87" t="n">
        <f aca="false">AD34-(Q35*1.9835)</f>
        <v>5737.763415</v>
      </c>
      <c r="AE35" s="10" t="n">
        <f aca="false">I35-(P35+R35+3.35)</f>
        <v>444.8805</v>
      </c>
      <c r="AF35" s="278" t="n">
        <f aca="false">23.5*(T34*1.9835+AE35*1.9835)/E35</f>
        <v>7.77858966049635</v>
      </c>
    </row>
    <row r="36" customFormat="false" ht="11.1" hidden="false" customHeight="true" outlineLevel="0" collapsed="false">
      <c r="A36" s="13" t="n">
        <f aca="false">A35+1</f>
        <v>25</v>
      </c>
      <c r="B36" s="74" t="n">
        <v>6871.08</v>
      </c>
      <c r="C36" s="67" t="n">
        <v>190701</v>
      </c>
      <c r="D36" s="72" t="n">
        <f aca="false">C36-C35</f>
        <v>485</v>
      </c>
      <c r="E36" s="67" t="n">
        <f aca="false">C36-152000</f>
        <v>38701</v>
      </c>
      <c r="F36" s="86" t="n">
        <f aca="false">D36/$D$2</f>
        <v>244.517267456516</v>
      </c>
      <c r="G36" s="6" t="n">
        <v>592</v>
      </c>
      <c r="H36" s="8" t="n">
        <v>13</v>
      </c>
      <c r="I36" s="6" t="n">
        <f aca="false">G36+H36</f>
        <v>605</v>
      </c>
      <c r="J36" s="275" t="n">
        <f aca="false">IF(L36&gt;0,L36,0)</f>
        <v>25.8172674565163</v>
      </c>
      <c r="K36" s="6" t="n">
        <f aca="false">I36+J36</f>
        <v>630.817267456516</v>
      </c>
      <c r="L36" s="6" t="n">
        <f aca="false">F36-(I36-X36)</f>
        <v>25.8172674565163</v>
      </c>
      <c r="M36" s="88" t="n">
        <v>6.8</v>
      </c>
      <c r="N36" s="89" t="n">
        <v>0</v>
      </c>
      <c r="O36" s="89" t="n">
        <f aca="false">5.87*1.05</f>
        <v>6.1635</v>
      </c>
      <c r="P36" s="90" t="n">
        <f aca="false">M36-(N36+O36)</f>
        <v>0.6365</v>
      </c>
      <c r="Q36" s="6" t="n">
        <v>360</v>
      </c>
      <c r="R36" s="6" t="n">
        <v>1.5</v>
      </c>
      <c r="S36" s="6" t="n">
        <f aca="false">SUM(P36:R36)</f>
        <v>362.1365</v>
      </c>
      <c r="T36" s="87" t="n">
        <f aca="false">T35+AE36-(AF36/1.9835)</f>
        <v>6968.79243431449</v>
      </c>
      <c r="U36" s="6" t="n">
        <v>0</v>
      </c>
      <c r="V36" s="276" t="n">
        <v>18</v>
      </c>
      <c r="W36" s="277" t="n">
        <f aca="false">W35-V36</f>
        <v>7791.49231157046</v>
      </c>
      <c r="X36" s="6" t="n">
        <f aca="false">N36+O36+S36+U36+V36</f>
        <v>386.3</v>
      </c>
      <c r="Y36" s="6" t="n">
        <f aca="false">IF(L36&lt;0,L36*-1,0)</f>
        <v>0</v>
      </c>
      <c r="Z36" s="89" t="n">
        <f aca="false">X36+Y36</f>
        <v>386.3</v>
      </c>
      <c r="AA36" s="60" t="n">
        <v>0</v>
      </c>
      <c r="AB36" s="72" t="n">
        <v>66</v>
      </c>
      <c r="AC36" s="93" t="n">
        <v>33</v>
      </c>
      <c r="AD36" s="87" t="n">
        <f aca="false">AD35-(Q36*1.9835)</f>
        <v>5023.703415</v>
      </c>
      <c r="AE36" s="10" t="n">
        <f aca="false">I36-(P36+R36+3.35)</f>
        <v>599.5135</v>
      </c>
      <c r="AF36" s="278" t="n">
        <f aca="false">23.5*(T35*1.9835+AE36*1.9835)/E36</f>
        <v>8.3984511704835</v>
      </c>
    </row>
    <row r="37" customFormat="false" ht="11.1" hidden="false" customHeight="true" outlineLevel="0" collapsed="false">
      <c r="A37" s="13" t="n">
        <f aca="false">A36+1</f>
        <v>26</v>
      </c>
      <c r="B37" s="74" t="n">
        <v>6871.53</v>
      </c>
      <c r="C37" s="67" t="n">
        <v>191924</v>
      </c>
      <c r="D37" s="72" t="n">
        <f aca="false">C37-C36</f>
        <v>1223</v>
      </c>
      <c r="E37" s="67" t="n">
        <f aca="false">C37-152000</f>
        <v>39924</v>
      </c>
      <c r="F37" s="86" t="n">
        <f aca="false">D37/$D$2</f>
        <v>616.586841441896</v>
      </c>
      <c r="G37" s="6" t="n">
        <v>892</v>
      </c>
      <c r="H37" s="8" t="n">
        <v>52</v>
      </c>
      <c r="I37" s="6" t="n">
        <f aca="false">G37+H37</f>
        <v>944</v>
      </c>
      <c r="J37" s="275" t="n">
        <f aca="false">IF(L37&gt;0,L37,0)</f>
        <v>57.5868414418957</v>
      </c>
      <c r="K37" s="6" t="n">
        <f aca="false">I37+J37</f>
        <v>1001.5868414419</v>
      </c>
      <c r="L37" s="6" t="n">
        <f aca="false">F37-(I37-X37)</f>
        <v>57.5868414418957</v>
      </c>
      <c r="M37" s="88" t="n">
        <v>6</v>
      </c>
      <c r="N37" s="89" t="n">
        <v>0</v>
      </c>
      <c r="O37" s="89" t="n">
        <f aca="false">0.61*1.05</f>
        <v>0.6405</v>
      </c>
      <c r="P37" s="90" t="n">
        <f aca="false">M37-(N37+O37)</f>
        <v>5.3595</v>
      </c>
      <c r="Q37" s="6" t="n">
        <v>361</v>
      </c>
      <c r="R37" s="6" t="n">
        <v>0</v>
      </c>
      <c r="S37" s="6" t="n">
        <f aca="false">SUM(P37:R37)</f>
        <v>366.3595</v>
      </c>
      <c r="T37" s="87" t="n">
        <f aca="false">T36+AE37-(AF37/1.9835)</f>
        <v>7759.22252342865</v>
      </c>
      <c r="U37" s="6" t="n">
        <v>0</v>
      </c>
      <c r="V37" s="276" t="n">
        <v>18</v>
      </c>
      <c r="W37" s="277" t="n">
        <f aca="false">W36-V37</f>
        <v>7773.49231157046</v>
      </c>
      <c r="X37" s="6" t="n">
        <f aca="false">N37+O37+S37+U37+V37</f>
        <v>385</v>
      </c>
      <c r="Y37" s="6" t="n">
        <f aca="false">IF(L37&lt;0,L37*-1,0)</f>
        <v>0</v>
      </c>
      <c r="Z37" s="89" t="n">
        <f aca="false">X37+Y37</f>
        <v>385</v>
      </c>
      <c r="AA37" s="60" t="n">
        <v>0</v>
      </c>
      <c r="AB37" s="72" t="n">
        <v>68</v>
      </c>
      <c r="AC37" s="73" t="n">
        <v>36</v>
      </c>
      <c r="AD37" s="87" t="n">
        <f aca="false">AD36-(Q37*1.9835)</f>
        <v>4307.659915</v>
      </c>
      <c r="AE37" s="10" t="n">
        <v>795</v>
      </c>
      <c r="AF37" s="278" t="n">
        <f aca="false">23.5*(T36*1.9835+AE37*1.9835)/E37</f>
        <v>9.06441824206932</v>
      </c>
    </row>
    <row r="38" customFormat="false" ht="11.1" hidden="false" customHeight="true" outlineLevel="0" collapsed="false">
      <c r="A38" s="13" t="n">
        <f aca="false">A37+1</f>
        <v>27</v>
      </c>
      <c r="B38" s="74" t="n">
        <v>6872.19</v>
      </c>
      <c r="C38" s="67" t="n">
        <v>193724</v>
      </c>
      <c r="D38" s="72" t="n">
        <f aca="false">C38-C37</f>
        <v>1800</v>
      </c>
      <c r="E38" s="67" t="n">
        <f aca="false">C38-152000</f>
        <v>41724</v>
      </c>
      <c r="F38" s="86" t="n">
        <f aca="false">D38/$D$2</f>
        <v>907.486765817998</v>
      </c>
      <c r="G38" s="6" t="n">
        <v>1070</v>
      </c>
      <c r="H38" s="8" t="n">
        <v>96</v>
      </c>
      <c r="I38" s="6" t="n">
        <f aca="false">G38+H38</f>
        <v>1166</v>
      </c>
      <c r="J38" s="275" t="n">
        <f aca="false">IF(L38&gt;0,L38,0)</f>
        <v>130.386765817998</v>
      </c>
      <c r="K38" s="6" t="n">
        <f aca="false">I38+J38</f>
        <v>1296.386765818</v>
      </c>
      <c r="L38" s="6" t="n">
        <f aca="false">F38-(I38-X38)</f>
        <v>130.386765817998</v>
      </c>
      <c r="M38" s="88" t="n">
        <v>5.9</v>
      </c>
      <c r="N38" s="89" t="n">
        <v>0</v>
      </c>
      <c r="O38" s="89" t="n">
        <v>0</v>
      </c>
      <c r="P38" s="90" t="n">
        <f aca="false">M38-(N38+O38)</f>
        <v>5.9</v>
      </c>
      <c r="Q38" s="6" t="n">
        <v>365</v>
      </c>
      <c r="R38" s="6" t="n">
        <v>0</v>
      </c>
      <c r="S38" s="6" t="n">
        <f aca="false">SUM(P38:R38)</f>
        <v>370.9</v>
      </c>
      <c r="T38" s="87" t="n">
        <f aca="false">T37+AE38-(AF38/1.9835)</f>
        <v>8549.40457142739</v>
      </c>
      <c r="U38" s="6" t="n">
        <v>0</v>
      </c>
      <c r="V38" s="276" t="n">
        <v>18</v>
      </c>
      <c r="W38" s="277" t="n">
        <f aca="false">W37-V38</f>
        <v>7755.49231157046</v>
      </c>
      <c r="X38" s="6" t="n">
        <f aca="false">N38+O38+S38+U38+V38</f>
        <v>388.9</v>
      </c>
      <c r="Y38" s="6" t="n">
        <f aca="false">IF(L38&lt;0,L38*-1,0)</f>
        <v>0</v>
      </c>
      <c r="Z38" s="89" t="n">
        <f aca="false">X38+Y38</f>
        <v>388.9</v>
      </c>
      <c r="AA38" s="60" t="n">
        <v>0</v>
      </c>
      <c r="AB38" s="72" t="n">
        <v>66</v>
      </c>
      <c r="AC38" s="73" t="n">
        <v>33</v>
      </c>
      <c r="AD38" s="87" t="n">
        <f aca="false">AD37-(Q38*1.9835)</f>
        <v>3583.682415</v>
      </c>
      <c r="AE38" s="10" t="n">
        <v>795</v>
      </c>
      <c r="AF38" s="278" t="n">
        <f aca="false">23.5*(T37*1.9835+AE38*1.9835)/E38</f>
        <v>9.55640779449926</v>
      </c>
    </row>
    <row r="39" customFormat="false" ht="11.1" hidden="false" customHeight="true" outlineLevel="0" collapsed="false">
      <c r="A39" s="13" t="n">
        <f aca="false">A38+1</f>
        <v>28</v>
      </c>
      <c r="B39" s="74" t="n">
        <v>6872.81</v>
      </c>
      <c r="C39" s="67" t="n">
        <v>195430</v>
      </c>
      <c r="D39" s="72" t="n">
        <f aca="false">C39-C38</f>
        <v>1706</v>
      </c>
      <c r="E39" s="67" t="n">
        <f aca="false">C39-152000</f>
        <v>43430</v>
      </c>
      <c r="F39" s="86" t="n">
        <f aca="false">D39/$D$2</f>
        <v>860.095790269725</v>
      </c>
      <c r="G39" s="6" t="n">
        <v>1020</v>
      </c>
      <c r="H39" s="8" t="n">
        <v>80</v>
      </c>
      <c r="I39" s="6" t="n">
        <f aca="false">G39+H39</f>
        <v>1100</v>
      </c>
      <c r="J39" s="275" t="n">
        <f aca="false">IF(L39&gt;0,L39,0)</f>
        <v>248.095790269725</v>
      </c>
      <c r="K39" s="6" t="n">
        <f aca="false">I39+J39</f>
        <v>1348.09579026973</v>
      </c>
      <c r="L39" s="6" t="n">
        <f aca="false">F39-(I39-X39)</f>
        <v>248.095790269725</v>
      </c>
      <c r="M39" s="88" t="n">
        <v>72</v>
      </c>
      <c r="N39" s="89" t="n">
        <v>0</v>
      </c>
      <c r="O39" s="89" t="n">
        <f aca="false">29.96*1.05</f>
        <v>31.458</v>
      </c>
      <c r="P39" s="90" t="n">
        <f aca="false">M39-(N39+O39)</f>
        <v>40.542</v>
      </c>
      <c r="Q39" s="6" t="n">
        <v>363</v>
      </c>
      <c r="R39" s="6" t="n">
        <v>0</v>
      </c>
      <c r="S39" s="6" t="n">
        <f aca="false">SUM(P39:R39)</f>
        <v>403.542</v>
      </c>
      <c r="T39" s="87" t="n">
        <f aca="false">T38+AE39-(AF39/1.9835)</f>
        <v>9287.48438709793</v>
      </c>
      <c r="U39" s="6" t="n">
        <v>35</v>
      </c>
      <c r="V39" s="276" t="n">
        <v>18</v>
      </c>
      <c r="W39" s="277" t="n">
        <f aca="false">W38-V39</f>
        <v>7737.49231157046</v>
      </c>
      <c r="X39" s="6" t="n">
        <f aca="false">N39+O39+S39+U39+V39</f>
        <v>488</v>
      </c>
      <c r="Y39" s="6" t="n">
        <f aca="false">IF(L39&lt;0,L39*-1,0)</f>
        <v>0</v>
      </c>
      <c r="Z39" s="89" t="n">
        <f aca="false">X39+Y39</f>
        <v>488</v>
      </c>
      <c r="AA39" s="60" t="n">
        <v>0</v>
      </c>
      <c r="AB39" s="72" t="n">
        <v>69</v>
      </c>
      <c r="AC39" s="73" t="n">
        <v>36</v>
      </c>
      <c r="AD39" s="87" t="n">
        <f aca="false">AD38-(Q39*1.9835)</f>
        <v>2863.671915</v>
      </c>
      <c r="AE39" s="10" t="n">
        <f aca="false">795-(P39+3.35+8)</f>
        <v>743.108</v>
      </c>
      <c r="AF39" s="278" t="n">
        <f aca="false">23.5*(T38*1.9835+AE39*1.9835)/E39</f>
        <v>9.97340361748829</v>
      </c>
    </row>
    <row r="40" customFormat="false" ht="11.1" hidden="false" customHeight="true" outlineLevel="0" collapsed="false">
      <c r="A40" s="13" t="n">
        <f aca="false">A39+1</f>
        <v>29</v>
      </c>
      <c r="B40" s="74" t="n">
        <v>6873.27</v>
      </c>
      <c r="C40" s="67" t="n">
        <v>196705</v>
      </c>
      <c r="D40" s="72" t="n">
        <f aca="false">C40-C39</f>
        <v>1275</v>
      </c>
      <c r="E40" s="67" t="n">
        <f aca="false">C40-152000</f>
        <v>44705</v>
      </c>
      <c r="F40" s="86" t="n">
        <f aca="false">D40/$D$2</f>
        <v>642.803125787749</v>
      </c>
      <c r="G40" s="6" t="n">
        <v>934</v>
      </c>
      <c r="H40" s="8" t="n">
        <v>75</v>
      </c>
      <c r="I40" s="6" t="n">
        <f aca="false">G40+H40</f>
        <v>1009</v>
      </c>
      <c r="J40" s="275" t="n">
        <f aca="false">IF(L40&gt;0,L40,0)</f>
        <v>178.803125787749</v>
      </c>
      <c r="K40" s="6" t="n">
        <f aca="false">I40+J40</f>
        <v>1187.80312578775</v>
      </c>
      <c r="L40" s="6" t="n">
        <f aca="false">F40-(I40-X40)</f>
        <v>178.803125787749</v>
      </c>
      <c r="M40" s="88" t="n">
        <v>108</v>
      </c>
      <c r="N40" s="89" t="n">
        <v>0</v>
      </c>
      <c r="O40" s="89" t="n">
        <f aca="false">66.62*1.05</f>
        <v>69.951</v>
      </c>
      <c r="P40" s="90" t="n">
        <f aca="false">M40-(N40+O40)</f>
        <v>38.049</v>
      </c>
      <c r="Q40" s="6" t="n">
        <v>362</v>
      </c>
      <c r="R40" s="6" t="n">
        <v>0</v>
      </c>
      <c r="S40" s="6" t="n">
        <f aca="false">SUM(P40:R40)</f>
        <v>400.049</v>
      </c>
      <c r="T40" s="87" t="n">
        <f aca="false">T39+AE40-(AF40/1.9835)</f>
        <v>10027.8113124621</v>
      </c>
      <c r="U40" s="6" t="n">
        <v>57</v>
      </c>
      <c r="V40" s="276" t="n">
        <v>18</v>
      </c>
      <c r="W40" s="277" t="n">
        <f aca="false">W39-V40</f>
        <v>7719.49231157046</v>
      </c>
      <c r="X40" s="6" t="n">
        <f aca="false">N40+O40+S40+U40+V40</f>
        <v>545</v>
      </c>
      <c r="Y40" s="6" t="n">
        <f aca="false">IF(L40&lt;0,L40*-1,0)</f>
        <v>0</v>
      </c>
      <c r="Z40" s="89" t="n">
        <f aca="false">X40+Y40</f>
        <v>545</v>
      </c>
      <c r="AA40" s="60" t="n">
        <v>0</v>
      </c>
      <c r="AB40" s="92" t="n">
        <v>60</v>
      </c>
      <c r="AC40" s="73" t="n">
        <v>33</v>
      </c>
      <c r="AD40" s="87" t="n">
        <f aca="false">AD39-(Q40*1.9835)</f>
        <v>2145.644915</v>
      </c>
      <c r="AE40" s="10" t="n">
        <f aca="false">795-(P40+3.35+8)</f>
        <v>745.601</v>
      </c>
      <c r="AF40" s="278" t="n">
        <f aca="false">23.5*(T39*1.9835+AE40*1.9835)/E40</f>
        <v>10.4611270402585</v>
      </c>
    </row>
    <row r="41" customFormat="false" ht="11.1" hidden="false" customHeight="true" outlineLevel="0" collapsed="false">
      <c r="A41" s="13" t="n">
        <v>30</v>
      </c>
      <c r="B41" s="74" t="n">
        <v>6873.6</v>
      </c>
      <c r="C41" s="67" t="n">
        <v>197625</v>
      </c>
      <c r="D41" s="72" t="n">
        <f aca="false">C41-C40</f>
        <v>920</v>
      </c>
      <c r="E41" s="67" t="n">
        <f aca="false">C41-152000</f>
        <v>45625</v>
      </c>
      <c r="F41" s="86" t="n">
        <f aca="false">D41/$D$2</f>
        <v>463.826569195866</v>
      </c>
      <c r="G41" s="6" t="n">
        <v>941</v>
      </c>
      <c r="H41" s="8" t="n">
        <v>29</v>
      </c>
      <c r="I41" s="6" t="n">
        <f aca="false">G41+H41</f>
        <v>970</v>
      </c>
      <c r="J41" s="275" t="n">
        <f aca="false">IF(L41&gt;0,L41,0)</f>
        <v>13.8265691958659</v>
      </c>
      <c r="K41" s="6" t="n">
        <f aca="false">I41+J41</f>
        <v>983.826569195866</v>
      </c>
      <c r="L41" s="6" t="n">
        <f aca="false">F41-(I41-X41)</f>
        <v>13.8265691958659</v>
      </c>
      <c r="M41" s="88" t="n">
        <v>83</v>
      </c>
      <c r="N41" s="89" t="n">
        <v>0</v>
      </c>
      <c r="O41" s="89" t="n">
        <f aca="false">49.4*1.05</f>
        <v>51.87</v>
      </c>
      <c r="P41" s="90" t="n">
        <f aca="false">M41-(N41+O41)</f>
        <v>31.13</v>
      </c>
      <c r="Q41" s="6" t="n">
        <v>364</v>
      </c>
      <c r="R41" s="6" t="n">
        <v>0</v>
      </c>
      <c r="S41" s="6" t="n">
        <f aca="false">SUM(P41:R41)</f>
        <v>395.13</v>
      </c>
      <c r="T41" s="87" t="n">
        <f aca="false">T40+AE41-(AF41/1.9835)</f>
        <v>10774.7787034573</v>
      </c>
      <c r="U41" s="6" t="n">
        <v>55</v>
      </c>
      <c r="V41" s="276" t="n">
        <v>18</v>
      </c>
      <c r="W41" s="277" t="n">
        <f aca="false">W40-V41</f>
        <v>7701.49231157046</v>
      </c>
      <c r="X41" s="6" t="n">
        <f aca="false">N41+O41+S41+U41+V41</f>
        <v>520</v>
      </c>
      <c r="Y41" s="6" t="n">
        <f aca="false">IF(L41&lt;0,L41*-1,0)</f>
        <v>0</v>
      </c>
      <c r="Z41" s="89" t="n">
        <f aca="false">X41+Y41</f>
        <v>520</v>
      </c>
      <c r="AA41" s="60" t="n">
        <v>0</v>
      </c>
      <c r="AB41" s="92" t="n">
        <v>56</v>
      </c>
      <c r="AC41" s="73" t="n">
        <v>29</v>
      </c>
      <c r="AD41" s="87" t="n">
        <f aca="false">AD40-(Q41*1.9835)</f>
        <v>1423.650915</v>
      </c>
      <c r="AE41" s="10" t="n">
        <f aca="false">795-(P41+3.35+8)</f>
        <v>752.52</v>
      </c>
      <c r="AF41" s="278" t="n">
        <f aca="false">23.5*(T40*1.9835+AE41*1.9835)/E41</f>
        <v>11.0135999609712</v>
      </c>
    </row>
    <row r="42" customFormat="false" ht="3" hidden="false" customHeight="true" outlineLevel="0" collapsed="false">
      <c r="A42" s="75"/>
      <c r="B42" s="94"/>
      <c r="C42" s="77"/>
      <c r="D42" s="75"/>
      <c r="E42" s="77"/>
      <c r="F42" s="78"/>
      <c r="G42" s="75"/>
      <c r="H42" s="79"/>
      <c r="I42" s="75"/>
      <c r="J42" s="75"/>
      <c r="K42" s="75"/>
      <c r="L42" s="75"/>
      <c r="M42" s="80"/>
      <c r="N42" s="75"/>
      <c r="O42" s="75"/>
      <c r="P42" s="81"/>
      <c r="Q42" s="75"/>
      <c r="R42" s="75"/>
      <c r="S42" s="75"/>
      <c r="T42" s="272"/>
      <c r="U42" s="75"/>
      <c r="V42" s="75"/>
      <c r="W42" s="75"/>
      <c r="X42" s="75"/>
      <c r="Y42" s="75"/>
      <c r="Z42" s="75"/>
      <c r="AA42" s="82"/>
      <c r="AB42" s="83"/>
      <c r="AC42" s="84"/>
      <c r="AD42" s="272"/>
      <c r="AE42" s="274"/>
      <c r="AF42" s="274"/>
    </row>
    <row r="43" customFormat="false" ht="11.1" hidden="false" customHeight="true" outlineLevel="0" collapsed="false">
      <c r="A43" s="6" t="s">
        <v>54</v>
      </c>
      <c r="B43" s="66"/>
      <c r="C43" s="67"/>
      <c r="D43" s="67"/>
      <c r="E43" s="67"/>
      <c r="F43" s="68" t="n">
        <f aca="false">SUM(F12:F41)</f>
        <v>12422.4855054197</v>
      </c>
      <c r="G43" s="7" t="n">
        <f aca="false">SUM(G12:G41)</f>
        <v>14322</v>
      </c>
      <c r="H43" s="7" t="n">
        <f aca="false">SUM(H12:H41)</f>
        <v>948.8</v>
      </c>
      <c r="I43" s="7" t="n">
        <f aca="false">SUM(I12:I41)</f>
        <v>15270.8</v>
      </c>
      <c r="J43" s="7" t="n">
        <f aca="false">SUM(J12:J41)</f>
        <v>3522.75276027225</v>
      </c>
      <c r="K43" s="7" t="n">
        <f aca="false">SUM(K12:K41)</f>
        <v>18793.5527602722</v>
      </c>
      <c r="L43" s="7" t="n">
        <f aca="false">SUM(L12:L41)</f>
        <v>3502.68550541971</v>
      </c>
      <c r="M43" s="69" t="n">
        <f aca="false">SUM(M12:M41)</f>
        <v>1082.4</v>
      </c>
      <c r="N43" s="67" t="n">
        <f aca="false">SUM(N12:N41)</f>
        <v>0</v>
      </c>
      <c r="O43" s="67" t="n">
        <f aca="false">SUM(O12:O41)</f>
        <v>660.9855</v>
      </c>
      <c r="P43" s="70" t="n">
        <f aca="false">SUM(P12:P41)</f>
        <v>421.4145</v>
      </c>
      <c r="Q43" s="7" t="n">
        <f aca="false">SUM(Q12:Q41)</f>
        <v>4570.8</v>
      </c>
      <c r="R43" s="7" t="n">
        <f aca="false">SUM(R12:R41)</f>
        <v>10.8</v>
      </c>
      <c r="S43" s="7" t="n">
        <f aca="false">SUM(S12:S41)</f>
        <v>5003.0145</v>
      </c>
      <c r="T43" s="87"/>
      <c r="U43" s="7" t="n">
        <f aca="false">SUM(U12:U41)</f>
        <v>147</v>
      </c>
      <c r="V43" s="7" t="n">
        <f aca="false">SUM(V12:V41)</f>
        <v>540</v>
      </c>
      <c r="W43" s="7"/>
      <c r="X43" s="7" t="n">
        <f aca="false">SUM(X12:X41)</f>
        <v>6351</v>
      </c>
      <c r="Y43" s="7" t="n">
        <f aca="false">SUM(Y12:Y41)</f>
        <v>20.0672548525334</v>
      </c>
      <c r="Z43" s="67" t="n">
        <f aca="false">SUM(Z12:Z41)</f>
        <v>6371.06725485253</v>
      </c>
      <c r="AA43" s="60" t="n">
        <f aca="false">SUM(AA12:AA41)</f>
        <v>0.31</v>
      </c>
      <c r="AB43" s="72" t="n">
        <f aca="false">AVERAGE(AB12:AB41)</f>
        <v>58.4666666666667</v>
      </c>
      <c r="AC43" s="73" t="n">
        <f aca="false">AVERAGE(AC12:AC41)</f>
        <v>30.8333333333333</v>
      </c>
      <c r="AD43" s="247" t="s">
        <v>84</v>
      </c>
      <c r="AE43" s="10"/>
      <c r="AF43" s="279" t="n">
        <f aca="false">SUM(AF12:AF41)</f>
        <v>110.004506442498</v>
      </c>
    </row>
    <row r="44" customFormat="false" ht="11.1" hidden="false" customHeight="true" outlineLevel="0" collapsed="false">
      <c r="A44" s="6" t="s">
        <v>56</v>
      </c>
      <c r="B44" s="66"/>
      <c r="C44" s="67"/>
      <c r="D44" s="67" t="n">
        <f aca="false">SUM(D12:D41)</f>
        <v>24640</v>
      </c>
      <c r="E44" s="67"/>
      <c r="F44" s="68" t="n">
        <f aca="false">F43*$D$2</f>
        <v>24640</v>
      </c>
      <c r="G44" s="7" t="n">
        <f aca="false">G43*$D$2</f>
        <v>28407.687</v>
      </c>
      <c r="H44" s="7" t="n">
        <f aca="false">H43*$D$2</f>
        <v>1881.9448</v>
      </c>
      <c r="I44" s="7" t="n">
        <f aca="false">I43*$D$2</f>
        <v>30289.6318</v>
      </c>
      <c r="J44" s="7" t="n">
        <f aca="false">J43*$D$2</f>
        <v>6987.3801</v>
      </c>
      <c r="K44" s="7" t="n">
        <f aca="false">K43*$D$2</f>
        <v>37277.0119</v>
      </c>
      <c r="L44" s="7" t="n">
        <f aca="false">L43*$D$2</f>
        <v>6947.5767</v>
      </c>
      <c r="M44" s="69" t="n">
        <f aca="false">M43*$D$2</f>
        <v>2146.9404</v>
      </c>
      <c r="N44" s="67" t="n">
        <f aca="false">N43*$D$2</f>
        <v>0</v>
      </c>
      <c r="O44" s="67" t="n">
        <f aca="false">O43*$D$2</f>
        <v>1311.06473925</v>
      </c>
      <c r="P44" s="70" t="n">
        <f aca="false">P43*$D$2</f>
        <v>835.87566075</v>
      </c>
      <c r="Q44" s="7" t="n">
        <f aca="false">Q43*$D$2</f>
        <v>9066.1818</v>
      </c>
      <c r="R44" s="7" t="n">
        <f aca="false">R43*$D$2</f>
        <v>21.4218</v>
      </c>
      <c r="S44" s="7" t="n">
        <f aca="false">S43*$D$2</f>
        <v>9923.47926075</v>
      </c>
      <c r="T44" s="87"/>
      <c r="U44" s="7" t="n">
        <f aca="false">U43*$D$2</f>
        <v>291.5745</v>
      </c>
      <c r="V44" s="7" t="n">
        <f aca="false">V43*$D$2</f>
        <v>1071.09</v>
      </c>
      <c r="W44" s="7"/>
      <c r="X44" s="7" t="n">
        <f aca="false">X43*$D$2</f>
        <v>12597.2085</v>
      </c>
      <c r="Y44" s="7" t="n">
        <f aca="false">Y43*$D$2</f>
        <v>39.8034</v>
      </c>
      <c r="Z44" s="67" t="n">
        <f aca="false">Z43*$D$2</f>
        <v>12637.0119</v>
      </c>
      <c r="AA44" s="60"/>
      <c r="AB44" s="72" t="n">
        <f aca="false">MAX(AB12:AB41)</f>
        <v>69</v>
      </c>
      <c r="AC44" s="73" t="n">
        <f aca="false">MAX(AC12:AC41)</f>
        <v>38</v>
      </c>
      <c r="AD44" s="247" t="s">
        <v>57</v>
      </c>
      <c r="AE44" s="248"/>
      <c r="AF44" s="279" t="n">
        <f aca="false">AF43*$D$2</f>
        <v>218.193938528695</v>
      </c>
    </row>
    <row r="45" customFormat="false" ht="3" hidden="false" customHeight="true" outlineLevel="0" collapsed="false">
      <c r="A45" s="75"/>
      <c r="B45" s="94"/>
      <c r="C45" s="77"/>
      <c r="D45" s="77"/>
      <c r="E45" s="77"/>
      <c r="F45" s="95"/>
      <c r="G45" s="77"/>
      <c r="H45" s="77"/>
      <c r="I45" s="77"/>
      <c r="J45" s="77"/>
      <c r="K45" s="77"/>
      <c r="L45" s="77"/>
      <c r="M45" s="96"/>
      <c r="N45" s="77"/>
      <c r="O45" s="77"/>
      <c r="P45" s="97"/>
      <c r="Q45" s="77"/>
      <c r="R45" s="77"/>
      <c r="S45" s="77"/>
      <c r="T45" s="272"/>
      <c r="U45" s="77"/>
      <c r="V45" s="77"/>
      <c r="W45" s="75"/>
      <c r="X45" s="77"/>
      <c r="Y45" s="77"/>
      <c r="Z45" s="77"/>
      <c r="AA45" s="280"/>
      <c r="AB45" s="77"/>
      <c r="AC45" s="95"/>
      <c r="AD45" s="281"/>
      <c r="AE45" s="273"/>
      <c r="AF45" s="282"/>
    </row>
    <row r="46" customFormat="false" ht="11.1" hidden="false" customHeight="true" outlineLevel="0" collapsed="false">
      <c r="A46" s="6" t="s">
        <v>58</v>
      </c>
      <c r="B46" s="66"/>
      <c r="C46" s="67"/>
      <c r="D46" s="67"/>
      <c r="E46" s="67"/>
      <c r="F46" s="68" t="n">
        <f aca="false">F9+F43</f>
        <v>12422.4855054197</v>
      </c>
      <c r="G46" s="7" t="n">
        <f aca="false">G9+G43</f>
        <v>14322</v>
      </c>
      <c r="H46" s="12" t="n">
        <f aca="false">H9+H43</f>
        <v>948.8</v>
      </c>
      <c r="I46" s="7" t="n">
        <f aca="false">I9+I43</f>
        <v>15270.8</v>
      </c>
      <c r="J46" s="7" t="n">
        <f aca="false">J9+J43</f>
        <v>3522.75276027225</v>
      </c>
      <c r="K46" s="7" t="n">
        <f aca="false">K9+K43</f>
        <v>18793.5527602722</v>
      </c>
      <c r="L46" s="7" t="n">
        <f aca="false">L9+L43</f>
        <v>3502.68550541971</v>
      </c>
      <c r="M46" s="69" t="n">
        <f aca="false">M9+M43</f>
        <v>1152.38</v>
      </c>
      <c r="N46" s="67" t="n">
        <f aca="false">N9+N43</f>
        <v>0</v>
      </c>
      <c r="O46" s="67" t="n">
        <f aca="false">O9+O43</f>
        <v>662.613</v>
      </c>
      <c r="P46" s="70" t="n">
        <f aca="false">P9+P43</f>
        <v>489.4145</v>
      </c>
      <c r="Q46" s="7" t="n">
        <f aca="false">Q9+Q43</f>
        <v>4570.8</v>
      </c>
      <c r="R46" s="7" t="n">
        <f aca="false">R9+R43</f>
        <v>10.8</v>
      </c>
      <c r="S46" s="7" t="n">
        <f aca="false">S9+S43</f>
        <v>5003.0145</v>
      </c>
      <c r="T46" s="87" t="n">
        <f aca="false">T41</f>
        <v>10774.7787034573</v>
      </c>
      <c r="U46" s="7" t="n">
        <f aca="false">U9+U43</f>
        <v>147</v>
      </c>
      <c r="V46" s="7" t="n">
        <f aca="false">V9+V43</f>
        <v>540</v>
      </c>
      <c r="W46" s="7"/>
      <c r="X46" s="7" t="n">
        <f aca="false">X9+X43</f>
        <v>6351</v>
      </c>
      <c r="Y46" s="7" t="n">
        <f aca="false">Y9+Y43</f>
        <v>20.0672548525334</v>
      </c>
      <c r="Z46" s="67" t="n">
        <f aca="false">Z9+Z43</f>
        <v>6371.06725485253</v>
      </c>
      <c r="AA46" s="60"/>
      <c r="AB46" s="72" t="n">
        <f aca="false">MIN(AB12:AB41)</f>
        <v>40</v>
      </c>
      <c r="AC46" s="73" t="n">
        <f aca="false">MIN(AC12:AC41)</f>
        <v>22</v>
      </c>
      <c r="AD46" s="247" t="s">
        <v>59</v>
      </c>
      <c r="AE46" s="248"/>
      <c r="AF46" s="279" t="n">
        <f aca="false">AF9+AF43</f>
        <v>110.004506442498</v>
      </c>
    </row>
    <row r="47" customFormat="false" ht="11.1" hidden="false" customHeight="true" outlineLevel="0" collapsed="false">
      <c r="A47" s="6" t="s">
        <v>60</v>
      </c>
      <c r="B47" s="66"/>
      <c r="C47" s="67"/>
      <c r="D47" s="67"/>
      <c r="E47" s="67"/>
      <c r="F47" s="68" t="n">
        <f aca="false">F46*$D$2</f>
        <v>24640</v>
      </c>
      <c r="G47" s="7" t="n">
        <f aca="false">G46*$D$2</f>
        <v>28407.687</v>
      </c>
      <c r="H47" s="12" t="n">
        <f aca="false">H46*$D$2</f>
        <v>1881.9448</v>
      </c>
      <c r="I47" s="7" t="n">
        <f aca="false">I46*$D$2</f>
        <v>30289.6318</v>
      </c>
      <c r="J47" s="7" t="n">
        <f aca="false">J46*$D$2</f>
        <v>6987.3801</v>
      </c>
      <c r="K47" s="7" t="n">
        <f aca="false">K46*$D$2</f>
        <v>37277.0119</v>
      </c>
      <c r="L47" s="7" t="n">
        <f aca="false">L46*$D$2</f>
        <v>6947.5767</v>
      </c>
      <c r="M47" s="69" t="n">
        <f aca="false">M46*$D$2</f>
        <v>2285.74573</v>
      </c>
      <c r="N47" s="67" t="n">
        <f aca="false">N46*$D$2</f>
        <v>0</v>
      </c>
      <c r="O47" s="67" t="n">
        <f aca="false">O46*$D$2</f>
        <v>1314.2928855</v>
      </c>
      <c r="P47" s="70" t="n">
        <f aca="false">P46*$D$2</f>
        <v>970.75366075</v>
      </c>
      <c r="Q47" s="7" t="n">
        <f aca="false">Q46*$D$2</f>
        <v>9066.1818</v>
      </c>
      <c r="R47" s="7" t="n">
        <f aca="false">R46*$D$2</f>
        <v>21.4218</v>
      </c>
      <c r="S47" s="7" t="n">
        <f aca="false">S46*$D$2</f>
        <v>9923.47926075</v>
      </c>
      <c r="T47" s="87" t="n">
        <f aca="false">T46*$D$2</f>
        <v>21371.7735583075</v>
      </c>
      <c r="U47" s="7" t="n">
        <f aca="false">U46*$D$2</f>
        <v>291.5745</v>
      </c>
      <c r="V47" s="7" t="n">
        <f aca="false">V46*$D$2</f>
        <v>1071.09</v>
      </c>
      <c r="W47" s="7"/>
      <c r="X47" s="7" t="n">
        <f aca="false">X46*$D$2</f>
        <v>12597.2085</v>
      </c>
      <c r="Y47" s="7" t="n">
        <f aca="false">Y46*$D$2</f>
        <v>39.8034</v>
      </c>
      <c r="Z47" s="67" t="n">
        <f aca="false">Z46*$D$2</f>
        <v>12637.0119</v>
      </c>
      <c r="AA47" s="60"/>
      <c r="AB47" s="72"/>
      <c r="AC47" s="73"/>
      <c r="AD47" s="87"/>
      <c r="AE47" s="248"/>
      <c r="AF47" s="279" t="n">
        <f aca="false">AF46*$D$2</f>
        <v>218.193938528695</v>
      </c>
    </row>
    <row r="48" customFormat="false" ht="3" hidden="false" customHeight="true" outlineLevel="0" collapsed="false">
      <c r="A48" s="75"/>
      <c r="B48" s="94"/>
      <c r="C48" s="77"/>
      <c r="D48" s="77"/>
      <c r="E48" s="77"/>
      <c r="F48" s="95"/>
      <c r="G48" s="77"/>
      <c r="H48" s="83"/>
      <c r="I48" s="77"/>
      <c r="J48" s="77"/>
      <c r="K48" s="77"/>
      <c r="L48" s="77"/>
      <c r="M48" s="96"/>
      <c r="N48" s="77"/>
      <c r="O48" s="77"/>
      <c r="P48" s="97"/>
      <c r="Q48" s="77"/>
      <c r="R48" s="77"/>
      <c r="S48" s="77"/>
      <c r="T48" s="272"/>
      <c r="U48" s="77"/>
      <c r="V48" s="77"/>
      <c r="W48" s="77"/>
      <c r="X48" s="77"/>
      <c r="Y48" s="77"/>
      <c r="Z48" s="77"/>
      <c r="AA48" s="82"/>
      <c r="AB48" s="283"/>
      <c r="AC48" s="284"/>
      <c r="AD48" s="272"/>
      <c r="AE48" s="273"/>
      <c r="AF48" s="282"/>
    </row>
    <row r="49" customFormat="false" ht="11.1" hidden="false" customHeight="true" outlineLevel="0" collapsed="false">
      <c r="A49" s="6" t="s">
        <v>61</v>
      </c>
      <c r="B49" s="66"/>
      <c r="C49" s="67"/>
      <c r="D49" s="67"/>
      <c r="E49" s="67"/>
      <c r="F49" s="68" t="n">
        <f aca="false">F10+F43</f>
        <v>20699.7731283085</v>
      </c>
      <c r="G49" s="7" t="n">
        <f aca="false">G10+G43</f>
        <v>21876</v>
      </c>
      <c r="H49" s="12" t="n">
        <f aca="false">H10+H43</f>
        <v>1231.54</v>
      </c>
      <c r="I49" s="7" t="n">
        <f aca="false">I10+I43</f>
        <v>23107.54</v>
      </c>
      <c r="J49" s="7" t="n">
        <f aca="false">J10+J43</f>
        <v>8001.50653138392</v>
      </c>
      <c r="K49" s="7" t="n">
        <f aca="false">K10+K43</f>
        <v>31109.0465313839</v>
      </c>
      <c r="L49" s="7" t="n">
        <f aca="false">L10+L43</f>
        <v>7346.92312830853</v>
      </c>
      <c r="M49" s="69" t="n">
        <f aca="false">M10+M43</f>
        <v>2109.2</v>
      </c>
      <c r="N49" s="67" t="n">
        <f aca="false">N10+N43</f>
        <v>0</v>
      </c>
      <c r="O49" s="67" t="n">
        <f aca="false">O10+O43</f>
        <v>662.613</v>
      </c>
      <c r="P49" s="70" t="n">
        <f aca="false">P10+P43</f>
        <v>1446.587</v>
      </c>
      <c r="Q49" s="7" t="n">
        <f aca="false">Q10+Q43</f>
        <v>4632.8</v>
      </c>
      <c r="R49" s="7" t="n">
        <f aca="false">R10+R43</f>
        <v>61.8</v>
      </c>
      <c r="S49" s="7" t="n">
        <f aca="false">S10+S43</f>
        <v>6141.187</v>
      </c>
      <c r="T49" s="87"/>
      <c r="U49" s="7" t="n">
        <f aca="false">U10+U43</f>
        <v>147</v>
      </c>
      <c r="V49" s="7" t="n">
        <f aca="false">V10+V43</f>
        <v>2803.89</v>
      </c>
      <c r="W49" s="7" t="n">
        <f aca="false">W41</f>
        <v>7701.49231157046</v>
      </c>
      <c r="X49" s="7" t="n">
        <f aca="false">X10+X43</f>
        <v>9754.69</v>
      </c>
      <c r="Y49" s="7" t="n">
        <f aca="false">Y10+Y43</f>
        <v>654.583403075372</v>
      </c>
      <c r="Z49" s="67" t="n">
        <f aca="false">Z10+Z43</f>
        <v>10409.2734030754</v>
      </c>
      <c r="AA49" s="60" t="n">
        <f aca="false">AA10+AA43</f>
        <v>7.35</v>
      </c>
      <c r="AB49" s="72"/>
      <c r="AC49" s="73"/>
      <c r="AD49" s="87"/>
      <c r="AE49" s="248"/>
      <c r="AF49" s="279" t="n">
        <f aca="false">AF10+AF43</f>
        <v>110.004506442498</v>
      </c>
    </row>
    <row r="50" customFormat="false" ht="11.1" hidden="false" customHeight="true" outlineLevel="0" collapsed="false">
      <c r="A50" s="6" t="s">
        <v>62</v>
      </c>
      <c r="B50" s="66"/>
      <c r="C50" s="67"/>
      <c r="D50" s="67" t="n">
        <f aca="false">D10+D44</f>
        <v>41058</v>
      </c>
      <c r="E50" s="67" t="n">
        <f aca="false">E41</f>
        <v>45625</v>
      </c>
      <c r="F50" s="68" t="n">
        <f aca="false">F49*$D$2</f>
        <v>41058</v>
      </c>
      <c r="G50" s="7" t="n">
        <f aca="false">G49*$D$2</f>
        <v>43391.046</v>
      </c>
      <c r="H50" s="12" t="n">
        <f aca="false">H49*$D$2</f>
        <v>2442.75959</v>
      </c>
      <c r="I50" s="7" t="n">
        <f aca="false">I49*$D$2</f>
        <v>45833.80559</v>
      </c>
      <c r="J50" s="7" t="n">
        <f aca="false">J49*$D$2</f>
        <v>15870.988205</v>
      </c>
      <c r="K50" s="7" t="n">
        <f aca="false">K49*$D$2</f>
        <v>61704.7937949999</v>
      </c>
      <c r="L50" s="7" t="n">
        <f aca="false">L49*$D$2</f>
        <v>14572.622025</v>
      </c>
      <c r="M50" s="69" t="n">
        <f aca="false">M49*$D$2</f>
        <v>4183.5982</v>
      </c>
      <c r="N50" s="67" t="n">
        <f aca="false">N49*$D$2</f>
        <v>0</v>
      </c>
      <c r="O50" s="67" t="n">
        <f aca="false">O49*$D$2</f>
        <v>1314.2928855</v>
      </c>
      <c r="P50" s="70" t="n">
        <f aca="false">P49*$D$2</f>
        <v>2869.3053145</v>
      </c>
      <c r="Q50" s="7" t="n">
        <f aca="false">Q49*$D$2</f>
        <v>9189.1588</v>
      </c>
      <c r="R50" s="7" t="n">
        <f aca="false">R49*$D$2</f>
        <v>122.5803</v>
      </c>
      <c r="S50" s="7" t="n">
        <f aca="false">S49*$D$2</f>
        <v>12181.0444145</v>
      </c>
      <c r="T50" s="87"/>
      <c r="U50" s="7" t="n">
        <f aca="false">U49*$D$2</f>
        <v>291.5745</v>
      </c>
      <c r="V50" s="7" t="n">
        <f aca="false">V49*$D$2</f>
        <v>5561.515815</v>
      </c>
      <c r="W50" s="7" t="n">
        <f aca="false">W49*$D$2</f>
        <v>15275.91</v>
      </c>
      <c r="X50" s="7" t="n">
        <f aca="false">X49*$D$2</f>
        <v>19348.427615</v>
      </c>
      <c r="Y50" s="7" t="n">
        <f aca="false">Y49*$D$2</f>
        <v>1298.36618</v>
      </c>
      <c r="Z50" s="67" t="n">
        <f aca="false">Z49*$D$2</f>
        <v>20646.793795</v>
      </c>
      <c r="AA50" s="60"/>
      <c r="AB50" s="72"/>
      <c r="AC50" s="73"/>
      <c r="AD50" s="87"/>
      <c r="AE50" s="248"/>
      <c r="AF50" s="279" t="n">
        <f aca="false">AF49*$D$2</f>
        <v>218.193938528695</v>
      </c>
    </row>
    <row r="51" customFormat="false" ht="3" hidden="false" customHeight="true" outlineLevel="0" collapsed="false">
      <c r="A51" s="75"/>
      <c r="B51" s="94"/>
      <c r="C51" s="77"/>
      <c r="D51" s="75"/>
      <c r="E51" s="77"/>
      <c r="F51" s="78"/>
      <c r="G51" s="75"/>
      <c r="H51" s="79"/>
      <c r="I51" s="75"/>
      <c r="J51" s="75"/>
      <c r="K51" s="75"/>
      <c r="L51" s="75"/>
      <c r="M51" s="80"/>
      <c r="N51" s="75"/>
      <c r="O51" s="75"/>
      <c r="P51" s="81"/>
      <c r="Q51" s="75"/>
      <c r="R51" s="75"/>
      <c r="S51" s="75"/>
      <c r="T51" s="272"/>
      <c r="U51" s="75"/>
      <c r="V51" s="75"/>
      <c r="W51" s="77"/>
      <c r="X51" s="75"/>
      <c r="Y51" s="75"/>
      <c r="Z51" s="75"/>
      <c r="AA51" s="94"/>
      <c r="AB51" s="75"/>
      <c r="AC51" s="78"/>
      <c r="AD51" s="272"/>
      <c r="AE51" s="273"/>
      <c r="AF51" s="273"/>
    </row>
    <row r="52" customFormat="false" ht="14.1" hidden="false" customHeight="true" outlineLevel="0" collapsed="false">
      <c r="A52" s="98"/>
      <c r="B52" s="99"/>
      <c r="C52" s="7"/>
      <c r="D52" s="6"/>
      <c r="E52" s="7"/>
      <c r="F52" s="6"/>
      <c r="G52" s="6"/>
      <c r="H52" s="8"/>
      <c r="I52" s="6"/>
      <c r="J52" s="6"/>
      <c r="K52" s="6"/>
      <c r="L52" s="6"/>
      <c r="M52" s="6"/>
      <c r="N52" s="6"/>
      <c r="O52" s="6"/>
      <c r="P52" s="6"/>
      <c r="Q52" s="6"/>
      <c r="R52" s="6"/>
      <c r="S52" s="6"/>
      <c r="T52" s="87"/>
      <c r="U52" s="6"/>
      <c r="V52" s="6"/>
      <c r="W52" s="7"/>
      <c r="X52" s="6"/>
      <c r="Y52" s="6"/>
      <c r="Z52" s="285"/>
      <c r="AA52" s="246"/>
      <c r="AB52" s="72"/>
      <c r="AC52" s="72"/>
      <c r="AD52" s="87"/>
      <c r="AE52" s="248"/>
      <c r="AF52" s="269"/>
    </row>
    <row r="53" customFormat="false" ht="11.1" hidden="false" customHeight="true" outlineLevel="0" collapsed="false">
      <c r="A53" s="6"/>
      <c r="B53" s="100"/>
      <c r="C53" s="7"/>
      <c r="D53" s="101"/>
      <c r="E53" s="7"/>
      <c r="F53" s="6"/>
      <c r="G53" s="6"/>
      <c r="H53" s="101"/>
      <c r="I53" s="8"/>
      <c r="J53" s="6"/>
      <c r="K53" s="102"/>
      <c r="L53" s="6"/>
      <c r="M53" s="6"/>
      <c r="N53" s="6"/>
      <c r="O53" s="6"/>
      <c r="P53" s="6"/>
      <c r="Q53" s="6"/>
      <c r="R53" s="6"/>
      <c r="S53" s="6"/>
      <c r="T53" s="87"/>
      <c r="U53" s="6"/>
      <c r="V53" s="6"/>
      <c r="W53" s="7"/>
      <c r="X53" s="6"/>
      <c r="Y53" s="6"/>
      <c r="Z53" s="89"/>
      <c r="AA53" s="246"/>
      <c r="AB53" s="72"/>
      <c r="AC53" s="72"/>
      <c r="AD53" s="87"/>
      <c r="AE53" s="248"/>
      <c r="AF53" s="269"/>
    </row>
    <row r="54" customFormat="false" ht="11.1" hidden="false" customHeight="true" outlineLevel="0" collapsed="false">
      <c r="B54" s="101"/>
      <c r="C54" s="7"/>
      <c r="D54" s="7"/>
      <c r="E54" s="7"/>
      <c r="F54" s="101"/>
      <c r="G54" s="101"/>
      <c r="H54" s="8"/>
      <c r="I54" s="101"/>
      <c r="J54" s="101"/>
      <c r="K54" s="101"/>
      <c r="L54" s="101"/>
      <c r="M54" s="87"/>
      <c r="N54" s="87"/>
      <c r="O54" s="87"/>
      <c r="P54" s="87"/>
      <c r="Q54" s="101"/>
      <c r="R54" s="101"/>
      <c r="S54" s="101"/>
      <c r="T54" s="87"/>
      <c r="U54" s="101"/>
      <c r="V54" s="101"/>
      <c r="W54" s="7"/>
      <c r="X54" s="101"/>
      <c r="Y54" s="101"/>
      <c r="Z54" s="92"/>
      <c r="AA54" s="246"/>
      <c r="AB54" s="72"/>
      <c r="AC54" s="72"/>
      <c r="AD54" s="87"/>
      <c r="AE54" s="248"/>
      <c r="AF54" s="269"/>
    </row>
    <row r="55" customFormat="false" ht="11.1" hidden="false" customHeight="true" outlineLevel="0" collapsed="false">
      <c r="A55" s="101"/>
      <c r="B55" s="10"/>
      <c r="C55" s="7"/>
      <c r="D55" s="7"/>
      <c r="E55" s="7"/>
      <c r="F55" s="101"/>
      <c r="G55" s="101"/>
      <c r="H55" s="8"/>
      <c r="I55" s="101"/>
      <c r="J55" s="101"/>
      <c r="K55" s="101"/>
      <c r="L55" s="101"/>
      <c r="M55" s="87"/>
      <c r="N55" s="87"/>
      <c r="O55" s="87"/>
      <c r="P55" s="87"/>
      <c r="Q55" s="101"/>
      <c r="R55" s="101"/>
      <c r="S55" s="101"/>
      <c r="T55" s="87"/>
      <c r="U55" s="101"/>
      <c r="V55" s="101"/>
      <c r="W55" s="7"/>
      <c r="X55" s="101"/>
      <c r="Y55" s="101"/>
      <c r="Z55" s="285"/>
      <c r="AA55" s="246"/>
      <c r="AB55" s="72"/>
      <c r="AC55" s="72"/>
      <c r="AD55" s="87"/>
      <c r="AE55" s="248"/>
      <c r="AF55" s="269"/>
    </row>
    <row r="56" customFormat="false" ht="11.1" hidden="false" customHeight="true" outlineLevel="0" collapsed="false">
      <c r="A56" s="101"/>
      <c r="B56" s="101"/>
      <c r="C56" s="7"/>
      <c r="D56" s="101"/>
      <c r="E56" s="7"/>
      <c r="F56" s="101"/>
      <c r="G56" s="103"/>
      <c r="H56" s="8"/>
      <c r="I56" s="101"/>
      <c r="J56" s="101"/>
      <c r="K56" s="101"/>
      <c r="L56" s="101"/>
      <c r="M56" s="87"/>
      <c r="N56" s="87"/>
      <c r="O56" s="87"/>
      <c r="P56" s="101"/>
      <c r="Q56" s="101"/>
      <c r="R56" s="101"/>
      <c r="S56" s="7"/>
      <c r="T56" s="87"/>
      <c r="U56" s="101"/>
      <c r="V56" s="7"/>
      <c r="W56" s="101"/>
      <c r="X56" s="101"/>
      <c r="Y56" s="101"/>
      <c r="Z56" s="245"/>
      <c r="AA56" s="246"/>
      <c r="AB56" s="72"/>
      <c r="AC56" s="65"/>
      <c r="AD56" s="247"/>
      <c r="AE56" s="248"/>
    </row>
    <row r="57" customFormat="false" ht="11.1" hidden="false" customHeight="true" outlineLevel="0" collapsed="false">
      <c r="AC57" s="65"/>
      <c r="AD57" s="247"/>
    </row>
  </sheetData>
  <mergeCells count="1">
    <mergeCell ref="M5:P5"/>
  </mergeCells>
  <printOptions headings="true" gridLines="true" gridLinesSet="true" horizontalCentered="true" verticalCentered="false"/>
  <pageMargins left="0" right="0" top="0" bottom="0" header="0.511811023622047" footer="0.511811023622047"/>
  <pageSetup paperSize="5"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F57"/>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pane xSplit="1" ySplit="11" topLeftCell="B17" activePane="bottomRight" state="frozen"/>
      <selection pane="topLeft" activeCell="A1" activeCellId="0" sqref="A1"/>
      <selection pane="topRight" activeCell="B1" activeCellId="0" sqref="B1"/>
      <selection pane="bottomLeft" activeCell="A17" activeCellId="0" sqref="A17"/>
      <selection pane="bottomRight" activeCell="V12" activeCellId="1" sqref="AA13:AA42 V12"/>
    </sheetView>
  </sheetViews>
  <sheetFormatPr defaultColWidth="9.3359375" defaultRowHeight="11.1" zeroHeight="false" outlineLevelRow="0" outlineLevelCol="0"/>
  <cols>
    <col collapsed="false" customWidth="true" hidden="false" outlineLevel="0" max="1" min="1" style="104" width="5.67"/>
    <col collapsed="false" customWidth="true" hidden="false" outlineLevel="0" max="2" min="2" style="104" width="7.49"/>
    <col collapsed="false" customWidth="true" hidden="false" outlineLevel="0" max="3" min="3" style="105" width="6.82"/>
    <col collapsed="false" customWidth="true" hidden="false" outlineLevel="0" max="4" min="4" style="104" width="6.99"/>
    <col collapsed="false" customWidth="true" hidden="false" outlineLevel="0" max="5" min="5" style="105" width="7.66"/>
    <col collapsed="false" customWidth="true" hidden="false" outlineLevel="0" max="6" min="6" style="104" width="7.66"/>
    <col collapsed="false" customWidth="true" hidden="false" outlineLevel="0" max="7" min="7" style="104" width="7.16"/>
    <col collapsed="false" customWidth="true" hidden="false" outlineLevel="0" max="8" min="8" style="108" width="6.66"/>
    <col collapsed="false" customWidth="true" hidden="false" outlineLevel="0" max="9" min="9" style="104" width="7.99"/>
    <col collapsed="false" customWidth="true" hidden="false" outlineLevel="0" max="11" min="10" style="104" width="6.66"/>
    <col collapsed="false" customWidth="true" hidden="false" outlineLevel="0" max="12" min="12" style="104" width="7.16"/>
    <col collapsed="false" customWidth="true" hidden="false" outlineLevel="0" max="13" min="13" style="107" width="6.16"/>
    <col collapsed="false" customWidth="true" hidden="false" outlineLevel="0" max="14" min="14" style="107" width="5.99"/>
    <col collapsed="false" customWidth="true" hidden="false" outlineLevel="0" max="15" min="15" style="107" width="6.49"/>
    <col collapsed="false" customWidth="true" hidden="false" outlineLevel="0" max="16" min="16" style="104" width="7.16"/>
    <col collapsed="false" customWidth="true" hidden="false" outlineLevel="0" max="18" min="17" style="104" width="5.49"/>
    <col collapsed="false" customWidth="true" hidden="false" outlineLevel="0" max="19" min="19" style="105" width="6.82"/>
    <col collapsed="false" customWidth="true" hidden="false" outlineLevel="0" max="20" min="20" style="104" width="6.49"/>
    <col collapsed="false" customWidth="true" hidden="false" outlineLevel="0" max="21" min="21" style="104" width="5.67"/>
    <col collapsed="false" customWidth="true" hidden="false" outlineLevel="0" max="22" min="22" style="105" width="6.16"/>
    <col collapsed="false" customWidth="true" hidden="false" outlineLevel="0" max="23" min="23" style="104" width="6.82"/>
    <col collapsed="false" customWidth="true" hidden="false" outlineLevel="0" max="25" min="24" style="104" width="7.82"/>
    <col collapsed="false" customWidth="true" hidden="false" outlineLevel="0" max="26" min="26" style="108" width="7.82"/>
    <col collapsed="false" customWidth="true" hidden="false" outlineLevel="0" max="27" min="27" style="106" width="5.32"/>
    <col collapsed="false" customWidth="true" hidden="false" outlineLevel="0" max="28" min="28" style="109" width="3.82"/>
    <col collapsed="false" customWidth="true" hidden="false" outlineLevel="0" max="29" min="29" style="110" width="3.82"/>
    <col collapsed="false" customWidth="true" hidden="false" outlineLevel="0" max="30" min="30" style="104" width="5.99"/>
    <col collapsed="false" customWidth="true" hidden="false" outlineLevel="0" max="31" min="31" style="104" width="6.66"/>
    <col collapsed="false" customWidth="false" hidden="false" outlineLevel="0" max="32" min="32" style="286" width="9.32"/>
    <col collapsed="false" customWidth="false" hidden="false" outlineLevel="0" max="257" min="33" style="104" width="9.32"/>
  </cols>
  <sheetData>
    <row r="1" customFormat="false" ht="14.1" hidden="false" customHeight="true" outlineLevel="0" collapsed="false">
      <c r="A1" s="111"/>
      <c r="B1" s="111"/>
      <c r="C1" s="112"/>
      <c r="D1" s="111"/>
      <c r="E1" s="112"/>
      <c r="F1" s="111"/>
      <c r="G1" s="111"/>
      <c r="H1" s="115"/>
      <c r="I1" s="111"/>
      <c r="J1" s="111"/>
      <c r="K1" s="114" t="s">
        <v>0</v>
      </c>
      <c r="L1" s="111"/>
      <c r="M1" s="111"/>
      <c r="N1" s="111"/>
      <c r="O1" s="111"/>
      <c r="P1" s="111"/>
      <c r="Q1" s="111"/>
      <c r="R1" s="111"/>
      <c r="S1" s="112"/>
      <c r="T1" s="111"/>
      <c r="U1" s="111"/>
      <c r="V1" s="112"/>
      <c r="W1" s="111"/>
      <c r="X1" s="111"/>
      <c r="Y1" s="111"/>
      <c r="Z1" s="115"/>
      <c r="AA1" s="116"/>
      <c r="AB1" s="117"/>
      <c r="AC1" s="118"/>
      <c r="AD1" s="197"/>
      <c r="AE1" s="197"/>
    </row>
    <row r="2" customFormat="false" ht="14.1" hidden="false" customHeight="true" outlineLevel="0" collapsed="false">
      <c r="A2" s="111" t="s">
        <v>1</v>
      </c>
      <c r="B2" s="111"/>
      <c r="C2" s="112"/>
      <c r="D2" s="119" t="n">
        <v>1.9835</v>
      </c>
      <c r="E2" s="112"/>
      <c r="F2" s="111"/>
      <c r="G2" s="111"/>
      <c r="H2" s="115"/>
      <c r="I2" s="111"/>
      <c r="J2" s="111"/>
      <c r="K2" s="120" t="s">
        <v>85</v>
      </c>
      <c r="L2" s="120"/>
      <c r="M2" s="120"/>
      <c r="N2" s="120"/>
      <c r="O2" s="120"/>
      <c r="P2" s="120"/>
      <c r="Q2" s="120"/>
      <c r="R2" s="120"/>
      <c r="S2" s="120"/>
      <c r="T2" s="120"/>
      <c r="U2" s="111"/>
      <c r="V2" s="112"/>
      <c r="W2" s="111"/>
      <c r="X2" s="111"/>
      <c r="Y2" s="111"/>
      <c r="Z2" s="115"/>
      <c r="AA2" s="116"/>
      <c r="AB2" s="117"/>
      <c r="AC2" s="118"/>
      <c r="AD2" s="197"/>
      <c r="AE2" s="197"/>
    </row>
    <row r="3" customFormat="false" ht="14.1" hidden="false" customHeight="true" outlineLevel="0" collapsed="false">
      <c r="A3" s="111"/>
      <c r="B3" s="111"/>
      <c r="C3" s="112"/>
      <c r="D3" s="287"/>
      <c r="E3" s="112"/>
      <c r="F3" s="111"/>
      <c r="G3" s="111"/>
      <c r="H3" s="115"/>
      <c r="I3" s="111"/>
      <c r="J3" s="111"/>
      <c r="K3" s="111"/>
      <c r="L3" s="111"/>
      <c r="M3" s="111"/>
      <c r="N3" s="111"/>
      <c r="O3" s="111"/>
      <c r="P3" s="111"/>
      <c r="Q3" s="111"/>
      <c r="R3" s="111"/>
      <c r="S3" s="112"/>
      <c r="T3" s="111"/>
      <c r="U3" s="111"/>
      <c r="V3" s="112"/>
      <c r="W3" s="111"/>
      <c r="X3" s="111"/>
      <c r="Y3" s="111"/>
      <c r="Z3" s="115"/>
      <c r="AA3" s="116"/>
      <c r="AB3" s="117"/>
      <c r="AC3" s="118"/>
      <c r="AD3" s="197"/>
      <c r="AE3" s="197"/>
    </row>
    <row r="4" customFormat="false" ht="14.1" hidden="false" customHeight="true" outlineLevel="0" collapsed="false">
      <c r="A4" s="288"/>
      <c r="B4" s="130"/>
      <c r="C4" s="131"/>
      <c r="D4" s="200" t="s">
        <v>3</v>
      </c>
      <c r="E4" s="131"/>
      <c r="F4" s="288"/>
      <c r="G4" s="130"/>
      <c r="H4" s="289"/>
      <c r="I4" s="288"/>
      <c r="J4" s="288"/>
      <c r="K4" s="288"/>
      <c r="L4" s="288"/>
      <c r="M4" s="288"/>
      <c r="N4" s="288"/>
      <c r="O4" s="288"/>
      <c r="P4" s="288"/>
      <c r="Q4" s="290" t="s">
        <v>4</v>
      </c>
      <c r="R4" s="288"/>
      <c r="S4" s="131"/>
      <c r="T4" s="288"/>
      <c r="U4" s="288"/>
      <c r="V4" s="131"/>
      <c r="W4" s="288"/>
      <c r="X4" s="288"/>
      <c r="Y4" s="288"/>
      <c r="Z4" s="289"/>
      <c r="AA4" s="135"/>
      <c r="AB4" s="136" t="s">
        <v>5</v>
      </c>
      <c r="AC4" s="137"/>
      <c r="AD4" s="291"/>
      <c r="AE4" s="291"/>
      <c r="AF4" s="292"/>
    </row>
    <row r="5" customFormat="false" ht="11.1" hidden="false" customHeight="true" outlineLevel="0" collapsed="false">
      <c r="A5" s="138" t="s">
        <v>6</v>
      </c>
      <c r="B5" s="139" t="s">
        <v>7</v>
      </c>
      <c r="C5" s="140" t="s">
        <v>7</v>
      </c>
      <c r="D5" s="138" t="s">
        <v>8</v>
      </c>
      <c r="E5" s="140" t="s">
        <v>9</v>
      </c>
      <c r="F5" s="138" t="s">
        <v>10</v>
      </c>
      <c r="G5" s="232" t="s">
        <v>11</v>
      </c>
      <c r="H5" s="293" t="s">
        <v>12</v>
      </c>
      <c r="I5" s="234" t="s">
        <v>13</v>
      </c>
      <c r="J5" s="234" t="s">
        <v>14</v>
      </c>
      <c r="K5" s="234" t="s">
        <v>15</v>
      </c>
      <c r="L5" s="138" t="s">
        <v>14</v>
      </c>
      <c r="M5" s="143" t="s">
        <v>16</v>
      </c>
      <c r="N5" s="143"/>
      <c r="O5" s="143"/>
      <c r="P5" s="143"/>
      <c r="Q5" s="138" t="s">
        <v>17</v>
      </c>
      <c r="R5" s="138" t="s">
        <v>18</v>
      </c>
      <c r="S5" s="138" t="s">
        <v>15</v>
      </c>
      <c r="T5" s="140" t="s">
        <v>19</v>
      </c>
      <c r="U5" s="138" t="s">
        <v>20</v>
      </c>
      <c r="V5" s="138" t="s">
        <v>21</v>
      </c>
      <c r="W5" s="140" t="s">
        <v>22</v>
      </c>
      <c r="X5" s="138" t="s">
        <v>13</v>
      </c>
      <c r="Y5" s="138" t="s">
        <v>14</v>
      </c>
      <c r="Z5" s="138" t="s">
        <v>15</v>
      </c>
      <c r="AA5" s="144" t="s">
        <v>23</v>
      </c>
      <c r="AB5" s="145" t="s">
        <v>24</v>
      </c>
      <c r="AC5" s="146" t="s">
        <v>25</v>
      </c>
      <c r="AD5" s="145" t="s">
        <v>64</v>
      </c>
      <c r="AE5" s="203" t="s">
        <v>19</v>
      </c>
      <c r="AF5" s="294" t="s">
        <v>19</v>
      </c>
    </row>
    <row r="6" customFormat="false" ht="11.1" hidden="false" customHeight="true" outlineLevel="0" collapsed="false">
      <c r="A6" s="148" t="s">
        <v>86</v>
      </c>
      <c r="B6" s="139" t="s">
        <v>28</v>
      </c>
      <c r="C6" s="140" t="s">
        <v>8</v>
      </c>
      <c r="D6" s="138" t="s">
        <v>29</v>
      </c>
      <c r="E6" s="140" t="s">
        <v>30</v>
      </c>
      <c r="F6" s="138" t="s">
        <v>31</v>
      </c>
      <c r="G6" s="232" t="s">
        <v>32</v>
      </c>
      <c r="H6" s="293" t="s">
        <v>33</v>
      </c>
      <c r="I6" s="234" t="s">
        <v>34</v>
      </c>
      <c r="J6" s="234" t="s">
        <v>34</v>
      </c>
      <c r="K6" s="234" t="s">
        <v>34</v>
      </c>
      <c r="L6" s="138" t="s">
        <v>35</v>
      </c>
      <c r="M6" s="149" t="s">
        <v>36</v>
      </c>
      <c r="N6" s="138" t="s">
        <v>37</v>
      </c>
      <c r="O6" s="138" t="s">
        <v>38</v>
      </c>
      <c r="P6" s="150" t="s">
        <v>39</v>
      </c>
      <c r="Q6" s="138" t="s">
        <v>40</v>
      </c>
      <c r="R6" s="138" t="s">
        <v>41</v>
      </c>
      <c r="S6" s="138" t="s">
        <v>19</v>
      </c>
      <c r="T6" s="140" t="s">
        <v>80</v>
      </c>
      <c r="U6" s="138" t="s">
        <v>43</v>
      </c>
      <c r="V6" s="138" t="s">
        <v>44</v>
      </c>
      <c r="W6" s="140" t="s">
        <v>45</v>
      </c>
      <c r="X6" s="138" t="s">
        <v>46</v>
      </c>
      <c r="Y6" s="138" t="s">
        <v>46</v>
      </c>
      <c r="Z6" s="138" t="s">
        <v>46</v>
      </c>
      <c r="AA6" s="151"/>
      <c r="AB6" s="145" t="s">
        <v>47</v>
      </c>
      <c r="AC6" s="146" t="s">
        <v>47</v>
      </c>
      <c r="AD6" s="152" t="s">
        <v>42</v>
      </c>
      <c r="AE6" s="203" t="s">
        <v>42</v>
      </c>
      <c r="AF6" s="294" t="s">
        <v>42</v>
      </c>
    </row>
    <row r="7" customFormat="false" ht="11.1" hidden="false" customHeight="true" outlineLevel="0" collapsed="false">
      <c r="A7" s="153"/>
      <c r="B7" s="154"/>
      <c r="C7" s="155"/>
      <c r="D7" s="153"/>
      <c r="E7" s="156" t="s">
        <v>48</v>
      </c>
      <c r="F7" s="153"/>
      <c r="G7" s="154"/>
      <c r="H7" s="295"/>
      <c r="I7" s="153"/>
      <c r="J7" s="153"/>
      <c r="K7" s="153"/>
      <c r="L7" s="153"/>
      <c r="M7" s="159"/>
      <c r="N7" s="153"/>
      <c r="O7" s="153"/>
      <c r="P7" s="160"/>
      <c r="Q7" s="153"/>
      <c r="R7" s="153"/>
      <c r="S7" s="153"/>
      <c r="T7" s="156" t="s">
        <v>81</v>
      </c>
      <c r="U7" s="153"/>
      <c r="V7" s="153"/>
      <c r="W7" s="156"/>
      <c r="X7" s="153"/>
      <c r="Y7" s="153"/>
      <c r="Z7" s="153"/>
      <c r="AA7" s="161"/>
      <c r="AB7" s="152" t="s">
        <v>50</v>
      </c>
      <c r="AC7" s="162"/>
      <c r="AD7" s="118"/>
      <c r="AE7" s="296" t="s">
        <v>51</v>
      </c>
      <c r="AF7" s="297" t="s">
        <v>83</v>
      </c>
    </row>
    <row r="8" customFormat="false" ht="11.1" hidden="false" customHeight="true" outlineLevel="0" collapsed="false">
      <c r="A8" s="153"/>
      <c r="B8" s="154"/>
      <c r="C8" s="155"/>
      <c r="D8" s="153"/>
      <c r="E8" s="155"/>
      <c r="F8" s="153"/>
      <c r="G8" s="154"/>
      <c r="H8" s="295"/>
      <c r="I8" s="153"/>
      <c r="J8" s="153"/>
      <c r="K8" s="153"/>
      <c r="L8" s="153"/>
      <c r="M8" s="159"/>
      <c r="N8" s="153"/>
      <c r="O8" s="153"/>
      <c r="P8" s="160"/>
      <c r="Q8" s="153"/>
      <c r="R8" s="153"/>
      <c r="S8" s="153"/>
      <c r="T8" s="155"/>
      <c r="U8" s="153"/>
      <c r="V8" s="153"/>
      <c r="W8" s="156"/>
      <c r="X8" s="153"/>
      <c r="Y8" s="153"/>
      <c r="Z8" s="153"/>
      <c r="AA8" s="161"/>
      <c r="AB8" s="118"/>
      <c r="AC8" s="162"/>
      <c r="AD8" s="118"/>
      <c r="AE8" s="296"/>
      <c r="AF8" s="298"/>
    </row>
    <row r="9" customFormat="false" ht="11.1" hidden="false" customHeight="true" outlineLevel="0" collapsed="false">
      <c r="A9" s="111" t="s">
        <v>52</v>
      </c>
      <c r="B9" s="163"/>
      <c r="C9" s="112"/>
      <c r="D9" s="112"/>
      <c r="E9" s="112"/>
      <c r="F9" s="112" t="n">
        <f aca="false">APR!F46</f>
        <v>12422.4855054197</v>
      </c>
      <c r="G9" s="299" t="n">
        <f aca="false">APR!G46</f>
        <v>14322</v>
      </c>
      <c r="H9" s="115" t="n">
        <f aca="false">APR!H46</f>
        <v>948.8</v>
      </c>
      <c r="I9" s="112" t="n">
        <f aca="false">APR!I46</f>
        <v>15270.8</v>
      </c>
      <c r="J9" s="112" t="n">
        <f aca="false">APR!J46</f>
        <v>3522.75276027225</v>
      </c>
      <c r="K9" s="112" t="n">
        <f aca="false">APR!K46</f>
        <v>18793.5527602722</v>
      </c>
      <c r="L9" s="112" t="n">
        <f aca="false">APR!L46</f>
        <v>3502.68550541971</v>
      </c>
      <c r="M9" s="165" t="n">
        <f aca="false">APR!M46</f>
        <v>1152.38</v>
      </c>
      <c r="N9" s="112" t="n">
        <f aca="false">APR!N46</f>
        <v>0</v>
      </c>
      <c r="O9" s="112" t="n">
        <f aca="false">APR!O46</f>
        <v>662.613</v>
      </c>
      <c r="P9" s="166" t="n">
        <f aca="false">APR!P46</f>
        <v>489.4145</v>
      </c>
      <c r="Q9" s="112" t="n">
        <f aca="false">APR!Q46</f>
        <v>4570.8</v>
      </c>
      <c r="R9" s="112" t="n">
        <f aca="false">APR!R46</f>
        <v>10.8</v>
      </c>
      <c r="S9" s="112" t="n">
        <f aca="false">APR!S46</f>
        <v>5003.0145</v>
      </c>
      <c r="T9" s="112" t="n">
        <f aca="false">APR!T46</f>
        <v>10774.7787034573</v>
      </c>
      <c r="U9" s="112" t="n">
        <f aca="false">APR!U46</f>
        <v>147</v>
      </c>
      <c r="V9" s="112" t="n">
        <f aca="false">APR!V46</f>
        <v>540</v>
      </c>
      <c r="W9" s="112"/>
      <c r="X9" s="112" t="n">
        <f aca="false">APR!X46</f>
        <v>6351</v>
      </c>
      <c r="Y9" s="112" t="n">
        <f aca="false">APR!Y46</f>
        <v>20.0672548525334</v>
      </c>
      <c r="Z9" s="112" t="n">
        <f aca="false">APR!Z46</f>
        <v>6371.06725485253</v>
      </c>
      <c r="AA9" s="161"/>
      <c r="AB9" s="117"/>
      <c r="AC9" s="167"/>
      <c r="AD9" s="118" t="n">
        <f aca="false">APR!AD41</f>
        <v>1423.650915</v>
      </c>
      <c r="AE9" s="208"/>
      <c r="AF9" s="298" t="n">
        <f aca="false">APR!AF46</f>
        <v>110.004506442498</v>
      </c>
    </row>
    <row r="10" s="105" customFormat="true" ht="11.1" hidden="false" customHeight="true" outlineLevel="0" collapsed="false">
      <c r="A10" s="112" t="s">
        <v>53</v>
      </c>
      <c r="B10" s="168" t="n">
        <f aca="false">APR!B41</f>
        <v>6873.6</v>
      </c>
      <c r="C10" s="112" t="n">
        <f aca="false">APR!C41</f>
        <v>197625</v>
      </c>
      <c r="D10" s="112" t="n">
        <f aca="false">APR!D50</f>
        <v>41058</v>
      </c>
      <c r="E10" s="112" t="n">
        <f aca="false">APR!E50</f>
        <v>45625</v>
      </c>
      <c r="F10" s="112" t="n">
        <f aca="false">APR!F49</f>
        <v>20699.7731283085</v>
      </c>
      <c r="G10" s="299" t="n">
        <f aca="false">APR!G49</f>
        <v>21876</v>
      </c>
      <c r="H10" s="115" t="n">
        <f aca="false">APR!H49</f>
        <v>1231.54</v>
      </c>
      <c r="I10" s="112" t="n">
        <f aca="false">APR!I49</f>
        <v>23107.54</v>
      </c>
      <c r="J10" s="112" t="n">
        <f aca="false">APR!J49</f>
        <v>8001.50653138392</v>
      </c>
      <c r="K10" s="112" t="n">
        <f aca="false">APR!K49</f>
        <v>31109.0465313839</v>
      </c>
      <c r="L10" s="112" t="n">
        <f aca="false">APR!L49</f>
        <v>7346.92312830853</v>
      </c>
      <c r="M10" s="165" t="n">
        <f aca="false">APR!M49</f>
        <v>2109.2</v>
      </c>
      <c r="N10" s="112" t="n">
        <f aca="false">APR!N49</f>
        <v>0</v>
      </c>
      <c r="O10" s="112" t="n">
        <f aca="false">APR!O49</f>
        <v>662.613</v>
      </c>
      <c r="P10" s="166" t="n">
        <f aca="false">APR!P49</f>
        <v>1446.587</v>
      </c>
      <c r="Q10" s="112" t="n">
        <f aca="false">APR!Q49</f>
        <v>4632.8</v>
      </c>
      <c r="R10" s="112" t="n">
        <f aca="false">APR!R49</f>
        <v>61.8</v>
      </c>
      <c r="S10" s="112" t="n">
        <f aca="false">APR!S49</f>
        <v>6141.187</v>
      </c>
      <c r="T10" s="112"/>
      <c r="U10" s="112" t="n">
        <f aca="false">APR!U49</f>
        <v>147</v>
      </c>
      <c r="V10" s="112" t="n">
        <f aca="false">APR!V49</f>
        <v>2803.89</v>
      </c>
      <c r="W10" s="112" t="n">
        <f aca="false">APR!W49</f>
        <v>7701.49231157046</v>
      </c>
      <c r="X10" s="112" t="n">
        <f aca="false">APR!X49</f>
        <v>9754.69</v>
      </c>
      <c r="Y10" s="112" t="n">
        <f aca="false">APR!Y49</f>
        <v>654.583403075372</v>
      </c>
      <c r="Z10" s="112" t="n">
        <f aca="false">APR!Z49</f>
        <v>10409.2734030754</v>
      </c>
      <c r="AA10" s="161" t="n">
        <f aca="false">APR!AA49</f>
        <v>7.35</v>
      </c>
      <c r="AB10" s="117"/>
      <c r="AC10" s="167"/>
      <c r="AD10" s="118"/>
      <c r="AE10" s="211"/>
      <c r="AF10" s="298" t="n">
        <f aca="false">APR!AF49</f>
        <v>110.004506442498</v>
      </c>
    </row>
    <row r="11" customFormat="false" ht="3" hidden="false" customHeight="true" outlineLevel="0" collapsed="false">
      <c r="A11" s="169"/>
      <c r="B11" s="170"/>
      <c r="C11" s="171"/>
      <c r="D11" s="169"/>
      <c r="E11" s="171"/>
      <c r="F11" s="169"/>
      <c r="G11" s="185"/>
      <c r="H11" s="300"/>
      <c r="I11" s="169"/>
      <c r="J11" s="169"/>
      <c r="K11" s="169"/>
      <c r="L11" s="169"/>
      <c r="M11" s="174"/>
      <c r="N11" s="169"/>
      <c r="O11" s="169"/>
      <c r="P11" s="175"/>
      <c r="Q11" s="169"/>
      <c r="R11" s="169"/>
      <c r="S11" s="169"/>
      <c r="T11" s="171"/>
      <c r="U11" s="169"/>
      <c r="V11" s="169"/>
      <c r="W11" s="171"/>
      <c r="X11" s="169"/>
      <c r="Y11" s="169"/>
      <c r="Z11" s="169"/>
      <c r="AA11" s="176"/>
      <c r="AB11" s="177"/>
      <c r="AC11" s="178"/>
      <c r="AD11" s="179"/>
      <c r="AE11" s="179"/>
      <c r="AF11" s="301"/>
    </row>
    <row r="12" customFormat="false" ht="11.1" hidden="false" customHeight="true" outlineLevel="0" collapsed="false">
      <c r="A12" s="118" t="n">
        <v>1</v>
      </c>
      <c r="B12" s="168" t="n">
        <v>6873.95</v>
      </c>
      <c r="C12" s="112" t="n">
        <v>198600</v>
      </c>
      <c r="D12" s="117" t="n">
        <f aca="false">C12-C10</f>
        <v>975</v>
      </c>
      <c r="E12" s="112" t="n">
        <f aca="false">C12-152000</f>
        <v>46600</v>
      </c>
      <c r="F12" s="111" t="n">
        <f aca="false">D12/$D$2</f>
        <v>491.555331484749</v>
      </c>
      <c r="G12" s="163" t="n">
        <v>931</v>
      </c>
      <c r="H12" s="115" t="n">
        <v>21</v>
      </c>
      <c r="I12" s="111" t="n">
        <f aca="false">G12+H12</f>
        <v>952</v>
      </c>
      <c r="J12" s="181" t="n">
        <f aca="false">IF(L12&gt;0,L12,0)</f>
        <v>0</v>
      </c>
      <c r="K12" s="111" t="n">
        <f aca="false">I12+J12</f>
        <v>952</v>
      </c>
      <c r="L12" s="111" t="n">
        <f aca="false">F12-(I12-X12)</f>
        <v>-93.4446685152508</v>
      </c>
      <c r="M12" s="182" t="n">
        <v>83</v>
      </c>
      <c r="N12" s="111" t="n">
        <v>0</v>
      </c>
      <c r="O12" s="111" t="n">
        <f aca="false">43.33*1.05</f>
        <v>45.4965</v>
      </c>
      <c r="P12" s="90" t="n">
        <f aca="false">M12-(N12+O12)</f>
        <v>37.5035</v>
      </c>
      <c r="Q12" s="111" t="n">
        <v>253</v>
      </c>
      <c r="R12" s="111" t="n">
        <v>0</v>
      </c>
      <c r="S12" s="111" t="n">
        <f aca="false">SUM(P12:R12)</f>
        <v>290.5035</v>
      </c>
      <c r="T12" s="112" t="n">
        <f aca="false">T9+AE12-(AF12/1.9835)</f>
        <v>11515.1152948246</v>
      </c>
      <c r="U12" s="111" t="n">
        <v>13</v>
      </c>
      <c r="V12" s="235" t="n">
        <v>18</v>
      </c>
      <c r="W12" s="236" t="n">
        <f aca="false">W10-V12</f>
        <v>7683.49231157046</v>
      </c>
      <c r="X12" s="6" t="n">
        <f aca="false">N12+O12+S12+U12+V12</f>
        <v>367</v>
      </c>
      <c r="Y12" s="111" t="n">
        <f aca="false">IF(L12&lt;0,L12*-1,0)</f>
        <v>93.4446685152508</v>
      </c>
      <c r="Z12" s="111" t="n">
        <f aca="false">X12+Y12</f>
        <v>460.444668515251</v>
      </c>
      <c r="AA12" s="161" t="n">
        <v>0</v>
      </c>
      <c r="AB12" s="117" t="n">
        <v>59</v>
      </c>
      <c r="AC12" s="167" t="n">
        <v>28</v>
      </c>
      <c r="AD12" s="118" t="n">
        <f aca="false">AD9-(Q12*1.9835)</f>
        <v>921.825415000001</v>
      </c>
      <c r="AE12" s="12" t="n">
        <f aca="false">795-(P12+3.35+8)</f>
        <v>746.1465</v>
      </c>
      <c r="AF12" s="298" t="n">
        <f aca="false">23.5*(T9*1.9835+AE12*1.9835)/E12</f>
        <v>11.5239537728509</v>
      </c>
    </row>
    <row r="13" customFormat="false" ht="11.1" hidden="false" customHeight="true" outlineLevel="0" collapsed="false">
      <c r="A13" s="118" t="n">
        <f aca="false">A12+1</f>
        <v>2</v>
      </c>
      <c r="B13" s="168" t="n">
        <v>6874.53</v>
      </c>
      <c r="C13" s="112" t="n">
        <v>200234</v>
      </c>
      <c r="D13" s="117" t="n">
        <f aca="false">C13-C12</f>
        <v>1634</v>
      </c>
      <c r="E13" s="112" t="n">
        <f aca="false">C13-152000</f>
        <v>48234</v>
      </c>
      <c r="F13" s="111" t="n">
        <f aca="false">D13/$D$2</f>
        <v>823.796319637005</v>
      </c>
      <c r="G13" s="163" t="n">
        <v>894</v>
      </c>
      <c r="H13" s="115" t="n">
        <v>11</v>
      </c>
      <c r="I13" s="111" t="n">
        <f aca="false">G13+H13</f>
        <v>905</v>
      </c>
      <c r="J13" s="181" t="n">
        <f aca="false">IF(L13&gt;0,L13,0)</f>
        <v>0</v>
      </c>
      <c r="K13" s="111" t="n">
        <f aca="false">I13+J13</f>
        <v>905</v>
      </c>
      <c r="L13" s="111" t="n">
        <f aca="false">F13-(I13-X13)</f>
        <v>-22.2036803629948</v>
      </c>
      <c r="M13" s="182" t="n">
        <v>41</v>
      </c>
      <c r="N13" s="111" t="n">
        <v>0</v>
      </c>
      <c r="O13" s="111" t="n">
        <f aca="false">8.64*1.05</f>
        <v>9.072</v>
      </c>
      <c r="P13" s="90" t="n">
        <f aca="false">M13-(N13+O13)</f>
        <v>31.928</v>
      </c>
      <c r="Q13" s="111" t="n">
        <v>0</v>
      </c>
      <c r="R13" s="111" t="n">
        <v>0</v>
      </c>
      <c r="S13" s="111" t="n">
        <f aca="false">SUM(P13:R13)</f>
        <v>31.928</v>
      </c>
      <c r="T13" s="112" t="n">
        <f aca="false">T12+AE13+(AD12/1.9835)-(AF13/1.9835)</f>
        <v>12725.6076603583</v>
      </c>
      <c r="U13" s="111" t="n">
        <v>0</v>
      </c>
      <c r="V13" s="235" t="n">
        <v>18</v>
      </c>
      <c r="W13" s="236" t="n">
        <f aca="false">W12-V13</f>
        <v>7665.49231157046</v>
      </c>
      <c r="X13" s="6" t="n">
        <f aca="false">N13+O13+S13+U13+V13</f>
        <v>59</v>
      </c>
      <c r="Y13" s="111" t="n">
        <f aca="false">IF(L13&lt;0,L13*-1,0)</f>
        <v>22.2036803629948</v>
      </c>
      <c r="Z13" s="111" t="n">
        <f aca="false">X13+Y13</f>
        <v>81.2036803629948</v>
      </c>
      <c r="AA13" s="161" t="n">
        <v>0</v>
      </c>
      <c r="AB13" s="117" t="n">
        <v>63</v>
      </c>
      <c r="AC13" s="167" t="n">
        <v>38</v>
      </c>
      <c r="AD13" s="118" t="n">
        <v>0</v>
      </c>
      <c r="AE13" s="12" t="n">
        <f aca="false">795-(S13+3.35+8)</f>
        <v>751.722</v>
      </c>
      <c r="AF13" s="298" t="n">
        <f aca="false">23.5*(T12*1.9835+AE13*1.9835)/E13</f>
        <v>11.8543949640438</v>
      </c>
    </row>
    <row r="14" customFormat="false" ht="11.1" hidden="false" customHeight="true" outlineLevel="0" collapsed="false">
      <c r="A14" s="118" t="n">
        <f aca="false">A13+1</f>
        <v>3</v>
      </c>
      <c r="B14" s="168" t="n">
        <v>6875.12</v>
      </c>
      <c r="C14" s="112" t="n">
        <v>201903</v>
      </c>
      <c r="D14" s="117" t="n">
        <f aca="false">C14-C13</f>
        <v>1669</v>
      </c>
      <c r="E14" s="112" t="n">
        <f aca="false">C14-152000</f>
        <v>49903</v>
      </c>
      <c r="F14" s="111" t="n">
        <f aca="false">D14/$D$2</f>
        <v>841.441895639022</v>
      </c>
      <c r="G14" s="163" t="n">
        <v>893</v>
      </c>
      <c r="H14" s="115" t="n">
        <v>5.8</v>
      </c>
      <c r="I14" s="111" t="n">
        <f aca="false">G14+H14</f>
        <v>898.8</v>
      </c>
      <c r="J14" s="181" t="n">
        <f aca="false">IF(L14&gt;0,L14,0)</f>
        <v>3.64189563902198</v>
      </c>
      <c r="K14" s="111" t="n">
        <f aca="false">I14+J14</f>
        <v>902.441895639022</v>
      </c>
      <c r="L14" s="111" t="n">
        <f aca="false">F14-(I14-X14)</f>
        <v>3.64189563902198</v>
      </c>
      <c r="M14" s="182" t="n">
        <v>43</v>
      </c>
      <c r="N14" s="111" t="n">
        <v>0</v>
      </c>
      <c r="O14" s="111" t="n">
        <v>0</v>
      </c>
      <c r="P14" s="90" t="n">
        <f aca="false">M14-(N14+O14)</f>
        <v>43</v>
      </c>
      <c r="Q14" s="111" t="n">
        <v>0</v>
      </c>
      <c r="R14" s="111" t="n">
        <v>0</v>
      </c>
      <c r="S14" s="111" t="n">
        <f aca="false">SUM(P14:R14)</f>
        <v>43</v>
      </c>
      <c r="T14" s="112" t="n">
        <f aca="false">T13+AE14-(AF14/1.9835)</f>
        <v>13459.9162168575</v>
      </c>
      <c r="U14" s="111" t="n">
        <v>0</v>
      </c>
      <c r="V14" s="235" t="n">
        <v>18</v>
      </c>
      <c r="W14" s="236" t="n">
        <f aca="false">W13-V14</f>
        <v>7647.49231157046</v>
      </c>
      <c r="X14" s="6" t="n">
        <f aca="false">N14+O14+S14+U14+V14</f>
        <v>61</v>
      </c>
      <c r="Y14" s="111" t="n">
        <f aca="false">IF(L14&lt;0,L14*-1,0)</f>
        <v>0</v>
      </c>
      <c r="Z14" s="111" t="n">
        <f aca="false">X14+Y14</f>
        <v>61</v>
      </c>
      <c r="AA14" s="161" t="n">
        <v>0</v>
      </c>
      <c r="AB14" s="117" t="n">
        <v>65</v>
      </c>
      <c r="AC14" s="167" t="n">
        <v>43</v>
      </c>
      <c r="AD14" s="118" t="n">
        <v>0</v>
      </c>
      <c r="AE14" s="12" t="n">
        <f aca="false">795-(S14+3.35+8)</f>
        <v>740.65</v>
      </c>
      <c r="AF14" s="298" t="n">
        <f aca="false">23.5*(T13*1.9835+AE14*1.9835)/E14</f>
        <v>12.5782531837572</v>
      </c>
    </row>
    <row r="15" customFormat="false" ht="11.1" hidden="false" customHeight="true" outlineLevel="0" collapsed="false">
      <c r="A15" s="118" t="n">
        <f aca="false">A14+1</f>
        <v>4</v>
      </c>
      <c r="B15" s="168" t="n">
        <v>6875.79</v>
      </c>
      <c r="C15" s="112" t="n">
        <v>203816</v>
      </c>
      <c r="D15" s="117" t="n">
        <f aca="false">C15-C14</f>
        <v>1913</v>
      </c>
      <c r="E15" s="112" t="n">
        <f aca="false">C15-152000</f>
        <v>51816</v>
      </c>
      <c r="F15" s="111" t="n">
        <f aca="false">D15/$D$2</f>
        <v>964.456768338795</v>
      </c>
      <c r="G15" s="163" t="n">
        <v>995</v>
      </c>
      <c r="H15" s="115" t="n">
        <v>4.6</v>
      </c>
      <c r="I15" s="111" t="n">
        <f aca="false">G15+H15</f>
        <v>999.6</v>
      </c>
      <c r="J15" s="181" t="n">
        <f aca="false">IF(L15&gt;0,L15,0)</f>
        <v>75.8567683387951</v>
      </c>
      <c r="K15" s="111" t="n">
        <f aca="false">I15+J15</f>
        <v>1075.4567683388</v>
      </c>
      <c r="L15" s="111" t="n">
        <f aca="false">F15-(I15-X15)</f>
        <v>75.8567683387951</v>
      </c>
      <c r="M15" s="182" t="n">
        <v>67</v>
      </c>
      <c r="N15" s="111" t="n">
        <v>0</v>
      </c>
      <c r="O15" s="111" t="n">
        <v>0</v>
      </c>
      <c r="P15" s="90" t="n">
        <f aca="false">M15-(N15+O15)</f>
        <v>67</v>
      </c>
      <c r="Q15" s="111" t="n">
        <v>0</v>
      </c>
      <c r="R15" s="111" t="n">
        <v>0</v>
      </c>
      <c r="S15" s="111" t="n">
        <f aca="false">SUM(P15:R15)</f>
        <v>67</v>
      </c>
      <c r="T15" s="112" t="n">
        <f aca="false">T14+AE15-(AF15/1.9835)</f>
        <v>14170.1367490079</v>
      </c>
      <c r="U15" s="111" t="n">
        <v>26</v>
      </c>
      <c r="V15" s="235" t="n">
        <v>18</v>
      </c>
      <c r="W15" s="236" t="n">
        <f aca="false">W14-V15</f>
        <v>7629.49231157046</v>
      </c>
      <c r="X15" s="6" t="n">
        <f aca="false">N15+O15+S15+U15+V15</f>
        <v>111</v>
      </c>
      <c r="Y15" s="111" t="n">
        <f aca="false">IF(L15&lt;0,L15*-1,0)</f>
        <v>0</v>
      </c>
      <c r="Z15" s="111" t="n">
        <f aca="false">X15+Y15</f>
        <v>111</v>
      </c>
      <c r="AA15" s="161" t="n">
        <v>0.11</v>
      </c>
      <c r="AB15" s="117" t="n">
        <v>55</v>
      </c>
      <c r="AC15" s="167" t="n">
        <v>33</v>
      </c>
      <c r="AD15" s="118" t="n">
        <v>0</v>
      </c>
      <c r="AE15" s="12" t="n">
        <f aca="false">795-(S15+3.35+8)</f>
        <v>716.65</v>
      </c>
      <c r="AF15" s="298" t="n">
        <f aca="false">23.5*(T14*1.9835+AE15*1.9835)/E15</f>
        <v>12.7528494797305</v>
      </c>
    </row>
    <row r="16" customFormat="false" ht="11.1" hidden="false" customHeight="true" outlineLevel="0" collapsed="false">
      <c r="A16" s="118" t="n">
        <f aca="false">A15+1</f>
        <v>5</v>
      </c>
      <c r="B16" s="168" t="n">
        <v>6876.17</v>
      </c>
      <c r="C16" s="112" t="n">
        <v>204906</v>
      </c>
      <c r="D16" s="117" t="n">
        <f aca="false">C16-C15</f>
        <v>1090</v>
      </c>
      <c r="E16" s="112" t="n">
        <f aca="false">C16-152000</f>
        <v>52906</v>
      </c>
      <c r="F16" s="111" t="n">
        <f aca="false">D16/$D$2</f>
        <v>549.533652634232</v>
      </c>
      <c r="G16" s="163" t="n">
        <v>792</v>
      </c>
      <c r="H16" s="115" t="n">
        <v>3.2</v>
      </c>
      <c r="I16" s="111" t="n">
        <f aca="false">G16+H16</f>
        <v>795.2</v>
      </c>
      <c r="J16" s="181" t="n">
        <f aca="false">IF(L16&gt;0,L16,0)</f>
        <v>1.33365263423241</v>
      </c>
      <c r="K16" s="111" t="n">
        <f aca="false">I16+J16</f>
        <v>796.533652634232</v>
      </c>
      <c r="L16" s="111" t="n">
        <f aca="false">F16-(I16-X16)</f>
        <v>1.33365263423241</v>
      </c>
      <c r="M16" s="182" t="n">
        <v>180</v>
      </c>
      <c r="N16" s="111" t="n">
        <v>0</v>
      </c>
      <c r="O16" s="111" t="n">
        <f aca="false">36*1.05</f>
        <v>37.8</v>
      </c>
      <c r="P16" s="90" t="n">
        <f aca="false">M16-(N16+O16)</f>
        <v>142.2</v>
      </c>
      <c r="Q16" s="111" t="n">
        <v>43</v>
      </c>
      <c r="R16" s="111" t="n">
        <v>6</v>
      </c>
      <c r="S16" s="111" t="n">
        <f aca="false">SUM(P16:R16)</f>
        <v>191.2</v>
      </c>
      <c r="T16" s="112" t="n">
        <f aca="false">T15+AE16-(AF16/1.9835)</f>
        <v>14756.0294438137</v>
      </c>
      <c r="U16" s="111" t="n">
        <v>0</v>
      </c>
      <c r="V16" s="235" t="n">
        <v>18</v>
      </c>
      <c r="W16" s="236" t="n">
        <f aca="false">W15-V16</f>
        <v>7611.49231157046</v>
      </c>
      <c r="X16" s="6" t="n">
        <f aca="false">N16+O16+S16+U16+V16</f>
        <v>247</v>
      </c>
      <c r="Y16" s="111" t="n">
        <f aca="false">IF(L16&lt;0,L16*-1,0)</f>
        <v>0</v>
      </c>
      <c r="Z16" s="111" t="n">
        <f aca="false">X16+Y16</f>
        <v>247</v>
      </c>
      <c r="AA16" s="161" t="n">
        <v>0</v>
      </c>
      <c r="AB16" s="117" t="n">
        <v>56</v>
      </c>
      <c r="AC16" s="167" t="n">
        <v>32</v>
      </c>
      <c r="AD16" s="118" t="n">
        <v>0</v>
      </c>
      <c r="AE16" s="12" t="n">
        <f aca="false">795-(S16+3.35+8)</f>
        <v>592.45</v>
      </c>
      <c r="AF16" s="298" t="n">
        <f aca="false">23.5*(T15*1.9835+AE16*1.9835)/E16</f>
        <v>13.006414852596</v>
      </c>
    </row>
    <row r="17" customFormat="false" ht="11.1" hidden="false" customHeight="true" outlineLevel="0" collapsed="false">
      <c r="A17" s="118" t="n">
        <f aca="false">A16+1</f>
        <v>6</v>
      </c>
      <c r="B17" s="168" t="n">
        <v>6876.42</v>
      </c>
      <c r="C17" s="112" t="n">
        <v>205628</v>
      </c>
      <c r="D17" s="117" t="n">
        <f aca="false">C17-C16</f>
        <v>722</v>
      </c>
      <c r="E17" s="112" t="n">
        <f aca="false">C17-152000</f>
        <v>53628</v>
      </c>
      <c r="F17" s="111" t="n">
        <f aca="false">D17/$D$2</f>
        <v>364.003024955886</v>
      </c>
      <c r="G17" s="163" t="n">
        <v>661</v>
      </c>
      <c r="H17" s="115" t="n">
        <v>2.5</v>
      </c>
      <c r="I17" s="111" t="n">
        <f aca="false">G17+H17</f>
        <v>663.5</v>
      </c>
      <c r="J17" s="181" t="n">
        <f aca="false">IF(L17&gt;0,L17,0)</f>
        <v>69.5030249558861</v>
      </c>
      <c r="K17" s="111" t="n">
        <f aca="false">I17+J17</f>
        <v>733.003024955886</v>
      </c>
      <c r="L17" s="111" t="n">
        <f aca="false">F17-(I17-X17)</f>
        <v>69.5030249558861</v>
      </c>
      <c r="M17" s="182" t="n">
        <v>252</v>
      </c>
      <c r="N17" s="111" t="n">
        <v>0</v>
      </c>
      <c r="O17" s="111" t="n">
        <f aca="false">65.76*1.05</f>
        <v>69.048</v>
      </c>
      <c r="P17" s="90" t="n">
        <f aca="false">M17-(N17+O17)</f>
        <v>182.952</v>
      </c>
      <c r="Q17" s="111" t="n">
        <v>90</v>
      </c>
      <c r="R17" s="111" t="n">
        <v>9</v>
      </c>
      <c r="S17" s="111" t="n">
        <f aca="false">SUM(P17:R17)</f>
        <v>281.952</v>
      </c>
      <c r="T17" s="112" t="n">
        <f aca="false">T16+AE17-(AF17/1.9835)</f>
        <v>15119.5990716028</v>
      </c>
      <c r="U17" s="111" t="n">
        <v>0</v>
      </c>
      <c r="V17" s="235" t="n">
        <v>18</v>
      </c>
      <c r="W17" s="236" t="n">
        <f aca="false">W16-V17</f>
        <v>7593.49231157046</v>
      </c>
      <c r="X17" s="6" t="n">
        <f aca="false">N17+O17+S17+U17+V17</f>
        <v>369</v>
      </c>
      <c r="Y17" s="111" t="n">
        <f aca="false">IF(L17&lt;0,L17*-1,0)</f>
        <v>0</v>
      </c>
      <c r="Z17" s="111" t="n">
        <f aca="false">X17+Y17</f>
        <v>369</v>
      </c>
      <c r="AA17" s="161" t="n">
        <v>0</v>
      </c>
      <c r="AB17" s="117" t="n">
        <v>59</v>
      </c>
      <c r="AC17" s="167" t="n">
        <v>31</v>
      </c>
      <c r="AD17" s="118" t="n">
        <v>0</v>
      </c>
      <c r="AE17" s="12" t="n">
        <f aca="false">IF(I17&gt;S17,I17-S17,I17-S17)-(3.35+8)</f>
        <v>370.198</v>
      </c>
      <c r="AF17" s="298" t="n">
        <f aca="false">23.5*(T16*1.9835+AE17*1.9835)/E17</f>
        <v>13.1473762804488</v>
      </c>
    </row>
    <row r="18" customFormat="false" ht="11.1" hidden="false" customHeight="true" outlineLevel="0" collapsed="false">
      <c r="A18" s="118" t="n">
        <f aca="false">A17+1</f>
        <v>7</v>
      </c>
      <c r="B18" s="168" t="n">
        <v>6876.56</v>
      </c>
      <c r="C18" s="112" t="n">
        <v>206033</v>
      </c>
      <c r="D18" s="117" t="n">
        <f aca="false">C18-C17</f>
        <v>405</v>
      </c>
      <c r="E18" s="112" t="n">
        <f aca="false">C18-152000</f>
        <v>54033</v>
      </c>
      <c r="F18" s="111" t="n">
        <f aca="false">D18/$D$2</f>
        <v>204.18452230905</v>
      </c>
      <c r="G18" s="163" t="n">
        <v>602</v>
      </c>
      <c r="H18" s="115" t="n">
        <v>2.1</v>
      </c>
      <c r="I18" s="111" t="n">
        <f aca="false">G18+H18</f>
        <v>604.1</v>
      </c>
      <c r="J18" s="181" t="n">
        <f aca="false">IF(L18&gt;0,L18,0)</f>
        <v>2.08452230904965</v>
      </c>
      <c r="K18" s="111" t="n">
        <f aca="false">I18+J18</f>
        <v>606.18452230905</v>
      </c>
      <c r="L18" s="111" t="n">
        <f aca="false">F18-(I18-X18)</f>
        <v>2.08452230904965</v>
      </c>
      <c r="M18" s="182" t="n">
        <v>260</v>
      </c>
      <c r="N18" s="111" t="n">
        <v>0</v>
      </c>
      <c r="O18" s="111" t="n">
        <f aca="false">67.95*1.05</f>
        <v>71.3475</v>
      </c>
      <c r="P18" s="90" t="n">
        <f aca="false">M18-(N18+O18)</f>
        <v>188.6525</v>
      </c>
      <c r="Q18" s="111" t="n">
        <v>111</v>
      </c>
      <c r="R18" s="111" t="n">
        <v>14</v>
      </c>
      <c r="S18" s="111" t="n">
        <f aca="false">SUM(P18:R18)</f>
        <v>313.6525</v>
      </c>
      <c r="T18" s="112" t="n">
        <f aca="false">T17+AE18-(AF18/1.9835)</f>
        <v>15391.999379712</v>
      </c>
      <c r="U18" s="111" t="n">
        <v>0</v>
      </c>
      <c r="V18" s="235" t="n">
        <v>17</v>
      </c>
      <c r="W18" s="236" t="n">
        <f aca="false">W17-V18</f>
        <v>7576.49231157046</v>
      </c>
      <c r="X18" s="6" t="n">
        <f aca="false">N18+O18+S18+U18+V18</f>
        <v>402</v>
      </c>
      <c r="Y18" s="111" t="n">
        <f aca="false">IF(L18&lt;0,L18*-1,0)</f>
        <v>0</v>
      </c>
      <c r="Z18" s="111" t="n">
        <f aca="false">X18+Y18</f>
        <v>402</v>
      </c>
      <c r="AA18" s="161" t="n">
        <v>0</v>
      </c>
      <c r="AB18" s="117" t="n">
        <v>62</v>
      </c>
      <c r="AC18" s="167" t="n">
        <v>40</v>
      </c>
      <c r="AD18" s="118" t="n">
        <v>0</v>
      </c>
      <c r="AE18" s="12" t="n">
        <f aca="false">IF(I18&gt;S18,I18-S18,I18-S18)-(3.35+8)</f>
        <v>279.0975</v>
      </c>
      <c r="AF18" s="298" t="n">
        <f aca="false">23.5*(T17*1.9835+AE18*1.9835)/E18</f>
        <v>13.2838801152942</v>
      </c>
    </row>
    <row r="19" customFormat="false" ht="11.1" hidden="false" customHeight="true" outlineLevel="0" collapsed="false">
      <c r="A19" s="118" t="n">
        <f aca="false">A18+1</f>
        <v>8</v>
      </c>
      <c r="B19" s="168" t="n">
        <v>6876.69</v>
      </c>
      <c r="C19" s="112" t="n">
        <v>206408</v>
      </c>
      <c r="D19" s="117" t="n">
        <f aca="false">C19-C18</f>
        <v>375</v>
      </c>
      <c r="E19" s="112" t="n">
        <f aca="false">C19-152000</f>
        <v>54408</v>
      </c>
      <c r="F19" s="111" t="n">
        <f aca="false">D19/$D$2</f>
        <v>189.05974287875</v>
      </c>
      <c r="G19" s="163" t="n">
        <v>576</v>
      </c>
      <c r="H19" s="115" t="n">
        <v>1.9</v>
      </c>
      <c r="I19" s="111" t="n">
        <f aca="false">G19+H19</f>
        <v>577.9</v>
      </c>
      <c r="J19" s="181" t="n">
        <f aca="false">IF(L19&gt;0,L19,0)</f>
        <v>0</v>
      </c>
      <c r="K19" s="111" t="n">
        <f aca="false">I19+J19</f>
        <v>577.9</v>
      </c>
      <c r="L19" s="111" t="n">
        <f aca="false">F19-(I19-X19)</f>
        <v>-16.8402571212503</v>
      </c>
      <c r="M19" s="182" t="n">
        <v>230</v>
      </c>
      <c r="N19" s="111" t="n">
        <v>0</v>
      </c>
      <c r="O19" s="111" t="n">
        <f aca="false">57.75*1.05</f>
        <v>60.6375</v>
      </c>
      <c r="P19" s="90" t="n">
        <f aca="false">M19-(N19+O19)</f>
        <v>169.3625</v>
      </c>
      <c r="Q19" s="111" t="n">
        <v>111</v>
      </c>
      <c r="R19" s="111" t="n">
        <v>14</v>
      </c>
      <c r="S19" s="111" t="n">
        <f aca="false">SUM(P19:R19)</f>
        <v>294.3625</v>
      </c>
      <c r="T19" s="112" t="n">
        <f aca="false">T18+AE19-(AF19/1.9835)</f>
        <v>15657.4211762921</v>
      </c>
      <c r="U19" s="111" t="n">
        <v>0</v>
      </c>
      <c r="V19" s="235" t="n">
        <v>17</v>
      </c>
      <c r="W19" s="236" t="n">
        <f aca="false">W18-V19</f>
        <v>7559.49231157046</v>
      </c>
      <c r="X19" s="6" t="n">
        <f aca="false">N19+O19+S19+U19+V19</f>
        <v>372</v>
      </c>
      <c r="Y19" s="111" t="n">
        <f aca="false">IF(L19&lt;0,L19*-1,0)</f>
        <v>16.8402571212503</v>
      </c>
      <c r="Z19" s="111" t="n">
        <f aca="false">X19+Y19</f>
        <v>388.84025712125</v>
      </c>
      <c r="AA19" s="161" t="n">
        <v>0.01</v>
      </c>
      <c r="AB19" s="117" t="n">
        <v>59</v>
      </c>
      <c r="AC19" s="167" t="n">
        <v>36</v>
      </c>
      <c r="AD19" s="118" t="n">
        <v>0</v>
      </c>
      <c r="AE19" s="12" t="n">
        <f aca="false">IF(I19&gt;S19,I19-S19,I19-S19)-(3.35+8)</f>
        <v>272.1875</v>
      </c>
      <c r="AF19" s="298" t="n">
        <f aca="false">23.5*(T18*1.9835+AE19*1.9835)/E19</f>
        <v>13.4197727334924</v>
      </c>
    </row>
    <row r="20" customFormat="false" ht="11.1" hidden="false" customHeight="true" outlineLevel="0" collapsed="false">
      <c r="A20" s="118" t="n">
        <f aca="false">A19+1</f>
        <v>9</v>
      </c>
      <c r="B20" s="168" t="n">
        <v>6876.82</v>
      </c>
      <c r="C20" s="112" t="n">
        <v>206784</v>
      </c>
      <c r="D20" s="117" t="n">
        <f aca="false">C20-C19</f>
        <v>376</v>
      </c>
      <c r="E20" s="112" t="n">
        <f aca="false">C20-152000</f>
        <v>54784</v>
      </c>
      <c r="F20" s="111" t="n">
        <f aca="false">D20/$D$2</f>
        <v>189.563902193093</v>
      </c>
      <c r="G20" s="163" t="n">
        <v>518</v>
      </c>
      <c r="H20" s="115" t="n">
        <v>1.8</v>
      </c>
      <c r="I20" s="111" t="n">
        <f aca="false">G20+H20</f>
        <v>519.8</v>
      </c>
      <c r="J20" s="181" t="n">
        <f aca="false">IF(L20&gt;0,L20,0)</f>
        <v>0</v>
      </c>
      <c r="K20" s="111" t="n">
        <f aca="false">I20+J20</f>
        <v>519.8</v>
      </c>
      <c r="L20" s="111" t="n">
        <f aca="false">F20-(I20-X20)</f>
        <v>-5.23609780690694</v>
      </c>
      <c r="M20" s="182" t="n">
        <v>179</v>
      </c>
      <c r="N20" s="111" t="n">
        <v>0</v>
      </c>
      <c r="O20" s="111" t="n">
        <f aca="false">29.95*1.05</f>
        <v>31.4475</v>
      </c>
      <c r="P20" s="90" t="n">
        <f aca="false">M20-(N20+O20)</f>
        <v>147.5525</v>
      </c>
      <c r="Q20" s="111" t="n">
        <v>112</v>
      </c>
      <c r="R20" s="111" t="n">
        <v>15</v>
      </c>
      <c r="S20" s="111" t="n">
        <f aca="false">SUM(P20:R20)</f>
        <v>274.5525</v>
      </c>
      <c r="T20" s="112" t="n">
        <f aca="false">T19+AE20-(AF20/1.9835)</f>
        <v>15884.5019781887</v>
      </c>
      <c r="U20" s="111" t="n">
        <v>0</v>
      </c>
      <c r="V20" s="235" t="n">
        <v>19</v>
      </c>
      <c r="W20" s="236" t="n">
        <f aca="false">W19-V20</f>
        <v>7540.49231157046</v>
      </c>
      <c r="X20" s="6" t="n">
        <f aca="false">N20+O20+S20+U20+V20</f>
        <v>325</v>
      </c>
      <c r="Y20" s="111" t="n">
        <f aca="false">IF(L20&lt;0,L20*-1,0)</f>
        <v>5.23609780690694</v>
      </c>
      <c r="Z20" s="111" t="n">
        <f aca="false">X20+Y20</f>
        <v>330.236097806907</v>
      </c>
      <c r="AA20" s="161" t="n">
        <v>0</v>
      </c>
      <c r="AB20" s="117" t="n">
        <v>56</v>
      </c>
      <c r="AC20" s="167" t="n">
        <v>30</v>
      </c>
      <c r="AD20" s="118" t="n">
        <v>0</v>
      </c>
      <c r="AE20" s="12" t="n">
        <f aca="false">IF(I20&gt;S20,I20-S20,I20-S20)-(3.35+8)</f>
        <v>233.8975</v>
      </c>
      <c r="AF20" s="298" t="n">
        <f aca="false">23.5*(T19*1.9835+AE20*1.9835)/E20</f>
        <v>13.5209206879562</v>
      </c>
    </row>
    <row r="21" customFormat="false" ht="11.1" hidden="false" customHeight="true" outlineLevel="0" collapsed="false">
      <c r="A21" s="118" t="n">
        <f aca="false">A20+1</f>
        <v>10</v>
      </c>
      <c r="B21" s="168" t="n">
        <v>6876.87</v>
      </c>
      <c r="C21" s="112" t="n">
        <v>206928</v>
      </c>
      <c r="D21" s="117" t="n">
        <f aca="false">C21-C20</f>
        <v>144</v>
      </c>
      <c r="E21" s="112" t="n">
        <f aca="false">C21-152000</f>
        <v>54928</v>
      </c>
      <c r="F21" s="111" t="n">
        <f aca="false">D21/$D$2</f>
        <v>72.5989412654399</v>
      </c>
      <c r="G21" s="163" t="n">
        <v>472</v>
      </c>
      <c r="H21" s="115" t="n">
        <v>1.7</v>
      </c>
      <c r="I21" s="111" t="n">
        <f aca="false">G21+H21</f>
        <v>473.7</v>
      </c>
      <c r="J21" s="181" t="n">
        <f aca="false">IF(L21&gt;0,L21,0)</f>
        <v>0</v>
      </c>
      <c r="K21" s="111" t="n">
        <f aca="false">I21+J21</f>
        <v>473.7</v>
      </c>
      <c r="L21" s="111" t="n">
        <f aca="false">F21-(I21-X21)</f>
        <v>-49.1010587345601</v>
      </c>
      <c r="M21" s="182" t="n">
        <v>171</v>
      </c>
      <c r="N21" s="111" t="n">
        <v>0</v>
      </c>
      <c r="O21" s="111" t="n">
        <v>0</v>
      </c>
      <c r="P21" s="90" t="n">
        <f aca="false">M21-(N21+O21)</f>
        <v>171</v>
      </c>
      <c r="Q21" s="111" t="n">
        <v>131</v>
      </c>
      <c r="R21" s="111" t="n">
        <v>18</v>
      </c>
      <c r="S21" s="111" t="n">
        <f aca="false">SUM(P21:R21)</f>
        <v>320</v>
      </c>
      <c r="T21" s="112" t="n">
        <f aca="false">T20+AE21-(AF21/1.9835)</f>
        <v>16019.9951652429</v>
      </c>
      <c r="U21" s="111" t="n">
        <v>13</v>
      </c>
      <c r="V21" s="235" t="n">
        <v>19</v>
      </c>
      <c r="W21" s="236" t="n">
        <f aca="false">W20-V21</f>
        <v>7521.49231157046</v>
      </c>
      <c r="X21" s="6" t="n">
        <f aca="false">N21+O21+S21+U21+V21</f>
        <v>352</v>
      </c>
      <c r="Y21" s="111" t="n">
        <f aca="false">IF(L21&lt;0,L21*-1,0)</f>
        <v>49.1010587345601</v>
      </c>
      <c r="Z21" s="111" t="n">
        <f aca="false">X21+Y21</f>
        <v>401.10105873456</v>
      </c>
      <c r="AA21" s="161" t="n">
        <v>0</v>
      </c>
      <c r="AB21" s="117" t="n">
        <v>55</v>
      </c>
      <c r="AC21" s="167" t="n">
        <v>22</v>
      </c>
      <c r="AD21" s="118" t="n">
        <v>0</v>
      </c>
      <c r="AE21" s="12" t="n">
        <f aca="false">IF(I21&gt;S21,I21-S21,I21-S21)-(3.35+8)</f>
        <v>142.35</v>
      </c>
      <c r="AF21" s="298" t="n">
        <f aca="false">23.5*(T20*1.9835+AE21*1.9835)/E21</f>
        <v>13.6004884780135</v>
      </c>
    </row>
    <row r="22" customFormat="false" ht="11.1" hidden="false" customHeight="true" outlineLevel="0" collapsed="false">
      <c r="A22" s="118" t="n">
        <f aca="false">A21+1</f>
        <v>11</v>
      </c>
      <c r="B22" s="168" t="n">
        <v>6876.89</v>
      </c>
      <c r="C22" s="112" t="n">
        <v>206986</v>
      </c>
      <c r="D22" s="117" t="n">
        <f aca="false">C22-C21</f>
        <v>58</v>
      </c>
      <c r="E22" s="112" t="n">
        <f aca="false">C22-152000</f>
        <v>54986</v>
      </c>
      <c r="F22" s="111" t="n">
        <f aca="false">D22/$D$2</f>
        <v>29.2412402319133</v>
      </c>
      <c r="G22" s="163" t="n">
        <v>444</v>
      </c>
      <c r="H22" s="115" t="n">
        <v>1.6</v>
      </c>
      <c r="I22" s="111" t="n">
        <f aca="false">G22+H22</f>
        <v>445.6</v>
      </c>
      <c r="J22" s="181" t="n">
        <f aca="false">IF(L22&gt;0,L22,0)</f>
        <v>0</v>
      </c>
      <c r="K22" s="111" t="n">
        <f aca="false">I22+J22</f>
        <v>445.6</v>
      </c>
      <c r="L22" s="111" t="n">
        <f aca="false">F22-(I22-X22)</f>
        <v>-35.7587597680867</v>
      </c>
      <c r="M22" s="182" t="n">
        <v>196</v>
      </c>
      <c r="N22" s="111" t="n">
        <v>0</v>
      </c>
      <c r="O22" s="111" t="n">
        <v>0</v>
      </c>
      <c r="P22" s="90" t="n">
        <f aca="false">M22-(N22+O22)</f>
        <v>196</v>
      </c>
      <c r="Q22" s="111" t="n">
        <v>141</v>
      </c>
      <c r="R22" s="111" t="n">
        <v>18</v>
      </c>
      <c r="S22" s="111" t="n">
        <f aca="false">SUM(P22:R22)</f>
        <v>355</v>
      </c>
      <c r="T22" s="112" t="n">
        <f aca="false">T21+AE22-(AF22/1.9835)</f>
        <v>16092.3646454491</v>
      </c>
      <c r="U22" s="111" t="n">
        <v>6.6</v>
      </c>
      <c r="V22" s="235" t="n">
        <v>19</v>
      </c>
      <c r="W22" s="236" t="n">
        <f aca="false">W21-V22</f>
        <v>7502.49231157046</v>
      </c>
      <c r="X22" s="6" t="n">
        <f aca="false">N22+O22+S22+U22+V22</f>
        <v>380.6</v>
      </c>
      <c r="Y22" s="111" t="n">
        <f aca="false">IF(L22&lt;0,L22*-1,0)</f>
        <v>35.7587597680867</v>
      </c>
      <c r="Z22" s="111" t="n">
        <f aca="false">X22+Y22</f>
        <v>416.358759768087</v>
      </c>
      <c r="AA22" s="161" t="n">
        <v>0</v>
      </c>
      <c r="AB22" s="117" t="n">
        <v>66</v>
      </c>
      <c r="AC22" s="167" t="n">
        <v>32</v>
      </c>
      <c r="AD22" s="118" t="n">
        <v>0</v>
      </c>
      <c r="AE22" s="12" t="n">
        <f aca="false">IF(I22&gt;S22,I22-S22,I22-S22)-(3.35+8)</f>
        <v>79.25</v>
      </c>
      <c r="AF22" s="298" t="n">
        <f aca="false">23.5*(T21*1.9835+AE22*1.9835)/E22</f>
        <v>13.64751101105</v>
      </c>
    </row>
    <row r="23" customFormat="false" ht="11.1" hidden="false" customHeight="true" outlineLevel="0" collapsed="false">
      <c r="A23" s="118" t="n">
        <f aca="false">A22+1</f>
        <v>12</v>
      </c>
      <c r="B23" s="168" t="n">
        <v>6876.98</v>
      </c>
      <c r="C23" s="112" t="n">
        <v>207246</v>
      </c>
      <c r="D23" s="117" t="n">
        <f aca="false">C23-C22</f>
        <v>260</v>
      </c>
      <c r="E23" s="112" t="n">
        <f aca="false">C23-152000</f>
        <v>55246</v>
      </c>
      <c r="F23" s="111" t="n">
        <f aca="false">D23/$D$2</f>
        <v>131.081421729266</v>
      </c>
      <c r="G23" s="163" t="n">
        <v>560</v>
      </c>
      <c r="H23" s="115" t="n">
        <v>1.5</v>
      </c>
      <c r="I23" s="111" t="n">
        <f aca="false">G23+H23</f>
        <v>561.5</v>
      </c>
      <c r="J23" s="181" t="n">
        <f aca="false">IF(L23&gt;0,L23,0)</f>
        <v>0</v>
      </c>
      <c r="K23" s="111" t="n">
        <f aca="false">I23+J23</f>
        <v>561.5</v>
      </c>
      <c r="L23" s="111" t="n">
        <f aca="false">F23-(I23-X23)</f>
        <v>-35.6185782707335</v>
      </c>
      <c r="M23" s="182" t="n">
        <v>191</v>
      </c>
      <c r="N23" s="111" t="n">
        <v>2.02</v>
      </c>
      <c r="O23" s="111" t="n">
        <f aca="false">8.23*1.05</f>
        <v>8.6415</v>
      </c>
      <c r="P23" s="90" t="n">
        <f aca="false">M23-(N23+O23)</f>
        <v>180.3385</v>
      </c>
      <c r="Q23" s="111" t="n">
        <v>141</v>
      </c>
      <c r="R23" s="111" t="n">
        <v>37</v>
      </c>
      <c r="S23" s="111" t="n">
        <f aca="false">SUM(P23:R23)</f>
        <v>358.3385</v>
      </c>
      <c r="T23" s="112" t="n">
        <f aca="false">T22+AE23-(AF23/1.9835)</f>
        <v>16277.2493427952</v>
      </c>
      <c r="U23" s="111" t="n">
        <v>6.8</v>
      </c>
      <c r="V23" s="235" t="n">
        <v>19</v>
      </c>
      <c r="W23" s="236" t="n">
        <f aca="false">W22-V23</f>
        <v>7483.49231157046</v>
      </c>
      <c r="X23" s="6" t="n">
        <f aca="false">N23+O23+S23+U23+V23</f>
        <v>394.8</v>
      </c>
      <c r="Y23" s="111" t="n">
        <f aca="false">IF(L23&lt;0,L23*-1,0)</f>
        <v>35.6185782707335</v>
      </c>
      <c r="Z23" s="111" t="n">
        <f aca="false">X23+Y23</f>
        <v>430.418578270734</v>
      </c>
      <c r="AA23" s="161" t="n">
        <v>0</v>
      </c>
      <c r="AB23" s="117" t="n">
        <v>71</v>
      </c>
      <c r="AC23" s="167" t="n">
        <v>38</v>
      </c>
      <c r="AD23" s="118" t="n">
        <v>0</v>
      </c>
      <c r="AE23" s="12" t="n">
        <f aca="false">IF(I23&gt;S23,I23-S23,I23-S23)-(3.35+8)</f>
        <v>191.8115</v>
      </c>
      <c r="AF23" s="298" t="n">
        <f aca="false">23.5*(T22*1.9835+AE23*1.9835)/E23</f>
        <v>13.7393130640356</v>
      </c>
    </row>
    <row r="24" customFormat="false" ht="11.1" hidden="false" customHeight="true" outlineLevel="0" collapsed="false">
      <c r="A24" s="118" t="n">
        <f aca="false">A23+1</f>
        <v>13</v>
      </c>
      <c r="B24" s="168" t="n">
        <v>6877.22</v>
      </c>
      <c r="C24" s="112" t="n">
        <v>207946</v>
      </c>
      <c r="D24" s="117" t="n">
        <f aca="false">C24-C23</f>
        <v>700</v>
      </c>
      <c r="E24" s="112" t="n">
        <f aca="false">C24-152000</f>
        <v>55946</v>
      </c>
      <c r="F24" s="111" t="n">
        <f aca="false">D24/$D$2</f>
        <v>352.911520040333</v>
      </c>
      <c r="G24" s="163" t="n">
        <v>787</v>
      </c>
      <c r="H24" s="115" t="n">
        <v>1.4</v>
      </c>
      <c r="I24" s="111" t="n">
        <f aca="false">G24+H24</f>
        <v>788.4</v>
      </c>
      <c r="J24" s="181" t="n">
        <f aca="false">IF(L24&gt;0,L24,0)</f>
        <v>47.5115200403328</v>
      </c>
      <c r="K24" s="111" t="n">
        <f aca="false">I24+J24</f>
        <v>835.911520040333</v>
      </c>
      <c r="L24" s="111" t="n">
        <f aca="false">F24-(I24-X24)</f>
        <v>47.5115200403328</v>
      </c>
      <c r="M24" s="182" t="n">
        <v>244</v>
      </c>
      <c r="N24" s="111" t="n">
        <v>3.03</v>
      </c>
      <c r="O24" s="111" t="n">
        <f aca="false">16.73*1.05</f>
        <v>17.5665</v>
      </c>
      <c r="P24" s="90" t="n">
        <f aca="false">M24-(N24+O24)</f>
        <v>223.4035</v>
      </c>
      <c r="Q24" s="111" t="n">
        <v>156</v>
      </c>
      <c r="R24" s="111" t="n">
        <v>43</v>
      </c>
      <c r="S24" s="111" t="n">
        <f aca="false">SUM(P24:R24)</f>
        <v>422.4035</v>
      </c>
      <c r="T24" s="112" t="n">
        <f aca="false">T23+AE24-(AF24/1.9835)</f>
        <v>16650.8487495748</v>
      </c>
      <c r="U24" s="111" t="n">
        <v>21</v>
      </c>
      <c r="V24" s="235" t="n">
        <v>19</v>
      </c>
      <c r="W24" s="236" t="n">
        <f aca="false">W23-V24</f>
        <v>7464.49231157046</v>
      </c>
      <c r="X24" s="6" t="n">
        <f aca="false">N24+O24+S24+U24+V24</f>
        <v>483</v>
      </c>
      <c r="Y24" s="111" t="n">
        <f aca="false">IF(L24&lt;0,L24*-1,0)</f>
        <v>0</v>
      </c>
      <c r="Z24" s="111" t="n">
        <f aca="false">X24+Y24</f>
        <v>483</v>
      </c>
      <c r="AA24" s="161" t="n">
        <v>0</v>
      </c>
      <c r="AB24" s="117" t="n">
        <v>72</v>
      </c>
      <c r="AC24" s="167" t="n">
        <v>43</v>
      </c>
      <c r="AD24" s="118" t="n">
        <v>0</v>
      </c>
      <c r="AE24" s="12" t="n">
        <f aca="false">795-(S24-8)</f>
        <v>380.5965</v>
      </c>
      <c r="AF24" s="298" t="n">
        <f aca="false">23.5*(T23*1.9835+AE24*1.9835)/E24</f>
        <v>13.8787344025637</v>
      </c>
    </row>
    <row r="25" customFormat="false" ht="11.1" hidden="false" customHeight="true" outlineLevel="0" collapsed="false">
      <c r="A25" s="118" t="n">
        <f aca="false">A24+1</f>
        <v>14</v>
      </c>
      <c r="B25" s="168" t="n">
        <v>6877.53</v>
      </c>
      <c r="C25" s="112" t="n">
        <v>208852</v>
      </c>
      <c r="D25" s="117" t="n">
        <f aca="false">C25-C24</f>
        <v>906</v>
      </c>
      <c r="E25" s="112" t="n">
        <f aca="false">C25-152000</f>
        <v>56852</v>
      </c>
      <c r="F25" s="111" t="n">
        <f aca="false">D25/$D$2</f>
        <v>456.768338795059</v>
      </c>
      <c r="G25" s="163" t="n">
        <v>854</v>
      </c>
      <c r="H25" s="115" t="n">
        <v>1.5</v>
      </c>
      <c r="I25" s="111" t="n">
        <f aca="false">G25+H25</f>
        <v>855.5</v>
      </c>
      <c r="J25" s="181" t="n">
        <f aca="false">IF(L25&gt;0,L25,0)</f>
        <v>137.168338795059</v>
      </c>
      <c r="K25" s="111" t="n">
        <f aca="false">I25+J25</f>
        <v>992.668338795059</v>
      </c>
      <c r="L25" s="111" t="n">
        <f aca="false">F25-(I25-X25)</f>
        <v>137.168338795059</v>
      </c>
      <c r="M25" s="182" t="n">
        <v>285</v>
      </c>
      <c r="N25" s="111" t="n">
        <v>0</v>
      </c>
      <c r="O25" s="111" t="n">
        <f aca="false">40.26*1.05</f>
        <v>42.273</v>
      </c>
      <c r="P25" s="90" t="n">
        <f aca="false">M25-(N25+O25)</f>
        <v>242.727</v>
      </c>
      <c r="Q25" s="111" t="n">
        <v>175</v>
      </c>
      <c r="R25" s="111" t="n">
        <v>53</v>
      </c>
      <c r="S25" s="111" t="n">
        <f aca="false">SUM(P25:R25)</f>
        <v>470.727</v>
      </c>
      <c r="T25" s="112" t="n">
        <f aca="false">T24+AE25-(AF25/1.9835)</f>
        <v>16976.1017087475</v>
      </c>
      <c r="U25" s="111" t="n">
        <v>3.9</v>
      </c>
      <c r="V25" s="235" t="n">
        <v>19</v>
      </c>
      <c r="W25" s="236" t="n">
        <f aca="false">W24-V25</f>
        <v>7445.49231157046</v>
      </c>
      <c r="X25" s="6" t="n">
        <f aca="false">N25+O25+S25+U25+V25</f>
        <v>535.9</v>
      </c>
      <c r="Y25" s="111" t="n">
        <f aca="false">IF(L25&lt;0,L25*-1,0)</f>
        <v>0</v>
      </c>
      <c r="Z25" s="111" t="n">
        <f aca="false">X25+Y25</f>
        <v>535.9</v>
      </c>
      <c r="AA25" s="161" t="n">
        <v>0</v>
      </c>
      <c r="AB25" s="117" t="n">
        <v>71</v>
      </c>
      <c r="AC25" s="167" t="n">
        <v>43</v>
      </c>
      <c r="AD25" s="118" t="n">
        <v>0</v>
      </c>
      <c r="AE25" s="12" t="n">
        <f aca="false">795-(S25-8)</f>
        <v>332.273</v>
      </c>
      <c r="AF25" s="298" t="n">
        <f aca="false">23.5*(T24*1.9835+AE25*1.9835)/E25</f>
        <v>13.9242509809966</v>
      </c>
    </row>
    <row r="26" customFormat="false" ht="11.1" hidden="false" customHeight="true" outlineLevel="0" collapsed="false">
      <c r="A26" s="118" t="n">
        <f aca="false">A25+1</f>
        <v>15</v>
      </c>
      <c r="B26" s="168" t="n">
        <v>6877.96</v>
      </c>
      <c r="C26" s="112" t="n">
        <v>210108</v>
      </c>
      <c r="D26" s="117" t="n">
        <f aca="false">C26-C25</f>
        <v>1256</v>
      </c>
      <c r="E26" s="112" t="n">
        <f aca="false">C26-152000</f>
        <v>58108</v>
      </c>
      <c r="F26" s="111" t="n">
        <f aca="false">D26/$D$2</f>
        <v>633.224098815226</v>
      </c>
      <c r="G26" s="163" t="n">
        <v>1120</v>
      </c>
      <c r="H26" s="115" t="n">
        <v>1.7</v>
      </c>
      <c r="I26" s="111" t="n">
        <f aca="false">G26+H26</f>
        <v>1121.7</v>
      </c>
      <c r="J26" s="181" t="n">
        <f aca="false">IF(L26&gt;0,L26,0)</f>
        <v>2.52409881522556</v>
      </c>
      <c r="K26" s="111" t="n">
        <f aca="false">I26+J26</f>
        <v>1124.22409881523</v>
      </c>
      <c r="L26" s="111" t="n">
        <f aca="false">F26-(I26-X26)</f>
        <v>2.52409881522556</v>
      </c>
      <c r="M26" s="182" t="n">
        <v>229</v>
      </c>
      <c r="N26" s="111" t="n">
        <v>0</v>
      </c>
      <c r="O26" s="111" t="n">
        <f aca="false">34.17*1.05</f>
        <v>35.8785</v>
      </c>
      <c r="P26" s="90" t="n">
        <f aca="false">M26-(N26+O26)</f>
        <v>193.1215</v>
      </c>
      <c r="Q26" s="111" t="n">
        <v>180</v>
      </c>
      <c r="R26" s="111" t="n">
        <v>63</v>
      </c>
      <c r="S26" s="111" t="n">
        <f aca="false">SUM(P26:R26)</f>
        <v>436.1215</v>
      </c>
      <c r="T26" s="112" t="n">
        <f aca="false">T25+AE26-(AF26/1.9835)</f>
        <v>17335.966371842</v>
      </c>
      <c r="U26" s="111" t="n">
        <v>0</v>
      </c>
      <c r="V26" s="235" t="n">
        <v>19</v>
      </c>
      <c r="W26" s="236" t="n">
        <f aca="false">W25-V26</f>
        <v>7426.49231157046</v>
      </c>
      <c r="X26" s="6" t="n">
        <f aca="false">N26+O26+S26+U26+V26</f>
        <v>491</v>
      </c>
      <c r="Y26" s="111" t="n">
        <f aca="false">IF(L26&lt;0,L26*-1,0)</f>
        <v>0</v>
      </c>
      <c r="Z26" s="111" t="n">
        <f aca="false">X26+Y26</f>
        <v>491</v>
      </c>
      <c r="AA26" s="161" t="n">
        <v>0.36</v>
      </c>
      <c r="AB26" s="117" t="n">
        <v>59</v>
      </c>
      <c r="AC26" s="167" t="n">
        <v>42</v>
      </c>
      <c r="AD26" s="118" t="n">
        <v>0</v>
      </c>
      <c r="AE26" s="12" t="n">
        <f aca="false">795-(S26-8)</f>
        <v>366.8785</v>
      </c>
      <c r="AF26" s="298" t="n">
        <f aca="false">23.5*(T25*1.9835+AE26*1.9835)/E26</f>
        <v>13.9119455020856</v>
      </c>
    </row>
    <row r="27" customFormat="false" ht="11.1" hidden="false" customHeight="true" outlineLevel="0" collapsed="false">
      <c r="A27" s="118" t="n">
        <f aca="false">A26+1</f>
        <v>16</v>
      </c>
      <c r="B27" s="168" t="n">
        <v>6878.32</v>
      </c>
      <c r="C27" s="112" t="n">
        <v>211170</v>
      </c>
      <c r="D27" s="117" t="n">
        <f aca="false">C27-C26</f>
        <v>1062</v>
      </c>
      <c r="E27" s="112" t="n">
        <f aca="false">C27-152000</f>
        <v>59170</v>
      </c>
      <c r="F27" s="111" t="n">
        <f aca="false">D27/$D$2</f>
        <v>535.417191832619</v>
      </c>
      <c r="G27" s="163" t="n">
        <v>1080</v>
      </c>
      <c r="H27" s="115" t="n">
        <v>2</v>
      </c>
      <c r="I27" s="111" t="n">
        <f aca="false">G27+H27</f>
        <v>1082</v>
      </c>
      <c r="J27" s="181" t="n">
        <f aca="false">IF(L27&gt;0,L27,0)</f>
        <v>0</v>
      </c>
      <c r="K27" s="111" t="n">
        <f aca="false">I27+J27</f>
        <v>1082</v>
      </c>
      <c r="L27" s="111" t="n">
        <f aca="false">F27-(I27-X27)</f>
        <v>-31.1828081673809</v>
      </c>
      <c r="M27" s="182" t="n">
        <v>246</v>
      </c>
      <c r="N27" s="111" t="n">
        <v>0</v>
      </c>
      <c r="O27" s="111" t="n">
        <f aca="false">27.63*1.05</f>
        <v>29.0115</v>
      </c>
      <c r="P27" s="90" t="n">
        <f aca="false">M27-(N27+O27)</f>
        <v>216.9885</v>
      </c>
      <c r="Q27" s="111" t="n">
        <v>180</v>
      </c>
      <c r="R27" s="111" t="n">
        <v>66</v>
      </c>
      <c r="S27" s="111" t="n">
        <f aca="false">SUM(P27:R27)</f>
        <v>462.9885</v>
      </c>
      <c r="T27" s="112" t="n">
        <f aca="false">T26+AE27-(AF27/1.9835)</f>
        <v>17668.9576676847</v>
      </c>
      <c r="U27" s="111" t="n">
        <v>4.4</v>
      </c>
      <c r="V27" s="235" t="n">
        <v>19</v>
      </c>
      <c r="W27" s="236" t="n">
        <f aca="false">W26-V27</f>
        <v>7407.49231157046</v>
      </c>
      <c r="X27" s="6" t="n">
        <f aca="false">N27+O27+S27+U27+V27</f>
        <v>515.4</v>
      </c>
      <c r="Y27" s="111" t="n">
        <f aca="false">IF(L27&lt;0,L27*-1,0)</f>
        <v>31.1828081673809</v>
      </c>
      <c r="Z27" s="111" t="n">
        <f aca="false">X27+Y27</f>
        <v>546.582808167381</v>
      </c>
      <c r="AA27" s="161" t="n">
        <v>0</v>
      </c>
      <c r="AB27" s="117" t="n">
        <v>74</v>
      </c>
      <c r="AC27" s="167" t="n">
        <v>40</v>
      </c>
      <c r="AD27" s="118" t="n">
        <v>0</v>
      </c>
      <c r="AE27" s="12" t="n">
        <f aca="false">795-(S27-8)</f>
        <v>340.0115</v>
      </c>
      <c r="AF27" s="298" t="n">
        <f aca="false">23.5*(T26*1.9835+AE27*1.9835)/E27</f>
        <v>13.9245749460329</v>
      </c>
    </row>
    <row r="28" customFormat="false" ht="11.1" hidden="false" customHeight="true" outlineLevel="0" collapsed="false">
      <c r="A28" s="118" t="n">
        <f aca="false">A27+1</f>
        <v>17</v>
      </c>
      <c r="B28" s="168" t="n">
        <v>6879.02</v>
      </c>
      <c r="C28" s="112" t="n">
        <v>213238</v>
      </c>
      <c r="D28" s="117" t="n">
        <f aca="false">C28-C27</f>
        <v>2068</v>
      </c>
      <c r="E28" s="112" t="n">
        <f aca="false">C28-152000</f>
        <v>61238</v>
      </c>
      <c r="F28" s="111" t="n">
        <f aca="false">D28/$D$2</f>
        <v>1042.60146206201</v>
      </c>
      <c r="G28" s="163" t="n">
        <v>1490</v>
      </c>
      <c r="H28" s="115" t="n">
        <v>2.1</v>
      </c>
      <c r="I28" s="111" t="n">
        <f aca="false">G28+H28</f>
        <v>1492.1</v>
      </c>
      <c r="J28" s="181" t="n">
        <f aca="false">IF(L28&gt;0,L28,0)</f>
        <v>86.5014620620116</v>
      </c>
      <c r="K28" s="111" t="n">
        <f aca="false">I28+J28</f>
        <v>1578.60146206201</v>
      </c>
      <c r="L28" s="111" t="n">
        <f aca="false">F28-(I28-X28)</f>
        <v>86.5014620620116</v>
      </c>
      <c r="M28" s="182" t="n">
        <v>244</v>
      </c>
      <c r="N28" s="111" t="n">
        <v>0</v>
      </c>
      <c r="O28" s="111" t="n">
        <f aca="false">17.1*1.05</f>
        <v>17.955</v>
      </c>
      <c r="P28" s="90" t="n">
        <f aca="false">M28-(N28+O28)</f>
        <v>226.045</v>
      </c>
      <c r="Q28" s="111" t="n">
        <v>178</v>
      </c>
      <c r="R28" s="111" t="n">
        <v>71</v>
      </c>
      <c r="S28" s="111" t="n">
        <f aca="false">SUM(P28:R28)</f>
        <v>475.045</v>
      </c>
      <c r="T28" s="112" t="n">
        <f aca="false">T27+AE28-(AF28/1.9835)</f>
        <v>17990.006376694</v>
      </c>
      <c r="U28" s="111" t="n">
        <v>24</v>
      </c>
      <c r="V28" s="235" t="n">
        <v>19</v>
      </c>
      <c r="W28" s="236" t="n">
        <f aca="false">W27-V28</f>
        <v>7388.49231157046</v>
      </c>
      <c r="X28" s="6" t="n">
        <f aca="false">N28+O28+S28+U28+V28</f>
        <v>536</v>
      </c>
      <c r="Y28" s="111" t="n">
        <f aca="false">IF(L28&lt;0,L28*-1,0)</f>
        <v>0</v>
      </c>
      <c r="Z28" s="111" t="n">
        <f aca="false">X28+Y28</f>
        <v>536</v>
      </c>
      <c r="AA28" s="161" t="n">
        <v>0</v>
      </c>
      <c r="AB28" s="117" t="n">
        <v>76</v>
      </c>
      <c r="AC28" s="167" t="n">
        <v>46</v>
      </c>
      <c r="AD28" s="118" t="n">
        <v>0</v>
      </c>
      <c r="AE28" s="12" t="n">
        <f aca="false">795-(S28-8)</f>
        <v>327.955</v>
      </c>
      <c r="AF28" s="298" t="n">
        <f aca="false">23.5*(T27*1.9835+AE28*1.9835)/E28</f>
        <v>13.6986281801216</v>
      </c>
    </row>
    <row r="29" customFormat="false" ht="11.1" hidden="false" customHeight="true" outlineLevel="0" collapsed="false">
      <c r="A29" s="118" t="n">
        <f aca="false">A28+1</f>
        <v>18</v>
      </c>
      <c r="B29" s="168" t="n">
        <v>6879.72</v>
      </c>
      <c r="C29" s="112" t="n">
        <v>215329</v>
      </c>
      <c r="D29" s="117" t="n">
        <f aca="false">C29-C28</f>
        <v>2091</v>
      </c>
      <c r="E29" s="112" t="n">
        <f aca="false">C29-152000</f>
        <v>63329</v>
      </c>
      <c r="F29" s="111" t="n">
        <f aca="false">D29/$D$2</f>
        <v>1054.19712629191</v>
      </c>
      <c r="G29" s="163" t="n">
        <v>1450</v>
      </c>
      <c r="H29" s="115" t="n">
        <v>2.3</v>
      </c>
      <c r="I29" s="111" t="n">
        <f aca="false">G29+H29</f>
        <v>1452.3</v>
      </c>
      <c r="J29" s="181" t="n">
        <f aca="false">IF(L29&gt;0,L29,0)</f>
        <v>141.897126291908</v>
      </c>
      <c r="K29" s="111" t="n">
        <f aca="false">I29+J29</f>
        <v>1594.19712629191</v>
      </c>
      <c r="L29" s="111" t="n">
        <f aca="false">F29-(I29-X29)</f>
        <v>141.897126291908</v>
      </c>
      <c r="M29" s="182" t="n">
        <v>244</v>
      </c>
      <c r="N29" s="111" t="n">
        <v>0</v>
      </c>
      <c r="O29" s="111" t="n">
        <f aca="false">18.01*1.05</f>
        <v>18.9105</v>
      </c>
      <c r="P29" s="90" t="n">
        <f aca="false">M29-(N29+O29)</f>
        <v>225.0895</v>
      </c>
      <c r="Q29" s="111" t="n">
        <v>181</v>
      </c>
      <c r="R29" s="111" t="n">
        <v>76</v>
      </c>
      <c r="S29" s="111" t="n">
        <f aca="false">SUM(P29:R29)</f>
        <v>482.0895</v>
      </c>
      <c r="T29" s="112" t="n">
        <f aca="false">T28+AE29-(AF29/1.9835)</f>
        <v>18304.1220978943</v>
      </c>
      <c r="U29" s="111" t="n">
        <v>20</v>
      </c>
      <c r="V29" s="235" t="n">
        <v>19</v>
      </c>
      <c r="W29" s="236" t="n">
        <f aca="false">W28-V29</f>
        <v>7369.49231157046</v>
      </c>
      <c r="X29" s="6" t="n">
        <f aca="false">N29+O29+S29+U29+V29</f>
        <v>540</v>
      </c>
      <c r="Y29" s="111" t="n">
        <f aca="false">IF(L29&lt;0,L29*-1,0)</f>
        <v>0</v>
      </c>
      <c r="Z29" s="111" t="n">
        <f aca="false">X29+Y29</f>
        <v>540</v>
      </c>
      <c r="AA29" s="161" t="n">
        <v>0.11</v>
      </c>
      <c r="AB29" s="117" t="n">
        <v>70</v>
      </c>
      <c r="AC29" s="167" t="n">
        <v>47</v>
      </c>
      <c r="AD29" s="118" t="n">
        <v>0</v>
      </c>
      <c r="AE29" s="12" t="n">
        <f aca="false">795-(S29-8)</f>
        <v>320.9105</v>
      </c>
      <c r="AF29" s="298" t="n">
        <f aca="false">23.5*(T28*1.9835+AE29*1.9835)/E29</f>
        <v>13.477443749083</v>
      </c>
    </row>
    <row r="30" customFormat="false" ht="11.1" hidden="false" customHeight="true" outlineLevel="0" collapsed="false">
      <c r="A30" s="118" t="n">
        <f aca="false">A29+1</f>
        <v>19</v>
      </c>
      <c r="B30" s="168" t="n">
        <v>6880.35</v>
      </c>
      <c r="C30" s="228" t="n">
        <v>217223</v>
      </c>
      <c r="D30" s="117" t="n">
        <f aca="false">C30-C29</f>
        <v>1894</v>
      </c>
      <c r="E30" s="112" t="n">
        <f aca="false">C30-152000</f>
        <v>65223</v>
      </c>
      <c r="F30" s="111" t="n">
        <f aca="false">D30/$D$2</f>
        <v>954.877741366272</v>
      </c>
      <c r="G30" s="163" t="n">
        <v>1420</v>
      </c>
      <c r="H30" s="115" t="n">
        <v>2.2</v>
      </c>
      <c r="I30" s="111" t="n">
        <f aca="false">G30+H30</f>
        <v>1422.2</v>
      </c>
      <c r="J30" s="181" t="n">
        <f aca="false">IF(L30&gt;0,L30,0)</f>
        <v>46.6777413662717</v>
      </c>
      <c r="K30" s="111" t="n">
        <f aca="false">I30+J30</f>
        <v>1468.87774136627</v>
      </c>
      <c r="L30" s="111" t="n">
        <f aca="false">F30-(I30-X30)</f>
        <v>46.6777413662717</v>
      </c>
      <c r="M30" s="182" t="n">
        <v>236</v>
      </c>
      <c r="N30" s="111" t="n">
        <v>1</v>
      </c>
      <c r="O30" s="111" t="n">
        <f aca="false">27.85*1.05</f>
        <v>29.2425</v>
      </c>
      <c r="P30" s="90" t="n">
        <f aca="false">M30-(N30+O30)</f>
        <v>205.7575</v>
      </c>
      <c r="Q30" s="111" t="n">
        <v>162</v>
      </c>
      <c r="R30" s="111" t="n">
        <v>80</v>
      </c>
      <c r="S30" s="111" t="n">
        <f aca="false">SUM(P30:R30)</f>
        <v>447.7575</v>
      </c>
      <c r="T30" s="112" t="n">
        <f aca="false">T29+AE30-(AF30/1.9835)</f>
        <v>18652.64158503</v>
      </c>
      <c r="U30" s="111" t="n">
        <v>17</v>
      </c>
      <c r="V30" s="235" t="n">
        <v>19</v>
      </c>
      <c r="W30" s="236" t="n">
        <f aca="false">W29-V30</f>
        <v>7350.49231157046</v>
      </c>
      <c r="X30" s="6" t="n">
        <f aca="false">N30+O30+S30+U30+V30</f>
        <v>514</v>
      </c>
      <c r="Y30" s="111" t="n">
        <f aca="false">IF(L30&lt;0,L30*-1,0)</f>
        <v>0</v>
      </c>
      <c r="Z30" s="111" t="n">
        <f aca="false">X30+Y30</f>
        <v>514</v>
      </c>
      <c r="AA30" s="161" t="n">
        <v>0</v>
      </c>
      <c r="AB30" s="117" t="n">
        <v>73</v>
      </c>
      <c r="AC30" s="167" t="n">
        <v>42</v>
      </c>
      <c r="AD30" s="118" t="n">
        <v>0</v>
      </c>
      <c r="AE30" s="12" t="n">
        <f aca="false">795-(S30-8)</f>
        <v>355.2425</v>
      </c>
      <c r="AF30" s="298" t="n">
        <f aca="false">23.5*(T29*1.9835+AE30*1.9835)/E30</f>
        <v>13.3350960164083</v>
      </c>
    </row>
    <row r="31" customFormat="false" ht="11.1" hidden="false" customHeight="true" outlineLevel="0" collapsed="false">
      <c r="A31" s="118" t="n">
        <f aca="false">A30+1</f>
        <v>20</v>
      </c>
      <c r="B31" s="168" t="n">
        <v>6880.93</v>
      </c>
      <c r="C31" s="112" t="n">
        <v>218976</v>
      </c>
      <c r="D31" s="117" t="n">
        <f aca="false">C31-C30</f>
        <v>1753</v>
      </c>
      <c r="E31" s="112" t="n">
        <f aca="false">C31-152000</f>
        <v>66976</v>
      </c>
      <c r="F31" s="111" t="n">
        <f aca="false">D31/$D$2</f>
        <v>883.791278043862</v>
      </c>
      <c r="G31" s="163" t="n">
        <v>1410</v>
      </c>
      <c r="H31" s="115" t="n">
        <v>2</v>
      </c>
      <c r="I31" s="111" t="n">
        <f aca="false">G31+H31</f>
        <v>1412</v>
      </c>
      <c r="J31" s="181" t="n">
        <f aca="false">IF(L31&gt;0,L31,0)</f>
        <v>0</v>
      </c>
      <c r="K31" s="111" t="n">
        <f aca="false">I31+J31</f>
        <v>1412</v>
      </c>
      <c r="L31" s="111" t="n">
        <f aca="false">F31-(I31-X31)</f>
        <v>-11.1087219561381</v>
      </c>
      <c r="M31" s="182" t="n">
        <v>252</v>
      </c>
      <c r="N31" s="111" t="n">
        <v>0</v>
      </c>
      <c r="O31" s="111" t="n">
        <f aca="false">41.53*1.05</f>
        <v>43.6065</v>
      </c>
      <c r="P31" s="90" t="n">
        <f aca="false">M31-(N31+O31)</f>
        <v>208.3935</v>
      </c>
      <c r="Q31" s="111" t="n">
        <v>155</v>
      </c>
      <c r="R31" s="111" t="n">
        <v>83</v>
      </c>
      <c r="S31" s="111" t="n">
        <f aca="false">SUM(P31:R31)</f>
        <v>446.3935</v>
      </c>
      <c r="T31" s="112" t="n">
        <f aca="false">T30+AE31-(AF31/1.9835)</f>
        <v>19002.5782730078</v>
      </c>
      <c r="U31" s="111" t="n">
        <v>9.1</v>
      </c>
      <c r="V31" s="235" t="n">
        <v>18</v>
      </c>
      <c r="W31" s="236" t="n">
        <f aca="false">W30-V31</f>
        <v>7332.49231157046</v>
      </c>
      <c r="X31" s="6" t="n">
        <f aca="false">N31+O31+S31+U31+V31</f>
        <v>517.1</v>
      </c>
      <c r="Y31" s="111" t="n">
        <f aca="false">IF(L31&lt;0,L31*-1,0)</f>
        <v>11.1087219561381</v>
      </c>
      <c r="Z31" s="111" t="n">
        <f aca="false">X31+Y31</f>
        <v>528.208721956138</v>
      </c>
      <c r="AA31" s="161" t="n">
        <v>0</v>
      </c>
      <c r="AB31" s="117" t="n">
        <v>75</v>
      </c>
      <c r="AC31" s="167" t="n">
        <v>46</v>
      </c>
      <c r="AD31" s="118" t="n">
        <v>0</v>
      </c>
      <c r="AE31" s="12" t="n">
        <f aca="false">795-(S31-8)</f>
        <v>356.6065</v>
      </c>
      <c r="AF31" s="298" t="n">
        <f aca="false">23.5*(T30*1.9835+AE31*1.9835)/E31</f>
        <v>13.2295721460141</v>
      </c>
    </row>
    <row r="32" customFormat="false" ht="11.1" hidden="false" customHeight="true" outlineLevel="0" collapsed="false">
      <c r="A32" s="118" t="n">
        <f aca="false">A31+1</f>
        <v>21</v>
      </c>
      <c r="B32" s="168" t="n">
        <v>6881.66</v>
      </c>
      <c r="C32" s="112" t="n">
        <v>221211</v>
      </c>
      <c r="D32" s="117" t="n">
        <f aca="false">C32-C31</f>
        <v>2235</v>
      </c>
      <c r="E32" s="112" t="n">
        <f aca="false">C32-152000</f>
        <v>69211</v>
      </c>
      <c r="F32" s="111" t="n">
        <f aca="false">D32/$D$2</f>
        <v>1126.79606755735</v>
      </c>
      <c r="G32" s="163" t="n">
        <v>1500</v>
      </c>
      <c r="H32" s="115" t="n">
        <v>1.8</v>
      </c>
      <c r="I32" s="111" t="n">
        <f aca="false">G32+H32</f>
        <v>1501.8</v>
      </c>
      <c r="J32" s="181" t="n">
        <f aca="false">IF(L32&gt;0,L32,0)</f>
        <v>146.826067557348</v>
      </c>
      <c r="K32" s="111" t="n">
        <f aca="false">I32+J32</f>
        <v>1648.62606755735</v>
      </c>
      <c r="L32" s="111" t="n">
        <f aca="false">F32-(I32-X32)</f>
        <v>146.826067557348</v>
      </c>
      <c r="M32" s="182" t="n">
        <v>248</v>
      </c>
      <c r="N32" s="111" t="n">
        <v>0</v>
      </c>
      <c r="O32" s="111" t="n">
        <f aca="false">43.31*1.05</f>
        <v>45.4755</v>
      </c>
      <c r="P32" s="90" t="n">
        <f aca="false">M32-(N32+O32)</f>
        <v>202.5245</v>
      </c>
      <c r="Q32" s="111" t="n">
        <v>171</v>
      </c>
      <c r="R32" s="111" t="n">
        <v>84</v>
      </c>
      <c r="S32" s="111" t="n">
        <f aca="false">SUM(P32:R32)</f>
        <v>457.5245</v>
      </c>
      <c r="T32" s="112" t="n">
        <f aca="false">T31+AE32-(AF32/1.9835)</f>
        <v>19341.4843076964</v>
      </c>
      <c r="U32" s="111" t="n">
        <v>0.83</v>
      </c>
      <c r="V32" s="235" t="n">
        <v>18</v>
      </c>
      <c r="W32" s="236" t="n">
        <f aca="false">W31-V32</f>
        <v>7314.49231157046</v>
      </c>
      <c r="X32" s="6" t="n">
        <f aca="false">N32+O32+S32+U32+V32</f>
        <v>521.83</v>
      </c>
      <c r="Y32" s="111" t="n">
        <f aca="false">IF(L32&lt;0,L32*-1,0)</f>
        <v>0</v>
      </c>
      <c r="Z32" s="111" t="n">
        <f aca="false">X32+Y32</f>
        <v>521.83</v>
      </c>
      <c r="AA32" s="161" t="n">
        <v>0</v>
      </c>
      <c r="AB32" s="117" t="n">
        <v>77</v>
      </c>
      <c r="AC32" s="167" t="n">
        <v>41</v>
      </c>
      <c r="AD32" s="118" t="n">
        <v>0</v>
      </c>
      <c r="AE32" s="12" t="n">
        <f aca="false">795-(S32-8)</f>
        <v>345.4755</v>
      </c>
      <c r="AF32" s="298" t="n">
        <f aca="false">23.5*(T31*1.9835+AE32*1.9835)/E32</f>
        <v>13.0305344451154</v>
      </c>
    </row>
    <row r="33" customFormat="false" ht="11.1" hidden="false" customHeight="true" outlineLevel="0" collapsed="false">
      <c r="A33" s="118" t="n">
        <f aca="false">A32+1</f>
        <v>22</v>
      </c>
      <c r="B33" s="168" t="n">
        <v>6882.48</v>
      </c>
      <c r="C33" s="112" t="n">
        <v>223744</v>
      </c>
      <c r="D33" s="117" t="n">
        <f aca="false">C33-C32</f>
        <v>2533</v>
      </c>
      <c r="E33" s="112" t="n">
        <f aca="false">C33-152000</f>
        <v>71744</v>
      </c>
      <c r="F33" s="111" t="n">
        <f aca="false">D33/$D$2</f>
        <v>1277.03554323166</v>
      </c>
      <c r="G33" s="163" t="n">
        <v>1680</v>
      </c>
      <c r="H33" s="115" t="n">
        <v>1.8</v>
      </c>
      <c r="I33" s="111" t="n">
        <f aca="false">G33+H33</f>
        <v>1681.8</v>
      </c>
      <c r="J33" s="181" t="n">
        <f aca="false">IF(L33&gt;0,L33,0)</f>
        <v>125.235543231661</v>
      </c>
      <c r="K33" s="111" t="n">
        <f aca="false">I33+J33</f>
        <v>1807.03554323166</v>
      </c>
      <c r="L33" s="111" t="n">
        <f aca="false">F33-(I33-X33)</f>
        <v>125.235543231661</v>
      </c>
      <c r="M33" s="182" t="n">
        <v>235</v>
      </c>
      <c r="N33" s="111" t="n">
        <v>0</v>
      </c>
      <c r="O33" s="111" t="n">
        <f aca="false">25.62*1.05</f>
        <v>26.901</v>
      </c>
      <c r="P33" s="90" t="n">
        <f aca="false">M33-(N33+O33)</f>
        <v>208.099</v>
      </c>
      <c r="Q33" s="111" t="n">
        <v>180</v>
      </c>
      <c r="R33" s="111" t="n">
        <v>79</v>
      </c>
      <c r="S33" s="111" t="n">
        <f aca="false">SUM(P33:R33)</f>
        <v>467.099</v>
      </c>
      <c r="T33" s="112" t="n">
        <f aca="false">T32+AE33-(AF33/1.9835)</f>
        <v>19670.9399108029</v>
      </c>
      <c r="U33" s="111" t="n">
        <v>18</v>
      </c>
      <c r="V33" s="235" t="n">
        <v>18</v>
      </c>
      <c r="W33" s="236" t="n">
        <f aca="false">W32-V33</f>
        <v>7296.49231157046</v>
      </c>
      <c r="X33" s="6" t="n">
        <f aca="false">N33+O33+S33+U33+V33</f>
        <v>530</v>
      </c>
      <c r="Y33" s="111" t="n">
        <f aca="false">IF(L33&lt;0,L33*-1,0)</f>
        <v>0</v>
      </c>
      <c r="Z33" s="111" t="n">
        <f aca="false">X33+Y33</f>
        <v>530</v>
      </c>
      <c r="AA33" s="161" t="n">
        <v>0</v>
      </c>
      <c r="AB33" s="117" t="n">
        <v>82</v>
      </c>
      <c r="AC33" s="167" t="n">
        <v>46</v>
      </c>
      <c r="AD33" s="118" t="n">
        <v>0</v>
      </c>
      <c r="AE33" s="12" t="n">
        <f aca="false">795-(S33-8)</f>
        <v>335.901</v>
      </c>
      <c r="AF33" s="298" t="n">
        <f aca="false">23.5*(T32*1.9835+AE33*1.9835)/E33</f>
        <v>12.7844447383568</v>
      </c>
    </row>
    <row r="34" customFormat="false" ht="11.1" hidden="false" customHeight="true" outlineLevel="0" collapsed="false">
      <c r="A34" s="118" t="n">
        <f aca="false">A33+1</f>
        <v>23</v>
      </c>
      <c r="B34" s="168" t="n">
        <v>6883.38</v>
      </c>
      <c r="C34" s="112" t="n">
        <v>226554</v>
      </c>
      <c r="D34" s="117" t="n">
        <f aca="false">C34-C33</f>
        <v>2810</v>
      </c>
      <c r="E34" s="112" t="n">
        <f aca="false">C34-152000</f>
        <v>74554</v>
      </c>
      <c r="F34" s="111" t="n">
        <f aca="false">D34/$D$2</f>
        <v>1416.68767330476</v>
      </c>
      <c r="G34" s="163" t="n">
        <v>1750</v>
      </c>
      <c r="H34" s="115" t="n">
        <v>1.7</v>
      </c>
      <c r="I34" s="111" t="n">
        <f aca="false">G34+H34</f>
        <v>1751.7</v>
      </c>
      <c r="J34" s="181" t="n">
        <f aca="false">IF(L34&gt;0,L34,0)</f>
        <v>211.987673304764</v>
      </c>
      <c r="K34" s="111" t="n">
        <f aca="false">I34+J34</f>
        <v>1963.68767330476</v>
      </c>
      <c r="L34" s="111" t="n">
        <f aca="false">F34-(I34-X34)</f>
        <v>211.987673304764</v>
      </c>
      <c r="M34" s="182" t="n">
        <v>227</v>
      </c>
      <c r="N34" s="111" t="n">
        <v>0</v>
      </c>
      <c r="O34" s="111" t="n">
        <f aca="false">12.12*1.05</f>
        <v>12.726</v>
      </c>
      <c r="P34" s="90" t="n">
        <f aca="false">M34-(N34+O34)</f>
        <v>214.274</v>
      </c>
      <c r="Q34" s="111" t="n">
        <v>179</v>
      </c>
      <c r="R34" s="111" t="n">
        <v>77</v>
      </c>
      <c r="S34" s="111" t="n">
        <f aca="false">SUM(P34:R34)</f>
        <v>470.274</v>
      </c>
      <c r="T34" s="112" t="n">
        <f aca="false">T33+AE34-(AF34/1.9835)</f>
        <v>19997.360599902</v>
      </c>
      <c r="U34" s="111" t="n">
        <v>46</v>
      </c>
      <c r="V34" s="235" t="n">
        <v>18</v>
      </c>
      <c r="W34" s="236" t="n">
        <f aca="false">W33-V34</f>
        <v>7278.49231157046</v>
      </c>
      <c r="X34" s="6" t="n">
        <f aca="false">N34+O34+S34+U34+V34</f>
        <v>547</v>
      </c>
      <c r="Y34" s="111" t="n">
        <f aca="false">IF(L34&lt;0,L34*-1,0)</f>
        <v>0</v>
      </c>
      <c r="Z34" s="111" t="n">
        <f aca="false">X34+Y34</f>
        <v>547</v>
      </c>
      <c r="AA34" s="161" t="n">
        <v>0</v>
      </c>
      <c r="AB34" s="117" t="n">
        <v>84</v>
      </c>
      <c r="AC34" s="167" t="n">
        <v>49</v>
      </c>
      <c r="AD34" s="118" t="n">
        <v>0</v>
      </c>
      <c r="AE34" s="12" t="n">
        <f aca="false">795-(S34-8)</f>
        <v>332.726</v>
      </c>
      <c r="AF34" s="298" t="n">
        <f aca="false">23.5*(T33*1.9835+AE34*1.9835)/E34</f>
        <v>12.5065841718864</v>
      </c>
    </row>
    <row r="35" customFormat="false" ht="11.1" hidden="false" customHeight="true" outlineLevel="0" collapsed="false">
      <c r="A35" s="118" t="n">
        <f aca="false">A34+1</f>
        <v>24</v>
      </c>
      <c r="B35" s="168" t="n">
        <v>6884.09</v>
      </c>
      <c r="C35" s="112" t="n">
        <v>228791</v>
      </c>
      <c r="D35" s="117" t="n">
        <f aca="false">C35-C34</f>
        <v>2237</v>
      </c>
      <c r="E35" s="112" t="n">
        <f aca="false">C35-152000</f>
        <v>76791</v>
      </c>
      <c r="F35" s="111" t="n">
        <f aca="false">D35/$D$2</f>
        <v>1127.80438618603</v>
      </c>
      <c r="G35" s="163" t="n">
        <v>1580</v>
      </c>
      <c r="H35" s="115" t="n">
        <v>1.6</v>
      </c>
      <c r="I35" s="111" t="n">
        <f aca="false">G35+H35</f>
        <v>1581.6</v>
      </c>
      <c r="J35" s="181" t="n">
        <f aca="false">IF(L35&gt;0,L35,0)</f>
        <v>116.204386186035</v>
      </c>
      <c r="K35" s="111" t="n">
        <f aca="false">I35+J35</f>
        <v>1697.80438618603</v>
      </c>
      <c r="L35" s="111" t="n">
        <f aca="false">F35-(I35-X35)</f>
        <v>116.204386186035</v>
      </c>
      <c r="M35" s="182" t="n">
        <v>232</v>
      </c>
      <c r="N35" s="111" t="n">
        <v>0</v>
      </c>
      <c r="O35" s="111" t="n">
        <f aca="false">8.2*1.05</f>
        <v>8.61</v>
      </c>
      <c r="P35" s="90" t="n">
        <f aca="false">M35-(N35+O35)</f>
        <v>223.39</v>
      </c>
      <c r="Q35" s="111" t="n">
        <v>178</v>
      </c>
      <c r="R35" s="111" t="n">
        <v>75</v>
      </c>
      <c r="S35" s="111" t="n">
        <f aca="false">SUM(P35:R35)</f>
        <v>476.39</v>
      </c>
      <c r="T35" s="112" t="n">
        <f aca="false">T34+AE35-(AF35/1.9835)</f>
        <v>20317.750947741</v>
      </c>
      <c r="U35" s="111" t="n">
        <v>67</v>
      </c>
      <c r="V35" s="235" t="n">
        <v>18</v>
      </c>
      <c r="W35" s="236" t="n">
        <f aca="false">W34-V35</f>
        <v>7260.49231157046</v>
      </c>
      <c r="X35" s="6" t="n">
        <f aca="false">N35+O35+S35+U35+V35</f>
        <v>570</v>
      </c>
      <c r="Y35" s="111" t="n">
        <f aca="false">IF(L35&lt;0,L35*-1,0)</f>
        <v>0</v>
      </c>
      <c r="Z35" s="111" t="n">
        <f aca="false">X35+Y35</f>
        <v>570</v>
      </c>
      <c r="AA35" s="161" t="n">
        <v>0</v>
      </c>
      <c r="AB35" s="117" t="n">
        <v>83</v>
      </c>
      <c r="AC35" s="167" t="n">
        <v>51</v>
      </c>
      <c r="AD35" s="118" t="n">
        <v>0</v>
      </c>
      <c r="AE35" s="12" t="n">
        <f aca="false">795-(S35-8)</f>
        <v>326.61</v>
      </c>
      <c r="AF35" s="298" t="n">
        <f aca="false">23.5*(T34*1.9835+AE35*1.9835)/E35</f>
        <v>12.3366800614041</v>
      </c>
    </row>
    <row r="36" customFormat="false" ht="11.1" hidden="false" customHeight="true" outlineLevel="0" collapsed="false">
      <c r="A36" s="118" t="n">
        <f aca="false">A35+1</f>
        <v>25</v>
      </c>
      <c r="B36" s="168" t="n">
        <v>6884.79</v>
      </c>
      <c r="C36" s="112" t="n">
        <v>231021</v>
      </c>
      <c r="D36" s="117" t="n">
        <f aca="false">C36-C35</f>
        <v>2230</v>
      </c>
      <c r="E36" s="112" t="n">
        <f aca="false">C36-152000</f>
        <v>79021</v>
      </c>
      <c r="F36" s="111" t="n">
        <f aca="false">D36/$D$2</f>
        <v>1124.27527098563</v>
      </c>
      <c r="G36" s="163" t="n">
        <v>1490</v>
      </c>
      <c r="H36" s="115" t="n">
        <v>1.6</v>
      </c>
      <c r="I36" s="111" t="n">
        <f aca="false">G36+H36</f>
        <v>1491.6</v>
      </c>
      <c r="J36" s="181" t="n">
        <f aca="false">IF(L36&gt;0,L36,0)</f>
        <v>212.675270985631</v>
      </c>
      <c r="K36" s="111" t="n">
        <f aca="false">I36+J36</f>
        <v>1704.27527098563</v>
      </c>
      <c r="L36" s="111" t="n">
        <f aca="false">F36-(I36-X36)</f>
        <v>212.675270985631</v>
      </c>
      <c r="M36" s="182" t="n">
        <v>221</v>
      </c>
      <c r="N36" s="111" t="n">
        <v>0</v>
      </c>
      <c r="O36" s="111" t="n">
        <f aca="false">5.65*1.05</f>
        <v>5.9325</v>
      </c>
      <c r="P36" s="90" t="n">
        <f aca="false">M36-(N36+O36)</f>
        <v>215.0675</v>
      </c>
      <c r="Q36" s="111" t="n">
        <v>178</v>
      </c>
      <c r="R36" s="111" t="n">
        <v>74</v>
      </c>
      <c r="S36" s="111" t="n">
        <f aca="false">SUM(P36:R36)</f>
        <v>467.0675</v>
      </c>
      <c r="T36" s="112" t="n">
        <f aca="false">T35+AE36-(AF36/1.9835)</f>
        <v>20647.5412632454</v>
      </c>
      <c r="U36" s="111" t="n">
        <v>89</v>
      </c>
      <c r="V36" s="235" t="n">
        <v>18</v>
      </c>
      <c r="W36" s="236" t="n">
        <f aca="false">W35-V36</f>
        <v>7242.49231157046</v>
      </c>
      <c r="X36" s="6" t="n">
        <f aca="false">N36+O36+S36+U36+V36</f>
        <v>580</v>
      </c>
      <c r="Y36" s="111" t="n">
        <f aca="false">IF(L36&lt;0,L36*-1,0)</f>
        <v>0</v>
      </c>
      <c r="Z36" s="111" t="n">
        <f aca="false">X36+Y36</f>
        <v>580</v>
      </c>
      <c r="AA36" s="161" t="n">
        <v>0</v>
      </c>
      <c r="AB36" s="117" t="n">
        <v>79</v>
      </c>
      <c r="AC36" s="167" t="n">
        <v>53</v>
      </c>
      <c r="AD36" s="118" t="n">
        <v>0</v>
      </c>
      <c r="AE36" s="12" t="n">
        <f aca="false">795-(S36-8)</f>
        <v>335.9325</v>
      </c>
      <c r="AF36" s="298" t="n">
        <f aca="false">23.5*(T35*1.9835+AE36*1.9835)/E36</f>
        <v>12.1830229468997</v>
      </c>
    </row>
    <row r="37" customFormat="false" ht="11.1" hidden="false" customHeight="true" outlineLevel="0" collapsed="false">
      <c r="A37" s="118" t="n">
        <f aca="false">A36+1</f>
        <v>26</v>
      </c>
      <c r="B37" s="168" t="n">
        <v>6885.46</v>
      </c>
      <c r="C37" s="112" t="n">
        <v>233172</v>
      </c>
      <c r="D37" s="117" t="n">
        <f aca="false">C37-C36</f>
        <v>2151</v>
      </c>
      <c r="E37" s="112" t="n">
        <f aca="false">C37-152000</f>
        <v>81172</v>
      </c>
      <c r="F37" s="111" t="n">
        <f aca="false">D37/$D$2</f>
        <v>1084.44668515251</v>
      </c>
      <c r="G37" s="163" t="n">
        <v>1620</v>
      </c>
      <c r="H37" s="115" t="n">
        <v>1.5</v>
      </c>
      <c r="I37" s="111" t="n">
        <f aca="false">G37+H37</f>
        <v>1621.5</v>
      </c>
      <c r="J37" s="181" t="n">
        <f aca="false">IF(L37&gt;0,L37,0)</f>
        <v>75.9466851525083</v>
      </c>
      <c r="K37" s="111" t="n">
        <f aca="false">I37+J37</f>
        <v>1697.44668515251</v>
      </c>
      <c r="L37" s="111" t="n">
        <f aca="false">F37-(I37-X37)</f>
        <v>75.9466851525083</v>
      </c>
      <c r="M37" s="182" t="n">
        <v>225</v>
      </c>
      <c r="N37" s="111" t="n">
        <v>0</v>
      </c>
      <c r="O37" s="111" t="n">
        <f aca="false">4.34*1.05</f>
        <v>4.557</v>
      </c>
      <c r="P37" s="90" t="n">
        <f aca="false">M37-(N37+O37)</f>
        <v>220.443</v>
      </c>
      <c r="Q37" s="111" t="n">
        <v>179</v>
      </c>
      <c r="R37" s="111" t="n">
        <v>75</v>
      </c>
      <c r="S37" s="111" t="n">
        <f aca="false">SUM(P37:R37)</f>
        <v>474.443</v>
      </c>
      <c r="T37" s="112" t="n">
        <f aca="false">T36+AE37-(AF37/1.9835)</f>
        <v>20970.0255003569</v>
      </c>
      <c r="U37" s="111" t="n">
        <v>116</v>
      </c>
      <c r="V37" s="235" t="n">
        <v>18</v>
      </c>
      <c r="W37" s="236" t="n">
        <f aca="false">W36-V37</f>
        <v>7224.49231157046</v>
      </c>
      <c r="X37" s="6" t="n">
        <f aca="false">N37+O37+S37+U37+V37</f>
        <v>613</v>
      </c>
      <c r="Y37" s="111" t="n">
        <f aca="false">IF(L37&lt;0,L37*-1,0)</f>
        <v>0</v>
      </c>
      <c r="Z37" s="111" t="n">
        <f aca="false">X37+Y37</f>
        <v>613</v>
      </c>
      <c r="AA37" s="161" t="n">
        <v>0</v>
      </c>
      <c r="AB37" s="117" t="n">
        <v>83</v>
      </c>
      <c r="AC37" s="167" t="n">
        <v>47</v>
      </c>
      <c r="AD37" s="118" t="n">
        <v>0</v>
      </c>
      <c r="AE37" s="12" t="n">
        <f aca="false">795-(S37-8)</f>
        <v>328.557</v>
      </c>
      <c r="AF37" s="298" t="n">
        <f aca="false">23.5*(T36*1.9835+AE37*1.9835)/E37</f>
        <v>12.0453251893629</v>
      </c>
    </row>
    <row r="38" customFormat="false" ht="11.1" hidden="false" customHeight="true" outlineLevel="0" collapsed="false">
      <c r="A38" s="118" t="n">
        <f aca="false">A37+1</f>
        <v>27</v>
      </c>
      <c r="B38" s="168" t="n">
        <v>6886.06</v>
      </c>
      <c r="C38" s="112" t="n">
        <v>235108</v>
      </c>
      <c r="D38" s="117" t="n">
        <f aca="false">C38-C37</f>
        <v>1936</v>
      </c>
      <c r="E38" s="112" t="n">
        <f aca="false">C38-152000</f>
        <v>83108</v>
      </c>
      <c r="F38" s="111" t="n">
        <f aca="false">D38/$D$2</f>
        <v>976.052432568692</v>
      </c>
      <c r="G38" s="163" t="n">
        <v>1730</v>
      </c>
      <c r="H38" s="115" t="n">
        <v>1.3</v>
      </c>
      <c r="I38" s="111" t="n">
        <f aca="false">G38+H38</f>
        <v>1731.3</v>
      </c>
      <c r="J38" s="181" t="n">
        <f aca="false">IF(L38&gt;0,L38,0)</f>
        <v>0</v>
      </c>
      <c r="K38" s="111" t="n">
        <f aca="false">I38+J38</f>
        <v>1731.3</v>
      </c>
      <c r="L38" s="111" t="n">
        <f aca="false">F38-(I38-X38)</f>
        <v>-129.247567431308</v>
      </c>
      <c r="M38" s="182" t="n">
        <v>251</v>
      </c>
      <c r="N38" s="111" t="n">
        <v>2.5</v>
      </c>
      <c r="O38" s="111" t="n">
        <f aca="false">19.15*1.9835</f>
        <v>37.984025</v>
      </c>
      <c r="P38" s="90" t="n">
        <f aca="false">M38-(N38+O38)</f>
        <v>210.515975</v>
      </c>
      <c r="Q38" s="111" t="n">
        <v>174</v>
      </c>
      <c r="R38" s="111" t="n">
        <v>77</v>
      </c>
      <c r="S38" s="111" t="n">
        <f aca="false">SUM(P38:R38)</f>
        <v>461.515975</v>
      </c>
      <c r="T38" s="112" t="n">
        <f aca="false">T37+AE38-(AF38/1.9835)</f>
        <v>21305.4833849872</v>
      </c>
      <c r="U38" s="111" t="n">
        <v>106</v>
      </c>
      <c r="V38" s="235" t="n">
        <v>18</v>
      </c>
      <c r="W38" s="236" t="n">
        <f aca="false">W37-V38</f>
        <v>7206.49231157046</v>
      </c>
      <c r="X38" s="6" t="n">
        <f aca="false">N38+O38+S38+U38+V38</f>
        <v>626</v>
      </c>
      <c r="Y38" s="111" t="n">
        <f aca="false">IF(L38&lt;0,L38*-1,0)</f>
        <v>129.247567431308</v>
      </c>
      <c r="Z38" s="111" t="n">
        <f aca="false">X38+Y38</f>
        <v>755.247567431308</v>
      </c>
      <c r="AA38" s="161" t="n">
        <v>0</v>
      </c>
      <c r="AB38" s="117" t="n">
        <v>86</v>
      </c>
      <c r="AC38" s="167" t="n">
        <v>51</v>
      </c>
      <c r="AD38" s="118" t="n">
        <v>0</v>
      </c>
      <c r="AE38" s="12" t="n">
        <f aca="false">795-(S38-8)</f>
        <v>341.484025</v>
      </c>
      <c r="AF38" s="298" t="n">
        <f aca="false">23.5*(T37*1.9835+AE38*1.9835)/E38</f>
        <v>11.9528494233205</v>
      </c>
    </row>
    <row r="39" customFormat="false" ht="11.1" hidden="false" customHeight="true" outlineLevel="0" collapsed="false">
      <c r="A39" s="118" t="n">
        <v>28</v>
      </c>
      <c r="B39" s="168" t="n">
        <v>6886.86</v>
      </c>
      <c r="C39" s="112" t="n">
        <v>237716</v>
      </c>
      <c r="D39" s="117" t="n">
        <f aca="false">C39-C38</f>
        <v>2608</v>
      </c>
      <c r="E39" s="112" t="n">
        <f aca="false">C39-152000</f>
        <v>85716</v>
      </c>
      <c r="F39" s="111" t="n">
        <f aca="false">D39/$D$2</f>
        <v>1314.84749180741</v>
      </c>
      <c r="G39" s="163" t="n">
        <v>1880</v>
      </c>
      <c r="H39" s="115" t="n">
        <v>1.2</v>
      </c>
      <c r="I39" s="111" t="n">
        <f aca="false">G39+H39</f>
        <v>1881.2</v>
      </c>
      <c r="J39" s="181" t="n">
        <f aca="false">IF(L39&gt;0,L39,0)</f>
        <v>80.6474918074111</v>
      </c>
      <c r="K39" s="111" t="n">
        <f aca="false">I39+J39</f>
        <v>1961.84749180741</v>
      </c>
      <c r="L39" s="111" t="n">
        <f aca="false">F39-(I39-X39)</f>
        <v>80.6474918074111</v>
      </c>
      <c r="M39" s="182" t="n">
        <v>258</v>
      </c>
      <c r="N39" s="111" t="n">
        <v>0</v>
      </c>
      <c r="O39" s="111" t="n">
        <f aca="false">34.13*1.05</f>
        <v>35.8365</v>
      </c>
      <c r="P39" s="90" t="n">
        <f aca="false">M39-(N39+O39)</f>
        <v>222.1635</v>
      </c>
      <c r="Q39" s="111" t="n">
        <v>171</v>
      </c>
      <c r="R39" s="111" t="n">
        <v>79</v>
      </c>
      <c r="S39" s="111" t="n">
        <f aca="false">SUM(P39:R39)</f>
        <v>472.1635</v>
      </c>
      <c r="T39" s="112" t="n">
        <f aca="false">T38+AE39-(AF39/1.9835)</f>
        <v>21630.3880459222</v>
      </c>
      <c r="U39" s="111" t="n">
        <v>121</v>
      </c>
      <c r="V39" s="235" t="n">
        <v>18</v>
      </c>
      <c r="W39" s="236" t="n">
        <f aca="false">W38-V39</f>
        <v>7188.49231157046</v>
      </c>
      <c r="X39" s="6" t="n">
        <f aca="false">N39+O39+S39+U39+V39</f>
        <v>647</v>
      </c>
      <c r="Y39" s="111" t="n">
        <f aca="false">IF(L39&lt;0,L39*-1,0)</f>
        <v>0</v>
      </c>
      <c r="Z39" s="111" t="n">
        <f aca="false">X39+Y39</f>
        <v>647</v>
      </c>
      <c r="AA39" s="161" t="n">
        <v>0</v>
      </c>
      <c r="AB39" s="117" t="n">
        <v>86</v>
      </c>
      <c r="AC39" s="167" t="n">
        <v>53</v>
      </c>
      <c r="AD39" s="118" t="n">
        <v>0</v>
      </c>
      <c r="AE39" s="12" t="n">
        <f aca="false">795-(S39-8)</f>
        <v>330.8365</v>
      </c>
      <c r="AF39" s="298" t="n">
        <f aca="false">23.5*(T38*1.9835+AE39*1.9835)/E39</f>
        <v>11.7658027854659</v>
      </c>
    </row>
    <row r="40" customFormat="false" ht="11.1" hidden="false" customHeight="true" outlineLevel="0" collapsed="false">
      <c r="A40" s="118" t="n">
        <v>29</v>
      </c>
      <c r="B40" s="168" t="n">
        <v>6887.52</v>
      </c>
      <c r="C40" s="112" t="n">
        <v>239887</v>
      </c>
      <c r="D40" s="117" t="n">
        <f aca="false">C40-C39</f>
        <v>2171</v>
      </c>
      <c r="E40" s="112" t="n">
        <f aca="false">C40-152000</f>
        <v>87887</v>
      </c>
      <c r="F40" s="111" t="n">
        <f aca="false">D40/$D$2</f>
        <v>1094.52987143937</v>
      </c>
      <c r="G40" s="163" t="n">
        <v>1820</v>
      </c>
      <c r="H40" s="115" t="n">
        <v>2</v>
      </c>
      <c r="I40" s="111" t="n">
        <f aca="false">G40+H40</f>
        <v>1822</v>
      </c>
      <c r="J40" s="181" t="n">
        <f aca="false">IF(L40&gt;0,L40,0)</f>
        <v>0</v>
      </c>
      <c r="K40" s="111" t="n">
        <f aca="false">I40+J40</f>
        <v>1822</v>
      </c>
      <c r="L40" s="111" t="n">
        <f aca="false">F40-(I40-X40)</f>
        <v>-59.4701285606252</v>
      </c>
      <c r="M40" s="182" t="n">
        <v>266</v>
      </c>
      <c r="N40" s="111" t="n">
        <v>0</v>
      </c>
      <c r="O40" s="111" t="n">
        <f aca="false">31.92*1.05</f>
        <v>33.516</v>
      </c>
      <c r="P40" s="90" t="n">
        <f aca="false">M40-(N40+O40)</f>
        <v>232.484</v>
      </c>
      <c r="Q40" s="111" t="n">
        <v>171</v>
      </c>
      <c r="R40" s="111" t="n">
        <v>81</v>
      </c>
      <c r="S40" s="111" t="n">
        <f aca="false">SUM(P40:R40)</f>
        <v>484.484</v>
      </c>
      <c r="T40" s="112" t="n">
        <f aca="false">T39+AE40-(AF40/1.9835)</f>
        <v>21943.0351546746</v>
      </c>
      <c r="U40" s="111" t="n">
        <v>132</v>
      </c>
      <c r="V40" s="235" t="n">
        <v>18</v>
      </c>
      <c r="W40" s="236" t="n">
        <f aca="false">W39-V40</f>
        <v>7170.49231157046</v>
      </c>
      <c r="X40" s="6" t="n">
        <f aca="false">N40+O40+S40+U40+V40</f>
        <v>668</v>
      </c>
      <c r="Y40" s="111" t="n">
        <f aca="false">IF(L40&lt;0,L40*-1,0)</f>
        <v>59.4701285606252</v>
      </c>
      <c r="Z40" s="111" t="n">
        <f aca="false">X40+Y40</f>
        <v>727.470128560625</v>
      </c>
      <c r="AA40" s="161" t="n">
        <v>0</v>
      </c>
      <c r="AB40" s="117" t="n">
        <v>85</v>
      </c>
      <c r="AC40" s="167" t="n">
        <v>52</v>
      </c>
      <c r="AD40" s="118" t="n">
        <v>0</v>
      </c>
      <c r="AE40" s="12" t="n">
        <f aca="false">795-(S40-8)</f>
        <v>318.516</v>
      </c>
      <c r="AF40" s="298" t="n">
        <f aca="false">23.5*(T39*1.9835+AE40*1.9835)/E40</f>
        <v>11.6409457896451</v>
      </c>
    </row>
    <row r="41" customFormat="false" ht="11.1" hidden="false" customHeight="true" outlineLevel="0" collapsed="false">
      <c r="A41" s="118" t="n">
        <v>30</v>
      </c>
      <c r="B41" s="168" t="n">
        <v>6887.93</v>
      </c>
      <c r="C41" s="112" t="n">
        <v>241238</v>
      </c>
      <c r="D41" s="117" t="n">
        <f aca="false">C41-C40</f>
        <v>1351</v>
      </c>
      <c r="E41" s="112" t="n">
        <f aca="false">C41-152000</f>
        <v>89238</v>
      </c>
      <c r="F41" s="111" t="n">
        <f aca="false">D41/$D$2</f>
        <v>681.119233677842</v>
      </c>
      <c r="G41" s="163" t="n">
        <v>1660</v>
      </c>
      <c r="H41" s="115" t="n">
        <v>1.2</v>
      </c>
      <c r="I41" s="111" t="n">
        <f aca="false">G41+H41</f>
        <v>1661.2</v>
      </c>
      <c r="J41" s="181" t="n">
        <f aca="false">IF(L41&gt;0,L41,0)</f>
        <v>0</v>
      </c>
      <c r="K41" s="111" t="n">
        <f aca="false">I41+J41</f>
        <v>1661.2</v>
      </c>
      <c r="L41" s="111" t="n">
        <f aca="false">F41-(I41-X41)</f>
        <v>-276.080766322158</v>
      </c>
      <c r="M41" s="182" t="n">
        <v>268</v>
      </c>
      <c r="N41" s="111" t="n">
        <v>0</v>
      </c>
      <c r="O41" s="111" t="n">
        <f aca="false">36.8*1.05</f>
        <v>38.64</v>
      </c>
      <c r="P41" s="90" t="n">
        <f aca="false">M41-(N41+O41)</f>
        <v>229.36</v>
      </c>
      <c r="Q41" s="111" t="n">
        <v>171</v>
      </c>
      <c r="R41" s="111" t="n">
        <v>82</v>
      </c>
      <c r="S41" s="111" t="n">
        <f aca="false">SUM(P41:R41)</f>
        <v>482.36</v>
      </c>
      <c r="T41" s="112" t="n">
        <f aca="false">T40+AE41-(AF41/1.9835)</f>
        <v>22257.8122222228</v>
      </c>
      <c r="U41" s="111" t="n">
        <v>165</v>
      </c>
      <c r="V41" s="235" t="n">
        <v>18</v>
      </c>
      <c r="W41" s="236" t="n">
        <f aca="false">W40-V41</f>
        <v>7152.49231157046</v>
      </c>
      <c r="X41" s="6" t="n">
        <f aca="false">N41+O41+S41+U41+V41</f>
        <v>704</v>
      </c>
      <c r="Y41" s="111" t="n">
        <f aca="false">IF(L41&lt;0,L41*-1,0)</f>
        <v>276.080766322158</v>
      </c>
      <c r="Z41" s="111" t="n">
        <f aca="false">X41+Y41</f>
        <v>980.080766322158</v>
      </c>
      <c r="AA41" s="161" t="n">
        <v>0</v>
      </c>
      <c r="AB41" s="117" t="n">
        <v>88</v>
      </c>
      <c r="AC41" s="167" t="n">
        <v>54</v>
      </c>
      <c r="AD41" s="118" t="n">
        <v>0</v>
      </c>
      <c r="AE41" s="12" t="n">
        <f aca="false">795-(S41-8)</f>
        <v>320.64</v>
      </c>
      <c r="AF41" s="298" t="n">
        <f aca="false">23.5*(T40*1.9835+AE41*1.9835)/E41</f>
        <v>11.6291265181703</v>
      </c>
    </row>
    <row r="42" customFormat="false" ht="11.1" hidden="false" customHeight="true" outlineLevel="0" collapsed="false">
      <c r="A42" s="118" t="n">
        <v>31</v>
      </c>
      <c r="B42" s="168" t="n">
        <v>6888.43</v>
      </c>
      <c r="C42" s="112" t="n">
        <v>242902</v>
      </c>
      <c r="D42" s="117" t="n">
        <f aca="false">C42-C41</f>
        <v>1664</v>
      </c>
      <c r="E42" s="112" t="n">
        <f aca="false">C42-152000</f>
        <v>90902</v>
      </c>
      <c r="F42" s="111" t="n">
        <f aca="false">D42/$D$2</f>
        <v>838.921099067305</v>
      </c>
      <c r="G42" s="163" t="n">
        <v>1590</v>
      </c>
      <c r="H42" s="115" t="n">
        <v>0.84</v>
      </c>
      <c r="I42" s="111" t="n">
        <f aca="false">G42+H42</f>
        <v>1590.84</v>
      </c>
      <c r="J42" s="181" t="n">
        <f aca="false">IF(L42&gt;0,L42,0)</f>
        <v>0</v>
      </c>
      <c r="K42" s="111" t="n">
        <f aca="false">I42+J42</f>
        <v>1590.84</v>
      </c>
      <c r="L42" s="111" t="n">
        <f aca="false">F42-(I42-X42)</f>
        <v>-33.9189009326947</v>
      </c>
      <c r="M42" s="182" t="n">
        <v>271</v>
      </c>
      <c r="N42" s="111" t="n">
        <v>0</v>
      </c>
      <c r="O42" s="111" t="n">
        <f aca="false">40.43*1.05</f>
        <v>42.4515</v>
      </c>
      <c r="P42" s="90" t="n">
        <f aca="false">M42-(N42+O42)</f>
        <v>228.5485</v>
      </c>
      <c r="Q42" s="111" t="n">
        <v>170</v>
      </c>
      <c r="R42" s="111" t="n">
        <v>82</v>
      </c>
      <c r="S42" s="111" t="n">
        <f aca="false">SUM(P42:R42)</f>
        <v>480.5485</v>
      </c>
      <c r="T42" s="112" t="n">
        <f aca="false">T41+AE42-(AF42/1.9835)</f>
        <v>22574.4262687292</v>
      </c>
      <c r="U42" s="111" t="n">
        <v>177</v>
      </c>
      <c r="V42" s="111" t="n">
        <v>18</v>
      </c>
      <c r="W42" s="112" t="n">
        <f aca="false">W41-V42</f>
        <v>7134.49231157046</v>
      </c>
      <c r="X42" s="6" t="n">
        <f aca="false">N42+O42+S42+U42+V42</f>
        <v>718</v>
      </c>
      <c r="Y42" s="111" t="n">
        <f aca="false">IF(L42&lt;0,L42*-1,0)</f>
        <v>33.9189009326947</v>
      </c>
      <c r="Z42" s="111" t="n">
        <f aca="false">X42+Y42</f>
        <v>751.918900932695</v>
      </c>
      <c r="AA42" s="161" t="n">
        <v>0.04</v>
      </c>
      <c r="AB42" s="117" t="n">
        <v>84</v>
      </c>
      <c r="AC42" s="167" t="n">
        <v>54</v>
      </c>
      <c r="AD42" s="118" t="n">
        <v>0</v>
      </c>
      <c r="AE42" s="12" t="n">
        <f aca="false">795-(S42-8)</f>
        <v>322.4515</v>
      </c>
      <c r="AF42" s="298" t="n">
        <f aca="false">23.5*(T41*1.9835+AE42*1.9835)/E42</f>
        <v>11.5785890044903</v>
      </c>
    </row>
    <row r="43" customFormat="false" ht="3" hidden="false" customHeight="true" outlineLevel="0" collapsed="false">
      <c r="A43" s="169"/>
      <c r="B43" s="185"/>
      <c r="C43" s="171"/>
      <c r="D43" s="169"/>
      <c r="E43" s="171"/>
      <c r="F43" s="169"/>
      <c r="G43" s="185"/>
      <c r="H43" s="300"/>
      <c r="I43" s="169"/>
      <c r="J43" s="169"/>
      <c r="K43" s="169"/>
      <c r="L43" s="169"/>
      <c r="M43" s="174"/>
      <c r="N43" s="169"/>
      <c r="O43" s="169"/>
      <c r="P43" s="175"/>
      <c r="Q43" s="169"/>
      <c r="R43" s="169"/>
      <c r="S43" s="169"/>
      <c r="T43" s="171"/>
      <c r="U43" s="169"/>
      <c r="V43" s="169"/>
      <c r="W43" s="169"/>
      <c r="X43" s="169"/>
      <c r="Y43" s="169"/>
      <c r="Z43" s="169"/>
      <c r="AA43" s="176"/>
      <c r="AB43" s="177"/>
      <c r="AC43" s="178"/>
      <c r="AD43" s="179"/>
      <c r="AE43" s="179"/>
      <c r="AF43" s="301"/>
    </row>
    <row r="44" customFormat="false" ht="11.1" hidden="false" customHeight="true" outlineLevel="0" collapsed="false">
      <c r="A44" s="111" t="s">
        <v>54</v>
      </c>
      <c r="B44" s="163"/>
      <c r="C44" s="112"/>
      <c r="D44" s="112"/>
      <c r="E44" s="112"/>
      <c r="F44" s="112" t="n">
        <f aca="false">SUM(F12:F42)</f>
        <v>22826.8212755231</v>
      </c>
      <c r="G44" s="299" t="n">
        <f aca="false">SUM(G12:G42)</f>
        <v>36249</v>
      </c>
      <c r="H44" s="115" t="n">
        <f aca="false">SUM(H12:H42)</f>
        <v>90.44</v>
      </c>
      <c r="I44" s="112" t="n">
        <f aca="false">SUM(I12:I42)</f>
        <v>36339.44</v>
      </c>
      <c r="J44" s="112" t="n">
        <f aca="false">SUM(J12:J42)</f>
        <v>1584.22326947315</v>
      </c>
      <c r="K44" s="112" t="n">
        <f aca="false">SUM(K12:K42)</f>
        <v>37923.6632694732</v>
      </c>
      <c r="L44" s="112" t="n">
        <f aca="false">SUM(L12:L42)</f>
        <v>785.011275523065</v>
      </c>
      <c r="M44" s="165" t="n">
        <f aca="false">SUM(M12:M42)</f>
        <v>6575</v>
      </c>
      <c r="N44" s="112" t="n">
        <f aca="false">SUM(N12:N42)</f>
        <v>8.55</v>
      </c>
      <c r="O44" s="112" t="n">
        <f aca="false">SUM(O12:O42)</f>
        <v>860.564525</v>
      </c>
      <c r="P44" s="166" t="n">
        <f aca="false">SUM(P12:P42)</f>
        <v>5705.885475</v>
      </c>
      <c r="Q44" s="112" t="n">
        <f aca="false">SUM(Q12:Q42)</f>
        <v>4422</v>
      </c>
      <c r="R44" s="112" t="n">
        <f aca="false">SUM(R12:R42)</f>
        <v>1531</v>
      </c>
      <c r="S44" s="112" t="n">
        <f aca="false">SUM(S12:S42)</f>
        <v>11658.885475</v>
      </c>
      <c r="T44" s="112"/>
      <c r="U44" s="112" t="n">
        <f aca="false">SUM(U12:U42)</f>
        <v>1202.63</v>
      </c>
      <c r="V44" s="112" t="n">
        <f aca="false">SUM(V12:V43)</f>
        <v>567</v>
      </c>
      <c r="W44" s="112"/>
      <c r="X44" s="112" t="n">
        <f aca="false">SUM(X12:X42)</f>
        <v>14297.63</v>
      </c>
      <c r="Y44" s="112" t="n">
        <f aca="false">SUM(Y12:Y42)</f>
        <v>799.211993950088</v>
      </c>
      <c r="Z44" s="112" t="n">
        <f aca="false">SUM(Z12:Z42)</f>
        <v>15096.8419939501</v>
      </c>
      <c r="AA44" s="161" t="n">
        <f aca="false">SUM(AA12:AA42)</f>
        <v>0.63</v>
      </c>
      <c r="AB44" s="117" t="n">
        <f aca="false">AVERAGE(AB12:AB42)</f>
        <v>71.3870967741936</v>
      </c>
      <c r="AC44" s="167" t="n">
        <f aca="false">AVERAGE(AC12:AC42)</f>
        <v>42.0322580645161</v>
      </c>
      <c r="AD44" s="118"/>
      <c r="AE44" s="208"/>
      <c r="AF44" s="298" t="n">
        <f aca="false">SUM(AF12:AF42)</f>
        <v>398.909279620692</v>
      </c>
    </row>
    <row r="45" customFormat="false" ht="11.1" hidden="false" customHeight="true" outlineLevel="0" collapsed="false">
      <c r="A45" s="111" t="s">
        <v>56</v>
      </c>
      <c r="B45" s="163"/>
      <c r="C45" s="112"/>
      <c r="D45" s="112" t="n">
        <f aca="false">SUM(D12:D42)</f>
        <v>45277</v>
      </c>
      <c r="E45" s="112"/>
      <c r="F45" s="112" t="n">
        <f aca="false">F44*$D$2</f>
        <v>45277</v>
      </c>
      <c r="G45" s="299" t="n">
        <f aca="false">G44*$D$2</f>
        <v>71899.8915</v>
      </c>
      <c r="H45" s="115" t="n">
        <f aca="false">H44*$D$2</f>
        <v>179.38774</v>
      </c>
      <c r="I45" s="112" t="n">
        <f aca="false">I44*$D$2</f>
        <v>72079.27924</v>
      </c>
      <c r="J45" s="112" t="n">
        <f aca="false">J44*$D$2</f>
        <v>3142.306855</v>
      </c>
      <c r="K45" s="112" t="n">
        <f aca="false">K44*$D$2</f>
        <v>75221.586095</v>
      </c>
      <c r="L45" s="112" t="n">
        <f aca="false">L44*$D$2</f>
        <v>1557.069865</v>
      </c>
      <c r="M45" s="165" t="n">
        <f aca="false">M44*$D$2</f>
        <v>13041.5125</v>
      </c>
      <c r="N45" s="112" t="n">
        <f aca="false">N44*$D$2</f>
        <v>16.958925</v>
      </c>
      <c r="O45" s="112" t="n">
        <f aca="false">O44*$D$2</f>
        <v>1706.9297353375</v>
      </c>
      <c r="P45" s="166" t="n">
        <f aca="false">P44*$D$2</f>
        <v>11317.6238396625</v>
      </c>
      <c r="Q45" s="112" t="n">
        <f aca="false">Q44*$D$2</f>
        <v>8771.037</v>
      </c>
      <c r="R45" s="112" t="n">
        <f aca="false">R44*$D$2</f>
        <v>3036.7385</v>
      </c>
      <c r="S45" s="112" t="n">
        <f aca="false">S44*$D$2</f>
        <v>23125.3993396625</v>
      </c>
      <c r="T45" s="112"/>
      <c r="U45" s="112" t="n">
        <f aca="false">U44*$D$2</f>
        <v>2385.416605</v>
      </c>
      <c r="V45" s="112" t="n">
        <f aca="false">V44*$D$2</f>
        <v>1124.6445</v>
      </c>
      <c r="W45" s="112"/>
      <c r="X45" s="112" t="n">
        <f aca="false">X44*$D$2</f>
        <v>28359.349105</v>
      </c>
      <c r="Y45" s="112" t="n">
        <f aca="false">Y44*$D$2</f>
        <v>1585.23699</v>
      </c>
      <c r="Z45" s="112" t="n">
        <f aca="false">Z44*$D$2</f>
        <v>29944.586095</v>
      </c>
      <c r="AA45" s="161"/>
      <c r="AB45" s="117" t="n">
        <f aca="false">MAX(AB12:AB42)</f>
        <v>88</v>
      </c>
      <c r="AC45" s="167" t="n">
        <f aca="false">MAX(AC12:AC42)</f>
        <v>54</v>
      </c>
      <c r="AD45" s="118"/>
      <c r="AE45" s="208"/>
      <c r="AF45" s="298" t="n">
        <f aca="false">AF44*$D$2</f>
        <v>791.236556127643</v>
      </c>
    </row>
    <row r="46" customFormat="false" ht="3" hidden="false" customHeight="true" outlineLevel="0" collapsed="false">
      <c r="A46" s="169"/>
      <c r="B46" s="185"/>
      <c r="C46" s="171"/>
      <c r="D46" s="171"/>
      <c r="E46" s="171"/>
      <c r="F46" s="171"/>
      <c r="G46" s="189"/>
      <c r="H46" s="300"/>
      <c r="I46" s="171"/>
      <c r="J46" s="171"/>
      <c r="K46" s="171"/>
      <c r="L46" s="171"/>
      <c r="M46" s="187"/>
      <c r="N46" s="171"/>
      <c r="O46" s="171"/>
      <c r="P46" s="188"/>
      <c r="Q46" s="171"/>
      <c r="R46" s="171"/>
      <c r="S46" s="171"/>
      <c r="T46" s="171"/>
      <c r="U46" s="171"/>
      <c r="V46" s="171"/>
      <c r="W46" s="169"/>
      <c r="X46" s="171"/>
      <c r="Y46" s="171"/>
      <c r="Z46" s="171"/>
      <c r="AA46" s="171"/>
      <c r="AB46" s="171"/>
      <c r="AC46" s="171"/>
      <c r="AD46" s="171"/>
      <c r="AE46" s="171"/>
      <c r="AF46" s="301"/>
    </row>
    <row r="47" customFormat="false" ht="11.1" hidden="false" customHeight="true" outlineLevel="0" collapsed="false">
      <c r="A47" s="111" t="s">
        <v>58</v>
      </c>
      <c r="B47" s="163"/>
      <c r="C47" s="112"/>
      <c r="D47" s="112"/>
      <c r="E47" s="112"/>
      <c r="F47" s="112" t="n">
        <f aca="false">F9+F44</f>
        <v>35249.3067809428</v>
      </c>
      <c r="G47" s="299" t="n">
        <f aca="false">G9+G44</f>
        <v>50571</v>
      </c>
      <c r="H47" s="115" t="n">
        <f aca="false">H9+H44</f>
        <v>1039.24</v>
      </c>
      <c r="I47" s="112" t="n">
        <f aca="false">I9+I44</f>
        <v>51610.24</v>
      </c>
      <c r="J47" s="112" t="n">
        <f aca="false">J9+J44</f>
        <v>5106.9760297454</v>
      </c>
      <c r="K47" s="112" t="n">
        <f aca="false">K9+K44</f>
        <v>56717.2160297454</v>
      </c>
      <c r="L47" s="112" t="n">
        <f aca="false">L9+L44</f>
        <v>4287.69678094278</v>
      </c>
      <c r="M47" s="165" t="n">
        <f aca="false">M9+M44</f>
        <v>7727.38</v>
      </c>
      <c r="N47" s="112" t="n">
        <f aca="false">N9+N44</f>
        <v>8.55</v>
      </c>
      <c r="O47" s="112" t="n">
        <f aca="false">O9+O44</f>
        <v>1523.177525</v>
      </c>
      <c r="P47" s="166" t="n">
        <f aca="false">P9+P44</f>
        <v>6195.299975</v>
      </c>
      <c r="Q47" s="112" t="n">
        <f aca="false">Q9+Q44</f>
        <v>8992.8</v>
      </c>
      <c r="R47" s="112" t="n">
        <f aca="false">R9+R44</f>
        <v>1541.8</v>
      </c>
      <c r="S47" s="112" t="n">
        <f aca="false">S9+S44</f>
        <v>16661.899975</v>
      </c>
      <c r="T47" s="112" t="n">
        <f aca="false">T42+T44</f>
        <v>22574.4262687292</v>
      </c>
      <c r="U47" s="112" t="n">
        <f aca="false">U9+U44</f>
        <v>1349.63</v>
      </c>
      <c r="V47" s="112" t="n">
        <f aca="false">V9+V44</f>
        <v>1107</v>
      </c>
      <c r="W47" s="112" t="n">
        <f aca="false">W42</f>
        <v>7134.49231157046</v>
      </c>
      <c r="X47" s="112" t="n">
        <f aca="false">X9+X44</f>
        <v>20648.63</v>
      </c>
      <c r="Y47" s="112" t="n">
        <f aca="false">Y9+Y44</f>
        <v>819.279248802622</v>
      </c>
      <c r="Z47" s="112" t="n">
        <f aca="false">Z9+Z44</f>
        <v>21467.9092488026</v>
      </c>
      <c r="AA47" s="161"/>
      <c r="AB47" s="117" t="n">
        <f aca="false">MIN(AB12:AB42)</f>
        <v>55</v>
      </c>
      <c r="AC47" s="167" t="n">
        <f aca="false">MIN(AC12:AC42)</f>
        <v>22</v>
      </c>
      <c r="AD47" s="118"/>
      <c r="AE47" s="208"/>
      <c r="AF47" s="298" t="n">
        <f aca="false">AF9+AF44</f>
        <v>508.91378606319</v>
      </c>
    </row>
    <row r="48" customFormat="false" ht="11.1" hidden="false" customHeight="true" outlineLevel="0" collapsed="false">
      <c r="A48" s="111" t="s">
        <v>60</v>
      </c>
      <c r="B48" s="163"/>
      <c r="C48" s="112"/>
      <c r="D48" s="112"/>
      <c r="E48" s="112"/>
      <c r="F48" s="112" t="n">
        <f aca="false">F47*$D$2</f>
        <v>69917</v>
      </c>
      <c r="G48" s="299" t="n">
        <f aca="false">G47*$D$2</f>
        <v>100307.5785</v>
      </c>
      <c r="H48" s="115" t="n">
        <f aca="false">H47*$D$2</f>
        <v>2061.33254</v>
      </c>
      <c r="I48" s="112" t="n">
        <f aca="false">I47*$D$2</f>
        <v>102368.91104</v>
      </c>
      <c r="J48" s="112" t="n">
        <f aca="false">J47*$D$2</f>
        <v>10129.686955</v>
      </c>
      <c r="K48" s="112" t="n">
        <f aca="false">K47*$D$2</f>
        <v>112498.597995</v>
      </c>
      <c r="L48" s="112" t="n">
        <f aca="false">L47*$D$2</f>
        <v>8504.646565</v>
      </c>
      <c r="M48" s="165" t="n">
        <f aca="false">M47*$D$2</f>
        <v>15327.25823</v>
      </c>
      <c r="N48" s="112" t="n">
        <f aca="false">N47*$D$2</f>
        <v>16.958925</v>
      </c>
      <c r="O48" s="112" t="n">
        <f aca="false">O47*$D$2</f>
        <v>3021.2226208375</v>
      </c>
      <c r="P48" s="166" t="n">
        <f aca="false">P47*$D$2</f>
        <v>12288.3775004125</v>
      </c>
      <c r="Q48" s="112" t="n">
        <f aca="false">Q47*$D$2</f>
        <v>17837.2188</v>
      </c>
      <c r="R48" s="112" t="n">
        <f aca="false">R47*$D$2</f>
        <v>3058.1603</v>
      </c>
      <c r="S48" s="112" t="n">
        <f aca="false">S47*$D$2</f>
        <v>33048.8786004125</v>
      </c>
      <c r="T48" s="112" t="n">
        <f aca="false">T47*$D$2</f>
        <v>44776.3745040243</v>
      </c>
      <c r="U48" s="112" t="n">
        <f aca="false">U47*$D$2</f>
        <v>2676.991105</v>
      </c>
      <c r="V48" s="112" t="n">
        <f aca="false">V47*$D$2</f>
        <v>2195.7345</v>
      </c>
      <c r="W48" s="112" t="n">
        <f aca="false">W47*D2</f>
        <v>14151.2655</v>
      </c>
      <c r="X48" s="112" t="n">
        <f aca="false">X47*$D$2</f>
        <v>40956.557605</v>
      </c>
      <c r="Y48" s="112" t="n">
        <f aca="false">Y47*$D$2</f>
        <v>1625.04039</v>
      </c>
      <c r="Z48" s="112" t="n">
        <f aca="false">Z47*$D$2</f>
        <v>42581.597995</v>
      </c>
      <c r="AA48" s="161"/>
      <c r="AB48" s="117"/>
      <c r="AC48" s="167"/>
      <c r="AD48" s="118"/>
      <c r="AE48" s="208"/>
      <c r="AF48" s="298" t="n">
        <f aca="false">AF47*$D$2</f>
        <v>1009.43049465634</v>
      </c>
    </row>
    <row r="49" customFormat="false" ht="3" hidden="false" customHeight="true" outlineLevel="0" collapsed="false">
      <c r="A49" s="169"/>
      <c r="B49" s="185"/>
      <c r="C49" s="171"/>
      <c r="D49" s="171"/>
      <c r="E49" s="171"/>
      <c r="F49" s="171"/>
      <c r="G49" s="189"/>
      <c r="H49" s="300"/>
      <c r="I49" s="171"/>
      <c r="J49" s="171"/>
      <c r="K49" s="171"/>
      <c r="L49" s="171"/>
      <c r="M49" s="187"/>
      <c r="N49" s="171"/>
      <c r="O49" s="171"/>
      <c r="P49" s="188"/>
      <c r="Q49" s="171"/>
      <c r="R49" s="171"/>
      <c r="S49" s="171"/>
      <c r="T49" s="171"/>
      <c r="U49" s="171"/>
      <c r="V49" s="171"/>
      <c r="W49" s="171"/>
      <c r="X49" s="171"/>
      <c r="Y49" s="171"/>
      <c r="Z49" s="171"/>
      <c r="AA49" s="176"/>
      <c r="AB49" s="302"/>
      <c r="AC49" s="190"/>
      <c r="AD49" s="176"/>
      <c r="AE49" s="190"/>
      <c r="AF49" s="301"/>
    </row>
    <row r="50" customFormat="false" ht="11.1" hidden="false" customHeight="true" outlineLevel="0" collapsed="false">
      <c r="A50" s="111" t="s">
        <v>61</v>
      </c>
      <c r="B50" s="163"/>
      <c r="C50" s="112"/>
      <c r="D50" s="112"/>
      <c r="E50" s="112"/>
      <c r="F50" s="112" t="n">
        <f aca="false">F10+F44</f>
        <v>43526.5944038316</v>
      </c>
      <c r="G50" s="299" t="n">
        <f aca="false">G10+G44</f>
        <v>58125</v>
      </c>
      <c r="H50" s="115" t="n">
        <f aca="false">H10+H44</f>
        <v>1321.98</v>
      </c>
      <c r="I50" s="112" t="n">
        <f aca="false">I10+I44</f>
        <v>59446.98</v>
      </c>
      <c r="J50" s="112" t="n">
        <f aca="false">J10+J44</f>
        <v>9585.72980085707</v>
      </c>
      <c r="K50" s="112" t="n">
        <f aca="false">K10+K44</f>
        <v>69032.7098008571</v>
      </c>
      <c r="L50" s="112" t="n">
        <f aca="false">L10+L44</f>
        <v>8131.9344038316</v>
      </c>
      <c r="M50" s="165" t="n">
        <f aca="false">M10+M44</f>
        <v>8684.2</v>
      </c>
      <c r="N50" s="112" t="n">
        <f aca="false">N10+N44</f>
        <v>8.55</v>
      </c>
      <c r="O50" s="112" t="n">
        <f aca="false">O10+O44</f>
        <v>1523.177525</v>
      </c>
      <c r="P50" s="166" t="n">
        <f aca="false">P10+P44</f>
        <v>7152.472475</v>
      </c>
      <c r="Q50" s="112" t="n">
        <f aca="false">Q10+Q44</f>
        <v>9054.8</v>
      </c>
      <c r="R50" s="112" t="n">
        <f aca="false">R10+R44</f>
        <v>1592.8</v>
      </c>
      <c r="S50" s="112" t="n">
        <f aca="false">S10+S44</f>
        <v>17800.072475</v>
      </c>
      <c r="T50" s="112"/>
      <c r="U50" s="112" t="n">
        <f aca="false">U10+U44</f>
        <v>1349.63</v>
      </c>
      <c r="V50" s="112" t="n">
        <f aca="false">V10+V44</f>
        <v>3370.89</v>
      </c>
      <c r="W50" s="112" t="n">
        <f aca="false">W42</f>
        <v>7134.49231157046</v>
      </c>
      <c r="X50" s="112" t="n">
        <f aca="false">X10+X44</f>
        <v>24052.32</v>
      </c>
      <c r="Y50" s="112" t="n">
        <f aca="false">Y10+Y44</f>
        <v>1453.79539702546</v>
      </c>
      <c r="Z50" s="112" t="n">
        <f aca="false">Z10+Z44</f>
        <v>25506.1153970255</v>
      </c>
      <c r="AA50" s="161" t="n">
        <f aca="false">AA10+AA44</f>
        <v>7.98</v>
      </c>
      <c r="AB50" s="117"/>
      <c r="AC50" s="167"/>
      <c r="AD50" s="118"/>
      <c r="AE50" s="208"/>
      <c r="AF50" s="298" t="n">
        <f aca="false">AF10+AF44</f>
        <v>508.91378606319</v>
      </c>
    </row>
    <row r="51" customFormat="false" ht="11.1" hidden="false" customHeight="true" outlineLevel="0" collapsed="false">
      <c r="A51" s="111" t="s">
        <v>62</v>
      </c>
      <c r="B51" s="163"/>
      <c r="C51" s="112"/>
      <c r="D51" s="112" t="n">
        <f aca="false">D10+D45</f>
        <v>86335</v>
      </c>
      <c r="E51" s="112" t="n">
        <f aca="false">E42</f>
        <v>90902</v>
      </c>
      <c r="F51" s="112" t="n">
        <f aca="false">F50*$D$2</f>
        <v>86335.0000000001</v>
      </c>
      <c r="G51" s="299" t="n">
        <f aca="false">G50*$D$2</f>
        <v>115290.9375</v>
      </c>
      <c r="H51" s="115" t="n">
        <f aca="false">H50*$D$2</f>
        <v>2622.14733</v>
      </c>
      <c r="I51" s="112" t="n">
        <f aca="false">I50*$D$2</f>
        <v>117913.08483</v>
      </c>
      <c r="J51" s="112" t="n">
        <f aca="false">J50*$D$2</f>
        <v>19013.29506</v>
      </c>
      <c r="K51" s="112" t="n">
        <f aca="false">K50*$D$2</f>
        <v>136926.37989</v>
      </c>
      <c r="L51" s="112" t="n">
        <f aca="false">L50*$D$2</f>
        <v>16129.69189</v>
      </c>
      <c r="M51" s="165" t="n">
        <f aca="false">M50*$D$2</f>
        <v>17225.1107</v>
      </c>
      <c r="N51" s="112" t="n">
        <f aca="false">N50*$D$2</f>
        <v>16.958925</v>
      </c>
      <c r="O51" s="112" t="n">
        <f aca="false">O50*$D$2</f>
        <v>3021.2226208375</v>
      </c>
      <c r="P51" s="166" t="n">
        <f aca="false">P50*$D$2</f>
        <v>14186.9291541625</v>
      </c>
      <c r="Q51" s="112" t="n">
        <f aca="false">Q50*$D$2</f>
        <v>17960.1958</v>
      </c>
      <c r="R51" s="112" t="n">
        <f aca="false">R50*$D$2</f>
        <v>3159.3188</v>
      </c>
      <c r="S51" s="112" t="n">
        <f aca="false">S50*$D$2</f>
        <v>35306.4437541625</v>
      </c>
      <c r="T51" s="112"/>
      <c r="U51" s="112" t="n">
        <f aca="false">U50*$D$2</f>
        <v>2676.991105</v>
      </c>
      <c r="V51" s="112" t="n">
        <f aca="false">V50*$D$2</f>
        <v>6686.160315</v>
      </c>
      <c r="W51" s="112" t="n">
        <f aca="false">W50*$D$2</f>
        <v>14151.2655</v>
      </c>
      <c r="X51" s="112" t="n">
        <f aca="false">X50*$D$2</f>
        <v>47707.77672</v>
      </c>
      <c r="Y51" s="112" t="n">
        <f aca="false">Y50*$D$2</f>
        <v>2883.60317</v>
      </c>
      <c r="Z51" s="112" t="n">
        <f aca="false">Z50*$D$2</f>
        <v>50591.37989</v>
      </c>
      <c r="AA51" s="161"/>
      <c r="AB51" s="117"/>
      <c r="AC51" s="167"/>
      <c r="AD51" s="118"/>
      <c r="AE51" s="208"/>
      <c r="AF51" s="298" t="n">
        <f aca="false">AF50*$D$2</f>
        <v>1009.43049465634</v>
      </c>
    </row>
    <row r="52" customFormat="false" ht="3" hidden="false" customHeight="true" outlineLevel="0" collapsed="false">
      <c r="A52" s="169"/>
      <c r="B52" s="185"/>
      <c r="C52" s="171"/>
      <c r="D52" s="169"/>
      <c r="E52" s="171"/>
      <c r="F52" s="303"/>
      <c r="G52" s="304"/>
      <c r="H52" s="300"/>
      <c r="I52" s="169"/>
      <c r="J52" s="169"/>
      <c r="K52" s="169"/>
      <c r="L52" s="169"/>
      <c r="M52" s="174"/>
      <c r="N52" s="169"/>
      <c r="O52" s="169"/>
      <c r="P52" s="175"/>
      <c r="Q52" s="169"/>
      <c r="R52" s="169"/>
      <c r="S52" s="169"/>
      <c r="T52" s="171"/>
      <c r="U52" s="169"/>
      <c r="V52" s="169"/>
      <c r="W52" s="171"/>
      <c r="X52" s="169"/>
      <c r="Y52" s="169"/>
      <c r="Z52" s="169"/>
      <c r="AA52" s="169"/>
      <c r="AB52" s="169"/>
      <c r="AC52" s="169"/>
      <c r="AD52" s="169"/>
      <c r="AE52" s="169"/>
      <c r="AF52" s="301"/>
    </row>
    <row r="53" customFormat="false" ht="11.1" hidden="false" customHeight="true" outlineLevel="0" collapsed="false">
      <c r="A53" s="305"/>
      <c r="B53" s="192"/>
      <c r="C53" s="112"/>
      <c r="D53" s="111"/>
      <c r="E53" s="112"/>
      <c r="F53" s="306"/>
      <c r="G53" s="306"/>
      <c r="H53" s="115"/>
      <c r="I53" s="111"/>
      <c r="J53" s="111"/>
      <c r="K53" s="111"/>
      <c r="L53" s="111"/>
      <c r="M53" s="111"/>
      <c r="N53" s="111"/>
      <c r="O53" s="111"/>
      <c r="P53" s="111"/>
      <c r="Q53" s="111"/>
      <c r="R53" s="111"/>
      <c r="S53" s="111"/>
      <c r="T53" s="112"/>
      <c r="U53" s="111"/>
      <c r="V53" s="111"/>
      <c r="W53" s="112"/>
      <c r="X53" s="111"/>
      <c r="Y53" s="111"/>
      <c r="Z53" s="111"/>
      <c r="AA53" s="116"/>
      <c r="AB53" s="117"/>
      <c r="AC53" s="117"/>
      <c r="AD53" s="118"/>
      <c r="AE53" s="197"/>
      <c r="AF53" s="294"/>
    </row>
    <row r="54" customFormat="false" ht="11.1" hidden="false" customHeight="true" outlineLevel="0" collapsed="false">
      <c r="A54" s="111"/>
      <c r="B54" s="112"/>
      <c r="E54" s="307"/>
      <c r="F54" s="308"/>
      <c r="G54" s="309"/>
      <c r="H54" s="115"/>
      <c r="I54" s="228"/>
      <c r="J54" s="111"/>
      <c r="K54" s="102"/>
      <c r="L54" s="111"/>
      <c r="M54" s="111"/>
      <c r="N54" s="112"/>
      <c r="O54" s="285"/>
      <c r="P54" s="111"/>
      <c r="Q54" s="111"/>
      <c r="R54" s="112"/>
      <c r="S54" s="285"/>
      <c r="T54" s="112"/>
      <c r="U54" s="112"/>
      <c r="V54" s="112"/>
      <c r="W54" s="112"/>
      <c r="X54" s="111"/>
      <c r="Y54" s="111"/>
      <c r="Z54" s="115"/>
      <c r="AA54" s="116"/>
      <c r="AB54" s="117"/>
      <c r="AC54" s="118"/>
      <c r="AD54" s="197"/>
      <c r="AE54" s="197"/>
    </row>
    <row r="55" customFormat="false" ht="11.1" hidden="false" customHeight="true" outlineLevel="0" collapsed="false">
      <c r="A55" s="183"/>
      <c r="B55" s="183"/>
      <c r="C55" s="112"/>
      <c r="D55" s="112"/>
      <c r="F55" s="308"/>
      <c r="G55" s="310"/>
      <c r="H55" s="115"/>
      <c r="I55" s="112"/>
      <c r="J55" s="183"/>
      <c r="K55" s="183"/>
      <c r="L55" s="181"/>
      <c r="M55" s="0"/>
      <c r="N55" s="228"/>
      <c r="O55" s="117"/>
      <c r="P55" s="183"/>
      <c r="Q55" s="183"/>
      <c r="R55" s="228"/>
      <c r="S55" s="112"/>
      <c r="T55" s="117"/>
      <c r="U55" s="112"/>
      <c r="V55" s="117"/>
      <c r="W55" s="112"/>
      <c r="X55" s="183"/>
      <c r="Y55" s="183"/>
      <c r="Z55" s="115"/>
      <c r="AA55" s="116"/>
      <c r="AB55" s="117"/>
      <c r="AC55" s="118"/>
      <c r="AD55" s="213"/>
      <c r="AE55" s="213"/>
    </row>
    <row r="56" customFormat="false" ht="11.1" hidden="false" customHeight="true" outlineLevel="0" collapsed="false">
      <c r="A56" s="183"/>
      <c r="B56" s="115"/>
      <c r="C56" s="112"/>
      <c r="D56" s="112"/>
      <c r="F56" s="311"/>
      <c r="G56" s="183"/>
      <c r="I56" s="183"/>
      <c r="J56" s="183"/>
      <c r="K56" s="183"/>
      <c r="L56" s="183"/>
      <c r="M56" s="181"/>
      <c r="N56" s="181"/>
      <c r="O56" s="181"/>
      <c r="P56" s="183"/>
      <c r="Q56" s="183"/>
      <c r="R56" s="183"/>
      <c r="S56" s="112"/>
      <c r="T56" s="183"/>
      <c r="U56" s="112"/>
      <c r="V56" s="112"/>
      <c r="W56" s="183"/>
      <c r="X56" s="183"/>
      <c r="Y56" s="183"/>
      <c r="Z56" s="115"/>
      <c r="AA56" s="116"/>
      <c r="AB56" s="117"/>
      <c r="AC56" s="118"/>
      <c r="AD56" s="213"/>
      <c r="AE56" s="213"/>
    </row>
    <row r="57" customFormat="false" ht="11.1" hidden="false" customHeight="true" outlineLevel="0" collapsed="false">
      <c r="A57" s="183"/>
      <c r="B57" s="0"/>
      <c r="C57" s="112"/>
      <c r="D57" s="0"/>
      <c r="E57" s="112"/>
      <c r="F57" s="183"/>
      <c r="G57" s="312"/>
      <c r="H57" s="313"/>
      <c r="I57" s="314"/>
      <c r="J57" s="183"/>
      <c r="K57" s="183"/>
      <c r="L57" s="183"/>
      <c r="M57" s="181"/>
      <c r="N57" s="181"/>
      <c r="O57" s="181"/>
      <c r="P57" s="183"/>
      <c r="Q57" s="183"/>
      <c r="R57" s="183"/>
      <c r="S57" s="112"/>
      <c r="T57" s="183"/>
      <c r="U57" s="183"/>
      <c r="V57" s="112"/>
      <c r="W57" s="183"/>
      <c r="X57" s="183"/>
      <c r="Y57" s="183"/>
      <c r="Z57" s="115"/>
      <c r="AA57" s="116"/>
      <c r="AB57" s="117"/>
      <c r="AC57" s="118"/>
      <c r="AD57" s="213"/>
      <c r="AE57" s="213"/>
    </row>
  </sheetData>
  <mergeCells count="2">
    <mergeCell ref="K2:T2"/>
    <mergeCell ref="M5:P5"/>
  </mergeCells>
  <printOptions headings="true" gridLines="true" gridLinesSet="true" horizontalCentered="true" verticalCentered="false"/>
  <pageMargins left="0" right="0" top="0" bottom="0" header="0.511811023622047" footer="0.511811023622047"/>
  <pageSetup paperSize="5"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G58"/>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pane xSplit="1" ySplit="11" topLeftCell="B18" activePane="bottomRight" state="frozen"/>
      <selection pane="topLeft" activeCell="A1" activeCellId="0" sqref="A1"/>
      <selection pane="topRight" activeCell="B1" activeCellId="0" sqref="B1"/>
      <selection pane="bottomLeft" activeCell="A18" activeCellId="0" sqref="A18"/>
      <selection pane="bottomRight" activeCell="B38" activeCellId="1" sqref="AA13:AA42 B38"/>
    </sheetView>
  </sheetViews>
  <sheetFormatPr defaultColWidth="9.296875" defaultRowHeight="11.1" zeroHeight="false" outlineLevelRow="0" outlineLevelCol="0"/>
  <cols>
    <col collapsed="false" customWidth="true" hidden="false" outlineLevel="0" max="1" min="1" style="0" width="5.67"/>
    <col collapsed="false" customWidth="true" hidden="false" outlineLevel="0" max="2" min="2" style="0" width="7.49"/>
    <col collapsed="false" customWidth="true" hidden="false" outlineLevel="0" max="3" min="3" style="1" width="6.82"/>
    <col collapsed="false" customWidth="true" hidden="false" outlineLevel="0" max="4" min="4" style="0" width="6.99"/>
    <col collapsed="false" customWidth="true" hidden="false" outlineLevel="0" max="5" min="5" style="1" width="7.66"/>
    <col collapsed="false" customWidth="true" hidden="false" outlineLevel="0" max="6" min="6" style="0" width="7.66"/>
    <col collapsed="false" customWidth="true" hidden="false" outlineLevel="0" max="7" min="7" style="0" width="7.16"/>
    <col collapsed="false" customWidth="true" hidden="false" outlineLevel="0" max="8" min="8" style="3" width="6.66"/>
    <col collapsed="false" customWidth="true" hidden="false" outlineLevel="0" max="9" min="9" style="0" width="7.99"/>
    <col collapsed="false" customWidth="true" hidden="false" outlineLevel="0" max="11" min="10" style="0" width="6.66"/>
    <col collapsed="false" customWidth="true" hidden="false" outlineLevel="0" max="12" min="12" style="0" width="7.16"/>
    <col collapsed="false" customWidth="true" hidden="false" outlineLevel="0" max="13" min="13" style="3" width="6.16"/>
    <col collapsed="false" customWidth="true" hidden="false" outlineLevel="0" max="14" min="14" style="3" width="5.99"/>
    <col collapsed="false" customWidth="true" hidden="false" outlineLevel="0" max="15" min="15" style="3" width="6.49"/>
    <col collapsed="false" customWidth="true" hidden="false" outlineLevel="0" max="16" min="16" style="0" width="7.16"/>
    <col collapsed="false" customWidth="true" hidden="false" outlineLevel="0" max="18" min="17" style="0" width="5.49"/>
    <col collapsed="false" customWidth="true" hidden="false" outlineLevel="0" max="19" min="19" style="1" width="6.82"/>
    <col collapsed="false" customWidth="true" hidden="false" outlineLevel="0" max="20" min="20" style="0" width="6.49"/>
    <col collapsed="false" customWidth="true" hidden="false" outlineLevel="0" max="21" min="21" style="0" width="5.67"/>
    <col collapsed="false" customWidth="true" hidden="false" outlineLevel="0" max="22" min="22" style="1" width="6.16"/>
    <col collapsed="false" customWidth="true" hidden="false" outlineLevel="0" max="23" min="23" style="0" width="6.82"/>
    <col collapsed="false" customWidth="true" hidden="false" outlineLevel="0" max="25" min="24" style="0" width="7.82"/>
    <col collapsed="false" customWidth="true" hidden="false" outlineLevel="0" max="26" min="26" style="243" width="7.82"/>
    <col collapsed="false" customWidth="true" hidden="false" outlineLevel="0" max="27" min="27" style="2" width="5.32"/>
    <col collapsed="false" customWidth="true" hidden="false" outlineLevel="0" max="28" min="28" style="4" width="3.82"/>
    <col collapsed="false" customWidth="true" hidden="false" outlineLevel="0" max="29" min="29" style="5" width="3.82"/>
    <col collapsed="false" customWidth="true" hidden="false" outlineLevel="0" max="30" min="30" style="0" width="5.99"/>
    <col collapsed="false" customWidth="true" hidden="false" outlineLevel="0" max="31" min="31" style="0" width="6.66"/>
    <col collapsed="false" customWidth="true" hidden="false" outlineLevel="0" max="32" min="32" style="286" width="8.16"/>
    <col collapsed="false" customWidth="true" hidden="false" outlineLevel="0" max="33" min="33" style="244" width="8.66"/>
  </cols>
  <sheetData>
    <row r="1" customFormat="false" ht="14.1" hidden="false" customHeight="true" outlineLevel="0" collapsed="false">
      <c r="A1" s="6" t="s">
        <v>71</v>
      </c>
      <c r="B1" s="6"/>
      <c r="C1" s="7"/>
      <c r="D1" s="6"/>
      <c r="E1" s="7"/>
      <c r="F1" s="6"/>
      <c r="G1" s="6"/>
      <c r="H1" s="87"/>
      <c r="I1" s="6"/>
      <c r="J1" s="6"/>
      <c r="K1" s="9" t="s">
        <v>0</v>
      </c>
      <c r="L1" s="6"/>
      <c r="M1" s="6"/>
      <c r="N1" s="6"/>
      <c r="O1" s="87"/>
      <c r="P1" s="6"/>
      <c r="Q1" s="6"/>
      <c r="R1" s="6"/>
      <c r="S1" s="7"/>
      <c r="T1" s="6"/>
      <c r="U1" s="6"/>
      <c r="V1" s="7"/>
      <c r="W1" s="6"/>
      <c r="X1" s="6"/>
      <c r="Y1" s="6"/>
      <c r="Z1" s="10"/>
      <c r="AA1" s="11"/>
      <c r="AB1" s="12"/>
      <c r="AC1" s="13"/>
      <c r="AD1" s="315"/>
      <c r="AE1" s="315"/>
    </row>
    <row r="2" customFormat="false" ht="14.1" hidden="false" customHeight="true" outlineLevel="0" collapsed="false">
      <c r="A2" s="6" t="s">
        <v>1</v>
      </c>
      <c r="B2" s="6"/>
      <c r="C2" s="7"/>
      <c r="D2" s="14" t="n">
        <v>1.9835</v>
      </c>
      <c r="E2" s="7"/>
      <c r="F2" s="6"/>
      <c r="G2" s="6"/>
      <c r="H2" s="87"/>
      <c r="I2" s="6"/>
      <c r="J2" s="6"/>
      <c r="K2" s="316" t="s">
        <v>87</v>
      </c>
      <c r="L2" s="316"/>
      <c r="M2" s="316"/>
      <c r="N2" s="316"/>
      <c r="O2" s="316"/>
      <c r="P2" s="316"/>
      <c r="Q2" s="316"/>
      <c r="R2" s="316"/>
      <c r="S2" s="316"/>
      <c r="T2" s="316"/>
      <c r="U2" s="316"/>
      <c r="V2" s="316"/>
      <c r="W2" s="6"/>
      <c r="X2" s="6"/>
      <c r="Y2" s="6"/>
      <c r="Z2" s="10"/>
      <c r="AA2" s="11"/>
      <c r="AB2" s="12"/>
      <c r="AC2" s="13"/>
      <c r="AD2" s="315"/>
      <c r="AE2" s="315"/>
    </row>
    <row r="3" customFormat="false" ht="14.1" hidden="false" customHeight="true" outlineLevel="0" collapsed="false">
      <c r="A3" s="15"/>
      <c r="B3" s="15"/>
      <c r="C3" s="16"/>
      <c r="D3" s="17"/>
      <c r="E3" s="16"/>
      <c r="F3" s="15"/>
      <c r="G3" s="15"/>
      <c r="H3" s="317"/>
      <c r="I3" s="15"/>
      <c r="J3" s="15"/>
      <c r="K3" s="15"/>
      <c r="L3" s="15"/>
      <c r="M3" s="15"/>
      <c r="N3" s="15"/>
      <c r="O3" s="317"/>
      <c r="P3" s="15"/>
      <c r="Q3" s="15"/>
      <c r="R3" s="15"/>
      <c r="S3" s="16"/>
      <c r="T3" s="15"/>
      <c r="U3" s="15"/>
      <c r="V3" s="16"/>
      <c r="W3" s="15"/>
      <c r="X3" s="15"/>
      <c r="Y3" s="15"/>
      <c r="Z3" s="19"/>
      <c r="AA3" s="20"/>
      <c r="AB3" s="21"/>
      <c r="AC3" s="22"/>
      <c r="AD3" s="318"/>
      <c r="AE3" s="318"/>
    </row>
    <row r="4" customFormat="false" ht="14.1" hidden="false" customHeight="true" outlineLevel="0" collapsed="false">
      <c r="A4" s="6"/>
      <c r="B4" s="24"/>
      <c r="C4" s="25"/>
      <c r="D4" s="319" t="s">
        <v>3</v>
      </c>
      <c r="E4" s="25"/>
      <c r="F4" s="27"/>
      <c r="G4" s="6"/>
      <c r="H4" s="87"/>
      <c r="I4" s="6"/>
      <c r="J4" s="6"/>
      <c r="K4" s="6"/>
      <c r="L4" s="6"/>
      <c r="M4" s="6"/>
      <c r="N4" s="6"/>
      <c r="O4" s="87"/>
      <c r="P4" s="6"/>
      <c r="Q4" s="28" t="s">
        <v>4</v>
      </c>
      <c r="R4" s="6"/>
      <c r="S4" s="7"/>
      <c r="T4" s="6"/>
      <c r="U4" s="6"/>
      <c r="V4" s="7"/>
      <c r="W4" s="6"/>
      <c r="X4" s="6"/>
      <c r="Y4" s="6"/>
      <c r="Z4" s="10"/>
      <c r="AA4" s="29"/>
      <c r="AB4" s="30" t="s">
        <v>5</v>
      </c>
      <c r="AC4" s="31"/>
      <c r="AD4" s="315"/>
      <c r="AE4" s="315"/>
      <c r="AF4" s="292"/>
      <c r="AG4" s="264"/>
    </row>
    <row r="5" customFormat="false" ht="11.1" hidden="false" customHeight="true" outlineLevel="0" collapsed="false">
      <c r="A5" s="32" t="s">
        <v>6</v>
      </c>
      <c r="B5" s="33" t="s">
        <v>7</v>
      </c>
      <c r="C5" s="34" t="s">
        <v>7</v>
      </c>
      <c r="D5" s="35" t="s">
        <v>8</v>
      </c>
      <c r="E5" s="34" t="s">
        <v>9</v>
      </c>
      <c r="F5" s="36" t="s">
        <v>10</v>
      </c>
      <c r="G5" s="265" t="s">
        <v>11</v>
      </c>
      <c r="H5" s="320" t="s">
        <v>12</v>
      </c>
      <c r="I5" s="265" t="s">
        <v>13</v>
      </c>
      <c r="J5" s="265" t="s">
        <v>14</v>
      </c>
      <c r="K5" s="265" t="s">
        <v>15</v>
      </c>
      <c r="L5" s="32" t="s">
        <v>14</v>
      </c>
      <c r="M5" s="38" t="s">
        <v>16</v>
      </c>
      <c r="N5" s="38"/>
      <c r="O5" s="38"/>
      <c r="P5" s="38"/>
      <c r="Q5" s="32" t="s">
        <v>17</v>
      </c>
      <c r="R5" s="32" t="s">
        <v>18</v>
      </c>
      <c r="S5" s="32" t="s">
        <v>15</v>
      </c>
      <c r="T5" s="39" t="s">
        <v>19</v>
      </c>
      <c r="U5" s="32" t="s">
        <v>20</v>
      </c>
      <c r="V5" s="32" t="s">
        <v>21</v>
      </c>
      <c r="W5" s="39" t="s">
        <v>22</v>
      </c>
      <c r="X5" s="32" t="s">
        <v>13</v>
      </c>
      <c r="Y5" s="32" t="s">
        <v>14</v>
      </c>
      <c r="Z5" s="32" t="s">
        <v>15</v>
      </c>
      <c r="AA5" s="40" t="s">
        <v>23</v>
      </c>
      <c r="AB5" s="41" t="s">
        <v>24</v>
      </c>
      <c r="AC5" s="42" t="s">
        <v>25</v>
      </c>
      <c r="AD5" s="43" t="s">
        <v>64</v>
      </c>
      <c r="AE5" s="321" t="s">
        <v>19</v>
      </c>
      <c r="AF5" s="294" t="s">
        <v>19</v>
      </c>
      <c r="AG5" s="322" t="s">
        <v>88</v>
      </c>
    </row>
    <row r="6" customFormat="false" ht="11.1" hidden="false" customHeight="true" outlineLevel="0" collapsed="false">
      <c r="A6" s="44" t="s">
        <v>89</v>
      </c>
      <c r="B6" s="33" t="s">
        <v>28</v>
      </c>
      <c r="C6" s="34" t="s">
        <v>8</v>
      </c>
      <c r="D6" s="35" t="s">
        <v>29</v>
      </c>
      <c r="E6" s="34" t="s">
        <v>30</v>
      </c>
      <c r="F6" s="36" t="s">
        <v>31</v>
      </c>
      <c r="G6" s="265" t="s">
        <v>32</v>
      </c>
      <c r="H6" s="320" t="s">
        <v>33</v>
      </c>
      <c r="I6" s="265" t="s">
        <v>34</v>
      </c>
      <c r="J6" s="265" t="s">
        <v>34</v>
      </c>
      <c r="K6" s="265" t="s">
        <v>34</v>
      </c>
      <c r="L6" s="32" t="s">
        <v>35</v>
      </c>
      <c r="M6" s="45" t="s">
        <v>36</v>
      </c>
      <c r="N6" s="35" t="s">
        <v>37</v>
      </c>
      <c r="O6" s="323" t="s">
        <v>38</v>
      </c>
      <c r="P6" s="270" t="s">
        <v>79</v>
      </c>
      <c r="Q6" s="32" t="s">
        <v>40</v>
      </c>
      <c r="R6" s="32" t="s">
        <v>41</v>
      </c>
      <c r="S6" s="32" t="s">
        <v>19</v>
      </c>
      <c r="T6" s="39" t="s">
        <v>80</v>
      </c>
      <c r="U6" s="32" t="s">
        <v>43</v>
      </c>
      <c r="V6" s="32" t="s">
        <v>44</v>
      </c>
      <c r="W6" s="39" t="s">
        <v>45</v>
      </c>
      <c r="X6" s="32" t="s">
        <v>46</v>
      </c>
      <c r="Y6" s="32" t="s">
        <v>46</v>
      </c>
      <c r="Z6" s="32" t="s">
        <v>46</v>
      </c>
      <c r="AA6" s="47"/>
      <c r="AB6" s="41" t="s">
        <v>47</v>
      </c>
      <c r="AC6" s="42" t="s">
        <v>47</v>
      </c>
      <c r="AD6" s="48" t="s">
        <v>42</v>
      </c>
      <c r="AE6" s="321" t="s">
        <v>42</v>
      </c>
      <c r="AF6" s="294" t="s">
        <v>42</v>
      </c>
      <c r="AG6" s="322" t="s">
        <v>90</v>
      </c>
    </row>
    <row r="7" customFormat="false" ht="11.1" hidden="false" customHeight="true" outlineLevel="0" collapsed="false">
      <c r="A7" s="49"/>
      <c r="B7" s="50"/>
      <c r="C7" s="51"/>
      <c r="D7" s="52"/>
      <c r="E7" s="53" t="s">
        <v>48</v>
      </c>
      <c r="F7" s="54"/>
      <c r="G7" s="49"/>
      <c r="H7" s="247"/>
      <c r="I7" s="49"/>
      <c r="J7" s="49"/>
      <c r="K7" s="49"/>
      <c r="L7" s="49"/>
      <c r="M7" s="56"/>
      <c r="N7" s="52"/>
      <c r="O7" s="324"/>
      <c r="P7" s="57"/>
      <c r="Q7" s="49"/>
      <c r="R7" s="49"/>
      <c r="S7" s="49"/>
      <c r="T7" s="58" t="s">
        <v>81</v>
      </c>
      <c r="U7" s="49"/>
      <c r="V7" s="49"/>
      <c r="W7" s="64"/>
      <c r="X7" s="49"/>
      <c r="Y7" s="49"/>
      <c r="Z7" s="49"/>
      <c r="AA7" s="60"/>
      <c r="AB7" s="61" t="s">
        <v>50</v>
      </c>
      <c r="AC7" s="62"/>
      <c r="AD7" s="13"/>
      <c r="AE7" s="63" t="s">
        <v>51</v>
      </c>
      <c r="AF7" s="297" t="s">
        <v>83</v>
      </c>
      <c r="AG7" s="325" t="s">
        <v>91</v>
      </c>
    </row>
    <row r="8" customFormat="false" ht="11.1" hidden="false" customHeight="true" outlineLevel="0" collapsed="false">
      <c r="A8" s="49"/>
      <c r="B8" s="50"/>
      <c r="C8" s="51"/>
      <c r="D8" s="52"/>
      <c r="E8" s="51"/>
      <c r="F8" s="54"/>
      <c r="G8" s="49"/>
      <c r="H8" s="247"/>
      <c r="I8" s="49"/>
      <c r="J8" s="49"/>
      <c r="K8" s="49"/>
      <c r="L8" s="49"/>
      <c r="M8" s="56"/>
      <c r="N8" s="52"/>
      <c r="O8" s="324"/>
      <c r="P8" s="57"/>
      <c r="Q8" s="49"/>
      <c r="R8" s="49"/>
      <c r="S8" s="49"/>
      <c r="T8" s="64"/>
      <c r="U8" s="49"/>
      <c r="V8" s="49"/>
      <c r="W8" s="64"/>
      <c r="X8" s="49"/>
      <c r="Y8" s="49"/>
      <c r="Z8" s="49"/>
      <c r="AA8" s="60"/>
      <c r="AB8" s="65"/>
      <c r="AC8" s="62"/>
      <c r="AD8" s="13"/>
      <c r="AF8" s="298"/>
      <c r="AG8" s="326"/>
    </row>
    <row r="9" customFormat="false" ht="11.1" hidden="false" customHeight="true" outlineLevel="0" collapsed="false">
      <c r="A9" s="6" t="s">
        <v>52</v>
      </c>
      <c r="B9" s="66"/>
      <c r="C9" s="67"/>
      <c r="D9" s="67"/>
      <c r="E9" s="67"/>
      <c r="F9" s="68" t="n">
        <f aca="false">MAY!F47</f>
        <v>35249.3067809428</v>
      </c>
      <c r="G9" s="7" t="n">
        <f aca="false">MAY!G47</f>
        <v>50571</v>
      </c>
      <c r="H9" s="87" t="n">
        <f aca="false">MAY!H47</f>
        <v>1039.24</v>
      </c>
      <c r="I9" s="7" t="n">
        <f aca="false">MAY!I47</f>
        <v>51610.24</v>
      </c>
      <c r="J9" s="7" t="n">
        <f aca="false">MAY!J47</f>
        <v>5106.9760297454</v>
      </c>
      <c r="K9" s="7" t="n">
        <f aca="false">MAY!K47</f>
        <v>56717.2160297454</v>
      </c>
      <c r="L9" s="7" t="n">
        <f aca="false">MAY!L47</f>
        <v>4287.69678094278</v>
      </c>
      <c r="M9" s="69" t="n">
        <f aca="false">MAY!M47</f>
        <v>7727.38</v>
      </c>
      <c r="N9" s="67" t="n">
        <f aca="false">MAY!N47</f>
        <v>8.55</v>
      </c>
      <c r="O9" s="327" t="n">
        <f aca="false">MAY!O47</f>
        <v>1523.177525</v>
      </c>
      <c r="P9" s="70" t="n">
        <f aca="false">MAY!P47</f>
        <v>6195.299975</v>
      </c>
      <c r="Q9" s="7" t="n">
        <f aca="false">MAY!Q47</f>
        <v>8992.8</v>
      </c>
      <c r="R9" s="7" t="n">
        <f aca="false">MAY!R47</f>
        <v>1541.8</v>
      </c>
      <c r="S9" s="7" t="n">
        <f aca="false">MAY!S47</f>
        <v>16661.899975</v>
      </c>
      <c r="T9" s="7" t="n">
        <f aca="false">MAY!T47</f>
        <v>22574.4262687292</v>
      </c>
      <c r="U9" s="7" t="n">
        <f aca="false">MAY!U47</f>
        <v>1349.63</v>
      </c>
      <c r="V9" s="7" t="n">
        <f aca="false">MAY!V47</f>
        <v>1107</v>
      </c>
      <c r="W9" s="7"/>
      <c r="X9" s="7" t="n">
        <f aca="false">MAY!X47</f>
        <v>20648.63</v>
      </c>
      <c r="Y9" s="7" t="n">
        <f aca="false">MAY!Y47</f>
        <v>819.279248802622</v>
      </c>
      <c r="Z9" s="7" t="n">
        <f aca="false">MAY!Z47</f>
        <v>21467.9092488026</v>
      </c>
      <c r="AA9" s="60"/>
      <c r="AB9" s="72"/>
      <c r="AC9" s="73"/>
      <c r="AD9" s="13"/>
      <c r="AE9" s="328"/>
      <c r="AF9" s="298" t="n">
        <f aca="false">MAY!AF47</f>
        <v>508.91378606319</v>
      </c>
    </row>
    <row r="10" s="1" customFormat="true" ht="11.1" hidden="false" customHeight="true" outlineLevel="0" collapsed="false">
      <c r="A10" s="7" t="s">
        <v>53</v>
      </c>
      <c r="B10" s="74" t="n">
        <f aca="false">MAY!B42</f>
        <v>6888.43</v>
      </c>
      <c r="C10" s="67" t="n">
        <f aca="false">MAY!C42</f>
        <v>242902</v>
      </c>
      <c r="D10" s="67" t="n">
        <f aca="false">MAY!D51</f>
        <v>86335</v>
      </c>
      <c r="E10" s="67" t="n">
        <f aca="false">MAY!E51</f>
        <v>90902</v>
      </c>
      <c r="F10" s="68" t="n">
        <f aca="false">MAY!F50</f>
        <v>43526.5944038316</v>
      </c>
      <c r="G10" s="7" t="n">
        <f aca="false">MAY!G50</f>
        <v>58125</v>
      </c>
      <c r="H10" s="87" t="n">
        <f aca="false">MAY!H50</f>
        <v>1321.98</v>
      </c>
      <c r="I10" s="7" t="n">
        <f aca="false">MAY!I50</f>
        <v>59446.98</v>
      </c>
      <c r="J10" s="7" t="n">
        <f aca="false">MAY!J50</f>
        <v>9585.72980085707</v>
      </c>
      <c r="K10" s="7" t="n">
        <f aca="false">MAY!K50</f>
        <v>69032.7098008571</v>
      </c>
      <c r="L10" s="7" t="n">
        <f aca="false">MAY!L50</f>
        <v>8131.9344038316</v>
      </c>
      <c r="M10" s="69" t="n">
        <f aca="false">MAY!M50</f>
        <v>8684.2</v>
      </c>
      <c r="N10" s="67" t="n">
        <f aca="false">MAY!N50</f>
        <v>8.55</v>
      </c>
      <c r="O10" s="327" t="n">
        <f aca="false">MAY!O50</f>
        <v>1523.177525</v>
      </c>
      <c r="P10" s="70" t="n">
        <f aca="false">MAY!P50</f>
        <v>7152.472475</v>
      </c>
      <c r="Q10" s="7" t="n">
        <f aca="false">MAY!Q50</f>
        <v>9054.8</v>
      </c>
      <c r="R10" s="7" t="n">
        <f aca="false">MAY!R50</f>
        <v>1592.8</v>
      </c>
      <c r="S10" s="7" t="n">
        <f aca="false">MAY!S50</f>
        <v>17800.072475</v>
      </c>
      <c r="T10" s="7"/>
      <c r="U10" s="7" t="n">
        <f aca="false">MAY!U50</f>
        <v>1349.63</v>
      </c>
      <c r="V10" s="7" t="n">
        <f aca="false">MAY!V50</f>
        <v>3370.89</v>
      </c>
      <c r="W10" s="7" t="n">
        <f aca="false">MAY!W50</f>
        <v>7134.49231157046</v>
      </c>
      <c r="X10" s="7" t="n">
        <f aca="false">MAY!X50</f>
        <v>24052.32</v>
      </c>
      <c r="Y10" s="7" t="n">
        <f aca="false">MAY!Y50</f>
        <v>1453.79539702546</v>
      </c>
      <c r="Z10" s="7" t="n">
        <f aca="false">MAY!Z50</f>
        <v>25506.1153970255</v>
      </c>
      <c r="AA10" s="60" t="n">
        <f aca="false">MAY!AA50</f>
        <v>7.98</v>
      </c>
      <c r="AB10" s="72"/>
      <c r="AC10" s="73"/>
      <c r="AD10" s="13"/>
      <c r="AE10" s="329"/>
      <c r="AF10" s="298" t="n">
        <f aca="false">MAY!AF50</f>
        <v>508.91378606319</v>
      </c>
      <c r="AG10" s="244"/>
    </row>
    <row r="11" customFormat="false" ht="3" hidden="false" customHeight="true" outlineLevel="0" collapsed="false">
      <c r="A11" s="75"/>
      <c r="B11" s="76"/>
      <c r="C11" s="77"/>
      <c r="D11" s="75"/>
      <c r="E11" s="77"/>
      <c r="F11" s="78"/>
      <c r="G11" s="75"/>
      <c r="H11" s="272"/>
      <c r="I11" s="75"/>
      <c r="J11" s="75"/>
      <c r="K11" s="75"/>
      <c r="L11" s="75"/>
      <c r="M11" s="80"/>
      <c r="N11" s="75"/>
      <c r="O11" s="272" t="n">
        <v>0</v>
      </c>
      <c r="P11" s="81"/>
      <c r="Q11" s="75"/>
      <c r="R11" s="75" t="n">
        <v>0</v>
      </c>
      <c r="S11" s="75"/>
      <c r="T11" s="77"/>
      <c r="U11" s="75"/>
      <c r="V11" s="75"/>
      <c r="W11" s="77"/>
      <c r="X11" s="75"/>
      <c r="Y11" s="75"/>
      <c r="Z11" s="75"/>
      <c r="AA11" s="82"/>
      <c r="AB11" s="83"/>
      <c r="AC11" s="84"/>
      <c r="AD11" s="85"/>
      <c r="AE11" s="85"/>
      <c r="AF11" s="301"/>
      <c r="AG11" s="301"/>
    </row>
    <row r="12" customFormat="false" ht="11.1" hidden="false" customHeight="true" outlineLevel="0" collapsed="false">
      <c r="A12" s="13" t="n">
        <v>1</v>
      </c>
      <c r="B12" s="74" t="n">
        <v>6888.88</v>
      </c>
      <c r="C12" s="67" t="n">
        <v>244401</v>
      </c>
      <c r="D12" s="72" t="n">
        <f aca="false">C12-C10</f>
        <v>1499</v>
      </c>
      <c r="E12" s="67" t="n">
        <f aca="false">C12-152000</f>
        <v>92401</v>
      </c>
      <c r="F12" s="86" t="n">
        <f aca="false">D12/$D$2</f>
        <v>755.734812200655</v>
      </c>
      <c r="G12" s="6" t="n">
        <v>1430</v>
      </c>
      <c r="H12" s="87" t="n">
        <v>0.66</v>
      </c>
      <c r="I12" s="6" t="n">
        <f aca="false">G12+H12</f>
        <v>1430.66</v>
      </c>
      <c r="J12" s="275" t="n">
        <f aca="false">IF(L12&gt;0,L12,0)</f>
        <v>11.0748122006553</v>
      </c>
      <c r="K12" s="6" t="n">
        <f aca="false">I12+J12</f>
        <v>1441.73481220066</v>
      </c>
      <c r="L12" s="6" t="n">
        <f aca="false">F12-(I12-X12)</f>
        <v>11.0748122006553</v>
      </c>
      <c r="M12" s="88" t="n">
        <v>247</v>
      </c>
      <c r="N12" s="89" t="n">
        <v>0</v>
      </c>
      <c r="O12" s="181" t="n">
        <f aca="false">34.38*1.05</f>
        <v>36.099</v>
      </c>
      <c r="P12" s="90" t="n">
        <f aca="false">M12-(N12+O12)</f>
        <v>210.901</v>
      </c>
      <c r="Q12" s="6" t="n">
        <v>163</v>
      </c>
      <c r="R12" s="6" t="n">
        <v>83</v>
      </c>
      <c r="S12" s="6" t="n">
        <f aca="false">SUM(P12:R12)</f>
        <v>456.901</v>
      </c>
      <c r="T12" s="7" t="n">
        <f aca="false">T9+AE12-(AF12/1.9835)+1714.14</f>
        <v>24628.8359774465</v>
      </c>
      <c r="U12" s="6" t="n">
        <v>175</v>
      </c>
      <c r="V12" s="276" t="n">
        <v>18</v>
      </c>
      <c r="W12" s="277" t="n">
        <f aca="false">W10-V12</f>
        <v>7116.49231157046</v>
      </c>
      <c r="X12" s="6" t="n">
        <f aca="false">N12+O12+S12+U12+V12</f>
        <v>686</v>
      </c>
      <c r="Y12" s="6" t="n">
        <f aca="false">IF(L12&lt;0,L12*-1,0)</f>
        <v>0</v>
      </c>
      <c r="Z12" s="6" t="n">
        <f aca="false">X12+Y12</f>
        <v>686</v>
      </c>
      <c r="AA12" s="60" t="n">
        <v>0</v>
      </c>
      <c r="AB12" s="72" t="n">
        <v>80</v>
      </c>
      <c r="AC12" s="73" t="n">
        <v>53</v>
      </c>
      <c r="AD12" s="13" t="n">
        <v>0</v>
      </c>
      <c r="AE12" s="12" t="n">
        <f aca="false">795-(S12-8)</f>
        <v>346.099</v>
      </c>
      <c r="AF12" s="298" t="n">
        <f aca="false">23.5*(T9*1.9835+AE12*1.9835)/E12</f>
        <v>11.5623992592864</v>
      </c>
    </row>
    <row r="13" customFormat="false" ht="11.1" hidden="false" customHeight="true" outlineLevel="0" collapsed="false">
      <c r="A13" s="13" t="n">
        <f aca="false">A12+1</f>
        <v>2</v>
      </c>
      <c r="B13" s="74" t="n">
        <v>6889.36</v>
      </c>
      <c r="C13" s="67" t="n">
        <v>246013</v>
      </c>
      <c r="D13" s="72" t="n">
        <f aca="false">C13-C12</f>
        <v>1612</v>
      </c>
      <c r="E13" s="67" t="n">
        <f aca="false">C13-152000</f>
        <v>94013</v>
      </c>
      <c r="F13" s="86" t="n">
        <f aca="false">D13/$D$2</f>
        <v>812.704814721452</v>
      </c>
      <c r="G13" s="6" t="n">
        <v>1430</v>
      </c>
      <c r="H13" s="87" t="n">
        <v>0.49</v>
      </c>
      <c r="I13" s="6" t="n">
        <f aca="false">G13+H13</f>
        <v>1430.49</v>
      </c>
      <c r="J13" s="275" t="n">
        <f aca="false">IF(L13&gt;0,L13,0)</f>
        <v>78.2148147214519</v>
      </c>
      <c r="K13" s="6" t="n">
        <f aca="false">I13+J13</f>
        <v>1508.70481472145</v>
      </c>
      <c r="L13" s="6" t="n">
        <f aca="false">F13-(I13-X13)</f>
        <v>78.2148147214519</v>
      </c>
      <c r="M13" s="88" t="n">
        <v>244</v>
      </c>
      <c r="N13" s="89" t="n">
        <v>0</v>
      </c>
      <c r="O13" s="181" t="n">
        <f aca="false">33.45*1.05</f>
        <v>35.1225</v>
      </c>
      <c r="P13" s="90" t="n">
        <f aca="false">M13-(N13+O13)</f>
        <v>208.8775</v>
      </c>
      <c r="Q13" s="6" t="n">
        <v>154</v>
      </c>
      <c r="R13" s="6" t="n">
        <v>80</v>
      </c>
      <c r="S13" s="6" t="n">
        <f aca="false">SUM(P13:R13)</f>
        <v>442.8775</v>
      </c>
      <c r="T13" s="112" t="n">
        <f aca="false">T12+AE13-(AF13/1.9835)</f>
        <v>24982.9128239281</v>
      </c>
      <c r="U13" s="6" t="n">
        <v>200</v>
      </c>
      <c r="V13" s="276" t="n">
        <v>18</v>
      </c>
      <c r="W13" s="277" t="n">
        <f aca="false">W12-V13</f>
        <v>7098.49231157046</v>
      </c>
      <c r="X13" s="6" t="n">
        <f aca="false">N13+O13+S13+U13+V13</f>
        <v>696</v>
      </c>
      <c r="Y13" s="6" t="n">
        <f aca="false">IF(L13&lt;0,L13*-1,0)</f>
        <v>0</v>
      </c>
      <c r="Z13" s="6" t="n">
        <f aca="false">X13+Y13</f>
        <v>696</v>
      </c>
      <c r="AA13" s="60" t="n">
        <v>0</v>
      </c>
      <c r="AB13" s="72" t="n">
        <v>83</v>
      </c>
      <c r="AC13" s="73" t="n">
        <v>50</v>
      </c>
      <c r="AD13" s="13" t="n">
        <v>0</v>
      </c>
      <c r="AE13" s="12" t="n">
        <f aca="false">795-(S13-8)</f>
        <v>360.1225</v>
      </c>
      <c r="AF13" s="298" t="n">
        <f aca="false">23.5*(T12*1.9835-S13*1.9835)/E13</f>
        <v>11.9915537536336</v>
      </c>
    </row>
    <row r="14" customFormat="false" ht="11.1" hidden="false" customHeight="true" outlineLevel="0" collapsed="false">
      <c r="A14" s="13" t="n">
        <f aca="false">A13+1</f>
        <v>3</v>
      </c>
      <c r="B14" s="74" t="n">
        <v>6889.8</v>
      </c>
      <c r="C14" s="67" t="n">
        <v>247495</v>
      </c>
      <c r="D14" s="72" t="n">
        <f aca="false">C14-C13</f>
        <v>1482</v>
      </c>
      <c r="E14" s="67" t="n">
        <f aca="false">C14-152000</f>
        <v>95495</v>
      </c>
      <c r="F14" s="86" t="n">
        <f aca="false">D14/$D$2</f>
        <v>747.164103856819</v>
      </c>
      <c r="G14" s="6" t="n">
        <v>1270</v>
      </c>
      <c r="H14" s="87" t="n">
        <v>0.37</v>
      </c>
      <c r="I14" s="6" t="n">
        <f aca="false">G14+H14</f>
        <v>1270.37</v>
      </c>
      <c r="J14" s="275" t="n">
        <f aca="false">IF(L14&gt;0,L14,0)</f>
        <v>188.794103856819</v>
      </c>
      <c r="K14" s="6" t="n">
        <f aca="false">I14+J14</f>
        <v>1459.16410385682</v>
      </c>
      <c r="L14" s="6" t="n">
        <f aca="false">F14-(I14-X14)</f>
        <v>188.794103856819</v>
      </c>
      <c r="M14" s="88" t="n">
        <v>270</v>
      </c>
      <c r="N14" s="89" t="n">
        <v>0</v>
      </c>
      <c r="O14" s="327" t="n">
        <f aca="false">51.64*1.05</f>
        <v>54.222</v>
      </c>
      <c r="P14" s="90" t="n">
        <f aca="false">M14-(N14+O14)</f>
        <v>215.778</v>
      </c>
      <c r="Q14" s="6" t="n">
        <v>154</v>
      </c>
      <c r="R14" s="6" t="n">
        <v>81</v>
      </c>
      <c r="S14" s="6" t="n">
        <f aca="false">SUM(P14:R14)</f>
        <v>450.778</v>
      </c>
      <c r="T14" s="112" t="n">
        <f aca="false">T13+AE14-(AF14/1.9835)</f>
        <v>25329.0978045202</v>
      </c>
      <c r="U14" s="6" t="n">
        <v>189</v>
      </c>
      <c r="V14" s="276" t="n">
        <v>18</v>
      </c>
      <c r="W14" s="277" t="n">
        <f aca="false">W13-V14</f>
        <v>7080.49231157046</v>
      </c>
      <c r="X14" s="6" t="n">
        <f aca="false">N14+O14+S14+U14+V14</f>
        <v>712</v>
      </c>
      <c r="Y14" s="6" t="n">
        <f aca="false">IF(L14&lt;0,L14*-1,0)</f>
        <v>0</v>
      </c>
      <c r="Z14" s="6" t="n">
        <f aca="false">X14+Y14</f>
        <v>712</v>
      </c>
      <c r="AA14" s="60" t="n">
        <v>0</v>
      </c>
      <c r="AB14" s="72" t="n">
        <v>81</v>
      </c>
      <c r="AC14" s="73" t="n">
        <v>51</v>
      </c>
      <c r="AD14" s="13" t="n">
        <v>0</v>
      </c>
      <c r="AE14" s="12" t="n">
        <f aca="false">795-(S14-8)</f>
        <v>352.222</v>
      </c>
      <c r="AF14" s="298" t="n">
        <f aca="false">23.5*(T13*1.9835-S14*1.9835)/E14</f>
        <v>11.9744279956714</v>
      </c>
    </row>
    <row r="15" customFormat="false" ht="11.1" hidden="false" customHeight="true" outlineLevel="0" collapsed="false">
      <c r="A15" s="13" t="n">
        <f aca="false">A14+1</f>
        <v>4</v>
      </c>
      <c r="B15" s="74" t="n">
        <v>6889.99</v>
      </c>
      <c r="C15" s="67" t="n">
        <v>248134</v>
      </c>
      <c r="D15" s="72" t="n">
        <f aca="false">C15-C14</f>
        <v>639</v>
      </c>
      <c r="E15" s="67" t="n">
        <f aca="false">C15-152000</f>
        <v>96134</v>
      </c>
      <c r="F15" s="86" t="n">
        <f aca="false">D15/$D$2</f>
        <v>322.157801865389</v>
      </c>
      <c r="G15" s="6" t="n">
        <v>1120</v>
      </c>
      <c r="H15" s="87" t="n">
        <v>0.26</v>
      </c>
      <c r="I15" s="6" t="n">
        <f aca="false">G15+H15</f>
        <v>1120.26</v>
      </c>
      <c r="J15" s="275" t="n">
        <f aca="false">IF(L15&gt;0,L15,0)</f>
        <v>0</v>
      </c>
      <c r="K15" s="6" t="n">
        <f aca="false">I15+J15</f>
        <v>1120.26</v>
      </c>
      <c r="L15" s="6" t="n">
        <f aca="false">F15-(I15-X15)</f>
        <v>-72.1021981346105</v>
      </c>
      <c r="M15" s="88" t="n">
        <v>284</v>
      </c>
      <c r="N15" s="89" t="n">
        <v>0</v>
      </c>
      <c r="O15" s="327" t="n">
        <f aca="false">59.32*1.05</f>
        <v>62.286</v>
      </c>
      <c r="P15" s="90" t="n">
        <f aca="false">M15-(N15+O15)</f>
        <v>221.714</v>
      </c>
      <c r="Q15" s="6" t="n">
        <v>153</v>
      </c>
      <c r="R15" s="6" t="n">
        <v>79</v>
      </c>
      <c r="S15" s="6" t="n">
        <f aca="false">SUM(P15:R15)</f>
        <v>453.714</v>
      </c>
      <c r="T15" s="112" t="n">
        <f aca="false">T14-(S15-8)-(AF15/1.9835)</f>
        <v>24877.3030056415</v>
      </c>
      <c r="U15" s="6" t="n">
        <v>192</v>
      </c>
      <c r="V15" s="276" t="n">
        <v>18</v>
      </c>
      <c r="W15" s="277" t="n">
        <f aca="false">W14-V15</f>
        <v>7062.49231157046</v>
      </c>
      <c r="X15" s="6" t="n">
        <f aca="false">N15+O15+S15+U15+V15</f>
        <v>726</v>
      </c>
      <c r="Y15" s="6" t="n">
        <f aca="false">IF(L15&lt;0,L15*-1,0)</f>
        <v>72.1021981346105</v>
      </c>
      <c r="Z15" s="6" t="n">
        <f aca="false">X15+Y15</f>
        <v>798.102198134611</v>
      </c>
      <c r="AA15" s="60" t="n">
        <v>0</v>
      </c>
      <c r="AB15" s="72" t="n">
        <v>81</v>
      </c>
      <c r="AC15" s="73" t="n">
        <v>50</v>
      </c>
      <c r="AD15" s="13" t="n">
        <v>0</v>
      </c>
      <c r="AE15" s="12" t="n">
        <v>0</v>
      </c>
      <c r="AF15" s="298" t="n">
        <f aca="false">23.5*(T14*1.9835-S15*1.9835)/E15</f>
        <v>12.0612645759278</v>
      </c>
    </row>
    <row r="16" customFormat="false" ht="11.1" hidden="false" customHeight="true" outlineLevel="0" collapsed="false">
      <c r="A16" s="13" t="n">
        <f aca="false">A15+1</f>
        <v>5</v>
      </c>
      <c r="B16" s="74" t="n">
        <v>6890.1</v>
      </c>
      <c r="C16" s="67" t="n">
        <v>248508</v>
      </c>
      <c r="D16" s="72" t="n">
        <f aca="false">C16-C15</f>
        <v>374</v>
      </c>
      <c r="E16" s="67" t="n">
        <f aca="false">C16-152000</f>
        <v>96508</v>
      </c>
      <c r="F16" s="86" t="n">
        <f aca="false">D16/$D$2</f>
        <v>188.555583564406</v>
      </c>
      <c r="G16" s="6" t="n">
        <v>986</v>
      </c>
      <c r="H16" s="87" t="n">
        <v>0.17</v>
      </c>
      <c r="I16" s="6" t="n">
        <f aca="false">G16+H16</f>
        <v>986.17</v>
      </c>
      <c r="J16" s="275" t="n">
        <f aca="false">IF(L16&gt;0,L16,0)</f>
        <v>0</v>
      </c>
      <c r="K16" s="6" t="n">
        <f aca="false">I16+J16</f>
        <v>986.17</v>
      </c>
      <c r="L16" s="6" t="n">
        <f aca="false">F16-(I16-X16)</f>
        <v>-99.6144164355936</v>
      </c>
      <c r="M16" s="88" t="n">
        <v>260</v>
      </c>
      <c r="N16" s="89" t="n">
        <v>0</v>
      </c>
      <c r="O16" s="327" t="n">
        <f aca="false">63.02*1.05</f>
        <v>66.171</v>
      </c>
      <c r="P16" s="90" t="n">
        <f aca="false">M16-(N16+O16)</f>
        <v>193.829</v>
      </c>
      <c r="Q16" s="6" t="n">
        <v>153</v>
      </c>
      <c r="R16" s="6" t="n">
        <v>77</v>
      </c>
      <c r="S16" s="6" t="n">
        <f aca="false">SUM(P16:R16)</f>
        <v>423.829</v>
      </c>
      <c r="T16" s="112" t="n">
        <f aca="false">T15-(S16-8)-(AF16/1.9835)</f>
        <v>24455.5195081995</v>
      </c>
      <c r="U16" s="6" t="n">
        <v>188</v>
      </c>
      <c r="V16" s="276" t="n">
        <v>20</v>
      </c>
      <c r="W16" s="277" t="n">
        <f aca="false">W15-V16</f>
        <v>7042.49231157046</v>
      </c>
      <c r="X16" s="6" t="n">
        <f aca="false">N16+O16+S16+U16+V16</f>
        <v>698</v>
      </c>
      <c r="Y16" s="6" t="n">
        <f aca="false">IF(L16&lt;0,L16*-1,0)</f>
        <v>99.6144164355936</v>
      </c>
      <c r="Z16" s="6" t="n">
        <f aca="false">X16+Y16</f>
        <v>797.614416435594</v>
      </c>
      <c r="AA16" s="60" t="n">
        <v>0</v>
      </c>
      <c r="AB16" s="72" t="n">
        <v>75</v>
      </c>
      <c r="AC16" s="73" t="n">
        <v>43</v>
      </c>
      <c r="AD16" s="13" t="n">
        <v>0</v>
      </c>
      <c r="AE16" s="12" t="n">
        <v>0</v>
      </c>
      <c r="AF16" s="298" t="n">
        <f aca="false">23.5*(T15*1.9835-S16*1.9835)/E16</f>
        <v>11.8107456762078</v>
      </c>
    </row>
    <row r="17" customFormat="false" ht="11.1" hidden="false" customHeight="true" outlineLevel="0" collapsed="false">
      <c r="A17" s="13" t="n">
        <f aca="false">A16+1</f>
        <v>6</v>
      </c>
      <c r="B17" s="74" t="n">
        <v>6890.14</v>
      </c>
      <c r="C17" s="67" t="n">
        <v>248644</v>
      </c>
      <c r="D17" s="72" t="n">
        <f aca="false">C17-C16</f>
        <v>136</v>
      </c>
      <c r="E17" s="67" t="n">
        <f aca="false">C17-152000</f>
        <v>96644</v>
      </c>
      <c r="F17" s="86" t="n">
        <f aca="false">D17/$D$2</f>
        <v>68.5656667506932</v>
      </c>
      <c r="G17" s="6" t="n">
        <v>833</v>
      </c>
      <c r="H17" s="87" t="n">
        <v>0.11</v>
      </c>
      <c r="I17" s="6" t="n">
        <f aca="false">G17+H17</f>
        <v>833.11</v>
      </c>
      <c r="J17" s="275" t="n">
        <f aca="false">IF(L17&gt;0,L17,0)</f>
        <v>0</v>
      </c>
      <c r="K17" s="6" t="n">
        <f aca="false">I17+J17</f>
        <v>833.11</v>
      </c>
      <c r="L17" s="6" t="n">
        <f aca="false">F17-(I17-X17)</f>
        <v>-65.5443332493068</v>
      </c>
      <c r="M17" s="88" t="n">
        <v>261</v>
      </c>
      <c r="N17" s="89" t="n">
        <v>0</v>
      </c>
      <c r="O17" s="327" t="n">
        <f aca="false">62.5*1.05</f>
        <v>65.625</v>
      </c>
      <c r="P17" s="90" t="n">
        <f aca="false">M17-(N17+O17)</f>
        <v>195.375</v>
      </c>
      <c r="Q17" s="6" t="n">
        <v>153</v>
      </c>
      <c r="R17" s="6" t="n">
        <v>75</v>
      </c>
      <c r="S17" s="6" t="n">
        <f aca="false">SUM(P17:R17)</f>
        <v>423.375</v>
      </c>
      <c r="T17" s="112" t="n">
        <f aca="false">T16-(S17-8)-(AF17/1.9835)</f>
        <v>24034.3008407608</v>
      </c>
      <c r="U17" s="6" t="n">
        <v>188</v>
      </c>
      <c r="V17" s="276" t="n">
        <v>22</v>
      </c>
      <c r="W17" s="277" t="n">
        <f aca="false">W16-V17</f>
        <v>7020.49231157046</v>
      </c>
      <c r="X17" s="6" t="n">
        <f aca="false">N17+O17+S17+U17+V17</f>
        <v>699</v>
      </c>
      <c r="Y17" s="6" t="n">
        <f aca="false">IF(L17&lt;0,L17*-1,0)</f>
        <v>65.5443332493068</v>
      </c>
      <c r="Z17" s="6" t="n">
        <f aca="false">X17+Y17</f>
        <v>764.544333249307</v>
      </c>
      <c r="AA17" s="60" t="n">
        <v>0</v>
      </c>
      <c r="AB17" s="72" t="n">
        <v>75</v>
      </c>
      <c r="AC17" s="73" t="n">
        <v>45</v>
      </c>
      <c r="AD17" s="13" t="n">
        <v>0</v>
      </c>
      <c r="AE17" s="12" t="n">
        <v>0</v>
      </c>
      <c r="AF17" s="298" t="n">
        <f aca="false">23.5*(T16*1.9835-S17*1.9835)/E17</f>
        <v>11.5909143645991</v>
      </c>
    </row>
    <row r="18" customFormat="false" ht="11.1" hidden="false" customHeight="true" outlineLevel="0" collapsed="false">
      <c r="A18" s="13" t="n">
        <f aca="false">A17+1</f>
        <v>7</v>
      </c>
      <c r="B18" s="74" t="n">
        <v>6890.16</v>
      </c>
      <c r="C18" s="67" t="n">
        <v>248712</v>
      </c>
      <c r="D18" s="72" t="n">
        <f aca="false">C18-C17</f>
        <v>68</v>
      </c>
      <c r="E18" s="67" t="n">
        <f aca="false">C18-152000</f>
        <v>96712</v>
      </c>
      <c r="F18" s="86" t="n">
        <f aca="false">D18/$D$2</f>
        <v>34.2828333753466</v>
      </c>
      <c r="G18" s="6" t="n">
        <v>720</v>
      </c>
      <c r="H18" s="87" t="n">
        <v>0.07</v>
      </c>
      <c r="I18" s="6" t="n">
        <f aca="false">G18+H18</f>
        <v>720.07</v>
      </c>
      <c r="J18" s="275" t="n">
        <f aca="false">IF(L18&gt;0,L18,0)</f>
        <v>0</v>
      </c>
      <c r="K18" s="6" t="n">
        <f aca="false">I18+J18</f>
        <v>720.07</v>
      </c>
      <c r="L18" s="6" t="n">
        <f aca="false">F18-(I18-X18)</f>
        <v>-15.7871666246534</v>
      </c>
      <c r="M18" s="88" t="n">
        <v>249</v>
      </c>
      <c r="N18" s="89" t="n">
        <v>0</v>
      </c>
      <c r="O18" s="327" t="n">
        <f aca="false">52.2*1.05</f>
        <v>54.81</v>
      </c>
      <c r="P18" s="90" t="n">
        <f aca="false">M18-(N18+O18)</f>
        <v>194.19</v>
      </c>
      <c r="Q18" s="6" t="n">
        <v>156</v>
      </c>
      <c r="R18" s="6" t="n">
        <v>76</v>
      </c>
      <c r="S18" s="6" t="n">
        <f aca="false">SUM(P18:R18)</f>
        <v>426.19</v>
      </c>
      <c r="T18" s="112" t="n">
        <f aca="false">T17-(S18-8)-(AF18/1.9835)</f>
        <v>23610.3743178396</v>
      </c>
      <c r="U18" s="6" t="n">
        <v>167</v>
      </c>
      <c r="V18" s="276" t="n">
        <v>22</v>
      </c>
      <c r="W18" s="277" t="n">
        <f aca="false">W17-V18</f>
        <v>6998.49231157046</v>
      </c>
      <c r="X18" s="6" t="n">
        <f aca="false">N18+O18+S18+U18+V18</f>
        <v>670</v>
      </c>
      <c r="Y18" s="6" t="n">
        <f aca="false">IF(L18&lt;0,L18*-1,0)</f>
        <v>15.7871666246534</v>
      </c>
      <c r="Z18" s="6" t="n">
        <f aca="false">X18+Y18</f>
        <v>685.787166624653</v>
      </c>
      <c r="AA18" s="60" t="n">
        <v>0</v>
      </c>
      <c r="AB18" s="72" t="n">
        <v>76</v>
      </c>
      <c r="AC18" s="73" t="n">
        <v>44</v>
      </c>
      <c r="AD18" s="13" t="n">
        <v>0</v>
      </c>
      <c r="AE18" s="12" t="n">
        <v>0</v>
      </c>
      <c r="AF18" s="298" t="n">
        <f aca="false">23.5*(T17*1.9835-S18*1.9835)/E18</f>
        <v>11.3783932142573</v>
      </c>
    </row>
    <row r="19" customFormat="false" ht="11.1" hidden="false" customHeight="true" outlineLevel="0" collapsed="false">
      <c r="A19" s="13" t="n">
        <f aca="false">A18+1</f>
        <v>8</v>
      </c>
      <c r="B19" s="74" t="n">
        <v>6890.11</v>
      </c>
      <c r="C19" s="67" t="n">
        <v>248542</v>
      </c>
      <c r="D19" s="72" t="n">
        <f aca="false">C19-C18</f>
        <v>-170</v>
      </c>
      <c r="E19" s="67" t="n">
        <f aca="false">C19-152000</f>
        <v>96542</v>
      </c>
      <c r="F19" s="86" t="n">
        <f aca="false">D19/$D$2</f>
        <v>-85.7070834383665</v>
      </c>
      <c r="G19" s="6" t="n">
        <v>659</v>
      </c>
      <c r="H19" s="87" t="n">
        <v>0.03</v>
      </c>
      <c r="I19" s="6" t="n">
        <f aca="false">G19+H19</f>
        <v>659.03</v>
      </c>
      <c r="J19" s="275" t="n">
        <f aca="false">IF(L19&gt;0,L19,0)</f>
        <v>0</v>
      </c>
      <c r="K19" s="6" t="n">
        <f aca="false">I19+J19</f>
        <v>659.03</v>
      </c>
      <c r="L19" s="6" t="n">
        <f aca="false">F19-(I19-X19)</f>
        <v>-102.737083438367</v>
      </c>
      <c r="M19" s="88" t="n">
        <v>246</v>
      </c>
      <c r="N19" s="89" t="n">
        <v>0</v>
      </c>
      <c r="O19" s="327" t="n">
        <f aca="false">56.28*1.05</f>
        <v>59.094</v>
      </c>
      <c r="P19" s="90" t="n">
        <f aca="false">M19-(N19+O19)</f>
        <v>186.906</v>
      </c>
      <c r="Q19" s="6" t="n">
        <v>157</v>
      </c>
      <c r="R19" s="6" t="n">
        <v>76</v>
      </c>
      <c r="S19" s="6" t="n">
        <f aca="false">SUM(P19:R19)</f>
        <v>419.906</v>
      </c>
      <c r="T19" s="112" t="n">
        <f aca="false">T18-(S19-8)-(AF19/1.9835)</f>
        <v>23192.8233549688</v>
      </c>
      <c r="U19" s="6" t="n">
        <v>141</v>
      </c>
      <c r="V19" s="276" t="n">
        <v>22</v>
      </c>
      <c r="W19" s="277" t="n">
        <f aca="false">W18-V19</f>
        <v>6976.49231157046</v>
      </c>
      <c r="X19" s="6" t="n">
        <f aca="false">N19+O19+S19+U19+V19</f>
        <v>642</v>
      </c>
      <c r="Y19" s="6" t="n">
        <f aca="false">IF(L19&lt;0,L19*-1,0)</f>
        <v>102.737083438367</v>
      </c>
      <c r="Z19" s="6" t="n">
        <f aca="false">X19+Y19</f>
        <v>744.737083438367</v>
      </c>
      <c r="AA19" s="60" t="n">
        <v>0</v>
      </c>
      <c r="AB19" s="72" t="n">
        <v>81</v>
      </c>
      <c r="AC19" s="73" t="n">
        <v>45</v>
      </c>
      <c r="AD19" s="13" t="n">
        <v>0</v>
      </c>
      <c r="AE19" s="12" t="n">
        <v>0</v>
      </c>
      <c r="AF19" s="298" t="n">
        <f aca="false">23.5*(T18*1.9835-S19*1.9835)/E19</f>
        <v>11.196783854159</v>
      </c>
    </row>
    <row r="20" customFormat="false" ht="11.1" hidden="false" customHeight="true" outlineLevel="0" collapsed="false">
      <c r="A20" s="13" t="n">
        <f aca="false">A19+1</f>
        <v>9</v>
      </c>
      <c r="B20" s="74" t="n">
        <v>6890.03</v>
      </c>
      <c r="C20" s="67" t="n">
        <v>248270</v>
      </c>
      <c r="D20" s="72" t="n">
        <f aca="false">C20-C19</f>
        <v>-272</v>
      </c>
      <c r="E20" s="67" t="n">
        <f aca="false">C20-152000</f>
        <v>96270</v>
      </c>
      <c r="F20" s="86" t="n">
        <f aca="false">D20/$D$2</f>
        <v>-137.131333501386</v>
      </c>
      <c r="G20" s="6" t="n">
        <v>638</v>
      </c>
      <c r="H20" s="87" t="n">
        <v>0.02</v>
      </c>
      <c r="I20" s="6" t="n">
        <f aca="false">G20+H20</f>
        <v>638.02</v>
      </c>
      <c r="J20" s="275" t="n">
        <f aca="false">IF(L20&gt;0,L20,0)</f>
        <v>0</v>
      </c>
      <c r="K20" s="6" t="n">
        <f aca="false">I20+J20</f>
        <v>638.02</v>
      </c>
      <c r="L20" s="6" t="n">
        <f aca="false">F20-(I20-X20)</f>
        <v>-127.151333501386</v>
      </c>
      <c r="M20" s="88" t="n">
        <v>254</v>
      </c>
      <c r="N20" s="89" t="n">
        <v>0</v>
      </c>
      <c r="O20" s="327" t="n">
        <f aca="false">60.95*1.05</f>
        <v>63.9975</v>
      </c>
      <c r="P20" s="90" t="n">
        <f aca="false">M20-(N20+O20)</f>
        <v>190.0025</v>
      </c>
      <c r="Q20" s="6" t="n">
        <v>157</v>
      </c>
      <c r="R20" s="6" t="n">
        <v>76</v>
      </c>
      <c r="S20" s="6" t="n">
        <f aca="false">SUM(P20:R20)</f>
        <v>423.0025</v>
      </c>
      <c r="T20" s="112" t="n">
        <f aca="false">T19-(S20-8)-(AF20/1.9835)</f>
        <v>22772.2626250935</v>
      </c>
      <c r="U20" s="6" t="n">
        <v>139</v>
      </c>
      <c r="V20" s="276" t="n">
        <v>22</v>
      </c>
      <c r="W20" s="277" t="n">
        <f aca="false">W19-V20</f>
        <v>6954.49231157046</v>
      </c>
      <c r="X20" s="6" t="n">
        <f aca="false">N20+O20+S20+U20+V20</f>
        <v>648</v>
      </c>
      <c r="Y20" s="6" t="n">
        <f aca="false">IF(L20&lt;0,L20*-1,0)</f>
        <v>127.151333501386</v>
      </c>
      <c r="Z20" s="6" t="n">
        <f aca="false">X20+Y20</f>
        <v>775.151333501386</v>
      </c>
      <c r="AA20" s="60" t="n">
        <v>0</v>
      </c>
      <c r="AB20" s="72" t="n">
        <v>83</v>
      </c>
      <c r="AC20" s="73" t="n">
        <v>48</v>
      </c>
      <c r="AD20" s="13" t="n">
        <v>0</v>
      </c>
      <c r="AE20" s="12" t="n">
        <v>0</v>
      </c>
      <c r="AF20" s="298" t="n">
        <f aca="false">23.5*(T19*1.9835-S20*1.9835)/E20</f>
        <v>11.0247489575882</v>
      </c>
    </row>
    <row r="21" customFormat="false" ht="11.1" hidden="false" customHeight="true" outlineLevel="0" collapsed="false">
      <c r="A21" s="13" t="n">
        <f aca="false">A20+1</f>
        <v>10</v>
      </c>
      <c r="B21" s="74" t="n">
        <v>6889.96</v>
      </c>
      <c r="C21" s="67" t="n">
        <v>248033</v>
      </c>
      <c r="D21" s="72" t="n">
        <f aca="false">C21-C20</f>
        <v>-237</v>
      </c>
      <c r="E21" s="67" t="n">
        <f aca="false">C21-152000</f>
        <v>96033</v>
      </c>
      <c r="F21" s="86" t="n">
        <f aca="false">D21/$D$2</f>
        <v>-119.48575749937</v>
      </c>
      <c r="G21" s="6" t="n">
        <v>603</v>
      </c>
      <c r="H21" s="87" t="n">
        <v>0.01</v>
      </c>
      <c r="I21" s="6" t="n">
        <f aca="false">G21+H21</f>
        <v>603.01</v>
      </c>
      <c r="J21" s="275" t="n">
        <f aca="false">IF(L21&gt;0,L21,0)</f>
        <v>0</v>
      </c>
      <c r="K21" s="6" t="n">
        <f aca="false">I21+J21</f>
        <v>603.01</v>
      </c>
      <c r="L21" s="6" t="n">
        <f aca="false">F21-(I21-X21)</f>
        <v>-63.4957574993698</v>
      </c>
      <c r="M21" s="88" t="n">
        <v>265</v>
      </c>
      <c r="N21" s="89" t="n">
        <v>0</v>
      </c>
      <c r="O21" s="327" t="n">
        <f aca="false">61.09*1.05</f>
        <v>64.1445</v>
      </c>
      <c r="P21" s="90" t="n">
        <f aca="false">M21-(N21+O21)</f>
        <v>200.8555</v>
      </c>
      <c r="Q21" s="6" t="n">
        <v>157</v>
      </c>
      <c r="R21" s="6" t="n">
        <v>76</v>
      </c>
      <c r="S21" s="6" t="n">
        <f aca="false">SUM(P21:R21)</f>
        <v>433.8555</v>
      </c>
      <c r="T21" s="112" t="n">
        <f aca="false">T20-(S21-8)-(AF21/1.9835)</f>
        <v>22340.9407482497</v>
      </c>
      <c r="U21" s="6" t="n">
        <v>139</v>
      </c>
      <c r="V21" s="276" t="n">
        <v>22</v>
      </c>
      <c r="W21" s="277" t="n">
        <f aca="false">W20-V21</f>
        <v>6932.49231157046</v>
      </c>
      <c r="X21" s="6" t="n">
        <f aca="false">N21+O21+S21+U21+V21</f>
        <v>659</v>
      </c>
      <c r="Y21" s="6" t="n">
        <f aca="false">IF(L21&lt;0,L21*-1,0)</f>
        <v>63.4957574993698</v>
      </c>
      <c r="Z21" s="6" t="n">
        <f aca="false">X21+Y21</f>
        <v>722.49575749937</v>
      </c>
      <c r="AA21" s="60" t="n">
        <v>0</v>
      </c>
      <c r="AB21" s="72" t="n">
        <v>79</v>
      </c>
      <c r="AC21" s="73" t="n">
        <v>49</v>
      </c>
      <c r="AD21" s="13" t="n">
        <v>0</v>
      </c>
      <c r="AE21" s="12" t="n">
        <v>0</v>
      </c>
      <c r="AF21" s="298" t="n">
        <f aca="false">23.5*(T20*1.9835-S21*1.9835)/E21</f>
        <v>10.8425584696577</v>
      </c>
    </row>
    <row r="22" customFormat="false" ht="11.1" hidden="false" customHeight="true" outlineLevel="0" collapsed="false">
      <c r="A22" s="13" t="n">
        <f aca="false">A21+1</f>
        <v>11</v>
      </c>
      <c r="B22" s="74" t="n">
        <v>6889.87</v>
      </c>
      <c r="C22" s="67" t="n">
        <v>247730</v>
      </c>
      <c r="D22" s="72" t="n">
        <f aca="false">C22-C21</f>
        <v>-303</v>
      </c>
      <c r="E22" s="67" t="n">
        <f aca="false">C22-152000</f>
        <v>95730</v>
      </c>
      <c r="F22" s="86" t="n">
        <f aca="false">D22/$D$2</f>
        <v>-152.76027224603</v>
      </c>
      <c r="G22" s="6" t="n">
        <v>578</v>
      </c>
      <c r="H22" s="87" t="n">
        <v>0</v>
      </c>
      <c r="I22" s="6" t="n">
        <f aca="false">G22+H22</f>
        <v>578</v>
      </c>
      <c r="J22" s="275" t="n">
        <f aca="false">IF(L22&gt;0,L22,0)</f>
        <v>0</v>
      </c>
      <c r="K22" s="6" t="n">
        <f aca="false">I22+J22</f>
        <v>578</v>
      </c>
      <c r="L22" s="6" t="n">
        <f aca="false">F22-(I22-X22)</f>
        <v>-78.7602722460297</v>
      </c>
      <c r="M22" s="88" t="n">
        <v>263</v>
      </c>
      <c r="N22" s="89" t="n">
        <v>0</v>
      </c>
      <c r="O22" s="327" t="n">
        <f aca="false">64.52*1.05</f>
        <v>67.746</v>
      </c>
      <c r="P22" s="90" t="n">
        <f aca="false">M22-(N22+O22)</f>
        <v>195.254</v>
      </c>
      <c r="Q22" s="6" t="n">
        <v>157</v>
      </c>
      <c r="R22" s="6" t="n">
        <v>76</v>
      </c>
      <c r="S22" s="6" t="n">
        <f aca="false">SUM(P22:R22)</f>
        <v>428.254</v>
      </c>
      <c r="T22" s="112" t="n">
        <f aca="false">T21-(S22-8)-(AF22/1.9835)</f>
        <v>21915.3075762182</v>
      </c>
      <c r="U22" s="6" t="n">
        <v>134</v>
      </c>
      <c r="V22" s="276" t="n">
        <v>22</v>
      </c>
      <c r="W22" s="277" t="n">
        <f aca="false">W21-V22</f>
        <v>6910.49231157046</v>
      </c>
      <c r="X22" s="6" t="n">
        <f aca="false">N22+O22+S22+U22+V22</f>
        <v>652</v>
      </c>
      <c r="Y22" s="6" t="n">
        <f aca="false">IF(L22&lt;0,L22*-1,0)</f>
        <v>78.7602722460297</v>
      </c>
      <c r="Z22" s="6" t="n">
        <f aca="false">X22+Y22</f>
        <v>730.76027224603</v>
      </c>
      <c r="AA22" s="60" t="n">
        <v>0</v>
      </c>
      <c r="AB22" s="72" t="n">
        <v>76</v>
      </c>
      <c r="AC22" s="73" t="n">
        <v>43</v>
      </c>
      <c r="AD22" s="13" t="n">
        <v>0</v>
      </c>
      <c r="AE22" s="12" t="n">
        <v>0</v>
      </c>
      <c r="AF22" s="298" t="n">
        <f aca="false">23.5*(T21*1.9835-S22*1.9835)/E22</f>
        <v>10.6695877246538</v>
      </c>
    </row>
    <row r="23" customFormat="false" ht="11.1" hidden="false" customHeight="true" outlineLevel="0" collapsed="false">
      <c r="A23" s="13" t="n">
        <f aca="false">A22+1</f>
        <v>12</v>
      </c>
      <c r="B23" s="74" t="n">
        <v>6889.75</v>
      </c>
      <c r="C23" s="67" t="n">
        <v>247326</v>
      </c>
      <c r="D23" s="72" t="n">
        <f aca="false">C23-C22</f>
        <v>-404</v>
      </c>
      <c r="E23" s="67" t="n">
        <f aca="false">C23-152000</f>
        <v>95326</v>
      </c>
      <c r="F23" s="86" t="n">
        <f aca="false">D23/$D$2</f>
        <v>-203.680362994706</v>
      </c>
      <c r="G23" s="6" t="n">
        <v>522</v>
      </c>
      <c r="H23" s="87" t="n">
        <v>0</v>
      </c>
      <c r="I23" s="6" t="n">
        <f aca="false">G23+H23</f>
        <v>522</v>
      </c>
      <c r="J23" s="275" t="n">
        <f aca="false">IF(L23&gt;0,L23,0)</f>
        <v>0</v>
      </c>
      <c r="K23" s="6" t="n">
        <f aca="false">I23+J23</f>
        <v>522</v>
      </c>
      <c r="L23" s="6" t="n">
        <f aca="false">F23-(I23-X23)</f>
        <v>-108.680362994706</v>
      </c>
      <c r="M23" s="88" t="n">
        <v>246</v>
      </c>
      <c r="N23" s="89" t="n">
        <v>0</v>
      </c>
      <c r="O23" s="327" t="n">
        <f aca="false">60.9*1.05</f>
        <v>63.945</v>
      </c>
      <c r="P23" s="90" t="n">
        <f aca="false">M23-(N23+O23)</f>
        <v>182.055</v>
      </c>
      <c r="Q23" s="6" t="n">
        <v>157</v>
      </c>
      <c r="R23" s="6" t="n">
        <v>76</v>
      </c>
      <c r="S23" s="6" t="n">
        <f aca="false">SUM(P23:R23)</f>
        <v>415.055</v>
      </c>
      <c r="T23" s="112" t="n">
        <f aca="false">T22-(S23-8)-(AF23/1.9835)</f>
        <v>21502.9522810674</v>
      </c>
      <c r="U23" s="6" t="n">
        <v>116</v>
      </c>
      <c r="V23" s="276" t="n">
        <v>22</v>
      </c>
      <c r="W23" s="277" t="n">
        <f aca="false">W22-V23</f>
        <v>6888.49231157046</v>
      </c>
      <c r="X23" s="6" t="n">
        <f aca="false">N23+O23+S23+U23+V23</f>
        <v>617</v>
      </c>
      <c r="Y23" s="6" t="n">
        <f aca="false">IF(L23&lt;0,L23*-1,0)</f>
        <v>108.680362994706</v>
      </c>
      <c r="Z23" s="6" t="n">
        <f aca="false">X23+Y23</f>
        <v>725.680362994706</v>
      </c>
      <c r="AA23" s="60" t="n">
        <v>0</v>
      </c>
      <c r="AB23" s="72" t="n">
        <v>78</v>
      </c>
      <c r="AC23" s="73" t="n">
        <v>44</v>
      </c>
      <c r="AD23" s="13" t="n">
        <v>0</v>
      </c>
      <c r="AE23" s="12" t="n">
        <v>0</v>
      </c>
      <c r="AF23" s="298" t="n">
        <f aca="false">23.5*(T22*1.9835-S23*1.9835)/E23</f>
        <v>10.5131354315279</v>
      </c>
    </row>
    <row r="24" customFormat="false" ht="11.1" hidden="false" customHeight="true" outlineLevel="0" collapsed="false">
      <c r="A24" s="13" t="n">
        <f aca="false">A23+1</f>
        <v>13</v>
      </c>
      <c r="B24" s="74" t="n">
        <v>6889.62</v>
      </c>
      <c r="C24" s="67" t="n">
        <v>246889</v>
      </c>
      <c r="D24" s="72" t="n">
        <f aca="false">C24-C23</f>
        <v>-437</v>
      </c>
      <c r="E24" s="67" t="n">
        <f aca="false">C24-152000</f>
        <v>94889</v>
      </c>
      <c r="F24" s="86" t="n">
        <f aca="false">D24/$D$2</f>
        <v>-220.317620368036</v>
      </c>
      <c r="G24" s="6" t="n">
        <v>453</v>
      </c>
      <c r="H24" s="87" t="n">
        <v>0</v>
      </c>
      <c r="I24" s="6" t="n">
        <f aca="false">G24+H24</f>
        <v>453</v>
      </c>
      <c r="J24" s="275" t="n">
        <f aca="false">IF(L24&gt;0,L24,0)</f>
        <v>0</v>
      </c>
      <c r="K24" s="6" t="n">
        <f aca="false">I24+J24</f>
        <v>453</v>
      </c>
      <c r="L24" s="6" t="n">
        <f aca="false">F24-(I24-X24)</f>
        <v>-52.3176203680363</v>
      </c>
      <c r="M24" s="88" t="n">
        <v>252</v>
      </c>
      <c r="N24" s="89" t="n">
        <v>0</v>
      </c>
      <c r="O24" s="327" t="n">
        <f aca="false">56.31*1.05</f>
        <v>59.1255</v>
      </c>
      <c r="P24" s="90" t="n">
        <f aca="false">M24-(N24+O24)</f>
        <v>192.8745</v>
      </c>
      <c r="Q24" s="6" t="n">
        <v>157</v>
      </c>
      <c r="R24" s="6" t="n">
        <v>75</v>
      </c>
      <c r="S24" s="6" t="n">
        <f aca="false">SUM(P24:R24)</f>
        <v>424.8745</v>
      </c>
      <c r="T24" s="112" t="n">
        <f aca="false">T23-(S24-8)-(AF24/1.9835)</f>
        <v>21080.8576309145</v>
      </c>
      <c r="U24" s="6" t="n">
        <v>116</v>
      </c>
      <c r="V24" s="276" t="n">
        <v>21</v>
      </c>
      <c r="W24" s="277" t="n">
        <f aca="false">W23-V24</f>
        <v>6867.49231157046</v>
      </c>
      <c r="X24" s="6" t="n">
        <f aca="false">N24+O24+S24+U24+V24</f>
        <v>621</v>
      </c>
      <c r="Y24" s="6" t="n">
        <f aca="false">IF(L24&lt;0,L24*-1,0)</f>
        <v>52.3176203680363</v>
      </c>
      <c r="Z24" s="6" t="n">
        <f aca="false">X24+Y24</f>
        <v>673.317620368036</v>
      </c>
      <c r="AA24" s="60" t="n">
        <v>0</v>
      </c>
      <c r="AB24" s="72" t="n">
        <v>77</v>
      </c>
      <c r="AC24" s="73" t="n">
        <v>49</v>
      </c>
      <c r="AD24" s="13" t="n">
        <v>0</v>
      </c>
      <c r="AE24" s="12" t="n">
        <v>0</v>
      </c>
      <c r="AF24" s="298" t="n">
        <f aca="false">23.5*(T23*1.9835-S24*1.9835)/E24</f>
        <v>10.3541678282052</v>
      </c>
    </row>
    <row r="25" customFormat="false" ht="11.1" hidden="false" customHeight="true" outlineLevel="0" collapsed="false">
      <c r="A25" s="13" t="n">
        <f aca="false">A24+1</f>
        <v>14</v>
      </c>
      <c r="B25" s="74" t="n">
        <v>6889.43</v>
      </c>
      <c r="C25" s="67" t="n">
        <v>246249</v>
      </c>
      <c r="D25" s="72" t="n">
        <f aca="false">C25-C24</f>
        <v>-640</v>
      </c>
      <c r="E25" s="67" t="n">
        <f aca="false">C25-152000</f>
        <v>94249</v>
      </c>
      <c r="F25" s="86" t="n">
        <f aca="false">D25/$D$2</f>
        <v>-322.661961179733</v>
      </c>
      <c r="G25" s="6" t="n">
        <v>404</v>
      </c>
      <c r="H25" s="87" t="n">
        <v>0</v>
      </c>
      <c r="I25" s="6" t="n">
        <f aca="false">G25+H25</f>
        <v>404</v>
      </c>
      <c r="J25" s="275" t="n">
        <f aca="false">IF(L25&gt;0,L25,0)</f>
        <v>0</v>
      </c>
      <c r="K25" s="6" t="n">
        <f aca="false">I25+J25</f>
        <v>404</v>
      </c>
      <c r="L25" s="6" t="n">
        <f aca="false">F25-(I25-X25)</f>
        <v>-122.661961179733</v>
      </c>
      <c r="M25" s="88" t="n">
        <v>253</v>
      </c>
      <c r="N25" s="89" t="n">
        <v>0</v>
      </c>
      <c r="O25" s="327" t="n">
        <f aca="false">56.25*1.05</f>
        <v>59.0625</v>
      </c>
      <c r="P25" s="90" t="n">
        <f aca="false">M25-(N25+O25)</f>
        <v>193.9375</v>
      </c>
      <c r="Q25" s="6" t="n">
        <v>157</v>
      </c>
      <c r="R25" s="6" t="n">
        <v>75</v>
      </c>
      <c r="S25" s="6" t="n">
        <f aca="false">SUM(P25:R25)</f>
        <v>425.9375</v>
      </c>
      <c r="T25" s="112" t="n">
        <f aca="false">T24-(S25-8)-(AF25/1.9835)</f>
        <v>20657.7700431356</v>
      </c>
      <c r="U25" s="6" t="n">
        <v>99</v>
      </c>
      <c r="V25" s="276" t="n">
        <v>20</v>
      </c>
      <c r="W25" s="277" t="n">
        <f aca="false">W24-V25</f>
        <v>6847.49231157046</v>
      </c>
      <c r="X25" s="6" t="n">
        <f aca="false">N25+O25+S25+U25+V25</f>
        <v>604</v>
      </c>
      <c r="Y25" s="6" t="n">
        <f aca="false">IF(L25&lt;0,L25*-1,0)</f>
        <v>122.661961179733</v>
      </c>
      <c r="Z25" s="6" t="n">
        <f aca="false">X25+Y25</f>
        <v>726.661961179733</v>
      </c>
      <c r="AA25" s="60" t="n">
        <v>0</v>
      </c>
      <c r="AB25" s="72" t="n">
        <v>82</v>
      </c>
      <c r="AC25" s="73" t="n">
        <v>49</v>
      </c>
      <c r="AD25" s="13" t="n">
        <v>0</v>
      </c>
      <c r="AE25" s="12" t="n">
        <v>0</v>
      </c>
      <c r="AF25" s="298" t="n">
        <f aca="false">23.5*(T24*1.9835-S25*1.9835)/E25</f>
        <v>10.2151991095101</v>
      </c>
    </row>
    <row r="26" customFormat="false" ht="11.1" hidden="false" customHeight="true" outlineLevel="0" collapsed="false">
      <c r="A26" s="13" t="n">
        <f aca="false">A25+1</f>
        <v>15</v>
      </c>
      <c r="B26" s="74" t="n">
        <v>6889.24</v>
      </c>
      <c r="C26" s="67" t="n">
        <v>245609</v>
      </c>
      <c r="D26" s="72" t="n">
        <f aca="false">C26-C25</f>
        <v>-640</v>
      </c>
      <c r="E26" s="67" t="n">
        <f aca="false">C26-152000</f>
        <v>93609</v>
      </c>
      <c r="F26" s="86" t="n">
        <f aca="false">D26/$D$2</f>
        <v>-322.661961179733</v>
      </c>
      <c r="G26" s="6" t="n">
        <v>382</v>
      </c>
      <c r="H26" s="87" t="n">
        <v>0</v>
      </c>
      <c r="I26" s="6" t="n">
        <f aca="false">G26+H26</f>
        <v>382</v>
      </c>
      <c r="J26" s="275" t="n">
        <f aca="false">IF(L26&gt;0,L26,0)</f>
        <v>0</v>
      </c>
      <c r="K26" s="6" t="n">
        <f aca="false">I26+J26</f>
        <v>382</v>
      </c>
      <c r="L26" s="6" t="n">
        <f aca="false">F26-(I26-X26)</f>
        <v>-121.661961179733</v>
      </c>
      <c r="M26" s="88" t="n">
        <v>251</v>
      </c>
      <c r="N26" s="89" t="n">
        <v>0</v>
      </c>
      <c r="O26" s="327" t="n">
        <f aca="false">53.32*1.05</f>
        <v>55.986</v>
      </c>
      <c r="P26" s="90" t="n">
        <f aca="false">M26-(N26+O26)</f>
        <v>195.014</v>
      </c>
      <c r="Q26" s="6" t="n">
        <v>158</v>
      </c>
      <c r="R26" s="6" t="n">
        <v>75</v>
      </c>
      <c r="S26" s="6" t="n">
        <f aca="false">SUM(P26:R26)</f>
        <v>428.014</v>
      </c>
      <c r="T26" s="112" t="n">
        <f aca="false">T25-(S26-8)-(AF26/1.9835)</f>
        <v>20232.677479461</v>
      </c>
      <c r="U26" s="6" t="n">
        <v>78</v>
      </c>
      <c r="V26" s="276" t="n">
        <v>21</v>
      </c>
      <c r="W26" s="277" t="n">
        <f aca="false">W25-V26</f>
        <v>6826.49231157046</v>
      </c>
      <c r="X26" s="6" t="n">
        <f aca="false">N26+O26+S26+U26+V26</f>
        <v>583</v>
      </c>
      <c r="Y26" s="6" t="n">
        <f aca="false">IF(L26&lt;0,L26*-1,0)</f>
        <v>121.661961179733</v>
      </c>
      <c r="Z26" s="6" t="n">
        <f aca="false">X26+Y26</f>
        <v>704.661961179733</v>
      </c>
      <c r="AA26" s="60" t="n">
        <v>0</v>
      </c>
      <c r="AB26" s="72" t="n">
        <v>86</v>
      </c>
      <c r="AC26" s="73" t="n">
        <v>51</v>
      </c>
      <c r="AD26" s="13" t="n">
        <v>0</v>
      </c>
      <c r="AE26" s="12" t="n">
        <v>0</v>
      </c>
      <c r="AF26" s="298" t="n">
        <f aca="false">23.5*(T25*1.9835-S26*1.9835)/E26</f>
        <v>10.0733310485279</v>
      </c>
    </row>
    <row r="27" customFormat="false" ht="11.1" hidden="false" customHeight="true" outlineLevel="0" collapsed="false">
      <c r="A27" s="13" t="n">
        <f aca="false">A26+1</f>
        <v>16</v>
      </c>
      <c r="B27" s="74" t="n">
        <v>6889.12</v>
      </c>
      <c r="C27" s="67" t="n">
        <v>245205</v>
      </c>
      <c r="D27" s="72" t="n">
        <f aca="false">C27-C26</f>
        <v>-404</v>
      </c>
      <c r="E27" s="67" t="n">
        <f aca="false">C27-152000</f>
        <v>93205</v>
      </c>
      <c r="F27" s="86" t="n">
        <f aca="false">D27/$D$2</f>
        <v>-203.680362994706</v>
      </c>
      <c r="G27" s="6" t="n">
        <v>377</v>
      </c>
      <c r="H27" s="87" t="n">
        <v>0</v>
      </c>
      <c r="I27" s="6" t="n">
        <f aca="false">G27+H27</f>
        <v>377</v>
      </c>
      <c r="J27" s="275" t="n">
        <f aca="false">IF(L27&gt;0,L27,0)</f>
        <v>19.3196370052937</v>
      </c>
      <c r="K27" s="6" t="n">
        <f aca="false">I27+J27</f>
        <v>396.319637005294</v>
      </c>
      <c r="L27" s="6" t="n">
        <f aca="false">F27-(I27-X27)</f>
        <v>19.3196370052937</v>
      </c>
      <c r="M27" s="88" t="n">
        <v>246</v>
      </c>
      <c r="N27" s="89" t="n">
        <v>0</v>
      </c>
      <c r="O27" s="327" t="n">
        <f aca="false">51.61*1.05</f>
        <v>54.1905</v>
      </c>
      <c r="P27" s="90" t="n">
        <f aca="false">M27-(N27+O27)</f>
        <v>191.8095</v>
      </c>
      <c r="Q27" s="6" t="n">
        <v>158</v>
      </c>
      <c r="R27" s="6" t="n">
        <v>73</v>
      </c>
      <c r="S27" s="6" t="n">
        <f aca="false">SUM(P27:R27)</f>
        <v>422.8095</v>
      </c>
      <c r="T27" s="112" t="n">
        <f aca="false">T26-(S27-8)-(AF27/1.9835)</f>
        <v>19812.8732699764</v>
      </c>
      <c r="U27" s="6" t="n">
        <v>102</v>
      </c>
      <c r="V27" s="276" t="n">
        <v>21</v>
      </c>
      <c r="W27" s="277" t="n">
        <f aca="false">W26-V27</f>
        <v>6805.49231157046</v>
      </c>
      <c r="X27" s="6" t="n">
        <f aca="false">N27+O27+S27+U27+V27</f>
        <v>600</v>
      </c>
      <c r="Y27" s="6" t="n">
        <f aca="false">IF(L27&lt;0,L27*-1,0)</f>
        <v>0</v>
      </c>
      <c r="Z27" s="6" t="n">
        <f aca="false">X27+Y27</f>
        <v>600</v>
      </c>
      <c r="AA27" s="60" t="n">
        <v>0</v>
      </c>
      <c r="AB27" s="72" t="n">
        <v>85</v>
      </c>
      <c r="AC27" s="73" t="n">
        <v>53</v>
      </c>
      <c r="AD27" s="13" t="n">
        <v>0</v>
      </c>
      <c r="AE27" s="12" t="n">
        <v>0</v>
      </c>
      <c r="AF27" s="298" t="n">
        <f aca="false">23.5*(T26*1.9835-S27*1.9835)/E27</f>
        <v>9.90700626281457</v>
      </c>
    </row>
    <row r="28" customFormat="false" ht="11.1" hidden="false" customHeight="true" outlineLevel="0" collapsed="false">
      <c r="A28" s="13" t="n">
        <f aca="false">A27+1</f>
        <v>17</v>
      </c>
      <c r="B28" s="74" t="n">
        <v>6888.97</v>
      </c>
      <c r="C28" s="67" t="n">
        <v>244701</v>
      </c>
      <c r="D28" s="72" t="n">
        <f aca="false">C28-C27</f>
        <v>-504</v>
      </c>
      <c r="E28" s="67" t="n">
        <f aca="false">C28-152000</f>
        <v>92701</v>
      </c>
      <c r="F28" s="86" t="n">
        <f aca="false">D28/$D$2</f>
        <v>-254.09629442904</v>
      </c>
      <c r="G28" s="6" t="n">
        <v>338</v>
      </c>
      <c r="H28" s="87" t="n">
        <v>0</v>
      </c>
      <c r="I28" s="6" t="n">
        <f aca="false">G28+H28</f>
        <v>338</v>
      </c>
      <c r="J28" s="275" t="n">
        <f aca="false">IF(L28&gt;0,L28,0)</f>
        <v>0</v>
      </c>
      <c r="K28" s="6" t="n">
        <f aca="false">I28+J28</f>
        <v>338</v>
      </c>
      <c r="L28" s="6" t="n">
        <f aca="false">F28-(I28-X28)</f>
        <v>-14.0962944290396</v>
      </c>
      <c r="M28" s="88" t="n">
        <v>244</v>
      </c>
      <c r="N28" s="89" t="n">
        <v>0</v>
      </c>
      <c r="O28" s="327" t="n">
        <f aca="false">46.4*1.05</f>
        <v>48.72</v>
      </c>
      <c r="P28" s="90" t="n">
        <f aca="false">M28-(N28+O28)</f>
        <v>195.28</v>
      </c>
      <c r="Q28" s="6" t="n">
        <v>111</v>
      </c>
      <c r="R28" s="6" t="n">
        <v>72</v>
      </c>
      <c r="S28" s="6" t="n">
        <f aca="false">SUM(P28:R28)</f>
        <v>378.28</v>
      </c>
      <c r="T28" s="112" t="n">
        <f aca="false">T27-(S28-8)-(AF28/1.9835)</f>
        <v>19437.6665384218</v>
      </c>
      <c r="U28" s="6" t="n">
        <v>131</v>
      </c>
      <c r="V28" s="276" t="n">
        <v>20</v>
      </c>
      <c r="W28" s="277" t="n">
        <f aca="false">W27-V28</f>
        <v>6785.49231157046</v>
      </c>
      <c r="X28" s="6" t="n">
        <f aca="false">N28+O28+S28+U28+V28</f>
        <v>578</v>
      </c>
      <c r="Y28" s="6" t="n">
        <f aca="false">IF(L28&lt;0,L28*-1,0)</f>
        <v>14.0962944290396</v>
      </c>
      <c r="Z28" s="6" t="n">
        <f aca="false">X28+Y28</f>
        <v>592.09629442904</v>
      </c>
      <c r="AA28" s="60" t="n">
        <v>0.01</v>
      </c>
      <c r="AB28" s="72" t="n">
        <v>81</v>
      </c>
      <c r="AC28" s="73" t="n">
        <v>54</v>
      </c>
      <c r="AD28" s="13" t="n">
        <v>0</v>
      </c>
      <c r="AE28" s="12" t="n">
        <v>0</v>
      </c>
      <c r="AF28" s="298" t="n">
        <f aca="false">23.5*(T27*1.9835-S28*1.9835)/E28</f>
        <v>9.77217203858055</v>
      </c>
    </row>
    <row r="29" customFormat="false" ht="11.1" hidden="false" customHeight="true" outlineLevel="0" collapsed="false">
      <c r="A29" s="13" t="n">
        <f aca="false">A28+1</f>
        <v>18</v>
      </c>
      <c r="B29" s="74" t="n">
        <v>6888.88</v>
      </c>
      <c r="C29" s="67" t="n">
        <v>244401</v>
      </c>
      <c r="D29" s="72" t="n">
        <f aca="false">C29-C28</f>
        <v>-300</v>
      </c>
      <c r="E29" s="67" t="n">
        <f aca="false">C29-152000</f>
        <v>92401</v>
      </c>
      <c r="F29" s="86" t="n">
        <f aca="false">D29/$D$2</f>
        <v>-151.247794303</v>
      </c>
      <c r="G29" s="6" t="n">
        <v>310</v>
      </c>
      <c r="H29" s="87" t="n">
        <v>0</v>
      </c>
      <c r="I29" s="6" t="n">
        <f aca="false">G29+H29</f>
        <v>310</v>
      </c>
      <c r="J29" s="275" t="n">
        <f aca="false">IF(L29&gt;0,L29,0)</f>
        <v>42.7522056970003</v>
      </c>
      <c r="K29" s="6" t="n">
        <f aca="false">I29+J29</f>
        <v>352.752205697</v>
      </c>
      <c r="L29" s="6" t="n">
        <f aca="false">F29-(I29-X29)</f>
        <v>42.7522056970003</v>
      </c>
      <c r="M29" s="88" t="n">
        <v>241</v>
      </c>
      <c r="N29" s="89" t="n">
        <v>0</v>
      </c>
      <c r="O29" s="327" t="n">
        <f aca="false">42.75*1.05</f>
        <v>44.8875</v>
      </c>
      <c r="P29" s="90" t="n">
        <f aca="false">M29-(N29+O29)</f>
        <v>196.1125</v>
      </c>
      <c r="Q29" s="6" t="n">
        <v>68</v>
      </c>
      <c r="R29" s="6" t="n">
        <v>72</v>
      </c>
      <c r="S29" s="6" t="n">
        <f aca="false">SUM(P29:R29)</f>
        <v>336.1125</v>
      </c>
      <c r="T29" s="112" t="n">
        <f aca="false">T28-(S29-8)-(AF29/1.9835)</f>
        <v>19104.6960117781</v>
      </c>
      <c r="U29" s="6" t="n">
        <v>103</v>
      </c>
      <c r="V29" s="276" t="n">
        <v>20</v>
      </c>
      <c r="W29" s="277" t="n">
        <f aca="false">W28-V29</f>
        <v>6765.49231157046</v>
      </c>
      <c r="X29" s="6" t="n">
        <f aca="false">N29+O29+S29+U29+V29</f>
        <v>504</v>
      </c>
      <c r="Y29" s="6" t="n">
        <f aca="false">IF(L29&lt;0,L29*-1,0)</f>
        <v>0</v>
      </c>
      <c r="Z29" s="6" t="n">
        <f aca="false">X29+Y29</f>
        <v>504</v>
      </c>
      <c r="AA29" s="60" t="n">
        <v>0</v>
      </c>
      <c r="AB29" s="72" t="n">
        <v>81</v>
      </c>
      <c r="AC29" s="73" t="n">
        <v>51</v>
      </c>
      <c r="AD29" s="13" t="n">
        <v>0</v>
      </c>
      <c r="AE29" s="12" t="n">
        <v>0</v>
      </c>
      <c r="AF29" s="298" t="n">
        <f aca="false">23.5*(T28*1.9835-S29*1.9835)/E29</f>
        <v>9.63589584774434</v>
      </c>
    </row>
    <row r="30" customFormat="false" ht="11.1" hidden="false" customHeight="true" outlineLevel="0" collapsed="false">
      <c r="A30" s="13" t="n">
        <f aca="false">A29+1</f>
        <v>19</v>
      </c>
      <c r="B30" s="74" t="n">
        <v>6888.73</v>
      </c>
      <c r="C30" s="67" t="n">
        <v>243902</v>
      </c>
      <c r="D30" s="72" t="n">
        <f aca="false">C30-C29</f>
        <v>-499</v>
      </c>
      <c r="E30" s="67" t="n">
        <f aca="false">C30-152000</f>
        <v>91902</v>
      </c>
      <c r="F30" s="86" t="n">
        <f aca="false">D30/$D$2</f>
        <v>-251.575497857323</v>
      </c>
      <c r="G30" s="6" t="n">
        <v>297</v>
      </c>
      <c r="H30" s="87" t="n">
        <v>0</v>
      </c>
      <c r="I30" s="6" t="n">
        <f aca="false">G30+H30</f>
        <v>297</v>
      </c>
      <c r="J30" s="275" t="n">
        <f aca="false">IF(L30&gt;0,L30,0)</f>
        <v>0</v>
      </c>
      <c r="K30" s="6" t="n">
        <f aca="false">I30+J30</f>
        <v>297</v>
      </c>
      <c r="L30" s="6" t="n">
        <f aca="false">F30-(I30-X30)</f>
        <v>-33.5754978573229</v>
      </c>
      <c r="M30" s="88" t="n">
        <v>250</v>
      </c>
      <c r="N30" s="89" t="n">
        <v>0</v>
      </c>
      <c r="O30" s="327" t="n">
        <f aca="false">41.46*1.05</f>
        <v>43.533</v>
      </c>
      <c r="P30" s="90" t="n">
        <f aca="false">M30-(N30+O30)</f>
        <v>206.467</v>
      </c>
      <c r="Q30" s="6" t="n">
        <v>69</v>
      </c>
      <c r="R30" s="6" t="n">
        <v>72</v>
      </c>
      <c r="S30" s="6" t="n">
        <f aca="false">SUM(P30:R30)</f>
        <v>347.467</v>
      </c>
      <c r="T30" s="112" t="n">
        <f aca="false">T29-(S30-8)-(AF30/1.9835)</f>
        <v>18760.4326538993</v>
      </c>
      <c r="U30" s="6" t="n">
        <v>104</v>
      </c>
      <c r="V30" s="276" t="n">
        <v>20</v>
      </c>
      <c r="W30" s="277" t="n">
        <f aca="false">W29-V30</f>
        <v>6745.49231157046</v>
      </c>
      <c r="X30" s="6" t="n">
        <f aca="false">N30+O30+S30+U30+V30</f>
        <v>515</v>
      </c>
      <c r="Y30" s="6" t="n">
        <f aca="false">IF(L30&lt;0,L30*-1,0)</f>
        <v>33.5754978573229</v>
      </c>
      <c r="Z30" s="6" t="n">
        <f aca="false">X30+Y30</f>
        <v>548.575497857323</v>
      </c>
      <c r="AA30" s="60" t="n">
        <v>0.09</v>
      </c>
      <c r="AB30" s="72" t="n">
        <v>77</v>
      </c>
      <c r="AC30" s="73" t="n">
        <v>51</v>
      </c>
      <c r="AD30" s="13" t="n">
        <v>0</v>
      </c>
      <c r="AE30" s="12" t="n">
        <v>0</v>
      </c>
      <c r="AF30" s="298" t="n">
        <f aca="false">23.5*(T29*1.9835-S30*1.9835)/E30</f>
        <v>9.51357585258484</v>
      </c>
    </row>
    <row r="31" customFormat="false" ht="11.1" hidden="false" customHeight="true" outlineLevel="0" collapsed="false">
      <c r="A31" s="13" t="n">
        <f aca="false">A30+1</f>
        <v>20</v>
      </c>
      <c r="B31" s="74" t="n">
        <v>6888.52</v>
      </c>
      <c r="C31" s="67" t="n">
        <v>243202</v>
      </c>
      <c r="D31" s="72" t="n">
        <f aca="false">C31-C30</f>
        <v>-700</v>
      </c>
      <c r="E31" s="67" t="n">
        <f aca="false">C31-152000</f>
        <v>91202</v>
      </c>
      <c r="F31" s="86" t="n">
        <f aca="false">D31/$D$2</f>
        <v>-352.911520040333</v>
      </c>
      <c r="G31" s="6" t="n">
        <v>325</v>
      </c>
      <c r="H31" s="87" t="n">
        <v>0</v>
      </c>
      <c r="I31" s="6" t="n">
        <f aca="false">G31+H31</f>
        <v>325</v>
      </c>
      <c r="J31" s="275" t="n">
        <f aca="false">IF(L31&gt;0,L31,0)</f>
        <v>0</v>
      </c>
      <c r="K31" s="6" t="n">
        <f aca="false">I31+J31</f>
        <v>325</v>
      </c>
      <c r="L31" s="6" t="n">
        <f aca="false">F31-(I31-X31)</f>
        <v>-189.911520040333</v>
      </c>
      <c r="M31" s="88" t="n">
        <v>224</v>
      </c>
      <c r="N31" s="89" t="n">
        <v>0</v>
      </c>
      <c r="O31" s="330" t="n">
        <f aca="false">32.44*1.05</f>
        <v>34.062</v>
      </c>
      <c r="P31" s="90" t="n">
        <f aca="false">M31-(N31+O31)</f>
        <v>189.938</v>
      </c>
      <c r="Q31" s="6" t="n">
        <v>70</v>
      </c>
      <c r="R31" s="6" t="n">
        <v>72</v>
      </c>
      <c r="S31" s="6" t="n">
        <f aca="false">SUM(P31:R31)</f>
        <v>331.938</v>
      </c>
      <c r="T31" s="112" t="n">
        <f aca="false">T30-(S31-8)-(AF31/1.9835)</f>
        <v>18431.7461875897</v>
      </c>
      <c r="U31" s="6" t="n">
        <v>93</v>
      </c>
      <c r="V31" s="276" t="n">
        <v>29</v>
      </c>
      <c r="W31" s="277" t="n">
        <f aca="false">W30-V31</f>
        <v>6716.49231157046</v>
      </c>
      <c r="X31" s="6" t="n">
        <f aca="false">N31+O31+S31+U31+V31</f>
        <v>488</v>
      </c>
      <c r="Y31" s="6" t="n">
        <f aca="false">IF(L31&lt;0,L31*-1,0)</f>
        <v>189.911520040333</v>
      </c>
      <c r="Z31" s="6" t="n">
        <f aca="false">X31+Y31</f>
        <v>677.911520040333</v>
      </c>
      <c r="AA31" s="60" t="n">
        <v>0</v>
      </c>
      <c r="AB31" s="72" t="n">
        <v>75</v>
      </c>
      <c r="AC31" s="73" t="n">
        <v>52</v>
      </c>
      <c r="AD31" s="13" t="n">
        <v>0</v>
      </c>
      <c r="AE31" s="12" t="n">
        <v>0</v>
      </c>
      <c r="AF31" s="298" t="n">
        <f aca="false">23.5*(T30*1.9835-S31*1.9835)/E31</f>
        <v>9.41858292505884</v>
      </c>
    </row>
    <row r="32" customFormat="false" ht="11.1" hidden="false" customHeight="true" outlineLevel="0" collapsed="false">
      <c r="A32" s="13" t="n">
        <f aca="false">A31+1</f>
        <v>21</v>
      </c>
      <c r="B32" s="74" t="n">
        <v>6888.39</v>
      </c>
      <c r="C32" s="67" t="n">
        <v>242769</v>
      </c>
      <c r="D32" s="72" t="n">
        <f aca="false">C32-C31</f>
        <v>-433</v>
      </c>
      <c r="E32" s="67" t="n">
        <f aca="false">C32-152000</f>
        <v>90769</v>
      </c>
      <c r="F32" s="86" t="n">
        <f aca="false">D32/$D$2</f>
        <v>-218.300983110663</v>
      </c>
      <c r="G32" s="6" t="n">
        <v>278</v>
      </c>
      <c r="H32" s="87" t="n">
        <v>0</v>
      </c>
      <c r="I32" s="6" t="n">
        <f aca="false">G32+H32</f>
        <v>278</v>
      </c>
      <c r="J32" s="275" t="n">
        <f aca="false">IF(L32&gt;0,L32,0)</f>
        <v>23.699016889337</v>
      </c>
      <c r="K32" s="6" t="n">
        <f aca="false">I32+J32</f>
        <v>301.699016889337</v>
      </c>
      <c r="L32" s="6" t="n">
        <f aca="false">F32-(I32-X32)</f>
        <v>23.699016889337</v>
      </c>
      <c r="M32" s="88" t="n">
        <v>224</v>
      </c>
      <c r="N32" s="89" t="n">
        <v>0</v>
      </c>
      <c r="O32" s="327" t="n">
        <f aca="false">19.39*1.05</f>
        <v>20.3595</v>
      </c>
      <c r="P32" s="90" t="n">
        <f aca="false">M32-(N32+O32)</f>
        <v>203.6405</v>
      </c>
      <c r="Q32" s="6" t="n">
        <v>72</v>
      </c>
      <c r="R32" s="6" t="n">
        <v>72</v>
      </c>
      <c r="S32" s="6" t="n">
        <f aca="false">SUM(P32:R32)</f>
        <v>347.6405</v>
      </c>
      <c r="T32" s="112" t="n">
        <f aca="false">T31-(S32-8)-(AF32/1.9835)</f>
        <v>18087.4237313749</v>
      </c>
      <c r="U32" s="6" t="n">
        <v>111</v>
      </c>
      <c r="V32" s="276" t="n">
        <v>41</v>
      </c>
      <c r="W32" s="277" t="n">
        <f aca="false">W31-V32</f>
        <v>6675.49231157046</v>
      </c>
      <c r="X32" s="6" t="n">
        <f aca="false">N32+O32+S32+U32+V32</f>
        <v>520</v>
      </c>
      <c r="Y32" s="6" t="n">
        <f aca="false">IF(L32&lt;0,L32*-1,0)</f>
        <v>0</v>
      </c>
      <c r="Z32" s="6" t="n">
        <f aca="false">X32+Y32</f>
        <v>520</v>
      </c>
      <c r="AA32" s="60" t="n">
        <v>0</v>
      </c>
      <c r="AB32" s="72" t="n">
        <v>78</v>
      </c>
      <c r="AC32" s="73" t="n">
        <v>42</v>
      </c>
      <c r="AD32" s="13" t="n">
        <v>0</v>
      </c>
      <c r="AE32" s="12" t="n">
        <v>0</v>
      </c>
      <c r="AF32" s="298" t="n">
        <f aca="false">23.5*(T31*1.9835-S32*1.9835)/E32</f>
        <v>9.2866601519941</v>
      </c>
    </row>
    <row r="33" customFormat="false" ht="11.1" hidden="false" customHeight="true" outlineLevel="0" collapsed="false">
      <c r="A33" s="13" t="n">
        <f aca="false">A32+1</f>
        <v>22</v>
      </c>
      <c r="B33" s="74" t="n">
        <v>6888.21</v>
      </c>
      <c r="C33" s="67" t="n">
        <v>242169</v>
      </c>
      <c r="D33" s="72" t="n">
        <f aca="false">C33-C32</f>
        <v>-600</v>
      </c>
      <c r="E33" s="67" t="n">
        <f aca="false">C33-152000</f>
        <v>90169</v>
      </c>
      <c r="F33" s="86" t="n">
        <f aca="false">D33/$D$2</f>
        <v>-302.495588605999</v>
      </c>
      <c r="G33" s="6" t="n">
        <v>257</v>
      </c>
      <c r="H33" s="87" t="n">
        <v>0</v>
      </c>
      <c r="I33" s="6" t="n">
        <f aca="false">G33+H33</f>
        <v>257</v>
      </c>
      <c r="J33" s="275" t="n">
        <f aca="false">IF(L33&gt;0,L33,0)</f>
        <v>0</v>
      </c>
      <c r="K33" s="6" t="n">
        <f aca="false">I33+J33</f>
        <v>257</v>
      </c>
      <c r="L33" s="6" t="n">
        <f aca="false">F33-(I33-X33)</f>
        <v>-20.4955886059995</v>
      </c>
      <c r="M33" s="88" t="n">
        <v>229</v>
      </c>
      <c r="N33" s="89" t="n">
        <v>5.55</v>
      </c>
      <c r="O33" s="327" t="n">
        <f aca="false">19.26*1.05</f>
        <v>20.223</v>
      </c>
      <c r="P33" s="90" t="n">
        <f aca="false">M33-(N33+O33)</f>
        <v>203.227</v>
      </c>
      <c r="Q33" s="6" t="n">
        <v>72</v>
      </c>
      <c r="R33" s="6" t="n">
        <v>72</v>
      </c>
      <c r="S33" s="6" t="n">
        <f aca="false">SUM(P33:R33)</f>
        <v>347.227</v>
      </c>
      <c r="T33" s="112" t="n">
        <f aca="false">T32-(S33-8)-(AF33/1.9835)</f>
        <v>17743.5732507642</v>
      </c>
      <c r="U33" s="6" t="n">
        <v>125</v>
      </c>
      <c r="V33" s="276" t="n">
        <v>41</v>
      </c>
      <c r="W33" s="277" t="n">
        <f aca="false">W32-V33</f>
        <v>6634.49231157046</v>
      </c>
      <c r="X33" s="6" t="n">
        <f aca="false">N33+O33+S33+U33+V33</f>
        <v>539</v>
      </c>
      <c r="Y33" s="6" t="n">
        <f aca="false">IF(L33&lt;0,L33*-1,0)</f>
        <v>20.4955886059995</v>
      </c>
      <c r="Z33" s="6" t="n">
        <f aca="false">X33+Y33</f>
        <v>559.495588606</v>
      </c>
      <c r="AA33" s="60" t="n">
        <v>0</v>
      </c>
      <c r="AB33" s="72" t="n">
        <v>79</v>
      </c>
      <c r="AC33" s="73" t="n">
        <v>43</v>
      </c>
      <c r="AD33" s="13" t="n">
        <v>0</v>
      </c>
      <c r="AE33" s="12" t="n">
        <v>0</v>
      </c>
      <c r="AF33" s="298" t="n">
        <f aca="false">23.5*(T32*1.9835-S33*1.9835)/E33</f>
        <v>9.1706737913477</v>
      </c>
    </row>
    <row r="34" customFormat="false" ht="11.1" hidden="false" customHeight="true" outlineLevel="0" collapsed="false">
      <c r="A34" s="13" t="n">
        <f aca="false">A33+1</f>
        <v>23</v>
      </c>
      <c r="B34" s="74" t="n">
        <v>6887.96</v>
      </c>
      <c r="C34" s="67" t="n">
        <v>241337</v>
      </c>
      <c r="D34" s="72" t="n">
        <f aca="false">C34-C33</f>
        <v>-832</v>
      </c>
      <c r="E34" s="67" t="n">
        <f aca="false">C34-152000</f>
        <v>89337</v>
      </c>
      <c r="F34" s="86" t="n">
        <f aca="false">D34/$D$2</f>
        <v>-419.460549533653</v>
      </c>
      <c r="G34" s="6" t="n">
        <v>248</v>
      </c>
      <c r="H34" s="87" t="n">
        <v>0</v>
      </c>
      <c r="I34" s="6" t="n">
        <f aca="false">G34+H34</f>
        <v>248</v>
      </c>
      <c r="J34" s="275" t="n">
        <f aca="false">IF(L34&gt;0,L34,0)</f>
        <v>0</v>
      </c>
      <c r="K34" s="6" t="n">
        <f aca="false">I34+J34</f>
        <v>248</v>
      </c>
      <c r="L34" s="6" t="n">
        <f aca="false">F34-(I34-X34)</f>
        <v>-123.460549533653</v>
      </c>
      <c r="M34" s="88" t="n">
        <v>231</v>
      </c>
      <c r="N34" s="89" t="n">
        <v>0</v>
      </c>
      <c r="O34" s="327" t="n">
        <f aca="false">25.6*1.05</f>
        <v>26.88</v>
      </c>
      <c r="P34" s="90" t="n">
        <f aca="false">M34-(N34+O34)</f>
        <v>204.12</v>
      </c>
      <c r="Q34" s="6" t="n">
        <v>72</v>
      </c>
      <c r="R34" s="6" t="n">
        <v>71</v>
      </c>
      <c r="S34" s="6" t="n">
        <f aca="false">SUM(P34:R34)</f>
        <v>347.12</v>
      </c>
      <c r="T34" s="112" t="n">
        <f aca="false">T33-(S34-8)-(AF34/1.9835)</f>
        <v>17399.8771327908</v>
      </c>
      <c r="U34" s="6" t="n">
        <v>130</v>
      </c>
      <c r="V34" s="276" t="n">
        <v>40</v>
      </c>
      <c r="W34" s="277" t="n">
        <f aca="false">W33-V34</f>
        <v>6594.49231157046</v>
      </c>
      <c r="X34" s="6" t="n">
        <f aca="false">N34+O34+S34+U34+V34</f>
        <v>544</v>
      </c>
      <c r="Y34" s="6" t="n">
        <f aca="false">IF(L34&lt;0,L34*-1,0)</f>
        <v>123.460549533653</v>
      </c>
      <c r="Z34" s="6" t="n">
        <f aca="false">X34+Y34</f>
        <v>667.460549533653</v>
      </c>
      <c r="AA34" s="60" t="n">
        <v>0</v>
      </c>
      <c r="AB34" s="72" t="n">
        <v>82</v>
      </c>
      <c r="AC34" s="73" t="n">
        <v>50</v>
      </c>
      <c r="AD34" s="13" t="n">
        <v>0</v>
      </c>
      <c r="AE34" s="12" t="n">
        <v>0</v>
      </c>
      <c r="AF34" s="298" t="n">
        <f aca="false">23.5*(T33*1.9835-S34*1.9835)/E34</f>
        <v>9.07673000031268</v>
      </c>
    </row>
    <row r="35" customFormat="false" ht="11.1" hidden="false" customHeight="true" outlineLevel="0" collapsed="false">
      <c r="A35" s="13" t="n">
        <f aca="false">A34+1</f>
        <v>24</v>
      </c>
      <c r="B35" s="74" t="n">
        <v>6887.76</v>
      </c>
      <c r="C35" s="67" t="n">
        <v>240678</v>
      </c>
      <c r="D35" s="72" t="n">
        <f aca="false">C35-C34</f>
        <v>-659</v>
      </c>
      <c r="E35" s="67" t="n">
        <f aca="false">C35-152000</f>
        <v>88678</v>
      </c>
      <c r="F35" s="86" t="n">
        <f aca="false">D35/$D$2</f>
        <v>-332.240988152256</v>
      </c>
      <c r="G35" s="6" t="n">
        <v>229</v>
      </c>
      <c r="H35" s="87" t="n">
        <v>0</v>
      </c>
      <c r="I35" s="6" t="n">
        <f aca="false">G35+H35</f>
        <v>229</v>
      </c>
      <c r="J35" s="275" t="n">
        <f aca="false">IF(L35&gt;0,L35,0)</f>
        <v>0</v>
      </c>
      <c r="K35" s="6" t="n">
        <f aca="false">I35+J35</f>
        <v>229</v>
      </c>
      <c r="L35" s="6" t="n">
        <f aca="false">F35-(I35-X35)</f>
        <v>-28.2409881522561</v>
      </c>
      <c r="M35" s="88" t="n">
        <v>236</v>
      </c>
      <c r="N35" s="89" t="n">
        <v>0</v>
      </c>
      <c r="O35" s="327" t="n">
        <f aca="false">23.59*1.05</f>
        <v>24.7695</v>
      </c>
      <c r="P35" s="90" t="n">
        <f aca="false">M35-(N35+O35)</f>
        <v>211.2305</v>
      </c>
      <c r="Q35" s="6" t="n">
        <v>71</v>
      </c>
      <c r="R35" s="6" t="n">
        <v>71</v>
      </c>
      <c r="S35" s="6" t="n">
        <f aca="false">SUM(P35:R35)</f>
        <v>353.2305</v>
      </c>
      <c r="T35" s="112" t="n">
        <f aca="false">T34-(S35-8)-(AF35/1.9835)</f>
        <v>17050.1292079969</v>
      </c>
      <c r="U35" s="6" t="n">
        <v>115</v>
      </c>
      <c r="V35" s="276" t="n">
        <v>40</v>
      </c>
      <c r="W35" s="277" t="n">
        <f aca="false">W34-V35</f>
        <v>6554.49231157046</v>
      </c>
      <c r="X35" s="6" t="n">
        <f aca="false">N35+O35+S35+U35+V35</f>
        <v>533</v>
      </c>
      <c r="Y35" s="6" t="n">
        <f aca="false">IF(L35&lt;0,L35*-1,0)</f>
        <v>28.2409881522561</v>
      </c>
      <c r="Z35" s="6" t="n">
        <f aca="false">X35+Y35</f>
        <v>561.240988152256</v>
      </c>
      <c r="AA35" s="60" t="n">
        <v>0</v>
      </c>
      <c r="AB35" s="72" t="n">
        <v>77</v>
      </c>
      <c r="AC35" s="73" t="n">
        <v>54</v>
      </c>
      <c r="AD35" s="13" t="n">
        <v>0</v>
      </c>
      <c r="AE35" s="12" t="n">
        <v>0</v>
      </c>
      <c r="AF35" s="298" t="n">
        <f aca="false">23.5*(T34*1.9835-S35*1.9835)/E35</f>
        <v>8.96031207863621</v>
      </c>
    </row>
    <row r="36" customFormat="false" ht="11.1" hidden="false" customHeight="true" outlineLevel="0" collapsed="false">
      <c r="A36" s="13" t="n">
        <f aca="false">A35+1</f>
        <v>25</v>
      </c>
      <c r="B36" s="74" t="n">
        <v>6887.53</v>
      </c>
      <c r="C36" s="67" t="n">
        <v>239920</v>
      </c>
      <c r="D36" s="72" t="n">
        <f aca="false">C36-C35</f>
        <v>-758</v>
      </c>
      <c r="E36" s="67" t="n">
        <f aca="false">C36-152000</f>
        <v>87920</v>
      </c>
      <c r="F36" s="86" t="n">
        <f aca="false">D36/$D$2</f>
        <v>-382.152760272246</v>
      </c>
      <c r="G36" s="6" t="n">
        <v>209</v>
      </c>
      <c r="H36" s="87" t="n">
        <v>0</v>
      </c>
      <c r="I36" s="6" t="n">
        <f aca="false">G36+H36</f>
        <v>209</v>
      </c>
      <c r="J36" s="275" t="n">
        <f aca="false">IF(L36&gt;0,L36,0)</f>
        <v>0</v>
      </c>
      <c r="K36" s="6" t="n">
        <f aca="false">I36+J36</f>
        <v>209</v>
      </c>
      <c r="L36" s="6" t="n">
        <f aca="false">F36-(I36-X36)</f>
        <v>-38.152760272246</v>
      </c>
      <c r="M36" s="88" t="n">
        <v>238</v>
      </c>
      <c r="N36" s="89" t="n">
        <v>0</v>
      </c>
      <c r="O36" s="327" t="n">
        <f aca="false">26.08*1.05</f>
        <v>27.384</v>
      </c>
      <c r="P36" s="90" t="n">
        <f aca="false">M36-(N36+O36)</f>
        <v>210.616</v>
      </c>
      <c r="Q36" s="6" t="n">
        <v>71</v>
      </c>
      <c r="R36" s="6" t="n">
        <v>70</v>
      </c>
      <c r="S36" s="6" t="n">
        <f aca="false">SUM(P36:R36)</f>
        <v>351.616</v>
      </c>
      <c r="T36" s="112" t="n">
        <f aca="false">T35-(S36-8)-(AF36/1.9835)</f>
        <v>16702.0498883838</v>
      </c>
      <c r="U36" s="6" t="n">
        <v>135</v>
      </c>
      <c r="V36" s="276" t="n">
        <v>39</v>
      </c>
      <c r="W36" s="277" t="n">
        <f aca="false">W35-V36</f>
        <v>6515.49231157046</v>
      </c>
      <c r="X36" s="6" t="n">
        <f aca="false">N36+O36+S36+U36+V36</f>
        <v>553</v>
      </c>
      <c r="Y36" s="6" t="n">
        <f aca="false">IF(L36&lt;0,L36*-1,0)</f>
        <v>38.152760272246</v>
      </c>
      <c r="Z36" s="6" t="n">
        <f aca="false">X36+Y36</f>
        <v>591.152760272246</v>
      </c>
      <c r="AA36" s="60" t="n">
        <v>0</v>
      </c>
      <c r="AB36" s="72" t="n">
        <v>74</v>
      </c>
      <c r="AC36" s="73" t="n">
        <v>41</v>
      </c>
      <c r="AD36" s="13" t="n">
        <v>0</v>
      </c>
      <c r="AE36" s="12" t="n">
        <v>0</v>
      </c>
      <c r="AF36" s="298" t="n">
        <f aca="false">23.5*(T35*1.9835-S36*1.9835)/E36</f>
        <v>8.85299445267805</v>
      </c>
    </row>
    <row r="37" customFormat="false" ht="11.1" hidden="false" customHeight="true" outlineLevel="0" collapsed="false">
      <c r="A37" s="13" t="n">
        <f aca="false">A36+1</f>
        <v>26</v>
      </c>
      <c r="B37" s="74" t="n">
        <v>6887.25</v>
      </c>
      <c r="C37" s="67" t="n">
        <v>238997</v>
      </c>
      <c r="D37" s="72" t="n">
        <f aca="false">C37-C36</f>
        <v>-923</v>
      </c>
      <c r="E37" s="67" t="n">
        <f aca="false">C37-152000</f>
        <v>86997</v>
      </c>
      <c r="F37" s="86" t="n">
        <f aca="false">D37/$D$2</f>
        <v>-465.339047138896</v>
      </c>
      <c r="G37" s="6" t="n">
        <v>196</v>
      </c>
      <c r="H37" s="87" t="n">
        <v>0</v>
      </c>
      <c r="I37" s="6" t="n">
        <f aca="false">G37+H37</f>
        <v>196</v>
      </c>
      <c r="J37" s="275" t="n">
        <f aca="false">IF(L37&gt;0,L37,0)</f>
        <v>0</v>
      </c>
      <c r="K37" s="6" t="n">
        <f aca="false">I37+J37</f>
        <v>196</v>
      </c>
      <c r="L37" s="6" t="n">
        <f aca="false">F37-(I37-X37)</f>
        <v>-60.3390471388959</v>
      </c>
      <c r="M37" s="88" t="n">
        <v>243</v>
      </c>
      <c r="N37" s="89" t="n">
        <v>0</v>
      </c>
      <c r="O37" s="3" t="n">
        <f aca="false">24.4*1.05</f>
        <v>25.62</v>
      </c>
      <c r="P37" s="90" t="n">
        <f aca="false">M37-(N37+O37)</f>
        <v>217.38</v>
      </c>
      <c r="Q37" s="6" t="n">
        <v>70</v>
      </c>
      <c r="R37" s="6" t="n">
        <v>68</v>
      </c>
      <c r="S37" s="6" t="n">
        <f aca="false">SUM(P37:R37)</f>
        <v>355.38</v>
      </c>
      <c r="T37" s="112" t="n">
        <f aca="false">T36-(S37-8)-(AF37/1.9835)+AG37</f>
        <v>16356.1842563231</v>
      </c>
      <c r="U37" s="6" t="n">
        <v>182</v>
      </c>
      <c r="V37" s="276" t="n">
        <v>38</v>
      </c>
      <c r="W37" s="277" t="n">
        <f aca="false">W36-V37</f>
        <v>6477.49231157046</v>
      </c>
      <c r="X37" s="6" t="n">
        <f aca="false">N37+O37+S37+U37+V37</f>
        <v>601</v>
      </c>
      <c r="Y37" s="6" t="n">
        <f aca="false">IF(L37&lt;0,L37*-1,0)</f>
        <v>60.3390471388959</v>
      </c>
      <c r="Z37" s="6" t="n">
        <f aca="false">X37+Y37</f>
        <v>661.339047138896</v>
      </c>
      <c r="AA37" s="60" t="n">
        <v>0</v>
      </c>
      <c r="AB37" s="72" t="n">
        <v>78</v>
      </c>
      <c r="AC37" s="73" t="n">
        <v>43</v>
      </c>
      <c r="AD37" s="13" t="n">
        <v>0</v>
      </c>
      <c r="AE37" s="12" t="n">
        <v>0</v>
      </c>
      <c r="AF37" s="298" t="n">
        <f aca="false">23.5*(T36*1.9835-S37*1.9835)/E37</f>
        <v>8.7584061922229</v>
      </c>
      <c r="AG37" s="10" t="n">
        <v>5.93</v>
      </c>
    </row>
    <row r="38" customFormat="false" ht="11.1" hidden="false" customHeight="true" outlineLevel="0" collapsed="false">
      <c r="A38" s="13" t="n">
        <f aca="false">A37+1</f>
        <v>27</v>
      </c>
      <c r="B38" s="74" t="n">
        <v>6886.97</v>
      </c>
      <c r="C38" s="67" t="n">
        <v>238075</v>
      </c>
      <c r="D38" s="72" t="n">
        <f aca="false">C38-C37</f>
        <v>-922</v>
      </c>
      <c r="E38" s="67" t="n">
        <f aca="false">C38-152000</f>
        <v>86075</v>
      </c>
      <c r="F38" s="86" t="n">
        <f aca="false">D38/$D$2</f>
        <v>-464.834887824553</v>
      </c>
      <c r="G38" s="6" t="n">
        <v>193</v>
      </c>
      <c r="H38" s="87" t="n">
        <v>0</v>
      </c>
      <c r="I38" s="6" t="n">
        <f aca="false">G38+H38</f>
        <v>193</v>
      </c>
      <c r="J38" s="275" t="n">
        <f aca="false">IF(L38&gt;0,L38,0)</f>
        <v>0</v>
      </c>
      <c r="K38" s="6" t="n">
        <f aca="false">I38+J38</f>
        <v>193</v>
      </c>
      <c r="L38" s="6" t="n">
        <f aca="false">F38-(I38-X38)</f>
        <v>-54.8348878245525</v>
      </c>
      <c r="M38" s="88" t="n">
        <v>239</v>
      </c>
      <c r="N38" s="89" t="n">
        <v>0</v>
      </c>
      <c r="O38" s="327" t="n">
        <f aca="false">24.4*1.05</f>
        <v>25.62</v>
      </c>
      <c r="P38" s="90" t="n">
        <f aca="false">M38-(N38+O38)</f>
        <v>213.38</v>
      </c>
      <c r="Q38" s="6" t="n">
        <v>51</v>
      </c>
      <c r="R38" s="6" t="n">
        <v>71</v>
      </c>
      <c r="S38" s="6" t="n">
        <f aca="false">SUM(P38:R38)</f>
        <v>335.38</v>
      </c>
      <c r="T38" s="112" t="n">
        <f aca="false">T37-(S38-8)-(AF38/1.9835)+AG38</f>
        <v>16039.4302929189</v>
      </c>
      <c r="U38" s="6" t="n">
        <v>203</v>
      </c>
      <c r="V38" s="276" t="n">
        <v>39</v>
      </c>
      <c r="W38" s="277" t="n">
        <f aca="false">W37-V38</f>
        <v>6438.49231157046</v>
      </c>
      <c r="X38" s="6" t="n">
        <f aca="false">N38+O38+S38+U38+V38</f>
        <v>603</v>
      </c>
      <c r="Y38" s="6" t="n">
        <f aca="false">IF(L38&lt;0,L38*-1,0)</f>
        <v>54.8348878245525</v>
      </c>
      <c r="Z38" s="6" t="n">
        <f aca="false">X38+Y38</f>
        <v>657.834887824553</v>
      </c>
      <c r="AA38" s="60" t="n">
        <v>0</v>
      </c>
      <c r="AB38" s="72" t="n">
        <v>84</v>
      </c>
      <c r="AC38" s="73" t="n">
        <v>48</v>
      </c>
      <c r="AD38" s="13" t="n">
        <v>0</v>
      </c>
      <c r="AE38" s="12" t="n">
        <v>0</v>
      </c>
      <c r="AF38" s="298" t="n">
        <f aca="false">23.5*(T37*1.9835-S38*1.9835)/E38</f>
        <v>8.67575641239383</v>
      </c>
      <c r="AG38" s="10" t="n">
        <v>15</v>
      </c>
    </row>
    <row r="39" customFormat="false" ht="11.1" hidden="false" customHeight="true" outlineLevel="0" collapsed="false">
      <c r="A39" s="13" t="n">
        <f aca="false">A38+1</f>
        <v>28</v>
      </c>
      <c r="B39" s="74" t="n">
        <v>6886.71</v>
      </c>
      <c r="C39" s="67" t="n">
        <v>237227</v>
      </c>
      <c r="D39" s="72" t="n">
        <f aca="false">C39-C38</f>
        <v>-848</v>
      </c>
      <c r="E39" s="67" t="n">
        <f aca="false">C39-152000</f>
        <v>85227</v>
      </c>
      <c r="F39" s="86" t="n">
        <f aca="false">D39/$D$2</f>
        <v>-427.527098563146</v>
      </c>
      <c r="G39" s="6" t="n">
        <v>185</v>
      </c>
      <c r="H39" s="87" t="n">
        <v>0</v>
      </c>
      <c r="I39" s="6" t="n">
        <f aca="false">G39+H39</f>
        <v>185</v>
      </c>
      <c r="J39" s="275" t="n">
        <f aca="false">IF(L39&gt;0,L39,0)</f>
        <v>0</v>
      </c>
      <c r="K39" s="6" t="n">
        <f aca="false">I39+J39</f>
        <v>185</v>
      </c>
      <c r="L39" s="6" t="n">
        <f aca="false">F39-(I39-X39)</f>
        <v>-35.527098563146</v>
      </c>
      <c r="M39" s="88" t="n">
        <v>224</v>
      </c>
      <c r="N39" s="89" t="n">
        <v>0</v>
      </c>
      <c r="O39" s="327" t="n">
        <f aca="false">27.12*1.05</f>
        <v>28.476</v>
      </c>
      <c r="P39" s="90" t="n">
        <f aca="false">M39-(N39+O39)</f>
        <v>195.524</v>
      </c>
      <c r="Q39" s="6" t="n">
        <v>43</v>
      </c>
      <c r="R39" s="6" t="n">
        <v>72</v>
      </c>
      <c r="S39" s="6" t="n">
        <f aca="false">SUM(P39:R39)</f>
        <v>310.524</v>
      </c>
      <c r="T39" s="112" t="n">
        <f aca="false">T38-(S39-8)-(AF39/1.9835)+AG39</f>
        <v>15747.5692952786</v>
      </c>
      <c r="U39" s="6" t="n">
        <v>199</v>
      </c>
      <c r="V39" s="276" t="n">
        <v>39</v>
      </c>
      <c r="W39" s="277" t="n">
        <f aca="false">W38-V39</f>
        <v>6399.49231157046</v>
      </c>
      <c r="X39" s="6" t="n">
        <f aca="false">N39+O39+S39+U39+V39</f>
        <v>577</v>
      </c>
      <c r="Y39" s="6" t="n">
        <f aca="false">IF(L39&lt;0,L39*-1,0)</f>
        <v>35.527098563146</v>
      </c>
      <c r="Z39" s="6" t="n">
        <f aca="false">X39+Y39</f>
        <v>612.527098563146</v>
      </c>
      <c r="AA39" s="60" t="n">
        <v>0</v>
      </c>
      <c r="AB39" s="72" t="n">
        <v>87</v>
      </c>
      <c r="AC39" s="73" t="n">
        <v>50</v>
      </c>
      <c r="AD39" s="13" t="n">
        <v>0</v>
      </c>
      <c r="AE39" s="12" t="n">
        <v>0</v>
      </c>
      <c r="AF39" s="298" t="n">
        <f aca="false">23.5*(T38*1.9835-S39*1.9835)/E39</f>
        <v>8.60243481938948</v>
      </c>
      <c r="AG39" s="10" t="n">
        <v>15</v>
      </c>
    </row>
    <row r="40" customFormat="false" ht="11.1" hidden="false" customHeight="true" outlineLevel="0" collapsed="false">
      <c r="A40" s="13" t="n">
        <f aca="false">A39+1</f>
        <v>29</v>
      </c>
      <c r="B40" s="74" t="n">
        <v>6886.46</v>
      </c>
      <c r="C40" s="67" t="n">
        <v>236412</v>
      </c>
      <c r="D40" s="72" t="n">
        <f aca="false">C40-C39</f>
        <v>-815</v>
      </c>
      <c r="E40" s="67" t="n">
        <f aca="false">C40-152000</f>
        <v>84412</v>
      </c>
      <c r="F40" s="86" t="n">
        <f aca="false">D40/$D$2</f>
        <v>-410.889841189816</v>
      </c>
      <c r="G40" s="6" t="n">
        <v>176</v>
      </c>
      <c r="H40" s="87" t="n">
        <v>0</v>
      </c>
      <c r="I40" s="6" t="n">
        <f aca="false">G40+H40</f>
        <v>176</v>
      </c>
      <c r="J40" s="275" t="n">
        <f aca="false">IF(L40&gt;0,L40,0)</f>
        <v>0</v>
      </c>
      <c r="K40" s="6" t="n">
        <f aca="false">I40+J40</f>
        <v>176</v>
      </c>
      <c r="L40" s="6" t="n">
        <f aca="false">F40-(I40-X40)</f>
        <v>-65.889841189816</v>
      </c>
      <c r="M40" s="88" t="n">
        <v>199</v>
      </c>
      <c r="N40" s="89" t="n">
        <v>0</v>
      </c>
      <c r="O40" s="327" t="n">
        <f aca="false">28.88*1.05</f>
        <v>30.324</v>
      </c>
      <c r="P40" s="90" t="n">
        <f aca="false">M40-(N40+O40)</f>
        <v>168.676</v>
      </c>
      <c r="Q40" s="6" t="n">
        <v>43</v>
      </c>
      <c r="R40" s="6" t="n">
        <v>73</v>
      </c>
      <c r="S40" s="6" t="n">
        <f aca="false">SUM(P40:R40)</f>
        <v>284.676</v>
      </c>
      <c r="T40" s="112" t="n">
        <f aca="false">T39-(S40-8)-(AF40/1.9835)+AG40</f>
        <v>15481.5884808869</v>
      </c>
      <c r="U40" s="6" t="n">
        <v>167</v>
      </c>
      <c r="V40" s="276" t="n">
        <v>39</v>
      </c>
      <c r="W40" s="277" t="n">
        <f aca="false">W39-V40</f>
        <v>6360.49231157046</v>
      </c>
      <c r="X40" s="6" t="n">
        <f aca="false">N40+O40+S40+U40+V40</f>
        <v>521</v>
      </c>
      <c r="Y40" s="6" t="n">
        <f aca="false">IF(L40&lt;0,L40*-1,0)</f>
        <v>65.889841189816</v>
      </c>
      <c r="Z40" s="6" t="n">
        <f aca="false">X40+Y40</f>
        <v>586.889841189816</v>
      </c>
      <c r="AA40" s="60" t="n">
        <v>0</v>
      </c>
      <c r="AB40" s="72" t="n">
        <v>88</v>
      </c>
      <c r="AC40" s="73" t="n">
        <v>53</v>
      </c>
      <c r="AD40" s="13" t="n">
        <v>0</v>
      </c>
      <c r="AE40" s="12" t="n">
        <v>0</v>
      </c>
      <c r="AF40" s="298" t="n">
        <f aca="false">23.5*(T39*1.9835-S40*1.9835)/E40</f>
        <v>8.53859934609833</v>
      </c>
      <c r="AG40" s="10" t="n">
        <v>15</v>
      </c>
    </row>
    <row r="41" customFormat="false" ht="11.1" hidden="false" customHeight="true" outlineLevel="0" collapsed="false">
      <c r="A41" s="13" t="n">
        <v>30</v>
      </c>
      <c r="B41" s="74" t="n">
        <v>6886.26</v>
      </c>
      <c r="C41" s="67" t="n">
        <v>235760</v>
      </c>
      <c r="D41" s="72" t="n">
        <f aca="false">C41-C40</f>
        <v>-652</v>
      </c>
      <c r="E41" s="67" t="n">
        <f aca="false">C41-152000</f>
        <v>83760</v>
      </c>
      <c r="F41" s="86" t="n">
        <f aca="false">D41/$D$2</f>
        <v>-328.711872951853</v>
      </c>
      <c r="G41" s="6" t="n">
        <v>171</v>
      </c>
      <c r="H41" s="87" t="n">
        <v>0</v>
      </c>
      <c r="I41" s="6" t="n">
        <f aca="false">G41+H41</f>
        <v>171</v>
      </c>
      <c r="J41" s="275" t="n">
        <f aca="false">IF(L41&gt;0,L41,0)</f>
        <v>33.2881270481472</v>
      </c>
      <c r="K41" s="6" t="n">
        <f aca="false">I41+J41</f>
        <v>204.288127048147</v>
      </c>
      <c r="L41" s="6" t="n">
        <f aca="false">F41-(I41-X41)</f>
        <v>33.2881270481472</v>
      </c>
      <c r="M41" s="88" t="n">
        <v>189</v>
      </c>
      <c r="N41" s="89" t="n">
        <v>6.05</v>
      </c>
      <c r="O41" s="327" t="n">
        <f aca="false">23.4*1.05</f>
        <v>24.57</v>
      </c>
      <c r="P41" s="90" t="n">
        <f aca="false">M41-(N41+O41)</f>
        <v>158.38</v>
      </c>
      <c r="Q41" s="6" t="n">
        <v>43</v>
      </c>
      <c r="R41" s="6" t="n">
        <v>72</v>
      </c>
      <c r="S41" s="6" t="n">
        <f aca="false">SUM(P41:R41)</f>
        <v>273.38</v>
      </c>
      <c r="T41" s="112" t="n">
        <f aca="false">T40-(S41-8)-(AF41/1.9835)+AG41</f>
        <v>15226.9416124616</v>
      </c>
      <c r="U41" s="6" t="n">
        <v>190</v>
      </c>
      <c r="V41" s="276" t="n">
        <v>39</v>
      </c>
      <c r="W41" s="277" t="n">
        <f aca="false">W40-V41</f>
        <v>6321.49231157046</v>
      </c>
      <c r="X41" s="6" t="n">
        <f aca="false">N41+O41+S41+U41+V41</f>
        <v>533</v>
      </c>
      <c r="Y41" s="6" t="n">
        <f aca="false">IF(L41&lt;0,L41*-1,0)</f>
        <v>0</v>
      </c>
      <c r="Z41" s="6" t="n">
        <f aca="false">X41+Y41</f>
        <v>533</v>
      </c>
      <c r="AA41" s="60" t="n">
        <v>0</v>
      </c>
      <c r="AB41" s="72" t="n">
        <v>88</v>
      </c>
      <c r="AC41" s="73" t="n">
        <v>56</v>
      </c>
      <c r="AD41" s="13" t="n">
        <v>0</v>
      </c>
      <c r="AE41" s="12" t="n">
        <v>0</v>
      </c>
      <c r="AF41" s="298" t="n">
        <f aca="false">23.5*(T40*1.9835-S41*1.9835)/E41</f>
        <v>8.4633335215284</v>
      </c>
      <c r="AG41" s="10" t="n">
        <v>15</v>
      </c>
    </row>
    <row r="42" customFormat="false" ht="3" hidden="false" customHeight="true" outlineLevel="0" collapsed="false">
      <c r="A42" s="75"/>
      <c r="B42" s="94"/>
      <c r="C42" s="77"/>
      <c r="D42" s="75"/>
      <c r="E42" s="77"/>
      <c r="F42" s="78"/>
      <c r="G42" s="75"/>
      <c r="H42" s="272" t="n">
        <v>0.29</v>
      </c>
      <c r="I42" s="75"/>
      <c r="J42" s="75"/>
      <c r="K42" s="75"/>
      <c r="L42" s="75"/>
      <c r="M42" s="80"/>
      <c r="N42" s="75"/>
      <c r="O42" s="272"/>
      <c r="P42" s="81"/>
      <c r="Q42" s="75"/>
      <c r="R42" s="75"/>
      <c r="S42" s="75"/>
      <c r="T42" s="77"/>
      <c r="U42" s="75"/>
      <c r="V42" s="75"/>
      <c r="W42" s="75"/>
      <c r="X42" s="75"/>
      <c r="Y42" s="75"/>
      <c r="Z42" s="75"/>
      <c r="AA42" s="82"/>
      <c r="AB42" s="83"/>
      <c r="AC42" s="84"/>
      <c r="AD42" s="85"/>
      <c r="AE42" s="85"/>
      <c r="AF42" s="301"/>
      <c r="AG42" s="301"/>
    </row>
    <row r="43" customFormat="false" ht="11.1" hidden="false" customHeight="true" outlineLevel="0" collapsed="false">
      <c r="A43" s="6" t="s">
        <v>54</v>
      </c>
      <c r="B43" s="66"/>
      <c r="C43" s="67"/>
      <c r="D43" s="67"/>
      <c r="E43" s="67"/>
      <c r="F43" s="68" t="n">
        <f aca="false">SUM(F12:F41)</f>
        <v>-3600.70582304008</v>
      </c>
      <c r="G43" s="7" t="n">
        <f aca="false">SUM(G12:G41)</f>
        <v>15817</v>
      </c>
      <c r="H43" s="87" t="n">
        <f aca="false">SUM(H12:H41)</f>
        <v>2.19</v>
      </c>
      <c r="I43" s="7" t="n">
        <f aca="false">SUM(I12:I41)</f>
        <v>15819.19</v>
      </c>
      <c r="J43" s="7" t="n">
        <f aca="false">SUM(J12:J41)</f>
        <v>397.142717418704</v>
      </c>
      <c r="K43" s="7" t="n">
        <f aca="false">SUM(K12:K41)</f>
        <v>16216.3327174187</v>
      </c>
      <c r="L43" s="7" t="n">
        <f aca="false">SUM(L12:L41)</f>
        <v>-1297.89582304008</v>
      </c>
      <c r="M43" s="69" t="n">
        <f aca="false">SUM(M12:M41)</f>
        <v>7302</v>
      </c>
      <c r="N43" s="67" t="n">
        <f aca="false">SUM(N12:N41)</f>
        <v>11.6</v>
      </c>
      <c r="O43" s="327" t="n">
        <f aca="false">SUM(O12:O41)</f>
        <v>1347.0555</v>
      </c>
      <c r="P43" s="70" t="n">
        <f aca="false">SUM(P12:P41)</f>
        <v>5943.3445</v>
      </c>
      <c r="Q43" s="7" t="n">
        <f aca="false">SUM(Q12:Q41)</f>
        <v>3427</v>
      </c>
      <c r="R43" s="7" t="n">
        <f aca="false">SUM(R12:R41)</f>
        <v>2229</v>
      </c>
      <c r="S43" s="7" t="n">
        <f aca="false">SUM(S12:S41)</f>
        <v>11599.3445</v>
      </c>
      <c r="T43" s="7"/>
      <c r="U43" s="7" t="n">
        <f aca="false">SUM(U12:U41)</f>
        <v>4351</v>
      </c>
      <c r="V43" s="7" t="n">
        <f aca="false">SUM(V12:V41)</f>
        <v>813</v>
      </c>
      <c r="W43" s="7"/>
      <c r="X43" s="7" t="n">
        <f aca="false">SUM(X12:X41)</f>
        <v>18122</v>
      </c>
      <c r="Y43" s="7" t="n">
        <f aca="false">SUM(Y12:Y41)</f>
        <v>1695.03854045878</v>
      </c>
      <c r="Z43" s="7" t="n">
        <f aca="false">SUM(Z12:Z41)</f>
        <v>19817.0385404588</v>
      </c>
      <c r="AA43" s="60" t="n">
        <f aca="false">SUM(AA12:AA41)</f>
        <v>0.1</v>
      </c>
      <c r="AB43" s="72" t="n">
        <f aca="false">AVERAGE(AB12:AB41)</f>
        <v>80.2333333333333</v>
      </c>
      <c r="AC43" s="73" t="n">
        <f aca="false">AVERAGE(AC12:AC41)</f>
        <v>48.5</v>
      </c>
      <c r="AD43" s="13" t="s">
        <v>84</v>
      </c>
      <c r="AE43" s="315"/>
      <c r="AF43" s="298" t="n">
        <f aca="false">SUM(AF12:AF41)</f>
        <v>303.892344956798</v>
      </c>
    </row>
    <row r="44" customFormat="false" ht="11.1" hidden="false" customHeight="true" outlineLevel="0" collapsed="false">
      <c r="A44" s="6" t="s">
        <v>56</v>
      </c>
      <c r="B44" s="66"/>
      <c r="C44" s="67"/>
      <c r="D44" s="67" t="n">
        <f aca="false">SUM(D12:D41)</f>
        <v>-7142</v>
      </c>
      <c r="E44" s="67"/>
      <c r="F44" s="68" t="n">
        <f aca="false">F43*$D$2</f>
        <v>-7142</v>
      </c>
      <c r="G44" s="7" t="n">
        <f aca="false">G43*$D$2</f>
        <v>31373.0195</v>
      </c>
      <c r="H44" s="87" t="n">
        <f aca="false">H43*$D$2</f>
        <v>4.343865</v>
      </c>
      <c r="I44" s="7" t="n">
        <f aca="false">I43*$D$2</f>
        <v>31377.363365</v>
      </c>
      <c r="J44" s="7" t="n">
        <f aca="false">J43*$D$2</f>
        <v>787.73258</v>
      </c>
      <c r="K44" s="7" t="n">
        <f aca="false">K43*$D$2</f>
        <v>32165.095945</v>
      </c>
      <c r="L44" s="7" t="n">
        <f aca="false">L43*$D$2</f>
        <v>-2574.376365</v>
      </c>
      <c r="M44" s="69" t="n">
        <f aca="false">M43*$D$2</f>
        <v>14483.517</v>
      </c>
      <c r="N44" s="67" t="n">
        <f aca="false">N43*$D$2</f>
        <v>23.0086</v>
      </c>
      <c r="O44" s="327" t="n">
        <f aca="false">O43*$D$2</f>
        <v>2671.88458425</v>
      </c>
      <c r="P44" s="70" t="n">
        <f aca="false">P43*$D$2</f>
        <v>11788.62381575</v>
      </c>
      <c r="Q44" s="7" t="n">
        <f aca="false">Q43*$D$2</f>
        <v>6797.4545</v>
      </c>
      <c r="R44" s="7" t="n">
        <f aca="false">R43*$D$2</f>
        <v>4421.2215</v>
      </c>
      <c r="S44" s="7" t="n">
        <f aca="false">S43*$D$2</f>
        <v>23007.29981575</v>
      </c>
      <c r="T44" s="7"/>
      <c r="U44" s="7" t="n">
        <f aca="false">U43*$D$2</f>
        <v>8630.2085</v>
      </c>
      <c r="V44" s="7" t="n">
        <f aca="false">V43*$D$2</f>
        <v>1612.5855</v>
      </c>
      <c r="W44" s="7"/>
      <c r="X44" s="7" t="n">
        <f aca="false">X43*$D$2</f>
        <v>35944.987</v>
      </c>
      <c r="Y44" s="7" t="n">
        <f aca="false">Y43*$D$2</f>
        <v>3362.108945</v>
      </c>
      <c r="Z44" s="7" t="n">
        <f aca="false">Z43*$D$2</f>
        <v>39307.095945</v>
      </c>
      <c r="AA44" s="60"/>
      <c r="AB44" s="72" t="n">
        <f aca="false">MAX(AB12:AB41)</f>
        <v>88</v>
      </c>
      <c r="AC44" s="73" t="n">
        <f aca="false">MAX(AC12:AC41)</f>
        <v>56</v>
      </c>
      <c r="AD44" s="13" t="s">
        <v>57</v>
      </c>
      <c r="AE44" s="315"/>
      <c r="AF44" s="298" t="n">
        <f aca="false">AF43*$D$2</f>
        <v>602.770466221809</v>
      </c>
    </row>
    <row r="45" customFormat="false" ht="3" hidden="false" customHeight="true" outlineLevel="0" collapsed="false">
      <c r="A45" s="75"/>
      <c r="B45" s="94"/>
      <c r="C45" s="77"/>
      <c r="D45" s="77"/>
      <c r="E45" s="77"/>
      <c r="F45" s="95"/>
      <c r="G45" s="77"/>
      <c r="H45" s="272"/>
      <c r="I45" s="77"/>
      <c r="J45" s="77"/>
      <c r="K45" s="77"/>
      <c r="L45" s="77"/>
      <c r="M45" s="96"/>
      <c r="N45" s="77"/>
      <c r="O45" s="272"/>
      <c r="P45" s="97"/>
      <c r="Q45" s="77"/>
      <c r="R45" s="77"/>
      <c r="S45" s="77"/>
      <c r="T45" s="77"/>
      <c r="U45" s="77"/>
      <c r="V45" s="77"/>
      <c r="W45" s="75"/>
      <c r="X45" s="77"/>
      <c r="Y45" s="77"/>
      <c r="Z45" s="77"/>
      <c r="AA45" s="280"/>
      <c r="AB45" s="77"/>
      <c r="AC45" s="95"/>
      <c r="AD45" s="77"/>
      <c r="AE45" s="77"/>
      <c r="AF45" s="301"/>
      <c r="AG45" s="301"/>
    </row>
    <row r="46" customFormat="false" ht="11.1" hidden="false" customHeight="true" outlineLevel="0" collapsed="false">
      <c r="A46" s="6" t="s">
        <v>58</v>
      </c>
      <c r="B46" s="66"/>
      <c r="C46" s="67"/>
      <c r="D46" s="67"/>
      <c r="E46" s="67"/>
      <c r="F46" s="68" t="n">
        <f aca="false">F9+F43</f>
        <v>31648.6009579027</v>
      </c>
      <c r="G46" s="7" t="n">
        <f aca="false">G9+G43</f>
        <v>66388</v>
      </c>
      <c r="H46" s="87" t="n">
        <f aca="false">H9+H43</f>
        <v>1041.43</v>
      </c>
      <c r="I46" s="7" t="n">
        <f aca="false">I9+I43</f>
        <v>67429.43</v>
      </c>
      <c r="J46" s="7" t="n">
        <f aca="false">J9+J43</f>
        <v>5504.1187471641</v>
      </c>
      <c r="K46" s="7" t="n">
        <f aca="false">K9+K43</f>
        <v>72933.5487471641</v>
      </c>
      <c r="L46" s="7" t="n">
        <f aca="false">L9+L43</f>
        <v>2989.8009579027</v>
      </c>
      <c r="M46" s="69" t="n">
        <f aca="false">M9+M43</f>
        <v>15029.38</v>
      </c>
      <c r="N46" s="67" t="n">
        <f aca="false">N9+N43</f>
        <v>20.15</v>
      </c>
      <c r="O46" s="327" t="n">
        <f aca="false">O9+O43</f>
        <v>2870.233025</v>
      </c>
      <c r="P46" s="70" t="n">
        <f aca="false">P9+P43</f>
        <v>12138.644475</v>
      </c>
      <c r="Q46" s="7" t="n">
        <f aca="false">Q9+Q43</f>
        <v>12419.8</v>
      </c>
      <c r="R46" s="7" t="n">
        <f aca="false">R9+R43</f>
        <v>3770.8</v>
      </c>
      <c r="S46" s="7" t="n">
        <f aca="false">S9+S43</f>
        <v>28261.244475</v>
      </c>
      <c r="T46" s="7" t="n">
        <f aca="false">T41</f>
        <v>15226.9416124616</v>
      </c>
      <c r="U46" s="7" t="n">
        <f aca="false">U9+U43</f>
        <v>5700.63</v>
      </c>
      <c r="V46" s="7" t="n">
        <f aca="false">V9+V43</f>
        <v>1920</v>
      </c>
      <c r="W46" s="7" t="n">
        <f aca="false">W41</f>
        <v>6321.49231157046</v>
      </c>
      <c r="X46" s="7" t="n">
        <f aca="false">X9+X43</f>
        <v>38770.63</v>
      </c>
      <c r="Y46" s="7" t="n">
        <f aca="false">Y9+Y43</f>
        <v>2514.31778926141</v>
      </c>
      <c r="Z46" s="7" t="n">
        <f aca="false">Z9+Z43</f>
        <v>41284.9477892614</v>
      </c>
      <c r="AA46" s="60"/>
      <c r="AB46" s="72" t="n">
        <f aca="false">MIN(AB12:AB41)</f>
        <v>74</v>
      </c>
      <c r="AC46" s="73" t="n">
        <f aca="false">MIN(AC12:AC41)</f>
        <v>41</v>
      </c>
      <c r="AD46" s="13" t="s">
        <v>59</v>
      </c>
      <c r="AE46" s="315"/>
      <c r="AF46" s="298" t="n">
        <f aca="false">AF9+AF43</f>
        <v>812.806131019988</v>
      </c>
      <c r="AG46" s="244" t="n">
        <f aca="false">SUM(AG12:AG41)</f>
        <v>65.93</v>
      </c>
    </row>
    <row r="47" customFormat="false" ht="11.1" hidden="false" customHeight="true" outlineLevel="0" collapsed="false">
      <c r="A47" s="6" t="s">
        <v>60</v>
      </c>
      <c r="B47" s="66"/>
      <c r="C47" s="67"/>
      <c r="D47" s="67"/>
      <c r="E47" s="67"/>
      <c r="F47" s="68" t="n">
        <f aca="false">F46*$D$2</f>
        <v>62775</v>
      </c>
      <c r="G47" s="7" t="n">
        <f aca="false">G46*$D$2</f>
        <v>131680.598</v>
      </c>
      <c r="H47" s="87" t="n">
        <f aca="false">H46*$D$2</f>
        <v>2065.676405</v>
      </c>
      <c r="I47" s="7" t="n">
        <f aca="false">I46*$D$2</f>
        <v>133746.274405</v>
      </c>
      <c r="J47" s="7" t="n">
        <f aca="false">J46*$D$2</f>
        <v>10917.419535</v>
      </c>
      <c r="K47" s="7" t="n">
        <f aca="false">K46*$D$2</f>
        <v>144663.69394</v>
      </c>
      <c r="L47" s="7" t="n">
        <f aca="false">L46*$D$2</f>
        <v>5930.2702</v>
      </c>
      <c r="M47" s="69" t="n">
        <f aca="false">M46*$D$2</f>
        <v>29810.77523</v>
      </c>
      <c r="N47" s="67" t="n">
        <f aca="false">N46*$D$2</f>
        <v>39.967525</v>
      </c>
      <c r="O47" s="327" t="n">
        <f aca="false">O46*$D$2</f>
        <v>5693.1072050875</v>
      </c>
      <c r="P47" s="70" t="n">
        <f aca="false">P46*$D$2</f>
        <v>24077.0013161625</v>
      </c>
      <c r="Q47" s="7" t="n">
        <f aca="false">Q46*$D$2</f>
        <v>24634.6733</v>
      </c>
      <c r="R47" s="7" t="n">
        <f aca="false">R46*$D$2</f>
        <v>7479.3818</v>
      </c>
      <c r="S47" s="7" t="n">
        <f aca="false">S46*$D$2</f>
        <v>56056.1784161625</v>
      </c>
      <c r="T47" s="7" t="n">
        <f aca="false">T46*$D$2</f>
        <v>30202.6386883176</v>
      </c>
      <c r="U47" s="7" t="n">
        <f aca="false">U46*$D$2</f>
        <v>11307.199605</v>
      </c>
      <c r="V47" s="7" t="n">
        <f aca="false">V46*$D$2</f>
        <v>3808.32</v>
      </c>
      <c r="W47" s="7" t="n">
        <f aca="false">W46*$D$2</f>
        <v>12538.68</v>
      </c>
      <c r="X47" s="7" t="n">
        <f aca="false">X46*$D$2</f>
        <v>76901.544605</v>
      </c>
      <c r="Y47" s="7" t="n">
        <f aca="false">Y46*$D$2</f>
        <v>4987.149335</v>
      </c>
      <c r="Z47" s="7" t="n">
        <f aca="false">Z46*$D$2</f>
        <v>81888.69394</v>
      </c>
      <c r="AA47" s="60"/>
      <c r="AB47" s="72"/>
      <c r="AC47" s="73"/>
      <c r="AD47" s="13"/>
      <c r="AE47" s="315"/>
      <c r="AF47" s="298" t="n">
        <f aca="false">AF46*$D$2</f>
        <v>1612.20096087815</v>
      </c>
      <c r="AG47" s="244" t="n">
        <f aca="false">AG46*$D$2</f>
        <v>130.772155</v>
      </c>
    </row>
    <row r="48" customFormat="false" ht="3" hidden="false" customHeight="true" outlineLevel="0" collapsed="false">
      <c r="A48" s="75"/>
      <c r="B48" s="94"/>
      <c r="C48" s="77"/>
      <c r="D48" s="77"/>
      <c r="E48" s="77"/>
      <c r="F48" s="95"/>
      <c r="G48" s="77"/>
      <c r="H48" s="272"/>
      <c r="I48" s="77"/>
      <c r="J48" s="77"/>
      <c r="K48" s="77"/>
      <c r="L48" s="77"/>
      <c r="M48" s="96"/>
      <c r="N48" s="77"/>
      <c r="O48" s="272"/>
      <c r="P48" s="97"/>
      <c r="Q48" s="77"/>
      <c r="R48" s="77"/>
      <c r="S48" s="77"/>
      <c r="T48" s="77"/>
      <c r="U48" s="77"/>
      <c r="V48" s="77"/>
      <c r="W48" s="77"/>
      <c r="X48" s="77"/>
      <c r="Y48" s="77"/>
      <c r="Z48" s="77"/>
      <c r="AA48" s="82"/>
      <c r="AB48" s="283"/>
      <c r="AC48" s="284"/>
      <c r="AD48" s="283"/>
      <c r="AE48" s="283"/>
      <c r="AF48" s="301"/>
      <c r="AG48" s="301"/>
    </row>
    <row r="49" customFormat="false" ht="11.1" hidden="false" customHeight="true" outlineLevel="0" collapsed="false">
      <c r="A49" s="6" t="s">
        <v>61</v>
      </c>
      <c r="B49" s="66"/>
      <c r="C49" s="67"/>
      <c r="D49" s="67"/>
      <c r="E49" s="67"/>
      <c r="F49" s="68" t="n">
        <f aca="false">F10+F43</f>
        <v>39925.8885807915</v>
      </c>
      <c r="G49" s="7" t="n">
        <f aca="false">G10+G43</f>
        <v>73942</v>
      </c>
      <c r="H49" s="87" t="n">
        <f aca="false">H10+H43</f>
        <v>1324.17</v>
      </c>
      <c r="I49" s="7" t="n">
        <f aca="false">I10+I43</f>
        <v>75266.17</v>
      </c>
      <c r="J49" s="7" t="n">
        <f aca="false">J10+J43</f>
        <v>9982.87251827577</v>
      </c>
      <c r="K49" s="7" t="n">
        <f aca="false">K10+K43</f>
        <v>85249.0425182758</v>
      </c>
      <c r="L49" s="7" t="n">
        <f aca="false">L10+L43</f>
        <v>6834.03858079152</v>
      </c>
      <c r="M49" s="69" t="n">
        <f aca="false">M10+M43</f>
        <v>15986.2</v>
      </c>
      <c r="N49" s="67" t="n">
        <f aca="false">N10+N43</f>
        <v>20.15</v>
      </c>
      <c r="O49" s="327" t="n">
        <f aca="false">O10+O43</f>
        <v>2870.233025</v>
      </c>
      <c r="P49" s="70" t="n">
        <f aca="false">P10+P43</f>
        <v>13095.816975</v>
      </c>
      <c r="Q49" s="7" t="n">
        <f aca="false">Q10+Q43</f>
        <v>12481.8</v>
      </c>
      <c r="R49" s="7" t="n">
        <f aca="false">R10+R43</f>
        <v>3821.8</v>
      </c>
      <c r="S49" s="7" t="n">
        <f aca="false">S10+S43</f>
        <v>29399.416975</v>
      </c>
      <c r="T49" s="7"/>
      <c r="U49" s="7" t="n">
        <f aca="false">U10+U43</f>
        <v>5700.63</v>
      </c>
      <c r="V49" s="7" t="n">
        <f aca="false">V10+V43</f>
        <v>4183.89</v>
      </c>
      <c r="X49" s="7" t="n">
        <f aca="false">X10+X43</f>
        <v>42174.32</v>
      </c>
      <c r="Y49" s="7" t="n">
        <f aca="false">Y10+Y43</f>
        <v>3148.83393748424</v>
      </c>
      <c r="Z49" s="7" t="n">
        <f aca="false">Z10+Z43</f>
        <v>45323.1539374843</v>
      </c>
      <c r="AA49" s="60" t="n">
        <f aca="false">AA10+AA43</f>
        <v>8.08</v>
      </c>
      <c r="AB49" s="72"/>
      <c r="AC49" s="73"/>
      <c r="AD49" s="13"/>
      <c r="AE49" s="315"/>
      <c r="AF49" s="298" t="n">
        <f aca="false">AF10+AF43</f>
        <v>812.806131019988</v>
      </c>
    </row>
    <row r="50" customFormat="false" ht="11.1" hidden="false" customHeight="true" outlineLevel="0" collapsed="false">
      <c r="A50" s="6" t="s">
        <v>62</v>
      </c>
      <c r="B50" s="66"/>
      <c r="C50" s="67"/>
      <c r="D50" s="67" t="n">
        <f aca="false">D10+D44</f>
        <v>79193</v>
      </c>
      <c r="E50" s="67" t="n">
        <f aca="false">E41</f>
        <v>83760</v>
      </c>
      <c r="F50" s="68" t="n">
        <f aca="false">F49*$D$2</f>
        <v>79193</v>
      </c>
      <c r="G50" s="7" t="n">
        <f aca="false">G49*$D$2</f>
        <v>146663.957</v>
      </c>
      <c r="H50" s="87" t="n">
        <f aca="false">H49*$D$2</f>
        <v>2626.491195</v>
      </c>
      <c r="I50" s="7" t="n">
        <f aca="false">I49*$D$2</f>
        <v>149290.448195</v>
      </c>
      <c r="J50" s="7" t="n">
        <f aca="false">J49*$D$2</f>
        <v>19801.02764</v>
      </c>
      <c r="K50" s="7" t="n">
        <f aca="false">K49*$D$2</f>
        <v>169091.475835</v>
      </c>
      <c r="L50" s="7" t="n">
        <f aca="false">L49*$D$2</f>
        <v>13555.315525</v>
      </c>
      <c r="M50" s="69" t="n">
        <f aca="false">M49*$D$2</f>
        <v>31708.6277</v>
      </c>
      <c r="N50" s="67" t="n">
        <f aca="false">N49*$D$2</f>
        <v>39.967525</v>
      </c>
      <c r="O50" s="327" t="n">
        <f aca="false">O49*$D$2</f>
        <v>5693.1072050875</v>
      </c>
      <c r="P50" s="70" t="n">
        <f aca="false">P49*$D$2</f>
        <v>25975.5529699125</v>
      </c>
      <c r="Q50" s="7" t="n">
        <f aca="false">Q49*$D$2</f>
        <v>24757.6503</v>
      </c>
      <c r="R50" s="7" t="n">
        <f aca="false">R49*$D$2</f>
        <v>7580.5403</v>
      </c>
      <c r="S50" s="7" t="n">
        <f aca="false">S49*$D$2</f>
        <v>58313.7435699125</v>
      </c>
      <c r="T50" s="7"/>
      <c r="U50" s="7" t="n">
        <f aca="false">U49*$D$2</f>
        <v>11307.199605</v>
      </c>
      <c r="V50" s="7" t="n">
        <f aca="false">V49*$D$2</f>
        <v>8298.745815</v>
      </c>
      <c r="X50" s="7" t="n">
        <f aca="false">X49*$D$2</f>
        <v>83652.76372</v>
      </c>
      <c r="Y50" s="7" t="n">
        <f aca="false">Y49*$D$2</f>
        <v>6245.71211499999</v>
      </c>
      <c r="Z50" s="7" t="n">
        <f aca="false">Z49*$D$2</f>
        <v>89898.4758350001</v>
      </c>
      <c r="AA50" s="60"/>
      <c r="AB50" s="72"/>
      <c r="AC50" s="73"/>
      <c r="AD50" s="13"/>
      <c r="AE50" s="315"/>
      <c r="AF50" s="298" t="n">
        <f aca="false">AF49*$D$2</f>
        <v>1612.20096087815</v>
      </c>
    </row>
    <row r="51" customFormat="false" ht="3" hidden="false" customHeight="true" outlineLevel="0" collapsed="false">
      <c r="A51" s="75"/>
      <c r="B51" s="94"/>
      <c r="C51" s="77"/>
      <c r="D51" s="75"/>
      <c r="E51" s="77"/>
      <c r="F51" s="78"/>
      <c r="G51" s="75"/>
      <c r="H51" s="272"/>
      <c r="I51" s="75"/>
      <c r="J51" s="75"/>
      <c r="K51" s="331"/>
      <c r="L51" s="75"/>
      <c r="M51" s="80"/>
      <c r="N51" s="75"/>
      <c r="O51" s="272"/>
      <c r="P51" s="81"/>
      <c r="Q51" s="75"/>
      <c r="R51" s="75"/>
      <c r="S51" s="75"/>
      <c r="T51" s="77"/>
      <c r="U51" s="75"/>
      <c r="V51" s="75"/>
      <c r="W51" s="77"/>
      <c r="X51" s="75"/>
      <c r="Y51" s="75"/>
      <c r="Z51" s="75"/>
      <c r="AA51" s="94"/>
      <c r="AB51" s="75"/>
      <c r="AC51" s="78"/>
      <c r="AD51" s="75"/>
      <c r="AE51" s="75"/>
      <c r="AF51" s="301"/>
      <c r="AG51" s="301"/>
    </row>
    <row r="52" customFormat="false" ht="14.1" hidden="false" customHeight="true" outlineLevel="0" collapsed="false">
      <c r="A52" s="98"/>
      <c r="B52" s="100"/>
      <c r="C52" s="7"/>
      <c r="D52" s="6"/>
      <c r="E52" s="7"/>
      <c r="H52" s="87"/>
      <c r="I52" s="6"/>
      <c r="J52" s="6"/>
      <c r="K52" s="332"/>
      <c r="L52" s="112"/>
      <c r="M52" s="6"/>
      <c r="N52" s="6"/>
      <c r="O52" s="87"/>
      <c r="P52" s="6"/>
      <c r="Q52" s="6"/>
      <c r="R52" s="6"/>
      <c r="S52" s="6"/>
      <c r="T52" s="333"/>
      <c r="U52" s="6"/>
      <c r="V52" s="6"/>
      <c r="W52" s="7"/>
      <c r="X52" s="6"/>
      <c r="Y52" s="6"/>
      <c r="Z52" s="6"/>
      <c r="AA52" s="11"/>
      <c r="AB52" s="12"/>
      <c r="AC52" s="12"/>
      <c r="AD52" s="13"/>
      <c r="AE52" s="315"/>
      <c r="AF52" s="294"/>
    </row>
    <row r="53" customFormat="false" ht="11.1" hidden="false" customHeight="true" outlineLevel="0" collapsed="false">
      <c r="A53" s="6"/>
      <c r="B53" s="100"/>
      <c r="C53" s="7"/>
      <c r="D53" s="101"/>
      <c r="E53" s="307"/>
      <c r="F53" s="334"/>
      <c r="H53" s="87"/>
      <c r="I53" s="8"/>
      <c r="J53" s="6"/>
      <c r="K53" s="102"/>
      <c r="L53" s="181"/>
      <c r="M53" s="6"/>
      <c r="N53" s="6"/>
      <c r="O53" s="87"/>
      <c r="P53" s="89"/>
      <c r="Q53" s="335"/>
      <c r="R53" s="89"/>
      <c r="S53" s="67"/>
      <c r="T53" s="112"/>
      <c r="U53" s="333"/>
      <c r="V53" s="6"/>
      <c r="W53" s="7"/>
      <c r="X53" s="6"/>
      <c r="Y53" s="6"/>
      <c r="Z53" s="6"/>
      <c r="AA53" s="11"/>
      <c r="AB53" s="12"/>
      <c r="AC53" s="12"/>
      <c r="AD53" s="13"/>
      <c r="AE53" s="315"/>
    </row>
    <row r="54" customFormat="false" ht="11.1" hidden="false" customHeight="true" outlineLevel="0" collapsed="false">
      <c r="B54" s="112"/>
      <c r="C54" s="105"/>
      <c r="D54" s="104"/>
      <c r="E54" s="307"/>
      <c r="F54" s="308"/>
      <c r="H54" s="87"/>
      <c r="I54" s="101"/>
      <c r="J54" s="101"/>
      <c r="K54" s="336"/>
      <c r="L54" s="112"/>
      <c r="M54" s="87"/>
      <c r="N54" s="87"/>
      <c r="O54" s="337"/>
      <c r="P54" s="92"/>
      <c r="Q54" s="335"/>
      <c r="R54" s="89"/>
      <c r="S54" s="67"/>
      <c r="T54" s="112"/>
      <c r="U54" s="112"/>
      <c r="V54" s="7"/>
      <c r="W54" s="335"/>
      <c r="X54" s="101"/>
      <c r="Y54" s="101"/>
      <c r="Z54" s="10"/>
      <c r="AA54" s="11"/>
      <c r="AB54" s="12"/>
      <c r="AC54" s="13"/>
      <c r="AD54" s="338"/>
      <c r="AE54" s="338"/>
    </row>
    <row r="55" customFormat="false" ht="11.1" hidden="false" customHeight="true" outlineLevel="0" collapsed="false">
      <c r="A55" s="101"/>
      <c r="B55" s="183"/>
      <c r="C55" s="112"/>
      <c r="D55" s="112"/>
      <c r="E55" s="307"/>
      <c r="H55" s="181"/>
      <c r="J55" s="101"/>
      <c r="K55" s="336"/>
      <c r="L55" s="181"/>
      <c r="M55" s="87"/>
      <c r="N55" s="87"/>
      <c r="O55" s="181"/>
      <c r="P55" s="92"/>
      <c r="Q55" s="92"/>
      <c r="R55" s="92"/>
      <c r="S55" s="67"/>
      <c r="T55" s="117"/>
      <c r="U55" s="112"/>
      <c r="V55" s="7"/>
      <c r="W55" s="112"/>
      <c r="X55" s="101"/>
      <c r="Y55" s="101"/>
      <c r="Z55" s="10"/>
      <c r="AA55" s="11"/>
      <c r="AB55" s="12"/>
      <c r="AC55" s="13"/>
      <c r="AD55" s="338"/>
      <c r="AE55" s="338"/>
    </row>
    <row r="56" customFormat="false" ht="11.1" hidden="false" customHeight="true" outlineLevel="0" collapsed="false">
      <c r="A56" s="101"/>
      <c r="B56" s="115"/>
      <c r="C56" s="112"/>
      <c r="D56" s="112"/>
      <c r="E56" s="307"/>
      <c r="F56" s="311"/>
      <c r="G56" s="183"/>
      <c r="H56" s="87"/>
      <c r="I56" s="101"/>
      <c r="J56" s="101"/>
      <c r="K56" s="102"/>
      <c r="L56" s="101"/>
      <c r="M56" s="87"/>
      <c r="N56" s="87"/>
      <c r="O56" s="87"/>
      <c r="P56" s="101"/>
      <c r="Q56" s="101"/>
      <c r="R56" s="101"/>
      <c r="S56" s="7"/>
      <c r="T56" s="7"/>
      <c r="U56" s="101"/>
      <c r="V56" s="7"/>
      <c r="W56" s="101"/>
      <c r="X56" s="101"/>
      <c r="Y56" s="101"/>
      <c r="Z56" s="10"/>
      <c r="AA56" s="11"/>
      <c r="AB56" s="12"/>
      <c r="AC56" s="13"/>
      <c r="AD56" s="338"/>
      <c r="AE56" s="338"/>
    </row>
    <row r="57" customFormat="false" ht="11.1" hidden="false" customHeight="true" outlineLevel="0" collapsed="false">
      <c r="R57" s="101"/>
      <c r="S57" s="7"/>
    </row>
    <row r="58" customFormat="false" ht="11.1" hidden="false" customHeight="true" outlineLevel="0" collapsed="false">
      <c r="B58" s="99"/>
    </row>
  </sheetData>
  <mergeCells count="2">
    <mergeCell ref="K2:V2"/>
    <mergeCell ref="M5:P5"/>
  </mergeCells>
  <printOptions headings="true" gridLines="true" gridLinesSet="true" horizontalCentered="true" verticalCentered="false"/>
  <pageMargins left="0" right="0" top="0" bottom="0" header="0.511811023622047" footer="0.511811023622047"/>
  <pageSetup paperSize="5" scale="100" fitToWidth="1" fitToHeight="1"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W57"/>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pane xSplit="1" ySplit="11" topLeftCell="B12" activePane="bottomRight" state="frozen"/>
      <selection pane="topLeft" activeCell="A1" activeCellId="0" sqref="A1"/>
      <selection pane="topRight" activeCell="B1" activeCellId="0" sqref="B1"/>
      <selection pane="bottomLeft" activeCell="A12" activeCellId="0" sqref="A12"/>
      <selection pane="bottomRight" activeCell="C20" activeCellId="1" sqref="AA13:AA42 C20"/>
    </sheetView>
  </sheetViews>
  <sheetFormatPr defaultColWidth="9.3359375" defaultRowHeight="11.1" zeroHeight="false" outlineLevelRow="0" outlineLevelCol="0"/>
  <cols>
    <col collapsed="false" customWidth="true" hidden="false" outlineLevel="0" max="1" min="1" style="104" width="5.67"/>
    <col collapsed="false" customWidth="true" hidden="false" outlineLevel="0" max="2" min="2" style="104" width="7.49"/>
    <col collapsed="false" customWidth="true" hidden="false" outlineLevel="0" max="3" min="3" style="105" width="6.82"/>
    <col collapsed="false" customWidth="true" hidden="false" outlineLevel="0" max="4" min="4" style="104" width="6.99"/>
    <col collapsed="false" customWidth="true" hidden="false" outlineLevel="0" max="5" min="5" style="105" width="7.66"/>
    <col collapsed="false" customWidth="true" hidden="false" outlineLevel="0" max="6" min="6" style="104" width="7.66"/>
    <col collapsed="false" customWidth="true" hidden="false" outlineLevel="0" max="7" min="7" style="104" width="7.16"/>
    <col collapsed="false" customWidth="true" hidden="false" outlineLevel="0" max="8" min="8" style="107" width="6.66"/>
    <col collapsed="false" customWidth="true" hidden="false" outlineLevel="0" max="9" min="9" style="104" width="7.99"/>
    <col collapsed="false" customWidth="true" hidden="false" outlineLevel="0" max="10" min="10" style="104" width="6.66"/>
    <col collapsed="false" customWidth="true" hidden="false" outlineLevel="0" max="12" min="11" style="104" width="7.16"/>
    <col collapsed="false" customWidth="true" hidden="false" outlineLevel="0" max="13" min="13" style="107" width="6.16"/>
    <col collapsed="false" customWidth="true" hidden="false" outlineLevel="0" max="14" min="14" style="107" width="5.99"/>
    <col collapsed="false" customWidth="true" hidden="false" outlineLevel="0" max="15" min="15" style="107" width="6.49"/>
    <col collapsed="false" customWidth="true" hidden="false" outlineLevel="0" max="16" min="16" style="104" width="7.16"/>
    <col collapsed="false" customWidth="true" hidden="false" outlineLevel="0" max="18" min="17" style="104" width="5.49"/>
    <col collapsed="false" customWidth="true" hidden="false" outlineLevel="0" max="19" min="19" style="105" width="6.82"/>
    <col collapsed="false" customWidth="true" hidden="false" outlineLevel="0" max="20" min="20" style="104" width="6.49"/>
    <col collapsed="false" customWidth="true" hidden="false" outlineLevel="0" max="21" min="21" style="104" width="5.67"/>
    <col collapsed="false" customWidth="true" hidden="false" outlineLevel="0" max="22" min="22" style="105" width="6.16"/>
    <col collapsed="false" customWidth="true" hidden="false" outlineLevel="0" max="23" min="23" style="104" width="6.82"/>
    <col collapsed="false" customWidth="true" hidden="false" outlineLevel="0" max="25" min="24" style="104" width="7.82"/>
    <col collapsed="false" customWidth="true" hidden="false" outlineLevel="0" max="26" min="26" style="108" width="7.82"/>
    <col collapsed="false" customWidth="true" hidden="false" outlineLevel="0" max="27" min="27" style="109" width="5.32"/>
    <col collapsed="false" customWidth="true" hidden="false" outlineLevel="0" max="28" min="28" style="109" width="3.82"/>
    <col collapsed="false" customWidth="true" hidden="false" outlineLevel="0" max="29" min="29" style="110" width="3.82"/>
    <col collapsed="false" customWidth="true" hidden="false" outlineLevel="0" max="30" min="30" style="104" width="5.99"/>
    <col collapsed="false" customWidth="true" hidden="false" outlineLevel="0" max="31" min="31" style="107" width="6.66"/>
    <col collapsed="false" customWidth="true" hidden="false" outlineLevel="0" max="32" min="32" style="339" width="7.49"/>
    <col collapsed="false" customWidth="true" hidden="false" outlineLevel="0" max="33" min="33" style="231" width="8.82"/>
    <col collapsed="false" customWidth="false" hidden="false" outlineLevel="0" max="257" min="34" style="104" width="9.32"/>
  </cols>
  <sheetData>
    <row r="1" customFormat="false" ht="14.1" hidden="false" customHeight="true" outlineLevel="0" collapsed="false">
      <c r="A1" s="6"/>
      <c r="B1" s="6"/>
      <c r="C1" s="7"/>
      <c r="D1" s="6"/>
      <c r="E1" s="7"/>
      <c r="F1" s="6"/>
      <c r="G1" s="6"/>
      <c r="H1" s="87"/>
      <c r="I1" s="6"/>
      <c r="J1" s="6"/>
      <c r="K1" s="9" t="s">
        <v>0</v>
      </c>
      <c r="L1" s="6"/>
      <c r="M1" s="6"/>
      <c r="N1" s="6"/>
      <c r="O1" s="6"/>
      <c r="P1" s="6"/>
      <c r="Q1" s="6"/>
      <c r="R1" s="6"/>
      <c r="S1" s="7"/>
      <c r="T1" s="6"/>
      <c r="U1" s="6"/>
      <c r="V1" s="7"/>
      <c r="W1" s="6"/>
      <c r="X1" s="6"/>
      <c r="Y1" s="6"/>
      <c r="Z1" s="10"/>
      <c r="AA1" s="11"/>
      <c r="AB1" s="12"/>
      <c r="AC1" s="13"/>
      <c r="AD1" s="315"/>
      <c r="AE1" s="340"/>
      <c r="AG1" s="242"/>
      <c r="AH1" s="0"/>
      <c r="AI1" s="0"/>
      <c r="AJ1" s="0"/>
      <c r="AK1" s="0"/>
      <c r="AL1" s="0"/>
      <c r="AM1" s="0"/>
      <c r="AN1" s="0"/>
      <c r="AO1" s="0"/>
      <c r="AP1" s="0"/>
      <c r="AQ1" s="0"/>
      <c r="AR1" s="0"/>
      <c r="AS1" s="0"/>
      <c r="AT1" s="0"/>
      <c r="AU1" s="0"/>
      <c r="AV1" s="0"/>
      <c r="AW1" s="0"/>
      <c r="AX1" s="0"/>
      <c r="AY1" s="0"/>
      <c r="AZ1" s="0"/>
      <c r="BA1" s="0"/>
      <c r="BB1" s="0"/>
      <c r="BC1" s="0"/>
      <c r="BD1" s="0"/>
      <c r="BE1" s="0"/>
      <c r="BF1" s="0"/>
      <c r="BG1" s="0"/>
      <c r="BH1" s="0"/>
      <c r="BI1" s="0"/>
      <c r="BJ1" s="0"/>
      <c r="BK1" s="0"/>
      <c r="BL1" s="0"/>
      <c r="BM1" s="0"/>
      <c r="BN1" s="0"/>
      <c r="BO1" s="0"/>
      <c r="BP1" s="0"/>
      <c r="BQ1" s="0"/>
      <c r="BR1" s="0"/>
      <c r="BS1" s="0"/>
      <c r="BT1" s="0"/>
      <c r="BU1" s="0"/>
      <c r="BV1" s="0"/>
      <c r="BW1" s="0"/>
      <c r="BX1" s="0"/>
      <c r="BY1" s="0"/>
      <c r="BZ1" s="0"/>
      <c r="CA1" s="0"/>
      <c r="CB1" s="0"/>
      <c r="CC1" s="0"/>
      <c r="CD1" s="0"/>
      <c r="CE1" s="0"/>
      <c r="CF1" s="0"/>
      <c r="CG1" s="0"/>
      <c r="CH1" s="0"/>
      <c r="CI1" s="0"/>
      <c r="CJ1" s="0"/>
      <c r="CK1" s="0"/>
      <c r="CL1" s="0"/>
      <c r="CM1" s="0"/>
      <c r="CN1" s="0"/>
      <c r="CO1" s="0"/>
      <c r="CP1" s="0"/>
      <c r="CQ1" s="0"/>
      <c r="CR1" s="0"/>
      <c r="CS1" s="0"/>
      <c r="CT1" s="0"/>
      <c r="CU1" s="0"/>
      <c r="CV1" s="0"/>
      <c r="CW1" s="0"/>
      <c r="CX1" s="0"/>
      <c r="CY1" s="0"/>
      <c r="CZ1" s="0"/>
      <c r="DA1" s="0"/>
      <c r="DB1" s="0"/>
      <c r="DC1" s="0"/>
      <c r="DD1" s="0"/>
      <c r="DE1" s="0"/>
      <c r="DF1" s="0"/>
      <c r="DG1" s="0"/>
      <c r="DH1" s="0"/>
      <c r="DI1" s="0"/>
      <c r="DJ1" s="0"/>
      <c r="DK1" s="0"/>
      <c r="DL1" s="0"/>
      <c r="DM1" s="0"/>
      <c r="DN1" s="0"/>
      <c r="DO1" s="0"/>
      <c r="DP1" s="0"/>
      <c r="DQ1" s="0"/>
      <c r="DR1" s="0"/>
      <c r="DS1" s="0"/>
      <c r="DT1" s="0"/>
      <c r="DU1" s="0"/>
      <c r="DV1" s="0"/>
      <c r="DW1" s="0"/>
      <c r="DX1" s="0"/>
      <c r="DY1" s="0"/>
      <c r="DZ1" s="0"/>
      <c r="EA1" s="0"/>
      <c r="EB1" s="0"/>
      <c r="EC1" s="0"/>
      <c r="ED1" s="0"/>
      <c r="EE1" s="0"/>
      <c r="EF1" s="0"/>
      <c r="EG1" s="0"/>
      <c r="EH1" s="0"/>
      <c r="EI1" s="0"/>
      <c r="EJ1" s="0"/>
      <c r="EK1" s="0"/>
      <c r="EL1" s="0"/>
      <c r="EM1" s="0"/>
      <c r="EN1" s="0"/>
      <c r="EO1" s="0"/>
      <c r="EP1" s="0"/>
      <c r="EQ1" s="0"/>
      <c r="ER1" s="0"/>
      <c r="ES1" s="0"/>
      <c r="ET1" s="0"/>
      <c r="EU1" s="0"/>
      <c r="EV1" s="0"/>
      <c r="EW1" s="0"/>
      <c r="EX1" s="0"/>
      <c r="EY1" s="0"/>
      <c r="EZ1" s="0"/>
      <c r="FA1" s="0"/>
      <c r="FB1" s="0"/>
      <c r="FC1" s="0"/>
      <c r="FD1" s="0"/>
      <c r="FE1" s="0"/>
      <c r="FF1" s="0"/>
      <c r="FG1" s="0"/>
      <c r="FH1" s="0"/>
      <c r="FI1" s="0"/>
      <c r="FJ1" s="0"/>
      <c r="FK1" s="0"/>
      <c r="FL1" s="0"/>
      <c r="FM1" s="0"/>
      <c r="FN1" s="0"/>
      <c r="FO1" s="0"/>
      <c r="FP1" s="0"/>
      <c r="FQ1" s="0"/>
      <c r="FR1" s="0"/>
      <c r="FS1" s="0"/>
      <c r="FT1" s="0"/>
      <c r="FU1" s="0"/>
      <c r="FV1" s="0"/>
      <c r="FW1" s="0"/>
      <c r="FX1" s="0"/>
      <c r="FY1" s="0"/>
      <c r="FZ1" s="0"/>
      <c r="GA1" s="0"/>
      <c r="GB1" s="0"/>
      <c r="GC1" s="0"/>
      <c r="GD1" s="0"/>
      <c r="GE1" s="0"/>
      <c r="GF1" s="0"/>
      <c r="GG1" s="0"/>
      <c r="GH1" s="0"/>
      <c r="GI1" s="0"/>
      <c r="GJ1" s="0"/>
      <c r="GK1" s="0"/>
      <c r="GL1" s="0"/>
      <c r="GM1" s="0"/>
      <c r="GN1" s="0"/>
      <c r="GO1" s="0"/>
      <c r="GP1" s="0"/>
      <c r="GQ1" s="0"/>
      <c r="GR1" s="0"/>
      <c r="GS1" s="0"/>
      <c r="GT1" s="0"/>
      <c r="GU1" s="0"/>
      <c r="GV1" s="0"/>
      <c r="GW1" s="0"/>
      <c r="GX1" s="0"/>
      <c r="GY1" s="0"/>
      <c r="GZ1" s="0"/>
      <c r="HA1" s="0"/>
      <c r="HB1" s="0"/>
      <c r="HC1" s="0"/>
      <c r="HD1" s="0"/>
      <c r="HE1" s="0"/>
      <c r="HF1" s="0"/>
      <c r="HG1" s="0"/>
      <c r="HH1" s="0"/>
      <c r="HI1" s="0"/>
      <c r="HJ1" s="0"/>
      <c r="HK1" s="0"/>
      <c r="HL1" s="0"/>
      <c r="HM1" s="0"/>
      <c r="HN1" s="0"/>
      <c r="HO1" s="0"/>
      <c r="HP1" s="0"/>
      <c r="HQ1" s="0"/>
      <c r="HR1" s="0"/>
      <c r="HS1" s="0"/>
      <c r="HT1" s="0"/>
      <c r="HU1" s="0"/>
      <c r="HV1" s="0"/>
      <c r="HW1" s="0"/>
      <c r="HX1" s="0"/>
      <c r="HY1" s="0"/>
      <c r="HZ1" s="0"/>
      <c r="IA1" s="0"/>
      <c r="IB1" s="0"/>
      <c r="IC1" s="0"/>
      <c r="ID1" s="0"/>
      <c r="IE1" s="0"/>
      <c r="IF1" s="0"/>
      <c r="IG1" s="0"/>
      <c r="IH1" s="0"/>
      <c r="II1" s="0"/>
      <c r="IJ1" s="0"/>
      <c r="IK1" s="0"/>
      <c r="IL1" s="0"/>
      <c r="IM1" s="0"/>
      <c r="IN1" s="0"/>
      <c r="IO1" s="0"/>
      <c r="IP1" s="0"/>
      <c r="IQ1" s="0"/>
      <c r="IR1" s="0"/>
      <c r="IS1" s="0"/>
      <c r="IT1" s="0"/>
      <c r="IU1" s="0"/>
      <c r="IV1" s="0"/>
      <c r="IW1" s="0"/>
    </row>
    <row r="2" customFormat="false" ht="14.1" hidden="false" customHeight="true" outlineLevel="0" collapsed="false">
      <c r="A2" s="6" t="s">
        <v>1</v>
      </c>
      <c r="B2" s="6"/>
      <c r="C2" s="7"/>
      <c r="D2" s="14" t="n">
        <v>1.9835</v>
      </c>
      <c r="E2" s="7"/>
      <c r="F2" s="6"/>
      <c r="G2" s="6"/>
      <c r="H2" s="87"/>
      <c r="I2" s="6"/>
      <c r="J2" s="6"/>
      <c r="K2" s="316" t="s">
        <v>92</v>
      </c>
      <c r="L2" s="316"/>
      <c r="M2" s="316"/>
      <c r="N2" s="316"/>
      <c r="O2" s="316"/>
      <c r="P2" s="316"/>
      <c r="Q2" s="316"/>
      <c r="R2" s="316"/>
      <c r="S2" s="316"/>
      <c r="T2" s="316"/>
      <c r="U2" s="316"/>
      <c r="V2" s="316"/>
      <c r="W2" s="6"/>
      <c r="X2" s="6"/>
      <c r="Y2" s="6"/>
      <c r="Z2" s="10"/>
      <c r="AA2" s="11"/>
      <c r="AB2" s="12"/>
      <c r="AC2" s="13"/>
      <c r="AD2" s="315"/>
      <c r="AE2" s="340"/>
      <c r="AG2" s="242"/>
      <c r="AH2" s="0"/>
      <c r="AI2" s="0"/>
      <c r="AJ2" s="0"/>
      <c r="AK2" s="0"/>
      <c r="AL2" s="0"/>
      <c r="AM2" s="0"/>
      <c r="AN2" s="0"/>
      <c r="AO2" s="0"/>
      <c r="AP2" s="0"/>
      <c r="AQ2" s="0"/>
      <c r="AR2" s="0"/>
      <c r="AS2" s="0"/>
      <c r="AT2" s="0"/>
      <c r="AU2" s="0"/>
      <c r="AV2" s="0"/>
      <c r="AW2" s="0"/>
      <c r="AX2" s="0"/>
      <c r="AY2" s="0"/>
      <c r="AZ2" s="0"/>
      <c r="BA2" s="0"/>
      <c r="BB2" s="0"/>
      <c r="BC2" s="0"/>
      <c r="BD2" s="0"/>
      <c r="BE2" s="0"/>
      <c r="BF2" s="0"/>
      <c r="BG2" s="0"/>
      <c r="BH2" s="0"/>
      <c r="BI2" s="0"/>
      <c r="BJ2" s="0"/>
      <c r="BK2" s="0"/>
      <c r="BL2" s="0"/>
      <c r="BM2" s="0"/>
      <c r="BN2" s="0"/>
      <c r="BO2" s="0"/>
      <c r="BP2" s="0"/>
      <c r="BQ2" s="0"/>
      <c r="BR2" s="0"/>
      <c r="BS2" s="0"/>
      <c r="BT2" s="0"/>
      <c r="BU2" s="0"/>
      <c r="BV2" s="0"/>
      <c r="BW2" s="0"/>
      <c r="BX2" s="0"/>
      <c r="BY2" s="0"/>
      <c r="BZ2" s="0"/>
      <c r="CA2" s="0"/>
      <c r="CB2" s="0"/>
      <c r="CC2" s="0"/>
      <c r="CD2" s="0"/>
      <c r="CE2" s="0"/>
      <c r="CF2" s="0"/>
      <c r="CG2" s="0"/>
      <c r="CH2" s="0"/>
      <c r="CI2" s="0"/>
      <c r="CJ2" s="0"/>
      <c r="CK2" s="0"/>
      <c r="CL2" s="0"/>
      <c r="CM2" s="0"/>
      <c r="CN2" s="0"/>
      <c r="CO2" s="0"/>
      <c r="CP2" s="0"/>
      <c r="CQ2" s="0"/>
      <c r="CR2" s="0"/>
      <c r="CS2" s="0"/>
      <c r="CT2" s="0"/>
      <c r="CU2" s="0"/>
      <c r="CV2" s="0"/>
      <c r="CW2" s="0"/>
      <c r="CX2" s="0"/>
      <c r="CY2" s="0"/>
      <c r="CZ2" s="0"/>
      <c r="DA2" s="0"/>
      <c r="DB2" s="0"/>
      <c r="DC2" s="0"/>
      <c r="DD2" s="0"/>
      <c r="DE2" s="0"/>
      <c r="DF2" s="0"/>
      <c r="DG2" s="0"/>
      <c r="DH2" s="0"/>
      <c r="DI2" s="0"/>
      <c r="DJ2" s="0"/>
      <c r="DK2" s="0"/>
      <c r="DL2" s="0"/>
      <c r="DM2" s="0"/>
      <c r="DN2" s="0"/>
      <c r="DO2" s="0"/>
      <c r="DP2" s="0"/>
      <c r="DQ2" s="0"/>
      <c r="DR2" s="0"/>
      <c r="DS2" s="0"/>
      <c r="DT2" s="0"/>
      <c r="DU2" s="0"/>
      <c r="DV2" s="0"/>
      <c r="DW2" s="0"/>
      <c r="DX2" s="0"/>
      <c r="DY2" s="0"/>
      <c r="DZ2" s="0"/>
      <c r="EA2" s="0"/>
      <c r="EB2" s="0"/>
      <c r="EC2" s="0"/>
      <c r="ED2" s="0"/>
      <c r="EE2" s="0"/>
      <c r="EF2" s="0"/>
      <c r="EG2" s="0"/>
      <c r="EH2" s="0"/>
      <c r="EI2" s="0"/>
      <c r="EJ2" s="0"/>
      <c r="EK2" s="0"/>
      <c r="EL2" s="0"/>
      <c r="EM2" s="0"/>
      <c r="EN2" s="0"/>
      <c r="EO2" s="0"/>
      <c r="EP2" s="0"/>
      <c r="EQ2" s="0"/>
      <c r="ER2" s="0"/>
      <c r="ES2" s="0"/>
      <c r="ET2" s="0"/>
      <c r="EU2" s="0"/>
      <c r="EV2" s="0"/>
      <c r="EW2" s="0"/>
      <c r="EX2" s="0"/>
      <c r="EY2" s="0"/>
      <c r="EZ2" s="0"/>
      <c r="FA2" s="0"/>
      <c r="FB2" s="0"/>
      <c r="FC2" s="0"/>
      <c r="FD2" s="0"/>
      <c r="FE2" s="0"/>
      <c r="FF2" s="0"/>
      <c r="FG2" s="0"/>
      <c r="FH2" s="0"/>
      <c r="FI2" s="0"/>
      <c r="FJ2" s="0"/>
      <c r="FK2" s="0"/>
      <c r="FL2" s="0"/>
      <c r="FM2" s="0"/>
      <c r="FN2" s="0"/>
      <c r="FO2" s="0"/>
      <c r="FP2" s="0"/>
      <c r="FQ2" s="0"/>
      <c r="FR2" s="0"/>
      <c r="FS2" s="0"/>
      <c r="FT2" s="0"/>
      <c r="FU2" s="0"/>
      <c r="FV2" s="0"/>
      <c r="FW2" s="0"/>
      <c r="FX2" s="0"/>
      <c r="FY2" s="0"/>
      <c r="FZ2" s="0"/>
      <c r="GA2" s="0"/>
      <c r="GB2" s="0"/>
      <c r="GC2" s="0"/>
      <c r="GD2" s="0"/>
      <c r="GE2" s="0"/>
      <c r="GF2" s="0"/>
      <c r="GG2" s="0"/>
      <c r="GH2" s="0"/>
      <c r="GI2" s="0"/>
      <c r="GJ2" s="0"/>
      <c r="GK2" s="0"/>
      <c r="GL2" s="0"/>
      <c r="GM2" s="0"/>
      <c r="GN2" s="0"/>
      <c r="GO2" s="0"/>
      <c r="GP2" s="0"/>
      <c r="GQ2" s="0"/>
      <c r="GR2" s="0"/>
      <c r="GS2" s="0"/>
      <c r="GT2" s="0"/>
      <c r="GU2" s="0"/>
      <c r="GV2" s="0"/>
      <c r="GW2" s="0"/>
      <c r="GX2" s="0"/>
      <c r="GY2" s="0"/>
      <c r="GZ2" s="0"/>
      <c r="HA2" s="0"/>
      <c r="HB2" s="0"/>
      <c r="HC2" s="0"/>
      <c r="HD2" s="0"/>
      <c r="HE2" s="0"/>
      <c r="HF2" s="0"/>
      <c r="HG2" s="0"/>
      <c r="HH2" s="0"/>
      <c r="HI2" s="0"/>
      <c r="HJ2" s="0"/>
      <c r="HK2" s="0"/>
      <c r="HL2" s="0"/>
      <c r="HM2" s="0"/>
      <c r="HN2" s="0"/>
      <c r="HO2" s="0"/>
      <c r="HP2" s="0"/>
      <c r="HQ2" s="0"/>
      <c r="HR2" s="0"/>
      <c r="HS2" s="0"/>
      <c r="HT2" s="0"/>
      <c r="HU2" s="0"/>
      <c r="HV2" s="0"/>
      <c r="HW2" s="0"/>
      <c r="HX2" s="0"/>
      <c r="HY2" s="0"/>
      <c r="HZ2" s="0"/>
      <c r="IA2" s="0"/>
      <c r="IB2" s="0"/>
      <c r="IC2" s="0"/>
      <c r="ID2" s="0"/>
      <c r="IE2" s="0"/>
      <c r="IF2" s="0"/>
      <c r="IG2" s="0"/>
      <c r="IH2" s="0"/>
      <c r="II2" s="0"/>
      <c r="IJ2" s="0"/>
      <c r="IK2" s="0"/>
      <c r="IL2" s="0"/>
      <c r="IM2" s="0"/>
      <c r="IN2" s="0"/>
      <c r="IO2" s="0"/>
      <c r="IP2" s="0"/>
      <c r="IQ2" s="0"/>
      <c r="IR2" s="0"/>
      <c r="IS2" s="0"/>
      <c r="IT2" s="0"/>
      <c r="IU2" s="0"/>
      <c r="IV2" s="0"/>
      <c r="IW2" s="0"/>
    </row>
    <row r="3" customFormat="false" ht="14.1" hidden="false" customHeight="true" outlineLevel="0" collapsed="false">
      <c r="A3" s="15"/>
      <c r="B3" s="15"/>
      <c r="C3" s="16"/>
      <c r="D3" s="17"/>
      <c r="E3" s="16"/>
      <c r="F3" s="15"/>
      <c r="G3" s="15"/>
      <c r="H3" s="317"/>
      <c r="I3" s="15"/>
      <c r="J3" s="15"/>
      <c r="K3" s="15"/>
      <c r="L3" s="15"/>
      <c r="M3" s="15"/>
      <c r="N3" s="15"/>
      <c r="O3" s="15"/>
      <c r="P3" s="15"/>
      <c r="Q3" s="15"/>
      <c r="R3" s="15"/>
      <c r="S3" s="16"/>
      <c r="T3" s="15"/>
      <c r="U3" s="15"/>
      <c r="V3" s="16"/>
      <c r="W3" s="15"/>
      <c r="X3" s="15"/>
      <c r="Y3" s="15"/>
      <c r="Z3" s="19"/>
      <c r="AA3" s="20"/>
      <c r="AB3" s="21"/>
      <c r="AC3" s="22"/>
      <c r="AD3" s="318"/>
      <c r="AE3" s="341"/>
      <c r="AG3" s="242"/>
      <c r="AH3" s="0"/>
      <c r="AI3" s="0"/>
      <c r="AJ3" s="0"/>
      <c r="AK3" s="0"/>
      <c r="AL3" s="0"/>
      <c r="AM3" s="0"/>
      <c r="AN3" s="0"/>
      <c r="AO3" s="0"/>
      <c r="AP3" s="0"/>
      <c r="AQ3" s="0"/>
      <c r="AR3" s="0"/>
      <c r="AS3" s="0"/>
      <c r="AT3" s="0"/>
      <c r="AU3" s="0"/>
      <c r="AV3" s="0"/>
      <c r="AW3" s="0"/>
      <c r="AX3" s="0"/>
      <c r="AY3" s="0"/>
      <c r="AZ3" s="0"/>
      <c r="BA3" s="0"/>
      <c r="BB3" s="0"/>
      <c r="BC3" s="0"/>
      <c r="BD3" s="0"/>
      <c r="BE3" s="0"/>
      <c r="BF3" s="0"/>
      <c r="BG3" s="0"/>
      <c r="BH3" s="0"/>
      <c r="BI3" s="0"/>
      <c r="BJ3" s="0"/>
      <c r="BK3" s="0"/>
      <c r="BL3" s="0"/>
      <c r="BM3" s="0"/>
      <c r="BN3" s="0"/>
      <c r="BO3" s="0"/>
      <c r="BP3" s="0"/>
      <c r="BQ3" s="0"/>
      <c r="BR3" s="0"/>
      <c r="BS3" s="0"/>
      <c r="BT3" s="0"/>
      <c r="BU3" s="0"/>
      <c r="BV3" s="0"/>
      <c r="BW3" s="0"/>
      <c r="BX3" s="0"/>
      <c r="BY3" s="0"/>
      <c r="BZ3" s="0"/>
      <c r="CA3" s="0"/>
      <c r="CB3" s="0"/>
      <c r="CC3" s="0"/>
      <c r="CD3" s="0"/>
      <c r="CE3" s="0"/>
      <c r="CF3" s="0"/>
      <c r="CG3" s="0"/>
      <c r="CH3" s="0"/>
      <c r="CI3" s="0"/>
      <c r="CJ3" s="0"/>
      <c r="CK3" s="0"/>
      <c r="CL3" s="0"/>
      <c r="CM3" s="0"/>
      <c r="CN3" s="0"/>
      <c r="CO3" s="0"/>
      <c r="CP3" s="0"/>
      <c r="CQ3" s="0"/>
      <c r="CR3" s="0"/>
      <c r="CS3" s="0"/>
      <c r="CT3" s="0"/>
      <c r="CU3" s="0"/>
      <c r="CV3" s="0"/>
      <c r="CW3" s="0"/>
      <c r="CX3" s="0"/>
      <c r="CY3" s="0"/>
      <c r="CZ3" s="0"/>
      <c r="DA3" s="0"/>
      <c r="DB3" s="0"/>
      <c r="DC3" s="0"/>
      <c r="DD3" s="0"/>
      <c r="DE3" s="0"/>
      <c r="DF3" s="0"/>
      <c r="DG3" s="0"/>
      <c r="DH3" s="0"/>
      <c r="DI3" s="0"/>
      <c r="DJ3" s="0"/>
      <c r="DK3" s="0"/>
      <c r="DL3" s="0"/>
      <c r="DM3" s="0"/>
      <c r="DN3" s="0"/>
      <c r="DO3" s="0"/>
      <c r="DP3" s="0"/>
      <c r="DQ3" s="0"/>
      <c r="DR3" s="0"/>
      <c r="DS3" s="0"/>
      <c r="DT3" s="0"/>
      <c r="DU3" s="0"/>
      <c r="DV3" s="0"/>
      <c r="DW3" s="0"/>
      <c r="DX3" s="0"/>
      <c r="DY3" s="0"/>
      <c r="DZ3" s="0"/>
      <c r="EA3" s="0"/>
      <c r="EB3" s="0"/>
      <c r="EC3" s="0"/>
      <c r="ED3" s="0"/>
      <c r="EE3" s="0"/>
      <c r="EF3" s="0"/>
      <c r="EG3" s="0"/>
      <c r="EH3" s="0"/>
      <c r="EI3" s="0"/>
      <c r="EJ3" s="0"/>
      <c r="EK3" s="0"/>
      <c r="EL3" s="0"/>
      <c r="EM3" s="0"/>
      <c r="EN3" s="0"/>
      <c r="EO3" s="0"/>
      <c r="EP3" s="0"/>
      <c r="EQ3" s="0"/>
      <c r="ER3" s="0"/>
      <c r="ES3" s="0"/>
      <c r="ET3" s="0"/>
      <c r="EU3" s="0"/>
      <c r="EV3" s="0"/>
      <c r="EW3" s="0"/>
      <c r="EX3" s="0"/>
      <c r="EY3" s="0"/>
      <c r="EZ3" s="0"/>
      <c r="FA3" s="0"/>
      <c r="FB3" s="0"/>
      <c r="FC3" s="0"/>
      <c r="FD3" s="0"/>
      <c r="FE3" s="0"/>
      <c r="FF3" s="0"/>
      <c r="FG3" s="0"/>
      <c r="FH3" s="0"/>
      <c r="FI3" s="0"/>
      <c r="FJ3" s="0"/>
      <c r="FK3" s="0"/>
      <c r="FL3" s="0"/>
      <c r="FM3" s="0"/>
      <c r="FN3" s="0"/>
      <c r="FO3" s="0"/>
      <c r="FP3" s="0"/>
      <c r="FQ3" s="0"/>
      <c r="FR3" s="0"/>
      <c r="FS3" s="0"/>
      <c r="FT3" s="0"/>
      <c r="FU3" s="0"/>
      <c r="FV3" s="0"/>
      <c r="FW3" s="0"/>
      <c r="FX3" s="0"/>
      <c r="FY3" s="0"/>
      <c r="FZ3" s="0"/>
      <c r="GA3" s="0"/>
      <c r="GB3" s="0"/>
      <c r="GC3" s="0"/>
      <c r="GD3" s="0"/>
      <c r="GE3" s="0"/>
      <c r="GF3" s="0"/>
      <c r="GG3" s="0"/>
      <c r="GH3" s="0"/>
      <c r="GI3" s="0"/>
      <c r="GJ3" s="0"/>
      <c r="GK3" s="0"/>
      <c r="GL3" s="0"/>
      <c r="GM3" s="0"/>
      <c r="GN3" s="0"/>
      <c r="GO3" s="0"/>
      <c r="GP3" s="0"/>
      <c r="GQ3" s="0"/>
      <c r="GR3" s="0"/>
      <c r="GS3" s="0"/>
      <c r="GT3" s="0"/>
      <c r="GU3" s="0"/>
      <c r="GV3" s="0"/>
      <c r="GW3" s="0"/>
      <c r="GX3" s="0"/>
      <c r="GY3" s="0"/>
      <c r="GZ3" s="0"/>
      <c r="HA3" s="0"/>
      <c r="HB3" s="0"/>
      <c r="HC3" s="0"/>
      <c r="HD3" s="0"/>
      <c r="HE3" s="0"/>
      <c r="HF3" s="0"/>
      <c r="HG3" s="0"/>
      <c r="HH3" s="0"/>
      <c r="HI3" s="0"/>
      <c r="HJ3" s="0"/>
      <c r="HK3" s="0"/>
      <c r="HL3" s="0"/>
      <c r="HM3" s="0"/>
      <c r="HN3" s="0"/>
      <c r="HO3" s="0"/>
      <c r="HP3" s="0"/>
      <c r="HQ3" s="0"/>
      <c r="HR3" s="0"/>
      <c r="HS3" s="0"/>
      <c r="HT3" s="0"/>
      <c r="HU3" s="0"/>
      <c r="HV3" s="0"/>
      <c r="HW3" s="0"/>
      <c r="HX3" s="0"/>
      <c r="HY3" s="0"/>
      <c r="HZ3" s="0"/>
      <c r="IA3" s="0"/>
      <c r="IB3" s="0"/>
      <c r="IC3" s="0"/>
      <c r="ID3" s="0"/>
      <c r="IE3" s="0"/>
      <c r="IF3" s="0"/>
      <c r="IG3" s="0"/>
      <c r="IH3" s="0"/>
      <c r="II3" s="0"/>
      <c r="IJ3" s="0"/>
      <c r="IK3" s="0"/>
      <c r="IL3" s="0"/>
      <c r="IM3" s="0"/>
      <c r="IN3" s="0"/>
      <c r="IO3" s="0"/>
      <c r="IP3" s="0"/>
      <c r="IQ3" s="0"/>
      <c r="IR3" s="0"/>
      <c r="IS3" s="0"/>
      <c r="IT3" s="0"/>
      <c r="IU3" s="0"/>
      <c r="IV3" s="0"/>
      <c r="IW3" s="0"/>
    </row>
    <row r="4" customFormat="false" ht="14.1" hidden="false" customHeight="true" outlineLevel="0" collapsed="false">
      <c r="A4" s="6"/>
      <c r="B4" s="24"/>
      <c r="C4" s="25"/>
      <c r="D4" s="319" t="s">
        <v>3</v>
      </c>
      <c r="E4" s="25"/>
      <c r="F4" s="27"/>
      <c r="G4" s="6"/>
      <c r="H4" s="87"/>
      <c r="I4" s="6"/>
      <c r="J4" s="6"/>
      <c r="K4" s="6"/>
      <c r="L4" s="6"/>
      <c r="M4" s="6"/>
      <c r="N4" s="6"/>
      <c r="O4" s="6"/>
      <c r="P4" s="6"/>
      <c r="Q4" s="28" t="s">
        <v>4</v>
      </c>
      <c r="R4" s="6"/>
      <c r="S4" s="7"/>
      <c r="T4" s="6"/>
      <c r="U4" s="6"/>
      <c r="V4" s="7"/>
      <c r="W4" s="6"/>
      <c r="X4" s="6"/>
      <c r="Y4" s="6"/>
      <c r="Z4" s="10"/>
      <c r="AA4" s="29"/>
      <c r="AB4" s="30" t="s">
        <v>5</v>
      </c>
      <c r="AC4" s="31"/>
      <c r="AD4" s="315"/>
      <c r="AE4" s="340"/>
      <c r="AF4" s="342" t="s">
        <v>93</v>
      </c>
      <c r="AG4" s="343"/>
      <c r="AH4" s="0"/>
      <c r="AI4" s="0"/>
      <c r="AJ4" s="0"/>
      <c r="AK4" s="0"/>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c r="BY4" s="0"/>
      <c r="BZ4" s="0"/>
      <c r="CA4" s="0"/>
      <c r="CB4" s="0"/>
      <c r="CC4" s="0"/>
      <c r="CD4" s="0"/>
      <c r="CE4" s="0"/>
      <c r="CF4" s="0"/>
      <c r="CG4" s="0"/>
      <c r="CH4" s="0"/>
      <c r="CI4" s="0"/>
      <c r="CJ4" s="0"/>
      <c r="CK4" s="0"/>
      <c r="CL4" s="0"/>
      <c r="CM4" s="0"/>
      <c r="CN4" s="0"/>
      <c r="CO4" s="0"/>
      <c r="CP4" s="0"/>
      <c r="CQ4" s="0"/>
      <c r="CR4" s="0"/>
      <c r="CS4" s="0"/>
      <c r="CT4" s="0"/>
      <c r="CU4" s="0"/>
      <c r="CV4" s="0"/>
      <c r="CW4" s="0"/>
      <c r="CX4" s="0"/>
      <c r="CY4" s="0"/>
      <c r="CZ4" s="0"/>
      <c r="DA4" s="0"/>
      <c r="DB4" s="0"/>
      <c r="DC4" s="0"/>
      <c r="DD4" s="0"/>
      <c r="DE4" s="0"/>
      <c r="DF4" s="0"/>
      <c r="DG4" s="0"/>
      <c r="DH4" s="0"/>
      <c r="DI4" s="0"/>
      <c r="DJ4" s="0"/>
      <c r="DK4" s="0"/>
      <c r="DL4" s="0"/>
      <c r="DM4" s="0"/>
      <c r="DN4" s="0"/>
      <c r="DO4" s="0"/>
      <c r="DP4" s="0"/>
      <c r="DQ4" s="0"/>
      <c r="DR4" s="0"/>
      <c r="DS4" s="0"/>
      <c r="DT4" s="0"/>
      <c r="DU4" s="0"/>
      <c r="DV4" s="0"/>
      <c r="DW4" s="0"/>
      <c r="DX4" s="0"/>
      <c r="DY4" s="0"/>
      <c r="DZ4" s="0"/>
      <c r="EA4" s="0"/>
      <c r="EB4" s="0"/>
      <c r="EC4" s="0"/>
      <c r="ED4" s="0"/>
      <c r="EE4" s="0"/>
      <c r="EF4" s="0"/>
      <c r="EG4" s="0"/>
      <c r="EH4" s="0"/>
      <c r="EI4" s="0"/>
      <c r="EJ4" s="0"/>
      <c r="EK4" s="0"/>
      <c r="EL4" s="0"/>
      <c r="EM4" s="0"/>
      <c r="EN4" s="0"/>
      <c r="EO4" s="0"/>
      <c r="EP4" s="0"/>
      <c r="EQ4" s="0"/>
      <c r="ER4" s="0"/>
      <c r="ES4" s="0"/>
      <c r="ET4" s="0"/>
      <c r="EU4" s="0"/>
      <c r="EV4" s="0"/>
      <c r="EW4" s="0"/>
      <c r="EX4" s="0"/>
      <c r="EY4" s="0"/>
      <c r="EZ4" s="0"/>
      <c r="FA4" s="0"/>
      <c r="FB4" s="0"/>
      <c r="FC4" s="0"/>
      <c r="FD4" s="0"/>
      <c r="FE4" s="0"/>
      <c r="FF4" s="0"/>
      <c r="FG4" s="0"/>
      <c r="FH4" s="0"/>
      <c r="FI4" s="0"/>
      <c r="FJ4" s="0"/>
      <c r="FK4" s="0"/>
      <c r="FL4" s="0"/>
      <c r="FM4" s="0"/>
      <c r="FN4" s="0"/>
      <c r="FO4" s="0"/>
      <c r="FP4" s="0"/>
      <c r="FQ4" s="0"/>
      <c r="FR4" s="0"/>
      <c r="FS4" s="0"/>
      <c r="FT4" s="0"/>
      <c r="FU4" s="0"/>
      <c r="FV4" s="0"/>
      <c r="FW4" s="0"/>
      <c r="FX4" s="0"/>
      <c r="FY4" s="0"/>
      <c r="FZ4" s="0"/>
      <c r="GA4" s="0"/>
      <c r="GB4" s="0"/>
      <c r="GC4" s="0"/>
      <c r="GD4" s="0"/>
      <c r="GE4" s="0"/>
      <c r="GF4" s="0"/>
      <c r="GG4" s="0"/>
      <c r="GH4" s="0"/>
      <c r="GI4" s="0"/>
      <c r="GJ4" s="0"/>
      <c r="GK4" s="0"/>
      <c r="GL4" s="0"/>
      <c r="GM4" s="0"/>
      <c r="GN4" s="0"/>
      <c r="GO4" s="0"/>
      <c r="GP4" s="0"/>
      <c r="GQ4" s="0"/>
      <c r="GR4" s="0"/>
      <c r="GS4" s="0"/>
      <c r="GT4" s="0"/>
      <c r="GU4" s="0"/>
      <c r="GV4" s="0"/>
      <c r="GW4" s="0"/>
      <c r="GX4" s="0"/>
      <c r="GY4" s="0"/>
      <c r="GZ4" s="0"/>
      <c r="HA4" s="0"/>
      <c r="HB4" s="0"/>
      <c r="HC4" s="0"/>
      <c r="HD4" s="0"/>
      <c r="HE4" s="0"/>
      <c r="HF4" s="0"/>
      <c r="HG4" s="0"/>
      <c r="HH4" s="0"/>
      <c r="HI4" s="0"/>
      <c r="HJ4" s="0"/>
      <c r="HK4" s="0"/>
      <c r="HL4" s="0"/>
      <c r="HM4" s="0"/>
      <c r="HN4" s="0"/>
      <c r="HO4" s="0"/>
      <c r="HP4" s="0"/>
      <c r="HQ4" s="0"/>
      <c r="HR4" s="0"/>
      <c r="HS4" s="0"/>
      <c r="HT4" s="0"/>
      <c r="HU4" s="0"/>
      <c r="HV4" s="0"/>
      <c r="HW4" s="0"/>
      <c r="HX4" s="0"/>
      <c r="HY4" s="0"/>
      <c r="HZ4" s="0"/>
      <c r="IA4" s="0"/>
      <c r="IB4" s="0"/>
      <c r="IC4" s="0"/>
      <c r="ID4" s="0"/>
      <c r="IE4" s="0"/>
      <c r="IF4" s="0"/>
      <c r="IG4" s="0"/>
      <c r="IH4" s="0"/>
      <c r="II4" s="0"/>
      <c r="IJ4" s="0"/>
      <c r="IK4" s="0"/>
      <c r="IL4" s="0"/>
      <c r="IM4" s="0"/>
      <c r="IN4" s="0"/>
      <c r="IO4" s="0"/>
      <c r="IP4" s="0"/>
      <c r="IQ4" s="0"/>
      <c r="IR4" s="0"/>
      <c r="IS4" s="0"/>
      <c r="IT4" s="0"/>
      <c r="IU4" s="0"/>
      <c r="IV4" s="0"/>
      <c r="IW4" s="0"/>
    </row>
    <row r="5" customFormat="false" ht="11.1" hidden="false" customHeight="true" outlineLevel="0" collapsed="false">
      <c r="A5" s="138" t="s">
        <v>6</v>
      </c>
      <c r="B5" s="139" t="s">
        <v>7</v>
      </c>
      <c r="C5" s="140" t="s">
        <v>7</v>
      </c>
      <c r="D5" s="138" t="s">
        <v>8</v>
      </c>
      <c r="E5" s="140" t="s">
        <v>9</v>
      </c>
      <c r="F5" s="141" t="s">
        <v>10</v>
      </c>
      <c r="G5" s="234" t="s">
        <v>11</v>
      </c>
      <c r="H5" s="344" t="s">
        <v>12</v>
      </c>
      <c r="I5" s="234" t="s">
        <v>13</v>
      </c>
      <c r="J5" s="234" t="s">
        <v>14</v>
      </c>
      <c r="K5" s="234" t="s">
        <v>15</v>
      </c>
      <c r="L5" s="138" t="s">
        <v>14</v>
      </c>
      <c r="M5" s="143" t="s">
        <v>16</v>
      </c>
      <c r="N5" s="143"/>
      <c r="O5" s="143"/>
      <c r="P5" s="143"/>
      <c r="Q5" s="138" t="s">
        <v>17</v>
      </c>
      <c r="R5" s="138" t="s">
        <v>18</v>
      </c>
      <c r="S5" s="138" t="s">
        <v>15</v>
      </c>
      <c r="T5" s="156" t="s">
        <v>19</v>
      </c>
      <c r="U5" s="138" t="s">
        <v>20</v>
      </c>
      <c r="V5" s="138" t="s">
        <v>21</v>
      </c>
      <c r="W5" s="140" t="s">
        <v>22</v>
      </c>
      <c r="X5" s="138" t="s">
        <v>13</v>
      </c>
      <c r="Y5" s="138" t="s">
        <v>14</v>
      </c>
      <c r="Z5" s="138" t="s">
        <v>15</v>
      </c>
      <c r="AA5" s="345" t="s">
        <v>23</v>
      </c>
      <c r="AB5" s="145" t="s">
        <v>24</v>
      </c>
      <c r="AC5" s="146" t="s">
        <v>25</v>
      </c>
      <c r="AD5" s="145" t="s">
        <v>64</v>
      </c>
      <c r="AE5" s="219" t="s">
        <v>19</v>
      </c>
      <c r="AF5" s="346" t="s">
        <v>19</v>
      </c>
      <c r="AG5" s="347" t="s">
        <v>88</v>
      </c>
    </row>
    <row r="6" customFormat="false" ht="11.1" hidden="false" customHeight="true" outlineLevel="0" collapsed="false">
      <c r="A6" s="148" t="s">
        <v>94</v>
      </c>
      <c r="B6" s="139" t="s">
        <v>28</v>
      </c>
      <c r="C6" s="140" t="s">
        <v>8</v>
      </c>
      <c r="D6" s="138" t="s">
        <v>29</v>
      </c>
      <c r="E6" s="140" t="s">
        <v>30</v>
      </c>
      <c r="F6" s="141" t="s">
        <v>31</v>
      </c>
      <c r="G6" s="234" t="s">
        <v>32</v>
      </c>
      <c r="H6" s="344" t="s">
        <v>33</v>
      </c>
      <c r="I6" s="234" t="s">
        <v>34</v>
      </c>
      <c r="J6" s="234" t="s">
        <v>34</v>
      </c>
      <c r="K6" s="234" t="s">
        <v>34</v>
      </c>
      <c r="L6" s="138" t="s">
        <v>35</v>
      </c>
      <c r="M6" s="149" t="s">
        <v>36</v>
      </c>
      <c r="N6" s="138" t="s">
        <v>37</v>
      </c>
      <c r="O6" s="138" t="s">
        <v>38</v>
      </c>
      <c r="P6" s="150" t="s">
        <v>39</v>
      </c>
      <c r="Q6" s="138" t="s">
        <v>40</v>
      </c>
      <c r="R6" s="138" t="s">
        <v>41</v>
      </c>
      <c r="S6" s="138" t="s">
        <v>19</v>
      </c>
      <c r="T6" s="156" t="s">
        <v>80</v>
      </c>
      <c r="U6" s="138" t="s">
        <v>43</v>
      </c>
      <c r="V6" s="138" t="s">
        <v>44</v>
      </c>
      <c r="W6" s="140" t="s">
        <v>45</v>
      </c>
      <c r="X6" s="138" t="s">
        <v>46</v>
      </c>
      <c r="Y6" s="138" t="s">
        <v>46</v>
      </c>
      <c r="Z6" s="138" t="s">
        <v>46</v>
      </c>
      <c r="AA6" s="348"/>
      <c r="AB6" s="145" t="s">
        <v>47</v>
      </c>
      <c r="AC6" s="146" t="s">
        <v>47</v>
      </c>
      <c r="AD6" s="152" t="s">
        <v>42</v>
      </c>
      <c r="AE6" s="219" t="s">
        <v>42</v>
      </c>
      <c r="AF6" s="346" t="s">
        <v>95</v>
      </c>
      <c r="AG6" s="347" t="s">
        <v>90</v>
      </c>
    </row>
    <row r="7" customFormat="false" ht="11.1" hidden="false" customHeight="true" outlineLevel="0" collapsed="false">
      <c r="A7" s="153"/>
      <c r="B7" s="154"/>
      <c r="C7" s="155"/>
      <c r="D7" s="153"/>
      <c r="E7" s="156" t="s">
        <v>48</v>
      </c>
      <c r="F7" s="157"/>
      <c r="G7" s="153"/>
      <c r="H7" s="222"/>
      <c r="I7" s="153"/>
      <c r="J7" s="153"/>
      <c r="K7" s="153"/>
      <c r="L7" s="153"/>
      <c r="M7" s="159"/>
      <c r="N7" s="153"/>
      <c r="O7" s="156" t="n">
        <v>12583</v>
      </c>
      <c r="P7" s="160"/>
      <c r="Q7" s="153"/>
      <c r="R7" s="349"/>
      <c r="S7" s="153"/>
      <c r="T7" s="156" t="s">
        <v>81</v>
      </c>
      <c r="U7" s="156" t="n">
        <v>30060</v>
      </c>
      <c r="V7" s="153"/>
      <c r="W7" s="155"/>
      <c r="X7" s="153"/>
      <c r="Y7" s="153"/>
      <c r="Z7" s="153"/>
      <c r="AA7" s="350"/>
      <c r="AB7" s="152" t="s">
        <v>50</v>
      </c>
      <c r="AC7" s="162"/>
      <c r="AD7" s="118"/>
      <c r="AE7" s="219" t="s">
        <v>51</v>
      </c>
      <c r="AF7" s="346" t="s">
        <v>83</v>
      </c>
      <c r="AG7" s="351" t="s">
        <v>91</v>
      </c>
    </row>
    <row r="8" customFormat="false" ht="11.1" hidden="false" customHeight="true" outlineLevel="0" collapsed="false">
      <c r="A8" s="153"/>
      <c r="B8" s="154"/>
      <c r="C8" s="155"/>
      <c r="D8" s="153"/>
      <c r="E8" s="155"/>
      <c r="F8" s="157"/>
      <c r="G8" s="153"/>
      <c r="H8" s="222"/>
      <c r="I8" s="153"/>
      <c r="J8" s="153"/>
      <c r="K8" s="153"/>
      <c r="L8" s="153"/>
      <c r="M8" s="159"/>
      <c r="N8" s="153"/>
      <c r="O8" s="153"/>
      <c r="P8" s="160"/>
      <c r="Q8" s="153"/>
      <c r="R8" s="349"/>
      <c r="S8" s="153"/>
      <c r="T8" s="156" t="n">
        <v>6577</v>
      </c>
      <c r="U8" s="153"/>
      <c r="V8" s="153"/>
      <c r="W8" s="155"/>
      <c r="X8" s="153"/>
      <c r="Y8" s="153"/>
      <c r="Z8" s="153"/>
      <c r="AA8" s="350"/>
      <c r="AB8" s="118"/>
      <c r="AC8" s="162"/>
      <c r="AD8" s="118"/>
      <c r="AE8" s="352"/>
      <c r="AG8" s="353"/>
    </row>
    <row r="9" customFormat="false" ht="11.1" hidden="false" customHeight="true" outlineLevel="0" collapsed="false">
      <c r="A9" s="111" t="s">
        <v>52</v>
      </c>
      <c r="B9" s="163"/>
      <c r="C9" s="112"/>
      <c r="D9" s="112"/>
      <c r="E9" s="112"/>
      <c r="F9" s="164" t="n">
        <f aca="false">JUN!F46</f>
        <v>31648.6009579027</v>
      </c>
      <c r="G9" s="112" t="n">
        <f aca="false">JUN!G46</f>
        <v>66388</v>
      </c>
      <c r="H9" s="181" t="n">
        <f aca="false">JUN!H46</f>
        <v>1041.43</v>
      </c>
      <c r="I9" s="112" t="n">
        <f aca="false">JUN!I46</f>
        <v>67429.43</v>
      </c>
      <c r="J9" s="112" t="n">
        <f aca="false">JUN!J46</f>
        <v>5504.1187471641</v>
      </c>
      <c r="K9" s="112" t="n">
        <f aca="false">JUN!K46</f>
        <v>72933.5487471641</v>
      </c>
      <c r="L9" s="112" t="n">
        <f aca="false">JUN!L46</f>
        <v>2989.8009579027</v>
      </c>
      <c r="M9" s="165" t="n">
        <f aca="false">JUN!M46</f>
        <v>15029.38</v>
      </c>
      <c r="N9" s="112" t="n">
        <f aca="false">JUN!N46</f>
        <v>20.15</v>
      </c>
      <c r="O9" s="112" t="n">
        <f aca="false">JUN!O46</f>
        <v>2870.233025</v>
      </c>
      <c r="P9" s="166" t="n">
        <f aca="false">JUN!P46</f>
        <v>12138.644475</v>
      </c>
      <c r="Q9" s="112" t="n">
        <f aca="false">JUN!Q46</f>
        <v>12419.8</v>
      </c>
      <c r="R9" s="112" t="n">
        <f aca="false">JUN!R46</f>
        <v>3770.8</v>
      </c>
      <c r="S9" s="112" t="n">
        <f aca="false">JUN!S46</f>
        <v>28261.244475</v>
      </c>
      <c r="T9" s="112" t="n">
        <f aca="false">JUN!T46</f>
        <v>15226.9416124616</v>
      </c>
      <c r="U9" s="112" t="n">
        <f aca="false">JUN!U46</f>
        <v>5700.63</v>
      </c>
      <c r="V9" s="112" t="n">
        <f aca="false">JUN!V46</f>
        <v>1920</v>
      </c>
      <c r="W9" s="112"/>
      <c r="X9" s="112" t="n">
        <f aca="false">JUN!X46</f>
        <v>38770.63</v>
      </c>
      <c r="Y9" s="112" t="n">
        <f aca="false">JUN!Y46</f>
        <v>2514.31778926141</v>
      </c>
      <c r="Z9" s="112" t="n">
        <f aca="false">JUN!Z46</f>
        <v>41284.9477892614</v>
      </c>
      <c r="AA9" s="350"/>
      <c r="AB9" s="117"/>
      <c r="AC9" s="167"/>
      <c r="AD9" s="118"/>
      <c r="AE9" s="352"/>
      <c r="AF9" s="339" t="n">
        <f aca="false">JUN!AF46</f>
        <v>812.806131019988</v>
      </c>
      <c r="AG9" s="242" t="n">
        <f aca="false">JUN!AG46</f>
        <v>65.93</v>
      </c>
    </row>
    <row r="10" s="105" customFormat="true" ht="11.1" hidden="false" customHeight="true" outlineLevel="0" collapsed="false">
      <c r="A10" s="112" t="s">
        <v>53</v>
      </c>
      <c r="B10" s="168" t="n">
        <f aca="false">JUN!B41</f>
        <v>6886.26</v>
      </c>
      <c r="C10" s="112" t="n">
        <f aca="false">JUN!C41</f>
        <v>235760</v>
      </c>
      <c r="D10" s="112" t="n">
        <f aca="false">JUN!D50</f>
        <v>79193</v>
      </c>
      <c r="E10" s="112" t="n">
        <f aca="false">JUN!E50</f>
        <v>83760</v>
      </c>
      <c r="F10" s="164" t="n">
        <f aca="false">JUN!F49</f>
        <v>39925.8885807915</v>
      </c>
      <c r="G10" s="112" t="n">
        <f aca="false">JUN!G49</f>
        <v>73942</v>
      </c>
      <c r="H10" s="181" t="n">
        <f aca="false">JUN!H49</f>
        <v>1324.17</v>
      </c>
      <c r="I10" s="112" t="n">
        <f aca="false">JUN!I49</f>
        <v>75266.17</v>
      </c>
      <c r="J10" s="112" t="n">
        <f aca="false">JUN!J49</f>
        <v>9982.87251827577</v>
      </c>
      <c r="K10" s="112" t="n">
        <f aca="false">JUN!K49</f>
        <v>85249.0425182758</v>
      </c>
      <c r="L10" s="112" t="n">
        <f aca="false">JUN!L49</f>
        <v>6834.03858079152</v>
      </c>
      <c r="M10" s="165" t="n">
        <f aca="false">JUN!M49</f>
        <v>15986.2</v>
      </c>
      <c r="N10" s="112" t="n">
        <f aca="false">JUN!N49</f>
        <v>20.15</v>
      </c>
      <c r="O10" s="112" t="n">
        <f aca="false">JUN!O49</f>
        <v>2870.233025</v>
      </c>
      <c r="P10" s="166" t="n">
        <f aca="false">JUN!P49</f>
        <v>13095.816975</v>
      </c>
      <c r="Q10" s="112" t="n">
        <f aca="false">JUN!Q49</f>
        <v>12481.8</v>
      </c>
      <c r="R10" s="112" t="n">
        <f aca="false">JUN!R49</f>
        <v>3821.8</v>
      </c>
      <c r="S10" s="112" t="n">
        <f aca="false">JUN!S49</f>
        <v>29399.416975</v>
      </c>
      <c r="T10" s="112"/>
      <c r="U10" s="112" t="n">
        <f aca="false">JUN!U49</f>
        <v>5700.63</v>
      </c>
      <c r="V10" s="112" t="n">
        <f aca="false">JUN!V49</f>
        <v>4183.89</v>
      </c>
      <c r="W10" s="112" t="n">
        <f aca="false">JUN!W46</f>
        <v>6321.49231157046</v>
      </c>
      <c r="X10" s="112" t="n">
        <f aca="false">JUN!X49</f>
        <v>42174.32</v>
      </c>
      <c r="Y10" s="112" t="n">
        <f aca="false">JUN!Y49</f>
        <v>3148.83393748424</v>
      </c>
      <c r="Z10" s="112" t="n">
        <f aca="false">JUN!Z49</f>
        <v>45323.1539374843</v>
      </c>
      <c r="AA10" s="354" t="n">
        <f aca="false">JUN!AA49</f>
        <v>8.08</v>
      </c>
      <c r="AB10" s="117"/>
      <c r="AC10" s="167"/>
      <c r="AD10" s="118"/>
      <c r="AE10" s="352"/>
      <c r="AF10" s="339" t="n">
        <f aca="false">JUN!AF49</f>
        <v>812.806131019988</v>
      </c>
      <c r="AG10" s="242"/>
    </row>
    <row r="11" customFormat="false" ht="3" hidden="false" customHeight="true" outlineLevel="0" collapsed="false">
      <c r="A11" s="169"/>
      <c r="B11" s="170"/>
      <c r="C11" s="171"/>
      <c r="D11" s="169"/>
      <c r="E11" s="171"/>
      <c r="F11" s="172"/>
      <c r="G11" s="169"/>
      <c r="H11" s="229"/>
      <c r="I11" s="169"/>
      <c r="J11" s="169"/>
      <c r="K11" s="169"/>
      <c r="L11" s="169"/>
      <c r="M11" s="174"/>
      <c r="N11" s="169"/>
      <c r="O11" s="169"/>
      <c r="P11" s="175"/>
      <c r="Q11" s="169"/>
      <c r="R11" s="169"/>
      <c r="S11" s="169"/>
      <c r="T11" s="171"/>
      <c r="U11" s="169"/>
      <c r="V11" s="169"/>
      <c r="W11" s="171"/>
      <c r="X11" s="169"/>
      <c r="Y11" s="169"/>
      <c r="Z11" s="169"/>
      <c r="AA11" s="355"/>
      <c r="AB11" s="177"/>
      <c r="AC11" s="178"/>
      <c r="AD11" s="179"/>
      <c r="AE11" s="226"/>
      <c r="AF11" s="356"/>
      <c r="AG11" s="226"/>
    </row>
    <row r="12" customFormat="false" ht="11.1" hidden="false" customHeight="true" outlineLevel="0" collapsed="false">
      <c r="A12" s="118" t="n">
        <v>1</v>
      </c>
      <c r="B12" s="168" t="n">
        <v>6885.95</v>
      </c>
      <c r="C12" s="112" t="n">
        <v>234751</v>
      </c>
      <c r="D12" s="117" t="n">
        <f aca="false">C12-C10</f>
        <v>-1009</v>
      </c>
      <c r="E12" s="112" t="n">
        <f aca="false">C12-152000</f>
        <v>82751</v>
      </c>
      <c r="F12" s="180" t="n">
        <f aca="false">D12/$D$2</f>
        <v>-508.696748172422</v>
      </c>
      <c r="G12" s="111" t="n">
        <v>152</v>
      </c>
      <c r="H12" s="181" t="n">
        <v>0</v>
      </c>
      <c r="I12" s="111" t="n">
        <f aca="false">G12+H12</f>
        <v>152</v>
      </c>
      <c r="J12" s="181" t="n">
        <f aca="false">IF(L12&gt;0,L12,0)</f>
        <v>0</v>
      </c>
      <c r="K12" s="111" t="n">
        <f aca="false">I12+J12</f>
        <v>152</v>
      </c>
      <c r="L12" s="111" t="n">
        <f aca="false">F12-(I12-X12)</f>
        <v>-64.5967481724225</v>
      </c>
      <c r="M12" s="182" t="n">
        <v>202</v>
      </c>
      <c r="N12" s="111" t="n">
        <v>0</v>
      </c>
      <c r="O12" s="111" t="n">
        <f aca="false">22.88*1.05</f>
        <v>24.024</v>
      </c>
      <c r="P12" s="90" t="n">
        <f aca="false">M12-(N12+O12)</f>
        <v>177.976</v>
      </c>
      <c r="Q12" s="111" t="n">
        <v>42</v>
      </c>
      <c r="R12" s="111" t="n">
        <v>70</v>
      </c>
      <c r="S12" s="111" t="n">
        <f aca="false">SUM(P12:R12)</f>
        <v>289.976</v>
      </c>
      <c r="T12" s="112" t="n">
        <f aca="false">T9+AE12-(AF12/1.9835)+AG12</f>
        <v>15097.023745996</v>
      </c>
      <c r="U12" s="111" t="n">
        <v>243.1</v>
      </c>
      <c r="V12" s="235" t="n">
        <v>39</v>
      </c>
      <c r="W12" s="236" t="n">
        <f aca="false">W10-V12</f>
        <v>6282.49231157046</v>
      </c>
      <c r="X12" s="6" t="n">
        <f aca="false">N12+O12+S12+U12+V12</f>
        <v>596.1</v>
      </c>
      <c r="Y12" s="111" t="n">
        <f aca="false">IF(L12&lt;0,L12*-1,0)</f>
        <v>64.5967481724225</v>
      </c>
      <c r="Z12" s="111" t="n">
        <f aca="false">X12+Y12</f>
        <v>660.696748172423</v>
      </c>
      <c r="AA12" s="350" t="n">
        <v>0</v>
      </c>
      <c r="AB12" s="117" t="n">
        <v>88</v>
      </c>
      <c r="AC12" s="167" t="n">
        <v>54</v>
      </c>
      <c r="AD12" s="118" t="n">
        <v>0</v>
      </c>
      <c r="AE12" s="87" t="n">
        <f aca="false">(I12-8-2.7)-(S12-8)</f>
        <v>-140.676</v>
      </c>
      <c r="AF12" s="339" t="n">
        <f aca="false">23.5*(T9*1.9835-S12*1.9835)/E12</f>
        <v>8.41374213446922</v>
      </c>
      <c r="AG12" s="242" t="n">
        <v>15</v>
      </c>
      <c r="AH12" s="0"/>
      <c r="AI12" s="0"/>
      <c r="AJ12" s="0"/>
      <c r="AK12" s="0"/>
      <c r="AL12" s="0"/>
      <c r="AM12" s="0"/>
      <c r="AN12" s="0"/>
      <c r="AO12" s="0"/>
      <c r="AP12" s="0"/>
      <c r="AQ12" s="0"/>
      <c r="AR12" s="0"/>
      <c r="AS12" s="0"/>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c r="BY12" s="0"/>
      <c r="BZ12" s="0"/>
      <c r="CA12" s="0"/>
      <c r="CB12" s="0"/>
      <c r="CC12" s="0"/>
      <c r="CD12" s="0"/>
      <c r="CE12" s="0"/>
      <c r="CF12" s="0"/>
      <c r="CG12" s="0"/>
      <c r="CH12" s="0"/>
      <c r="CI12" s="0"/>
      <c r="CJ12" s="0"/>
      <c r="CK12" s="0"/>
      <c r="CL12" s="0"/>
      <c r="CM12" s="0"/>
      <c r="CN12" s="0"/>
      <c r="CO12" s="0"/>
      <c r="CP12" s="0"/>
      <c r="CQ12" s="0"/>
      <c r="CR12" s="0"/>
      <c r="CS12" s="0"/>
      <c r="CT12" s="0"/>
      <c r="CU12" s="0"/>
      <c r="CV12" s="0"/>
      <c r="CW12" s="0"/>
      <c r="CX12" s="0"/>
      <c r="CY12" s="0"/>
      <c r="CZ12" s="0"/>
      <c r="DA12" s="0"/>
      <c r="DB12" s="0"/>
      <c r="DC12" s="0"/>
      <c r="DD12" s="0"/>
      <c r="DE12" s="0"/>
      <c r="DF12" s="0"/>
      <c r="DG12" s="0"/>
      <c r="DH12" s="0"/>
      <c r="DI12" s="0"/>
      <c r="DJ12" s="0"/>
      <c r="DK12" s="0"/>
      <c r="DL12" s="0"/>
      <c r="DM12" s="0"/>
      <c r="DN12" s="0"/>
      <c r="DO12" s="0"/>
      <c r="DP12" s="0"/>
      <c r="DQ12" s="0"/>
      <c r="DR12" s="0"/>
      <c r="DS12" s="0"/>
      <c r="DT12" s="0"/>
      <c r="DU12" s="0"/>
      <c r="DV12" s="0"/>
      <c r="DW12" s="0"/>
      <c r="DX12" s="0"/>
      <c r="DY12" s="0"/>
      <c r="DZ12" s="0"/>
      <c r="EA12" s="0"/>
      <c r="EB12" s="0"/>
      <c r="EC12" s="0"/>
      <c r="ED12" s="0"/>
      <c r="EE12" s="0"/>
      <c r="EF12" s="0"/>
      <c r="EG12" s="0"/>
      <c r="EH12" s="0"/>
      <c r="EI12" s="0"/>
      <c r="EJ12" s="0"/>
      <c r="EK12" s="0"/>
      <c r="EL12" s="0"/>
      <c r="EM12" s="0"/>
      <c r="EN12" s="0"/>
      <c r="EO12" s="0"/>
      <c r="EP12" s="0"/>
      <c r="EQ12" s="0"/>
      <c r="ER12" s="0"/>
      <c r="ES12" s="0"/>
      <c r="ET12" s="0"/>
      <c r="EU12" s="0"/>
      <c r="EV12" s="0"/>
      <c r="EW12" s="0"/>
      <c r="EX12" s="0"/>
      <c r="EY12" s="0"/>
      <c r="EZ12" s="0"/>
      <c r="FA12" s="0"/>
      <c r="FB12" s="0"/>
      <c r="FC12" s="0"/>
      <c r="FD12" s="0"/>
      <c r="FE12" s="0"/>
      <c r="FF12" s="0"/>
      <c r="FG12" s="0"/>
      <c r="FH12" s="0"/>
      <c r="FI12" s="0"/>
      <c r="FJ12" s="0"/>
      <c r="FK12" s="0"/>
      <c r="FL12" s="0"/>
      <c r="FM12" s="0"/>
      <c r="FN12" s="0"/>
      <c r="FO12" s="0"/>
      <c r="FP12" s="0"/>
      <c r="FQ12" s="0"/>
      <c r="FR12" s="0"/>
      <c r="FS12" s="0"/>
      <c r="FT12" s="0"/>
      <c r="FU12" s="0"/>
      <c r="FV12" s="0"/>
      <c r="FW12" s="0"/>
      <c r="FX12" s="0"/>
      <c r="FY12" s="0"/>
      <c r="FZ12" s="0"/>
      <c r="GA12" s="0"/>
      <c r="GB12" s="0"/>
      <c r="GC12" s="0"/>
      <c r="GD12" s="0"/>
      <c r="GE12" s="0"/>
      <c r="GF12" s="0"/>
      <c r="GG12" s="0"/>
      <c r="GH12" s="0"/>
      <c r="GI12" s="0"/>
      <c r="GJ12" s="0"/>
      <c r="GK12" s="0"/>
      <c r="GL12" s="0"/>
      <c r="GM12" s="0"/>
      <c r="GN12" s="0"/>
      <c r="GO12" s="0"/>
      <c r="GP12" s="0"/>
      <c r="GQ12" s="0"/>
      <c r="GR12" s="0"/>
      <c r="GS12" s="0"/>
      <c r="GT12" s="0"/>
      <c r="GU12" s="0"/>
      <c r="GV12" s="0"/>
      <c r="GW12" s="0"/>
      <c r="GX12" s="0"/>
      <c r="GY12" s="0"/>
      <c r="GZ12" s="0"/>
      <c r="HA12" s="0"/>
      <c r="HB12" s="0"/>
      <c r="HC12" s="0"/>
      <c r="HD12" s="0"/>
      <c r="HE12" s="0"/>
      <c r="HF12" s="0"/>
      <c r="HG12" s="0"/>
      <c r="HH12" s="0"/>
      <c r="HI12" s="0"/>
      <c r="HJ12" s="0"/>
      <c r="HK12" s="0"/>
      <c r="HL12" s="0"/>
      <c r="HM12" s="0"/>
      <c r="HN12" s="0"/>
      <c r="HO12" s="0"/>
      <c r="HP12" s="0"/>
      <c r="HQ12" s="0"/>
      <c r="HR12" s="0"/>
      <c r="HS12" s="0"/>
      <c r="HT12" s="0"/>
      <c r="HU12" s="0"/>
      <c r="HV12" s="0"/>
      <c r="HW12" s="0"/>
      <c r="HX12" s="0"/>
      <c r="HY12" s="0"/>
      <c r="HZ12" s="0"/>
      <c r="IA12" s="0"/>
      <c r="IB12" s="0"/>
      <c r="IC12" s="0"/>
      <c r="ID12" s="0"/>
      <c r="IE12" s="0"/>
      <c r="IF12" s="0"/>
      <c r="IG12" s="0"/>
      <c r="IH12" s="0"/>
      <c r="II12" s="0"/>
      <c r="IJ12" s="0"/>
      <c r="IK12" s="0"/>
      <c r="IL12" s="0"/>
      <c r="IM12" s="0"/>
      <c r="IN12" s="0"/>
      <c r="IO12" s="0"/>
      <c r="IP12" s="0"/>
      <c r="IQ12" s="0"/>
      <c r="IR12" s="0"/>
      <c r="IS12" s="0"/>
      <c r="IT12" s="0"/>
      <c r="IU12" s="0"/>
      <c r="IV12" s="0"/>
      <c r="IW12" s="0"/>
    </row>
    <row r="13" customFormat="false" ht="11.1" hidden="false" customHeight="true" outlineLevel="0" collapsed="false">
      <c r="A13" s="118" t="n">
        <f aca="false">A12+1</f>
        <v>2</v>
      </c>
      <c r="B13" s="168" t="n">
        <v>6885.64</v>
      </c>
      <c r="C13" s="112" t="n">
        <v>233752</v>
      </c>
      <c r="D13" s="117" t="n">
        <f aca="false">C13-C12</f>
        <v>-999</v>
      </c>
      <c r="E13" s="112" t="n">
        <f aca="false">C13-152000</f>
        <v>81752</v>
      </c>
      <c r="F13" s="180" t="n">
        <f aca="false">D13/$D$2</f>
        <v>-503.655155028989</v>
      </c>
      <c r="G13" s="111" t="n">
        <v>148</v>
      </c>
      <c r="H13" s="181" t="n">
        <v>0</v>
      </c>
      <c r="I13" s="111" t="n">
        <f aca="false">G13+H13</f>
        <v>148</v>
      </c>
      <c r="J13" s="181" t="n">
        <f aca="false">IF(L13&gt;0,L13,0)</f>
        <v>0</v>
      </c>
      <c r="K13" s="111" t="n">
        <f aca="false">I13+J13</f>
        <v>148</v>
      </c>
      <c r="L13" s="111" t="n">
        <f aca="false">F13-(I13-X13)</f>
        <v>-55.5951550289892</v>
      </c>
      <c r="M13" s="182" t="n">
        <v>208</v>
      </c>
      <c r="N13" s="111" t="n">
        <v>0</v>
      </c>
      <c r="O13" s="111" t="n">
        <f aca="false">32.44*1.05</f>
        <v>34.062</v>
      </c>
      <c r="P13" s="90" t="n">
        <f aca="false">M13-(N13+O13)</f>
        <v>173.938</v>
      </c>
      <c r="Q13" s="111" t="n">
        <v>42</v>
      </c>
      <c r="R13" s="111" t="n">
        <v>71</v>
      </c>
      <c r="S13" s="111" t="n">
        <f aca="false">SUM(P13:R13)</f>
        <v>286.938</v>
      </c>
      <c r="T13" s="112" t="n">
        <f aca="false">T12+AE13-(AF13/1.9835)+AG13</f>
        <v>14966.1285166312</v>
      </c>
      <c r="U13" s="111" t="n">
        <v>236.06</v>
      </c>
      <c r="V13" s="235" t="n">
        <v>39</v>
      </c>
      <c r="W13" s="236" t="n">
        <f aca="false">W12-V13</f>
        <v>6243.49231157046</v>
      </c>
      <c r="X13" s="6" t="n">
        <f aca="false">N13+O13+S13+U13+V13</f>
        <v>596.06</v>
      </c>
      <c r="Y13" s="111" t="n">
        <f aca="false">IF(L13&lt;0,L13*-1,0)</f>
        <v>55.5951550289892</v>
      </c>
      <c r="Z13" s="111" t="n">
        <f aca="false">X13+Y13</f>
        <v>651.655155028989</v>
      </c>
      <c r="AA13" s="350" t="n">
        <v>0</v>
      </c>
      <c r="AB13" s="117" t="n">
        <v>87</v>
      </c>
      <c r="AC13" s="167" t="n">
        <v>51</v>
      </c>
      <c r="AD13" s="118" t="n">
        <v>0</v>
      </c>
      <c r="AE13" s="87" t="n">
        <f aca="false">(I13-8-2.7)-(S13-8)</f>
        <v>-141.638</v>
      </c>
      <c r="AF13" s="339" t="n">
        <f aca="false">23.5*(T12*1.9835-S13*1.9835)/E13</f>
        <v>8.44421444507538</v>
      </c>
      <c r="AG13" s="242" t="n">
        <v>15</v>
      </c>
      <c r="AH13" s="0"/>
      <c r="AI13" s="0"/>
      <c r="AJ13" s="0"/>
      <c r="AK13" s="0"/>
      <c r="AL13" s="0"/>
      <c r="AM13" s="0"/>
      <c r="AN13" s="0"/>
      <c r="AO13" s="0"/>
      <c r="AP13" s="0"/>
      <c r="AQ13" s="0"/>
      <c r="AR13" s="0"/>
      <c r="AS13" s="0"/>
      <c r="AT13" s="0"/>
      <c r="AU13" s="0"/>
      <c r="AV13" s="0"/>
      <c r="AW13" s="0"/>
      <c r="AX13" s="0"/>
      <c r="AY13" s="0"/>
      <c r="AZ13" s="0"/>
      <c r="BA13" s="0"/>
      <c r="BB13" s="0"/>
      <c r="BC13" s="0"/>
      <c r="BD13" s="0"/>
      <c r="BE13" s="0"/>
      <c r="BF13" s="0"/>
      <c r="BG13" s="0"/>
      <c r="BH13" s="0"/>
      <c r="BI13" s="0"/>
      <c r="BJ13" s="0"/>
      <c r="BK13" s="0"/>
      <c r="BL13" s="0"/>
      <c r="BM13" s="0"/>
      <c r="BN13" s="0"/>
      <c r="BO13" s="0"/>
      <c r="BP13" s="0"/>
      <c r="BQ13" s="0"/>
      <c r="BR13" s="0"/>
      <c r="BS13" s="0"/>
      <c r="BT13" s="0"/>
      <c r="BU13" s="0"/>
      <c r="BV13" s="0"/>
      <c r="BW13" s="0"/>
      <c r="BX13" s="0"/>
      <c r="BY13" s="0"/>
      <c r="BZ13" s="0"/>
      <c r="CA13" s="0"/>
      <c r="CB13" s="0"/>
      <c r="CC13" s="0"/>
      <c r="CD13" s="0"/>
      <c r="CE13" s="0"/>
      <c r="CF13" s="0"/>
      <c r="CG13" s="0"/>
      <c r="CH13" s="0"/>
      <c r="CI13" s="0"/>
      <c r="CJ13" s="0"/>
      <c r="CK13" s="0"/>
      <c r="CL13" s="0"/>
      <c r="CM13" s="0"/>
      <c r="CN13" s="0"/>
      <c r="CO13" s="0"/>
      <c r="CP13" s="0"/>
      <c r="CQ13" s="0"/>
      <c r="CR13" s="0"/>
      <c r="CS13" s="0"/>
      <c r="CT13" s="0"/>
      <c r="CU13" s="0"/>
      <c r="CV13" s="0"/>
      <c r="CW13" s="0"/>
      <c r="CX13" s="0"/>
      <c r="CY13" s="0"/>
      <c r="CZ13" s="0"/>
      <c r="DA13" s="0"/>
      <c r="DB13" s="0"/>
      <c r="DC13" s="0"/>
      <c r="DD13" s="0"/>
      <c r="DE13" s="0"/>
      <c r="DF13" s="0"/>
      <c r="DG13" s="0"/>
      <c r="DH13" s="0"/>
      <c r="DI13" s="0"/>
      <c r="DJ13" s="0"/>
      <c r="DK13" s="0"/>
      <c r="DL13" s="0"/>
      <c r="DM13" s="0"/>
      <c r="DN13" s="0"/>
      <c r="DO13" s="0"/>
      <c r="DP13" s="0"/>
      <c r="DQ13" s="0"/>
      <c r="DR13" s="0"/>
      <c r="DS13" s="0"/>
      <c r="DT13" s="0"/>
      <c r="DU13" s="0"/>
      <c r="DV13" s="0"/>
      <c r="DW13" s="0"/>
      <c r="DX13" s="0"/>
      <c r="DY13" s="0"/>
      <c r="DZ13" s="0"/>
      <c r="EA13" s="0"/>
      <c r="EB13" s="0"/>
      <c r="EC13" s="0"/>
      <c r="ED13" s="0"/>
      <c r="EE13" s="0"/>
      <c r="EF13" s="0"/>
      <c r="EG13" s="0"/>
      <c r="EH13" s="0"/>
      <c r="EI13" s="0"/>
      <c r="EJ13" s="0"/>
      <c r="EK13" s="0"/>
      <c r="EL13" s="0"/>
      <c r="EM13" s="0"/>
      <c r="EN13" s="0"/>
      <c r="EO13" s="0"/>
      <c r="EP13" s="0"/>
      <c r="EQ13" s="0"/>
      <c r="ER13" s="0"/>
      <c r="ES13" s="0"/>
      <c r="ET13" s="0"/>
      <c r="EU13" s="0"/>
      <c r="EV13" s="0"/>
      <c r="EW13" s="0"/>
      <c r="EX13" s="0"/>
      <c r="EY13" s="0"/>
      <c r="EZ13" s="0"/>
      <c r="FA13" s="0"/>
      <c r="FB13" s="0"/>
      <c r="FC13" s="0"/>
      <c r="FD13" s="0"/>
      <c r="FE13" s="0"/>
      <c r="FF13" s="0"/>
      <c r="FG13" s="0"/>
      <c r="FH13" s="0"/>
      <c r="FI13" s="0"/>
      <c r="FJ13" s="0"/>
      <c r="FK13" s="0"/>
      <c r="FL13" s="0"/>
      <c r="FM13" s="0"/>
      <c r="FN13" s="0"/>
      <c r="FO13" s="0"/>
      <c r="FP13" s="0"/>
      <c r="FQ13" s="0"/>
      <c r="FR13" s="0"/>
      <c r="FS13" s="0"/>
      <c r="FT13" s="0"/>
      <c r="FU13" s="0"/>
      <c r="FV13" s="0"/>
      <c r="FW13" s="0"/>
      <c r="FX13" s="0"/>
      <c r="FY13" s="0"/>
      <c r="FZ13" s="0"/>
      <c r="GA13" s="0"/>
      <c r="GB13" s="0"/>
      <c r="GC13" s="0"/>
      <c r="GD13" s="0"/>
      <c r="GE13" s="0"/>
      <c r="GF13" s="0"/>
      <c r="GG13" s="0"/>
      <c r="GH13" s="0"/>
      <c r="GI13" s="0"/>
      <c r="GJ13" s="0"/>
      <c r="GK13" s="0"/>
      <c r="GL13" s="0"/>
      <c r="GM13" s="0"/>
      <c r="GN13" s="0"/>
      <c r="GO13" s="0"/>
      <c r="GP13" s="0"/>
      <c r="GQ13" s="0"/>
      <c r="GR13" s="0"/>
      <c r="GS13" s="0"/>
      <c r="GT13" s="0"/>
      <c r="GU13" s="0"/>
      <c r="GV13" s="0"/>
      <c r="GW13" s="0"/>
      <c r="GX13" s="0"/>
      <c r="GY13" s="0"/>
      <c r="GZ13" s="0"/>
      <c r="HA13" s="0"/>
      <c r="HB13" s="0"/>
      <c r="HC13" s="0"/>
      <c r="HD13" s="0"/>
      <c r="HE13" s="0"/>
      <c r="HF13" s="0"/>
      <c r="HG13" s="0"/>
      <c r="HH13" s="0"/>
      <c r="HI13" s="0"/>
      <c r="HJ13" s="0"/>
      <c r="HK13" s="0"/>
      <c r="HL13" s="0"/>
      <c r="HM13" s="0"/>
      <c r="HN13" s="0"/>
      <c r="HO13" s="0"/>
      <c r="HP13" s="0"/>
      <c r="HQ13" s="0"/>
      <c r="HR13" s="0"/>
      <c r="HS13" s="0"/>
      <c r="HT13" s="0"/>
      <c r="HU13" s="0"/>
      <c r="HV13" s="0"/>
      <c r="HW13" s="0"/>
      <c r="HX13" s="0"/>
      <c r="HY13" s="0"/>
      <c r="HZ13" s="0"/>
      <c r="IA13" s="0"/>
      <c r="IB13" s="0"/>
      <c r="IC13" s="0"/>
      <c r="ID13" s="0"/>
      <c r="IE13" s="0"/>
      <c r="IF13" s="0"/>
      <c r="IG13" s="0"/>
      <c r="IH13" s="0"/>
      <c r="II13" s="0"/>
      <c r="IJ13" s="0"/>
      <c r="IK13" s="0"/>
      <c r="IL13" s="0"/>
      <c r="IM13" s="0"/>
      <c r="IN13" s="0"/>
      <c r="IO13" s="0"/>
      <c r="IP13" s="0"/>
      <c r="IQ13" s="0"/>
      <c r="IR13" s="0"/>
      <c r="IS13" s="0"/>
      <c r="IT13" s="0"/>
      <c r="IU13" s="0"/>
      <c r="IV13" s="0"/>
      <c r="IW13" s="0"/>
    </row>
    <row r="14" customFormat="false" ht="11.1" hidden="false" customHeight="true" outlineLevel="0" collapsed="false">
      <c r="A14" s="118" t="n">
        <f aca="false">A13+1</f>
        <v>3</v>
      </c>
      <c r="B14" s="168" t="n">
        <v>6885.34</v>
      </c>
      <c r="C14" s="112" t="n">
        <v>232785</v>
      </c>
      <c r="D14" s="117" t="n">
        <f aca="false">C14-C13</f>
        <v>-967</v>
      </c>
      <c r="E14" s="112" t="n">
        <f aca="false">C14-152000</f>
        <v>80785</v>
      </c>
      <c r="F14" s="180" t="n">
        <f aca="false">D14/$D$2</f>
        <v>-487.522056970002</v>
      </c>
      <c r="G14" s="111" t="n">
        <v>150</v>
      </c>
      <c r="H14" s="181" t="n">
        <v>0</v>
      </c>
      <c r="I14" s="111" t="n">
        <f aca="false">G14+H14</f>
        <v>150</v>
      </c>
      <c r="J14" s="181" t="n">
        <f aca="false">IF(L14&gt;0,L14,0)</f>
        <v>0</v>
      </c>
      <c r="K14" s="111" t="n">
        <f aca="false">I14+J14</f>
        <v>150</v>
      </c>
      <c r="L14" s="111" t="n">
        <f aca="false">F14-(I14-X14)</f>
        <v>-46.4220569700025</v>
      </c>
      <c r="M14" s="182" t="n">
        <v>209</v>
      </c>
      <c r="N14" s="111" t="n">
        <v>0</v>
      </c>
      <c r="O14" s="111" t="n">
        <f aca="false">28.31*1.05</f>
        <v>29.7255</v>
      </c>
      <c r="P14" s="90" t="n">
        <f aca="false">M14-(N14+O14)</f>
        <v>179.2745</v>
      </c>
      <c r="Q14" s="111" t="n">
        <v>42</v>
      </c>
      <c r="R14" s="111" t="n">
        <v>75</v>
      </c>
      <c r="S14" s="111" t="n">
        <f aca="false">SUM(P14:R14)</f>
        <v>296.2745</v>
      </c>
      <c r="T14" s="112" t="n">
        <f aca="false">T13+AE14-(AF14/1.9835)+AG14</f>
        <v>14827.8866208351</v>
      </c>
      <c r="U14" s="111" t="n">
        <v>226.1</v>
      </c>
      <c r="V14" s="235" t="n">
        <v>39</v>
      </c>
      <c r="W14" s="236" t="n">
        <f aca="false">W13-V14</f>
        <v>6204.49231157046</v>
      </c>
      <c r="X14" s="6" t="n">
        <f aca="false">N14+O14+S14+U14+V14</f>
        <v>591.1</v>
      </c>
      <c r="Y14" s="111" t="n">
        <f aca="false">IF(L14&lt;0,L14*-1,0)</f>
        <v>46.4220569700025</v>
      </c>
      <c r="Z14" s="111" t="n">
        <f aca="false">X14+Y14</f>
        <v>637.522056970002</v>
      </c>
      <c r="AA14" s="350" t="n">
        <v>0</v>
      </c>
      <c r="AB14" s="117" t="n">
        <v>89</v>
      </c>
      <c r="AC14" s="167" t="n">
        <v>52</v>
      </c>
      <c r="AD14" s="118" t="n">
        <v>0</v>
      </c>
      <c r="AE14" s="87" t="n">
        <f aca="false">(I14-8-2.7)-(S14-8)</f>
        <v>-148.9745</v>
      </c>
      <c r="AF14" s="339" t="n">
        <f aca="false">23.5*(T13*1.9835-S14*1.9835)/E14</f>
        <v>8.46437956163543</v>
      </c>
      <c r="AG14" s="242" t="n">
        <v>15</v>
      </c>
      <c r="AH14" s="0"/>
      <c r="AI14" s="0"/>
      <c r="AJ14" s="0"/>
      <c r="AK14" s="0"/>
      <c r="AL14" s="0"/>
      <c r="AM14" s="0"/>
      <c r="AN14" s="0"/>
      <c r="AO14" s="0"/>
      <c r="AP14" s="0"/>
      <c r="AQ14" s="0"/>
      <c r="AR14" s="0"/>
      <c r="AS14" s="0"/>
      <c r="AT14" s="0"/>
      <c r="AU14" s="0"/>
      <c r="AV14" s="0"/>
      <c r="AW14" s="0"/>
      <c r="AX14" s="0"/>
      <c r="AY14" s="0"/>
      <c r="AZ14" s="0"/>
      <c r="BA14" s="0"/>
      <c r="BB14" s="0"/>
      <c r="BC14" s="0"/>
      <c r="BD14" s="0"/>
      <c r="BE14" s="0"/>
      <c r="BF14" s="0"/>
      <c r="BG14" s="0"/>
      <c r="BH14" s="0"/>
      <c r="BI14" s="0"/>
      <c r="BJ14" s="0"/>
      <c r="BK14" s="0"/>
      <c r="BL14" s="0"/>
      <c r="BM14" s="0"/>
      <c r="BN14" s="0"/>
      <c r="BO14" s="0"/>
      <c r="BP14" s="0"/>
      <c r="BQ14" s="0"/>
      <c r="BR14" s="0"/>
      <c r="BS14" s="0"/>
      <c r="BT14" s="0"/>
      <c r="BU14" s="0"/>
      <c r="BV14" s="0"/>
      <c r="BW14" s="0"/>
      <c r="BX14" s="0"/>
      <c r="BY14" s="0"/>
      <c r="BZ14" s="0"/>
      <c r="CA14" s="0"/>
      <c r="CB14" s="0"/>
      <c r="CC14" s="0"/>
      <c r="CD14" s="0"/>
      <c r="CE14" s="0"/>
      <c r="CF14" s="0"/>
      <c r="CG14" s="0"/>
      <c r="CH14" s="0"/>
      <c r="CI14" s="0"/>
      <c r="CJ14" s="0"/>
      <c r="CK14" s="0"/>
      <c r="CL14" s="0"/>
      <c r="CM14" s="0"/>
      <c r="CN14" s="0"/>
      <c r="CO14" s="0"/>
      <c r="CP14" s="0"/>
      <c r="CQ14" s="0"/>
      <c r="CR14" s="0"/>
      <c r="CS14" s="0"/>
      <c r="CT14" s="0"/>
      <c r="CU14" s="0"/>
      <c r="CV14" s="0"/>
      <c r="CW14" s="0"/>
      <c r="CX14" s="0"/>
      <c r="CY14" s="0"/>
      <c r="CZ14" s="0"/>
      <c r="DA14" s="0"/>
      <c r="DB14" s="0"/>
      <c r="DC14" s="0"/>
      <c r="DD14" s="0"/>
      <c r="DE14" s="0"/>
      <c r="DF14" s="0"/>
      <c r="DG14" s="0"/>
      <c r="DH14" s="0"/>
      <c r="DI14" s="0"/>
      <c r="DJ14" s="0"/>
      <c r="DK14" s="0"/>
      <c r="DL14" s="0"/>
      <c r="DM14" s="0"/>
      <c r="DN14" s="0"/>
      <c r="DO14" s="0"/>
      <c r="DP14" s="0"/>
      <c r="DQ14" s="0"/>
      <c r="DR14" s="0"/>
      <c r="DS14" s="0"/>
      <c r="DT14" s="0"/>
      <c r="DU14" s="0"/>
      <c r="DV14" s="0"/>
      <c r="DW14" s="0"/>
      <c r="DX14" s="0"/>
      <c r="DY14" s="0"/>
      <c r="DZ14" s="0"/>
      <c r="EA14" s="0"/>
      <c r="EB14" s="0"/>
      <c r="EC14" s="0"/>
      <c r="ED14" s="0"/>
      <c r="EE14" s="0"/>
      <c r="EF14" s="0"/>
      <c r="EG14" s="0"/>
      <c r="EH14" s="0"/>
      <c r="EI14" s="0"/>
      <c r="EJ14" s="0"/>
      <c r="EK14" s="0"/>
      <c r="EL14" s="0"/>
      <c r="EM14" s="0"/>
      <c r="EN14" s="0"/>
      <c r="EO14" s="0"/>
      <c r="EP14" s="0"/>
      <c r="EQ14" s="0"/>
      <c r="ER14" s="0"/>
      <c r="ES14" s="0"/>
      <c r="ET14" s="0"/>
      <c r="EU14" s="0"/>
      <c r="EV14" s="0"/>
      <c r="EW14" s="0"/>
      <c r="EX14" s="0"/>
      <c r="EY14" s="0"/>
      <c r="EZ14" s="0"/>
      <c r="FA14" s="0"/>
      <c r="FB14" s="0"/>
      <c r="FC14" s="0"/>
      <c r="FD14" s="0"/>
      <c r="FE14" s="0"/>
      <c r="FF14" s="0"/>
      <c r="FG14" s="0"/>
      <c r="FH14" s="0"/>
      <c r="FI14" s="0"/>
      <c r="FJ14" s="0"/>
      <c r="FK14" s="0"/>
      <c r="FL14" s="0"/>
      <c r="FM14" s="0"/>
      <c r="FN14" s="0"/>
      <c r="FO14" s="0"/>
      <c r="FP14" s="0"/>
      <c r="FQ14" s="0"/>
      <c r="FR14" s="0"/>
      <c r="FS14" s="0"/>
      <c r="FT14" s="0"/>
      <c r="FU14" s="0"/>
      <c r="FV14" s="0"/>
      <c r="FW14" s="0"/>
      <c r="FX14" s="0"/>
      <c r="FY14" s="0"/>
      <c r="FZ14" s="0"/>
      <c r="GA14" s="0"/>
      <c r="GB14" s="0"/>
      <c r="GC14" s="0"/>
      <c r="GD14" s="0"/>
      <c r="GE14" s="0"/>
      <c r="GF14" s="0"/>
      <c r="GG14" s="0"/>
      <c r="GH14" s="0"/>
      <c r="GI14" s="0"/>
      <c r="GJ14" s="0"/>
      <c r="GK14" s="0"/>
      <c r="GL14" s="0"/>
      <c r="GM14" s="0"/>
      <c r="GN14" s="0"/>
      <c r="GO14" s="0"/>
      <c r="GP14" s="0"/>
      <c r="GQ14" s="0"/>
      <c r="GR14" s="0"/>
      <c r="GS14" s="0"/>
      <c r="GT14" s="0"/>
      <c r="GU14" s="0"/>
      <c r="GV14" s="0"/>
      <c r="GW14" s="0"/>
      <c r="GX14" s="0"/>
      <c r="GY14" s="0"/>
      <c r="GZ14" s="0"/>
      <c r="HA14" s="0"/>
      <c r="HB14" s="0"/>
      <c r="HC14" s="0"/>
      <c r="HD14" s="0"/>
      <c r="HE14" s="0"/>
      <c r="HF14" s="0"/>
      <c r="HG14" s="0"/>
      <c r="HH14" s="0"/>
      <c r="HI14" s="0"/>
      <c r="HJ14" s="0"/>
      <c r="HK14" s="0"/>
      <c r="HL14" s="0"/>
      <c r="HM14" s="0"/>
      <c r="HN14" s="0"/>
      <c r="HO14" s="0"/>
      <c r="HP14" s="0"/>
      <c r="HQ14" s="0"/>
      <c r="HR14" s="0"/>
      <c r="HS14" s="0"/>
      <c r="HT14" s="0"/>
      <c r="HU14" s="0"/>
      <c r="HV14" s="0"/>
      <c r="HW14" s="0"/>
      <c r="HX14" s="0"/>
      <c r="HY14" s="0"/>
      <c r="HZ14" s="0"/>
      <c r="IA14" s="0"/>
      <c r="IB14" s="0"/>
      <c r="IC14" s="0"/>
      <c r="ID14" s="0"/>
      <c r="IE14" s="0"/>
      <c r="IF14" s="0"/>
      <c r="IG14" s="0"/>
      <c r="IH14" s="0"/>
      <c r="II14" s="0"/>
      <c r="IJ14" s="0"/>
      <c r="IK14" s="0"/>
      <c r="IL14" s="0"/>
      <c r="IM14" s="0"/>
      <c r="IN14" s="0"/>
      <c r="IO14" s="0"/>
      <c r="IP14" s="0"/>
      <c r="IQ14" s="0"/>
      <c r="IR14" s="0"/>
      <c r="IS14" s="0"/>
      <c r="IT14" s="0"/>
      <c r="IU14" s="0"/>
      <c r="IV14" s="0"/>
      <c r="IW14" s="0"/>
    </row>
    <row r="15" customFormat="false" ht="11.1" hidden="false" customHeight="true" outlineLevel="0" collapsed="false">
      <c r="A15" s="118" t="n">
        <f aca="false">A14+1</f>
        <v>4</v>
      </c>
      <c r="B15" s="168" t="n">
        <v>6885.01</v>
      </c>
      <c r="C15" s="112" t="n">
        <v>231722</v>
      </c>
      <c r="D15" s="117" t="n">
        <f aca="false">C15-C14</f>
        <v>-1063</v>
      </c>
      <c r="E15" s="112" t="n">
        <f aca="false">C15-152000</f>
        <v>79722</v>
      </c>
      <c r="F15" s="180" t="n">
        <f aca="false">D15/$D$2</f>
        <v>-535.921351146962</v>
      </c>
      <c r="G15" s="111" t="n">
        <v>143</v>
      </c>
      <c r="H15" s="181" t="n">
        <v>0</v>
      </c>
      <c r="I15" s="111" t="n">
        <f aca="false">G15+H15</f>
        <v>143</v>
      </c>
      <c r="J15" s="181" t="n">
        <f aca="false">IF(L15&gt;0,L15,0)</f>
        <v>0</v>
      </c>
      <c r="K15" s="111" t="n">
        <f aca="false">I15+J15</f>
        <v>143</v>
      </c>
      <c r="L15" s="111" t="n">
        <f aca="false">F15-(I15-X15)</f>
        <v>-75.0613511469625</v>
      </c>
      <c r="M15" s="182" t="n">
        <v>199</v>
      </c>
      <c r="N15" s="111" t="n">
        <v>0</v>
      </c>
      <c r="O15" s="111" t="n">
        <f aca="false">25.72*1.05</f>
        <v>27.006</v>
      </c>
      <c r="P15" s="90" t="n">
        <f aca="false">M15-(N15+O15)</f>
        <v>171.994</v>
      </c>
      <c r="Q15" s="111" t="n">
        <v>43</v>
      </c>
      <c r="R15" s="111" t="n">
        <v>75</v>
      </c>
      <c r="S15" s="111" t="n">
        <f aca="false">SUM(P15:R15)</f>
        <v>289.994</v>
      </c>
      <c r="T15" s="112" t="n">
        <f aca="false">T14+AE15-(AF15/1.9835)+AG15</f>
        <v>14688.9072231206</v>
      </c>
      <c r="U15" s="111" t="n">
        <v>247.86</v>
      </c>
      <c r="V15" s="235" t="n">
        <v>39</v>
      </c>
      <c r="W15" s="236" t="n">
        <f aca="false">W14-V15</f>
        <v>6165.49231157046</v>
      </c>
      <c r="X15" s="6" t="n">
        <f aca="false">N15+O15+S15+U15+V15</f>
        <v>603.86</v>
      </c>
      <c r="Y15" s="111" t="n">
        <f aca="false">IF(L15&lt;0,L15*-1,0)</f>
        <v>75.0613511469625</v>
      </c>
      <c r="Z15" s="111" t="n">
        <f aca="false">X15+Y15</f>
        <v>678.921351146963</v>
      </c>
      <c r="AA15" s="350" t="n">
        <v>0</v>
      </c>
      <c r="AB15" s="117" t="n">
        <v>92</v>
      </c>
      <c r="AC15" s="167" t="n">
        <v>54</v>
      </c>
      <c r="AD15" s="118" t="n">
        <v>0</v>
      </c>
      <c r="AE15" s="87" t="n">
        <f aca="false">(I15-8-2.7)-(S15-8)</f>
        <v>-149.694</v>
      </c>
      <c r="AF15" s="339" t="n">
        <f aca="false">23.5*(T14*1.9835-S15*1.9835)/E15</f>
        <v>8.50008636656782</v>
      </c>
      <c r="AG15" s="242" t="n">
        <v>15</v>
      </c>
      <c r="AH15" s="0"/>
      <c r="AI15" s="0"/>
      <c r="AJ15" s="0"/>
      <c r="AK15" s="0"/>
      <c r="AL15" s="0"/>
      <c r="AM15" s="0"/>
      <c r="AN15" s="0"/>
      <c r="AO15" s="0"/>
      <c r="AP15" s="0"/>
      <c r="AQ15" s="0"/>
      <c r="AR15" s="0"/>
      <c r="AS15" s="0"/>
      <c r="AT15" s="0"/>
      <c r="AU15" s="0"/>
      <c r="AV15" s="0"/>
      <c r="AW15" s="0"/>
      <c r="AX15" s="0"/>
      <c r="AY15" s="0"/>
      <c r="AZ15" s="0"/>
      <c r="BA15" s="0"/>
      <c r="BB15" s="0"/>
      <c r="BC15" s="0"/>
      <c r="BD15" s="0"/>
      <c r="BE15" s="0"/>
      <c r="BF15" s="0"/>
      <c r="BG15" s="0"/>
      <c r="BH15" s="0"/>
      <c r="BI15" s="0"/>
      <c r="BJ15" s="0"/>
      <c r="BK15" s="0"/>
      <c r="BL15" s="0"/>
      <c r="BM15" s="0"/>
      <c r="BN15" s="0"/>
      <c r="BO15" s="0"/>
      <c r="BP15" s="0"/>
      <c r="BQ15" s="0"/>
      <c r="BR15" s="0"/>
      <c r="BS15" s="0"/>
      <c r="BT15" s="0"/>
      <c r="BU15" s="0"/>
      <c r="BV15" s="0"/>
      <c r="BW15" s="0"/>
      <c r="BX15" s="0"/>
      <c r="BY15" s="0"/>
      <c r="BZ15" s="0"/>
      <c r="CA15" s="0"/>
      <c r="CB15" s="0"/>
      <c r="CC15" s="0"/>
      <c r="CD15" s="0"/>
      <c r="CE15" s="0"/>
      <c r="CF15" s="0"/>
      <c r="CG15" s="0"/>
      <c r="CH15" s="0"/>
      <c r="CI15" s="0"/>
      <c r="CJ15" s="0"/>
      <c r="CK15" s="0"/>
      <c r="CL15" s="0"/>
      <c r="CM15" s="0"/>
      <c r="CN15" s="0"/>
      <c r="CO15" s="0"/>
      <c r="CP15" s="0"/>
      <c r="CQ15" s="0"/>
      <c r="CR15" s="0"/>
      <c r="CS15" s="0"/>
      <c r="CT15" s="0"/>
      <c r="CU15" s="0"/>
      <c r="CV15" s="0"/>
      <c r="CW15" s="0"/>
      <c r="CX15" s="0"/>
      <c r="CY15" s="0"/>
      <c r="CZ15" s="0"/>
      <c r="DA15" s="0"/>
      <c r="DB15" s="0"/>
      <c r="DC15" s="0"/>
      <c r="DD15" s="0"/>
      <c r="DE15" s="0"/>
      <c r="DF15" s="0"/>
      <c r="DG15" s="0"/>
      <c r="DH15" s="0"/>
      <c r="DI15" s="0"/>
      <c r="DJ15" s="0"/>
      <c r="DK15" s="0"/>
      <c r="DL15" s="0"/>
      <c r="DM15" s="0"/>
      <c r="DN15" s="0"/>
      <c r="DO15" s="0"/>
      <c r="DP15" s="0"/>
      <c r="DQ15" s="0"/>
      <c r="DR15" s="0"/>
      <c r="DS15" s="0"/>
      <c r="DT15" s="0"/>
      <c r="DU15" s="0"/>
      <c r="DV15" s="0"/>
      <c r="DW15" s="0"/>
      <c r="DX15" s="0"/>
      <c r="DY15" s="0"/>
      <c r="DZ15" s="0"/>
      <c r="EA15" s="0"/>
      <c r="EB15" s="0"/>
      <c r="EC15" s="0"/>
      <c r="ED15" s="0"/>
      <c r="EE15" s="0"/>
      <c r="EF15" s="0"/>
      <c r="EG15" s="0"/>
      <c r="EH15" s="0"/>
      <c r="EI15" s="0"/>
      <c r="EJ15" s="0"/>
      <c r="EK15" s="0"/>
      <c r="EL15" s="0"/>
      <c r="EM15" s="0"/>
      <c r="EN15" s="0"/>
      <c r="EO15" s="0"/>
      <c r="EP15" s="0"/>
      <c r="EQ15" s="0"/>
      <c r="ER15" s="0"/>
      <c r="ES15" s="0"/>
      <c r="ET15" s="0"/>
      <c r="EU15" s="0"/>
      <c r="EV15" s="0"/>
      <c r="EW15" s="0"/>
      <c r="EX15" s="0"/>
      <c r="EY15" s="0"/>
      <c r="EZ15" s="0"/>
      <c r="FA15" s="0"/>
      <c r="FB15" s="0"/>
      <c r="FC15" s="0"/>
      <c r="FD15" s="0"/>
      <c r="FE15" s="0"/>
      <c r="FF15" s="0"/>
      <c r="FG15" s="0"/>
      <c r="FH15" s="0"/>
      <c r="FI15" s="0"/>
      <c r="FJ15" s="0"/>
      <c r="FK15" s="0"/>
      <c r="FL15" s="0"/>
      <c r="FM15" s="0"/>
      <c r="FN15" s="0"/>
      <c r="FO15" s="0"/>
      <c r="FP15" s="0"/>
      <c r="FQ15" s="0"/>
      <c r="FR15" s="0"/>
      <c r="FS15" s="0"/>
      <c r="FT15" s="0"/>
      <c r="FU15" s="0"/>
      <c r="FV15" s="0"/>
      <c r="FW15" s="0"/>
      <c r="FX15" s="0"/>
      <c r="FY15" s="0"/>
      <c r="FZ15" s="0"/>
      <c r="GA15" s="0"/>
      <c r="GB15" s="0"/>
      <c r="GC15" s="0"/>
      <c r="GD15" s="0"/>
      <c r="GE15" s="0"/>
      <c r="GF15" s="0"/>
      <c r="GG15" s="0"/>
      <c r="GH15" s="0"/>
      <c r="GI15" s="0"/>
      <c r="GJ15" s="0"/>
      <c r="GK15" s="0"/>
      <c r="GL15" s="0"/>
      <c r="GM15" s="0"/>
      <c r="GN15" s="0"/>
      <c r="GO15" s="0"/>
      <c r="GP15" s="0"/>
      <c r="GQ15" s="0"/>
      <c r="GR15" s="0"/>
      <c r="GS15" s="0"/>
      <c r="GT15" s="0"/>
      <c r="GU15" s="0"/>
      <c r="GV15" s="0"/>
      <c r="GW15" s="0"/>
      <c r="GX15" s="0"/>
      <c r="GY15" s="0"/>
      <c r="GZ15" s="0"/>
      <c r="HA15" s="0"/>
      <c r="HB15" s="0"/>
      <c r="HC15" s="0"/>
      <c r="HD15" s="0"/>
      <c r="HE15" s="0"/>
      <c r="HF15" s="0"/>
      <c r="HG15" s="0"/>
      <c r="HH15" s="0"/>
      <c r="HI15" s="0"/>
      <c r="HJ15" s="0"/>
      <c r="HK15" s="0"/>
      <c r="HL15" s="0"/>
      <c r="HM15" s="0"/>
      <c r="HN15" s="0"/>
      <c r="HO15" s="0"/>
      <c r="HP15" s="0"/>
      <c r="HQ15" s="0"/>
      <c r="HR15" s="0"/>
      <c r="HS15" s="0"/>
      <c r="HT15" s="0"/>
      <c r="HU15" s="0"/>
      <c r="HV15" s="0"/>
      <c r="HW15" s="0"/>
      <c r="HX15" s="0"/>
      <c r="HY15" s="0"/>
      <c r="HZ15" s="0"/>
      <c r="IA15" s="0"/>
      <c r="IB15" s="0"/>
      <c r="IC15" s="0"/>
      <c r="ID15" s="0"/>
      <c r="IE15" s="0"/>
      <c r="IF15" s="0"/>
      <c r="IG15" s="0"/>
      <c r="IH15" s="0"/>
      <c r="II15" s="0"/>
      <c r="IJ15" s="0"/>
      <c r="IK15" s="0"/>
      <c r="IL15" s="0"/>
      <c r="IM15" s="0"/>
      <c r="IN15" s="0"/>
      <c r="IO15" s="0"/>
      <c r="IP15" s="0"/>
      <c r="IQ15" s="0"/>
      <c r="IR15" s="0"/>
      <c r="IS15" s="0"/>
      <c r="IT15" s="0"/>
      <c r="IU15" s="0"/>
      <c r="IV15" s="0"/>
      <c r="IW15" s="0"/>
    </row>
    <row r="16" customFormat="false" ht="11.1" hidden="false" customHeight="true" outlineLevel="0" collapsed="false">
      <c r="A16" s="118" t="n">
        <f aca="false">A15+1</f>
        <v>5</v>
      </c>
      <c r="B16" s="168" t="n">
        <v>6884.65</v>
      </c>
      <c r="C16" s="112" t="n">
        <v>230575</v>
      </c>
      <c r="D16" s="117" t="n">
        <f aca="false">C16-C15</f>
        <v>-1147</v>
      </c>
      <c r="E16" s="112" t="n">
        <f aca="false">C16-152000</f>
        <v>78575</v>
      </c>
      <c r="F16" s="180" t="n">
        <f aca="false">D16/$D$2</f>
        <v>-578.270733551802</v>
      </c>
      <c r="G16" s="111" t="n">
        <v>137</v>
      </c>
      <c r="H16" s="181" t="n">
        <v>0</v>
      </c>
      <c r="I16" s="111" t="n">
        <f aca="false">G16+H16</f>
        <v>137</v>
      </c>
      <c r="J16" s="181" t="n">
        <f aca="false">IF(L16&gt;0,L16,0)</f>
        <v>0</v>
      </c>
      <c r="K16" s="111" t="n">
        <f aca="false">I16+J16</f>
        <v>137</v>
      </c>
      <c r="L16" s="111" t="n">
        <f aca="false">F16-(I16-X16)</f>
        <v>-144.080733551802</v>
      </c>
      <c r="M16" s="182" t="n">
        <v>202</v>
      </c>
      <c r="N16" s="111" t="n">
        <v>0</v>
      </c>
      <c r="O16" s="111" t="n">
        <f aca="false">26.29*1.05</f>
        <v>27.6045</v>
      </c>
      <c r="P16" s="90" t="n">
        <f aca="false">M16-(N16+O16)</f>
        <v>174.3955</v>
      </c>
      <c r="Q16" s="111" t="n">
        <v>43</v>
      </c>
      <c r="R16" s="111" t="n">
        <v>76</v>
      </c>
      <c r="S16" s="111" t="n">
        <f aca="false">SUM(P16:R16)</f>
        <v>293.3955</v>
      </c>
      <c r="T16" s="112" t="n">
        <f aca="false">T15+AE16-(AF16/1.9835)+AG16</f>
        <v>14540.5063521312</v>
      </c>
      <c r="U16" s="111" t="n">
        <v>211.19</v>
      </c>
      <c r="V16" s="235" t="n">
        <v>39</v>
      </c>
      <c r="W16" s="236" t="n">
        <f aca="false">W15-V16</f>
        <v>6126.49231157046</v>
      </c>
      <c r="X16" s="6" t="n">
        <f aca="false">N16+O16+S16+U16+V16</f>
        <v>571.19</v>
      </c>
      <c r="Y16" s="111" t="n">
        <f aca="false">IF(L16&lt;0,L16*-1,0)</f>
        <v>144.080733551802</v>
      </c>
      <c r="Z16" s="111" t="n">
        <f aca="false">X16+Y16</f>
        <v>715.270733551802</v>
      </c>
      <c r="AA16" s="350" t="n">
        <v>0</v>
      </c>
      <c r="AB16" s="117" t="n">
        <v>90</v>
      </c>
      <c r="AC16" s="167" t="n">
        <v>55</v>
      </c>
      <c r="AD16" s="118" t="n">
        <v>0</v>
      </c>
      <c r="AE16" s="87" t="n">
        <f aca="false">(I16-8-2.7)-(S16-8)</f>
        <v>-159.0955</v>
      </c>
      <c r="AF16" s="339" t="n">
        <f aca="false">23.5*(T15*1.9835-S16*1.9835)/E16</f>
        <v>8.53970335750596</v>
      </c>
      <c r="AG16" s="242" t="n">
        <v>15</v>
      </c>
      <c r="AH16" s="0"/>
      <c r="AI16" s="0"/>
      <c r="AJ16" s="0"/>
      <c r="AK16" s="0"/>
      <c r="AL16" s="0"/>
      <c r="AM16" s="0"/>
      <c r="AN16" s="0"/>
      <c r="AO16" s="0"/>
      <c r="AP16" s="0"/>
      <c r="AQ16" s="0"/>
      <c r="AR16" s="0"/>
      <c r="AS16" s="0"/>
      <c r="AT16" s="0"/>
      <c r="AU16" s="0"/>
      <c r="AV16" s="0"/>
      <c r="AW16" s="0"/>
      <c r="AX16" s="0"/>
      <c r="AY16" s="0"/>
      <c r="AZ16" s="0"/>
      <c r="BA16" s="0"/>
      <c r="BB16" s="0"/>
      <c r="BC16" s="0"/>
      <c r="BD16" s="0"/>
      <c r="BE16" s="0"/>
      <c r="BF16" s="0"/>
      <c r="BG16" s="0"/>
      <c r="BH16" s="0"/>
      <c r="BI16" s="0"/>
      <c r="BJ16" s="0"/>
      <c r="BK16" s="0"/>
      <c r="BL16" s="0"/>
      <c r="BM16" s="0"/>
      <c r="BN16" s="0"/>
      <c r="BO16" s="0"/>
      <c r="BP16" s="0"/>
      <c r="BQ16" s="0"/>
      <c r="BR16" s="0"/>
      <c r="BS16" s="0"/>
      <c r="BT16" s="0"/>
      <c r="BU16" s="0"/>
      <c r="BV16" s="0"/>
      <c r="BW16" s="0"/>
      <c r="BX16" s="0"/>
      <c r="BY16" s="0"/>
      <c r="BZ16" s="0"/>
      <c r="CA16" s="0"/>
      <c r="CB16" s="0"/>
      <c r="CC16" s="0"/>
      <c r="CD16" s="0"/>
      <c r="CE16" s="0"/>
      <c r="CF16" s="0"/>
      <c r="CG16" s="0"/>
      <c r="CH16" s="0"/>
      <c r="CI16" s="0"/>
      <c r="CJ16" s="0"/>
      <c r="CK16" s="0"/>
      <c r="CL16" s="0"/>
      <c r="CM16" s="0"/>
      <c r="CN16" s="0"/>
      <c r="CO16" s="0"/>
      <c r="CP16" s="0"/>
      <c r="CQ16" s="0"/>
      <c r="CR16" s="0"/>
      <c r="CS16" s="0"/>
      <c r="CT16" s="0"/>
      <c r="CU16" s="0"/>
      <c r="CV16" s="0"/>
      <c r="CW16" s="0"/>
      <c r="CX16" s="0"/>
      <c r="CY16" s="0"/>
      <c r="CZ16" s="0"/>
      <c r="DA16" s="0"/>
      <c r="DB16" s="0"/>
      <c r="DC16" s="0"/>
      <c r="DD16" s="0"/>
      <c r="DE16" s="0"/>
      <c r="DF16" s="0"/>
      <c r="DG16" s="0"/>
      <c r="DH16" s="0"/>
      <c r="DI16" s="0"/>
      <c r="DJ16" s="0"/>
      <c r="DK16" s="0"/>
      <c r="DL16" s="0"/>
      <c r="DM16" s="0"/>
      <c r="DN16" s="0"/>
      <c r="DO16" s="0"/>
      <c r="DP16" s="0"/>
      <c r="DQ16" s="0"/>
      <c r="DR16" s="0"/>
      <c r="DS16" s="0"/>
      <c r="DT16" s="0"/>
      <c r="DU16" s="0"/>
      <c r="DV16" s="0"/>
      <c r="DW16" s="0"/>
      <c r="DX16" s="0"/>
      <c r="DY16" s="0"/>
      <c r="DZ16" s="0"/>
      <c r="EA16" s="0"/>
      <c r="EB16" s="0"/>
      <c r="EC16" s="0"/>
      <c r="ED16" s="0"/>
      <c r="EE16" s="0"/>
      <c r="EF16" s="0"/>
      <c r="EG16" s="0"/>
      <c r="EH16" s="0"/>
      <c r="EI16" s="0"/>
      <c r="EJ16" s="0"/>
      <c r="EK16" s="0"/>
      <c r="EL16" s="0"/>
      <c r="EM16" s="0"/>
      <c r="EN16" s="0"/>
      <c r="EO16" s="0"/>
      <c r="EP16" s="0"/>
      <c r="EQ16" s="0"/>
      <c r="ER16" s="0"/>
      <c r="ES16" s="0"/>
      <c r="ET16" s="0"/>
      <c r="EU16" s="0"/>
      <c r="EV16" s="0"/>
      <c r="EW16" s="0"/>
      <c r="EX16" s="0"/>
      <c r="EY16" s="0"/>
      <c r="EZ16" s="0"/>
      <c r="FA16" s="0"/>
      <c r="FB16" s="0"/>
      <c r="FC16" s="0"/>
      <c r="FD16" s="0"/>
      <c r="FE16" s="0"/>
      <c r="FF16" s="0"/>
      <c r="FG16" s="0"/>
      <c r="FH16" s="0"/>
      <c r="FI16" s="0"/>
      <c r="FJ16" s="0"/>
      <c r="FK16" s="0"/>
      <c r="FL16" s="0"/>
      <c r="FM16" s="0"/>
      <c r="FN16" s="0"/>
      <c r="FO16" s="0"/>
      <c r="FP16" s="0"/>
      <c r="FQ16" s="0"/>
      <c r="FR16" s="0"/>
      <c r="FS16" s="0"/>
      <c r="FT16" s="0"/>
      <c r="FU16" s="0"/>
      <c r="FV16" s="0"/>
      <c r="FW16" s="0"/>
      <c r="FX16" s="0"/>
      <c r="FY16" s="0"/>
      <c r="FZ16" s="0"/>
      <c r="GA16" s="0"/>
      <c r="GB16" s="0"/>
      <c r="GC16" s="0"/>
      <c r="GD16" s="0"/>
      <c r="GE16" s="0"/>
      <c r="GF16" s="0"/>
      <c r="GG16" s="0"/>
      <c r="GH16" s="0"/>
      <c r="GI16" s="0"/>
      <c r="GJ16" s="0"/>
      <c r="GK16" s="0"/>
      <c r="GL16" s="0"/>
      <c r="GM16" s="0"/>
      <c r="GN16" s="0"/>
      <c r="GO16" s="0"/>
      <c r="GP16" s="0"/>
      <c r="GQ16" s="0"/>
      <c r="GR16" s="0"/>
      <c r="GS16" s="0"/>
      <c r="GT16" s="0"/>
      <c r="GU16" s="0"/>
      <c r="GV16" s="0"/>
      <c r="GW16" s="0"/>
      <c r="GX16" s="0"/>
      <c r="GY16" s="0"/>
      <c r="GZ16" s="0"/>
      <c r="HA16" s="0"/>
      <c r="HB16" s="0"/>
      <c r="HC16" s="0"/>
      <c r="HD16" s="0"/>
      <c r="HE16" s="0"/>
      <c r="HF16" s="0"/>
      <c r="HG16" s="0"/>
      <c r="HH16" s="0"/>
      <c r="HI16" s="0"/>
      <c r="HJ16" s="0"/>
      <c r="HK16" s="0"/>
      <c r="HL16" s="0"/>
      <c r="HM16" s="0"/>
      <c r="HN16" s="0"/>
      <c r="HO16" s="0"/>
      <c r="HP16" s="0"/>
      <c r="HQ16" s="0"/>
      <c r="HR16" s="0"/>
      <c r="HS16" s="0"/>
      <c r="HT16" s="0"/>
      <c r="HU16" s="0"/>
      <c r="HV16" s="0"/>
      <c r="HW16" s="0"/>
      <c r="HX16" s="0"/>
      <c r="HY16" s="0"/>
      <c r="HZ16" s="0"/>
      <c r="IA16" s="0"/>
      <c r="IB16" s="0"/>
      <c r="IC16" s="0"/>
      <c r="ID16" s="0"/>
      <c r="IE16" s="0"/>
      <c r="IF16" s="0"/>
      <c r="IG16" s="0"/>
      <c r="IH16" s="0"/>
      <c r="II16" s="0"/>
      <c r="IJ16" s="0"/>
      <c r="IK16" s="0"/>
      <c r="IL16" s="0"/>
      <c r="IM16" s="0"/>
      <c r="IN16" s="0"/>
      <c r="IO16" s="0"/>
      <c r="IP16" s="0"/>
      <c r="IQ16" s="0"/>
      <c r="IR16" s="0"/>
      <c r="IS16" s="0"/>
      <c r="IT16" s="0"/>
      <c r="IU16" s="0"/>
      <c r="IV16" s="0"/>
      <c r="IW16" s="0"/>
    </row>
    <row r="17" customFormat="false" ht="11.1" hidden="false" customHeight="true" outlineLevel="0" collapsed="false">
      <c r="A17" s="118" t="n">
        <f aca="false">A16+1</f>
        <v>6</v>
      </c>
      <c r="B17" s="168" t="n">
        <v>6884.29</v>
      </c>
      <c r="C17" s="112" t="n">
        <v>229423</v>
      </c>
      <c r="D17" s="117" t="n">
        <f aca="false">C17-C16</f>
        <v>-1152</v>
      </c>
      <c r="E17" s="112" t="n">
        <f aca="false">C17-152000</f>
        <v>77423</v>
      </c>
      <c r="F17" s="180" t="n">
        <f aca="false">D17/$D$2</f>
        <v>-580.791530123519</v>
      </c>
      <c r="G17" s="111" t="n">
        <v>126</v>
      </c>
      <c r="H17" s="181" t="n">
        <v>0</v>
      </c>
      <c r="I17" s="111" t="n">
        <f aca="false">G17+H17</f>
        <v>126</v>
      </c>
      <c r="J17" s="181" t="n">
        <f aca="false">IF(L17&gt;0,L17,0)</f>
        <v>0</v>
      </c>
      <c r="K17" s="111" t="n">
        <f aca="false">I17+J17</f>
        <v>126</v>
      </c>
      <c r="L17" s="111" t="n">
        <f aca="false">F17-(I17-X17)</f>
        <v>-112.841530123519</v>
      </c>
      <c r="M17" s="182" t="n">
        <v>213</v>
      </c>
      <c r="N17" s="111" t="n">
        <v>0</v>
      </c>
      <c r="O17" s="111" t="n">
        <f aca="false">26.57*1.05</f>
        <v>27.8985</v>
      </c>
      <c r="P17" s="90" t="n">
        <f aca="false">M17-(N17+O17)</f>
        <v>185.1015</v>
      </c>
      <c r="Q17" s="111" t="n">
        <v>44</v>
      </c>
      <c r="R17" s="111" t="n">
        <v>73</v>
      </c>
      <c r="S17" s="111" t="n">
        <f aca="false">SUM(P17:R17)</f>
        <v>302.1015</v>
      </c>
      <c r="T17" s="112" t="n">
        <f aca="false">T16+AE17-(AF17/1.9835)+AG17</f>
        <v>14372.3831064739</v>
      </c>
      <c r="U17" s="111" t="n">
        <v>224.95</v>
      </c>
      <c r="V17" s="235" t="n">
        <v>39</v>
      </c>
      <c r="W17" s="236" t="n">
        <f aca="false">W16-V17</f>
        <v>6087.49231157046</v>
      </c>
      <c r="X17" s="6" t="n">
        <f aca="false">N17+O17+S17+U17+V17</f>
        <v>593.95</v>
      </c>
      <c r="Y17" s="111" t="n">
        <f aca="false">IF(L17&lt;0,L17*-1,0)</f>
        <v>112.841530123519</v>
      </c>
      <c r="Z17" s="111" t="n">
        <f aca="false">X17+Y17</f>
        <v>706.791530123519</v>
      </c>
      <c r="AA17" s="350" t="n">
        <v>0</v>
      </c>
      <c r="AB17" s="117" t="n">
        <v>91</v>
      </c>
      <c r="AC17" s="167" t="n">
        <v>57</v>
      </c>
      <c r="AD17" s="118" t="n">
        <v>0</v>
      </c>
      <c r="AE17" s="87" t="n">
        <f aca="false">(I17-8-2.7)-(S17-8)</f>
        <v>-178.8015</v>
      </c>
      <c r="AF17" s="339" t="n">
        <f aca="false">23.5*(T16*1.9835-S17*1.9835)/E17</f>
        <v>8.57218251125315</v>
      </c>
      <c r="AG17" s="242" t="n">
        <v>15</v>
      </c>
      <c r="AH17" s="0"/>
      <c r="AI17" s="0"/>
      <c r="AJ17" s="0"/>
      <c r="AK17" s="0"/>
      <c r="AL17" s="0"/>
      <c r="AM17" s="0"/>
      <c r="AN17" s="0"/>
      <c r="AO17" s="0"/>
      <c r="AP17" s="0"/>
      <c r="AQ17" s="0"/>
      <c r="AR17" s="0"/>
      <c r="AS17" s="0"/>
      <c r="AT17" s="0"/>
      <c r="AU17" s="0"/>
      <c r="AV17" s="0"/>
      <c r="AW17" s="0"/>
      <c r="AX17" s="0"/>
      <c r="AY17" s="0"/>
      <c r="AZ17" s="0"/>
      <c r="BA17" s="0"/>
      <c r="BB17" s="0"/>
      <c r="BC17" s="0"/>
      <c r="BD17" s="0"/>
      <c r="BE17" s="0"/>
      <c r="BF17" s="0"/>
      <c r="BG17" s="0"/>
      <c r="BH17" s="0"/>
      <c r="BI17" s="0"/>
      <c r="BJ17" s="0"/>
      <c r="BK17" s="0"/>
      <c r="BL17" s="0"/>
      <c r="BM17" s="0"/>
      <c r="BN17" s="0"/>
      <c r="BO17" s="0"/>
      <c r="BP17" s="0"/>
      <c r="BQ17" s="0"/>
      <c r="BR17" s="0"/>
      <c r="BS17" s="0"/>
      <c r="BT17" s="0"/>
      <c r="BU17" s="0"/>
      <c r="BV17" s="0"/>
      <c r="BW17" s="0"/>
      <c r="BX17" s="0"/>
      <c r="BY17" s="0"/>
      <c r="BZ17" s="0"/>
      <c r="CA17" s="0"/>
      <c r="CB17" s="0"/>
      <c r="CC17" s="0"/>
      <c r="CD17" s="0"/>
      <c r="CE17" s="0"/>
      <c r="CF17" s="0"/>
      <c r="CG17" s="0"/>
      <c r="CH17" s="0"/>
      <c r="CI17" s="0"/>
      <c r="CJ17" s="0"/>
      <c r="CK17" s="0"/>
      <c r="CL17" s="0"/>
      <c r="CM17" s="0"/>
      <c r="CN17" s="0"/>
      <c r="CO17" s="0"/>
      <c r="CP17" s="0"/>
      <c r="CQ17" s="0"/>
      <c r="CR17" s="0"/>
      <c r="CS17" s="0"/>
      <c r="CT17" s="0"/>
      <c r="CU17" s="0"/>
      <c r="CV17" s="0"/>
      <c r="CW17" s="0"/>
      <c r="CX17" s="0"/>
      <c r="CY17" s="0"/>
      <c r="CZ17" s="0"/>
      <c r="DA17" s="0"/>
      <c r="DB17" s="0"/>
      <c r="DC17" s="0"/>
      <c r="DD17" s="0"/>
      <c r="DE17" s="0"/>
      <c r="DF17" s="0"/>
      <c r="DG17" s="0"/>
      <c r="DH17" s="0"/>
      <c r="DI17" s="0"/>
      <c r="DJ17" s="0"/>
      <c r="DK17" s="0"/>
      <c r="DL17" s="0"/>
      <c r="DM17" s="0"/>
      <c r="DN17" s="0"/>
      <c r="DO17" s="0"/>
      <c r="DP17" s="0"/>
      <c r="DQ17" s="0"/>
      <c r="DR17" s="0"/>
      <c r="DS17" s="0"/>
      <c r="DT17" s="0"/>
      <c r="DU17" s="0"/>
      <c r="DV17" s="0"/>
      <c r="DW17" s="0"/>
      <c r="DX17" s="0"/>
      <c r="DY17" s="0"/>
      <c r="DZ17" s="0"/>
      <c r="EA17" s="0"/>
      <c r="EB17" s="0"/>
      <c r="EC17" s="0"/>
      <c r="ED17" s="0"/>
      <c r="EE17" s="0"/>
      <c r="EF17" s="0"/>
      <c r="EG17" s="0"/>
      <c r="EH17" s="0"/>
      <c r="EI17" s="0"/>
      <c r="EJ17" s="0"/>
      <c r="EK17" s="0"/>
      <c r="EL17" s="0"/>
      <c r="EM17" s="0"/>
      <c r="EN17" s="0"/>
      <c r="EO17" s="0"/>
      <c r="EP17" s="0"/>
      <c r="EQ17" s="0"/>
      <c r="ER17" s="0"/>
      <c r="ES17" s="0"/>
      <c r="ET17" s="0"/>
      <c r="EU17" s="0"/>
      <c r="EV17" s="0"/>
      <c r="EW17" s="0"/>
      <c r="EX17" s="0"/>
      <c r="EY17" s="0"/>
      <c r="EZ17" s="0"/>
      <c r="FA17" s="0"/>
      <c r="FB17" s="0"/>
      <c r="FC17" s="0"/>
      <c r="FD17" s="0"/>
      <c r="FE17" s="0"/>
      <c r="FF17" s="0"/>
      <c r="FG17" s="0"/>
      <c r="FH17" s="0"/>
      <c r="FI17" s="0"/>
      <c r="FJ17" s="0"/>
      <c r="FK17" s="0"/>
      <c r="FL17" s="0"/>
      <c r="FM17" s="0"/>
      <c r="FN17" s="0"/>
      <c r="FO17" s="0"/>
      <c r="FP17" s="0"/>
      <c r="FQ17" s="0"/>
      <c r="FR17" s="0"/>
      <c r="FS17" s="0"/>
      <c r="FT17" s="0"/>
      <c r="FU17" s="0"/>
      <c r="FV17" s="0"/>
      <c r="FW17" s="0"/>
      <c r="FX17" s="0"/>
      <c r="FY17" s="0"/>
      <c r="FZ17" s="0"/>
      <c r="GA17" s="0"/>
      <c r="GB17" s="0"/>
      <c r="GC17" s="0"/>
      <c r="GD17" s="0"/>
      <c r="GE17" s="0"/>
      <c r="GF17" s="0"/>
      <c r="GG17" s="0"/>
      <c r="GH17" s="0"/>
      <c r="GI17" s="0"/>
      <c r="GJ17" s="0"/>
      <c r="GK17" s="0"/>
      <c r="GL17" s="0"/>
      <c r="GM17" s="0"/>
      <c r="GN17" s="0"/>
      <c r="GO17" s="0"/>
      <c r="GP17" s="0"/>
      <c r="GQ17" s="0"/>
      <c r="GR17" s="0"/>
      <c r="GS17" s="0"/>
      <c r="GT17" s="0"/>
      <c r="GU17" s="0"/>
      <c r="GV17" s="0"/>
      <c r="GW17" s="0"/>
      <c r="GX17" s="0"/>
      <c r="GY17" s="0"/>
      <c r="GZ17" s="0"/>
      <c r="HA17" s="0"/>
      <c r="HB17" s="0"/>
      <c r="HC17" s="0"/>
      <c r="HD17" s="0"/>
      <c r="HE17" s="0"/>
      <c r="HF17" s="0"/>
      <c r="HG17" s="0"/>
      <c r="HH17" s="0"/>
      <c r="HI17" s="0"/>
      <c r="HJ17" s="0"/>
      <c r="HK17" s="0"/>
      <c r="HL17" s="0"/>
      <c r="HM17" s="0"/>
      <c r="HN17" s="0"/>
      <c r="HO17" s="0"/>
      <c r="HP17" s="0"/>
      <c r="HQ17" s="0"/>
      <c r="HR17" s="0"/>
      <c r="HS17" s="0"/>
      <c r="HT17" s="0"/>
      <c r="HU17" s="0"/>
      <c r="HV17" s="0"/>
      <c r="HW17" s="0"/>
      <c r="HX17" s="0"/>
      <c r="HY17" s="0"/>
      <c r="HZ17" s="0"/>
      <c r="IA17" s="0"/>
      <c r="IB17" s="0"/>
      <c r="IC17" s="0"/>
      <c r="ID17" s="0"/>
      <c r="IE17" s="0"/>
      <c r="IF17" s="0"/>
      <c r="IG17" s="0"/>
      <c r="IH17" s="0"/>
      <c r="II17" s="0"/>
      <c r="IJ17" s="0"/>
      <c r="IK17" s="0"/>
      <c r="IL17" s="0"/>
      <c r="IM17" s="0"/>
      <c r="IN17" s="0"/>
      <c r="IO17" s="0"/>
      <c r="IP17" s="0"/>
      <c r="IQ17" s="0"/>
      <c r="IR17" s="0"/>
      <c r="IS17" s="0"/>
      <c r="IT17" s="0"/>
      <c r="IU17" s="0"/>
      <c r="IV17" s="0"/>
      <c r="IW17" s="0"/>
    </row>
    <row r="18" customFormat="false" ht="11.1" hidden="false" customHeight="true" outlineLevel="0" collapsed="false">
      <c r="A18" s="118" t="n">
        <f aca="false">A17+1</f>
        <v>7</v>
      </c>
      <c r="B18" s="168" t="n">
        <v>6883.99</v>
      </c>
      <c r="C18" s="112" t="n">
        <v>228473</v>
      </c>
      <c r="D18" s="117" t="n">
        <f aca="false">C18-C17</f>
        <v>-950</v>
      </c>
      <c r="E18" s="112" t="n">
        <f aca="false">C18-152000</f>
        <v>76473</v>
      </c>
      <c r="F18" s="180" t="n">
        <f aca="false">D18/$D$2</f>
        <v>-478.951348626166</v>
      </c>
      <c r="G18" s="111" t="n">
        <v>118</v>
      </c>
      <c r="H18" s="181" t="n">
        <v>0</v>
      </c>
      <c r="I18" s="111" t="n">
        <f aca="false">G18+H18</f>
        <v>118</v>
      </c>
      <c r="J18" s="181" t="n">
        <f aca="false">IF(L18&gt;0,L18,0)</f>
        <v>0</v>
      </c>
      <c r="K18" s="111" t="n">
        <f aca="false">I18+J18</f>
        <v>118</v>
      </c>
      <c r="L18" s="111" t="n">
        <f aca="false">F18-(I18-X18)</f>
        <v>-2.86134862616581</v>
      </c>
      <c r="M18" s="182" t="n">
        <v>203</v>
      </c>
      <c r="N18" s="111" t="n">
        <v>0</v>
      </c>
      <c r="O18" s="111" t="n">
        <f aca="false">31.94*1.05</f>
        <v>33.537</v>
      </c>
      <c r="P18" s="90" t="n">
        <f aca="false">M18-(N18+O18)</f>
        <v>169.463</v>
      </c>
      <c r="Q18" s="111" t="n">
        <v>58</v>
      </c>
      <c r="R18" s="111" t="n">
        <v>74</v>
      </c>
      <c r="S18" s="111" t="n">
        <f aca="false">SUM(P18:R18)</f>
        <v>301.463</v>
      </c>
      <c r="T18" s="112" t="n">
        <f aca="false">T17+AE18-(AF18/1.9835)+AG18</f>
        <v>14196.8961408586</v>
      </c>
      <c r="U18" s="111" t="n">
        <v>221.09</v>
      </c>
      <c r="V18" s="235" t="n">
        <v>38</v>
      </c>
      <c r="W18" s="236" t="n">
        <f aca="false">W17-V18</f>
        <v>6049.49231157046</v>
      </c>
      <c r="X18" s="6" t="n">
        <f aca="false">N18+O18+S18+U18+V18</f>
        <v>594.09</v>
      </c>
      <c r="Y18" s="111" t="n">
        <f aca="false">IF(L18&lt;0,L18*-1,0)</f>
        <v>2.86134862616581</v>
      </c>
      <c r="Z18" s="111" t="n">
        <f aca="false">X18+Y18</f>
        <v>596.951348626166</v>
      </c>
      <c r="AA18" s="350" t="n">
        <v>0</v>
      </c>
      <c r="AB18" s="117" t="n">
        <v>89</v>
      </c>
      <c r="AC18" s="167" t="n">
        <v>52</v>
      </c>
      <c r="AD18" s="118" t="n">
        <v>0</v>
      </c>
      <c r="AE18" s="87" t="n">
        <f aca="false">(I18-8-2.7)-(S18-8)</f>
        <v>-186.163</v>
      </c>
      <c r="AF18" s="339" t="n">
        <f aca="false">23.5*(T17*1.9835-S18*1.9835)/E18</f>
        <v>8.57658579803314</v>
      </c>
      <c r="AG18" s="242" t="n">
        <v>15</v>
      </c>
      <c r="AH18" s="0"/>
      <c r="AI18" s="0"/>
      <c r="AJ18" s="0"/>
      <c r="AK18" s="0"/>
      <c r="AL18" s="0"/>
      <c r="AM18" s="0"/>
      <c r="AN18" s="0"/>
      <c r="AO18" s="0"/>
      <c r="AP18" s="0"/>
      <c r="AQ18" s="0"/>
      <c r="AR18" s="0"/>
      <c r="AS18" s="0"/>
      <c r="AT18" s="0"/>
      <c r="AU18" s="0"/>
      <c r="AV18" s="0"/>
      <c r="AW18" s="0"/>
      <c r="AX18" s="0"/>
      <c r="AY18" s="0"/>
      <c r="AZ18" s="0"/>
      <c r="BA18" s="0"/>
      <c r="BB18" s="0"/>
      <c r="BC18" s="0"/>
      <c r="BD18" s="0"/>
      <c r="BE18" s="0"/>
      <c r="BF18" s="0"/>
      <c r="BG18" s="0"/>
      <c r="BH18" s="0"/>
      <c r="BI18" s="0"/>
      <c r="BJ18" s="0"/>
      <c r="BK18" s="0"/>
      <c r="BL18" s="0"/>
      <c r="BM18" s="0"/>
      <c r="BN18" s="0"/>
      <c r="BO18" s="0"/>
      <c r="BP18" s="0"/>
      <c r="BQ18" s="0"/>
      <c r="BR18" s="0"/>
      <c r="BS18" s="0"/>
      <c r="BT18" s="0"/>
      <c r="BU18" s="0"/>
      <c r="BV18" s="0"/>
      <c r="BW18" s="0"/>
      <c r="BX18" s="0"/>
      <c r="BY18" s="0"/>
      <c r="BZ18" s="0"/>
      <c r="CA18" s="0"/>
      <c r="CB18" s="0"/>
      <c r="CC18" s="0"/>
      <c r="CD18" s="0"/>
      <c r="CE18" s="0"/>
      <c r="CF18" s="0"/>
      <c r="CG18" s="0"/>
      <c r="CH18" s="0"/>
      <c r="CI18" s="0"/>
      <c r="CJ18" s="0"/>
      <c r="CK18" s="0"/>
      <c r="CL18" s="0"/>
      <c r="CM18" s="0"/>
      <c r="CN18" s="0"/>
      <c r="CO18" s="0"/>
      <c r="CP18" s="0"/>
      <c r="CQ18" s="0"/>
      <c r="CR18" s="0"/>
      <c r="CS18" s="0"/>
      <c r="CT18" s="0"/>
      <c r="CU18" s="0"/>
      <c r="CV18" s="0"/>
      <c r="CW18" s="0"/>
      <c r="CX18" s="0"/>
      <c r="CY18" s="0"/>
      <c r="CZ18" s="0"/>
      <c r="DA18" s="0"/>
      <c r="DB18" s="0"/>
      <c r="DC18" s="0"/>
      <c r="DD18" s="0"/>
      <c r="DE18" s="0"/>
      <c r="DF18" s="0"/>
      <c r="DG18" s="0"/>
      <c r="DH18" s="0"/>
      <c r="DI18" s="0"/>
      <c r="DJ18" s="0"/>
      <c r="DK18" s="0"/>
      <c r="DL18" s="0"/>
      <c r="DM18" s="0"/>
      <c r="DN18" s="0"/>
      <c r="DO18" s="0"/>
      <c r="DP18" s="0"/>
      <c r="DQ18" s="0"/>
      <c r="DR18" s="0"/>
      <c r="DS18" s="0"/>
      <c r="DT18" s="0"/>
      <c r="DU18" s="0"/>
      <c r="DV18" s="0"/>
      <c r="DW18" s="0"/>
      <c r="DX18" s="0"/>
      <c r="DY18" s="0"/>
      <c r="DZ18" s="0"/>
      <c r="EA18" s="0"/>
      <c r="EB18" s="0"/>
      <c r="EC18" s="0"/>
      <c r="ED18" s="0"/>
      <c r="EE18" s="0"/>
      <c r="EF18" s="0"/>
      <c r="EG18" s="0"/>
      <c r="EH18" s="0"/>
      <c r="EI18" s="0"/>
      <c r="EJ18" s="0"/>
      <c r="EK18" s="0"/>
      <c r="EL18" s="0"/>
      <c r="EM18" s="0"/>
      <c r="EN18" s="0"/>
      <c r="EO18" s="0"/>
      <c r="EP18" s="0"/>
      <c r="EQ18" s="0"/>
      <c r="ER18" s="0"/>
      <c r="ES18" s="0"/>
      <c r="ET18" s="0"/>
      <c r="EU18" s="0"/>
      <c r="EV18" s="0"/>
      <c r="EW18" s="0"/>
      <c r="EX18" s="0"/>
      <c r="EY18" s="0"/>
      <c r="EZ18" s="0"/>
      <c r="FA18" s="0"/>
      <c r="FB18" s="0"/>
      <c r="FC18" s="0"/>
      <c r="FD18" s="0"/>
      <c r="FE18" s="0"/>
      <c r="FF18" s="0"/>
      <c r="FG18" s="0"/>
      <c r="FH18" s="0"/>
      <c r="FI18" s="0"/>
      <c r="FJ18" s="0"/>
      <c r="FK18" s="0"/>
      <c r="FL18" s="0"/>
      <c r="FM18" s="0"/>
      <c r="FN18" s="0"/>
      <c r="FO18" s="0"/>
      <c r="FP18" s="0"/>
      <c r="FQ18" s="0"/>
      <c r="FR18" s="0"/>
      <c r="FS18" s="0"/>
      <c r="FT18" s="0"/>
      <c r="FU18" s="0"/>
      <c r="FV18" s="0"/>
      <c r="FW18" s="0"/>
      <c r="FX18" s="0"/>
      <c r="FY18" s="0"/>
      <c r="FZ18" s="0"/>
      <c r="GA18" s="0"/>
      <c r="GB18" s="0"/>
      <c r="GC18" s="0"/>
      <c r="GD18" s="0"/>
      <c r="GE18" s="0"/>
      <c r="GF18" s="0"/>
      <c r="GG18" s="0"/>
      <c r="GH18" s="0"/>
      <c r="GI18" s="0"/>
      <c r="GJ18" s="0"/>
      <c r="GK18" s="0"/>
      <c r="GL18" s="0"/>
      <c r="GM18" s="0"/>
      <c r="GN18" s="0"/>
      <c r="GO18" s="0"/>
      <c r="GP18" s="0"/>
      <c r="GQ18" s="0"/>
      <c r="GR18" s="0"/>
      <c r="GS18" s="0"/>
      <c r="GT18" s="0"/>
      <c r="GU18" s="0"/>
      <c r="GV18" s="0"/>
      <c r="GW18" s="0"/>
      <c r="GX18" s="0"/>
      <c r="GY18" s="0"/>
      <c r="GZ18" s="0"/>
      <c r="HA18" s="0"/>
      <c r="HB18" s="0"/>
      <c r="HC18" s="0"/>
      <c r="HD18" s="0"/>
      <c r="HE18" s="0"/>
      <c r="HF18" s="0"/>
      <c r="HG18" s="0"/>
      <c r="HH18" s="0"/>
      <c r="HI18" s="0"/>
      <c r="HJ18" s="0"/>
      <c r="HK18" s="0"/>
      <c r="HL18" s="0"/>
      <c r="HM18" s="0"/>
      <c r="HN18" s="0"/>
      <c r="HO18" s="0"/>
      <c r="HP18" s="0"/>
      <c r="HQ18" s="0"/>
      <c r="HR18" s="0"/>
      <c r="HS18" s="0"/>
      <c r="HT18" s="0"/>
      <c r="HU18" s="0"/>
      <c r="HV18" s="0"/>
      <c r="HW18" s="0"/>
      <c r="HX18" s="0"/>
      <c r="HY18" s="0"/>
      <c r="HZ18" s="0"/>
      <c r="IA18" s="0"/>
      <c r="IB18" s="0"/>
      <c r="IC18" s="0"/>
      <c r="ID18" s="0"/>
      <c r="IE18" s="0"/>
      <c r="IF18" s="0"/>
      <c r="IG18" s="0"/>
      <c r="IH18" s="0"/>
      <c r="II18" s="0"/>
      <c r="IJ18" s="0"/>
      <c r="IK18" s="0"/>
      <c r="IL18" s="0"/>
      <c r="IM18" s="0"/>
      <c r="IN18" s="0"/>
      <c r="IO18" s="0"/>
      <c r="IP18" s="0"/>
      <c r="IQ18" s="0"/>
      <c r="IR18" s="0"/>
      <c r="IS18" s="0"/>
      <c r="IT18" s="0"/>
      <c r="IU18" s="0"/>
      <c r="IV18" s="0"/>
      <c r="IW18" s="0"/>
    </row>
    <row r="19" customFormat="false" ht="11.1" hidden="false" customHeight="true" outlineLevel="0" collapsed="false">
      <c r="A19" s="118" t="n">
        <f aca="false">A18+1</f>
        <v>8</v>
      </c>
      <c r="B19" s="168" t="n">
        <v>6883.69</v>
      </c>
      <c r="C19" s="112" t="n">
        <v>227530</v>
      </c>
      <c r="D19" s="117" t="n">
        <f aca="false">C19-C18</f>
        <v>-943</v>
      </c>
      <c r="E19" s="112" t="n">
        <f aca="false">C19-152000</f>
        <v>75530</v>
      </c>
      <c r="F19" s="180" t="n">
        <f aca="false">D19/$D$2</f>
        <v>-475.422233425763</v>
      </c>
      <c r="G19" s="111" t="n">
        <v>115</v>
      </c>
      <c r="H19" s="181" t="n">
        <v>0</v>
      </c>
      <c r="I19" s="111" t="n">
        <f aca="false">G19+H19</f>
        <v>115</v>
      </c>
      <c r="J19" s="181" t="n">
        <f aca="false">IF(L19&gt;0,L19,0)</f>
        <v>12.5477665742375</v>
      </c>
      <c r="K19" s="111" t="n">
        <f aca="false">I19+J19</f>
        <v>127.547766574237</v>
      </c>
      <c r="L19" s="111" t="n">
        <f aca="false">F19-(I19-X19)</f>
        <v>12.5477665742375</v>
      </c>
      <c r="M19" s="182" t="n">
        <v>192</v>
      </c>
      <c r="N19" s="111" t="n">
        <v>5.04</v>
      </c>
      <c r="O19" s="111" t="n">
        <f aca="false">21.13*1.05</f>
        <v>22.1865</v>
      </c>
      <c r="P19" s="90" t="n">
        <f aca="false">M19-(N19+O19)</f>
        <v>164.7735</v>
      </c>
      <c r="Q19" s="111" t="n">
        <v>66</v>
      </c>
      <c r="R19" s="111" t="n">
        <v>75</v>
      </c>
      <c r="S19" s="111" t="n">
        <f aca="false">SUM(P19:R19)</f>
        <v>305.7735</v>
      </c>
      <c r="T19" s="112" t="n">
        <f aca="false">T18+AE19-(AF19/1.9835)+AG19</f>
        <v>14014.1006312986</v>
      </c>
      <c r="U19" s="111" t="n">
        <v>231.97</v>
      </c>
      <c r="V19" s="235" t="n">
        <v>38</v>
      </c>
      <c r="W19" s="236" t="n">
        <f aca="false">W18-V19</f>
        <v>6011.49231157046</v>
      </c>
      <c r="X19" s="6" t="n">
        <f aca="false">N19+O19+S19+U19+V19</f>
        <v>602.97</v>
      </c>
      <c r="Y19" s="111" t="n">
        <f aca="false">IF(L19&lt;0,L19*-1,0)</f>
        <v>0</v>
      </c>
      <c r="Z19" s="111" t="n">
        <f aca="false">X19+Y19</f>
        <v>602.97</v>
      </c>
      <c r="AA19" s="350" t="n">
        <v>0</v>
      </c>
      <c r="AB19" s="117" t="n">
        <v>91</v>
      </c>
      <c r="AC19" s="167" t="n">
        <v>53</v>
      </c>
      <c r="AD19" s="118" t="n">
        <v>0</v>
      </c>
      <c r="AE19" s="87" t="n">
        <f aca="false">(I19-8-2.7)-(S19-8)</f>
        <v>-193.4735</v>
      </c>
      <c r="AF19" s="339" t="n">
        <f aca="false">23.5*(T18*1.9835-S19*1.9835)/E19</f>
        <v>8.57270596208605</v>
      </c>
      <c r="AG19" s="242" t="n">
        <v>15</v>
      </c>
      <c r="AH19" s="0"/>
      <c r="AI19" s="0"/>
      <c r="AJ19" s="0"/>
      <c r="AK19" s="0"/>
      <c r="AL19" s="0"/>
      <c r="AM19" s="0"/>
      <c r="AN19" s="0"/>
      <c r="AO19" s="0"/>
      <c r="AP19" s="0"/>
      <c r="AQ19" s="0"/>
      <c r="AR19" s="0"/>
      <c r="AS19" s="0"/>
      <c r="AT19" s="0"/>
      <c r="AU19" s="0"/>
      <c r="AV19" s="0"/>
      <c r="AW19" s="0"/>
      <c r="AX19" s="0"/>
      <c r="AY19" s="0"/>
      <c r="AZ19" s="0"/>
      <c r="BA19" s="0"/>
      <c r="BB19" s="0"/>
      <c r="BC19" s="0"/>
      <c r="BD19" s="0"/>
      <c r="BE19" s="0"/>
      <c r="BF19" s="0"/>
      <c r="BG19" s="0"/>
      <c r="BH19" s="0"/>
      <c r="BI19" s="0"/>
      <c r="BJ19" s="0"/>
      <c r="BK19" s="0"/>
      <c r="BL19" s="0"/>
      <c r="BM19" s="0"/>
      <c r="BN19" s="0"/>
      <c r="BO19" s="0"/>
      <c r="BP19" s="0"/>
      <c r="BQ19" s="0"/>
      <c r="BR19" s="0"/>
      <c r="BS19" s="0"/>
      <c r="BT19" s="0"/>
      <c r="BU19" s="0"/>
      <c r="BV19" s="0"/>
      <c r="BW19" s="0"/>
      <c r="BX19" s="0"/>
      <c r="BY19" s="0"/>
      <c r="BZ19" s="0"/>
      <c r="CA19" s="0"/>
      <c r="CB19" s="0"/>
      <c r="CC19" s="0"/>
      <c r="CD19" s="0"/>
      <c r="CE19" s="0"/>
      <c r="CF19" s="0"/>
      <c r="CG19" s="0"/>
      <c r="CH19" s="0"/>
      <c r="CI19" s="0"/>
      <c r="CJ19" s="0"/>
      <c r="CK19" s="0"/>
      <c r="CL19" s="0"/>
      <c r="CM19" s="0"/>
      <c r="CN19" s="0"/>
      <c r="CO19" s="0"/>
      <c r="CP19" s="0"/>
      <c r="CQ19" s="0"/>
      <c r="CR19" s="0"/>
      <c r="CS19" s="0"/>
      <c r="CT19" s="0"/>
      <c r="CU19" s="0"/>
      <c r="CV19" s="0"/>
      <c r="CW19" s="0"/>
      <c r="CX19" s="0"/>
      <c r="CY19" s="0"/>
      <c r="CZ19" s="0"/>
      <c r="DA19" s="0"/>
      <c r="DB19" s="0"/>
      <c r="DC19" s="0"/>
      <c r="DD19" s="0"/>
      <c r="DE19" s="0"/>
      <c r="DF19" s="0"/>
      <c r="DG19" s="0"/>
      <c r="DH19" s="0"/>
      <c r="DI19" s="0"/>
      <c r="DJ19" s="0"/>
      <c r="DK19" s="0"/>
      <c r="DL19" s="0"/>
      <c r="DM19" s="0"/>
      <c r="DN19" s="0"/>
      <c r="DO19" s="0"/>
      <c r="DP19" s="0"/>
      <c r="DQ19" s="0"/>
      <c r="DR19" s="0"/>
      <c r="DS19" s="0"/>
      <c r="DT19" s="0"/>
      <c r="DU19" s="0"/>
      <c r="DV19" s="0"/>
      <c r="DW19" s="0"/>
      <c r="DX19" s="0"/>
      <c r="DY19" s="0"/>
      <c r="DZ19" s="0"/>
      <c r="EA19" s="0"/>
      <c r="EB19" s="0"/>
      <c r="EC19" s="0"/>
      <c r="ED19" s="0"/>
      <c r="EE19" s="0"/>
      <c r="EF19" s="0"/>
      <c r="EG19" s="0"/>
      <c r="EH19" s="0"/>
      <c r="EI19" s="0"/>
      <c r="EJ19" s="0"/>
      <c r="EK19" s="0"/>
      <c r="EL19" s="0"/>
      <c r="EM19" s="0"/>
      <c r="EN19" s="0"/>
      <c r="EO19" s="0"/>
      <c r="EP19" s="0"/>
      <c r="EQ19" s="0"/>
      <c r="ER19" s="0"/>
      <c r="ES19" s="0"/>
      <c r="ET19" s="0"/>
      <c r="EU19" s="0"/>
      <c r="EV19" s="0"/>
      <c r="EW19" s="0"/>
      <c r="EX19" s="0"/>
      <c r="EY19" s="0"/>
      <c r="EZ19" s="0"/>
      <c r="FA19" s="0"/>
      <c r="FB19" s="0"/>
      <c r="FC19" s="0"/>
      <c r="FD19" s="0"/>
      <c r="FE19" s="0"/>
      <c r="FF19" s="0"/>
      <c r="FG19" s="0"/>
      <c r="FH19" s="0"/>
      <c r="FI19" s="0"/>
      <c r="FJ19" s="0"/>
      <c r="FK19" s="0"/>
      <c r="FL19" s="0"/>
      <c r="FM19" s="0"/>
      <c r="FN19" s="0"/>
      <c r="FO19" s="0"/>
      <c r="FP19" s="0"/>
      <c r="FQ19" s="0"/>
      <c r="FR19" s="0"/>
      <c r="FS19" s="0"/>
      <c r="FT19" s="0"/>
      <c r="FU19" s="0"/>
      <c r="FV19" s="0"/>
      <c r="FW19" s="0"/>
      <c r="FX19" s="0"/>
      <c r="FY19" s="0"/>
      <c r="FZ19" s="0"/>
      <c r="GA19" s="0"/>
      <c r="GB19" s="0"/>
      <c r="GC19" s="0"/>
      <c r="GD19" s="0"/>
      <c r="GE19" s="0"/>
      <c r="GF19" s="0"/>
      <c r="GG19" s="0"/>
      <c r="GH19" s="0"/>
      <c r="GI19" s="0"/>
      <c r="GJ19" s="0"/>
      <c r="GK19" s="0"/>
      <c r="GL19" s="0"/>
      <c r="GM19" s="0"/>
      <c r="GN19" s="0"/>
      <c r="GO19" s="0"/>
      <c r="GP19" s="0"/>
      <c r="GQ19" s="0"/>
      <c r="GR19" s="0"/>
      <c r="GS19" s="0"/>
      <c r="GT19" s="0"/>
      <c r="GU19" s="0"/>
      <c r="GV19" s="0"/>
      <c r="GW19" s="0"/>
      <c r="GX19" s="0"/>
      <c r="GY19" s="0"/>
      <c r="GZ19" s="0"/>
      <c r="HA19" s="0"/>
      <c r="HB19" s="0"/>
      <c r="HC19" s="0"/>
      <c r="HD19" s="0"/>
      <c r="HE19" s="0"/>
      <c r="HF19" s="0"/>
      <c r="HG19" s="0"/>
      <c r="HH19" s="0"/>
      <c r="HI19" s="0"/>
      <c r="HJ19" s="0"/>
      <c r="HK19" s="0"/>
      <c r="HL19" s="0"/>
      <c r="HM19" s="0"/>
      <c r="HN19" s="0"/>
      <c r="HO19" s="0"/>
      <c r="HP19" s="0"/>
      <c r="HQ19" s="0"/>
      <c r="HR19" s="0"/>
      <c r="HS19" s="0"/>
      <c r="HT19" s="0"/>
      <c r="HU19" s="0"/>
      <c r="HV19" s="0"/>
      <c r="HW19" s="0"/>
      <c r="HX19" s="0"/>
      <c r="HY19" s="0"/>
      <c r="HZ19" s="0"/>
      <c r="IA19" s="0"/>
      <c r="IB19" s="0"/>
      <c r="IC19" s="0"/>
      <c r="ID19" s="0"/>
      <c r="IE19" s="0"/>
      <c r="IF19" s="0"/>
      <c r="IG19" s="0"/>
      <c r="IH19" s="0"/>
      <c r="II19" s="0"/>
      <c r="IJ19" s="0"/>
      <c r="IK19" s="0"/>
      <c r="IL19" s="0"/>
      <c r="IM19" s="0"/>
      <c r="IN19" s="0"/>
      <c r="IO19" s="0"/>
      <c r="IP19" s="0"/>
      <c r="IQ19" s="0"/>
      <c r="IR19" s="0"/>
      <c r="IS19" s="0"/>
      <c r="IT19" s="0"/>
      <c r="IU19" s="0"/>
      <c r="IV19" s="0"/>
      <c r="IW19" s="0"/>
    </row>
    <row r="20" customFormat="false" ht="11.1" hidden="false" customHeight="true" outlineLevel="0" collapsed="false">
      <c r="A20" s="118" t="n">
        <f aca="false">A19+1</f>
        <v>9</v>
      </c>
      <c r="B20" s="168" t="n">
        <v>6883.39</v>
      </c>
      <c r="C20" s="112" t="n">
        <v>226556</v>
      </c>
      <c r="D20" s="117" t="n">
        <f aca="false">C20-C19</f>
        <v>-974</v>
      </c>
      <c r="E20" s="112" t="n">
        <f aca="false">C20-152000</f>
        <v>74556</v>
      </c>
      <c r="F20" s="180" t="n">
        <f aca="false">D20/$D$2</f>
        <v>-491.051172170406</v>
      </c>
      <c r="G20" s="111" t="n">
        <v>110</v>
      </c>
      <c r="H20" s="181" t="n">
        <v>0</v>
      </c>
      <c r="I20" s="111" t="n">
        <f aca="false">G20+H20</f>
        <v>110</v>
      </c>
      <c r="J20" s="181" t="n">
        <f aca="false">IF(L20&gt;0,L20,0)</f>
        <v>0</v>
      </c>
      <c r="K20" s="111" t="n">
        <f aca="false">I20+J20</f>
        <v>110</v>
      </c>
      <c r="L20" s="111" t="n">
        <f aca="false">F20-(I20-X20)</f>
        <v>-0.551172170405835</v>
      </c>
      <c r="M20" s="182" t="n">
        <v>197</v>
      </c>
      <c r="N20" s="111" t="n">
        <v>0</v>
      </c>
      <c r="O20" s="111" t="n">
        <f aca="false">25.62*1.05</f>
        <v>26.901</v>
      </c>
      <c r="P20" s="90" t="n">
        <f aca="false">M20-(N20+O20)</f>
        <v>170.099</v>
      </c>
      <c r="Q20" s="111" t="n">
        <v>66</v>
      </c>
      <c r="R20" s="111" t="n">
        <v>73</v>
      </c>
      <c r="S20" s="111" t="n">
        <f aca="false">SUM(P20:R20)</f>
        <v>309.099</v>
      </c>
      <c r="T20" s="112" t="n">
        <f aca="false">T19+AE20-(AF20/1.9835)+AG20</f>
        <v>13822.9818241961</v>
      </c>
      <c r="U20" s="111" t="n">
        <v>225.5</v>
      </c>
      <c r="V20" s="235" t="n">
        <v>39</v>
      </c>
      <c r="W20" s="236" t="n">
        <f aca="false">W19-V20</f>
        <v>5972.49231157046</v>
      </c>
      <c r="X20" s="6" t="n">
        <f aca="false">N20+O20+S20+U20+V20</f>
        <v>600.5</v>
      </c>
      <c r="Y20" s="111" t="n">
        <f aca="false">IF(L20&lt;0,L20*-1,0)</f>
        <v>0.551172170405835</v>
      </c>
      <c r="Z20" s="111" t="n">
        <f aca="false">X20+Y20</f>
        <v>601.051172170406</v>
      </c>
      <c r="AA20" s="350" t="n">
        <v>0</v>
      </c>
      <c r="AB20" s="183" t="n">
        <v>93</v>
      </c>
      <c r="AC20" s="167" t="n">
        <v>56</v>
      </c>
      <c r="AD20" s="118" t="n">
        <v>0</v>
      </c>
      <c r="AE20" s="87" t="n">
        <f aca="false">(I20-8-2.7)-(S20-8)</f>
        <v>-201.799</v>
      </c>
      <c r="AF20" s="339" t="n">
        <f aca="false">23.5*(T19*1.9835-S20*1.9835)/E20</f>
        <v>8.56833738784941</v>
      </c>
      <c r="AG20" s="242" t="n">
        <v>15</v>
      </c>
      <c r="AH20" s="0"/>
      <c r="AI20" s="0"/>
      <c r="AJ20" s="0"/>
      <c r="AK20" s="0"/>
      <c r="AL20" s="0"/>
      <c r="AM20" s="0"/>
      <c r="AN20" s="0"/>
      <c r="AO20" s="0"/>
      <c r="AP20" s="0"/>
      <c r="AQ20" s="0"/>
      <c r="AR20" s="0"/>
      <c r="AS20" s="0"/>
      <c r="AT20" s="0"/>
      <c r="AU20" s="0"/>
      <c r="AV20" s="0"/>
      <c r="AW20" s="0"/>
      <c r="AX20" s="0"/>
      <c r="AY20" s="0"/>
      <c r="AZ20" s="0"/>
      <c r="BA20" s="0"/>
      <c r="BB20" s="0"/>
      <c r="BC20" s="0"/>
      <c r="BD20" s="0"/>
      <c r="BE20" s="0"/>
      <c r="BF20" s="0"/>
      <c r="BG20" s="0"/>
      <c r="BH20" s="0"/>
      <c r="BI20" s="0"/>
      <c r="BJ20" s="0"/>
      <c r="BK20" s="0"/>
      <c r="BL20" s="0"/>
      <c r="BM20" s="0"/>
      <c r="BN20" s="0"/>
      <c r="BO20" s="0"/>
      <c r="BP20" s="0"/>
      <c r="BQ20" s="0"/>
      <c r="BR20" s="0"/>
      <c r="BS20" s="0"/>
      <c r="BT20" s="0"/>
      <c r="BU20" s="0"/>
      <c r="BV20" s="0"/>
      <c r="BW20" s="0"/>
      <c r="BX20" s="0"/>
      <c r="BY20" s="0"/>
      <c r="BZ20" s="0"/>
      <c r="CA20" s="0"/>
      <c r="CB20" s="0"/>
      <c r="CC20" s="0"/>
      <c r="CD20" s="0"/>
      <c r="CE20" s="0"/>
      <c r="CF20" s="0"/>
      <c r="CG20" s="0"/>
      <c r="CH20" s="0"/>
      <c r="CI20" s="0"/>
      <c r="CJ20" s="0"/>
      <c r="CK20" s="0"/>
      <c r="CL20" s="0"/>
      <c r="CM20" s="0"/>
      <c r="CN20" s="0"/>
      <c r="CO20" s="0"/>
      <c r="CP20" s="0"/>
      <c r="CQ20" s="0"/>
      <c r="CR20" s="0"/>
      <c r="CS20" s="0"/>
      <c r="CT20" s="0"/>
      <c r="CU20" s="0"/>
      <c r="CV20" s="0"/>
      <c r="CW20" s="0"/>
      <c r="CX20" s="0"/>
      <c r="CY20" s="0"/>
      <c r="CZ20" s="0"/>
      <c r="DA20" s="0"/>
      <c r="DB20" s="0"/>
      <c r="DC20" s="0"/>
      <c r="DD20" s="0"/>
      <c r="DE20" s="0"/>
      <c r="DF20" s="0"/>
      <c r="DG20" s="0"/>
      <c r="DH20" s="0"/>
      <c r="DI20" s="0"/>
      <c r="DJ20" s="0"/>
      <c r="DK20" s="0"/>
      <c r="DL20" s="0"/>
      <c r="DM20" s="0"/>
      <c r="DN20" s="0"/>
      <c r="DO20" s="0"/>
      <c r="DP20" s="0"/>
      <c r="DQ20" s="0"/>
      <c r="DR20" s="0"/>
      <c r="DS20" s="0"/>
      <c r="DT20" s="0"/>
      <c r="DU20" s="0"/>
      <c r="DV20" s="0"/>
      <c r="DW20" s="0"/>
      <c r="DX20" s="0"/>
      <c r="DY20" s="0"/>
      <c r="DZ20" s="0"/>
      <c r="EA20" s="0"/>
      <c r="EB20" s="0"/>
      <c r="EC20" s="0"/>
      <c r="ED20" s="0"/>
      <c r="EE20" s="0"/>
      <c r="EF20" s="0"/>
      <c r="EG20" s="0"/>
      <c r="EH20" s="0"/>
      <c r="EI20" s="0"/>
      <c r="EJ20" s="0"/>
      <c r="EK20" s="0"/>
      <c r="EL20" s="0"/>
      <c r="EM20" s="0"/>
      <c r="EN20" s="0"/>
      <c r="EO20" s="0"/>
      <c r="EP20" s="0"/>
      <c r="EQ20" s="0"/>
      <c r="ER20" s="0"/>
      <c r="ES20" s="0"/>
      <c r="ET20" s="0"/>
      <c r="EU20" s="0"/>
      <c r="EV20" s="0"/>
      <c r="EW20" s="0"/>
      <c r="EX20" s="0"/>
      <c r="EY20" s="0"/>
      <c r="EZ20" s="0"/>
      <c r="FA20" s="0"/>
      <c r="FB20" s="0"/>
      <c r="FC20" s="0"/>
      <c r="FD20" s="0"/>
      <c r="FE20" s="0"/>
      <c r="FF20" s="0"/>
      <c r="FG20" s="0"/>
      <c r="FH20" s="0"/>
      <c r="FI20" s="0"/>
      <c r="FJ20" s="0"/>
      <c r="FK20" s="0"/>
      <c r="FL20" s="0"/>
      <c r="FM20" s="0"/>
      <c r="FN20" s="0"/>
      <c r="FO20" s="0"/>
      <c r="FP20" s="0"/>
      <c r="FQ20" s="0"/>
      <c r="FR20" s="0"/>
      <c r="FS20" s="0"/>
      <c r="FT20" s="0"/>
      <c r="FU20" s="0"/>
      <c r="FV20" s="0"/>
      <c r="FW20" s="0"/>
      <c r="FX20" s="0"/>
      <c r="FY20" s="0"/>
      <c r="FZ20" s="0"/>
      <c r="GA20" s="0"/>
      <c r="GB20" s="0"/>
      <c r="GC20" s="0"/>
      <c r="GD20" s="0"/>
      <c r="GE20" s="0"/>
      <c r="GF20" s="0"/>
      <c r="GG20" s="0"/>
      <c r="GH20" s="0"/>
      <c r="GI20" s="0"/>
      <c r="GJ20" s="0"/>
      <c r="GK20" s="0"/>
      <c r="GL20" s="0"/>
      <c r="GM20" s="0"/>
      <c r="GN20" s="0"/>
      <c r="GO20" s="0"/>
      <c r="GP20" s="0"/>
      <c r="GQ20" s="0"/>
      <c r="GR20" s="0"/>
      <c r="GS20" s="0"/>
      <c r="GT20" s="0"/>
      <c r="GU20" s="0"/>
      <c r="GV20" s="0"/>
      <c r="GW20" s="0"/>
      <c r="GX20" s="0"/>
      <c r="GY20" s="0"/>
      <c r="GZ20" s="0"/>
      <c r="HA20" s="0"/>
      <c r="HB20" s="0"/>
      <c r="HC20" s="0"/>
      <c r="HD20" s="0"/>
      <c r="HE20" s="0"/>
      <c r="HF20" s="0"/>
      <c r="HG20" s="0"/>
      <c r="HH20" s="0"/>
      <c r="HI20" s="0"/>
      <c r="HJ20" s="0"/>
      <c r="HK20" s="0"/>
      <c r="HL20" s="0"/>
      <c r="HM20" s="0"/>
      <c r="HN20" s="0"/>
      <c r="HO20" s="0"/>
      <c r="HP20" s="0"/>
      <c r="HQ20" s="0"/>
      <c r="HR20" s="0"/>
      <c r="HS20" s="0"/>
      <c r="HT20" s="0"/>
      <c r="HU20" s="0"/>
      <c r="HV20" s="0"/>
      <c r="HW20" s="0"/>
      <c r="HX20" s="0"/>
      <c r="HY20" s="0"/>
      <c r="HZ20" s="0"/>
      <c r="IA20" s="0"/>
      <c r="IB20" s="0"/>
      <c r="IC20" s="0"/>
      <c r="ID20" s="0"/>
      <c r="IE20" s="0"/>
      <c r="IF20" s="0"/>
      <c r="IG20" s="0"/>
      <c r="IH20" s="0"/>
      <c r="II20" s="0"/>
      <c r="IJ20" s="0"/>
      <c r="IK20" s="0"/>
      <c r="IL20" s="0"/>
      <c r="IM20" s="0"/>
      <c r="IN20" s="0"/>
      <c r="IO20" s="0"/>
      <c r="IP20" s="0"/>
      <c r="IQ20" s="0"/>
      <c r="IR20" s="0"/>
      <c r="IS20" s="0"/>
      <c r="IT20" s="0"/>
      <c r="IU20" s="0"/>
      <c r="IV20" s="0"/>
      <c r="IW20" s="0"/>
    </row>
    <row r="21" customFormat="false" ht="11.1" hidden="false" customHeight="true" outlineLevel="0" collapsed="false">
      <c r="A21" s="118" t="n">
        <f aca="false">A20+1</f>
        <v>10</v>
      </c>
      <c r="B21" s="168" t="n">
        <v>6883.1</v>
      </c>
      <c r="C21" s="112" t="n">
        <v>225674</v>
      </c>
      <c r="D21" s="117" t="n">
        <f aca="false">C21-C20</f>
        <v>-882</v>
      </c>
      <c r="E21" s="112" t="n">
        <f aca="false">C21-152000</f>
        <v>73674</v>
      </c>
      <c r="F21" s="180" t="n">
        <f aca="false">D21/$D$2</f>
        <v>-444.668515250819</v>
      </c>
      <c r="G21" s="111" t="n">
        <v>99</v>
      </c>
      <c r="H21" s="181" t="n">
        <v>0</v>
      </c>
      <c r="I21" s="111" t="n">
        <f aca="false">G21+H21</f>
        <v>99</v>
      </c>
      <c r="J21" s="181" t="n">
        <f aca="false">IF(L21&gt;0,L21,0)</f>
        <v>23.3914847491807</v>
      </c>
      <c r="K21" s="111" t="n">
        <f aca="false">I21+J21</f>
        <v>122.391484749181</v>
      </c>
      <c r="L21" s="111" t="n">
        <f aca="false">F21-(I21-X21)</f>
        <v>23.3914847491807</v>
      </c>
      <c r="M21" s="182" t="n">
        <v>191</v>
      </c>
      <c r="N21" s="111" t="n">
        <v>0</v>
      </c>
      <c r="O21" s="111" t="n">
        <f aca="false">23.11*1.05</f>
        <v>24.2655</v>
      </c>
      <c r="P21" s="90" t="n">
        <f aca="false">M21-(N21+O21)</f>
        <v>166.7345</v>
      </c>
      <c r="Q21" s="111" t="n">
        <v>67</v>
      </c>
      <c r="R21" s="111" t="n">
        <v>74</v>
      </c>
      <c r="S21" s="111" t="n">
        <f aca="false">SUM(P21:R21)</f>
        <v>307.7345</v>
      </c>
      <c r="T21" s="112" t="n">
        <f aca="false">T20+AE21-(AF21/1.9835)+AG21</f>
        <v>13622.2363282937</v>
      </c>
      <c r="U21" s="111" t="n">
        <v>196.06</v>
      </c>
      <c r="V21" s="235" t="n">
        <v>39</v>
      </c>
      <c r="W21" s="236" t="n">
        <f aca="false">W20-V21</f>
        <v>5933.49231157046</v>
      </c>
      <c r="X21" s="6" t="n">
        <f aca="false">N21+O21+S21+U21+V21</f>
        <v>567.06</v>
      </c>
      <c r="Y21" s="111" t="n">
        <f aca="false">IF(L21&lt;0,L21*-1,0)</f>
        <v>0</v>
      </c>
      <c r="Z21" s="111" t="n">
        <f aca="false">X21+Y21</f>
        <v>567.06</v>
      </c>
      <c r="AA21" s="350" t="n">
        <v>0</v>
      </c>
      <c r="AB21" s="117" t="n">
        <v>95</v>
      </c>
      <c r="AC21" s="167" t="n">
        <v>51</v>
      </c>
      <c r="AD21" s="118" t="n">
        <v>0</v>
      </c>
      <c r="AE21" s="87" t="n">
        <f aca="false">(I21-8-2.7)-(S21-8)</f>
        <v>-211.4345</v>
      </c>
      <c r="AF21" s="339" t="n">
        <f aca="false">23.5*(T20*1.9835-S21*1.9835)/E21</f>
        <v>8.55086037255016</v>
      </c>
      <c r="AG21" s="242" t="n">
        <v>15</v>
      </c>
      <c r="AH21" s="0"/>
      <c r="AI21" s="0"/>
      <c r="AJ21" s="0"/>
      <c r="AK21" s="0"/>
      <c r="AL21" s="0"/>
      <c r="AM21" s="0"/>
      <c r="AN21" s="0"/>
      <c r="AO21" s="0"/>
      <c r="AP21" s="0"/>
      <c r="AQ21" s="0"/>
      <c r="AR21" s="0"/>
      <c r="AS21" s="0"/>
      <c r="AT21" s="0"/>
      <c r="AU21" s="0"/>
      <c r="AV21" s="0"/>
      <c r="AW21" s="0"/>
      <c r="AX21" s="0"/>
      <c r="AY21" s="0"/>
      <c r="AZ21" s="0"/>
      <c r="BA21" s="0"/>
      <c r="BB21" s="0"/>
      <c r="BC21" s="0"/>
      <c r="BD21" s="0"/>
      <c r="BE21" s="0"/>
      <c r="BF21" s="0"/>
      <c r="BG21" s="0"/>
      <c r="BH21" s="0"/>
      <c r="BI21" s="0"/>
      <c r="BJ21" s="0"/>
      <c r="BK21" s="0"/>
      <c r="BL21" s="0"/>
      <c r="BM21" s="0"/>
      <c r="BN21" s="0"/>
      <c r="BO21" s="0"/>
      <c r="BP21" s="0"/>
      <c r="BQ21" s="0"/>
      <c r="BR21" s="0"/>
      <c r="BS21" s="0"/>
      <c r="BT21" s="0"/>
      <c r="BU21" s="0"/>
      <c r="BV21" s="0"/>
      <c r="BW21" s="0"/>
      <c r="BX21" s="0"/>
      <c r="BY21" s="0"/>
      <c r="BZ21" s="0"/>
      <c r="CA21" s="0"/>
      <c r="CB21" s="0"/>
      <c r="CC21" s="0"/>
      <c r="CD21" s="0"/>
      <c r="CE21" s="0"/>
      <c r="CF21" s="0"/>
      <c r="CG21" s="0"/>
      <c r="CH21" s="0"/>
      <c r="CI21" s="0"/>
      <c r="CJ21" s="0"/>
      <c r="CK21" s="0"/>
      <c r="CL21" s="0"/>
      <c r="CM21" s="0"/>
      <c r="CN21" s="0"/>
      <c r="CO21" s="0"/>
      <c r="CP21" s="0"/>
      <c r="CQ21" s="0"/>
      <c r="CR21" s="0"/>
      <c r="CS21" s="0"/>
      <c r="CT21" s="0"/>
      <c r="CU21" s="0"/>
      <c r="CV21" s="0"/>
      <c r="CW21" s="0"/>
      <c r="CX21" s="0"/>
      <c r="CY21" s="0"/>
      <c r="CZ21" s="0"/>
      <c r="DA21" s="0"/>
      <c r="DB21" s="0"/>
      <c r="DC21" s="0"/>
      <c r="DD21" s="0"/>
      <c r="DE21" s="0"/>
      <c r="DF21" s="0"/>
      <c r="DG21" s="0"/>
      <c r="DH21" s="0"/>
      <c r="DI21" s="0"/>
      <c r="DJ21" s="0"/>
      <c r="DK21" s="0"/>
      <c r="DL21" s="0"/>
      <c r="DM21" s="0"/>
      <c r="DN21" s="0"/>
      <c r="DO21" s="0"/>
      <c r="DP21" s="0"/>
      <c r="DQ21" s="0"/>
      <c r="DR21" s="0"/>
      <c r="DS21" s="0"/>
      <c r="DT21" s="0"/>
      <c r="DU21" s="0"/>
      <c r="DV21" s="0"/>
      <c r="DW21" s="0"/>
      <c r="DX21" s="0"/>
      <c r="DY21" s="0"/>
      <c r="DZ21" s="0"/>
      <c r="EA21" s="0"/>
      <c r="EB21" s="0"/>
      <c r="EC21" s="0"/>
      <c r="ED21" s="0"/>
      <c r="EE21" s="0"/>
      <c r="EF21" s="0"/>
      <c r="EG21" s="0"/>
      <c r="EH21" s="0"/>
      <c r="EI21" s="0"/>
      <c r="EJ21" s="0"/>
      <c r="EK21" s="0"/>
      <c r="EL21" s="0"/>
      <c r="EM21" s="0"/>
      <c r="EN21" s="0"/>
      <c r="EO21" s="0"/>
      <c r="EP21" s="0"/>
      <c r="EQ21" s="0"/>
      <c r="ER21" s="0"/>
      <c r="ES21" s="0"/>
      <c r="ET21" s="0"/>
      <c r="EU21" s="0"/>
      <c r="EV21" s="0"/>
      <c r="EW21" s="0"/>
      <c r="EX21" s="0"/>
      <c r="EY21" s="0"/>
      <c r="EZ21" s="0"/>
      <c r="FA21" s="0"/>
      <c r="FB21" s="0"/>
      <c r="FC21" s="0"/>
      <c r="FD21" s="0"/>
      <c r="FE21" s="0"/>
      <c r="FF21" s="0"/>
      <c r="FG21" s="0"/>
      <c r="FH21" s="0"/>
      <c r="FI21" s="0"/>
      <c r="FJ21" s="0"/>
      <c r="FK21" s="0"/>
      <c r="FL21" s="0"/>
      <c r="FM21" s="0"/>
      <c r="FN21" s="0"/>
      <c r="FO21" s="0"/>
      <c r="FP21" s="0"/>
      <c r="FQ21" s="0"/>
      <c r="FR21" s="0"/>
      <c r="FS21" s="0"/>
      <c r="FT21" s="0"/>
      <c r="FU21" s="0"/>
      <c r="FV21" s="0"/>
      <c r="FW21" s="0"/>
      <c r="FX21" s="0"/>
      <c r="FY21" s="0"/>
      <c r="FZ21" s="0"/>
      <c r="GA21" s="0"/>
      <c r="GB21" s="0"/>
      <c r="GC21" s="0"/>
      <c r="GD21" s="0"/>
      <c r="GE21" s="0"/>
      <c r="GF21" s="0"/>
      <c r="GG21" s="0"/>
      <c r="GH21" s="0"/>
      <c r="GI21" s="0"/>
      <c r="GJ21" s="0"/>
      <c r="GK21" s="0"/>
      <c r="GL21" s="0"/>
      <c r="GM21" s="0"/>
      <c r="GN21" s="0"/>
      <c r="GO21" s="0"/>
      <c r="GP21" s="0"/>
      <c r="GQ21" s="0"/>
      <c r="GR21" s="0"/>
      <c r="GS21" s="0"/>
      <c r="GT21" s="0"/>
      <c r="GU21" s="0"/>
      <c r="GV21" s="0"/>
      <c r="GW21" s="0"/>
      <c r="GX21" s="0"/>
      <c r="GY21" s="0"/>
      <c r="GZ21" s="0"/>
      <c r="HA21" s="0"/>
      <c r="HB21" s="0"/>
      <c r="HC21" s="0"/>
      <c r="HD21" s="0"/>
      <c r="HE21" s="0"/>
      <c r="HF21" s="0"/>
      <c r="HG21" s="0"/>
      <c r="HH21" s="0"/>
      <c r="HI21" s="0"/>
      <c r="HJ21" s="0"/>
      <c r="HK21" s="0"/>
      <c r="HL21" s="0"/>
      <c r="HM21" s="0"/>
      <c r="HN21" s="0"/>
      <c r="HO21" s="0"/>
      <c r="HP21" s="0"/>
      <c r="HQ21" s="0"/>
      <c r="HR21" s="0"/>
      <c r="HS21" s="0"/>
      <c r="HT21" s="0"/>
      <c r="HU21" s="0"/>
      <c r="HV21" s="0"/>
      <c r="HW21" s="0"/>
      <c r="HX21" s="0"/>
      <c r="HY21" s="0"/>
      <c r="HZ21" s="0"/>
      <c r="IA21" s="0"/>
      <c r="IB21" s="0"/>
      <c r="IC21" s="0"/>
      <c r="ID21" s="0"/>
      <c r="IE21" s="0"/>
      <c r="IF21" s="0"/>
      <c r="IG21" s="0"/>
      <c r="IH21" s="0"/>
      <c r="II21" s="0"/>
      <c r="IJ21" s="0"/>
      <c r="IK21" s="0"/>
      <c r="IL21" s="0"/>
      <c r="IM21" s="0"/>
      <c r="IN21" s="0"/>
      <c r="IO21" s="0"/>
      <c r="IP21" s="0"/>
      <c r="IQ21" s="0"/>
      <c r="IR21" s="0"/>
      <c r="IS21" s="0"/>
      <c r="IT21" s="0"/>
      <c r="IU21" s="0"/>
      <c r="IV21" s="0"/>
      <c r="IW21" s="0"/>
    </row>
    <row r="22" customFormat="false" ht="11.1" hidden="false" customHeight="true" outlineLevel="0" collapsed="false">
      <c r="A22" s="118" t="n">
        <f aca="false">A21+1</f>
        <v>11</v>
      </c>
      <c r="B22" s="168" t="n">
        <v>6882.76</v>
      </c>
      <c r="C22" s="112" t="n">
        <v>224614</v>
      </c>
      <c r="D22" s="117" t="n">
        <f aca="false">C22-C21</f>
        <v>-1060</v>
      </c>
      <c r="E22" s="112" t="n">
        <f aca="false">C22-152000</f>
        <v>72614</v>
      </c>
      <c r="F22" s="180" t="n">
        <f aca="false">D22/$D$2</f>
        <v>-534.408873203932</v>
      </c>
      <c r="G22" s="111" t="n">
        <v>136</v>
      </c>
      <c r="H22" s="181" t="n">
        <v>0</v>
      </c>
      <c r="I22" s="111" t="n">
        <f aca="false">G22+H22</f>
        <v>136</v>
      </c>
      <c r="J22" s="181" t="n">
        <f aca="false">IF(L22&gt;0,L22,0)</f>
        <v>0</v>
      </c>
      <c r="K22" s="111" t="n">
        <f aca="false">I22+J22</f>
        <v>136</v>
      </c>
      <c r="L22" s="111" t="n">
        <f aca="false">F22-(I22-X22)</f>
        <v>-111.098873203933</v>
      </c>
      <c r="M22" s="182" t="n">
        <v>191</v>
      </c>
      <c r="N22" s="111" t="n">
        <v>0</v>
      </c>
      <c r="O22" s="111" t="n">
        <f aca="false">21.45*1.05</f>
        <v>22.5225</v>
      </c>
      <c r="P22" s="90" t="n">
        <f aca="false">M22-(N22+O22)</f>
        <v>168.4775</v>
      </c>
      <c r="Q22" s="111" t="n">
        <v>67</v>
      </c>
      <c r="R22" s="111" t="n">
        <v>73</v>
      </c>
      <c r="S22" s="111" t="n">
        <f aca="false">SUM(P22:R22)</f>
        <v>308.4775</v>
      </c>
      <c r="T22" s="112" t="n">
        <f aca="false">T21+AE22-(AF22/1.9835)+AG22</f>
        <v>13457.7501091422</v>
      </c>
      <c r="U22" s="111" t="n">
        <v>190.31</v>
      </c>
      <c r="V22" s="235" t="n">
        <v>38</v>
      </c>
      <c r="W22" s="236" t="n">
        <f aca="false">W21-V22</f>
        <v>5895.49231157046</v>
      </c>
      <c r="X22" s="6" t="n">
        <f aca="false">N22+O22+S22+U22+V22</f>
        <v>559.31</v>
      </c>
      <c r="Y22" s="111" t="n">
        <f aca="false">IF(L22&lt;0,L22*-1,0)</f>
        <v>111.098873203933</v>
      </c>
      <c r="Z22" s="111" t="n">
        <f aca="false">X22+Y22</f>
        <v>670.408873203933</v>
      </c>
      <c r="AA22" s="350" t="n">
        <v>0</v>
      </c>
      <c r="AB22" s="117" t="n">
        <v>95</v>
      </c>
      <c r="AC22" s="167" t="n">
        <v>53</v>
      </c>
      <c r="AD22" s="118" t="n">
        <v>0</v>
      </c>
      <c r="AE22" s="87" t="n">
        <f aca="false">(I22-8-2.7)-(S22-8)</f>
        <v>-175.1775</v>
      </c>
      <c r="AF22" s="339" t="n">
        <f aca="false">23.5*(T21*1.9835-S22*1.9835)/E22</f>
        <v>8.54634443694234</v>
      </c>
      <c r="AG22" s="242" t="n">
        <v>15</v>
      </c>
      <c r="AH22" s="0"/>
      <c r="AI22" s="0"/>
      <c r="AJ22" s="0"/>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c r="BY22" s="0"/>
      <c r="BZ22" s="0"/>
      <c r="CA22" s="0"/>
      <c r="CB22" s="0"/>
      <c r="CC22" s="0"/>
      <c r="CD22" s="0"/>
      <c r="CE22" s="0"/>
      <c r="CF22" s="0"/>
      <c r="CG22" s="0"/>
      <c r="CH22" s="0"/>
      <c r="CI22" s="0"/>
      <c r="CJ22" s="0"/>
      <c r="CK22" s="0"/>
      <c r="CL22" s="0"/>
      <c r="CM22" s="0"/>
      <c r="CN22" s="0"/>
      <c r="CO22" s="0"/>
      <c r="CP22" s="0"/>
      <c r="CQ22" s="0"/>
      <c r="CR22" s="0"/>
      <c r="CS22" s="0"/>
      <c r="CT22" s="0"/>
      <c r="CU22" s="0"/>
      <c r="CV22" s="0"/>
      <c r="CW22" s="0"/>
      <c r="CX22" s="0"/>
      <c r="CY22" s="0"/>
      <c r="CZ22" s="0"/>
      <c r="DA22" s="0"/>
      <c r="DB22" s="0"/>
      <c r="DC22" s="0"/>
      <c r="DD22" s="0"/>
      <c r="DE22" s="0"/>
      <c r="DF22" s="0"/>
      <c r="DG22" s="0"/>
      <c r="DH22" s="0"/>
      <c r="DI22" s="0"/>
      <c r="DJ22" s="0"/>
      <c r="DK22" s="0"/>
      <c r="DL22" s="0"/>
      <c r="DM22" s="0"/>
      <c r="DN22" s="0"/>
      <c r="DO22" s="0"/>
      <c r="DP22" s="0"/>
      <c r="DQ22" s="0"/>
      <c r="DR22" s="0"/>
      <c r="DS22" s="0"/>
      <c r="DT22" s="0"/>
      <c r="DU22" s="0"/>
      <c r="DV22" s="0"/>
      <c r="DW22" s="0"/>
      <c r="DX22" s="0"/>
      <c r="DY22" s="0"/>
      <c r="DZ22" s="0"/>
      <c r="EA22" s="0"/>
      <c r="EB22" s="0"/>
      <c r="EC22" s="0"/>
      <c r="ED22" s="0"/>
      <c r="EE22" s="0"/>
      <c r="EF22" s="0"/>
      <c r="EG22" s="0"/>
      <c r="EH22" s="0"/>
      <c r="EI22" s="0"/>
      <c r="EJ22" s="0"/>
      <c r="EK22" s="0"/>
      <c r="EL22" s="0"/>
      <c r="EM22" s="0"/>
      <c r="EN22" s="0"/>
      <c r="EO22" s="0"/>
      <c r="EP22" s="0"/>
      <c r="EQ22" s="0"/>
      <c r="ER22" s="0"/>
      <c r="ES22" s="0"/>
      <c r="ET22" s="0"/>
      <c r="EU22" s="0"/>
      <c r="EV22" s="0"/>
      <c r="EW22" s="0"/>
      <c r="EX22" s="0"/>
      <c r="EY22" s="0"/>
      <c r="EZ22" s="0"/>
      <c r="FA22" s="0"/>
      <c r="FB22" s="0"/>
      <c r="FC22" s="0"/>
      <c r="FD22" s="0"/>
      <c r="FE22" s="0"/>
      <c r="FF22" s="0"/>
      <c r="FG22" s="0"/>
      <c r="FH22" s="0"/>
      <c r="FI22" s="0"/>
      <c r="FJ22" s="0"/>
      <c r="FK22" s="0"/>
      <c r="FL22" s="0"/>
      <c r="FM22" s="0"/>
      <c r="FN22" s="0"/>
      <c r="FO22" s="0"/>
      <c r="FP22" s="0"/>
      <c r="FQ22" s="0"/>
      <c r="FR22" s="0"/>
      <c r="FS22" s="0"/>
      <c r="FT22" s="0"/>
      <c r="FU22" s="0"/>
      <c r="FV22" s="0"/>
      <c r="FW22" s="0"/>
      <c r="FX22" s="0"/>
      <c r="FY22" s="0"/>
      <c r="FZ22" s="0"/>
      <c r="GA22" s="0"/>
      <c r="GB22" s="0"/>
      <c r="GC22" s="0"/>
      <c r="GD22" s="0"/>
      <c r="GE22" s="0"/>
      <c r="GF22" s="0"/>
      <c r="GG22" s="0"/>
      <c r="GH22" s="0"/>
      <c r="GI22" s="0"/>
      <c r="GJ22" s="0"/>
      <c r="GK22" s="0"/>
      <c r="GL22" s="0"/>
      <c r="GM22" s="0"/>
      <c r="GN22" s="0"/>
      <c r="GO22" s="0"/>
      <c r="GP22" s="0"/>
      <c r="GQ22" s="0"/>
      <c r="GR22" s="0"/>
      <c r="GS22" s="0"/>
      <c r="GT22" s="0"/>
      <c r="GU22" s="0"/>
      <c r="GV22" s="0"/>
      <c r="GW22" s="0"/>
      <c r="GX22" s="0"/>
      <c r="GY22" s="0"/>
      <c r="GZ22" s="0"/>
      <c r="HA22" s="0"/>
      <c r="HB22" s="0"/>
      <c r="HC22" s="0"/>
      <c r="HD22" s="0"/>
      <c r="HE22" s="0"/>
      <c r="HF22" s="0"/>
      <c r="HG22" s="0"/>
      <c r="HH22" s="0"/>
      <c r="HI22" s="0"/>
      <c r="HJ22" s="0"/>
      <c r="HK22" s="0"/>
      <c r="HL22" s="0"/>
      <c r="HM22" s="0"/>
      <c r="HN22" s="0"/>
      <c r="HO22" s="0"/>
      <c r="HP22" s="0"/>
      <c r="HQ22" s="0"/>
      <c r="HR22" s="0"/>
      <c r="HS22" s="0"/>
      <c r="HT22" s="0"/>
      <c r="HU22" s="0"/>
      <c r="HV22" s="0"/>
      <c r="HW22" s="0"/>
      <c r="HX22" s="0"/>
      <c r="HY22" s="0"/>
      <c r="HZ22" s="0"/>
      <c r="IA22" s="0"/>
      <c r="IB22" s="0"/>
      <c r="IC22" s="0"/>
      <c r="ID22" s="0"/>
      <c r="IE22" s="0"/>
      <c r="IF22" s="0"/>
      <c r="IG22" s="0"/>
      <c r="IH22" s="0"/>
      <c r="II22" s="0"/>
      <c r="IJ22" s="0"/>
      <c r="IK22" s="0"/>
      <c r="IL22" s="0"/>
      <c r="IM22" s="0"/>
      <c r="IN22" s="0"/>
      <c r="IO22" s="0"/>
      <c r="IP22" s="0"/>
      <c r="IQ22" s="0"/>
      <c r="IR22" s="0"/>
      <c r="IS22" s="0"/>
      <c r="IT22" s="0"/>
      <c r="IU22" s="0"/>
      <c r="IV22" s="0"/>
      <c r="IW22" s="0"/>
    </row>
    <row r="23" customFormat="false" ht="11.1" hidden="false" customHeight="true" outlineLevel="0" collapsed="false">
      <c r="A23" s="118" t="n">
        <f aca="false">A22+1</f>
        <v>12</v>
      </c>
      <c r="B23" s="168" t="n">
        <v>6882.43</v>
      </c>
      <c r="C23" s="112" t="n">
        <v>223589</v>
      </c>
      <c r="D23" s="117" t="n">
        <f aca="false">C23-C22</f>
        <v>-1025</v>
      </c>
      <c r="E23" s="112" t="n">
        <f aca="false">C23-152000</f>
        <v>71589</v>
      </c>
      <c r="F23" s="180" t="n">
        <f aca="false">D23/$D$2</f>
        <v>-516.763297201916</v>
      </c>
      <c r="G23" s="111" t="n">
        <v>135</v>
      </c>
      <c r="H23" s="181" t="n">
        <v>0</v>
      </c>
      <c r="I23" s="111" t="n">
        <f aca="false">G23+H23</f>
        <v>135</v>
      </c>
      <c r="J23" s="181" t="n">
        <f aca="false">IF(L23&gt;0,L23,0)</f>
        <v>0</v>
      </c>
      <c r="K23" s="111" t="n">
        <f aca="false">I23+J23</f>
        <v>135</v>
      </c>
      <c r="L23" s="111" t="n">
        <f aca="false">F23-(I23-X23)</f>
        <v>-85.2032972019158</v>
      </c>
      <c r="M23" s="182" t="n">
        <v>193</v>
      </c>
      <c r="N23" s="111" t="n">
        <v>0</v>
      </c>
      <c r="O23" s="111" t="n">
        <f aca="false">22.94*1.05</f>
        <v>24.087</v>
      </c>
      <c r="P23" s="90" t="n">
        <f aca="false">M23-(N23+O23)</f>
        <v>168.913</v>
      </c>
      <c r="Q23" s="111" t="n">
        <v>67</v>
      </c>
      <c r="R23" s="111" t="n">
        <v>71</v>
      </c>
      <c r="S23" s="111" t="n">
        <f aca="false">SUM(P23:R23)</f>
        <v>306.913</v>
      </c>
      <c r="T23" s="112" t="n">
        <f aca="false">T22+AE23-(AF23/1.9835)+AG23</f>
        <v>13293.8201795571</v>
      </c>
      <c r="U23" s="111" t="n">
        <v>198.56</v>
      </c>
      <c r="V23" s="235" t="n">
        <v>37</v>
      </c>
      <c r="W23" s="236" t="n">
        <f aca="false">W22-V23</f>
        <v>5858.49231157046</v>
      </c>
      <c r="X23" s="6" t="n">
        <f aca="false">N23+O23+S23+U23+V23</f>
        <v>566.56</v>
      </c>
      <c r="Y23" s="111" t="n">
        <f aca="false">IF(L23&lt;0,L23*-1,0)</f>
        <v>85.2032972019158</v>
      </c>
      <c r="Z23" s="111" t="n">
        <f aca="false">X23+Y23</f>
        <v>651.763297201916</v>
      </c>
      <c r="AA23" s="350" t="n">
        <v>0</v>
      </c>
      <c r="AB23" s="117" t="n">
        <v>94</v>
      </c>
      <c r="AC23" s="167" t="n">
        <v>56</v>
      </c>
      <c r="AD23" s="118" t="n">
        <v>0</v>
      </c>
      <c r="AE23" s="87" t="n">
        <f aca="false">(I23-8-2.7)-(S23-8)</f>
        <v>-174.613</v>
      </c>
      <c r="AF23" s="339" t="n">
        <f aca="false">23.5*(T22*1.9835-S23*1.9835)/E23</f>
        <v>8.56262983196598</v>
      </c>
      <c r="AG23" s="242" t="n">
        <v>15</v>
      </c>
      <c r="AH23" s="0"/>
      <c r="AI23" s="0"/>
      <c r="AJ23" s="0"/>
      <c r="AK23" s="0"/>
      <c r="AL23" s="0"/>
      <c r="AM23" s="0"/>
      <c r="AN23" s="0"/>
      <c r="AO23" s="0"/>
      <c r="AP23" s="0"/>
      <c r="AQ23" s="0"/>
      <c r="AR23" s="0"/>
      <c r="AS23" s="0"/>
      <c r="AT23" s="0"/>
      <c r="AU23" s="0"/>
      <c r="AV23" s="0"/>
      <c r="AW23" s="0"/>
      <c r="AX23" s="0"/>
      <c r="AY23" s="0"/>
      <c r="AZ23" s="0"/>
      <c r="BA23" s="0"/>
      <c r="BB23" s="0"/>
      <c r="BC23" s="0"/>
      <c r="BD23" s="0"/>
      <c r="BE23" s="0"/>
      <c r="BF23" s="0"/>
      <c r="BG23" s="0"/>
      <c r="BH23" s="0"/>
      <c r="BI23" s="0"/>
      <c r="BJ23" s="0"/>
      <c r="BK23" s="0"/>
      <c r="BL23" s="0"/>
      <c r="BM23" s="0"/>
      <c r="BN23" s="0"/>
      <c r="BO23" s="0"/>
      <c r="BP23" s="0"/>
      <c r="BQ23" s="0"/>
      <c r="BR23" s="0"/>
      <c r="BS23" s="0"/>
      <c r="BT23" s="0"/>
      <c r="BU23" s="0"/>
      <c r="BV23" s="0"/>
      <c r="BW23" s="0"/>
      <c r="BX23" s="0"/>
      <c r="BY23" s="0"/>
      <c r="BZ23" s="0"/>
      <c r="CA23" s="0"/>
      <c r="CB23" s="0"/>
      <c r="CC23" s="0"/>
      <c r="CD23" s="0"/>
      <c r="CE23" s="0"/>
      <c r="CF23" s="0"/>
      <c r="CG23" s="0"/>
      <c r="CH23" s="0"/>
      <c r="CI23" s="0"/>
      <c r="CJ23" s="0"/>
      <c r="CK23" s="0"/>
      <c r="CL23" s="0"/>
      <c r="CM23" s="0"/>
      <c r="CN23" s="0"/>
      <c r="CO23" s="0"/>
      <c r="CP23" s="0"/>
      <c r="CQ23" s="0"/>
      <c r="CR23" s="0"/>
      <c r="CS23" s="0"/>
      <c r="CT23" s="0"/>
      <c r="CU23" s="0"/>
      <c r="CV23" s="0"/>
      <c r="CW23" s="0"/>
      <c r="CX23" s="0"/>
      <c r="CY23" s="0"/>
      <c r="CZ23" s="0"/>
      <c r="DA23" s="0"/>
      <c r="DB23" s="0"/>
      <c r="DC23" s="0"/>
      <c r="DD23" s="0"/>
      <c r="DE23" s="0"/>
      <c r="DF23" s="0"/>
      <c r="DG23" s="0"/>
      <c r="DH23" s="0"/>
      <c r="DI23" s="0"/>
      <c r="DJ23" s="0"/>
      <c r="DK23" s="0"/>
      <c r="DL23" s="0"/>
      <c r="DM23" s="0"/>
      <c r="DN23" s="0"/>
      <c r="DO23" s="0"/>
      <c r="DP23" s="0"/>
      <c r="DQ23" s="0"/>
      <c r="DR23" s="0"/>
      <c r="DS23" s="0"/>
      <c r="DT23" s="0"/>
      <c r="DU23" s="0"/>
      <c r="DV23" s="0"/>
      <c r="DW23" s="0"/>
      <c r="DX23" s="0"/>
      <c r="DY23" s="0"/>
      <c r="DZ23" s="0"/>
      <c r="EA23" s="0"/>
      <c r="EB23" s="0"/>
      <c r="EC23" s="0"/>
      <c r="ED23" s="0"/>
      <c r="EE23" s="0"/>
      <c r="EF23" s="0"/>
      <c r="EG23" s="0"/>
      <c r="EH23" s="0"/>
      <c r="EI23" s="0"/>
      <c r="EJ23" s="0"/>
      <c r="EK23" s="0"/>
      <c r="EL23" s="0"/>
      <c r="EM23" s="0"/>
      <c r="EN23" s="0"/>
      <c r="EO23" s="0"/>
      <c r="EP23" s="0"/>
      <c r="EQ23" s="0"/>
      <c r="ER23" s="0"/>
      <c r="ES23" s="0"/>
      <c r="ET23" s="0"/>
      <c r="EU23" s="0"/>
      <c r="EV23" s="0"/>
      <c r="EW23" s="0"/>
      <c r="EX23" s="0"/>
      <c r="EY23" s="0"/>
      <c r="EZ23" s="0"/>
      <c r="FA23" s="0"/>
      <c r="FB23" s="0"/>
      <c r="FC23" s="0"/>
      <c r="FD23" s="0"/>
      <c r="FE23" s="0"/>
      <c r="FF23" s="0"/>
      <c r="FG23" s="0"/>
      <c r="FH23" s="0"/>
      <c r="FI23" s="0"/>
      <c r="FJ23" s="0"/>
      <c r="FK23" s="0"/>
      <c r="FL23" s="0"/>
      <c r="FM23" s="0"/>
      <c r="FN23" s="0"/>
      <c r="FO23" s="0"/>
      <c r="FP23" s="0"/>
      <c r="FQ23" s="0"/>
      <c r="FR23" s="0"/>
      <c r="FS23" s="0"/>
      <c r="FT23" s="0"/>
      <c r="FU23" s="0"/>
      <c r="FV23" s="0"/>
      <c r="FW23" s="0"/>
      <c r="FX23" s="0"/>
      <c r="FY23" s="0"/>
      <c r="FZ23" s="0"/>
      <c r="GA23" s="0"/>
      <c r="GB23" s="0"/>
      <c r="GC23" s="0"/>
      <c r="GD23" s="0"/>
      <c r="GE23" s="0"/>
      <c r="GF23" s="0"/>
      <c r="GG23" s="0"/>
      <c r="GH23" s="0"/>
      <c r="GI23" s="0"/>
      <c r="GJ23" s="0"/>
      <c r="GK23" s="0"/>
      <c r="GL23" s="0"/>
      <c r="GM23" s="0"/>
      <c r="GN23" s="0"/>
      <c r="GO23" s="0"/>
      <c r="GP23" s="0"/>
      <c r="GQ23" s="0"/>
      <c r="GR23" s="0"/>
      <c r="GS23" s="0"/>
      <c r="GT23" s="0"/>
      <c r="GU23" s="0"/>
      <c r="GV23" s="0"/>
      <c r="GW23" s="0"/>
      <c r="GX23" s="0"/>
      <c r="GY23" s="0"/>
      <c r="GZ23" s="0"/>
      <c r="HA23" s="0"/>
      <c r="HB23" s="0"/>
      <c r="HC23" s="0"/>
      <c r="HD23" s="0"/>
      <c r="HE23" s="0"/>
      <c r="HF23" s="0"/>
      <c r="HG23" s="0"/>
      <c r="HH23" s="0"/>
      <c r="HI23" s="0"/>
      <c r="HJ23" s="0"/>
      <c r="HK23" s="0"/>
      <c r="HL23" s="0"/>
      <c r="HM23" s="0"/>
      <c r="HN23" s="0"/>
      <c r="HO23" s="0"/>
      <c r="HP23" s="0"/>
      <c r="HQ23" s="0"/>
      <c r="HR23" s="0"/>
      <c r="HS23" s="0"/>
      <c r="HT23" s="0"/>
      <c r="HU23" s="0"/>
      <c r="HV23" s="0"/>
      <c r="HW23" s="0"/>
      <c r="HX23" s="0"/>
      <c r="HY23" s="0"/>
      <c r="HZ23" s="0"/>
      <c r="IA23" s="0"/>
      <c r="IB23" s="0"/>
      <c r="IC23" s="0"/>
      <c r="ID23" s="0"/>
      <c r="IE23" s="0"/>
      <c r="IF23" s="0"/>
      <c r="IG23" s="0"/>
      <c r="IH23" s="0"/>
      <c r="II23" s="0"/>
      <c r="IJ23" s="0"/>
      <c r="IK23" s="0"/>
      <c r="IL23" s="0"/>
      <c r="IM23" s="0"/>
      <c r="IN23" s="0"/>
      <c r="IO23" s="0"/>
      <c r="IP23" s="0"/>
      <c r="IQ23" s="0"/>
      <c r="IR23" s="0"/>
      <c r="IS23" s="0"/>
      <c r="IT23" s="0"/>
      <c r="IU23" s="0"/>
      <c r="IV23" s="0"/>
      <c r="IW23" s="0"/>
    </row>
    <row r="24" customFormat="false" ht="11.1" hidden="false" customHeight="true" outlineLevel="0" collapsed="false">
      <c r="A24" s="118" t="n">
        <f aca="false">A23+1</f>
        <v>13</v>
      </c>
      <c r="B24" s="168" t="n">
        <v>6882.08</v>
      </c>
      <c r="C24" s="112" t="n">
        <v>222502</v>
      </c>
      <c r="D24" s="117" t="n">
        <f aca="false">C24-C23</f>
        <v>-1087</v>
      </c>
      <c r="E24" s="112" t="n">
        <f aca="false">C24-152000</f>
        <v>70502</v>
      </c>
      <c r="F24" s="180" t="n">
        <f aca="false">D24/$D$2</f>
        <v>-548.021174691202</v>
      </c>
      <c r="G24" s="111" t="n">
        <v>134</v>
      </c>
      <c r="H24" s="181" t="n">
        <v>0</v>
      </c>
      <c r="I24" s="111" t="n">
        <f aca="false">G24+H24</f>
        <v>134</v>
      </c>
      <c r="J24" s="181" t="n">
        <f aca="false">IF(L24&gt;0,L24,0)</f>
        <v>0</v>
      </c>
      <c r="K24" s="111" t="n">
        <f aca="false">I24+J24</f>
        <v>134</v>
      </c>
      <c r="L24" s="111" t="n">
        <f aca="false">F24-(I24-X24)</f>
        <v>-134.881174691202</v>
      </c>
      <c r="M24" s="182" t="n">
        <v>194</v>
      </c>
      <c r="N24" s="111" t="n">
        <v>2</v>
      </c>
      <c r="O24" s="111" t="n">
        <f aca="false">22.08*1.05</f>
        <v>23.184</v>
      </c>
      <c r="P24" s="90" t="n">
        <f aca="false">M24-(N24+O24)</f>
        <v>168.816</v>
      </c>
      <c r="Q24" s="111" t="n">
        <v>67</v>
      </c>
      <c r="R24" s="111" t="n">
        <v>70</v>
      </c>
      <c r="S24" s="111" t="n">
        <f aca="false">SUM(P24:R24)</f>
        <v>305.816</v>
      </c>
      <c r="T24" s="112" t="n">
        <f aca="false">T23+AE24-(AF24/1.9835)+AG24</f>
        <v>13129.9749676451</v>
      </c>
      <c r="U24" s="111" t="n">
        <v>179.14</v>
      </c>
      <c r="V24" s="235" t="n">
        <v>37</v>
      </c>
      <c r="W24" s="236" t="n">
        <f aca="false">W23-V24</f>
        <v>5821.49231157046</v>
      </c>
      <c r="X24" s="6" t="n">
        <f aca="false">N24+O24+S24+U24+V24</f>
        <v>547.14</v>
      </c>
      <c r="Y24" s="111" t="n">
        <f aca="false">IF(L24&lt;0,L24*-1,0)</f>
        <v>134.881174691202</v>
      </c>
      <c r="Z24" s="111" t="n">
        <f aca="false">X24+Y24</f>
        <v>682.021174691202</v>
      </c>
      <c r="AA24" s="350" t="n">
        <v>0</v>
      </c>
      <c r="AB24" s="117" t="n">
        <v>96</v>
      </c>
      <c r="AC24" s="167" t="n">
        <v>57</v>
      </c>
      <c r="AD24" s="118" t="n">
        <v>0</v>
      </c>
      <c r="AE24" s="87" t="n">
        <f aca="false">(I24-8-2.7)-(S24-8)</f>
        <v>-174.516</v>
      </c>
      <c r="AF24" s="339" t="n">
        <f aca="false">23.5*(T23*1.9835-S24*1.9835)/E24</f>
        <v>8.58699182744549</v>
      </c>
      <c r="AG24" s="242" t="n">
        <v>15</v>
      </c>
      <c r="AH24" s="0"/>
      <c r="AI24" s="0"/>
      <c r="AJ24" s="0"/>
      <c r="AK24" s="0"/>
      <c r="AL24" s="0"/>
      <c r="AM24" s="0"/>
      <c r="AN24" s="0"/>
      <c r="AO24" s="0"/>
      <c r="AP24" s="0"/>
      <c r="AQ24" s="0"/>
      <c r="AR24" s="0"/>
      <c r="AS24" s="0"/>
      <c r="AT24" s="0"/>
      <c r="AU24" s="0"/>
      <c r="AV24" s="0"/>
      <c r="AW24" s="0"/>
      <c r="AX24" s="0"/>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c r="BY24" s="0"/>
      <c r="BZ24" s="0"/>
      <c r="CA24" s="0"/>
      <c r="CB24" s="0"/>
      <c r="CC24" s="0"/>
      <c r="CD24" s="0"/>
      <c r="CE24" s="0"/>
      <c r="CF24" s="0"/>
      <c r="CG24" s="0"/>
      <c r="CH24" s="0"/>
      <c r="CI24" s="0"/>
      <c r="CJ24" s="0"/>
      <c r="CK24" s="0"/>
      <c r="CL24" s="0"/>
      <c r="CM24" s="0"/>
      <c r="CN24" s="0"/>
      <c r="CO24" s="0"/>
      <c r="CP24" s="0"/>
      <c r="CQ24" s="0"/>
      <c r="CR24" s="0"/>
      <c r="CS24" s="0"/>
      <c r="CT24" s="0"/>
      <c r="CU24" s="0"/>
      <c r="CV24" s="0"/>
      <c r="CW24" s="0"/>
      <c r="CX24" s="0"/>
      <c r="CY24" s="0"/>
      <c r="CZ24" s="0"/>
      <c r="DA24" s="0"/>
      <c r="DB24" s="0"/>
      <c r="DC24" s="0"/>
      <c r="DD24" s="0"/>
      <c r="DE24" s="0"/>
      <c r="DF24" s="0"/>
      <c r="DG24" s="0"/>
      <c r="DH24" s="0"/>
      <c r="DI24" s="0"/>
      <c r="DJ24" s="0"/>
      <c r="DK24" s="0"/>
      <c r="DL24" s="0"/>
      <c r="DM24" s="0"/>
      <c r="DN24" s="0"/>
      <c r="DO24" s="0"/>
      <c r="DP24" s="0"/>
      <c r="DQ24" s="0"/>
      <c r="DR24" s="0"/>
      <c r="DS24" s="0"/>
      <c r="DT24" s="0"/>
      <c r="DU24" s="0"/>
      <c r="DV24" s="0"/>
      <c r="DW24" s="0"/>
      <c r="DX24" s="0"/>
      <c r="DY24" s="0"/>
      <c r="DZ24" s="0"/>
      <c r="EA24" s="0"/>
      <c r="EB24" s="0"/>
      <c r="EC24" s="0"/>
      <c r="ED24" s="0"/>
      <c r="EE24" s="0"/>
      <c r="EF24" s="0"/>
      <c r="EG24" s="0"/>
      <c r="EH24" s="0"/>
      <c r="EI24" s="0"/>
      <c r="EJ24" s="0"/>
      <c r="EK24" s="0"/>
      <c r="EL24" s="0"/>
      <c r="EM24" s="0"/>
      <c r="EN24" s="0"/>
      <c r="EO24" s="0"/>
      <c r="EP24" s="0"/>
      <c r="EQ24" s="0"/>
      <c r="ER24" s="0"/>
      <c r="ES24" s="0"/>
      <c r="ET24" s="0"/>
      <c r="EU24" s="0"/>
      <c r="EV24" s="0"/>
      <c r="EW24" s="0"/>
      <c r="EX24" s="0"/>
      <c r="EY24" s="0"/>
      <c r="EZ24" s="0"/>
      <c r="FA24" s="0"/>
      <c r="FB24" s="0"/>
      <c r="FC24" s="0"/>
      <c r="FD24" s="0"/>
      <c r="FE24" s="0"/>
      <c r="FF24" s="0"/>
      <c r="FG24" s="0"/>
      <c r="FH24" s="0"/>
      <c r="FI24" s="0"/>
      <c r="FJ24" s="0"/>
      <c r="FK24" s="0"/>
      <c r="FL24" s="0"/>
      <c r="FM24" s="0"/>
      <c r="FN24" s="0"/>
      <c r="FO24" s="0"/>
      <c r="FP24" s="0"/>
      <c r="FQ24" s="0"/>
      <c r="FR24" s="0"/>
      <c r="FS24" s="0"/>
      <c r="FT24" s="0"/>
      <c r="FU24" s="0"/>
      <c r="FV24" s="0"/>
      <c r="FW24" s="0"/>
      <c r="FX24" s="0"/>
      <c r="FY24" s="0"/>
      <c r="FZ24" s="0"/>
      <c r="GA24" s="0"/>
      <c r="GB24" s="0"/>
      <c r="GC24" s="0"/>
      <c r="GD24" s="0"/>
      <c r="GE24" s="0"/>
      <c r="GF24" s="0"/>
      <c r="GG24" s="0"/>
      <c r="GH24" s="0"/>
      <c r="GI24" s="0"/>
      <c r="GJ24" s="0"/>
      <c r="GK24" s="0"/>
      <c r="GL24" s="0"/>
      <c r="GM24" s="0"/>
      <c r="GN24" s="0"/>
      <c r="GO24" s="0"/>
      <c r="GP24" s="0"/>
      <c r="GQ24" s="0"/>
      <c r="GR24" s="0"/>
      <c r="GS24" s="0"/>
      <c r="GT24" s="0"/>
      <c r="GU24" s="0"/>
      <c r="GV24" s="0"/>
      <c r="GW24" s="0"/>
      <c r="GX24" s="0"/>
      <c r="GY24" s="0"/>
      <c r="GZ24" s="0"/>
      <c r="HA24" s="0"/>
      <c r="HB24" s="0"/>
      <c r="HC24" s="0"/>
      <c r="HD24" s="0"/>
      <c r="HE24" s="0"/>
      <c r="HF24" s="0"/>
      <c r="HG24" s="0"/>
      <c r="HH24" s="0"/>
      <c r="HI24" s="0"/>
      <c r="HJ24" s="0"/>
      <c r="HK24" s="0"/>
      <c r="HL24" s="0"/>
      <c r="HM24" s="0"/>
      <c r="HN24" s="0"/>
      <c r="HO24" s="0"/>
      <c r="HP24" s="0"/>
      <c r="HQ24" s="0"/>
      <c r="HR24" s="0"/>
      <c r="HS24" s="0"/>
      <c r="HT24" s="0"/>
      <c r="HU24" s="0"/>
      <c r="HV24" s="0"/>
      <c r="HW24" s="0"/>
      <c r="HX24" s="0"/>
      <c r="HY24" s="0"/>
      <c r="HZ24" s="0"/>
      <c r="IA24" s="0"/>
      <c r="IB24" s="0"/>
      <c r="IC24" s="0"/>
      <c r="ID24" s="0"/>
      <c r="IE24" s="0"/>
      <c r="IF24" s="0"/>
      <c r="IG24" s="0"/>
      <c r="IH24" s="0"/>
      <c r="II24" s="0"/>
      <c r="IJ24" s="0"/>
      <c r="IK24" s="0"/>
      <c r="IL24" s="0"/>
      <c r="IM24" s="0"/>
      <c r="IN24" s="0"/>
      <c r="IO24" s="0"/>
      <c r="IP24" s="0"/>
      <c r="IQ24" s="0"/>
      <c r="IR24" s="0"/>
      <c r="IS24" s="0"/>
      <c r="IT24" s="0"/>
      <c r="IU24" s="0"/>
      <c r="IV24" s="0"/>
      <c r="IW24" s="0"/>
    </row>
    <row r="25" customFormat="false" ht="11.1" hidden="false" customHeight="true" outlineLevel="0" collapsed="false">
      <c r="A25" s="118" t="n">
        <f aca="false">A24+1</f>
        <v>14</v>
      </c>
      <c r="B25" s="168" t="n">
        <v>6881.76</v>
      </c>
      <c r="C25" s="112" t="n">
        <v>221517</v>
      </c>
      <c r="D25" s="117" t="n">
        <f aca="false">C25-C24</f>
        <v>-985</v>
      </c>
      <c r="E25" s="112" t="n">
        <f aca="false">C25-152000</f>
        <v>69517</v>
      </c>
      <c r="F25" s="180" t="n">
        <f aca="false">D25/$D$2</f>
        <v>-496.596924628182</v>
      </c>
      <c r="G25" s="111" t="n">
        <v>127</v>
      </c>
      <c r="H25" s="181" t="n">
        <v>0</v>
      </c>
      <c r="I25" s="111" t="n">
        <f aca="false">G25+H25</f>
        <v>127</v>
      </c>
      <c r="J25" s="181" t="n">
        <f aca="false">IF(L25&gt;0,L25,0)</f>
        <v>0</v>
      </c>
      <c r="K25" s="111" t="n">
        <f aca="false">I25+J25</f>
        <v>127</v>
      </c>
      <c r="L25" s="111" t="n">
        <f aca="false">F25-(I25-X25)</f>
        <v>-43.7069246281825</v>
      </c>
      <c r="M25" s="182" t="n">
        <v>196</v>
      </c>
      <c r="N25" s="111" t="n">
        <v>0</v>
      </c>
      <c r="O25" s="111" t="n">
        <f aca="false">19.59*1.05</f>
        <v>20.5695</v>
      </c>
      <c r="P25" s="90" t="n">
        <f aca="false">M25-(N25+O25)</f>
        <v>175.4305</v>
      </c>
      <c r="Q25" s="111" t="n">
        <v>66</v>
      </c>
      <c r="R25" s="111" t="n">
        <v>67</v>
      </c>
      <c r="S25" s="111" t="n">
        <f aca="false">SUM(P25:R25)</f>
        <v>308.4305</v>
      </c>
      <c r="T25" s="112" t="n">
        <f aca="false">T24+AE25-(AF25/1.9835)+AG25</f>
        <v>12956.5101854553</v>
      </c>
      <c r="U25" s="111" t="n">
        <v>212.89</v>
      </c>
      <c r="V25" s="235" t="n">
        <v>38</v>
      </c>
      <c r="W25" s="236" t="n">
        <f aca="false">W24-V25</f>
        <v>5783.49231157046</v>
      </c>
      <c r="X25" s="6" t="n">
        <f aca="false">N25+O25+S25+U25+V25</f>
        <v>579.89</v>
      </c>
      <c r="Y25" s="111" t="n">
        <f aca="false">IF(L25&lt;0,L25*-1,0)</f>
        <v>43.7069246281825</v>
      </c>
      <c r="Z25" s="111" t="n">
        <f aca="false">X25+Y25</f>
        <v>623.596924628183</v>
      </c>
      <c r="AA25" s="350" t="n">
        <v>0</v>
      </c>
      <c r="AB25" s="117" t="n">
        <v>97</v>
      </c>
      <c r="AC25" s="167" t="n">
        <v>57</v>
      </c>
      <c r="AD25" s="118" t="n">
        <v>0</v>
      </c>
      <c r="AE25" s="87" t="n">
        <f aca="false">(I25-8-2.7)-(S25-8)</f>
        <v>-184.1305</v>
      </c>
      <c r="AF25" s="339" t="n">
        <f aca="false">23.5*(T24*1.9835-S25*1.9835)/E25</f>
        <v>8.59704872350636</v>
      </c>
      <c r="AG25" s="242" t="n">
        <v>15</v>
      </c>
      <c r="AH25" s="0"/>
      <c r="AI25" s="0"/>
      <c r="AJ25" s="0"/>
      <c r="AK25" s="0"/>
      <c r="AL25" s="0"/>
      <c r="AM25" s="0"/>
      <c r="AN25" s="0"/>
      <c r="AO25" s="0"/>
      <c r="AP25" s="0"/>
      <c r="AQ25" s="0"/>
      <c r="AR25" s="0"/>
      <c r="AS25" s="0"/>
      <c r="AT25" s="0"/>
      <c r="AU25" s="0"/>
      <c r="AV25" s="0"/>
      <c r="AW25" s="0"/>
      <c r="AX25" s="0"/>
      <c r="AY25" s="0"/>
      <c r="AZ25" s="0"/>
      <c r="BA25" s="0"/>
      <c r="BB25" s="0"/>
      <c r="BC25" s="0"/>
      <c r="BD25" s="0"/>
      <c r="BE25" s="0"/>
      <c r="BF25" s="0"/>
      <c r="BG25" s="0"/>
      <c r="BH25" s="0"/>
      <c r="BI25" s="0"/>
      <c r="BJ25" s="0"/>
      <c r="BK25" s="0"/>
      <c r="BL25" s="0"/>
      <c r="BM25" s="0"/>
      <c r="BN25" s="0"/>
      <c r="BO25" s="0"/>
      <c r="BP25" s="0"/>
      <c r="BQ25" s="0"/>
      <c r="BR25" s="0"/>
      <c r="BS25" s="0"/>
      <c r="BT25" s="0"/>
      <c r="BU25" s="0"/>
      <c r="BV25" s="0"/>
      <c r="BW25" s="0"/>
      <c r="BX25" s="0"/>
      <c r="BY25" s="0"/>
      <c r="BZ25" s="0"/>
      <c r="CA25" s="0"/>
      <c r="CB25" s="0"/>
      <c r="CC25" s="0"/>
      <c r="CD25" s="0"/>
      <c r="CE25" s="0"/>
      <c r="CF25" s="0"/>
      <c r="CG25" s="0"/>
      <c r="CH25" s="0"/>
      <c r="CI25" s="0"/>
      <c r="CJ25" s="0"/>
      <c r="CK25" s="0"/>
      <c r="CL25" s="0"/>
      <c r="CM25" s="0"/>
      <c r="CN25" s="0"/>
      <c r="CO25" s="0"/>
      <c r="CP25" s="0"/>
      <c r="CQ25" s="0"/>
      <c r="CR25" s="0"/>
      <c r="CS25" s="0"/>
      <c r="CT25" s="0"/>
      <c r="CU25" s="0"/>
      <c r="CV25" s="0"/>
      <c r="CW25" s="0"/>
      <c r="CX25" s="0"/>
      <c r="CY25" s="0"/>
      <c r="CZ25" s="0"/>
      <c r="DA25" s="0"/>
      <c r="DB25" s="0"/>
      <c r="DC25" s="0"/>
      <c r="DD25" s="0"/>
      <c r="DE25" s="0"/>
      <c r="DF25" s="0"/>
      <c r="DG25" s="0"/>
      <c r="DH25" s="0"/>
      <c r="DI25" s="0"/>
      <c r="DJ25" s="0"/>
      <c r="DK25" s="0"/>
      <c r="DL25" s="0"/>
      <c r="DM25" s="0"/>
      <c r="DN25" s="0"/>
      <c r="DO25" s="0"/>
      <c r="DP25" s="0"/>
      <c r="DQ25" s="0"/>
      <c r="DR25" s="0"/>
      <c r="DS25" s="0"/>
      <c r="DT25" s="0"/>
      <c r="DU25" s="0"/>
      <c r="DV25" s="0"/>
      <c r="DW25" s="0"/>
      <c r="DX25" s="0"/>
      <c r="DY25" s="0"/>
      <c r="DZ25" s="0"/>
      <c r="EA25" s="0"/>
      <c r="EB25" s="0"/>
      <c r="EC25" s="0"/>
      <c r="ED25" s="0"/>
      <c r="EE25" s="0"/>
      <c r="EF25" s="0"/>
      <c r="EG25" s="0"/>
      <c r="EH25" s="0"/>
      <c r="EI25" s="0"/>
      <c r="EJ25" s="0"/>
      <c r="EK25" s="0"/>
      <c r="EL25" s="0"/>
      <c r="EM25" s="0"/>
      <c r="EN25" s="0"/>
      <c r="EO25" s="0"/>
      <c r="EP25" s="0"/>
      <c r="EQ25" s="0"/>
      <c r="ER25" s="0"/>
      <c r="ES25" s="0"/>
      <c r="ET25" s="0"/>
      <c r="EU25" s="0"/>
      <c r="EV25" s="0"/>
      <c r="EW25" s="0"/>
      <c r="EX25" s="0"/>
      <c r="EY25" s="0"/>
      <c r="EZ25" s="0"/>
      <c r="FA25" s="0"/>
      <c r="FB25" s="0"/>
      <c r="FC25" s="0"/>
      <c r="FD25" s="0"/>
      <c r="FE25" s="0"/>
      <c r="FF25" s="0"/>
      <c r="FG25" s="0"/>
      <c r="FH25" s="0"/>
      <c r="FI25" s="0"/>
      <c r="FJ25" s="0"/>
      <c r="FK25" s="0"/>
      <c r="FL25" s="0"/>
      <c r="FM25" s="0"/>
      <c r="FN25" s="0"/>
      <c r="FO25" s="0"/>
      <c r="FP25" s="0"/>
      <c r="FQ25" s="0"/>
      <c r="FR25" s="0"/>
      <c r="FS25" s="0"/>
      <c r="FT25" s="0"/>
      <c r="FU25" s="0"/>
      <c r="FV25" s="0"/>
      <c r="FW25" s="0"/>
      <c r="FX25" s="0"/>
      <c r="FY25" s="0"/>
      <c r="FZ25" s="0"/>
      <c r="GA25" s="0"/>
      <c r="GB25" s="0"/>
      <c r="GC25" s="0"/>
      <c r="GD25" s="0"/>
      <c r="GE25" s="0"/>
      <c r="GF25" s="0"/>
      <c r="GG25" s="0"/>
      <c r="GH25" s="0"/>
      <c r="GI25" s="0"/>
      <c r="GJ25" s="0"/>
      <c r="GK25" s="0"/>
      <c r="GL25" s="0"/>
      <c r="GM25" s="0"/>
      <c r="GN25" s="0"/>
      <c r="GO25" s="0"/>
      <c r="GP25" s="0"/>
      <c r="GQ25" s="0"/>
      <c r="GR25" s="0"/>
      <c r="GS25" s="0"/>
      <c r="GT25" s="0"/>
      <c r="GU25" s="0"/>
      <c r="GV25" s="0"/>
      <c r="GW25" s="0"/>
      <c r="GX25" s="0"/>
      <c r="GY25" s="0"/>
      <c r="GZ25" s="0"/>
      <c r="HA25" s="0"/>
      <c r="HB25" s="0"/>
      <c r="HC25" s="0"/>
      <c r="HD25" s="0"/>
      <c r="HE25" s="0"/>
      <c r="HF25" s="0"/>
      <c r="HG25" s="0"/>
      <c r="HH25" s="0"/>
      <c r="HI25" s="0"/>
      <c r="HJ25" s="0"/>
      <c r="HK25" s="0"/>
      <c r="HL25" s="0"/>
      <c r="HM25" s="0"/>
      <c r="HN25" s="0"/>
      <c r="HO25" s="0"/>
      <c r="HP25" s="0"/>
      <c r="HQ25" s="0"/>
      <c r="HR25" s="0"/>
      <c r="HS25" s="0"/>
      <c r="HT25" s="0"/>
      <c r="HU25" s="0"/>
      <c r="HV25" s="0"/>
      <c r="HW25" s="0"/>
      <c r="HX25" s="0"/>
      <c r="HY25" s="0"/>
      <c r="HZ25" s="0"/>
      <c r="IA25" s="0"/>
      <c r="IB25" s="0"/>
      <c r="IC25" s="0"/>
      <c r="ID25" s="0"/>
      <c r="IE25" s="0"/>
      <c r="IF25" s="0"/>
      <c r="IG25" s="0"/>
      <c r="IH25" s="0"/>
      <c r="II25" s="0"/>
      <c r="IJ25" s="0"/>
      <c r="IK25" s="0"/>
      <c r="IL25" s="0"/>
      <c r="IM25" s="0"/>
      <c r="IN25" s="0"/>
      <c r="IO25" s="0"/>
      <c r="IP25" s="0"/>
      <c r="IQ25" s="0"/>
      <c r="IR25" s="0"/>
      <c r="IS25" s="0"/>
      <c r="IT25" s="0"/>
      <c r="IU25" s="0"/>
      <c r="IV25" s="0"/>
      <c r="IW25" s="0"/>
    </row>
    <row r="26" customFormat="false" ht="11.1" hidden="false" customHeight="true" outlineLevel="0" collapsed="false">
      <c r="A26" s="118" t="n">
        <f aca="false">A25+1</f>
        <v>15</v>
      </c>
      <c r="B26" s="168" t="n">
        <v>6881.45</v>
      </c>
      <c r="C26" s="112" t="n">
        <v>220567</v>
      </c>
      <c r="D26" s="117" t="n">
        <f aca="false">C26-C25</f>
        <v>-950</v>
      </c>
      <c r="E26" s="112" t="n">
        <f aca="false">C26-152000</f>
        <v>68567</v>
      </c>
      <c r="F26" s="180" t="n">
        <f aca="false">D26/$D$2</f>
        <v>-478.951348626166</v>
      </c>
      <c r="G26" s="111" t="n">
        <v>124</v>
      </c>
      <c r="H26" s="181" t="n">
        <v>0</v>
      </c>
      <c r="I26" s="111" t="n">
        <f aca="false">G26+H26</f>
        <v>124</v>
      </c>
      <c r="J26" s="181" t="n">
        <f aca="false">IF(L26&gt;0,L26,0)</f>
        <v>0.828651373834134</v>
      </c>
      <c r="K26" s="111" t="n">
        <f aca="false">I26+J26</f>
        <v>124.828651373834</v>
      </c>
      <c r="L26" s="111" t="n">
        <f aca="false">F26-(I26-X26)</f>
        <v>0.828651373834134</v>
      </c>
      <c r="M26" s="182" t="n">
        <v>197</v>
      </c>
      <c r="N26" s="111" t="n">
        <v>0</v>
      </c>
      <c r="O26" s="111" t="n">
        <f aca="false">21.86*1.05</f>
        <v>22.953</v>
      </c>
      <c r="P26" s="90" t="n">
        <f aca="false">M26-(N26+O26)</f>
        <v>174.047</v>
      </c>
      <c r="Q26" s="111" t="n">
        <v>75</v>
      </c>
      <c r="R26" s="111" t="n">
        <v>69</v>
      </c>
      <c r="S26" s="111" t="n">
        <f aca="false">SUM(P26:R26)</f>
        <v>318.047</v>
      </c>
      <c r="T26" s="112" t="n">
        <f aca="false">T25+AE26-(AF26/1.9835)+AG26</f>
        <v>12770.4315990528</v>
      </c>
      <c r="U26" s="111" t="n">
        <v>225.78</v>
      </c>
      <c r="V26" s="235" t="n">
        <v>37</v>
      </c>
      <c r="W26" s="236" t="n">
        <f aca="false">W25-V26</f>
        <v>5746.49231157046</v>
      </c>
      <c r="X26" s="6" t="n">
        <f aca="false">N26+O26+S26+U26+V26</f>
        <v>603.78</v>
      </c>
      <c r="Y26" s="111" t="n">
        <f aca="false">IF(L26&lt;0,L26*-1,0)</f>
        <v>0</v>
      </c>
      <c r="Z26" s="111" t="n">
        <f aca="false">X26+Y26</f>
        <v>603.78</v>
      </c>
      <c r="AA26" s="350" t="n">
        <v>0</v>
      </c>
      <c r="AB26" s="183" t="n">
        <v>97</v>
      </c>
      <c r="AC26" s="167" t="n">
        <v>62</v>
      </c>
      <c r="AD26" s="118" t="n">
        <v>0</v>
      </c>
      <c r="AE26" s="87" t="n">
        <f aca="false">(I26-8-2.7)-(S26-8)</f>
        <v>-196.747</v>
      </c>
      <c r="AF26" s="339" t="n">
        <f aca="false">23.5*(T25*1.9835-S26*1.9835)/E26</f>
        <v>8.59170162930038</v>
      </c>
      <c r="AG26" s="242" t="n">
        <v>15</v>
      </c>
      <c r="AH26" s="0"/>
      <c r="AI26" s="0"/>
      <c r="AJ26" s="0"/>
      <c r="AK26" s="0"/>
      <c r="AL26" s="0"/>
      <c r="AM26" s="0"/>
      <c r="AN26" s="0"/>
      <c r="AO26" s="0"/>
      <c r="AP26" s="0"/>
      <c r="AQ26" s="0"/>
      <c r="AR26" s="0"/>
      <c r="AS26" s="0"/>
      <c r="AT26" s="0"/>
      <c r="AU26" s="0"/>
      <c r="AV26" s="0"/>
      <c r="AW26" s="0"/>
      <c r="AX26" s="0"/>
      <c r="AY26" s="0"/>
      <c r="AZ26" s="0"/>
      <c r="BA26" s="0"/>
      <c r="BB26" s="0"/>
      <c r="BC26" s="0"/>
      <c r="BD26" s="0"/>
      <c r="BE26" s="0"/>
      <c r="BF26" s="0"/>
      <c r="BG26" s="0"/>
      <c r="BH26" s="0"/>
      <c r="BI26" s="0"/>
      <c r="BJ26" s="0"/>
      <c r="BK26" s="0"/>
      <c r="BL26" s="0"/>
      <c r="BM26" s="0"/>
      <c r="BN26" s="0"/>
      <c r="BO26" s="0"/>
      <c r="BP26" s="0"/>
      <c r="BQ26" s="0"/>
      <c r="BR26" s="0"/>
      <c r="BS26" s="0"/>
      <c r="BT26" s="0"/>
      <c r="BU26" s="0"/>
      <c r="BV26" s="0"/>
      <c r="BW26" s="0"/>
      <c r="BX26" s="0"/>
      <c r="BY26" s="0"/>
      <c r="BZ26" s="0"/>
      <c r="CA26" s="0"/>
      <c r="CB26" s="0"/>
      <c r="CC26" s="0"/>
      <c r="CD26" s="0"/>
      <c r="CE26" s="0"/>
      <c r="CF26" s="0"/>
      <c r="CG26" s="0"/>
      <c r="CH26" s="0"/>
      <c r="CI26" s="0"/>
      <c r="CJ26" s="0"/>
      <c r="CK26" s="0"/>
      <c r="CL26" s="0"/>
      <c r="CM26" s="0"/>
      <c r="CN26" s="0"/>
      <c r="CO26" s="0"/>
      <c r="CP26" s="0"/>
      <c r="CQ26" s="0"/>
      <c r="CR26" s="0"/>
      <c r="CS26" s="0"/>
      <c r="CT26" s="0"/>
      <c r="CU26" s="0"/>
      <c r="CV26" s="0"/>
      <c r="CW26" s="0"/>
      <c r="CX26" s="0"/>
      <c r="CY26" s="0"/>
      <c r="CZ26" s="0"/>
      <c r="DA26" s="0"/>
      <c r="DB26" s="0"/>
      <c r="DC26" s="0"/>
      <c r="DD26" s="0"/>
      <c r="DE26" s="0"/>
      <c r="DF26" s="0"/>
      <c r="DG26" s="0"/>
      <c r="DH26" s="0"/>
      <c r="DI26" s="0"/>
      <c r="DJ26" s="0"/>
      <c r="DK26" s="0"/>
      <c r="DL26" s="0"/>
      <c r="DM26" s="0"/>
      <c r="DN26" s="0"/>
      <c r="DO26" s="0"/>
      <c r="DP26" s="0"/>
      <c r="DQ26" s="0"/>
      <c r="DR26" s="0"/>
      <c r="DS26" s="0"/>
      <c r="DT26" s="0"/>
      <c r="DU26" s="0"/>
      <c r="DV26" s="0"/>
      <c r="DW26" s="0"/>
      <c r="DX26" s="0"/>
      <c r="DY26" s="0"/>
      <c r="DZ26" s="0"/>
      <c r="EA26" s="0"/>
      <c r="EB26" s="0"/>
      <c r="EC26" s="0"/>
      <c r="ED26" s="0"/>
      <c r="EE26" s="0"/>
      <c r="EF26" s="0"/>
      <c r="EG26" s="0"/>
      <c r="EH26" s="0"/>
      <c r="EI26" s="0"/>
      <c r="EJ26" s="0"/>
      <c r="EK26" s="0"/>
      <c r="EL26" s="0"/>
      <c r="EM26" s="0"/>
      <c r="EN26" s="0"/>
      <c r="EO26" s="0"/>
      <c r="EP26" s="0"/>
      <c r="EQ26" s="0"/>
      <c r="ER26" s="0"/>
      <c r="ES26" s="0"/>
      <c r="ET26" s="0"/>
      <c r="EU26" s="0"/>
      <c r="EV26" s="0"/>
      <c r="EW26" s="0"/>
      <c r="EX26" s="0"/>
      <c r="EY26" s="0"/>
      <c r="EZ26" s="0"/>
      <c r="FA26" s="0"/>
      <c r="FB26" s="0"/>
      <c r="FC26" s="0"/>
      <c r="FD26" s="0"/>
      <c r="FE26" s="0"/>
      <c r="FF26" s="0"/>
      <c r="FG26" s="0"/>
      <c r="FH26" s="0"/>
      <c r="FI26" s="0"/>
      <c r="FJ26" s="0"/>
      <c r="FK26" s="0"/>
      <c r="FL26" s="0"/>
      <c r="FM26" s="0"/>
      <c r="FN26" s="0"/>
      <c r="FO26" s="0"/>
      <c r="FP26" s="0"/>
      <c r="FQ26" s="0"/>
      <c r="FR26" s="0"/>
      <c r="FS26" s="0"/>
      <c r="FT26" s="0"/>
      <c r="FU26" s="0"/>
      <c r="FV26" s="0"/>
      <c r="FW26" s="0"/>
      <c r="FX26" s="0"/>
      <c r="FY26" s="0"/>
      <c r="FZ26" s="0"/>
      <c r="GA26" s="0"/>
      <c r="GB26" s="0"/>
      <c r="GC26" s="0"/>
      <c r="GD26" s="0"/>
      <c r="GE26" s="0"/>
      <c r="GF26" s="0"/>
      <c r="GG26" s="0"/>
      <c r="GH26" s="0"/>
      <c r="GI26" s="0"/>
      <c r="GJ26" s="0"/>
      <c r="GK26" s="0"/>
      <c r="GL26" s="0"/>
      <c r="GM26" s="0"/>
      <c r="GN26" s="0"/>
      <c r="GO26" s="0"/>
      <c r="GP26" s="0"/>
      <c r="GQ26" s="0"/>
      <c r="GR26" s="0"/>
      <c r="GS26" s="0"/>
      <c r="GT26" s="0"/>
      <c r="GU26" s="0"/>
      <c r="GV26" s="0"/>
      <c r="GW26" s="0"/>
      <c r="GX26" s="0"/>
      <c r="GY26" s="0"/>
      <c r="GZ26" s="0"/>
      <c r="HA26" s="0"/>
      <c r="HB26" s="0"/>
      <c r="HC26" s="0"/>
      <c r="HD26" s="0"/>
      <c r="HE26" s="0"/>
      <c r="HF26" s="0"/>
      <c r="HG26" s="0"/>
      <c r="HH26" s="0"/>
      <c r="HI26" s="0"/>
      <c r="HJ26" s="0"/>
      <c r="HK26" s="0"/>
      <c r="HL26" s="0"/>
      <c r="HM26" s="0"/>
      <c r="HN26" s="0"/>
      <c r="HO26" s="0"/>
      <c r="HP26" s="0"/>
      <c r="HQ26" s="0"/>
      <c r="HR26" s="0"/>
      <c r="HS26" s="0"/>
      <c r="HT26" s="0"/>
      <c r="HU26" s="0"/>
      <c r="HV26" s="0"/>
      <c r="HW26" s="0"/>
      <c r="HX26" s="0"/>
      <c r="HY26" s="0"/>
      <c r="HZ26" s="0"/>
      <c r="IA26" s="0"/>
      <c r="IB26" s="0"/>
      <c r="IC26" s="0"/>
      <c r="ID26" s="0"/>
      <c r="IE26" s="0"/>
      <c r="IF26" s="0"/>
      <c r="IG26" s="0"/>
      <c r="IH26" s="0"/>
      <c r="II26" s="0"/>
      <c r="IJ26" s="0"/>
      <c r="IK26" s="0"/>
      <c r="IL26" s="0"/>
      <c r="IM26" s="0"/>
      <c r="IN26" s="0"/>
      <c r="IO26" s="0"/>
      <c r="IP26" s="0"/>
      <c r="IQ26" s="0"/>
      <c r="IR26" s="0"/>
      <c r="IS26" s="0"/>
      <c r="IT26" s="0"/>
      <c r="IU26" s="0"/>
      <c r="IV26" s="0"/>
      <c r="IW26" s="0"/>
    </row>
    <row r="27" customFormat="false" ht="11.1" hidden="false" customHeight="true" outlineLevel="0" collapsed="false">
      <c r="A27" s="118" t="n">
        <f aca="false">A26+1</f>
        <v>16</v>
      </c>
      <c r="B27" s="168" t="n">
        <v>6881.15</v>
      </c>
      <c r="C27" s="112" t="n">
        <v>219648</v>
      </c>
      <c r="D27" s="117" t="n">
        <f aca="false">C27-C26</f>
        <v>-919</v>
      </c>
      <c r="E27" s="112" t="n">
        <f aca="false">C27-152000</f>
        <v>67648</v>
      </c>
      <c r="F27" s="180" t="n">
        <f aca="false">D27/$D$2</f>
        <v>-463.322409881523</v>
      </c>
      <c r="G27" s="111" t="n">
        <v>125</v>
      </c>
      <c r="H27" s="181" t="n">
        <v>0</v>
      </c>
      <c r="I27" s="111" t="n">
        <f aca="false">G27+H27</f>
        <v>125</v>
      </c>
      <c r="J27" s="181" t="n">
        <f aca="false">IF(L27&gt;0,L27,0)</f>
        <v>0</v>
      </c>
      <c r="K27" s="111" t="n">
        <f aca="false">I27+J27</f>
        <v>125</v>
      </c>
      <c r="L27" s="111" t="n">
        <f aca="false">F27-(I27-X27)</f>
        <v>-20.8224098815226</v>
      </c>
      <c r="M27" s="182" t="n">
        <v>188</v>
      </c>
      <c r="N27" s="111" t="n">
        <v>0</v>
      </c>
      <c r="O27" s="111" t="n">
        <f aca="false">21.05*1.05</f>
        <v>22.1025</v>
      </c>
      <c r="P27" s="90" t="n">
        <f aca="false">M27-(N27+O27)</f>
        <v>165.8975</v>
      </c>
      <c r="Q27" s="111" t="n">
        <v>81</v>
      </c>
      <c r="R27" s="111" t="n">
        <v>73</v>
      </c>
      <c r="S27" s="111" t="n">
        <f aca="false">SUM(P27:R27)</f>
        <v>319.8975</v>
      </c>
      <c r="T27" s="112" t="n">
        <f aca="false">T26+AE27-(AF27/1.9835)+AG27</f>
        <v>12583.5089519483</v>
      </c>
      <c r="U27" s="111" t="n">
        <v>188.5</v>
      </c>
      <c r="V27" s="235" t="n">
        <v>37</v>
      </c>
      <c r="W27" s="236" t="n">
        <f aca="false">W26-V27</f>
        <v>5709.49231157046</v>
      </c>
      <c r="X27" s="6" t="n">
        <f aca="false">N27+O27+S27+U27+V27</f>
        <v>567.5</v>
      </c>
      <c r="Y27" s="111" t="n">
        <f aca="false">IF(L27&lt;0,L27*-1,0)</f>
        <v>20.8224098815226</v>
      </c>
      <c r="Z27" s="111" t="n">
        <f aca="false">X27+Y27</f>
        <v>588.322409881523</v>
      </c>
      <c r="AA27" s="350" t="n">
        <v>0</v>
      </c>
      <c r="AB27" s="183" t="n">
        <v>92</v>
      </c>
      <c r="AC27" s="167" t="n">
        <v>65</v>
      </c>
      <c r="AD27" s="118" t="n">
        <v>0</v>
      </c>
      <c r="AE27" s="87" t="n">
        <f aca="false">(I27-8-2.7)-(S27-8)</f>
        <v>-197.5975</v>
      </c>
      <c r="AF27" s="339" t="n">
        <f aca="false">23.5*(T26*1.9835-S27*1.9835)/E27</f>
        <v>8.57892928184981</v>
      </c>
      <c r="AG27" s="242" t="n">
        <v>15</v>
      </c>
      <c r="AH27" s="0"/>
      <c r="AI27" s="0"/>
      <c r="AJ27" s="0"/>
      <c r="AK27" s="0"/>
      <c r="AL27" s="0"/>
      <c r="AM27" s="0"/>
      <c r="AN27" s="0"/>
      <c r="AO27" s="0"/>
      <c r="AP27" s="0"/>
      <c r="AQ27" s="0"/>
      <c r="AR27" s="0"/>
      <c r="AS27" s="0"/>
      <c r="AT27" s="0"/>
      <c r="AU27" s="0"/>
      <c r="AV27" s="0"/>
      <c r="AW27" s="0"/>
      <c r="AX27" s="0"/>
      <c r="AY27" s="0"/>
      <c r="AZ27" s="0"/>
      <c r="BA27" s="0"/>
      <c r="BB27" s="0"/>
      <c r="BC27" s="0"/>
      <c r="BD27" s="0"/>
      <c r="BE27" s="0"/>
      <c r="BF27" s="0"/>
      <c r="BG27" s="0"/>
      <c r="BH27" s="0"/>
      <c r="BI27" s="0"/>
      <c r="BJ27" s="0"/>
      <c r="BK27" s="0"/>
      <c r="BL27" s="0"/>
      <c r="BM27" s="0"/>
      <c r="BN27" s="0"/>
      <c r="BO27" s="0"/>
      <c r="BP27" s="0"/>
      <c r="BQ27" s="0"/>
      <c r="BR27" s="0"/>
      <c r="BS27" s="0"/>
      <c r="BT27" s="0"/>
      <c r="BU27" s="0"/>
      <c r="BV27" s="0"/>
      <c r="BW27" s="0"/>
      <c r="BX27" s="0"/>
      <c r="BY27" s="0"/>
      <c r="BZ27" s="0"/>
      <c r="CA27" s="0"/>
      <c r="CB27" s="0"/>
      <c r="CC27" s="0"/>
      <c r="CD27" s="0"/>
      <c r="CE27" s="0"/>
      <c r="CF27" s="0"/>
      <c r="CG27" s="0"/>
      <c r="CH27" s="0"/>
      <c r="CI27" s="0"/>
      <c r="CJ27" s="0"/>
      <c r="CK27" s="0"/>
      <c r="CL27" s="0"/>
      <c r="CM27" s="0"/>
      <c r="CN27" s="0"/>
      <c r="CO27" s="0"/>
      <c r="CP27" s="0"/>
      <c r="CQ27" s="0"/>
      <c r="CR27" s="0"/>
      <c r="CS27" s="0"/>
      <c r="CT27" s="0"/>
      <c r="CU27" s="0"/>
      <c r="CV27" s="0"/>
      <c r="CW27" s="0"/>
      <c r="CX27" s="0"/>
      <c r="CY27" s="0"/>
      <c r="CZ27" s="0"/>
      <c r="DA27" s="0"/>
      <c r="DB27" s="0"/>
      <c r="DC27" s="0"/>
      <c r="DD27" s="0"/>
      <c r="DE27" s="0"/>
      <c r="DF27" s="0"/>
      <c r="DG27" s="0"/>
      <c r="DH27" s="0"/>
      <c r="DI27" s="0"/>
      <c r="DJ27" s="0"/>
      <c r="DK27" s="0"/>
      <c r="DL27" s="0"/>
      <c r="DM27" s="0"/>
      <c r="DN27" s="0"/>
      <c r="DO27" s="0"/>
      <c r="DP27" s="0"/>
      <c r="DQ27" s="0"/>
      <c r="DR27" s="0"/>
      <c r="DS27" s="0"/>
      <c r="DT27" s="0"/>
      <c r="DU27" s="0"/>
      <c r="DV27" s="0"/>
      <c r="DW27" s="0"/>
      <c r="DX27" s="0"/>
      <c r="DY27" s="0"/>
      <c r="DZ27" s="0"/>
      <c r="EA27" s="0"/>
      <c r="EB27" s="0"/>
      <c r="EC27" s="0"/>
      <c r="ED27" s="0"/>
      <c r="EE27" s="0"/>
      <c r="EF27" s="0"/>
      <c r="EG27" s="0"/>
      <c r="EH27" s="0"/>
      <c r="EI27" s="0"/>
      <c r="EJ27" s="0"/>
      <c r="EK27" s="0"/>
      <c r="EL27" s="0"/>
      <c r="EM27" s="0"/>
      <c r="EN27" s="0"/>
      <c r="EO27" s="0"/>
      <c r="EP27" s="0"/>
      <c r="EQ27" s="0"/>
      <c r="ER27" s="0"/>
      <c r="ES27" s="0"/>
      <c r="ET27" s="0"/>
      <c r="EU27" s="0"/>
      <c r="EV27" s="0"/>
      <c r="EW27" s="0"/>
      <c r="EX27" s="0"/>
      <c r="EY27" s="0"/>
      <c r="EZ27" s="0"/>
      <c r="FA27" s="0"/>
      <c r="FB27" s="0"/>
      <c r="FC27" s="0"/>
      <c r="FD27" s="0"/>
      <c r="FE27" s="0"/>
      <c r="FF27" s="0"/>
      <c r="FG27" s="0"/>
      <c r="FH27" s="0"/>
      <c r="FI27" s="0"/>
      <c r="FJ27" s="0"/>
      <c r="FK27" s="0"/>
      <c r="FL27" s="0"/>
      <c r="FM27" s="0"/>
      <c r="FN27" s="0"/>
      <c r="FO27" s="0"/>
      <c r="FP27" s="0"/>
      <c r="FQ27" s="0"/>
      <c r="FR27" s="0"/>
      <c r="FS27" s="0"/>
      <c r="FT27" s="0"/>
      <c r="FU27" s="0"/>
      <c r="FV27" s="0"/>
      <c r="FW27" s="0"/>
      <c r="FX27" s="0"/>
      <c r="FY27" s="0"/>
      <c r="FZ27" s="0"/>
      <c r="GA27" s="0"/>
      <c r="GB27" s="0"/>
      <c r="GC27" s="0"/>
      <c r="GD27" s="0"/>
      <c r="GE27" s="0"/>
      <c r="GF27" s="0"/>
      <c r="GG27" s="0"/>
      <c r="GH27" s="0"/>
      <c r="GI27" s="0"/>
      <c r="GJ27" s="0"/>
      <c r="GK27" s="0"/>
      <c r="GL27" s="0"/>
      <c r="GM27" s="0"/>
      <c r="GN27" s="0"/>
      <c r="GO27" s="0"/>
      <c r="GP27" s="0"/>
      <c r="GQ27" s="0"/>
      <c r="GR27" s="0"/>
      <c r="GS27" s="0"/>
      <c r="GT27" s="0"/>
      <c r="GU27" s="0"/>
      <c r="GV27" s="0"/>
      <c r="GW27" s="0"/>
      <c r="GX27" s="0"/>
      <c r="GY27" s="0"/>
      <c r="GZ27" s="0"/>
      <c r="HA27" s="0"/>
      <c r="HB27" s="0"/>
      <c r="HC27" s="0"/>
      <c r="HD27" s="0"/>
      <c r="HE27" s="0"/>
      <c r="HF27" s="0"/>
      <c r="HG27" s="0"/>
      <c r="HH27" s="0"/>
      <c r="HI27" s="0"/>
      <c r="HJ27" s="0"/>
      <c r="HK27" s="0"/>
      <c r="HL27" s="0"/>
      <c r="HM27" s="0"/>
      <c r="HN27" s="0"/>
      <c r="HO27" s="0"/>
      <c r="HP27" s="0"/>
      <c r="HQ27" s="0"/>
      <c r="HR27" s="0"/>
      <c r="HS27" s="0"/>
      <c r="HT27" s="0"/>
      <c r="HU27" s="0"/>
      <c r="HV27" s="0"/>
      <c r="HW27" s="0"/>
      <c r="HX27" s="0"/>
      <c r="HY27" s="0"/>
      <c r="HZ27" s="0"/>
      <c r="IA27" s="0"/>
      <c r="IB27" s="0"/>
      <c r="IC27" s="0"/>
      <c r="ID27" s="0"/>
      <c r="IE27" s="0"/>
      <c r="IF27" s="0"/>
      <c r="IG27" s="0"/>
      <c r="IH27" s="0"/>
      <c r="II27" s="0"/>
      <c r="IJ27" s="0"/>
      <c r="IK27" s="0"/>
      <c r="IL27" s="0"/>
      <c r="IM27" s="0"/>
      <c r="IN27" s="0"/>
      <c r="IO27" s="0"/>
      <c r="IP27" s="0"/>
      <c r="IQ27" s="0"/>
      <c r="IR27" s="0"/>
      <c r="IS27" s="0"/>
      <c r="IT27" s="0"/>
      <c r="IU27" s="0"/>
      <c r="IV27" s="0"/>
      <c r="IW27" s="0"/>
    </row>
    <row r="28" customFormat="false" ht="11.1" hidden="false" customHeight="true" outlineLevel="0" collapsed="false">
      <c r="A28" s="118" t="n">
        <f aca="false">A27+1</f>
        <v>17</v>
      </c>
      <c r="B28" s="168" t="n">
        <v>6880.78</v>
      </c>
      <c r="C28" s="112" t="n">
        <v>218523</v>
      </c>
      <c r="D28" s="117" t="n">
        <f aca="false">C28-C27</f>
        <v>-1125</v>
      </c>
      <c r="E28" s="112" t="n">
        <f aca="false">C28-152000</f>
        <v>66523</v>
      </c>
      <c r="F28" s="180" t="n">
        <f aca="false">D28/$D$2</f>
        <v>-567.179228636249</v>
      </c>
      <c r="G28" s="111" t="n">
        <v>135</v>
      </c>
      <c r="H28" s="181" t="n">
        <v>0</v>
      </c>
      <c r="I28" s="111" t="n">
        <f aca="false">G28+H28</f>
        <v>135</v>
      </c>
      <c r="J28" s="181" t="n">
        <f aca="false">IF(L28&gt;0,L28,0)</f>
        <v>0</v>
      </c>
      <c r="K28" s="111" t="n">
        <f aca="false">I28+J28</f>
        <v>135</v>
      </c>
      <c r="L28" s="111" t="n">
        <f aca="false">F28-(I28-X28)</f>
        <v>-147.299228636249</v>
      </c>
      <c r="M28" s="182" t="n">
        <v>161</v>
      </c>
      <c r="N28" s="111" t="n">
        <v>0</v>
      </c>
      <c r="O28" s="111" t="n">
        <f aca="false">13.69*1.05</f>
        <v>14.3745</v>
      </c>
      <c r="P28" s="90" t="n">
        <f aca="false">M28-(N28+O28)</f>
        <v>146.6255</v>
      </c>
      <c r="Q28" s="111" t="n">
        <v>80</v>
      </c>
      <c r="R28" s="111" t="n">
        <v>75</v>
      </c>
      <c r="S28" s="111" t="n">
        <f aca="false">SUM(P28:R28)</f>
        <v>301.6255</v>
      </c>
      <c r="T28" s="112" t="n">
        <f aca="false">T27+AE28-(AF28/1.9835)+AG28</f>
        <v>12424.8447381032</v>
      </c>
      <c r="U28" s="111" t="n">
        <v>201.88</v>
      </c>
      <c r="V28" s="235" t="n">
        <v>37</v>
      </c>
      <c r="W28" s="236" t="n">
        <f aca="false">W27-V28</f>
        <v>5672.49231157046</v>
      </c>
      <c r="X28" s="6" t="n">
        <f aca="false">N28+O28+S28+U28+V28</f>
        <v>554.88</v>
      </c>
      <c r="Y28" s="111" t="n">
        <f aca="false">IF(L28&lt;0,L28*-1,0)</f>
        <v>147.299228636249</v>
      </c>
      <c r="Z28" s="111" t="n">
        <f aca="false">X28+Y28</f>
        <v>702.179228636249</v>
      </c>
      <c r="AA28" s="350" t="n">
        <v>0</v>
      </c>
      <c r="AB28" s="183" t="n">
        <v>93</v>
      </c>
      <c r="AC28" s="167" t="n">
        <v>61</v>
      </c>
      <c r="AD28" s="118" t="n">
        <v>0</v>
      </c>
      <c r="AE28" s="87" t="n">
        <f aca="false">(I28-8-2.7)-(S28-8)</f>
        <v>-169.3255</v>
      </c>
      <c r="AF28" s="339" t="n">
        <f aca="false">23.5*(T27*1.9835-S28*1.9835)/E28</f>
        <v>8.6058389118512</v>
      </c>
      <c r="AG28" s="242" t="n">
        <v>15</v>
      </c>
      <c r="AH28" s="0"/>
      <c r="AI28" s="0"/>
      <c r="AJ28" s="0"/>
      <c r="AK28" s="0"/>
      <c r="AL28" s="0"/>
      <c r="AM28" s="0"/>
      <c r="AN28" s="0"/>
      <c r="AO28" s="0"/>
      <c r="AP28" s="0"/>
      <c r="AQ28" s="0"/>
      <c r="AR28" s="0"/>
      <c r="AS28" s="0"/>
      <c r="AT28" s="0"/>
      <c r="AU28" s="0"/>
      <c r="AV28" s="0"/>
      <c r="AW28" s="0"/>
      <c r="AX28" s="0"/>
      <c r="AY28" s="0"/>
      <c r="AZ28" s="0"/>
      <c r="BA28" s="0"/>
      <c r="BB28" s="0"/>
      <c r="BC28" s="0"/>
      <c r="BD28" s="0"/>
      <c r="BE28" s="0"/>
      <c r="BF28" s="0"/>
      <c r="BG28" s="0"/>
      <c r="BH28" s="0"/>
      <c r="BI28" s="0"/>
      <c r="BJ28" s="0"/>
      <c r="BK28" s="0"/>
      <c r="BL28" s="0"/>
      <c r="BM28" s="0"/>
      <c r="BN28" s="0"/>
      <c r="BO28" s="0"/>
      <c r="BP28" s="0"/>
      <c r="BQ28" s="0"/>
      <c r="BR28" s="0"/>
      <c r="BS28" s="0"/>
      <c r="BT28" s="0"/>
      <c r="BU28" s="0"/>
      <c r="BV28" s="0"/>
      <c r="BW28" s="0"/>
      <c r="BX28" s="0"/>
      <c r="BY28" s="0"/>
      <c r="BZ28" s="0"/>
      <c r="CA28" s="0"/>
      <c r="CB28" s="0"/>
      <c r="CC28" s="0"/>
      <c r="CD28" s="0"/>
      <c r="CE28" s="0"/>
      <c r="CF28" s="0"/>
      <c r="CG28" s="0"/>
      <c r="CH28" s="0"/>
      <c r="CI28" s="0"/>
      <c r="CJ28" s="0"/>
      <c r="CK28" s="0"/>
      <c r="CL28" s="0"/>
      <c r="CM28" s="0"/>
      <c r="CN28" s="0"/>
      <c r="CO28" s="0"/>
      <c r="CP28" s="0"/>
      <c r="CQ28" s="0"/>
      <c r="CR28" s="0"/>
      <c r="CS28" s="0"/>
      <c r="CT28" s="0"/>
      <c r="CU28" s="0"/>
      <c r="CV28" s="0"/>
      <c r="CW28" s="0"/>
      <c r="CX28" s="0"/>
      <c r="CY28" s="0"/>
      <c r="CZ28" s="0"/>
      <c r="DA28" s="0"/>
      <c r="DB28" s="0"/>
      <c r="DC28" s="0"/>
      <c r="DD28" s="0"/>
      <c r="DE28" s="0"/>
      <c r="DF28" s="0"/>
      <c r="DG28" s="0"/>
      <c r="DH28" s="0"/>
      <c r="DI28" s="0"/>
      <c r="DJ28" s="0"/>
      <c r="DK28" s="0"/>
      <c r="DL28" s="0"/>
      <c r="DM28" s="0"/>
      <c r="DN28" s="0"/>
      <c r="DO28" s="0"/>
      <c r="DP28" s="0"/>
      <c r="DQ28" s="0"/>
      <c r="DR28" s="0"/>
      <c r="DS28" s="0"/>
      <c r="DT28" s="0"/>
      <c r="DU28" s="0"/>
      <c r="DV28" s="0"/>
      <c r="DW28" s="0"/>
      <c r="DX28" s="0"/>
      <c r="DY28" s="0"/>
      <c r="DZ28" s="0"/>
      <c r="EA28" s="0"/>
      <c r="EB28" s="0"/>
      <c r="EC28" s="0"/>
      <c r="ED28" s="0"/>
      <c r="EE28" s="0"/>
      <c r="EF28" s="0"/>
      <c r="EG28" s="0"/>
      <c r="EH28" s="0"/>
      <c r="EI28" s="0"/>
      <c r="EJ28" s="0"/>
      <c r="EK28" s="0"/>
      <c r="EL28" s="0"/>
      <c r="EM28" s="0"/>
      <c r="EN28" s="0"/>
      <c r="EO28" s="0"/>
      <c r="EP28" s="0"/>
      <c r="EQ28" s="0"/>
      <c r="ER28" s="0"/>
      <c r="ES28" s="0"/>
      <c r="ET28" s="0"/>
      <c r="EU28" s="0"/>
      <c r="EV28" s="0"/>
      <c r="EW28" s="0"/>
      <c r="EX28" s="0"/>
      <c r="EY28" s="0"/>
      <c r="EZ28" s="0"/>
      <c r="FA28" s="0"/>
      <c r="FB28" s="0"/>
      <c r="FC28" s="0"/>
      <c r="FD28" s="0"/>
      <c r="FE28" s="0"/>
      <c r="FF28" s="0"/>
      <c r="FG28" s="0"/>
      <c r="FH28" s="0"/>
      <c r="FI28" s="0"/>
      <c r="FJ28" s="0"/>
      <c r="FK28" s="0"/>
      <c r="FL28" s="0"/>
      <c r="FM28" s="0"/>
      <c r="FN28" s="0"/>
      <c r="FO28" s="0"/>
      <c r="FP28" s="0"/>
      <c r="FQ28" s="0"/>
      <c r="FR28" s="0"/>
      <c r="FS28" s="0"/>
      <c r="FT28" s="0"/>
      <c r="FU28" s="0"/>
      <c r="FV28" s="0"/>
      <c r="FW28" s="0"/>
      <c r="FX28" s="0"/>
      <c r="FY28" s="0"/>
      <c r="FZ28" s="0"/>
      <c r="GA28" s="0"/>
      <c r="GB28" s="0"/>
      <c r="GC28" s="0"/>
      <c r="GD28" s="0"/>
      <c r="GE28" s="0"/>
      <c r="GF28" s="0"/>
      <c r="GG28" s="0"/>
      <c r="GH28" s="0"/>
      <c r="GI28" s="0"/>
      <c r="GJ28" s="0"/>
      <c r="GK28" s="0"/>
      <c r="GL28" s="0"/>
      <c r="GM28" s="0"/>
      <c r="GN28" s="0"/>
      <c r="GO28" s="0"/>
      <c r="GP28" s="0"/>
      <c r="GQ28" s="0"/>
      <c r="GR28" s="0"/>
      <c r="GS28" s="0"/>
      <c r="GT28" s="0"/>
      <c r="GU28" s="0"/>
      <c r="GV28" s="0"/>
      <c r="GW28" s="0"/>
      <c r="GX28" s="0"/>
      <c r="GY28" s="0"/>
      <c r="GZ28" s="0"/>
      <c r="HA28" s="0"/>
      <c r="HB28" s="0"/>
      <c r="HC28" s="0"/>
      <c r="HD28" s="0"/>
      <c r="HE28" s="0"/>
      <c r="HF28" s="0"/>
      <c r="HG28" s="0"/>
      <c r="HH28" s="0"/>
      <c r="HI28" s="0"/>
      <c r="HJ28" s="0"/>
      <c r="HK28" s="0"/>
      <c r="HL28" s="0"/>
      <c r="HM28" s="0"/>
      <c r="HN28" s="0"/>
      <c r="HO28" s="0"/>
      <c r="HP28" s="0"/>
      <c r="HQ28" s="0"/>
      <c r="HR28" s="0"/>
      <c r="HS28" s="0"/>
      <c r="HT28" s="0"/>
      <c r="HU28" s="0"/>
      <c r="HV28" s="0"/>
      <c r="HW28" s="0"/>
      <c r="HX28" s="0"/>
      <c r="HY28" s="0"/>
      <c r="HZ28" s="0"/>
      <c r="IA28" s="0"/>
      <c r="IB28" s="0"/>
      <c r="IC28" s="0"/>
      <c r="ID28" s="0"/>
      <c r="IE28" s="0"/>
      <c r="IF28" s="0"/>
      <c r="IG28" s="0"/>
      <c r="IH28" s="0"/>
      <c r="II28" s="0"/>
      <c r="IJ28" s="0"/>
      <c r="IK28" s="0"/>
      <c r="IL28" s="0"/>
      <c r="IM28" s="0"/>
      <c r="IN28" s="0"/>
      <c r="IO28" s="0"/>
      <c r="IP28" s="0"/>
      <c r="IQ28" s="0"/>
      <c r="IR28" s="0"/>
      <c r="IS28" s="0"/>
      <c r="IT28" s="0"/>
      <c r="IU28" s="0"/>
      <c r="IV28" s="0"/>
      <c r="IW28" s="0"/>
    </row>
    <row r="29" customFormat="false" ht="11.1" hidden="false" customHeight="true" outlineLevel="0" collapsed="false">
      <c r="A29" s="118" t="n">
        <f aca="false">A28+1</f>
        <v>18</v>
      </c>
      <c r="B29" s="168" t="n">
        <v>6880.45</v>
      </c>
      <c r="C29" s="112" t="n">
        <v>217525</v>
      </c>
      <c r="D29" s="117" t="n">
        <f aca="false">C29-C28</f>
        <v>-998</v>
      </c>
      <c r="E29" s="112" t="n">
        <f aca="false">C29-152000</f>
        <v>65525</v>
      </c>
      <c r="F29" s="180" t="n">
        <f aca="false">D29/$D$2</f>
        <v>-503.150995714646</v>
      </c>
      <c r="G29" s="111" t="n">
        <v>140</v>
      </c>
      <c r="H29" s="181" t="n">
        <v>0.02</v>
      </c>
      <c r="I29" s="111" t="n">
        <f aca="false">G29+H29</f>
        <v>140.02</v>
      </c>
      <c r="J29" s="181" t="n">
        <f aca="false">IF(L29&gt;0,L29,0)</f>
        <v>0</v>
      </c>
      <c r="K29" s="111" t="n">
        <f aca="false">I29+J29</f>
        <v>140.02</v>
      </c>
      <c r="L29" s="111" t="n">
        <f aca="false">F29-(I29-X29)</f>
        <v>-64.0009957146459</v>
      </c>
      <c r="M29" s="182" t="n">
        <v>182</v>
      </c>
      <c r="N29" s="111" t="n">
        <v>0</v>
      </c>
      <c r="O29" s="111" t="n">
        <f aca="false">16.15*1.05</f>
        <v>16.9575</v>
      </c>
      <c r="P29" s="90" t="n">
        <f aca="false">M29-(N29+O29)</f>
        <v>165.0425</v>
      </c>
      <c r="Q29" s="111" t="n">
        <v>95</v>
      </c>
      <c r="R29" s="111" t="n">
        <v>77</v>
      </c>
      <c r="S29" s="111" t="n">
        <f aca="false">SUM(P29:R29)</f>
        <v>337.0425</v>
      </c>
      <c r="T29" s="112" t="n">
        <f aca="false">T28+AE29-(AF29/1.9835)+AG29</f>
        <v>12235.7870476782</v>
      </c>
      <c r="U29" s="111" t="n">
        <v>188.17</v>
      </c>
      <c r="V29" s="235" t="n">
        <v>37</v>
      </c>
      <c r="W29" s="236" t="n">
        <f aca="false">W28-V29</f>
        <v>5635.49231157046</v>
      </c>
      <c r="X29" s="6" t="n">
        <f aca="false">N29+O29+S29+U29+V29</f>
        <v>579.17</v>
      </c>
      <c r="Y29" s="111" t="n">
        <f aca="false">IF(L29&lt;0,L29*-1,0)</f>
        <v>64.0009957146459</v>
      </c>
      <c r="Z29" s="111" t="n">
        <f aca="false">X29+Y29</f>
        <v>643.170995714646</v>
      </c>
      <c r="AA29" s="350" t="n">
        <v>0</v>
      </c>
      <c r="AB29" s="183" t="n">
        <v>93</v>
      </c>
      <c r="AC29" s="167" t="n">
        <v>62</v>
      </c>
      <c r="AD29" s="118" t="n">
        <v>0</v>
      </c>
      <c r="AE29" s="87" t="n">
        <f aca="false">(I29-8-2.7)-(S29-8)</f>
        <v>-199.7225</v>
      </c>
      <c r="AF29" s="339" t="n">
        <f aca="false">23.5*(T28*1.9835-S29*1.9835)/E29</f>
        <v>8.59885020790574</v>
      </c>
      <c r="AG29" s="242" t="n">
        <v>15</v>
      </c>
      <c r="AH29" s="0"/>
      <c r="AI29" s="0"/>
      <c r="AJ29" s="0"/>
      <c r="AK29" s="0"/>
      <c r="AL29" s="0"/>
      <c r="AM29" s="0"/>
      <c r="AN29" s="0"/>
      <c r="AO29" s="0"/>
      <c r="AP29" s="0"/>
      <c r="AQ29" s="0"/>
      <c r="AR29" s="0"/>
      <c r="AS29" s="0"/>
      <c r="AT29" s="0"/>
      <c r="AU29" s="0"/>
      <c r="AV29" s="0"/>
      <c r="AW29" s="0"/>
      <c r="AX29" s="0"/>
      <c r="AY29" s="0"/>
      <c r="AZ29" s="0"/>
      <c r="BA29" s="0"/>
      <c r="BB29" s="0"/>
      <c r="BC29" s="0"/>
      <c r="BD29" s="0"/>
      <c r="BE29" s="0"/>
      <c r="BF29" s="0"/>
      <c r="BG29" s="0"/>
      <c r="BH29" s="0"/>
      <c r="BI29" s="0"/>
      <c r="BJ29" s="0"/>
      <c r="BK29" s="0"/>
      <c r="BL29" s="0"/>
      <c r="BM29" s="0"/>
      <c r="BN29" s="0"/>
      <c r="BO29" s="0"/>
      <c r="BP29" s="0"/>
      <c r="BQ29" s="0"/>
      <c r="BR29" s="0"/>
      <c r="BS29" s="0"/>
      <c r="BT29" s="0"/>
      <c r="BU29" s="0"/>
      <c r="BV29" s="0"/>
      <c r="BW29" s="0"/>
      <c r="BX29" s="0"/>
      <c r="BY29" s="0"/>
      <c r="BZ29" s="0"/>
      <c r="CA29" s="0"/>
      <c r="CB29" s="0"/>
      <c r="CC29" s="0"/>
      <c r="CD29" s="0"/>
      <c r="CE29" s="0"/>
      <c r="CF29" s="0"/>
      <c r="CG29" s="0"/>
      <c r="CH29" s="0"/>
      <c r="CI29" s="0"/>
      <c r="CJ29" s="0"/>
      <c r="CK29" s="0"/>
      <c r="CL29" s="0"/>
      <c r="CM29" s="0"/>
      <c r="CN29" s="0"/>
      <c r="CO29" s="0"/>
      <c r="CP29" s="0"/>
      <c r="CQ29" s="0"/>
      <c r="CR29" s="0"/>
      <c r="CS29" s="0"/>
      <c r="CT29" s="0"/>
      <c r="CU29" s="0"/>
      <c r="CV29" s="0"/>
      <c r="CW29" s="0"/>
      <c r="CX29" s="0"/>
      <c r="CY29" s="0"/>
      <c r="CZ29" s="0"/>
      <c r="DA29" s="0"/>
      <c r="DB29" s="0"/>
      <c r="DC29" s="0"/>
      <c r="DD29" s="0"/>
      <c r="DE29" s="0"/>
      <c r="DF29" s="0"/>
      <c r="DG29" s="0"/>
      <c r="DH29" s="0"/>
      <c r="DI29" s="0"/>
      <c r="DJ29" s="0"/>
      <c r="DK29" s="0"/>
      <c r="DL29" s="0"/>
      <c r="DM29" s="0"/>
      <c r="DN29" s="0"/>
      <c r="DO29" s="0"/>
      <c r="DP29" s="0"/>
      <c r="DQ29" s="0"/>
      <c r="DR29" s="0"/>
      <c r="DS29" s="0"/>
      <c r="DT29" s="0"/>
      <c r="DU29" s="0"/>
      <c r="DV29" s="0"/>
      <c r="DW29" s="0"/>
      <c r="DX29" s="0"/>
      <c r="DY29" s="0"/>
      <c r="DZ29" s="0"/>
      <c r="EA29" s="0"/>
      <c r="EB29" s="0"/>
      <c r="EC29" s="0"/>
      <c r="ED29" s="0"/>
      <c r="EE29" s="0"/>
      <c r="EF29" s="0"/>
      <c r="EG29" s="0"/>
      <c r="EH29" s="0"/>
      <c r="EI29" s="0"/>
      <c r="EJ29" s="0"/>
      <c r="EK29" s="0"/>
      <c r="EL29" s="0"/>
      <c r="EM29" s="0"/>
      <c r="EN29" s="0"/>
      <c r="EO29" s="0"/>
      <c r="EP29" s="0"/>
      <c r="EQ29" s="0"/>
      <c r="ER29" s="0"/>
      <c r="ES29" s="0"/>
      <c r="ET29" s="0"/>
      <c r="EU29" s="0"/>
      <c r="EV29" s="0"/>
      <c r="EW29" s="0"/>
      <c r="EX29" s="0"/>
      <c r="EY29" s="0"/>
      <c r="EZ29" s="0"/>
      <c r="FA29" s="0"/>
      <c r="FB29" s="0"/>
      <c r="FC29" s="0"/>
      <c r="FD29" s="0"/>
      <c r="FE29" s="0"/>
      <c r="FF29" s="0"/>
      <c r="FG29" s="0"/>
      <c r="FH29" s="0"/>
      <c r="FI29" s="0"/>
      <c r="FJ29" s="0"/>
      <c r="FK29" s="0"/>
      <c r="FL29" s="0"/>
      <c r="FM29" s="0"/>
      <c r="FN29" s="0"/>
      <c r="FO29" s="0"/>
      <c r="FP29" s="0"/>
      <c r="FQ29" s="0"/>
      <c r="FR29" s="0"/>
      <c r="FS29" s="0"/>
      <c r="FT29" s="0"/>
      <c r="FU29" s="0"/>
      <c r="FV29" s="0"/>
      <c r="FW29" s="0"/>
      <c r="FX29" s="0"/>
      <c r="FY29" s="0"/>
      <c r="FZ29" s="0"/>
      <c r="GA29" s="0"/>
      <c r="GB29" s="0"/>
      <c r="GC29" s="0"/>
      <c r="GD29" s="0"/>
      <c r="GE29" s="0"/>
      <c r="GF29" s="0"/>
      <c r="GG29" s="0"/>
      <c r="GH29" s="0"/>
      <c r="GI29" s="0"/>
      <c r="GJ29" s="0"/>
      <c r="GK29" s="0"/>
      <c r="GL29" s="0"/>
      <c r="GM29" s="0"/>
      <c r="GN29" s="0"/>
      <c r="GO29" s="0"/>
      <c r="GP29" s="0"/>
      <c r="GQ29" s="0"/>
      <c r="GR29" s="0"/>
      <c r="GS29" s="0"/>
      <c r="GT29" s="0"/>
      <c r="GU29" s="0"/>
      <c r="GV29" s="0"/>
      <c r="GW29" s="0"/>
      <c r="GX29" s="0"/>
      <c r="GY29" s="0"/>
      <c r="GZ29" s="0"/>
      <c r="HA29" s="0"/>
      <c r="HB29" s="0"/>
      <c r="HC29" s="0"/>
      <c r="HD29" s="0"/>
      <c r="HE29" s="0"/>
      <c r="HF29" s="0"/>
      <c r="HG29" s="0"/>
      <c r="HH29" s="0"/>
      <c r="HI29" s="0"/>
      <c r="HJ29" s="0"/>
      <c r="HK29" s="0"/>
      <c r="HL29" s="0"/>
      <c r="HM29" s="0"/>
      <c r="HN29" s="0"/>
      <c r="HO29" s="0"/>
      <c r="HP29" s="0"/>
      <c r="HQ29" s="0"/>
      <c r="HR29" s="0"/>
      <c r="HS29" s="0"/>
      <c r="HT29" s="0"/>
      <c r="HU29" s="0"/>
      <c r="HV29" s="0"/>
      <c r="HW29" s="0"/>
      <c r="HX29" s="0"/>
      <c r="HY29" s="0"/>
      <c r="HZ29" s="0"/>
      <c r="IA29" s="0"/>
      <c r="IB29" s="0"/>
      <c r="IC29" s="0"/>
      <c r="ID29" s="0"/>
      <c r="IE29" s="0"/>
      <c r="IF29" s="0"/>
      <c r="IG29" s="0"/>
      <c r="IH29" s="0"/>
      <c r="II29" s="0"/>
      <c r="IJ29" s="0"/>
      <c r="IK29" s="0"/>
      <c r="IL29" s="0"/>
      <c r="IM29" s="0"/>
      <c r="IN29" s="0"/>
      <c r="IO29" s="0"/>
      <c r="IP29" s="0"/>
      <c r="IQ29" s="0"/>
      <c r="IR29" s="0"/>
      <c r="IS29" s="0"/>
      <c r="IT29" s="0"/>
      <c r="IU29" s="0"/>
      <c r="IV29" s="0"/>
      <c r="IW29" s="0"/>
    </row>
    <row r="30" customFormat="false" ht="11.1" hidden="false" customHeight="true" outlineLevel="0" collapsed="false">
      <c r="A30" s="118" t="n">
        <f aca="false">A29+1</f>
        <v>19</v>
      </c>
      <c r="B30" s="168" t="n">
        <v>6880.15</v>
      </c>
      <c r="C30" s="112" t="n">
        <v>216618</v>
      </c>
      <c r="D30" s="117" t="n">
        <f aca="false">C30-C29</f>
        <v>-907</v>
      </c>
      <c r="E30" s="112" t="n">
        <f aca="false">C30-152000</f>
        <v>64618</v>
      </c>
      <c r="F30" s="180" t="n">
        <f aca="false">D30/$D$2</f>
        <v>-457.272498109403</v>
      </c>
      <c r="G30" s="111" t="n">
        <v>138</v>
      </c>
      <c r="H30" s="181" t="n">
        <v>0.23</v>
      </c>
      <c r="I30" s="111" t="n">
        <f aca="false">G30+H30</f>
        <v>138.23</v>
      </c>
      <c r="J30" s="181" t="n">
        <f aca="false">IF(L30&gt;0,L30,0)</f>
        <v>0</v>
      </c>
      <c r="K30" s="111" t="n">
        <f aca="false">I30+J30</f>
        <v>138.23</v>
      </c>
      <c r="L30" s="111" t="n">
        <f aca="false">F30-(I30-X30)</f>
        <v>-33.1224981094026</v>
      </c>
      <c r="M30" s="182" t="n">
        <v>173</v>
      </c>
      <c r="N30" s="111" t="n">
        <v>0</v>
      </c>
      <c r="O30" s="111" t="n">
        <f aca="false">16.84*1.05</f>
        <v>17.682</v>
      </c>
      <c r="P30" s="90" t="n">
        <f aca="false">M30-(N30+O30)</f>
        <v>155.318</v>
      </c>
      <c r="Q30" s="111" t="n">
        <v>115</v>
      </c>
      <c r="R30" s="111" t="n">
        <v>77</v>
      </c>
      <c r="S30" s="111" t="n">
        <f aca="false">SUM(P30:R30)</f>
        <v>347.318</v>
      </c>
      <c r="T30" s="112" t="n">
        <f aca="false">T29+AE30-(AF30/1.9835)+AG30</f>
        <v>12034.6754997098</v>
      </c>
      <c r="U30" s="111" t="n">
        <v>160.38</v>
      </c>
      <c r="V30" s="235" t="n">
        <v>37</v>
      </c>
      <c r="W30" s="236" t="n">
        <f aca="false">W29-V30</f>
        <v>5598.49231157046</v>
      </c>
      <c r="X30" s="6" t="n">
        <f aca="false">N30+O30+S30+U30+V30</f>
        <v>562.38</v>
      </c>
      <c r="Y30" s="111" t="n">
        <f aca="false">IF(L30&lt;0,L30*-1,0)</f>
        <v>33.1224981094026</v>
      </c>
      <c r="Z30" s="111" t="n">
        <f aca="false">X30+Y30</f>
        <v>595.502498109402</v>
      </c>
      <c r="AA30" s="350" t="n">
        <v>0</v>
      </c>
      <c r="AB30" s="183" t="n">
        <v>93</v>
      </c>
      <c r="AC30" s="167" t="n">
        <v>61</v>
      </c>
      <c r="AD30" s="118" t="n">
        <v>0</v>
      </c>
      <c r="AE30" s="87" t="n">
        <f aca="false">(I30-8-2.7)-(S30-8)</f>
        <v>-211.788</v>
      </c>
      <c r="AF30" s="339" t="n">
        <f aca="false">23.5*(T29*1.9835-S30*1.9835)/E30</f>
        <v>8.57575739527126</v>
      </c>
      <c r="AG30" s="242" t="n">
        <v>15</v>
      </c>
      <c r="AH30" s="0"/>
      <c r="AI30" s="0"/>
      <c r="AJ30" s="0"/>
      <c r="AK30" s="0"/>
      <c r="AL30" s="0"/>
      <c r="AM30" s="0"/>
      <c r="AN30" s="0"/>
      <c r="AO30" s="0"/>
      <c r="AP30" s="0"/>
      <c r="AQ30" s="0"/>
      <c r="AR30" s="0"/>
      <c r="AS30" s="0"/>
      <c r="AT30" s="0"/>
      <c r="AU30" s="0"/>
      <c r="AV30" s="0"/>
      <c r="AW30" s="0"/>
      <c r="AX30" s="0"/>
      <c r="AY30" s="0"/>
      <c r="AZ30" s="0"/>
      <c r="BA30" s="0"/>
      <c r="BB30" s="0"/>
      <c r="BC30" s="0"/>
      <c r="BD30" s="0"/>
      <c r="BE30" s="0"/>
      <c r="BF30" s="0"/>
      <c r="BG30" s="0"/>
      <c r="BH30" s="0"/>
      <c r="BI30" s="0"/>
      <c r="BJ30" s="0"/>
      <c r="BK30" s="0"/>
      <c r="BL30" s="0"/>
      <c r="BM30" s="0"/>
      <c r="BN30" s="0"/>
      <c r="BO30" s="0"/>
      <c r="BP30" s="0"/>
      <c r="BQ30" s="0"/>
      <c r="BR30" s="0"/>
      <c r="BS30" s="0"/>
      <c r="BT30" s="0"/>
      <c r="BU30" s="0"/>
      <c r="BV30" s="0"/>
      <c r="BW30" s="0"/>
      <c r="BX30" s="0"/>
      <c r="BY30" s="0"/>
      <c r="BZ30" s="0"/>
      <c r="CA30" s="0"/>
      <c r="CB30" s="0"/>
      <c r="CC30" s="0"/>
      <c r="CD30" s="0"/>
      <c r="CE30" s="0"/>
      <c r="CF30" s="0"/>
      <c r="CG30" s="0"/>
      <c r="CH30" s="0"/>
      <c r="CI30" s="0"/>
      <c r="CJ30" s="0"/>
      <c r="CK30" s="0"/>
      <c r="CL30" s="0"/>
      <c r="CM30" s="0"/>
      <c r="CN30" s="0"/>
      <c r="CO30" s="0"/>
      <c r="CP30" s="0"/>
      <c r="CQ30" s="0"/>
      <c r="CR30" s="0"/>
      <c r="CS30" s="0"/>
      <c r="CT30" s="0"/>
      <c r="CU30" s="0"/>
      <c r="CV30" s="0"/>
      <c r="CW30" s="0"/>
      <c r="CX30" s="0"/>
      <c r="CY30" s="0"/>
      <c r="CZ30" s="0"/>
      <c r="DA30" s="0"/>
      <c r="DB30" s="0"/>
      <c r="DC30" s="0"/>
      <c r="DD30" s="0"/>
      <c r="DE30" s="0"/>
      <c r="DF30" s="0"/>
      <c r="DG30" s="0"/>
      <c r="DH30" s="0"/>
      <c r="DI30" s="0"/>
      <c r="DJ30" s="0"/>
      <c r="DK30" s="0"/>
      <c r="DL30" s="0"/>
      <c r="DM30" s="0"/>
      <c r="DN30" s="0"/>
      <c r="DO30" s="0"/>
      <c r="DP30" s="0"/>
      <c r="DQ30" s="0"/>
      <c r="DR30" s="0"/>
      <c r="DS30" s="0"/>
      <c r="DT30" s="0"/>
      <c r="DU30" s="0"/>
      <c r="DV30" s="0"/>
      <c r="DW30" s="0"/>
      <c r="DX30" s="0"/>
      <c r="DY30" s="0"/>
      <c r="DZ30" s="0"/>
      <c r="EA30" s="0"/>
      <c r="EB30" s="0"/>
      <c r="EC30" s="0"/>
      <c r="ED30" s="0"/>
      <c r="EE30" s="0"/>
      <c r="EF30" s="0"/>
      <c r="EG30" s="0"/>
      <c r="EH30" s="0"/>
      <c r="EI30" s="0"/>
      <c r="EJ30" s="0"/>
      <c r="EK30" s="0"/>
      <c r="EL30" s="0"/>
      <c r="EM30" s="0"/>
      <c r="EN30" s="0"/>
      <c r="EO30" s="0"/>
      <c r="EP30" s="0"/>
      <c r="EQ30" s="0"/>
      <c r="ER30" s="0"/>
      <c r="ES30" s="0"/>
      <c r="ET30" s="0"/>
      <c r="EU30" s="0"/>
      <c r="EV30" s="0"/>
      <c r="EW30" s="0"/>
      <c r="EX30" s="0"/>
      <c r="EY30" s="0"/>
      <c r="EZ30" s="0"/>
      <c r="FA30" s="0"/>
      <c r="FB30" s="0"/>
      <c r="FC30" s="0"/>
      <c r="FD30" s="0"/>
      <c r="FE30" s="0"/>
      <c r="FF30" s="0"/>
      <c r="FG30" s="0"/>
      <c r="FH30" s="0"/>
      <c r="FI30" s="0"/>
      <c r="FJ30" s="0"/>
      <c r="FK30" s="0"/>
      <c r="FL30" s="0"/>
      <c r="FM30" s="0"/>
      <c r="FN30" s="0"/>
      <c r="FO30" s="0"/>
      <c r="FP30" s="0"/>
      <c r="FQ30" s="0"/>
      <c r="FR30" s="0"/>
      <c r="FS30" s="0"/>
      <c r="FT30" s="0"/>
      <c r="FU30" s="0"/>
      <c r="FV30" s="0"/>
      <c r="FW30" s="0"/>
      <c r="FX30" s="0"/>
      <c r="FY30" s="0"/>
      <c r="FZ30" s="0"/>
      <c r="GA30" s="0"/>
      <c r="GB30" s="0"/>
      <c r="GC30" s="0"/>
      <c r="GD30" s="0"/>
      <c r="GE30" s="0"/>
      <c r="GF30" s="0"/>
      <c r="GG30" s="0"/>
      <c r="GH30" s="0"/>
      <c r="GI30" s="0"/>
      <c r="GJ30" s="0"/>
      <c r="GK30" s="0"/>
      <c r="GL30" s="0"/>
      <c r="GM30" s="0"/>
      <c r="GN30" s="0"/>
      <c r="GO30" s="0"/>
      <c r="GP30" s="0"/>
      <c r="GQ30" s="0"/>
      <c r="GR30" s="0"/>
      <c r="GS30" s="0"/>
      <c r="GT30" s="0"/>
      <c r="GU30" s="0"/>
      <c r="GV30" s="0"/>
      <c r="GW30" s="0"/>
      <c r="GX30" s="0"/>
      <c r="GY30" s="0"/>
      <c r="GZ30" s="0"/>
      <c r="HA30" s="0"/>
      <c r="HB30" s="0"/>
      <c r="HC30" s="0"/>
      <c r="HD30" s="0"/>
      <c r="HE30" s="0"/>
      <c r="HF30" s="0"/>
      <c r="HG30" s="0"/>
      <c r="HH30" s="0"/>
      <c r="HI30" s="0"/>
      <c r="HJ30" s="0"/>
      <c r="HK30" s="0"/>
      <c r="HL30" s="0"/>
      <c r="HM30" s="0"/>
      <c r="HN30" s="0"/>
      <c r="HO30" s="0"/>
      <c r="HP30" s="0"/>
      <c r="HQ30" s="0"/>
      <c r="HR30" s="0"/>
      <c r="HS30" s="0"/>
      <c r="HT30" s="0"/>
      <c r="HU30" s="0"/>
      <c r="HV30" s="0"/>
      <c r="HW30" s="0"/>
      <c r="HX30" s="0"/>
      <c r="HY30" s="0"/>
      <c r="HZ30" s="0"/>
      <c r="IA30" s="0"/>
      <c r="IB30" s="0"/>
      <c r="IC30" s="0"/>
      <c r="ID30" s="0"/>
      <c r="IE30" s="0"/>
      <c r="IF30" s="0"/>
      <c r="IG30" s="0"/>
      <c r="IH30" s="0"/>
      <c r="II30" s="0"/>
      <c r="IJ30" s="0"/>
      <c r="IK30" s="0"/>
      <c r="IL30" s="0"/>
      <c r="IM30" s="0"/>
      <c r="IN30" s="0"/>
      <c r="IO30" s="0"/>
      <c r="IP30" s="0"/>
      <c r="IQ30" s="0"/>
      <c r="IR30" s="0"/>
      <c r="IS30" s="0"/>
      <c r="IT30" s="0"/>
      <c r="IU30" s="0"/>
      <c r="IV30" s="0"/>
      <c r="IW30" s="0"/>
    </row>
    <row r="31" customFormat="false" ht="11.1" hidden="false" customHeight="true" outlineLevel="0" collapsed="false">
      <c r="A31" s="118" t="n">
        <f aca="false">A30+1</f>
        <v>20</v>
      </c>
      <c r="B31" s="168" t="n">
        <v>6879.78</v>
      </c>
      <c r="C31" s="112" t="n">
        <v>215508</v>
      </c>
      <c r="D31" s="117" t="n">
        <f aca="false">C31-C30</f>
        <v>-1110</v>
      </c>
      <c r="E31" s="112" t="n">
        <f aca="false">C31-152000</f>
        <v>63508</v>
      </c>
      <c r="F31" s="180" t="n">
        <f aca="false">D31/$D$2</f>
        <v>-559.616838921099</v>
      </c>
      <c r="G31" s="111" t="n">
        <v>140</v>
      </c>
      <c r="H31" s="181" t="n">
        <v>0.27</v>
      </c>
      <c r="I31" s="111" t="n">
        <f aca="false">G31+H31</f>
        <v>140.27</v>
      </c>
      <c r="J31" s="181" t="n">
        <f aca="false">IF(L31&gt;0,L31,0)</f>
        <v>0</v>
      </c>
      <c r="K31" s="111" t="n">
        <f aca="false">I31+J31</f>
        <v>140.27</v>
      </c>
      <c r="L31" s="111" t="n">
        <f aca="false">F31-(I31-X31)</f>
        <v>-142.336838921099</v>
      </c>
      <c r="M31" s="182" t="n">
        <v>167</v>
      </c>
      <c r="N31" s="111" t="n">
        <v>2</v>
      </c>
      <c r="O31" s="111" t="n">
        <f aca="false">19.24*1.05</f>
        <v>20.202</v>
      </c>
      <c r="P31" s="90" t="n">
        <f aca="false">M31-(N31+O31)</f>
        <v>144.798</v>
      </c>
      <c r="Q31" s="111" t="n">
        <v>132</v>
      </c>
      <c r="R31" s="111" t="n">
        <v>76</v>
      </c>
      <c r="S31" s="111" t="n">
        <f aca="false">SUM(P31:R31)</f>
        <v>352.798</v>
      </c>
      <c r="T31" s="112" t="n">
        <f aca="false">T30+AE31-(AF31/1.9835)+AG31</f>
        <v>11830.1248297904</v>
      </c>
      <c r="U31" s="111" t="n">
        <v>145.55</v>
      </c>
      <c r="V31" s="235" t="n">
        <v>37</v>
      </c>
      <c r="W31" s="236" t="n">
        <f aca="false">W30-V31</f>
        <v>5561.49231157046</v>
      </c>
      <c r="X31" s="6" t="n">
        <f aca="false">N31+O31+S31+U31+V31</f>
        <v>557.55</v>
      </c>
      <c r="Y31" s="111" t="n">
        <f aca="false">IF(L31&lt;0,L31*-1,0)</f>
        <v>142.336838921099</v>
      </c>
      <c r="Z31" s="111" t="n">
        <f aca="false">X31+Y31</f>
        <v>699.886838921099</v>
      </c>
      <c r="AA31" s="350" t="n">
        <v>0.03</v>
      </c>
      <c r="AB31" s="183" t="n">
        <v>91</v>
      </c>
      <c r="AC31" s="167" t="n">
        <v>62</v>
      </c>
      <c r="AD31" s="118" t="n">
        <v>0</v>
      </c>
      <c r="AE31" s="87" t="n">
        <f aca="false">(I31-8-2.7)-(S31-8)</f>
        <v>-215.228</v>
      </c>
      <c r="AF31" s="339" t="n">
        <f aca="false">23.5*(T30*1.9835-S31*1.9835)/E31</f>
        <v>8.57401578519004</v>
      </c>
      <c r="AG31" s="242" t="n">
        <v>15</v>
      </c>
      <c r="AH31" s="0"/>
      <c r="AI31" s="0"/>
      <c r="AJ31" s="0"/>
      <c r="AK31" s="0"/>
      <c r="AL31" s="0"/>
      <c r="AM31" s="0"/>
      <c r="AN31" s="0"/>
      <c r="AO31" s="0"/>
      <c r="AP31" s="0"/>
      <c r="AQ31" s="0"/>
      <c r="AR31" s="0"/>
      <c r="AS31" s="0"/>
      <c r="AT31" s="0"/>
      <c r="AU31" s="0"/>
      <c r="AV31" s="0"/>
      <c r="AW31" s="0"/>
      <c r="AX31" s="0"/>
      <c r="AY31" s="0"/>
      <c r="AZ31" s="0"/>
      <c r="BA31" s="0"/>
      <c r="BB31" s="0"/>
      <c r="BC31" s="0"/>
      <c r="BD31" s="0"/>
      <c r="BE31" s="0"/>
      <c r="BF31" s="0"/>
      <c r="BG31" s="0"/>
      <c r="BH31" s="0"/>
      <c r="BI31" s="0"/>
      <c r="BJ31" s="0"/>
      <c r="BK31" s="0"/>
      <c r="BL31" s="0"/>
      <c r="BM31" s="0"/>
      <c r="BN31" s="0"/>
      <c r="BO31" s="0"/>
      <c r="BP31" s="0"/>
      <c r="BQ31" s="0"/>
      <c r="BR31" s="0"/>
      <c r="BS31" s="0"/>
      <c r="BT31" s="0"/>
      <c r="BU31" s="0"/>
      <c r="BV31" s="0"/>
      <c r="BW31" s="0"/>
      <c r="BX31" s="0"/>
      <c r="BY31" s="0"/>
      <c r="BZ31" s="0"/>
      <c r="CA31" s="0"/>
      <c r="CB31" s="0"/>
      <c r="CC31" s="0"/>
      <c r="CD31" s="0"/>
      <c r="CE31" s="0"/>
      <c r="CF31" s="0"/>
      <c r="CG31" s="0"/>
      <c r="CH31" s="0"/>
      <c r="CI31" s="0"/>
      <c r="CJ31" s="0"/>
      <c r="CK31" s="0"/>
      <c r="CL31" s="0"/>
      <c r="CM31" s="0"/>
      <c r="CN31" s="0"/>
      <c r="CO31" s="0"/>
      <c r="CP31" s="0"/>
      <c r="CQ31" s="0"/>
      <c r="CR31" s="0"/>
      <c r="CS31" s="0"/>
      <c r="CT31" s="0"/>
      <c r="CU31" s="0"/>
      <c r="CV31" s="0"/>
      <c r="CW31" s="0"/>
      <c r="CX31" s="0"/>
      <c r="CY31" s="0"/>
      <c r="CZ31" s="0"/>
      <c r="DA31" s="0"/>
      <c r="DB31" s="0"/>
      <c r="DC31" s="0"/>
      <c r="DD31" s="0"/>
      <c r="DE31" s="0"/>
      <c r="DF31" s="0"/>
      <c r="DG31" s="0"/>
      <c r="DH31" s="0"/>
      <c r="DI31" s="0"/>
      <c r="DJ31" s="0"/>
      <c r="DK31" s="0"/>
      <c r="DL31" s="0"/>
      <c r="DM31" s="0"/>
      <c r="DN31" s="0"/>
      <c r="DO31" s="0"/>
      <c r="DP31" s="0"/>
      <c r="DQ31" s="0"/>
      <c r="DR31" s="0"/>
      <c r="DS31" s="0"/>
      <c r="DT31" s="0"/>
      <c r="DU31" s="0"/>
      <c r="DV31" s="0"/>
      <c r="DW31" s="0"/>
      <c r="DX31" s="0"/>
      <c r="DY31" s="0"/>
      <c r="DZ31" s="0"/>
      <c r="EA31" s="0"/>
      <c r="EB31" s="0"/>
      <c r="EC31" s="0"/>
      <c r="ED31" s="0"/>
      <c r="EE31" s="0"/>
      <c r="EF31" s="0"/>
      <c r="EG31" s="0"/>
      <c r="EH31" s="0"/>
      <c r="EI31" s="0"/>
      <c r="EJ31" s="0"/>
      <c r="EK31" s="0"/>
      <c r="EL31" s="0"/>
      <c r="EM31" s="0"/>
      <c r="EN31" s="0"/>
      <c r="EO31" s="0"/>
      <c r="EP31" s="0"/>
      <c r="EQ31" s="0"/>
      <c r="ER31" s="0"/>
      <c r="ES31" s="0"/>
      <c r="ET31" s="0"/>
      <c r="EU31" s="0"/>
      <c r="EV31" s="0"/>
      <c r="EW31" s="0"/>
      <c r="EX31" s="0"/>
      <c r="EY31" s="0"/>
      <c r="EZ31" s="0"/>
      <c r="FA31" s="0"/>
      <c r="FB31" s="0"/>
      <c r="FC31" s="0"/>
      <c r="FD31" s="0"/>
      <c r="FE31" s="0"/>
      <c r="FF31" s="0"/>
      <c r="FG31" s="0"/>
      <c r="FH31" s="0"/>
      <c r="FI31" s="0"/>
      <c r="FJ31" s="0"/>
      <c r="FK31" s="0"/>
      <c r="FL31" s="0"/>
      <c r="FM31" s="0"/>
      <c r="FN31" s="0"/>
      <c r="FO31" s="0"/>
      <c r="FP31" s="0"/>
      <c r="FQ31" s="0"/>
      <c r="FR31" s="0"/>
      <c r="FS31" s="0"/>
      <c r="FT31" s="0"/>
      <c r="FU31" s="0"/>
      <c r="FV31" s="0"/>
      <c r="FW31" s="0"/>
      <c r="FX31" s="0"/>
      <c r="FY31" s="0"/>
      <c r="FZ31" s="0"/>
      <c r="GA31" s="0"/>
      <c r="GB31" s="0"/>
      <c r="GC31" s="0"/>
      <c r="GD31" s="0"/>
      <c r="GE31" s="0"/>
      <c r="GF31" s="0"/>
      <c r="GG31" s="0"/>
      <c r="GH31" s="0"/>
      <c r="GI31" s="0"/>
      <c r="GJ31" s="0"/>
      <c r="GK31" s="0"/>
      <c r="GL31" s="0"/>
      <c r="GM31" s="0"/>
      <c r="GN31" s="0"/>
      <c r="GO31" s="0"/>
      <c r="GP31" s="0"/>
      <c r="GQ31" s="0"/>
      <c r="GR31" s="0"/>
      <c r="GS31" s="0"/>
      <c r="GT31" s="0"/>
      <c r="GU31" s="0"/>
      <c r="GV31" s="0"/>
      <c r="GW31" s="0"/>
      <c r="GX31" s="0"/>
      <c r="GY31" s="0"/>
      <c r="GZ31" s="0"/>
      <c r="HA31" s="0"/>
      <c r="HB31" s="0"/>
      <c r="HC31" s="0"/>
      <c r="HD31" s="0"/>
      <c r="HE31" s="0"/>
      <c r="HF31" s="0"/>
      <c r="HG31" s="0"/>
      <c r="HH31" s="0"/>
      <c r="HI31" s="0"/>
      <c r="HJ31" s="0"/>
      <c r="HK31" s="0"/>
      <c r="HL31" s="0"/>
      <c r="HM31" s="0"/>
      <c r="HN31" s="0"/>
      <c r="HO31" s="0"/>
      <c r="HP31" s="0"/>
      <c r="HQ31" s="0"/>
      <c r="HR31" s="0"/>
      <c r="HS31" s="0"/>
      <c r="HT31" s="0"/>
      <c r="HU31" s="0"/>
      <c r="HV31" s="0"/>
      <c r="HW31" s="0"/>
      <c r="HX31" s="0"/>
      <c r="HY31" s="0"/>
      <c r="HZ31" s="0"/>
      <c r="IA31" s="0"/>
      <c r="IB31" s="0"/>
      <c r="IC31" s="0"/>
      <c r="ID31" s="0"/>
      <c r="IE31" s="0"/>
      <c r="IF31" s="0"/>
      <c r="IG31" s="0"/>
      <c r="IH31" s="0"/>
      <c r="II31" s="0"/>
      <c r="IJ31" s="0"/>
      <c r="IK31" s="0"/>
      <c r="IL31" s="0"/>
      <c r="IM31" s="0"/>
      <c r="IN31" s="0"/>
      <c r="IO31" s="0"/>
      <c r="IP31" s="0"/>
      <c r="IQ31" s="0"/>
      <c r="IR31" s="0"/>
      <c r="IS31" s="0"/>
      <c r="IT31" s="0"/>
      <c r="IU31" s="0"/>
      <c r="IV31" s="0"/>
      <c r="IW31" s="0"/>
    </row>
    <row r="32" customFormat="false" ht="11.1" hidden="false" customHeight="true" outlineLevel="0" collapsed="false">
      <c r="A32" s="118" t="n">
        <f aca="false">A31+1</f>
        <v>21</v>
      </c>
      <c r="B32" s="168" t="n">
        <v>6879.5</v>
      </c>
      <c r="C32" s="112" t="n">
        <v>214672</v>
      </c>
      <c r="D32" s="117" t="n">
        <f aca="false">C32-C31</f>
        <v>-836</v>
      </c>
      <c r="E32" s="112" t="n">
        <f aca="false">C32-152000</f>
        <v>62672</v>
      </c>
      <c r="F32" s="180" t="n">
        <f aca="false">D32/$D$2</f>
        <v>-421.477186791026</v>
      </c>
      <c r="G32" s="111" t="n">
        <v>134</v>
      </c>
      <c r="H32" s="181" t="n">
        <v>0.28</v>
      </c>
      <c r="I32" s="111" t="n">
        <f aca="false">G32+H32</f>
        <v>134.28</v>
      </c>
      <c r="J32" s="181" t="n">
        <f aca="false">IF(L32&gt;0,L32,0)</f>
        <v>0</v>
      </c>
      <c r="K32" s="111" t="n">
        <f aca="false">I32+J32</f>
        <v>134.28</v>
      </c>
      <c r="L32" s="111" t="n">
        <f aca="false">F32-(I32-X32)</f>
        <v>-19.6671867910259</v>
      </c>
      <c r="M32" s="182" t="n">
        <v>177</v>
      </c>
      <c r="N32" s="111" t="n">
        <v>0</v>
      </c>
      <c r="O32" s="111" t="n">
        <f aca="false">22.11*1.05</f>
        <v>23.2155</v>
      </c>
      <c r="P32" s="90" t="n">
        <f aca="false">M32-(N32+O32)</f>
        <v>153.7845</v>
      </c>
      <c r="Q32" s="111" t="n">
        <v>136</v>
      </c>
      <c r="R32" s="111" t="n">
        <v>76</v>
      </c>
      <c r="S32" s="111" t="n">
        <f aca="false">SUM(P32:R32)</f>
        <v>365.7845</v>
      </c>
      <c r="T32" s="112" t="n">
        <f aca="false">T31+AE32-(AF32/1.9835)+AG32</f>
        <v>11606.6215680188</v>
      </c>
      <c r="U32" s="111" t="n">
        <v>110.09</v>
      </c>
      <c r="V32" s="235" t="n">
        <v>37</v>
      </c>
      <c r="W32" s="236" t="n">
        <f aca="false">W31-V32</f>
        <v>5524.49231157046</v>
      </c>
      <c r="X32" s="6" t="n">
        <f aca="false">N32+O32+S32+U32+V32</f>
        <v>536.09</v>
      </c>
      <c r="Y32" s="111" t="n">
        <f aca="false">IF(L32&lt;0,L32*-1,0)</f>
        <v>19.6671867910259</v>
      </c>
      <c r="Z32" s="111" t="n">
        <f aca="false">X32+Y32</f>
        <v>555.757186791026</v>
      </c>
      <c r="AA32" s="350" t="n">
        <v>0</v>
      </c>
      <c r="AB32" s="117" t="n">
        <v>93</v>
      </c>
      <c r="AC32" s="167" t="n">
        <v>62</v>
      </c>
      <c r="AD32" s="118" t="n">
        <v>0</v>
      </c>
      <c r="AE32" s="87" t="n">
        <f aca="false">(I32-8-2.7)-(S32-8)</f>
        <v>-234.2045</v>
      </c>
      <c r="AF32" s="339" t="n">
        <f aca="false">23.5*(T31*1.9835-S32*1.9835)/E32</f>
        <v>8.52659397397996</v>
      </c>
      <c r="AG32" s="242" t="n">
        <v>15</v>
      </c>
      <c r="AH32" s="0"/>
      <c r="AI32" s="0"/>
      <c r="AJ32" s="0"/>
      <c r="AK32" s="0"/>
      <c r="AL32" s="0"/>
      <c r="AM32" s="0"/>
      <c r="AN32" s="0"/>
      <c r="AO32" s="0"/>
      <c r="AP32" s="0"/>
      <c r="AQ32" s="0"/>
      <c r="AR32" s="0"/>
      <c r="AS32" s="0"/>
      <c r="AT32" s="0"/>
      <c r="AU32" s="0"/>
      <c r="AV32" s="0"/>
      <c r="AW32" s="0"/>
      <c r="AX32" s="0"/>
      <c r="AY32" s="0"/>
      <c r="AZ32" s="0"/>
      <c r="BA32" s="0"/>
      <c r="BB32" s="0"/>
      <c r="BC32" s="0"/>
      <c r="BD32" s="0"/>
      <c r="BE32" s="0"/>
      <c r="BF32" s="0"/>
      <c r="BG32" s="0"/>
      <c r="BH32" s="0"/>
      <c r="BI32" s="0"/>
      <c r="BJ32" s="0"/>
      <c r="BK32" s="0"/>
      <c r="BL32" s="0"/>
      <c r="BM32" s="0"/>
      <c r="BN32" s="0"/>
      <c r="BO32" s="0"/>
      <c r="BP32" s="0"/>
      <c r="BQ32" s="0"/>
      <c r="BR32" s="0"/>
      <c r="BS32" s="0"/>
      <c r="BT32" s="0"/>
      <c r="BU32" s="0"/>
      <c r="BV32" s="0"/>
      <c r="BW32" s="0"/>
      <c r="BX32" s="0"/>
      <c r="BY32" s="0"/>
      <c r="BZ32" s="0"/>
      <c r="CA32" s="0"/>
      <c r="CB32" s="0"/>
      <c r="CC32" s="0"/>
      <c r="CD32" s="0"/>
      <c r="CE32" s="0"/>
      <c r="CF32" s="0"/>
      <c r="CG32" s="0"/>
      <c r="CH32" s="0"/>
      <c r="CI32" s="0"/>
      <c r="CJ32" s="0"/>
      <c r="CK32" s="0"/>
      <c r="CL32" s="0"/>
      <c r="CM32" s="0"/>
      <c r="CN32" s="0"/>
      <c r="CO32" s="0"/>
      <c r="CP32" s="0"/>
      <c r="CQ32" s="0"/>
      <c r="CR32" s="0"/>
      <c r="CS32" s="0"/>
      <c r="CT32" s="0"/>
      <c r="CU32" s="0"/>
      <c r="CV32" s="0"/>
      <c r="CW32" s="0"/>
      <c r="CX32" s="0"/>
      <c r="CY32" s="0"/>
      <c r="CZ32" s="0"/>
      <c r="DA32" s="0"/>
      <c r="DB32" s="0"/>
      <c r="DC32" s="0"/>
      <c r="DD32" s="0"/>
      <c r="DE32" s="0"/>
      <c r="DF32" s="0"/>
      <c r="DG32" s="0"/>
      <c r="DH32" s="0"/>
      <c r="DI32" s="0"/>
      <c r="DJ32" s="0"/>
      <c r="DK32" s="0"/>
      <c r="DL32" s="0"/>
      <c r="DM32" s="0"/>
      <c r="DN32" s="0"/>
      <c r="DO32" s="0"/>
      <c r="DP32" s="0"/>
      <c r="DQ32" s="0"/>
      <c r="DR32" s="0"/>
      <c r="DS32" s="0"/>
      <c r="DT32" s="0"/>
      <c r="DU32" s="0"/>
      <c r="DV32" s="0"/>
      <c r="DW32" s="0"/>
      <c r="DX32" s="0"/>
      <c r="DY32" s="0"/>
      <c r="DZ32" s="0"/>
      <c r="EA32" s="0"/>
      <c r="EB32" s="0"/>
      <c r="EC32" s="0"/>
      <c r="ED32" s="0"/>
      <c r="EE32" s="0"/>
      <c r="EF32" s="0"/>
      <c r="EG32" s="0"/>
      <c r="EH32" s="0"/>
      <c r="EI32" s="0"/>
      <c r="EJ32" s="0"/>
      <c r="EK32" s="0"/>
      <c r="EL32" s="0"/>
      <c r="EM32" s="0"/>
      <c r="EN32" s="0"/>
      <c r="EO32" s="0"/>
      <c r="EP32" s="0"/>
      <c r="EQ32" s="0"/>
      <c r="ER32" s="0"/>
      <c r="ES32" s="0"/>
      <c r="ET32" s="0"/>
      <c r="EU32" s="0"/>
      <c r="EV32" s="0"/>
      <c r="EW32" s="0"/>
      <c r="EX32" s="0"/>
      <c r="EY32" s="0"/>
      <c r="EZ32" s="0"/>
      <c r="FA32" s="0"/>
      <c r="FB32" s="0"/>
      <c r="FC32" s="0"/>
      <c r="FD32" s="0"/>
      <c r="FE32" s="0"/>
      <c r="FF32" s="0"/>
      <c r="FG32" s="0"/>
      <c r="FH32" s="0"/>
      <c r="FI32" s="0"/>
      <c r="FJ32" s="0"/>
      <c r="FK32" s="0"/>
      <c r="FL32" s="0"/>
      <c r="FM32" s="0"/>
      <c r="FN32" s="0"/>
      <c r="FO32" s="0"/>
      <c r="FP32" s="0"/>
      <c r="FQ32" s="0"/>
      <c r="FR32" s="0"/>
      <c r="FS32" s="0"/>
      <c r="FT32" s="0"/>
      <c r="FU32" s="0"/>
      <c r="FV32" s="0"/>
      <c r="FW32" s="0"/>
      <c r="FX32" s="0"/>
      <c r="FY32" s="0"/>
      <c r="FZ32" s="0"/>
      <c r="GA32" s="0"/>
      <c r="GB32" s="0"/>
      <c r="GC32" s="0"/>
      <c r="GD32" s="0"/>
      <c r="GE32" s="0"/>
      <c r="GF32" s="0"/>
      <c r="GG32" s="0"/>
      <c r="GH32" s="0"/>
      <c r="GI32" s="0"/>
      <c r="GJ32" s="0"/>
      <c r="GK32" s="0"/>
      <c r="GL32" s="0"/>
      <c r="GM32" s="0"/>
      <c r="GN32" s="0"/>
      <c r="GO32" s="0"/>
      <c r="GP32" s="0"/>
      <c r="GQ32" s="0"/>
      <c r="GR32" s="0"/>
      <c r="GS32" s="0"/>
      <c r="GT32" s="0"/>
      <c r="GU32" s="0"/>
      <c r="GV32" s="0"/>
      <c r="GW32" s="0"/>
      <c r="GX32" s="0"/>
      <c r="GY32" s="0"/>
      <c r="GZ32" s="0"/>
      <c r="HA32" s="0"/>
      <c r="HB32" s="0"/>
      <c r="HC32" s="0"/>
      <c r="HD32" s="0"/>
      <c r="HE32" s="0"/>
      <c r="HF32" s="0"/>
      <c r="HG32" s="0"/>
      <c r="HH32" s="0"/>
      <c r="HI32" s="0"/>
      <c r="HJ32" s="0"/>
      <c r="HK32" s="0"/>
      <c r="HL32" s="0"/>
      <c r="HM32" s="0"/>
      <c r="HN32" s="0"/>
      <c r="HO32" s="0"/>
      <c r="HP32" s="0"/>
      <c r="HQ32" s="0"/>
      <c r="HR32" s="0"/>
      <c r="HS32" s="0"/>
      <c r="HT32" s="0"/>
      <c r="HU32" s="0"/>
      <c r="HV32" s="0"/>
      <c r="HW32" s="0"/>
      <c r="HX32" s="0"/>
      <c r="HY32" s="0"/>
      <c r="HZ32" s="0"/>
      <c r="IA32" s="0"/>
      <c r="IB32" s="0"/>
      <c r="IC32" s="0"/>
      <c r="ID32" s="0"/>
      <c r="IE32" s="0"/>
      <c r="IF32" s="0"/>
      <c r="IG32" s="0"/>
      <c r="IH32" s="0"/>
      <c r="II32" s="0"/>
      <c r="IJ32" s="0"/>
      <c r="IK32" s="0"/>
      <c r="IL32" s="0"/>
      <c r="IM32" s="0"/>
      <c r="IN32" s="0"/>
      <c r="IO32" s="0"/>
      <c r="IP32" s="0"/>
      <c r="IQ32" s="0"/>
      <c r="IR32" s="0"/>
      <c r="IS32" s="0"/>
      <c r="IT32" s="0"/>
      <c r="IU32" s="0"/>
      <c r="IV32" s="0"/>
      <c r="IW32" s="0"/>
    </row>
    <row r="33" customFormat="false" ht="11.1" hidden="false" customHeight="true" outlineLevel="0" collapsed="false">
      <c r="A33" s="118" t="n">
        <f aca="false">A32+1</f>
        <v>22</v>
      </c>
      <c r="B33" s="168" t="n">
        <v>6879.21</v>
      </c>
      <c r="C33" s="112" t="n">
        <v>213806</v>
      </c>
      <c r="D33" s="117" t="n">
        <f aca="false">C33-C32</f>
        <v>-866</v>
      </c>
      <c r="E33" s="112" t="n">
        <f aca="false">C33-152000</f>
        <v>61806</v>
      </c>
      <c r="F33" s="180" t="n">
        <f aca="false">D33/$D$2</f>
        <v>-436.601966221326</v>
      </c>
      <c r="G33" s="111" t="n">
        <v>137</v>
      </c>
      <c r="H33" s="181" t="n">
        <v>0.29</v>
      </c>
      <c r="I33" s="111" t="n">
        <f aca="false">G33+H33</f>
        <v>137.29</v>
      </c>
      <c r="J33" s="181" t="n">
        <f aca="false">IF(L33&gt;0,L33,0)</f>
        <v>2.1080337786741</v>
      </c>
      <c r="K33" s="111" t="n">
        <f aca="false">I33+J33</f>
        <v>139.398033778674</v>
      </c>
      <c r="L33" s="111" t="n">
        <f aca="false">F33-(I33-X33)</f>
        <v>2.1080337786741</v>
      </c>
      <c r="M33" s="182" t="n">
        <v>182</v>
      </c>
      <c r="N33" s="111" t="n">
        <v>0</v>
      </c>
      <c r="O33" s="111" t="n">
        <f aca="false">24.23*1.05</f>
        <v>25.4415</v>
      </c>
      <c r="P33" s="90" t="n">
        <f aca="false">M33-(N33+O33)</f>
        <v>156.5585</v>
      </c>
      <c r="Q33" s="111" t="n">
        <v>136</v>
      </c>
      <c r="R33" s="111" t="n">
        <v>77</v>
      </c>
      <c r="S33" s="111" t="n">
        <f aca="false">SUM(P33:R33)</f>
        <v>369.5585</v>
      </c>
      <c r="T33" s="112" t="n">
        <f aca="false">T32+AE33-(AF33/1.9835)+AG33</f>
        <v>11382.3804895944</v>
      </c>
      <c r="U33" s="111" t="n">
        <v>144</v>
      </c>
      <c r="V33" s="235" t="n">
        <v>37</v>
      </c>
      <c r="W33" s="236" t="n">
        <f aca="false">W32-V33</f>
        <v>5487.49231157046</v>
      </c>
      <c r="X33" s="6" t="n">
        <f aca="false">N33+O33+S33+U33+V33</f>
        <v>576</v>
      </c>
      <c r="Y33" s="111" t="n">
        <f aca="false">IF(L33&lt;0,L33*-1,0)</f>
        <v>0</v>
      </c>
      <c r="Z33" s="111" t="n">
        <f aca="false">X33+Y33</f>
        <v>576</v>
      </c>
      <c r="AA33" s="350" t="n">
        <v>0</v>
      </c>
      <c r="AB33" s="117" t="n">
        <v>91</v>
      </c>
      <c r="AC33" s="167" t="n">
        <v>59</v>
      </c>
      <c r="AD33" s="118" t="n">
        <v>0</v>
      </c>
      <c r="AE33" s="87" t="n">
        <f aca="false">(I33-8-2.7)-(S33-8)</f>
        <v>-234.9685</v>
      </c>
      <c r="AF33" s="339" t="n">
        <f aca="false">23.5*(T32*1.9835-S33*1.9835)/E33</f>
        <v>8.4746593047966</v>
      </c>
      <c r="AG33" s="242" t="n">
        <v>15</v>
      </c>
      <c r="AH33" s="0"/>
      <c r="AI33" s="0"/>
      <c r="AJ33" s="0"/>
      <c r="AK33" s="0"/>
      <c r="AL33" s="0"/>
      <c r="AM33" s="0"/>
      <c r="AN33" s="0"/>
      <c r="AO33" s="0"/>
      <c r="AP33" s="0"/>
      <c r="AQ33" s="0"/>
      <c r="AR33" s="0"/>
      <c r="AS33" s="0"/>
      <c r="AT33" s="0"/>
      <c r="AU33" s="0"/>
      <c r="AV33" s="0"/>
      <c r="AW33" s="0"/>
      <c r="AX33" s="0"/>
      <c r="AY33" s="0"/>
      <c r="AZ33" s="0"/>
      <c r="BA33" s="0"/>
      <c r="BB33" s="0"/>
      <c r="BC33" s="0"/>
      <c r="BD33" s="0"/>
      <c r="BE33" s="0"/>
      <c r="BF33" s="0"/>
      <c r="BG33" s="0"/>
      <c r="BH33" s="0"/>
      <c r="BI33" s="0"/>
      <c r="BJ33" s="0"/>
      <c r="BK33" s="0"/>
      <c r="BL33" s="0"/>
      <c r="BM33" s="0"/>
      <c r="BN33" s="0"/>
      <c r="BO33" s="0"/>
      <c r="BP33" s="0"/>
      <c r="BQ33" s="0"/>
      <c r="BR33" s="0"/>
      <c r="BS33" s="0"/>
      <c r="BT33" s="0"/>
      <c r="BU33" s="0"/>
      <c r="BV33" s="0"/>
      <c r="BW33" s="0"/>
      <c r="BX33" s="0"/>
      <c r="BY33" s="0"/>
      <c r="BZ33" s="0"/>
      <c r="CA33" s="0"/>
      <c r="CB33" s="0"/>
      <c r="CC33" s="0"/>
      <c r="CD33" s="0"/>
      <c r="CE33" s="0"/>
      <c r="CF33" s="0"/>
      <c r="CG33" s="0"/>
      <c r="CH33" s="0"/>
      <c r="CI33" s="0"/>
      <c r="CJ33" s="0"/>
      <c r="CK33" s="0"/>
      <c r="CL33" s="0"/>
      <c r="CM33" s="0"/>
      <c r="CN33" s="0"/>
      <c r="CO33" s="0"/>
      <c r="CP33" s="0"/>
      <c r="CQ33" s="0"/>
      <c r="CR33" s="0"/>
      <c r="CS33" s="0"/>
      <c r="CT33" s="0"/>
      <c r="CU33" s="0"/>
      <c r="CV33" s="0"/>
      <c r="CW33" s="0"/>
      <c r="CX33" s="0"/>
      <c r="CY33" s="0"/>
      <c r="CZ33" s="0"/>
      <c r="DA33" s="0"/>
      <c r="DB33" s="0"/>
      <c r="DC33" s="0"/>
      <c r="DD33" s="0"/>
      <c r="DE33" s="0"/>
      <c r="DF33" s="0"/>
      <c r="DG33" s="0"/>
      <c r="DH33" s="0"/>
      <c r="DI33" s="0"/>
      <c r="DJ33" s="0"/>
      <c r="DK33" s="0"/>
      <c r="DL33" s="0"/>
      <c r="DM33" s="0"/>
      <c r="DN33" s="0"/>
      <c r="DO33" s="0"/>
      <c r="DP33" s="0"/>
      <c r="DQ33" s="0"/>
      <c r="DR33" s="0"/>
      <c r="DS33" s="0"/>
      <c r="DT33" s="0"/>
      <c r="DU33" s="0"/>
      <c r="DV33" s="0"/>
      <c r="DW33" s="0"/>
      <c r="DX33" s="0"/>
      <c r="DY33" s="0"/>
      <c r="DZ33" s="0"/>
      <c r="EA33" s="0"/>
      <c r="EB33" s="0"/>
      <c r="EC33" s="0"/>
      <c r="ED33" s="0"/>
      <c r="EE33" s="0"/>
      <c r="EF33" s="0"/>
      <c r="EG33" s="0"/>
      <c r="EH33" s="0"/>
      <c r="EI33" s="0"/>
      <c r="EJ33" s="0"/>
      <c r="EK33" s="0"/>
      <c r="EL33" s="0"/>
      <c r="EM33" s="0"/>
      <c r="EN33" s="0"/>
      <c r="EO33" s="0"/>
      <c r="EP33" s="0"/>
      <c r="EQ33" s="0"/>
      <c r="ER33" s="0"/>
      <c r="ES33" s="0"/>
      <c r="ET33" s="0"/>
      <c r="EU33" s="0"/>
      <c r="EV33" s="0"/>
      <c r="EW33" s="0"/>
      <c r="EX33" s="0"/>
      <c r="EY33" s="0"/>
      <c r="EZ33" s="0"/>
      <c r="FA33" s="0"/>
      <c r="FB33" s="0"/>
      <c r="FC33" s="0"/>
      <c r="FD33" s="0"/>
      <c r="FE33" s="0"/>
      <c r="FF33" s="0"/>
      <c r="FG33" s="0"/>
      <c r="FH33" s="0"/>
      <c r="FI33" s="0"/>
      <c r="FJ33" s="0"/>
      <c r="FK33" s="0"/>
      <c r="FL33" s="0"/>
      <c r="FM33" s="0"/>
      <c r="FN33" s="0"/>
      <c r="FO33" s="0"/>
      <c r="FP33" s="0"/>
      <c r="FQ33" s="0"/>
      <c r="FR33" s="0"/>
      <c r="FS33" s="0"/>
      <c r="FT33" s="0"/>
      <c r="FU33" s="0"/>
      <c r="FV33" s="0"/>
      <c r="FW33" s="0"/>
      <c r="FX33" s="0"/>
      <c r="FY33" s="0"/>
      <c r="FZ33" s="0"/>
      <c r="GA33" s="0"/>
      <c r="GB33" s="0"/>
      <c r="GC33" s="0"/>
      <c r="GD33" s="0"/>
      <c r="GE33" s="0"/>
      <c r="GF33" s="0"/>
      <c r="GG33" s="0"/>
      <c r="GH33" s="0"/>
      <c r="GI33" s="0"/>
      <c r="GJ33" s="0"/>
      <c r="GK33" s="0"/>
      <c r="GL33" s="0"/>
      <c r="GM33" s="0"/>
      <c r="GN33" s="0"/>
      <c r="GO33" s="0"/>
      <c r="GP33" s="0"/>
      <c r="GQ33" s="0"/>
      <c r="GR33" s="0"/>
      <c r="GS33" s="0"/>
      <c r="GT33" s="0"/>
      <c r="GU33" s="0"/>
      <c r="GV33" s="0"/>
      <c r="GW33" s="0"/>
      <c r="GX33" s="0"/>
      <c r="GY33" s="0"/>
      <c r="GZ33" s="0"/>
      <c r="HA33" s="0"/>
      <c r="HB33" s="0"/>
      <c r="HC33" s="0"/>
      <c r="HD33" s="0"/>
      <c r="HE33" s="0"/>
      <c r="HF33" s="0"/>
      <c r="HG33" s="0"/>
      <c r="HH33" s="0"/>
      <c r="HI33" s="0"/>
      <c r="HJ33" s="0"/>
      <c r="HK33" s="0"/>
      <c r="HL33" s="0"/>
      <c r="HM33" s="0"/>
      <c r="HN33" s="0"/>
      <c r="HO33" s="0"/>
      <c r="HP33" s="0"/>
      <c r="HQ33" s="0"/>
      <c r="HR33" s="0"/>
      <c r="HS33" s="0"/>
      <c r="HT33" s="0"/>
      <c r="HU33" s="0"/>
      <c r="HV33" s="0"/>
      <c r="HW33" s="0"/>
      <c r="HX33" s="0"/>
      <c r="HY33" s="0"/>
      <c r="HZ33" s="0"/>
      <c r="IA33" s="0"/>
      <c r="IB33" s="0"/>
      <c r="IC33" s="0"/>
      <c r="ID33" s="0"/>
      <c r="IE33" s="0"/>
      <c r="IF33" s="0"/>
      <c r="IG33" s="0"/>
      <c r="IH33" s="0"/>
      <c r="II33" s="0"/>
      <c r="IJ33" s="0"/>
      <c r="IK33" s="0"/>
      <c r="IL33" s="0"/>
      <c r="IM33" s="0"/>
      <c r="IN33" s="0"/>
      <c r="IO33" s="0"/>
      <c r="IP33" s="0"/>
      <c r="IQ33" s="0"/>
      <c r="IR33" s="0"/>
      <c r="IS33" s="0"/>
      <c r="IT33" s="0"/>
      <c r="IU33" s="0"/>
      <c r="IV33" s="0"/>
      <c r="IW33" s="0"/>
    </row>
    <row r="34" customFormat="false" ht="11.1" hidden="false" customHeight="true" outlineLevel="0" collapsed="false">
      <c r="A34" s="118" t="n">
        <f aca="false">A33+1</f>
        <v>23</v>
      </c>
      <c r="B34" s="168" t="n">
        <v>6878.87</v>
      </c>
      <c r="C34" s="112" t="n">
        <v>212795</v>
      </c>
      <c r="D34" s="117" t="n">
        <f aca="false">C34-C33</f>
        <v>-1011</v>
      </c>
      <c r="E34" s="112" t="n">
        <f aca="false">C34-152000</f>
        <v>60795</v>
      </c>
      <c r="F34" s="180" t="n">
        <f aca="false">D34/$D$2</f>
        <v>-509.705066801109</v>
      </c>
      <c r="G34" s="111" t="n">
        <v>138</v>
      </c>
      <c r="H34" s="181" t="n">
        <v>0.18</v>
      </c>
      <c r="I34" s="111" t="n">
        <f aca="false">G34+H34</f>
        <v>138.18</v>
      </c>
      <c r="J34" s="181" t="n">
        <f aca="false">IF(L34&gt;0,L34,0)</f>
        <v>0</v>
      </c>
      <c r="K34" s="111" t="n">
        <f aca="false">I34+J34</f>
        <v>138.18</v>
      </c>
      <c r="L34" s="111" t="n">
        <f aca="false">F34-(I34-X34)</f>
        <v>-73.0650668011092</v>
      </c>
      <c r="M34" s="182" t="n">
        <v>202</v>
      </c>
      <c r="N34" s="111" t="n">
        <v>0</v>
      </c>
      <c r="O34" s="111" t="n">
        <f aca="false">28.3*1.05</f>
        <v>29.715</v>
      </c>
      <c r="P34" s="90" t="n">
        <f aca="false">M34-(N34+O34)</f>
        <v>172.285</v>
      </c>
      <c r="Q34" s="111" t="n">
        <v>136</v>
      </c>
      <c r="R34" s="111" t="n">
        <v>78</v>
      </c>
      <c r="S34" s="111" t="n">
        <f aca="false">SUM(P34:R34)</f>
        <v>386.285</v>
      </c>
      <c r="T34" s="112" t="n">
        <f aca="false">T33+AE34-(AF34/1.9835)+AG34</f>
        <v>11142.3250044557</v>
      </c>
      <c r="U34" s="111" t="n">
        <v>121.82</v>
      </c>
      <c r="V34" s="235" t="n">
        <v>37</v>
      </c>
      <c r="W34" s="236" t="n">
        <f aca="false">W33-V34</f>
        <v>5450.49231157046</v>
      </c>
      <c r="X34" s="6" t="n">
        <f aca="false">N34+O34+S34+U34+V34</f>
        <v>574.82</v>
      </c>
      <c r="Y34" s="111" t="n">
        <f aca="false">IF(L34&lt;0,L34*-1,0)</f>
        <v>73.0650668011092</v>
      </c>
      <c r="Z34" s="111" t="n">
        <f aca="false">X34+Y34</f>
        <v>647.885066801109</v>
      </c>
      <c r="AA34" s="350" t="n">
        <v>0</v>
      </c>
      <c r="AB34" s="117" t="n">
        <v>86</v>
      </c>
      <c r="AC34" s="184" t="n">
        <v>67</v>
      </c>
      <c r="AD34" s="118" t="n">
        <v>0</v>
      </c>
      <c r="AE34" s="87" t="n">
        <f aca="false">(I34-8-2.7)-(S34-8)</f>
        <v>-250.805</v>
      </c>
      <c r="AF34" s="339" t="n">
        <f aca="false">23.5*(T33*1.9835-S34*1.9835)/E34</f>
        <v>8.43083727255277</v>
      </c>
      <c r="AG34" s="242" t="n">
        <v>15</v>
      </c>
      <c r="AH34" s="0"/>
      <c r="AI34" s="0"/>
      <c r="AJ34" s="0"/>
      <c r="AK34" s="0"/>
      <c r="AL34" s="0"/>
      <c r="AM34" s="0"/>
      <c r="AN34" s="0"/>
      <c r="AO34" s="0"/>
      <c r="AP34" s="0"/>
      <c r="AQ34" s="0"/>
      <c r="AR34" s="0"/>
      <c r="AS34" s="0"/>
      <c r="AT34" s="0"/>
      <c r="AU34" s="0"/>
      <c r="AV34" s="0"/>
      <c r="AW34" s="0"/>
      <c r="AX34" s="0"/>
      <c r="AY34" s="0"/>
      <c r="AZ34" s="0"/>
      <c r="BA34" s="0"/>
      <c r="BB34" s="0"/>
      <c r="BC34" s="0"/>
      <c r="BD34" s="0"/>
      <c r="BE34" s="0"/>
      <c r="BF34" s="0"/>
      <c r="BG34" s="0"/>
      <c r="BH34" s="0"/>
      <c r="BI34" s="0"/>
      <c r="BJ34" s="0"/>
      <c r="BK34" s="0"/>
      <c r="BL34" s="0"/>
      <c r="BM34" s="0"/>
      <c r="BN34" s="0"/>
      <c r="BO34" s="0"/>
      <c r="BP34" s="0"/>
      <c r="BQ34" s="0"/>
      <c r="BR34" s="0"/>
      <c r="BS34" s="0"/>
      <c r="BT34" s="0"/>
      <c r="BU34" s="0"/>
      <c r="BV34" s="0"/>
      <c r="BW34" s="0"/>
      <c r="BX34" s="0"/>
      <c r="BY34" s="0"/>
      <c r="BZ34" s="0"/>
      <c r="CA34" s="0"/>
      <c r="CB34" s="0"/>
      <c r="CC34" s="0"/>
      <c r="CD34" s="0"/>
      <c r="CE34" s="0"/>
      <c r="CF34" s="0"/>
      <c r="CG34" s="0"/>
      <c r="CH34" s="0"/>
      <c r="CI34" s="0"/>
      <c r="CJ34" s="0"/>
      <c r="CK34" s="0"/>
      <c r="CL34" s="0"/>
      <c r="CM34" s="0"/>
      <c r="CN34" s="0"/>
      <c r="CO34" s="0"/>
      <c r="CP34" s="0"/>
      <c r="CQ34" s="0"/>
      <c r="CR34" s="0"/>
      <c r="CS34" s="0"/>
      <c r="CT34" s="0"/>
      <c r="CU34" s="0"/>
      <c r="CV34" s="0"/>
      <c r="CW34" s="0"/>
      <c r="CX34" s="0"/>
      <c r="CY34" s="0"/>
      <c r="CZ34" s="0"/>
      <c r="DA34" s="0"/>
      <c r="DB34" s="0"/>
      <c r="DC34" s="0"/>
      <c r="DD34" s="0"/>
      <c r="DE34" s="0"/>
      <c r="DF34" s="0"/>
      <c r="DG34" s="0"/>
      <c r="DH34" s="0"/>
      <c r="DI34" s="0"/>
      <c r="DJ34" s="0"/>
      <c r="DK34" s="0"/>
      <c r="DL34" s="0"/>
      <c r="DM34" s="0"/>
      <c r="DN34" s="0"/>
      <c r="DO34" s="0"/>
      <c r="DP34" s="0"/>
      <c r="DQ34" s="0"/>
      <c r="DR34" s="0"/>
      <c r="DS34" s="0"/>
      <c r="DT34" s="0"/>
      <c r="DU34" s="0"/>
      <c r="DV34" s="0"/>
      <c r="DW34" s="0"/>
      <c r="DX34" s="0"/>
      <c r="DY34" s="0"/>
      <c r="DZ34" s="0"/>
      <c r="EA34" s="0"/>
      <c r="EB34" s="0"/>
      <c r="EC34" s="0"/>
      <c r="ED34" s="0"/>
      <c r="EE34" s="0"/>
      <c r="EF34" s="0"/>
      <c r="EG34" s="0"/>
      <c r="EH34" s="0"/>
      <c r="EI34" s="0"/>
      <c r="EJ34" s="0"/>
      <c r="EK34" s="0"/>
      <c r="EL34" s="0"/>
      <c r="EM34" s="0"/>
      <c r="EN34" s="0"/>
      <c r="EO34" s="0"/>
      <c r="EP34" s="0"/>
      <c r="EQ34" s="0"/>
      <c r="ER34" s="0"/>
      <c r="ES34" s="0"/>
      <c r="ET34" s="0"/>
      <c r="EU34" s="0"/>
      <c r="EV34" s="0"/>
      <c r="EW34" s="0"/>
      <c r="EX34" s="0"/>
      <c r="EY34" s="0"/>
      <c r="EZ34" s="0"/>
      <c r="FA34" s="0"/>
      <c r="FB34" s="0"/>
      <c r="FC34" s="0"/>
      <c r="FD34" s="0"/>
      <c r="FE34" s="0"/>
      <c r="FF34" s="0"/>
      <c r="FG34" s="0"/>
      <c r="FH34" s="0"/>
      <c r="FI34" s="0"/>
      <c r="FJ34" s="0"/>
      <c r="FK34" s="0"/>
      <c r="FL34" s="0"/>
      <c r="FM34" s="0"/>
      <c r="FN34" s="0"/>
      <c r="FO34" s="0"/>
      <c r="FP34" s="0"/>
      <c r="FQ34" s="0"/>
      <c r="FR34" s="0"/>
      <c r="FS34" s="0"/>
      <c r="FT34" s="0"/>
      <c r="FU34" s="0"/>
      <c r="FV34" s="0"/>
      <c r="FW34" s="0"/>
      <c r="FX34" s="0"/>
      <c r="FY34" s="0"/>
      <c r="FZ34" s="0"/>
      <c r="GA34" s="0"/>
      <c r="GB34" s="0"/>
      <c r="GC34" s="0"/>
      <c r="GD34" s="0"/>
      <c r="GE34" s="0"/>
      <c r="GF34" s="0"/>
      <c r="GG34" s="0"/>
      <c r="GH34" s="0"/>
      <c r="GI34" s="0"/>
      <c r="GJ34" s="0"/>
      <c r="GK34" s="0"/>
      <c r="GL34" s="0"/>
      <c r="GM34" s="0"/>
      <c r="GN34" s="0"/>
      <c r="GO34" s="0"/>
      <c r="GP34" s="0"/>
      <c r="GQ34" s="0"/>
      <c r="GR34" s="0"/>
      <c r="GS34" s="0"/>
      <c r="GT34" s="0"/>
      <c r="GU34" s="0"/>
      <c r="GV34" s="0"/>
      <c r="GW34" s="0"/>
      <c r="GX34" s="0"/>
      <c r="GY34" s="0"/>
      <c r="GZ34" s="0"/>
      <c r="HA34" s="0"/>
      <c r="HB34" s="0"/>
      <c r="HC34" s="0"/>
      <c r="HD34" s="0"/>
      <c r="HE34" s="0"/>
      <c r="HF34" s="0"/>
      <c r="HG34" s="0"/>
      <c r="HH34" s="0"/>
      <c r="HI34" s="0"/>
      <c r="HJ34" s="0"/>
      <c r="HK34" s="0"/>
      <c r="HL34" s="0"/>
      <c r="HM34" s="0"/>
      <c r="HN34" s="0"/>
      <c r="HO34" s="0"/>
      <c r="HP34" s="0"/>
      <c r="HQ34" s="0"/>
      <c r="HR34" s="0"/>
      <c r="HS34" s="0"/>
      <c r="HT34" s="0"/>
      <c r="HU34" s="0"/>
      <c r="HV34" s="0"/>
      <c r="HW34" s="0"/>
      <c r="HX34" s="0"/>
      <c r="HY34" s="0"/>
      <c r="HZ34" s="0"/>
      <c r="IA34" s="0"/>
      <c r="IB34" s="0"/>
      <c r="IC34" s="0"/>
      <c r="ID34" s="0"/>
      <c r="IE34" s="0"/>
      <c r="IF34" s="0"/>
      <c r="IG34" s="0"/>
      <c r="IH34" s="0"/>
      <c r="II34" s="0"/>
      <c r="IJ34" s="0"/>
      <c r="IK34" s="0"/>
      <c r="IL34" s="0"/>
      <c r="IM34" s="0"/>
      <c r="IN34" s="0"/>
      <c r="IO34" s="0"/>
      <c r="IP34" s="0"/>
      <c r="IQ34" s="0"/>
      <c r="IR34" s="0"/>
      <c r="IS34" s="0"/>
      <c r="IT34" s="0"/>
      <c r="IU34" s="0"/>
      <c r="IV34" s="0"/>
      <c r="IW34" s="0"/>
    </row>
    <row r="35" customFormat="false" ht="11.1" hidden="false" customHeight="true" outlineLevel="0" collapsed="false">
      <c r="A35" s="118" t="n">
        <f aca="false">A34+1</f>
        <v>24</v>
      </c>
      <c r="B35" s="168" t="n">
        <v>6878.53</v>
      </c>
      <c r="C35" s="112" t="n">
        <v>211790</v>
      </c>
      <c r="D35" s="117" t="n">
        <f aca="false">C35-C34</f>
        <v>-1005</v>
      </c>
      <c r="E35" s="112" t="n">
        <f aca="false">C35-152000</f>
        <v>59790</v>
      </c>
      <c r="F35" s="180" t="n">
        <f aca="false">D35/$D$2</f>
        <v>-506.680110915049</v>
      </c>
      <c r="G35" s="111" t="n">
        <v>95</v>
      </c>
      <c r="H35" s="181" t="n">
        <v>0.08</v>
      </c>
      <c r="I35" s="111" t="n">
        <f aca="false">G35+H35</f>
        <v>95.08</v>
      </c>
      <c r="J35" s="181" t="n">
        <f aca="false">IF(L35&gt;0,L35,0)</f>
        <v>0</v>
      </c>
      <c r="K35" s="111" t="n">
        <f aca="false">I35+J35</f>
        <v>95.08</v>
      </c>
      <c r="L35" s="111" t="n">
        <f aca="false">F35-(I35-X35)</f>
        <v>-12.4801109150492</v>
      </c>
      <c r="M35" s="182" t="n">
        <v>230</v>
      </c>
      <c r="N35" s="111" t="n">
        <v>0</v>
      </c>
      <c r="O35" s="111" t="n">
        <f aca="false">30.92*1.05</f>
        <v>32.466</v>
      </c>
      <c r="P35" s="90" t="n">
        <f aca="false">M35-(N35+O35)</f>
        <v>197.534</v>
      </c>
      <c r="Q35" s="111" t="n">
        <v>136</v>
      </c>
      <c r="R35" s="111" t="n">
        <v>78</v>
      </c>
      <c r="S35" s="111" t="n">
        <f aca="false">SUM(P35:R35)</f>
        <v>411.534</v>
      </c>
      <c r="T35" s="112" t="n">
        <f aca="false">T34+AE35-(AF35/1.9835)+AG35</f>
        <v>10833.95334952</v>
      </c>
      <c r="U35" s="111" t="n">
        <v>108.28</v>
      </c>
      <c r="V35" s="235" t="n">
        <v>37</v>
      </c>
      <c r="W35" s="236" t="n">
        <f aca="false">W34-V35</f>
        <v>5413.49231157046</v>
      </c>
      <c r="X35" s="6" t="n">
        <f aca="false">N35+O35+S35+U35+V35</f>
        <v>589.28</v>
      </c>
      <c r="Y35" s="111" t="n">
        <f aca="false">IF(L35&lt;0,L35*-1,0)</f>
        <v>12.4801109150492</v>
      </c>
      <c r="Z35" s="111" t="n">
        <f aca="false">X35+Y35</f>
        <v>601.760110915049</v>
      </c>
      <c r="AA35" s="350" t="n">
        <v>0</v>
      </c>
      <c r="AB35" s="117" t="n">
        <v>91</v>
      </c>
      <c r="AC35" s="184" t="n">
        <v>59</v>
      </c>
      <c r="AD35" s="118" t="n">
        <v>0</v>
      </c>
      <c r="AE35" s="87" t="n">
        <f aca="false">(I35-8-2.7)-(S35-8)</f>
        <v>-319.154</v>
      </c>
      <c r="AF35" s="339" t="n">
        <f aca="false">23.5*(T34*1.9835-S35*1.9835)/E35</f>
        <v>8.36571856493462</v>
      </c>
      <c r="AG35" s="242" t="n">
        <v>15</v>
      </c>
      <c r="AH35" s="0"/>
      <c r="AI35" s="0"/>
      <c r="AJ35" s="0"/>
      <c r="AK35" s="0"/>
      <c r="AL35" s="0"/>
      <c r="AM35" s="0"/>
      <c r="AN35" s="0"/>
      <c r="AO35" s="0"/>
      <c r="AP35" s="0"/>
      <c r="AQ35" s="0"/>
      <c r="AR35" s="0"/>
      <c r="AS35" s="0"/>
      <c r="AT35" s="0"/>
      <c r="AU35" s="0"/>
      <c r="AV35" s="0"/>
      <c r="AW35" s="0"/>
      <c r="AX35" s="0"/>
      <c r="AY35" s="0"/>
      <c r="AZ35" s="0"/>
      <c r="BA35" s="0"/>
      <c r="BB35" s="0"/>
      <c r="BC35" s="0"/>
      <c r="BD35" s="0"/>
      <c r="BE35" s="0"/>
      <c r="BF35" s="0"/>
      <c r="BG35" s="0"/>
      <c r="BH35" s="0"/>
      <c r="BI35" s="0"/>
      <c r="BJ35" s="0"/>
      <c r="BK35" s="0"/>
      <c r="BL35" s="0"/>
      <c r="BM35" s="0"/>
      <c r="BN35" s="0"/>
      <c r="BO35" s="0"/>
      <c r="BP35" s="0"/>
      <c r="BQ35" s="0"/>
      <c r="BR35" s="0"/>
      <c r="BS35" s="0"/>
      <c r="BT35" s="0"/>
      <c r="BU35" s="0"/>
      <c r="BV35" s="0"/>
      <c r="BW35" s="0"/>
      <c r="BX35" s="0"/>
      <c r="BY35" s="0"/>
      <c r="BZ35" s="0"/>
      <c r="CA35" s="0"/>
      <c r="CB35" s="0"/>
      <c r="CC35" s="0"/>
      <c r="CD35" s="0"/>
      <c r="CE35" s="0"/>
      <c r="CF35" s="0"/>
      <c r="CG35" s="0"/>
      <c r="CH35" s="0"/>
      <c r="CI35" s="0"/>
      <c r="CJ35" s="0"/>
      <c r="CK35" s="0"/>
      <c r="CL35" s="0"/>
      <c r="CM35" s="0"/>
      <c r="CN35" s="0"/>
      <c r="CO35" s="0"/>
      <c r="CP35" s="0"/>
      <c r="CQ35" s="0"/>
      <c r="CR35" s="0"/>
      <c r="CS35" s="0"/>
      <c r="CT35" s="0"/>
      <c r="CU35" s="0"/>
      <c r="CV35" s="0"/>
      <c r="CW35" s="0"/>
      <c r="CX35" s="0"/>
      <c r="CY35" s="0"/>
      <c r="CZ35" s="0"/>
      <c r="DA35" s="0"/>
      <c r="DB35" s="0"/>
      <c r="DC35" s="0"/>
      <c r="DD35" s="0"/>
      <c r="DE35" s="0"/>
      <c r="DF35" s="0"/>
      <c r="DG35" s="0"/>
      <c r="DH35" s="0"/>
      <c r="DI35" s="0"/>
      <c r="DJ35" s="0"/>
      <c r="DK35" s="0"/>
      <c r="DL35" s="0"/>
      <c r="DM35" s="0"/>
      <c r="DN35" s="0"/>
      <c r="DO35" s="0"/>
      <c r="DP35" s="0"/>
      <c r="DQ35" s="0"/>
      <c r="DR35" s="0"/>
      <c r="DS35" s="0"/>
      <c r="DT35" s="0"/>
      <c r="DU35" s="0"/>
      <c r="DV35" s="0"/>
      <c r="DW35" s="0"/>
      <c r="DX35" s="0"/>
      <c r="DY35" s="0"/>
      <c r="DZ35" s="0"/>
      <c r="EA35" s="0"/>
      <c r="EB35" s="0"/>
      <c r="EC35" s="0"/>
      <c r="ED35" s="0"/>
      <c r="EE35" s="0"/>
      <c r="EF35" s="0"/>
      <c r="EG35" s="0"/>
      <c r="EH35" s="0"/>
      <c r="EI35" s="0"/>
      <c r="EJ35" s="0"/>
      <c r="EK35" s="0"/>
      <c r="EL35" s="0"/>
      <c r="EM35" s="0"/>
      <c r="EN35" s="0"/>
      <c r="EO35" s="0"/>
      <c r="EP35" s="0"/>
      <c r="EQ35" s="0"/>
      <c r="ER35" s="0"/>
      <c r="ES35" s="0"/>
      <c r="ET35" s="0"/>
      <c r="EU35" s="0"/>
      <c r="EV35" s="0"/>
      <c r="EW35" s="0"/>
      <c r="EX35" s="0"/>
      <c r="EY35" s="0"/>
      <c r="EZ35" s="0"/>
      <c r="FA35" s="0"/>
      <c r="FB35" s="0"/>
      <c r="FC35" s="0"/>
      <c r="FD35" s="0"/>
      <c r="FE35" s="0"/>
      <c r="FF35" s="0"/>
      <c r="FG35" s="0"/>
      <c r="FH35" s="0"/>
      <c r="FI35" s="0"/>
      <c r="FJ35" s="0"/>
      <c r="FK35" s="0"/>
      <c r="FL35" s="0"/>
      <c r="FM35" s="0"/>
      <c r="FN35" s="0"/>
      <c r="FO35" s="0"/>
      <c r="FP35" s="0"/>
      <c r="FQ35" s="0"/>
      <c r="FR35" s="0"/>
      <c r="FS35" s="0"/>
      <c r="FT35" s="0"/>
      <c r="FU35" s="0"/>
      <c r="FV35" s="0"/>
      <c r="FW35" s="0"/>
      <c r="FX35" s="0"/>
      <c r="FY35" s="0"/>
      <c r="FZ35" s="0"/>
      <c r="GA35" s="0"/>
      <c r="GB35" s="0"/>
      <c r="GC35" s="0"/>
      <c r="GD35" s="0"/>
      <c r="GE35" s="0"/>
      <c r="GF35" s="0"/>
      <c r="GG35" s="0"/>
      <c r="GH35" s="0"/>
      <c r="GI35" s="0"/>
      <c r="GJ35" s="0"/>
      <c r="GK35" s="0"/>
      <c r="GL35" s="0"/>
      <c r="GM35" s="0"/>
      <c r="GN35" s="0"/>
      <c r="GO35" s="0"/>
      <c r="GP35" s="0"/>
      <c r="GQ35" s="0"/>
      <c r="GR35" s="0"/>
      <c r="GS35" s="0"/>
      <c r="GT35" s="0"/>
      <c r="GU35" s="0"/>
      <c r="GV35" s="0"/>
      <c r="GW35" s="0"/>
      <c r="GX35" s="0"/>
      <c r="GY35" s="0"/>
      <c r="GZ35" s="0"/>
      <c r="HA35" s="0"/>
      <c r="HB35" s="0"/>
      <c r="HC35" s="0"/>
      <c r="HD35" s="0"/>
      <c r="HE35" s="0"/>
      <c r="HF35" s="0"/>
      <c r="HG35" s="0"/>
      <c r="HH35" s="0"/>
      <c r="HI35" s="0"/>
      <c r="HJ35" s="0"/>
      <c r="HK35" s="0"/>
      <c r="HL35" s="0"/>
      <c r="HM35" s="0"/>
      <c r="HN35" s="0"/>
      <c r="HO35" s="0"/>
      <c r="HP35" s="0"/>
      <c r="HQ35" s="0"/>
      <c r="HR35" s="0"/>
      <c r="HS35" s="0"/>
      <c r="HT35" s="0"/>
      <c r="HU35" s="0"/>
      <c r="HV35" s="0"/>
      <c r="HW35" s="0"/>
      <c r="HX35" s="0"/>
      <c r="HY35" s="0"/>
      <c r="HZ35" s="0"/>
      <c r="IA35" s="0"/>
      <c r="IB35" s="0"/>
      <c r="IC35" s="0"/>
      <c r="ID35" s="0"/>
      <c r="IE35" s="0"/>
      <c r="IF35" s="0"/>
      <c r="IG35" s="0"/>
      <c r="IH35" s="0"/>
      <c r="II35" s="0"/>
      <c r="IJ35" s="0"/>
      <c r="IK35" s="0"/>
      <c r="IL35" s="0"/>
      <c r="IM35" s="0"/>
      <c r="IN35" s="0"/>
      <c r="IO35" s="0"/>
      <c r="IP35" s="0"/>
      <c r="IQ35" s="0"/>
      <c r="IR35" s="0"/>
      <c r="IS35" s="0"/>
      <c r="IT35" s="0"/>
      <c r="IU35" s="0"/>
      <c r="IV35" s="0"/>
      <c r="IW35" s="0"/>
    </row>
    <row r="36" customFormat="false" ht="11.1" hidden="false" customHeight="true" outlineLevel="0" collapsed="false">
      <c r="A36" s="118" t="n">
        <f aca="false">A35+1</f>
        <v>25</v>
      </c>
      <c r="B36" s="168" t="n">
        <v>6878.19</v>
      </c>
      <c r="C36" s="112" t="n">
        <v>210786</v>
      </c>
      <c r="D36" s="117" t="n">
        <f aca="false">C36-C35</f>
        <v>-1004</v>
      </c>
      <c r="E36" s="112" t="n">
        <f aca="false">C36-152000</f>
        <v>58786</v>
      </c>
      <c r="F36" s="180" t="n">
        <f aca="false">D36/$D$2</f>
        <v>-506.175951600706</v>
      </c>
      <c r="G36" s="111" t="n">
        <v>80</v>
      </c>
      <c r="H36" s="181" t="n">
        <v>0.09</v>
      </c>
      <c r="I36" s="111" t="n">
        <f aca="false">G36+H36</f>
        <v>80.09</v>
      </c>
      <c r="J36" s="181" t="n">
        <f aca="false">IF(L36&gt;0,L36,0)</f>
        <v>0</v>
      </c>
      <c r="K36" s="111" t="n">
        <f aca="false">I36+J36</f>
        <v>80.09</v>
      </c>
      <c r="L36" s="111" t="n">
        <f aca="false">F36-(I36-X36)</f>
        <v>-6.07595160070576</v>
      </c>
      <c r="M36" s="182" t="n">
        <v>221</v>
      </c>
      <c r="N36" s="111" t="n">
        <v>0</v>
      </c>
      <c r="O36" s="111" t="n">
        <f aca="false">35.25*1.05</f>
        <v>37.0125</v>
      </c>
      <c r="P36" s="90" t="n">
        <f aca="false">M36-(N36+O36)</f>
        <v>183.9875</v>
      </c>
      <c r="Q36" s="111" t="n">
        <v>134</v>
      </c>
      <c r="R36" s="111" t="n">
        <v>77</v>
      </c>
      <c r="S36" s="111" t="n">
        <f aca="false">SUM(P36:R36)</f>
        <v>394.9875</v>
      </c>
      <c r="T36" s="112" t="n">
        <f aca="false">T35+AE36-(AF36/1.9835)+AG36</f>
        <v>10527.1828202705</v>
      </c>
      <c r="U36" s="111" t="n">
        <v>111.19</v>
      </c>
      <c r="V36" s="235" t="n">
        <v>37</v>
      </c>
      <c r="W36" s="236" t="n">
        <f aca="false">W35-V36</f>
        <v>5376.49231157046</v>
      </c>
      <c r="X36" s="6" t="n">
        <f aca="false">N36+O36+S36+U36+V36</f>
        <v>580.19</v>
      </c>
      <c r="Y36" s="111" t="n">
        <f aca="false">IF(L36&lt;0,L36*-1,0)</f>
        <v>6.07595160070576</v>
      </c>
      <c r="Z36" s="111" t="n">
        <f aca="false">X36+Y36</f>
        <v>586.265951600706</v>
      </c>
      <c r="AA36" s="350" t="n">
        <v>0</v>
      </c>
      <c r="AB36" s="117" t="n">
        <v>90</v>
      </c>
      <c r="AC36" s="184" t="n">
        <v>60</v>
      </c>
      <c r="AD36" s="118" t="n">
        <v>0</v>
      </c>
      <c r="AE36" s="87" t="n">
        <f aca="false">(I36-8-2.7)-(S36-8)</f>
        <v>-317.5975</v>
      </c>
      <c r="AF36" s="339" t="n">
        <f aca="false">23.5*(T35*1.9835-S36*1.9835)/E36</f>
        <v>8.27720351647144</v>
      </c>
      <c r="AG36" s="242" t="n">
        <v>15</v>
      </c>
      <c r="AH36" s="0"/>
      <c r="AI36" s="0"/>
      <c r="AJ36" s="0"/>
      <c r="AK36" s="0"/>
      <c r="AL36" s="0"/>
      <c r="AM36" s="0"/>
      <c r="AN36" s="0"/>
      <c r="AO36" s="0"/>
      <c r="AP36" s="0"/>
      <c r="AQ36" s="0"/>
      <c r="AR36" s="0"/>
      <c r="AS36" s="0"/>
      <c r="AT36" s="0"/>
      <c r="AU36" s="0"/>
      <c r="AV36" s="0"/>
      <c r="AW36" s="0"/>
      <c r="AX36" s="0"/>
      <c r="AY36" s="0"/>
      <c r="AZ36" s="0"/>
      <c r="BA36" s="0"/>
      <c r="BB36" s="0"/>
      <c r="BC36" s="0"/>
      <c r="BD36" s="0"/>
      <c r="BE36" s="0"/>
      <c r="BF36" s="0"/>
      <c r="BG36" s="0"/>
      <c r="BH36" s="0"/>
      <c r="BI36" s="0"/>
      <c r="BJ36" s="0"/>
      <c r="BK36" s="0"/>
      <c r="BL36" s="0"/>
      <c r="BM36" s="0"/>
      <c r="BN36" s="0"/>
      <c r="BO36" s="0"/>
      <c r="BP36" s="0"/>
      <c r="BQ36" s="0"/>
      <c r="BR36" s="0"/>
      <c r="BS36" s="0"/>
      <c r="BT36" s="0"/>
      <c r="BU36" s="0"/>
      <c r="BV36" s="0"/>
      <c r="BW36" s="0"/>
      <c r="BX36" s="0"/>
      <c r="BY36" s="0"/>
      <c r="BZ36" s="0"/>
      <c r="CA36" s="0"/>
      <c r="CB36" s="0"/>
      <c r="CC36" s="0"/>
      <c r="CD36" s="0"/>
      <c r="CE36" s="0"/>
      <c r="CF36" s="0"/>
      <c r="CG36" s="0"/>
      <c r="CH36" s="0"/>
      <c r="CI36" s="0"/>
      <c r="CJ36" s="0"/>
      <c r="CK36" s="0"/>
      <c r="CL36" s="0"/>
      <c r="CM36" s="0"/>
      <c r="CN36" s="0"/>
      <c r="CO36" s="0"/>
      <c r="CP36" s="0"/>
      <c r="CQ36" s="0"/>
      <c r="CR36" s="0"/>
      <c r="CS36" s="0"/>
      <c r="CT36" s="0"/>
      <c r="CU36" s="0"/>
      <c r="CV36" s="0"/>
      <c r="CW36" s="0"/>
      <c r="CX36" s="0"/>
      <c r="CY36" s="0"/>
      <c r="CZ36" s="0"/>
      <c r="DA36" s="0"/>
      <c r="DB36" s="0"/>
      <c r="DC36" s="0"/>
      <c r="DD36" s="0"/>
      <c r="DE36" s="0"/>
      <c r="DF36" s="0"/>
      <c r="DG36" s="0"/>
      <c r="DH36" s="0"/>
      <c r="DI36" s="0"/>
      <c r="DJ36" s="0"/>
      <c r="DK36" s="0"/>
      <c r="DL36" s="0"/>
      <c r="DM36" s="0"/>
      <c r="DN36" s="0"/>
      <c r="DO36" s="0"/>
      <c r="DP36" s="0"/>
      <c r="DQ36" s="0"/>
      <c r="DR36" s="0"/>
      <c r="DS36" s="0"/>
      <c r="DT36" s="0"/>
      <c r="DU36" s="0"/>
      <c r="DV36" s="0"/>
      <c r="DW36" s="0"/>
      <c r="DX36" s="0"/>
      <c r="DY36" s="0"/>
      <c r="DZ36" s="0"/>
      <c r="EA36" s="0"/>
      <c r="EB36" s="0"/>
      <c r="EC36" s="0"/>
      <c r="ED36" s="0"/>
      <c r="EE36" s="0"/>
      <c r="EF36" s="0"/>
      <c r="EG36" s="0"/>
      <c r="EH36" s="0"/>
      <c r="EI36" s="0"/>
      <c r="EJ36" s="0"/>
      <c r="EK36" s="0"/>
      <c r="EL36" s="0"/>
      <c r="EM36" s="0"/>
      <c r="EN36" s="0"/>
      <c r="EO36" s="0"/>
      <c r="EP36" s="0"/>
      <c r="EQ36" s="0"/>
      <c r="ER36" s="0"/>
      <c r="ES36" s="0"/>
      <c r="ET36" s="0"/>
      <c r="EU36" s="0"/>
      <c r="EV36" s="0"/>
      <c r="EW36" s="0"/>
      <c r="EX36" s="0"/>
      <c r="EY36" s="0"/>
      <c r="EZ36" s="0"/>
      <c r="FA36" s="0"/>
      <c r="FB36" s="0"/>
      <c r="FC36" s="0"/>
      <c r="FD36" s="0"/>
      <c r="FE36" s="0"/>
      <c r="FF36" s="0"/>
      <c r="FG36" s="0"/>
      <c r="FH36" s="0"/>
      <c r="FI36" s="0"/>
      <c r="FJ36" s="0"/>
      <c r="FK36" s="0"/>
      <c r="FL36" s="0"/>
      <c r="FM36" s="0"/>
      <c r="FN36" s="0"/>
      <c r="FO36" s="0"/>
      <c r="FP36" s="0"/>
      <c r="FQ36" s="0"/>
      <c r="FR36" s="0"/>
      <c r="FS36" s="0"/>
      <c r="FT36" s="0"/>
      <c r="FU36" s="0"/>
      <c r="FV36" s="0"/>
      <c r="FW36" s="0"/>
      <c r="FX36" s="0"/>
      <c r="FY36" s="0"/>
      <c r="FZ36" s="0"/>
      <c r="GA36" s="0"/>
      <c r="GB36" s="0"/>
      <c r="GC36" s="0"/>
      <c r="GD36" s="0"/>
      <c r="GE36" s="0"/>
      <c r="GF36" s="0"/>
      <c r="GG36" s="0"/>
      <c r="GH36" s="0"/>
      <c r="GI36" s="0"/>
      <c r="GJ36" s="0"/>
      <c r="GK36" s="0"/>
      <c r="GL36" s="0"/>
      <c r="GM36" s="0"/>
      <c r="GN36" s="0"/>
      <c r="GO36" s="0"/>
      <c r="GP36" s="0"/>
      <c r="GQ36" s="0"/>
      <c r="GR36" s="0"/>
      <c r="GS36" s="0"/>
      <c r="GT36" s="0"/>
      <c r="GU36" s="0"/>
      <c r="GV36" s="0"/>
      <c r="GW36" s="0"/>
      <c r="GX36" s="0"/>
      <c r="GY36" s="0"/>
      <c r="GZ36" s="0"/>
      <c r="HA36" s="0"/>
      <c r="HB36" s="0"/>
      <c r="HC36" s="0"/>
      <c r="HD36" s="0"/>
      <c r="HE36" s="0"/>
      <c r="HF36" s="0"/>
      <c r="HG36" s="0"/>
      <c r="HH36" s="0"/>
      <c r="HI36" s="0"/>
      <c r="HJ36" s="0"/>
      <c r="HK36" s="0"/>
      <c r="HL36" s="0"/>
      <c r="HM36" s="0"/>
      <c r="HN36" s="0"/>
      <c r="HO36" s="0"/>
      <c r="HP36" s="0"/>
      <c r="HQ36" s="0"/>
      <c r="HR36" s="0"/>
      <c r="HS36" s="0"/>
      <c r="HT36" s="0"/>
      <c r="HU36" s="0"/>
      <c r="HV36" s="0"/>
      <c r="HW36" s="0"/>
      <c r="HX36" s="0"/>
      <c r="HY36" s="0"/>
      <c r="HZ36" s="0"/>
      <c r="IA36" s="0"/>
      <c r="IB36" s="0"/>
      <c r="IC36" s="0"/>
      <c r="ID36" s="0"/>
      <c r="IE36" s="0"/>
      <c r="IF36" s="0"/>
      <c r="IG36" s="0"/>
      <c r="IH36" s="0"/>
      <c r="II36" s="0"/>
      <c r="IJ36" s="0"/>
      <c r="IK36" s="0"/>
      <c r="IL36" s="0"/>
      <c r="IM36" s="0"/>
      <c r="IN36" s="0"/>
      <c r="IO36" s="0"/>
      <c r="IP36" s="0"/>
      <c r="IQ36" s="0"/>
      <c r="IR36" s="0"/>
      <c r="IS36" s="0"/>
      <c r="IT36" s="0"/>
      <c r="IU36" s="0"/>
      <c r="IV36" s="0"/>
      <c r="IW36" s="0"/>
    </row>
    <row r="37" customFormat="false" ht="11.1" hidden="false" customHeight="true" outlineLevel="0" collapsed="false">
      <c r="A37" s="118" t="n">
        <f aca="false">A36+1</f>
        <v>26</v>
      </c>
      <c r="B37" s="168" t="n">
        <v>6877.84</v>
      </c>
      <c r="C37" s="112" t="n">
        <v>209757</v>
      </c>
      <c r="D37" s="117" t="n">
        <f aca="false">C37-C36</f>
        <v>-1029</v>
      </c>
      <c r="E37" s="112" t="n">
        <f aca="false">C37-152000</f>
        <v>57757</v>
      </c>
      <c r="F37" s="180" t="n">
        <f aca="false">D37/$D$2</f>
        <v>-518.779934459289</v>
      </c>
      <c r="G37" s="111" t="n">
        <v>74</v>
      </c>
      <c r="H37" s="181" t="n">
        <v>0.12</v>
      </c>
      <c r="I37" s="111" t="n">
        <f aca="false">G37+H37</f>
        <v>74.12</v>
      </c>
      <c r="J37" s="181" t="n">
        <f aca="false">IF(L37&gt;0,L37,0)</f>
        <v>0</v>
      </c>
      <c r="K37" s="111" t="n">
        <f aca="false">I37+J37</f>
        <v>74.12</v>
      </c>
      <c r="L37" s="111" t="n">
        <f aca="false">F37-(I37-X37)</f>
        <v>-6.65993445928916</v>
      </c>
      <c r="M37" s="182" t="n">
        <v>235</v>
      </c>
      <c r="N37" s="111" t="n">
        <v>0</v>
      </c>
      <c r="O37" s="111" t="n">
        <f aca="false">35.76*1.05</f>
        <v>37.548</v>
      </c>
      <c r="P37" s="90" t="n">
        <f aca="false">M37-(N37+O37)</f>
        <v>197.452</v>
      </c>
      <c r="Q37" s="111" t="n">
        <v>133</v>
      </c>
      <c r="R37" s="111" t="n">
        <v>77</v>
      </c>
      <c r="S37" s="111" t="n">
        <f aca="false">SUM(P37:R37)</f>
        <v>407.452</v>
      </c>
      <c r="T37" s="112" t="n">
        <f aca="false">T36+AE37-(AF37/1.9835)+AG37</f>
        <v>10202.033333658</v>
      </c>
      <c r="U37" s="111" t="n">
        <v>103.24</v>
      </c>
      <c r="V37" s="235" t="n">
        <v>38</v>
      </c>
      <c r="W37" s="236" t="n">
        <f aca="false">W36-V37</f>
        <v>5338.49231157046</v>
      </c>
      <c r="X37" s="6" t="n">
        <f aca="false">N37+O37+S37+U37+V37</f>
        <v>586.24</v>
      </c>
      <c r="Y37" s="111" t="n">
        <f aca="false">IF(L37&lt;0,L37*-1,0)</f>
        <v>6.65993445928916</v>
      </c>
      <c r="Z37" s="111" t="n">
        <f aca="false">X37+Y37</f>
        <v>592.899934459289</v>
      </c>
      <c r="AA37" s="350" t="n">
        <v>0</v>
      </c>
      <c r="AB37" s="117" t="n">
        <v>92</v>
      </c>
      <c r="AC37" s="167" t="n">
        <v>60</v>
      </c>
      <c r="AD37" s="118" t="n">
        <v>0</v>
      </c>
      <c r="AE37" s="87" t="n">
        <f aca="false">(I37-8-2.7)-(S37-8)</f>
        <v>-336.032</v>
      </c>
      <c r="AF37" s="339" t="n">
        <f aca="false">23.5*(T36*1.9835-S37*1.9835)/E37</f>
        <v>8.16703469583172</v>
      </c>
      <c r="AG37" s="242" t="n">
        <v>15</v>
      </c>
      <c r="AH37" s="0"/>
      <c r="AI37" s="0"/>
      <c r="AJ37" s="0"/>
      <c r="AK37" s="0"/>
      <c r="AL37" s="0"/>
      <c r="AM37" s="0"/>
      <c r="AN37" s="0"/>
      <c r="AO37" s="0"/>
      <c r="AP37" s="0"/>
      <c r="AQ37" s="0"/>
      <c r="AR37" s="0"/>
      <c r="AS37" s="0"/>
      <c r="AT37" s="0"/>
      <c r="AU37" s="0"/>
      <c r="AV37" s="0"/>
      <c r="AW37" s="0"/>
      <c r="AX37" s="0"/>
      <c r="AY37" s="0"/>
      <c r="AZ37" s="0"/>
      <c r="BA37" s="0"/>
      <c r="BB37" s="0"/>
      <c r="BC37" s="0"/>
      <c r="BD37" s="0"/>
      <c r="BE37" s="0"/>
      <c r="BF37" s="0"/>
      <c r="BG37" s="0"/>
      <c r="BH37" s="0"/>
      <c r="BI37" s="0"/>
      <c r="BJ37" s="0"/>
      <c r="BK37" s="0"/>
      <c r="BL37" s="0"/>
      <c r="BM37" s="0"/>
      <c r="BN37" s="0"/>
      <c r="BO37" s="0"/>
      <c r="BP37" s="0"/>
      <c r="BQ37" s="0"/>
      <c r="BR37" s="0"/>
      <c r="BS37" s="0"/>
      <c r="BT37" s="0"/>
      <c r="BU37" s="0"/>
      <c r="BV37" s="0"/>
      <c r="BW37" s="0"/>
      <c r="BX37" s="0"/>
      <c r="BY37" s="0"/>
      <c r="BZ37" s="0"/>
      <c r="CA37" s="0"/>
      <c r="CB37" s="0"/>
      <c r="CC37" s="0"/>
      <c r="CD37" s="0"/>
      <c r="CE37" s="0"/>
      <c r="CF37" s="0"/>
      <c r="CG37" s="0"/>
      <c r="CH37" s="0"/>
      <c r="CI37" s="0"/>
      <c r="CJ37" s="0"/>
      <c r="CK37" s="0"/>
      <c r="CL37" s="0"/>
      <c r="CM37" s="0"/>
      <c r="CN37" s="0"/>
      <c r="CO37" s="0"/>
      <c r="CP37" s="0"/>
      <c r="CQ37" s="0"/>
      <c r="CR37" s="0"/>
      <c r="CS37" s="0"/>
      <c r="CT37" s="0"/>
      <c r="CU37" s="0"/>
      <c r="CV37" s="0"/>
      <c r="CW37" s="0"/>
      <c r="CX37" s="0"/>
      <c r="CY37" s="0"/>
      <c r="CZ37" s="0"/>
      <c r="DA37" s="0"/>
      <c r="DB37" s="0"/>
      <c r="DC37" s="0"/>
      <c r="DD37" s="0"/>
      <c r="DE37" s="0"/>
      <c r="DF37" s="0"/>
      <c r="DG37" s="0"/>
      <c r="DH37" s="0"/>
      <c r="DI37" s="0"/>
      <c r="DJ37" s="0"/>
      <c r="DK37" s="0"/>
      <c r="DL37" s="0"/>
      <c r="DM37" s="0"/>
      <c r="DN37" s="0"/>
      <c r="DO37" s="0"/>
      <c r="DP37" s="0"/>
      <c r="DQ37" s="0"/>
      <c r="DR37" s="0"/>
      <c r="DS37" s="0"/>
      <c r="DT37" s="0"/>
      <c r="DU37" s="0"/>
      <c r="DV37" s="0"/>
      <c r="DW37" s="0"/>
      <c r="DX37" s="0"/>
      <c r="DY37" s="0"/>
      <c r="DZ37" s="0"/>
      <c r="EA37" s="0"/>
      <c r="EB37" s="0"/>
      <c r="EC37" s="0"/>
      <c r="ED37" s="0"/>
      <c r="EE37" s="0"/>
      <c r="EF37" s="0"/>
      <c r="EG37" s="0"/>
      <c r="EH37" s="0"/>
      <c r="EI37" s="0"/>
      <c r="EJ37" s="0"/>
      <c r="EK37" s="0"/>
      <c r="EL37" s="0"/>
      <c r="EM37" s="0"/>
      <c r="EN37" s="0"/>
      <c r="EO37" s="0"/>
      <c r="EP37" s="0"/>
      <c r="EQ37" s="0"/>
      <c r="ER37" s="0"/>
      <c r="ES37" s="0"/>
      <c r="ET37" s="0"/>
      <c r="EU37" s="0"/>
      <c r="EV37" s="0"/>
      <c r="EW37" s="0"/>
      <c r="EX37" s="0"/>
      <c r="EY37" s="0"/>
      <c r="EZ37" s="0"/>
      <c r="FA37" s="0"/>
      <c r="FB37" s="0"/>
      <c r="FC37" s="0"/>
      <c r="FD37" s="0"/>
      <c r="FE37" s="0"/>
      <c r="FF37" s="0"/>
      <c r="FG37" s="0"/>
      <c r="FH37" s="0"/>
      <c r="FI37" s="0"/>
      <c r="FJ37" s="0"/>
      <c r="FK37" s="0"/>
      <c r="FL37" s="0"/>
      <c r="FM37" s="0"/>
      <c r="FN37" s="0"/>
      <c r="FO37" s="0"/>
      <c r="FP37" s="0"/>
      <c r="FQ37" s="0"/>
      <c r="FR37" s="0"/>
      <c r="FS37" s="0"/>
      <c r="FT37" s="0"/>
      <c r="FU37" s="0"/>
      <c r="FV37" s="0"/>
      <c r="FW37" s="0"/>
      <c r="FX37" s="0"/>
      <c r="FY37" s="0"/>
      <c r="FZ37" s="0"/>
      <c r="GA37" s="0"/>
      <c r="GB37" s="0"/>
      <c r="GC37" s="0"/>
      <c r="GD37" s="0"/>
      <c r="GE37" s="0"/>
      <c r="GF37" s="0"/>
      <c r="GG37" s="0"/>
      <c r="GH37" s="0"/>
      <c r="GI37" s="0"/>
      <c r="GJ37" s="0"/>
      <c r="GK37" s="0"/>
      <c r="GL37" s="0"/>
      <c r="GM37" s="0"/>
      <c r="GN37" s="0"/>
      <c r="GO37" s="0"/>
      <c r="GP37" s="0"/>
      <c r="GQ37" s="0"/>
      <c r="GR37" s="0"/>
      <c r="GS37" s="0"/>
      <c r="GT37" s="0"/>
      <c r="GU37" s="0"/>
      <c r="GV37" s="0"/>
      <c r="GW37" s="0"/>
      <c r="GX37" s="0"/>
      <c r="GY37" s="0"/>
      <c r="GZ37" s="0"/>
      <c r="HA37" s="0"/>
      <c r="HB37" s="0"/>
      <c r="HC37" s="0"/>
      <c r="HD37" s="0"/>
      <c r="HE37" s="0"/>
      <c r="HF37" s="0"/>
      <c r="HG37" s="0"/>
      <c r="HH37" s="0"/>
      <c r="HI37" s="0"/>
      <c r="HJ37" s="0"/>
      <c r="HK37" s="0"/>
      <c r="HL37" s="0"/>
      <c r="HM37" s="0"/>
      <c r="HN37" s="0"/>
      <c r="HO37" s="0"/>
      <c r="HP37" s="0"/>
      <c r="HQ37" s="0"/>
      <c r="HR37" s="0"/>
      <c r="HS37" s="0"/>
      <c r="HT37" s="0"/>
      <c r="HU37" s="0"/>
      <c r="HV37" s="0"/>
      <c r="HW37" s="0"/>
      <c r="HX37" s="0"/>
      <c r="HY37" s="0"/>
      <c r="HZ37" s="0"/>
      <c r="IA37" s="0"/>
      <c r="IB37" s="0"/>
      <c r="IC37" s="0"/>
      <c r="ID37" s="0"/>
      <c r="IE37" s="0"/>
      <c r="IF37" s="0"/>
      <c r="IG37" s="0"/>
      <c r="IH37" s="0"/>
      <c r="II37" s="0"/>
      <c r="IJ37" s="0"/>
      <c r="IK37" s="0"/>
      <c r="IL37" s="0"/>
      <c r="IM37" s="0"/>
      <c r="IN37" s="0"/>
      <c r="IO37" s="0"/>
      <c r="IP37" s="0"/>
      <c r="IQ37" s="0"/>
      <c r="IR37" s="0"/>
      <c r="IS37" s="0"/>
      <c r="IT37" s="0"/>
      <c r="IU37" s="0"/>
      <c r="IV37" s="0"/>
      <c r="IW37" s="0"/>
    </row>
    <row r="38" customFormat="false" ht="11.1" hidden="false" customHeight="true" outlineLevel="0" collapsed="false">
      <c r="A38" s="118" t="n">
        <f aca="false">A37+1</f>
        <v>27</v>
      </c>
      <c r="B38" s="168" t="n">
        <v>6877.5</v>
      </c>
      <c r="C38" s="112" t="n">
        <v>208764</v>
      </c>
      <c r="D38" s="117" t="n">
        <f aca="false">C38-C37</f>
        <v>-993</v>
      </c>
      <c r="E38" s="112" t="n">
        <f aca="false">C38-152000</f>
        <v>56764</v>
      </c>
      <c r="F38" s="180" t="n">
        <f aca="false">D38/$D$2</f>
        <v>-500.630199142929</v>
      </c>
      <c r="G38" s="111" t="n">
        <v>75</v>
      </c>
      <c r="H38" s="181" t="n">
        <v>0.35</v>
      </c>
      <c r="I38" s="111" t="n">
        <f aca="false">G38+H38</f>
        <v>75.35</v>
      </c>
      <c r="J38" s="181" t="n">
        <f aca="false">IF(L38&gt;0,L38,0)</f>
        <v>0</v>
      </c>
      <c r="K38" s="111" t="n">
        <f aca="false">I38+J38</f>
        <v>75.35</v>
      </c>
      <c r="L38" s="111" t="n">
        <f aca="false">F38-(I38-X38)</f>
        <v>-14.5301991429291</v>
      </c>
      <c r="M38" s="182" t="n">
        <v>240</v>
      </c>
      <c r="N38" s="111" t="n">
        <v>6</v>
      </c>
      <c r="O38" s="111" t="n">
        <f aca="false">36.28*1.05</f>
        <v>38.094</v>
      </c>
      <c r="P38" s="90" t="n">
        <f aca="false">M38-(N38+O38)</f>
        <v>195.906</v>
      </c>
      <c r="Q38" s="111" t="n">
        <v>134</v>
      </c>
      <c r="R38" s="111" t="n">
        <v>77</v>
      </c>
      <c r="S38" s="111" t="n">
        <f aca="false">SUM(P38:R38)</f>
        <v>406.906</v>
      </c>
      <c r="T38" s="112" t="n">
        <f aca="false">T37+AE38-(AF38/1.9835)+AG38</f>
        <v>9878.72220201928</v>
      </c>
      <c r="U38" s="111" t="n">
        <v>72.45</v>
      </c>
      <c r="V38" s="235" t="n">
        <v>38</v>
      </c>
      <c r="W38" s="236" t="n">
        <f aca="false">W37-V38</f>
        <v>5300.49231157046</v>
      </c>
      <c r="X38" s="6" t="n">
        <f aca="false">N38+O38+S38+U38+V38</f>
        <v>561.45</v>
      </c>
      <c r="Y38" s="111" t="n">
        <f aca="false">IF(L38&lt;0,L38*-1,0)</f>
        <v>14.5301991429291</v>
      </c>
      <c r="Z38" s="111" t="n">
        <f aca="false">X38+Y38</f>
        <v>575.980199142929</v>
      </c>
      <c r="AA38" s="350" t="n">
        <v>0.11</v>
      </c>
      <c r="AB38" s="117" t="n">
        <v>88</v>
      </c>
      <c r="AC38" s="167" t="n">
        <v>56</v>
      </c>
      <c r="AD38" s="118" t="n">
        <v>0</v>
      </c>
      <c r="AE38" s="87" t="n">
        <f aca="false">(I38-8-2.7)-(S38-8)</f>
        <v>-334.256</v>
      </c>
      <c r="AF38" s="339" t="n">
        <f aca="false">23.5*(T37*1.9835-S38*1.9835)/E38</f>
        <v>8.04335360542422</v>
      </c>
      <c r="AG38" s="242" t="n">
        <v>15</v>
      </c>
      <c r="AH38" s="0"/>
      <c r="AI38" s="0"/>
      <c r="AJ38" s="0"/>
      <c r="AK38" s="0"/>
      <c r="AL38" s="0"/>
      <c r="AM38" s="0"/>
      <c r="AN38" s="0"/>
      <c r="AO38" s="0"/>
      <c r="AP38" s="0"/>
      <c r="AQ38" s="0"/>
      <c r="AR38" s="0"/>
      <c r="AS38" s="0"/>
      <c r="AT38" s="0"/>
      <c r="AU38" s="0"/>
      <c r="AV38" s="0"/>
      <c r="AW38" s="0"/>
      <c r="AX38" s="0"/>
      <c r="AY38" s="0"/>
      <c r="AZ38" s="0"/>
      <c r="BA38" s="0"/>
      <c r="BB38" s="0"/>
      <c r="BC38" s="0"/>
      <c r="BD38" s="0"/>
      <c r="BE38" s="0"/>
      <c r="BF38" s="0"/>
      <c r="BG38" s="0"/>
      <c r="BH38" s="0"/>
      <c r="BI38" s="0"/>
      <c r="BJ38" s="0"/>
      <c r="BK38" s="0"/>
      <c r="BL38" s="0"/>
      <c r="BM38" s="0"/>
      <c r="BN38" s="0"/>
      <c r="BO38" s="0"/>
      <c r="BP38" s="0"/>
      <c r="BQ38" s="0"/>
      <c r="BR38" s="0"/>
      <c r="BS38" s="0"/>
      <c r="BT38" s="0"/>
      <c r="BU38" s="0"/>
      <c r="BV38" s="0"/>
      <c r="BW38" s="0"/>
      <c r="BX38" s="0"/>
      <c r="BY38" s="0"/>
      <c r="BZ38" s="0"/>
      <c r="CA38" s="0"/>
      <c r="CB38" s="0"/>
      <c r="CC38" s="0"/>
      <c r="CD38" s="0"/>
      <c r="CE38" s="0"/>
      <c r="CF38" s="0"/>
      <c r="CG38" s="0"/>
      <c r="CH38" s="0"/>
      <c r="CI38" s="0"/>
      <c r="CJ38" s="0"/>
      <c r="CK38" s="0"/>
      <c r="CL38" s="0"/>
      <c r="CM38" s="0"/>
      <c r="CN38" s="0"/>
      <c r="CO38" s="0"/>
      <c r="CP38" s="0"/>
      <c r="CQ38" s="0"/>
      <c r="CR38" s="0"/>
      <c r="CS38" s="0"/>
      <c r="CT38" s="0"/>
      <c r="CU38" s="0"/>
      <c r="CV38" s="0"/>
      <c r="CW38" s="0"/>
      <c r="CX38" s="0"/>
      <c r="CY38" s="0"/>
      <c r="CZ38" s="0"/>
      <c r="DA38" s="0"/>
      <c r="DB38" s="0"/>
      <c r="DC38" s="0"/>
      <c r="DD38" s="0"/>
      <c r="DE38" s="0"/>
      <c r="DF38" s="0"/>
      <c r="DG38" s="0"/>
      <c r="DH38" s="0"/>
      <c r="DI38" s="0"/>
      <c r="DJ38" s="0"/>
      <c r="DK38" s="0"/>
      <c r="DL38" s="0"/>
      <c r="DM38" s="0"/>
      <c r="DN38" s="0"/>
      <c r="DO38" s="0"/>
      <c r="DP38" s="0"/>
      <c r="DQ38" s="0"/>
      <c r="DR38" s="0"/>
      <c r="DS38" s="0"/>
      <c r="DT38" s="0"/>
      <c r="DU38" s="0"/>
      <c r="DV38" s="0"/>
      <c r="DW38" s="0"/>
      <c r="DX38" s="0"/>
      <c r="DY38" s="0"/>
      <c r="DZ38" s="0"/>
      <c r="EA38" s="0"/>
      <c r="EB38" s="0"/>
      <c r="EC38" s="0"/>
      <c r="ED38" s="0"/>
      <c r="EE38" s="0"/>
      <c r="EF38" s="0"/>
      <c r="EG38" s="0"/>
      <c r="EH38" s="0"/>
      <c r="EI38" s="0"/>
      <c r="EJ38" s="0"/>
      <c r="EK38" s="0"/>
      <c r="EL38" s="0"/>
      <c r="EM38" s="0"/>
      <c r="EN38" s="0"/>
      <c r="EO38" s="0"/>
      <c r="EP38" s="0"/>
      <c r="EQ38" s="0"/>
      <c r="ER38" s="0"/>
      <c r="ES38" s="0"/>
      <c r="ET38" s="0"/>
      <c r="EU38" s="0"/>
      <c r="EV38" s="0"/>
      <c r="EW38" s="0"/>
      <c r="EX38" s="0"/>
      <c r="EY38" s="0"/>
      <c r="EZ38" s="0"/>
      <c r="FA38" s="0"/>
      <c r="FB38" s="0"/>
      <c r="FC38" s="0"/>
      <c r="FD38" s="0"/>
      <c r="FE38" s="0"/>
      <c r="FF38" s="0"/>
      <c r="FG38" s="0"/>
      <c r="FH38" s="0"/>
      <c r="FI38" s="0"/>
      <c r="FJ38" s="0"/>
      <c r="FK38" s="0"/>
      <c r="FL38" s="0"/>
      <c r="FM38" s="0"/>
      <c r="FN38" s="0"/>
      <c r="FO38" s="0"/>
      <c r="FP38" s="0"/>
      <c r="FQ38" s="0"/>
      <c r="FR38" s="0"/>
      <c r="FS38" s="0"/>
      <c r="FT38" s="0"/>
      <c r="FU38" s="0"/>
      <c r="FV38" s="0"/>
      <c r="FW38" s="0"/>
      <c r="FX38" s="0"/>
      <c r="FY38" s="0"/>
      <c r="FZ38" s="0"/>
      <c r="GA38" s="0"/>
      <c r="GB38" s="0"/>
      <c r="GC38" s="0"/>
      <c r="GD38" s="0"/>
      <c r="GE38" s="0"/>
      <c r="GF38" s="0"/>
      <c r="GG38" s="0"/>
      <c r="GH38" s="0"/>
      <c r="GI38" s="0"/>
      <c r="GJ38" s="0"/>
      <c r="GK38" s="0"/>
      <c r="GL38" s="0"/>
      <c r="GM38" s="0"/>
      <c r="GN38" s="0"/>
      <c r="GO38" s="0"/>
      <c r="GP38" s="0"/>
      <c r="GQ38" s="0"/>
      <c r="GR38" s="0"/>
      <c r="GS38" s="0"/>
      <c r="GT38" s="0"/>
      <c r="GU38" s="0"/>
      <c r="GV38" s="0"/>
      <c r="GW38" s="0"/>
      <c r="GX38" s="0"/>
      <c r="GY38" s="0"/>
      <c r="GZ38" s="0"/>
      <c r="HA38" s="0"/>
      <c r="HB38" s="0"/>
      <c r="HC38" s="0"/>
      <c r="HD38" s="0"/>
      <c r="HE38" s="0"/>
      <c r="HF38" s="0"/>
      <c r="HG38" s="0"/>
      <c r="HH38" s="0"/>
      <c r="HI38" s="0"/>
      <c r="HJ38" s="0"/>
      <c r="HK38" s="0"/>
      <c r="HL38" s="0"/>
      <c r="HM38" s="0"/>
      <c r="HN38" s="0"/>
      <c r="HO38" s="0"/>
      <c r="HP38" s="0"/>
      <c r="HQ38" s="0"/>
      <c r="HR38" s="0"/>
      <c r="HS38" s="0"/>
      <c r="HT38" s="0"/>
      <c r="HU38" s="0"/>
      <c r="HV38" s="0"/>
      <c r="HW38" s="0"/>
      <c r="HX38" s="0"/>
      <c r="HY38" s="0"/>
      <c r="HZ38" s="0"/>
      <c r="IA38" s="0"/>
      <c r="IB38" s="0"/>
      <c r="IC38" s="0"/>
      <c r="ID38" s="0"/>
      <c r="IE38" s="0"/>
      <c r="IF38" s="0"/>
      <c r="IG38" s="0"/>
      <c r="IH38" s="0"/>
      <c r="II38" s="0"/>
      <c r="IJ38" s="0"/>
      <c r="IK38" s="0"/>
      <c r="IL38" s="0"/>
      <c r="IM38" s="0"/>
      <c r="IN38" s="0"/>
      <c r="IO38" s="0"/>
      <c r="IP38" s="0"/>
      <c r="IQ38" s="0"/>
      <c r="IR38" s="0"/>
      <c r="IS38" s="0"/>
      <c r="IT38" s="0"/>
      <c r="IU38" s="0"/>
      <c r="IV38" s="0"/>
      <c r="IW38" s="0"/>
    </row>
    <row r="39" customFormat="false" ht="11.1" hidden="false" customHeight="true" outlineLevel="0" collapsed="false">
      <c r="A39" s="118" t="n">
        <f aca="false">A38+1</f>
        <v>28</v>
      </c>
      <c r="B39" s="168" t="n">
        <v>6877.16</v>
      </c>
      <c r="C39" s="112" t="n">
        <v>207771</v>
      </c>
      <c r="D39" s="117" t="n">
        <f aca="false">C39-C38</f>
        <v>-993</v>
      </c>
      <c r="E39" s="112" t="n">
        <f aca="false">C39-152000</f>
        <v>55771</v>
      </c>
      <c r="F39" s="180" t="n">
        <f aca="false">D39/$D$2</f>
        <v>-500.630199142929</v>
      </c>
      <c r="G39" s="111" t="n">
        <v>99</v>
      </c>
      <c r="H39" s="181" t="n">
        <v>0.59</v>
      </c>
      <c r="I39" s="111" t="n">
        <f aca="false">G39+H39</f>
        <v>99.59</v>
      </c>
      <c r="J39" s="181" t="n">
        <f aca="false">IF(L39&gt;0,L39,0)</f>
        <v>10.5098008570707</v>
      </c>
      <c r="K39" s="111" t="n">
        <f aca="false">I39+J39</f>
        <v>110.099800857071</v>
      </c>
      <c r="L39" s="111" t="n">
        <f aca="false">F39-(I39-X39)</f>
        <v>10.5098008570707</v>
      </c>
      <c r="M39" s="182" t="n">
        <v>217</v>
      </c>
      <c r="N39" s="111" t="n">
        <v>0</v>
      </c>
      <c r="O39" s="111" t="n">
        <f aca="false">29.82*1.05</f>
        <v>31.311</v>
      </c>
      <c r="P39" s="90" t="n">
        <f aca="false">M39-(N39+O39)</f>
        <v>185.689</v>
      </c>
      <c r="Q39" s="111" t="n">
        <v>133</v>
      </c>
      <c r="R39" s="111" t="n">
        <v>77</v>
      </c>
      <c r="S39" s="111" t="n">
        <f aca="false">SUM(P39:R39)</f>
        <v>395.689</v>
      </c>
      <c r="T39" s="112" t="n">
        <f aca="false">T38+AE39-(AF39/1.9835)+AG39</f>
        <v>9590.92737479281</v>
      </c>
      <c r="U39" s="111" t="n">
        <v>146.73</v>
      </c>
      <c r="V39" s="235" t="n">
        <v>37</v>
      </c>
      <c r="W39" s="236" t="n">
        <f aca="false">W38-V39</f>
        <v>5263.49231157046</v>
      </c>
      <c r="X39" s="6" t="n">
        <f aca="false">N39+O39+S39+U39+V39</f>
        <v>610.73</v>
      </c>
      <c r="Y39" s="111" t="n">
        <f aca="false">IF(L39&lt;0,L39*-1,0)</f>
        <v>0</v>
      </c>
      <c r="Z39" s="111" t="n">
        <f aca="false">X39+Y39</f>
        <v>610.73</v>
      </c>
      <c r="AA39" s="350" t="n">
        <v>0.02</v>
      </c>
      <c r="AB39" s="117" t="n">
        <v>84</v>
      </c>
      <c r="AC39" s="167" t="n">
        <v>54</v>
      </c>
      <c r="AD39" s="118" t="n">
        <v>0</v>
      </c>
      <c r="AE39" s="87" t="n">
        <f aca="false">(I39-8-2.7)-(S39-8)</f>
        <v>-298.799</v>
      </c>
      <c r="AF39" s="339" t="n">
        <f aca="false">23.5*(T38*1.9835-S39*1.9835)/E39</f>
        <v>7.92572330370306</v>
      </c>
      <c r="AG39" s="242" t="n">
        <v>15</v>
      </c>
      <c r="AH39" s="0"/>
      <c r="AI39" s="0"/>
      <c r="AJ39" s="0"/>
      <c r="AK39" s="0"/>
      <c r="AL39" s="0"/>
      <c r="AM39" s="0"/>
      <c r="AN39" s="0"/>
      <c r="AO39" s="0"/>
      <c r="AP39" s="0"/>
      <c r="AQ39" s="0"/>
      <c r="AR39" s="0"/>
      <c r="AS39" s="0"/>
      <c r="AT39" s="0"/>
      <c r="AU39" s="0"/>
      <c r="AV39" s="0"/>
      <c r="AW39" s="0"/>
      <c r="AX39" s="0"/>
      <c r="AY39" s="0"/>
      <c r="AZ39" s="0"/>
      <c r="BA39" s="0"/>
      <c r="BB39" s="0"/>
      <c r="BC39" s="0"/>
      <c r="BD39" s="0"/>
      <c r="BE39" s="0"/>
      <c r="BF39" s="0"/>
      <c r="BG39" s="0"/>
      <c r="BH39" s="0"/>
      <c r="BI39" s="0"/>
      <c r="BJ39" s="0"/>
      <c r="BK39" s="0"/>
      <c r="BL39" s="0"/>
      <c r="BM39" s="0"/>
      <c r="BN39" s="0"/>
      <c r="BO39" s="0"/>
      <c r="BP39" s="0"/>
      <c r="BQ39" s="0"/>
      <c r="BR39" s="0"/>
      <c r="BS39" s="0"/>
      <c r="BT39" s="0"/>
      <c r="BU39" s="0"/>
      <c r="BV39" s="0"/>
      <c r="BW39" s="0"/>
      <c r="BX39" s="0"/>
      <c r="BY39" s="0"/>
      <c r="BZ39" s="0"/>
      <c r="CA39" s="0"/>
      <c r="CB39" s="0"/>
      <c r="CC39" s="0"/>
      <c r="CD39" s="0"/>
      <c r="CE39" s="0"/>
      <c r="CF39" s="0"/>
      <c r="CG39" s="0"/>
      <c r="CH39" s="0"/>
      <c r="CI39" s="0"/>
      <c r="CJ39" s="0"/>
      <c r="CK39" s="0"/>
      <c r="CL39" s="0"/>
      <c r="CM39" s="0"/>
      <c r="CN39" s="0"/>
      <c r="CO39" s="0"/>
      <c r="CP39" s="0"/>
      <c r="CQ39" s="0"/>
      <c r="CR39" s="0"/>
      <c r="CS39" s="0"/>
      <c r="CT39" s="0"/>
      <c r="CU39" s="0"/>
      <c r="CV39" s="0"/>
      <c r="CW39" s="0"/>
      <c r="CX39" s="0"/>
      <c r="CY39" s="0"/>
      <c r="CZ39" s="0"/>
      <c r="DA39" s="0"/>
      <c r="DB39" s="0"/>
      <c r="DC39" s="0"/>
      <c r="DD39" s="0"/>
      <c r="DE39" s="0"/>
      <c r="DF39" s="0"/>
      <c r="DG39" s="0"/>
      <c r="DH39" s="0"/>
      <c r="DI39" s="0"/>
      <c r="DJ39" s="0"/>
      <c r="DK39" s="0"/>
      <c r="DL39" s="0"/>
      <c r="DM39" s="0"/>
      <c r="DN39" s="0"/>
      <c r="DO39" s="0"/>
      <c r="DP39" s="0"/>
      <c r="DQ39" s="0"/>
      <c r="DR39" s="0"/>
      <c r="DS39" s="0"/>
      <c r="DT39" s="0"/>
      <c r="DU39" s="0"/>
      <c r="DV39" s="0"/>
      <c r="DW39" s="0"/>
      <c r="DX39" s="0"/>
      <c r="DY39" s="0"/>
      <c r="DZ39" s="0"/>
      <c r="EA39" s="0"/>
      <c r="EB39" s="0"/>
      <c r="EC39" s="0"/>
      <c r="ED39" s="0"/>
      <c r="EE39" s="0"/>
      <c r="EF39" s="0"/>
      <c r="EG39" s="0"/>
      <c r="EH39" s="0"/>
      <c r="EI39" s="0"/>
      <c r="EJ39" s="0"/>
      <c r="EK39" s="0"/>
      <c r="EL39" s="0"/>
      <c r="EM39" s="0"/>
      <c r="EN39" s="0"/>
      <c r="EO39" s="0"/>
      <c r="EP39" s="0"/>
      <c r="EQ39" s="0"/>
      <c r="ER39" s="0"/>
      <c r="ES39" s="0"/>
      <c r="ET39" s="0"/>
      <c r="EU39" s="0"/>
      <c r="EV39" s="0"/>
      <c r="EW39" s="0"/>
      <c r="EX39" s="0"/>
      <c r="EY39" s="0"/>
      <c r="EZ39" s="0"/>
      <c r="FA39" s="0"/>
      <c r="FB39" s="0"/>
      <c r="FC39" s="0"/>
      <c r="FD39" s="0"/>
      <c r="FE39" s="0"/>
      <c r="FF39" s="0"/>
      <c r="FG39" s="0"/>
      <c r="FH39" s="0"/>
      <c r="FI39" s="0"/>
      <c r="FJ39" s="0"/>
      <c r="FK39" s="0"/>
      <c r="FL39" s="0"/>
      <c r="FM39" s="0"/>
      <c r="FN39" s="0"/>
      <c r="FO39" s="0"/>
      <c r="FP39" s="0"/>
      <c r="FQ39" s="0"/>
      <c r="FR39" s="0"/>
      <c r="FS39" s="0"/>
      <c r="FT39" s="0"/>
      <c r="FU39" s="0"/>
      <c r="FV39" s="0"/>
      <c r="FW39" s="0"/>
      <c r="FX39" s="0"/>
      <c r="FY39" s="0"/>
      <c r="FZ39" s="0"/>
      <c r="GA39" s="0"/>
      <c r="GB39" s="0"/>
      <c r="GC39" s="0"/>
      <c r="GD39" s="0"/>
      <c r="GE39" s="0"/>
      <c r="GF39" s="0"/>
      <c r="GG39" s="0"/>
      <c r="GH39" s="0"/>
      <c r="GI39" s="0"/>
      <c r="GJ39" s="0"/>
      <c r="GK39" s="0"/>
      <c r="GL39" s="0"/>
      <c r="GM39" s="0"/>
      <c r="GN39" s="0"/>
      <c r="GO39" s="0"/>
      <c r="GP39" s="0"/>
      <c r="GQ39" s="0"/>
      <c r="GR39" s="0"/>
      <c r="GS39" s="0"/>
      <c r="GT39" s="0"/>
      <c r="GU39" s="0"/>
      <c r="GV39" s="0"/>
      <c r="GW39" s="0"/>
      <c r="GX39" s="0"/>
      <c r="GY39" s="0"/>
      <c r="GZ39" s="0"/>
      <c r="HA39" s="0"/>
      <c r="HB39" s="0"/>
      <c r="HC39" s="0"/>
      <c r="HD39" s="0"/>
      <c r="HE39" s="0"/>
      <c r="HF39" s="0"/>
      <c r="HG39" s="0"/>
      <c r="HH39" s="0"/>
      <c r="HI39" s="0"/>
      <c r="HJ39" s="0"/>
      <c r="HK39" s="0"/>
      <c r="HL39" s="0"/>
      <c r="HM39" s="0"/>
      <c r="HN39" s="0"/>
      <c r="HO39" s="0"/>
      <c r="HP39" s="0"/>
      <c r="HQ39" s="0"/>
      <c r="HR39" s="0"/>
      <c r="HS39" s="0"/>
      <c r="HT39" s="0"/>
      <c r="HU39" s="0"/>
      <c r="HV39" s="0"/>
      <c r="HW39" s="0"/>
      <c r="HX39" s="0"/>
      <c r="HY39" s="0"/>
      <c r="HZ39" s="0"/>
      <c r="IA39" s="0"/>
      <c r="IB39" s="0"/>
      <c r="IC39" s="0"/>
      <c r="ID39" s="0"/>
      <c r="IE39" s="0"/>
      <c r="IF39" s="0"/>
      <c r="IG39" s="0"/>
      <c r="IH39" s="0"/>
      <c r="II39" s="0"/>
      <c r="IJ39" s="0"/>
      <c r="IK39" s="0"/>
      <c r="IL39" s="0"/>
      <c r="IM39" s="0"/>
      <c r="IN39" s="0"/>
      <c r="IO39" s="0"/>
      <c r="IP39" s="0"/>
      <c r="IQ39" s="0"/>
      <c r="IR39" s="0"/>
      <c r="IS39" s="0"/>
      <c r="IT39" s="0"/>
      <c r="IU39" s="0"/>
      <c r="IV39" s="0"/>
      <c r="IW39" s="0"/>
    </row>
    <row r="40" customFormat="false" ht="11.1" hidden="false" customHeight="true" outlineLevel="0" collapsed="false">
      <c r="A40" s="118" t="n">
        <f aca="false">A39+1</f>
        <v>29</v>
      </c>
      <c r="B40" s="168" t="n">
        <v>6876.85</v>
      </c>
      <c r="C40" s="112" t="n">
        <v>206870</v>
      </c>
      <c r="D40" s="117" t="n">
        <f aca="false">C40-C39</f>
        <v>-901</v>
      </c>
      <c r="E40" s="112" t="n">
        <f aca="false">C40-152000</f>
        <v>54870</v>
      </c>
      <c r="F40" s="180" t="n">
        <f aca="false">D40/$D$2</f>
        <v>-454.247542223343</v>
      </c>
      <c r="G40" s="111" t="n">
        <v>169</v>
      </c>
      <c r="H40" s="181" t="n">
        <v>0.63</v>
      </c>
      <c r="I40" s="111" t="n">
        <f aca="false">G40+H40</f>
        <v>169.63</v>
      </c>
      <c r="J40" s="181" t="n">
        <f aca="false">IF(L40&gt;0,L40,0)</f>
        <v>0</v>
      </c>
      <c r="K40" s="111" t="n">
        <f aca="false">I40+J40</f>
        <v>169.63</v>
      </c>
      <c r="L40" s="111" t="n">
        <f aca="false">F40-(I40-X40)</f>
        <v>-14.0875422233426</v>
      </c>
      <c r="M40" s="182" t="n">
        <v>228</v>
      </c>
      <c r="N40" s="111" t="n">
        <v>0</v>
      </c>
      <c r="O40" s="111" t="n">
        <f aca="false">32.03*1.05</f>
        <v>33.6315</v>
      </c>
      <c r="P40" s="90" t="n">
        <f aca="false">M40-(N40+O40)</f>
        <v>194.3685</v>
      </c>
      <c r="Q40" s="111" t="n">
        <v>136</v>
      </c>
      <c r="R40" s="111" t="n">
        <v>77</v>
      </c>
      <c r="S40" s="111" t="n">
        <f aca="false">SUM(P40:R40)</f>
        <v>407.3685</v>
      </c>
      <c r="T40" s="112" t="n">
        <f aca="false">T39+AE40-(AF40/1.9835)+AG40</f>
        <v>9361.55569393701</v>
      </c>
      <c r="U40" s="111" t="n">
        <v>130.79</v>
      </c>
      <c r="V40" s="235" t="n">
        <v>38</v>
      </c>
      <c r="W40" s="236" t="n">
        <f aca="false">W39-V40</f>
        <v>5225.49231157046</v>
      </c>
      <c r="X40" s="6" t="n">
        <f aca="false">N40+O40+S40+U40+V40</f>
        <v>609.79</v>
      </c>
      <c r="Y40" s="111" t="n">
        <f aca="false">IF(L40&lt;0,L40*-1,0)</f>
        <v>14.0875422233426</v>
      </c>
      <c r="Z40" s="111" t="n">
        <f aca="false">X40+Y40</f>
        <v>623.877542223343</v>
      </c>
      <c r="AA40" s="350" t="n">
        <v>0.08</v>
      </c>
      <c r="AB40" s="183" t="n">
        <v>85</v>
      </c>
      <c r="AC40" s="167" t="n">
        <v>56</v>
      </c>
      <c r="AD40" s="118" t="n">
        <v>0</v>
      </c>
      <c r="AE40" s="87" t="n">
        <f aca="false">(I40-8-2.7)-(S40-8)</f>
        <v>-240.4385</v>
      </c>
      <c r="AF40" s="339" t="n">
        <f aca="false">23.5*(T39*1.9835-S40*1.9835)/E40</f>
        <v>7.80146422747514</v>
      </c>
      <c r="AG40" s="242" t="n">
        <v>15</v>
      </c>
      <c r="AH40" s="0"/>
      <c r="AI40" s="0"/>
      <c r="AJ40" s="0"/>
      <c r="AK40" s="0"/>
      <c r="AL40" s="0"/>
      <c r="AM40" s="0"/>
      <c r="AN40" s="0"/>
      <c r="AO40" s="0"/>
      <c r="AP40" s="0"/>
      <c r="AQ40" s="0"/>
      <c r="AR40" s="0"/>
      <c r="AS40" s="0"/>
      <c r="AT40" s="0"/>
      <c r="AU40" s="0"/>
      <c r="AV40" s="0"/>
      <c r="AW40" s="0"/>
      <c r="AX40" s="0"/>
      <c r="AY40" s="0"/>
      <c r="AZ40" s="0"/>
      <c r="BA40" s="0"/>
      <c r="BB40" s="0"/>
      <c r="BC40" s="0"/>
      <c r="BD40" s="0"/>
      <c r="BE40" s="0"/>
      <c r="BF40" s="0"/>
      <c r="BG40" s="0"/>
      <c r="BH40" s="0"/>
      <c r="BI40" s="0"/>
      <c r="BJ40" s="0"/>
      <c r="BK40" s="0"/>
      <c r="BL40" s="0"/>
      <c r="BM40" s="0"/>
      <c r="BN40" s="0"/>
      <c r="BO40" s="0"/>
      <c r="BP40" s="0"/>
      <c r="BQ40" s="0"/>
      <c r="BR40" s="0"/>
      <c r="BS40" s="0"/>
      <c r="BT40" s="0"/>
      <c r="BU40" s="0"/>
      <c r="BV40" s="0"/>
      <c r="BW40" s="0"/>
      <c r="BX40" s="0"/>
      <c r="BY40" s="0"/>
      <c r="BZ40" s="0"/>
      <c r="CA40" s="0"/>
      <c r="CB40" s="0"/>
      <c r="CC40" s="0"/>
      <c r="CD40" s="0"/>
      <c r="CE40" s="0"/>
      <c r="CF40" s="0"/>
      <c r="CG40" s="0"/>
      <c r="CH40" s="0"/>
      <c r="CI40" s="0"/>
      <c r="CJ40" s="0"/>
      <c r="CK40" s="0"/>
      <c r="CL40" s="0"/>
      <c r="CM40" s="0"/>
      <c r="CN40" s="0"/>
      <c r="CO40" s="0"/>
      <c r="CP40" s="0"/>
      <c r="CQ40" s="0"/>
      <c r="CR40" s="0"/>
      <c r="CS40" s="0"/>
      <c r="CT40" s="0"/>
      <c r="CU40" s="0"/>
      <c r="CV40" s="0"/>
      <c r="CW40" s="0"/>
      <c r="CX40" s="0"/>
      <c r="CY40" s="0"/>
      <c r="CZ40" s="0"/>
      <c r="DA40" s="0"/>
      <c r="DB40" s="0"/>
      <c r="DC40" s="0"/>
      <c r="DD40" s="0"/>
      <c r="DE40" s="0"/>
      <c r="DF40" s="0"/>
      <c r="DG40" s="0"/>
      <c r="DH40" s="0"/>
      <c r="DI40" s="0"/>
      <c r="DJ40" s="0"/>
      <c r="DK40" s="0"/>
      <c r="DL40" s="0"/>
      <c r="DM40" s="0"/>
      <c r="DN40" s="0"/>
      <c r="DO40" s="0"/>
      <c r="DP40" s="0"/>
      <c r="DQ40" s="0"/>
      <c r="DR40" s="0"/>
      <c r="DS40" s="0"/>
      <c r="DT40" s="0"/>
      <c r="DU40" s="0"/>
      <c r="DV40" s="0"/>
      <c r="DW40" s="0"/>
      <c r="DX40" s="0"/>
      <c r="DY40" s="0"/>
      <c r="DZ40" s="0"/>
      <c r="EA40" s="0"/>
      <c r="EB40" s="0"/>
      <c r="EC40" s="0"/>
      <c r="ED40" s="0"/>
      <c r="EE40" s="0"/>
      <c r="EF40" s="0"/>
      <c r="EG40" s="0"/>
      <c r="EH40" s="0"/>
      <c r="EI40" s="0"/>
      <c r="EJ40" s="0"/>
      <c r="EK40" s="0"/>
      <c r="EL40" s="0"/>
      <c r="EM40" s="0"/>
      <c r="EN40" s="0"/>
      <c r="EO40" s="0"/>
      <c r="EP40" s="0"/>
      <c r="EQ40" s="0"/>
      <c r="ER40" s="0"/>
      <c r="ES40" s="0"/>
      <c r="ET40" s="0"/>
      <c r="EU40" s="0"/>
      <c r="EV40" s="0"/>
      <c r="EW40" s="0"/>
      <c r="EX40" s="0"/>
      <c r="EY40" s="0"/>
      <c r="EZ40" s="0"/>
      <c r="FA40" s="0"/>
      <c r="FB40" s="0"/>
      <c r="FC40" s="0"/>
      <c r="FD40" s="0"/>
      <c r="FE40" s="0"/>
      <c r="FF40" s="0"/>
      <c r="FG40" s="0"/>
      <c r="FH40" s="0"/>
      <c r="FI40" s="0"/>
      <c r="FJ40" s="0"/>
      <c r="FK40" s="0"/>
      <c r="FL40" s="0"/>
      <c r="FM40" s="0"/>
      <c r="FN40" s="0"/>
      <c r="FO40" s="0"/>
      <c r="FP40" s="0"/>
      <c r="FQ40" s="0"/>
      <c r="FR40" s="0"/>
      <c r="FS40" s="0"/>
      <c r="FT40" s="0"/>
      <c r="FU40" s="0"/>
      <c r="FV40" s="0"/>
      <c r="FW40" s="0"/>
      <c r="FX40" s="0"/>
      <c r="FY40" s="0"/>
      <c r="FZ40" s="0"/>
      <c r="GA40" s="0"/>
      <c r="GB40" s="0"/>
      <c r="GC40" s="0"/>
      <c r="GD40" s="0"/>
      <c r="GE40" s="0"/>
      <c r="GF40" s="0"/>
      <c r="GG40" s="0"/>
      <c r="GH40" s="0"/>
      <c r="GI40" s="0"/>
      <c r="GJ40" s="0"/>
      <c r="GK40" s="0"/>
      <c r="GL40" s="0"/>
      <c r="GM40" s="0"/>
      <c r="GN40" s="0"/>
      <c r="GO40" s="0"/>
      <c r="GP40" s="0"/>
      <c r="GQ40" s="0"/>
      <c r="GR40" s="0"/>
      <c r="GS40" s="0"/>
      <c r="GT40" s="0"/>
      <c r="GU40" s="0"/>
      <c r="GV40" s="0"/>
      <c r="GW40" s="0"/>
      <c r="GX40" s="0"/>
      <c r="GY40" s="0"/>
      <c r="GZ40" s="0"/>
      <c r="HA40" s="0"/>
      <c r="HB40" s="0"/>
      <c r="HC40" s="0"/>
      <c r="HD40" s="0"/>
      <c r="HE40" s="0"/>
      <c r="HF40" s="0"/>
      <c r="HG40" s="0"/>
      <c r="HH40" s="0"/>
      <c r="HI40" s="0"/>
      <c r="HJ40" s="0"/>
      <c r="HK40" s="0"/>
      <c r="HL40" s="0"/>
      <c r="HM40" s="0"/>
      <c r="HN40" s="0"/>
      <c r="HO40" s="0"/>
      <c r="HP40" s="0"/>
      <c r="HQ40" s="0"/>
      <c r="HR40" s="0"/>
      <c r="HS40" s="0"/>
      <c r="HT40" s="0"/>
      <c r="HU40" s="0"/>
      <c r="HV40" s="0"/>
      <c r="HW40" s="0"/>
      <c r="HX40" s="0"/>
      <c r="HY40" s="0"/>
      <c r="HZ40" s="0"/>
      <c r="IA40" s="0"/>
      <c r="IB40" s="0"/>
      <c r="IC40" s="0"/>
      <c r="ID40" s="0"/>
      <c r="IE40" s="0"/>
      <c r="IF40" s="0"/>
      <c r="IG40" s="0"/>
      <c r="IH40" s="0"/>
      <c r="II40" s="0"/>
      <c r="IJ40" s="0"/>
      <c r="IK40" s="0"/>
      <c r="IL40" s="0"/>
      <c r="IM40" s="0"/>
      <c r="IN40" s="0"/>
      <c r="IO40" s="0"/>
      <c r="IP40" s="0"/>
      <c r="IQ40" s="0"/>
      <c r="IR40" s="0"/>
      <c r="IS40" s="0"/>
      <c r="IT40" s="0"/>
      <c r="IU40" s="0"/>
      <c r="IV40" s="0"/>
      <c r="IW40" s="0"/>
    </row>
    <row r="41" customFormat="false" ht="11.1" hidden="false" customHeight="true" outlineLevel="0" collapsed="false">
      <c r="A41" s="118" t="n">
        <v>30</v>
      </c>
      <c r="B41" s="168" t="n">
        <v>6876.66</v>
      </c>
      <c r="C41" s="112" t="n">
        <v>206321</v>
      </c>
      <c r="D41" s="117" t="n">
        <f aca="false">C41-C40</f>
        <v>-549</v>
      </c>
      <c r="E41" s="112" t="n">
        <f aca="false">C41-152000</f>
        <v>54321</v>
      </c>
      <c r="F41" s="180" t="n">
        <f aca="false">D41/$D$2</f>
        <v>-276.78346357449</v>
      </c>
      <c r="G41" s="111" t="n">
        <v>180</v>
      </c>
      <c r="H41" s="181" t="n">
        <v>0.27</v>
      </c>
      <c r="I41" s="111" t="n">
        <f aca="false">G41+H41</f>
        <v>180.27</v>
      </c>
      <c r="J41" s="181" t="n">
        <f aca="false">IF(L41&gt;0,L41,0)</f>
        <v>58.9965364255104</v>
      </c>
      <c r="K41" s="111" t="n">
        <f aca="false">I41+J41</f>
        <v>239.26653642551</v>
      </c>
      <c r="L41" s="111" t="n">
        <f aca="false">F41-(I41-X41)</f>
        <v>58.9965364255104</v>
      </c>
      <c r="M41" s="182" t="n">
        <v>197</v>
      </c>
      <c r="N41" s="111" t="n">
        <v>0</v>
      </c>
      <c r="O41" s="111" t="n">
        <f aca="false">32.32*1.05</f>
        <v>33.936</v>
      </c>
      <c r="P41" s="90" t="n">
        <f aca="false">M41-(N41+O41)</f>
        <v>163.064</v>
      </c>
      <c r="Q41" s="111" t="n">
        <v>134</v>
      </c>
      <c r="R41" s="111" t="n">
        <v>76</v>
      </c>
      <c r="S41" s="111" t="n">
        <f aca="false">SUM(P41:R41)</f>
        <v>373.064</v>
      </c>
      <c r="T41" s="112" t="n">
        <f aca="false">T40+AE41-(AF41/1.9835)+AG41</f>
        <v>9177.17315074363</v>
      </c>
      <c r="U41" s="111" t="n">
        <v>71.05</v>
      </c>
      <c r="V41" s="235" t="n">
        <v>38</v>
      </c>
      <c r="W41" s="236" t="n">
        <f aca="false">W40-V41</f>
        <v>5187.49231157046</v>
      </c>
      <c r="X41" s="6" t="n">
        <f aca="false">N41+O41+S41+U41+V41</f>
        <v>516.05</v>
      </c>
      <c r="Y41" s="111" t="n">
        <f aca="false">IF(L41&lt;0,L41*-1,0)</f>
        <v>0</v>
      </c>
      <c r="Z41" s="111" t="n">
        <f aca="false">X41+Y41</f>
        <v>516.05</v>
      </c>
      <c r="AA41" s="350" t="n">
        <v>0</v>
      </c>
      <c r="AB41" s="183" t="n">
        <v>88</v>
      </c>
      <c r="AC41" s="167" t="n">
        <v>56</v>
      </c>
      <c r="AD41" s="118" t="n">
        <v>0</v>
      </c>
      <c r="AE41" s="87" t="n">
        <f aca="false">(I41-8-2.7)-(S41-8)</f>
        <v>-195.494</v>
      </c>
      <c r="AF41" s="339" t="n">
        <f aca="false">23.5*(T40*1.9835-S41*1.9835)/E41</f>
        <v>7.71292542406648</v>
      </c>
      <c r="AG41" s="242" t="n">
        <v>15</v>
      </c>
      <c r="AH41" s="0"/>
      <c r="AI41" s="0"/>
      <c r="AJ41" s="0"/>
      <c r="AK41" s="0"/>
      <c r="AL41" s="0"/>
      <c r="AM41" s="0"/>
      <c r="AN41" s="0"/>
      <c r="AO41" s="0"/>
      <c r="AP41" s="0"/>
      <c r="AQ41" s="0"/>
      <c r="AR41" s="0"/>
      <c r="AS41" s="0"/>
      <c r="AT41" s="0"/>
      <c r="AU41" s="0"/>
      <c r="AV41" s="0"/>
      <c r="AW41" s="0"/>
      <c r="AX41" s="0"/>
      <c r="AY41" s="0"/>
      <c r="AZ41" s="0"/>
      <c r="BA41" s="0"/>
      <c r="BB41" s="0"/>
      <c r="BC41" s="0"/>
      <c r="BD41" s="0"/>
      <c r="BE41" s="0"/>
      <c r="BF41" s="0"/>
      <c r="BG41" s="0"/>
      <c r="BH41" s="0"/>
      <c r="BI41" s="0"/>
      <c r="BJ41" s="0"/>
      <c r="BK41" s="0"/>
      <c r="BL41" s="0"/>
      <c r="BM41" s="0"/>
      <c r="BN41" s="0"/>
      <c r="BO41" s="0"/>
      <c r="BP41" s="0"/>
      <c r="BQ41" s="0"/>
      <c r="BR41" s="0"/>
      <c r="BS41" s="0"/>
      <c r="BT41" s="0"/>
      <c r="BU41" s="0"/>
      <c r="BV41" s="0"/>
      <c r="BW41" s="0"/>
      <c r="BX41" s="0"/>
      <c r="BY41" s="0"/>
      <c r="BZ41" s="0"/>
      <c r="CA41" s="0"/>
      <c r="CB41" s="0"/>
      <c r="CC41" s="0"/>
      <c r="CD41" s="0"/>
      <c r="CE41" s="0"/>
      <c r="CF41" s="0"/>
      <c r="CG41" s="0"/>
      <c r="CH41" s="0"/>
      <c r="CI41" s="0"/>
      <c r="CJ41" s="0"/>
      <c r="CK41" s="0"/>
      <c r="CL41" s="0"/>
      <c r="CM41" s="0"/>
      <c r="CN41" s="0"/>
      <c r="CO41" s="0"/>
      <c r="CP41" s="0"/>
      <c r="CQ41" s="0"/>
      <c r="CR41" s="0"/>
      <c r="CS41" s="0"/>
      <c r="CT41" s="0"/>
      <c r="CU41" s="0"/>
      <c r="CV41" s="0"/>
      <c r="CW41" s="0"/>
      <c r="CX41" s="0"/>
      <c r="CY41" s="0"/>
      <c r="CZ41" s="0"/>
      <c r="DA41" s="0"/>
      <c r="DB41" s="0"/>
      <c r="DC41" s="0"/>
      <c r="DD41" s="0"/>
      <c r="DE41" s="0"/>
      <c r="DF41" s="0"/>
      <c r="DG41" s="0"/>
      <c r="DH41" s="0"/>
      <c r="DI41" s="0"/>
      <c r="DJ41" s="0"/>
      <c r="DK41" s="0"/>
      <c r="DL41" s="0"/>
      <c r="DM41" s="0"/>
      <c r="DN41" s="0"/>
      <c r="DO41" s="0"/>
      <c r="DP41" s="0"/>
      <c r="DQ41" s="0"/>
      <c r="DR41" s="0"/>
      <c r="DS41" s="0"/>
      <c r="DT41" s="0"/>
      <c r="DU41" s="0"/>
      <c r="DV41" s="0"/>
      <c r="DW41" s="0"/>
      <c r="DX41" s="0"/>
      <c r="DY41" s="0"/>
      <c r="DZ41" s="0"/>
      <c r="EA41" s="0"/>
      <c r="EB41" s="0"/>
      <c r="EC41" s="0"/>
      <c r="ED41" s="0"/>
      <c r="EE41" s="0"/>
      <c r="EF41" s="0"/>
      <c r="EG41" s="0"/>
      <c r="EH41" s="0"/>
      <c r="EI41" s="0"/>
      <c r="EJ41" s="0"/>
      <c r="EK41" s="0"/>
      <c r="EL41" s="0"/>
      <c r="EM41" s="0"/>
      <c r="EN41" s="0"/>
      <c r="EO41" s="0"/>
      <c r="EP41" s="0"/>
      <c r="EQ41" s="0"/>
      <c r="ER41" s="0"/>
      <c r="ES41" s="0"/>
      <c r="ET41" s="0"/>
      <c r="EU41" s="0"/>
      <c r="EV41" s="0"/>
      <c r="EW41" s="0"/>
      <c r="EX41" s="0"/>
      <c r="EY41" s="0"/>
      <c r="EZ41" s="0"/>
      <c r="FA41" s="0"/>
      <c r="FB41" s="0"/>
      <c r="FC41" s="0"/>
      <c r="FD41" s="0"/>
      <c r="FE41" s="0"/>
      <c r="FF41" s="0"/>
      <c r="FG41" s="0"/>
      <c r="FH41" s="0"/>
      <c r="FI41" s="0"/>
      <c r="FJ41" s="0"/>
      <c r="FK41" s="0"/>
      <c r="FL41" s="0"/>
      <c r="FM41" s="0"/>
      <c r="FN41" s="0"/>
      <c r="FO41" s="0"/>
      <c r="FP41" s="0"/>
      <c r="FQ41" s="0"/>
      <c r="FR41" s="0"/>
      <c r="FS41" s="0"/>
      <c r="FT41" s="0"/>
      <c r="FU41" s="0"/>
      <c r="FV41" s="0"/>
      <c r="FW41" s="0"/>
      <c r="FX41" s="0"/>
      <c r="FY41" s="0"/>
      <c r="FZ41" s="0"/>
      <c r="GA41" s="0"/>
      <c r="GB41" s="0"/>
      <c r="GC41" s="0"/>
      <c r="GD41" s="0"/>
      <c r="GE41" s="0"/>
      <c r="GF41" s="0"/>
      <c r="GG41" s="0"/>
      <c r="GH41" s="0"/>
      <c r="GI41" s="0"/>
      <c r="GJ41" s="0"/>
      <c r="GK41" s="0"/>
      <c r="GL41" s="0"/>
      <c r="GM41" s="0"/>
      <c r="GN41" s="0"/>
      <c r="GO41" s="0"/>
      <c r="GP41" s="0"/>
      <c r="GQ41" s="0"/>
      <c r="GR41" s="0"/>
      <c r="GS41" s="0"/>
      <c r="GT41" s="0"/>
      <c r="GU41" s="0"/>
      <c r="GV41" s="0"/>
      <c r="GW41" s="0"/>
      <c r="GX41" s="0"/>
      <c r="GY41" s="0"/>
      <c r="GZ41" s="0"/>
      <c r="HA41" s="0"/>
      <c r="HB41" s="0"/>
      <c r="HC41" s="0"/>
      <c r="HD41" s="0"/>
      <c r="HE41" s="0"/>
      <c r="HF41" s="0"/>
      <c r="HG41" s="0"/>
      <c r="HH41" s="0"/>
      <c r="HI41" s="0"/>
      <c r="HJ41" s="0"/>
      <c r="HK41" s="0"/>
      <c r="HL41" s="0"/>
      <c r="HM41" s="0"/>
      <c r="HN41" s="0"/>
      <c r="HO41" s="0"/>
      <c r="HP41" s="0"/>
      <c r="HQ41" s="0"/>
      <c r="HR41" s="0"/>
      <c r="HS41" s="0"/>
      <c r="HT41" s="0"/>
      <c r="HU41" s="0"/>
      <c r="HV41" s="0"/>
      <c r="HW41" s="0"/>
      <c r="HX41" s="0"/>
      <c r="HY41" s="0"/>
      <c r="HZ41" s="0"/>
      <c r="IA41" s="0"/>
      <c r="IB41" s="0"/>
      <c r="IC41" s="0"/>
      <c r="ID41" s="0"/>
      <c r="IE41" s="0"/>
      <c r="IF41" s="0"/>
      <c r="IG41" s="0"/>
      <c r="IH41" s="0"/>
      <c r="II41" s="0"/>
      <c r="IJ41" s="0"/>
      <c r="IK41" s="0"/>
      <c r="IL41" s="0"/>
      <c r="IM41" s="0"/>
      <c r="IN41" s="0"/>
      <c r="IO41" s="0"/>
      <c r="IP41" s="0"/>
      <c r="IQ41" s="0"/>
      <c r="IR41" s="0"/>
      <c r="IS41" s="0"/>
      <c r="IT41" s="0"/>
      <c r="IU41" s="0"/>
      <c r="IV41" s="0"/>
      <c r="IW41" s="0"/>
    </row>
    <row r="42" customFormat="false" ht="11.25" hidden="false" customHeight="true" outlineLevel="0" collapsed="false">
      <c r="A42" s="118" t="n">
        <v>31</v>
      </c>
      <c r="B42" s="168" t="n">
        <v>6876.39</v>
      </c>
      <c r="C42" s="112" t="n">
        <v>205542</v>
      </c>
      <c r="D42" s="117" t="n">
        <f aca="false">C42-C41</f>
        <v>-779</v>
      </c>
      <c r="E42" s="112" t="n">
        <f aca="false">C42-152000</f>
        <v>53542</v>
      </c>
      <c r="F42" s="180" t="n">
        <f aca="false">D42/$D$2</f>
        <v>-392.740105873456</v>
      </c>
      <c r="G42" s="111" t="n">
        <v>131</v>
      </c>
      <c r="H42" s="181" t="n">
        <v>0.24</v>
      </c>
      <c r="I42" s="111" t="n">
        <f aca="false">G42+H42</f>
        <v>131.24</v>
      </c>
      <c r="J42" s="181" t="n">
        <f aca="false">IF(L42&gt;0,L42,0)</f>
        <v>0</v>
      </c>
      <c r="K42" s="111" t="n">
        <f aca="false">I42+J42</f>
        <v>131.24</v>
      </c>
      <c r="L42" s="111" t="n">
        <f aca="false">F42-(I42-X42)</f>
        <v>-43.190105873456</v>
      </c>
      <c r="M42" s="182" t="n">
        <v>166</v>
      </c>
      <c r="N42" s="111" t="n">
        <v>0</v>
      </c>
      <c r="O42" s="111" t="n">
        <f aca="false">29.12*1.05</f>
        <v>30.576</v>
      </c>
      <c r="P42" s="90" t="n">
        <f aca="false">M42-(N42+O42)</f>
        <v>135.424</v>
      </c>
      <c r="Q42" s="111" t="n">
        <v>132</v>
      </c>
      <c r="R42" s="111" t="n">
        <v>73</v>
      </c>
      <c r="S42" s="111" t="n">
        <f aca="false">SUM(P42:R42)</f>
        <v>340.424</v>
      </c>
      <c r="T42" s="112" t="n">
        <f aca="false">T41+AE42-(AF42/1.9835)+AG42</f>
        <v>8973.71063285034</v>
      </c>
      <c r="U42" s="111" t="n">
        <v>71.79</v>
      </c>
      <c r="V42" s="235" t="n">
        <v>38</v>
      </c>
      <c r="W42" s="236" t="n">
        <f aca="false">W41-V42</f>
        <v>5149.49231157046</v>
      </c>
      <c r="X42" s="6" t="n">
        <f aca="false">N42+O42+S42+U42+V42</f>
        <v>480.79</v>
      </c>
      <c r="Y42" s="111" t="n">
        <f aca="false">IF(L42&lt;0,L42*-1,0)</f>
        <v>43.190105873456</v>
      </c>
      <c r="Z42" s="111" t="n">
        <f aca="false">X42+Y42</f>
        <v>523.980105873456</v>
      </c>
      <c r="AA42" s="350" t="n">
        <v>0.01</v>
      </c>
      <c r="AB42" s="183" t="n">
        <v>86</v>
      </c>
      <c r="AC42" s="167" t="n">
        <v>58</v>
      </c>
      <c r="AD42" s="118" t="n">
        <v>0</v>
      </c>
      <c r="AE42" s="87" t="n">
        <f aca="false">(I42-8-5.4)-(S42-8)</f>
        <v>-214.584</v>
      </c>
      <c r="AF42" s="339" t="n">
        <f aca="false">23.5*(T41*1.9835-S42*1.9835)/E42</f>
        <v>7.69304024133857</v>
      </c>
      <c r="AG42" s="242" t="n">
        <v>15</v>
      </c>
      <c r="AH42" s="0"/>
      <c r="AI42" s="0"/>
      <c r="AJ42" s="0"/>
      <c r="AK42" s="0"/>
      <c r="AL42" s="0"/>
      <c r="AM42" s="0"/>
      <c r="AN42" s="0"/>
      <c r="AO42" s="0"/>
      <c r="AP42" s="0"/>
      <c r="AQ42" s="0"/>
      <c r="AR42" s="0"/>
      <c r="AS42" s="0"/>
      <c r="AT42" s="0"/>
      <c r="AU42" s="0"/>
      <c r="AV42" s="0"/>
      <c r="AW42" s="0"/>
      <c r="AX42" s="0"/>
      <c r="AY42" s="0"/>
      <c r="AZ42" s="0"/>
      <c r="BA42" s="0"/>
      <c r="BB42" s="0"/>
      <c r="BC42" s="0"/>
      <c r="BD42" s="0"/>
      <c r="BE42" s="0"/>
      <c r="BF42" s="0"/>
      <c r="BG42" s="0"/>
      <c r="BH42" s="0"/>
      <c r="BI42" s="0"/>
      <c r="BJ42" s="0"/>
      <c r="BK42" s="0"/>
      <c r="BL42" s="0"/>
      <c r="BM42" s="0"/>
      <c r="BN42" s="0"/>
      <c r="BO42" s="0"/>
      <c r="BP42" s="0"/>
      <c r="BQ42" s="0"/>
      <c r="BR42" s="0"/>
      <c r="BS42" s="0"/>
      <c r="BT42" s="0"/>
      <c r="BU42" s="0"/>
      <c r="BV42" s="0"/>
      <c r="BW42" s="0"/>
      <c r="BX42" s="0"/>
      <c r="BY42" s="0"/>
      <c r="BZ42" s="0"/>
      <c r="CA42" s="0"/>
      <c r="CB42" s="0"/>
      <c r="CC42" s="0"/>
      <c r="CD42" s="0"/>
      <c r="CE42" s="0"/>
      <c r="CF42" s="0"/>
      <c r="CG42" s="0"/>
      <c r="CH42" s="0"/>
      <c r="CI42" s="0"/>
      <c r="CJ42" s="0"/>
      <c r="CK42" s="0"/>
      <c r="CL42" s="0"/>
      <c r="CM42" s="0"/>
      <c r="CN42" s="0"/>
      <c r="CO42" s="0"/>
      <c r="CP42" s="0"/>
      <c r="CQ42" s="0"/>
      <c r="CR42" s="0"/>
      <c r="CS42" s="0"/>
      <c r="CT42" s="0"/>
      <c r="CU42" s="0"/>
      <c r="CV42" s="0"/>
      <c r="CW42" s="0"/>
      <c r="CX42" s="0"/>
      <c r="CY42" s="0"/>
      <c r="CZ42" s="0"/>
      <c r="DA42" s="0"/>
      <c r="DB42" s="0"/>
      <c r="DC42" s="0"/>
      <c r="DD42" s="0"/>
      <c r="DE42" s="0"/>
      <c r="DF42" s="0"/>
      <c r="DG42" s="0"/>
      <c r="DH42" s="0"/>
      <c r="DI42" s="0"/>
      <c r="DJ42" s="0"/>
      <c r="DK42" s="0"/>
      <c r="DL42" s="0"/>
      <c r="DM42" s="0"/>
      <c r="DN42" s="0"/>
      <c r="DO42" s="0"/>
      <c r="DP42" s="0"/>
      <c r="DQ42" s="0"/>
      <c r="DR42" s="0"/>
      <c r="DS42" s="0"/>
      <c r="DT42" s="0"/>
      <c r="DU42" s="0"/>
      <c r="DV42" s="0"/>
      <c r="DW42" s="0"/>
      <c r="DX42" s="0"/>
      <c r="DY42" s="0"/>
      <c r="DZ42" s="0"/>
      <c r="EA42" s="0"/>
      <c r="EB42" s="0"/>
      <c r="EC42" s="0"/>
      <c r="ED42" s="0"/>
      <c r="EE42" s="0"/>
      <c r="EF42" s="0"/>
      <c r="EG42" s="0"/>
      <c r="EH42" s="0"/>
      <c r="EI42" s="0"/>
      <c r="EJ42" s="0"/>
      <c r="EK42" s="0"/>
      <c r="EL42" s="0"/>
      <c r="EM42" s="0"/>
      <c r="EN42" s="0"/>
      <c r="EO42" s="0"/>
      <c r="EP42" s="0"/>
      <c r="EQ42" s="0"/>
      <c r="ER42" s="0"/>
      <c r="ES42" s="0"/>
      <c r="ET42" s="0"/>
      <c r="EU42" s="0"/>
      <c r="EV42" s="0"/>
      <c r="EW42" s="0"/>
      <c r="EX42" s="0"/>
      <c r="EY42" s="0"/>
      <c r="EZ42" s="0"/>
      <c r="FA42" s="0"/>
      <c r="FB42" s="0"/>
      <c r="FC42" s="0"/>
      <c r="FD42" s="0"/>
      <c r="FE42" s="0"/>
      <c r="FF42" s="0"/>
      <c r="FG42" s="0"/>
      <c r="FH42" s="0"/>
      <c r="FI42" s="0"/>
      <c r="FJ42" s="0"/>
      <c r="FK42" s="0"/>
      <c r="FL42" s="0"/>
      <c r="FM42" s="0"/>
      <c r="FN42" s="0"/>
      <c r="FO42" s="0"/>
      <c r="FP42" s="0"/>
      <c r="FQ42" s="0"/>
      <c r="FR42" s="0"/>
      <c r="FS42" s="0"/>
      <c r="FT42" s="0"/>
      <c r="FU42" s="0"/>
      <c r="FV42" s="0"/>
      <c r="FW42" s="0"/>
      <c r="FX42" s="0"/>
      <c r="FY42" s="0"/>
      <c r="FZ42" s="0"/>
      <c r="GA42" s="0"/>
      <c r="GB42" s="0"/>
      <c r="GC42" s="0"/>
      <c r="GD42" s="0"/>
      <c r="GE42" s="0"/>
      <c r="GF42" s="0"/>
      <c r="GG42" s="0"/>
      <c r="GH42" s="0"/>
      <c r="GI42" s="0"/>
      <c r="GJ42" s="0"/>
      <c r="GK42" s="0"/>
      <c r="GL42" s="0"/>
      <c r="GM42" s="0"/>
      <c r="GN42" s="0"/>
      <c r="GO42" s="0"/>
      <c r="GP42" s="0"/>
      <c r="GQ42" s="0"/>
      <c r="GR42" s="0"/>
      <c r="GS42" s="0"/>
      <c r="GT42" s="0"/>
      <c r="GU42" s="0"/>
      <c r="GV42" s="0"/>
      <c r="GW42" s="0"/>
      <c r="GX42" s="0"/>
      <c r="GY42" s="0"/>
      <c r="GZ42" s="0"/>
      <c r="HA42" s="0"/>
      <c r="HB42" s="0"/>
      <c r="HC42" s="0"/>
      <c r="HD42" s="0"/>
      <c r="HE42" s="0"/>
      <c r="HF42" s="0"/>
      <c r="HG42" s="0"/>
      <c r="HH42" s="0"/>
      <c r="HI42" s="0"/>
      <c r="HJ42" s="0"/>
      <c r="HK42" s="0"/>
      <c r="HL42" s="0"/>
      <c r="HM42" s="0"/>
      <c r="HN42" s="0"/>
      <c r="HO42" s="0"/>
      <c r="HP42" s="0"/>
      <c r="HQ42" s="0"/>
      <c r="HR42" s="0"/>
      <c r="HS42" s="0"/>
      <c r="HT42" s="0"/>
      <c r="HU42" s="0"/>
      <c r="HV42" s="0"/>
      <c r="HW42" s="0"/>
      <c r="HX42" s="0"/>
      <c r="HY42" s="0"/>
      <c r="HZ42" s="0"/>
      <c r="IA42" s="0"/>
      <c r="IB42" s="0"/>
      <c r="IC42" s="0"/>
      <c r="ID42" s="0"/>
      <c r="IE42" s="0"/>
      <c r="IF42" s="0"/>
      <c r="IG42" s="0"/>
      <c r="IH42" s="0"/>
      <c r="II42" s="0"/>
      <c r="IJ42" s="0"/>
      <c r="IK42" s="0"/>
      <c r="IL42" s="0"/>
      <c r="IM42" s="0"/>
      <c r="IN42" s="0"/>
      <c r="IO42" s="0"/>
      <c r="IP42" s="0"/>
      <c r="IQ42" s="0"/>
      <c r="IR42" s="0"/>
      <c r="IS42" s="0"/>
      <c r="IT42" s="0"/>
      <c r="IU42" s="0"/>
      <c r="IV42" s="0"/>
      <c r="IW42" s="0"/>
    </row>
    <row r="43" customFormat="false" ht="3" hidden="false" customHeight="true" outlineLevel="0" collapsed="false">
      <c r="A43" s="169"/>
      <c r="B43" s="185"/>
      <c r="C43" s="171"/>
      <c r="D43" s="169"/>
      <c r="E43" s="171"/>
      <c r="F43" s="172"/>
      <c r="G43" s="169"/>
      <c r="H43" s="229"/>
      <c r="I43" s="169"/>
      <c r="J43" s="169"/>
      <c r="K43" s="169"/>
      <c r="L43" s="169"/>
      <c r="M43" s="174"/>
      <c r="N43" s="169"/>
      <c r="O43" s="169" t="n">
        <v>0</v>
      </c>
      <c r="P43" s="175"/>
      <c r="Q43" s="169"/>
      <c r="R43" s="169"/>
      <c r="S43" s="169"/>
      <c r="T43" s="171"/>
      <c r="U43" s="169"/>
      <c r="V43" s="169"/>
      <c r="W43" s="169"/>
      <c r="X43" s="169"/>
      <c r="Y43" s="169"/>
      <c r="Z43" s="169"/>
      <c r="AA43" s="355" t="n">
        <v>0</v>
      </c>
      <c r="AB43" s="177"/>
      <c r="AC43" s="178"/>
      <c r="AD43" s="179"/>
      <c r="AE43" s="226"/>
      <c r="AF43" s="357"/>
      <c r="AG43" s="226"/>
    </row>
    <row r="44" customFormat="false" ht="11.1" hidden="false" customHeight="true" outlineLevel="0" collapsed="false">
      <c r="A44" s="111" t="s">
        <v>54</v>
      </c>
      <c r="B44" s="163"/>
      <c r="C44" s="112"/>
      <c r="D44" s="112"/>
      <c r="E44" s="112"/>
      <c r="F44" s="164" t="n">
        <f aca="false">SUM(F12:F42)</f>
        <v>-15234.6861608268</v>
      </c>
      <c r="G44" s="112" t="n">
        <f aca="false">SUM(G12:G42)</f>
        <v>3944</v>
      </c>
      <c r="H44" s="181" t="n">
        <f aca="false">SUM(H12:H42)</f>
        <v>3.64</v>
      </c>
      <c r="I44" s="112" t="n">
        <f aca="false">SUM(I12:I42)</f>
        <v>3947.64</v>
      </c>
      <c r="J44" s="112" t="n">
        <f aca="false">SUM(J12:J42)</f>
        <v>108.382273758508</v>
      </c>
      <c r="K44" s="112" t="n">
        <f aca="false">SUM(K12:K42)</f>
        <v>4056.02227375851</v>
      </c>
      <c r="L44" s="112" t="n">
        <f aca="false">SUM(L12:L42)</f>
        <v>-1365.85616082682</v>
      </c>
      <c r="M44" s="165" t="n">
        <f aca="false">SUM(M12:M42)</f>
        <v>6153</v>
      </c>
      <c r="N44" s="112" t="n">
        <f aca="false">SUM(N12:N42)</f>
        <v>15.04</v>
      </c>
      <c r="O44" s="112" t="n">
        <f aca="false">SUM(O12:O42)</f>
        <v>834.792</v>
      </c>
      <c r="P44" s="166" t="n">
        <f aca="false">SUM(P12:P42)</f>
        <v>5303.168</v>
      </c>
      <c r="Q44" s="112" t="n">
        <f aca="false">SUM(Q12:Q42)</f>
        <v>2838</v>
      </c>
      <c r="R44" s="112" t="n">
        <f aca="false">SUM(R12:R42)</f>
        <v>2307</v>
      </c>
      <c r="S44" s="112" t="n">
        <f aca="false">SUM(S12:S42)</f>
        <v>10448.168</v>
      </c>
      <c r="T44" s="112"/>
      <c r="U44" s="112" t="n">
        <f aca="false">SUM(U12:U42)</f>
        <v>5346.47</v>
      </c>
      <c r="V44" s="112" t="n">
        <f aca="false">SUM(V12:V42)</f>
        <v>1172</v>
      </c>
      <c r="W44" s="112"/>
      <c r="X44" s="112" t="n">
        <f aca="false">SUM(X12:X42)</f>
        <v>17816.47</v>
      </c>
      <c r="Y44" s="112" t="n">
        <f aca="false">SUM(Y12:Y42)</f>
        <v>1474.23843458533</v>
      </c>
      <c r="Z44" s="112" t="n">
        <f aca="false">SUM(Z12:Z42)</f>
        <v>19290.7084345853</v>
      </c>
      <c r="AA44" s="350" t="n">
        <f aca="false">SUM(AA12:AA42)</f>
        <v>0.25</v>
      </c>
      <c r="AB44" s="117" t="n">
        <f aca="false">AVERAGE(AB12:AB42)</f>
        <v>90.9677419354839</v>
      </c>
      <c r="AC44" s="167" t="n">
        <f aca="false">AVERAGE(AC12:AC42)</f>
        <v>57.3548387096774</v>
      </c>
      <c r="AD44" s="118" t="s">
        <v>84</v>
      </c>
      <c r="AE44" s="352"/>
      <c r="AF44" s="358" t="n">
        <f aca="false">SUM(AF12:AF42)</f>
        <v>260.439460058829</v>
      </c>
      <c r="AG44" s="359" t="n">
        <f aca="false">SUM(AG12:AG42)</f>
        <v>465</v>
      </c>
    </row>
    <row r="45" customFormat="false" ht="11.1" hidden="false" customHeight="true" outlineLevel="0" collapsed="false">
      <c r="A45" s="111" t="s">
        <v>56</v>
      </c>
      <c r="B45" s="163"/>
      <c r="C45" s="112"/>
      <c r="D45" s="112" t="n">
        <f aca="false">SUM(D12:D42)</f>
        <v>-30218</v>
      </c>
      <c r="E45" s="112"/>
      <c r="F45" s="164" t="n">
        <f aca="false">F44*$D$2</f>
        <v>-30218</v>
      </c>
      <c r="G45" s="112" t="n">
        <f aca="false">G44*$D$2</f>
        <v>7822.924</v>
      </c>
      <c r="H45" s="181" t="n">
        <f aca="false">H44*$D$2</f>
        <v>7.21994</v>
      </c>
      <c r="I45" s="112" t="n">
        <f aca="false">I44*$D$2</f>
        <v>7830.14394</v>
      </c>
      <c r="J45" s="112" t="n">
        <f aca="false">J44*$D$2</f>
        <v>214.97624</v>
      </c>
      <c r="K45" s="112" t="n">
        <f aca="false">K44*$D$2</f>
        <v>8045.12018</v>
      </c>
      <c r="L45" s="112" t="n">
        <f aca="false">L44*$D$2</f>
        <v>-2709.175695</v>
      </c>
      <c r="M45" s="165" t="n">
        <f aca="false">M44*$D$2</f>
        <v>12204.4755</v>
      </c>
      <c r="N45" s="112" t="n">
        <f aca="false">N44*$D$2</f>
        <v>29.83184</v>
      </c>
      <c r="O45" s="112" t="n">
        <f aca="false">O44*$D$2</f>
        <v>1655.809932</v>
      </c>
      <c r="P45" s="166" t="n">
        <f aca="false">P44*$D$2</f>
        <v>10518.833728</v>
      </c>
      <c r="Q45" s="112" t="n">
        <f aca="false">Q44*$D$2</f>
        <v>5629.173</v>
      </c>
      <c r="R45" s="112" t="n">
        <f aca="false">R44*$D$2</f>
        <v>4575.9345</v>
      </c>
      <c r="S45" s="112" t="n">
        <f aca="false">S44*$D$2</f>
        <v>20723.941228</v>
      </c>
      <c r="T45" s="112"/>
      <c r="U45" s="112" t="n">
        <f aca="false">U44*$D$2</f>
        <v>10604.723245</v>
      </c>
      <c r="V45" s="112" t="n">
        <f aca="false">V44*$D$2</f>
        <v>2324.662</v>
      </c>
      <c r="W45" s="112"/>
      <c r="X45" s="112" t="n">
        <f aca="false">X44*$D$2</f>
        <v>35338.968245</v>
      </c>
      <c r="Y45" s="112" t="n">
        <f aca="false">Y44*$D$2</f>
        <v>2924.151935</v>
      </c>
      <c r="Z45" s="112" t="n">
        <f aca="false">Z44*$D$2</f>
        <v>38263.12018</v>
      </c>
      <c r="AA45" s="350"/>
      <c r="AB45" s="117" t="n">
        <f aca="false">MAX(AB12:AB42)</f>
        <v>97</v>
      </c>
      <c r="AC45" s="167" t="n">
        <f aca="false">MAX(AC12:AC42)</f>
        <v>67</v>
      </c>
      <c r="AD45" s="118" t="s">
        <v>57</v>
      </c>
      <c r="AE45" s="352"/>
      <c r="AF45" s="339" t="n">
        <f aca="false">AF44*$D$2</f>
        <v>516.581669026687</v>
      </c>
      <c r="AG45" s="359" t="n">
        <f aca="false">AG44*$D$2</f>
        <v>922.3275</v>
      </c>
    </row>
    <row r="46" customFormat="false" ht="3" hidden="false" customHeight="true" outlineLevel="0" collapsed="false">
      <c r="A46" s="169"/>
      <c r="B46" s="185"/>
      <c r="C46" s="171"/>
      <c r="D46" s="171"/>
      <c r="E46" s="171"/>
      <c r="F46" s="186"/>
      <c r="G46" s="171"/>
      <c r="H46" s="229"/>
      <c r="I46" s="171"/>
      <c r="J46" s="171"/>
      <c r="K46" s="171"/>
      <c r="L46" s="171"/>
      <c r="M46" s="187"/>
      <c r="N46" s="171"/>
      <c r="O46" s="171"/>
      <c r="P46" s="188"/>
      <c r="Q46" s="171"/>
      <c r="R46" s="171"/>
      <c r="S46" s="171"/>
      <c r="T46" s="171"/>
      <c r="U46" s="171"/>
      <c r="V46" s="171"/>
      <c r="W46" s="169"/>
      <c r="X46" s="171"/>
      <c r="Y46" s="171"/>
      <c r="Z46" s="171"/>
      <c r="AA46" s="189"/>
      <c r="AB46" s="171"/>
      <c r="AC46" s="186"/>
      <c r="AD46" s="171"/>
      <c r="AE46" s="229"/>
      <c r="AF46" s="357"/>
      <c r="AG46" s="226"/>
    </row>
    <row r="47" customFormat="false" ht="11.1" hidden="false" customHeight="true" outlineLevel="0" collapsed="false">
      <c r="A47" s="111" t="s">
        <v>58</v>
      </c>
      <c r="B47" s="163"/>
      <c r="C47" s="112"/>
      <c r="D47" s="112"/>
      <c r="E47" s="112"/>
      <c r="F47" s="164" t="n">
        <f aca="false">F9+F44</f>
        <v>16413.9147970759</v>
      </c>
      <c r="G47" s="112" t="n">
        <f aca="false">G9+G44</f>
        <v>70332</v>
      </c>
      <c r="H47" s="181" t="n">
        <f aca="false">H9+H44</f>
        <v>1045.07</v>
      </c>
      <c r="I47" s="112" t="n">
        <f aca="false">I9+I44</f>
        <v>71377.07</v>
      </c>
      <c r="J47" s="112" t="n">
        <f aca="false">J9+J44</f>
        <v>5612.50102092261</v>
      </c>
      <c r="K47" s="112" t="n">
        <f aca="false">K9+K44</f>
        <v>76989.5710209226</v>
      </c>
      <c r="L47" s="112" t="n">
        <f aca="false">L9+L44</f>
        <v>1623.94479707588</v>
      </c>
      <c r="M47" s="165" t="n">
        <f aca="false">M9+M44</f>
        <v>21182.38</v>
      </c>
      <c r="N47" s="112" t="n">
        <f aca="false">N9+N44</f>
        <v>35.19</v>
      </c>
      <c r="O47" s="112" t="n">
        <f aca="false">O9+O44</f>
        <v>3705.025025</v>
      </c>
      <c r="P47" s="166" t="n">
        <f aca="false">P9+P44</f>
        <v>17441.812475</v>
      </c>
      <c r="Q47" s="112" t="n">
        <f aca="false">Q9+Q44</f>
        <v>15257.8</v>
      </c>
      <c r="R47" s="112" t="n">
        <f aca="false">R9+R44</f>
        <v>6077.8</v>
      </c>
      <c r="S47" s="112" t="n">
        <f aca="false">S9+S44</f>
        <v>38709.412475</v>
      </c>
      <c r="T47" s="112" t="n">
        <f aca="false">T42</f>
        <v>8973.71063285034</v>
      </c>
      <c r="U47" s="112" t="n">
        <f aca="false">U9+U44</f>
        <v>11047.1</v>
      </c>
      <c r="V47" s="112" t="n">
        <f aca="false">V9+V44</f>
        <v>3092</v>
      </c>
      <c r="W47" s="112" t="n">
        <f aca="false">W42</f>
        <v>5149.49231157046</v>
      </c>
      <c r="X47" s="112" t="n">
        <f aca="false">X9+X44</f>
        <v>56587.1</v>
      </c>
      <c r="Y47" s="112" t="n">
        <f aca="false">Y9+Y44</f>
        <v>3988.55622384674</v>
      </c>
      <c r="Z47" s="112" t="n">
        <f aca="false">Z9+Z44</f>
        <v>60575.6562238467</v>
      </c>
      <c r="AA47" s="350"/>
      <c r="AB47" s="117" t="n">
        <f aca="false">MIN(AB12:AB42)</f>
        <v>84</v>
      </c>
      <c r="AC47" s="167" t="n">
        <f aca="false">MIN(AC12:AC42)</f>
        <v>51</v>
      </c>
      <c r="AD47" s="118" t="s">
        <v>59</v>
      </c>
      <c r="AE47" s="352"/>
      <c r="AF47" s="360" t="n">
        <f aca="false">AF9+AF44</f>
        <v>1073.24559107882</v>
      </c>
      <c r="AG47" s="359" t="n">
        <f aca="false">AG9+AG44</f>
        <v>530.93</v>
      </c>
    </row>
    <row r="48" customFormat="false" ht="11.1" hidden="false" customHeight="true" outlineLevel="0" collapsed="false">
      <c r="A48" s="111" t="s">
        <v>60</v>
      </c>
      <c r="B48" s="163"/>
      <c r="C48" s="112"/>
      <c r="D48" s="112"/>
      <c r="E48" s="112"/>
      <c r="F48" s="164" t="n">
        <f aca="false">F47*$D$2</f>
        <v>32557</v>
      </c>
      <c r="G48" s="112" t="n">
        <f aca="false">G47*$D$2</f>
        <v>139503.522</v>
      </c>
      <c r="H48" s="181" t="n">
        <f aca="false">H47*$D$2</f>
        <v>2072.896345</v>
      </c>
      <c r="I48" s="112" t="n">
        <f aca="false">I47*$D$2</f>
        <v>141576.418345</v>
      </c>
      <c r="J48" s="112" t="n">
        <f aca="false">J47*$D$2</f>
        <v>11132.395775</v>
      </c>
      <c r="K48" s="112" t="n">
        <f aca="false">K47*$D$2</f>
        <v>152708.81412</v>
      </c>
      <c r="L48" s="112" t="n">
        <f aca="false">L47*$D$2</f>
        <v>3221.094505</v>
      </c>
      <c r="M48" s="165" t="n">
        <f aca="false">M47*$D$2</f>
        <v>42015.25073</v>
      </c>
      <c r="N48" s="112" t="n">
        <f aca="false">N47*$D$2</f>
        <v>69.799365</v>
      </c>
      <c r="O48" s="112" t="n">
        <f aca="false">O47*$D$2</f>
        <v>7348.9171370875</v>
      </c>
      <c r="P48" s="166" t="n">
        <f aca="false">P47*$D$2</f>
        <v>34595.8350441625</v>
      </c>
      <c r="Q48" s="112" t="n">
        <f aca="false">Q47*$D$2</f>
        <v>30263.8463</v>
      </c>
      <c r="R48" s="112" t="n">
        <f aca="false">R47*$D$2</f>
        <v>12055.3163</v>
      </c>
      <c r="S48" s="112" t="n">
        <f aca="false">S47*$D$2</f>
        <v>76780.1196441625</v>
      </c>
      <c r="T48" s="112" t="n">
        <f aca="false">T47*$D$2</f>
        <v>17799.3550402587</v>
      </c>
      <c r="U48" s="112" t="n">
        <f aca="false">U47*$D$2</f>
        <v>21911.92285</v>
      </c>
      <c r="V48" s="112" t="n">
        <f aca="false">V47*$D$2</f>
        <v>6132.982</v>
      </c>
      <c r="W48" s="112" t="n">
        <f aca="false">W47*$D$2</f>
        <v>10214.018</v>
      </c>
      <c r="X48" s="112" t="n">
        <f aca="false">X47*$D$2</f>
        <v>112240.51285</v>
      </c>
      <c r="Y48" s="112" t="n">
        <f aca="false">Y47*$D$2</f>
        <v>7911.30127000001</v>
      </c>
      <c r="Z48" s="112" t="n">
        <f aca="false">Z47*$D$2</f>
        <v>120151.81412</v>
      </c>
      <c r="AA48" s="350"/>
      <c r="AB48" s="117"/>
      <c r="AC48" s="167"/>
      <c r="AD48" s="118"/>
      <c r="AE48" s="352"/>
      <c r="AF48" s="361" t="n">
        <f aca="false">AF47*$D$2</f>
        <v>2128.78262990483</v>
      </c>
      <c r="AG48" s="359" t="n">
        <f aca="false">AG47*$D$2</f>
        <v>1053.099655</v>
      </c>
    </row>
    <row r="49" customFormat="false" ht="3" hidden="false" customHeight="true" outlineLevel="0" collapsed="false">
      <c r="A49" s="169"/>
      <c r="B49" s="185"/>
      <c r="C49" s="171"/>
      <c r="D49" s="171"/>
      <c r="E49" s="171"/>
      <c r="F49" s="186"/>
      <c r="G49" s="171"/>
      <c r="H49" s="229"/>
      <c r="I49" s="171"/>
      <c r="J49" s="171"/>
      <c r="K49" s="171"/>
      <c r="L49" s="171"/>
      <c r="M49" s="187"/>
      <c r="N49" s="171"/>
      <c r="O49" s="171"/>
      <c r="P49" s="188"/>
      <c r="Q49" s="171"/>
      <c r="R49" s="171"/>
      <c r="S49" s="171"/>
      <c r="T49" s="171"/>
      <c r="U49" s="171"/>
      <c r="V49" s="171"/>
      <c r="W49" s="171"/>
      <c r="X49" s="171"/>
      <c r="Y49" s="171"/>
      <c r="Z49" s="171"/>
      <c r="AA49" s="355"/>
      <c r="AB49" s="171"/>
      <c r="AC49" s="186"/>
      <c r="AD49" s="171"/>
      <c r="AE49" s="229"/>
      <c r="AF49" s="357"/>
      <c r="AG49" s="226"/>
    </row>
    <row r="50" customFormat="false" ht="11.1" hidden="false" customHeight="true" outlineLevel="0" collapsed="false">
      <c r="A50" s="111" t="s">
        <v>61</v>
      </c>
      <c r="B50" s="163"/>
      <c r="C50" s="112"/>
      <c r="D50" s="112"/>
      <c r="E50" s="112"/>
      <c r="F50" s="164" t="n">
        <f aca="false">F10+F44</f>
        <v>24691.2024199647</v>
      </c>
      <c r="G50" s="112" t="n">
        <f aca="false">G10+G44</f>
        <v>77886</v>
      </c>
      <c r="H50" s="181" t="n">
        <f aca="false">H10+H44</f>
        <v>1327.81</v>
      </c>
      <c r="I50" s="112" t="n">
        <f aca="false">I10+I44</f>
        <v>79213.81</v>
      </c>
      <c r="J50" s="112" t="n">
        <f aca="false">J10+J44</f>
        <v>10091.2547920343</v>
      </c>
      <c r="K50" s="112" t="n">
        <f aca="false">K10+K44</f>
        <v>89305.0647920343</v>
      </c>
      <c r="L50" s="112" t="n">
        <f aca="false">L10+L44</f>
        <v>5468.1824199647</v>
      </c>
      <c r="M50" s="165" t="n">
        <f aca="false">M10+M44</f>
        <v>22139.2</v>
      </c>
      <c r="N50" s="112" t="n">
        <f aca="false">N10+N44</f>
        <v>35.19</v>
      </c>
      <c r="O50" s="112" t="n">
        <f aca="false">O10+O44</f>
        <v>3705.025025</v>
      </c>
      <c r="P50" s="166" t="n">
        <f aca="false">P10+P44</f>
        <v>18398.984975</v>
      </c>
      <c r="Q50" s="112" t="n">
        <f aca="false">Q10+Q44</f>
        <v>15319.8</v>
      </c>
      <c r="R50" s="112" t="n">
        <f aca="false">R10+R44</f>
        <v>6128.8</v>
      </c>
      <c r="S50" s="112" t="n">
        <f aca="false">S10+S44</f>
        <v>39847.584975</v>
      </c>
      <c r="T50" s="112"/>
      <c r="U50" s="112" t="n">
        <f aca="false">U10+U44</f>
        <v>11047.1</v>
      </c>
      <c r="V50" s="112" t="n">
        <f aca="false">V10+V44</f>
        <v>5355.89</v>
      </c>
      <c r="W50" s="112" t="n">
        <f aca="false">W42</f>
        <v>5149.49231157046</v>
      </c>
      <c r="X50" s="112" t="n">
        <f aca="false">X10+X44</f>
        <v>59990.79</v>
      </c>
      <c r="Y50" s="112" t="n">
        <f aca="false">Y10+Y44</f>
        <v>4623.07237206957</v>
      </c>
      <c r="Z50" s="112" t="n">
        <f aca="false">Z10+Z44</f>
        <v>64613.8623720696</v>
      </c>
      <c r="AA50" s="350" t="n">
        <f aca="false">AA10+AA44</f>
        <v>8.33</v>
      </c>
      <c r="AB50" s="117"/>
      <c r="AC50" s="167"/>
      <c r="AD50" s="118"/>
      <c r="AE50" s="352"/>
      <c r="AF50" s="360" t="n">
        <f aca="false">AF10+AF44</f>
        <v>1073.24559107882</v>
      </c>
      <c r="AG50" s="359"/>
    </row>
    <row r="51" customFormat="false" ht="11.1" hidden="false" customHeight="true" outlineLevel="0" collapsed="false">
      <c r="A51" s="111" t="s">
        <v>62</v>
      </c>
      <c r="B51" s="163"/>
      <c r="C51" s="112"/>
      <c r="D51" s="112" t="n">
        <f aca="false">D10+D45</f>
        <v>48975</v>
      </c>
      <c r="E51" s="112" t="n">
        <f aca="false">E42</f>
        <v>53542</v>
      </c>
      <c r="F51" s="164" t="n">
        <f aca="false">F50*$D$2</f>
        <v>48975</v>
      </c>
      <c r="G51" s="112" t="n">
        <f aca="false">G50*$D$2</f>
        <v>154486.881</v>
      </c>
      <c r="H51" s="181" t="n">
        <f aca="false">H50*$D$2</f>
        <v>2633.711135</v>
      </c>
      <c r="I51" s="112" t="n">
        <f aca="false">I50*$D$2</f>
        <v>157120.592135</v>
      </c>
      <c r="J51" s="112" t="n">
        <f aca="false">J50*$D$2</f>
        <v>20016.00388</v>
      </c>
      <c r="K51" s="112" t="n">
        <f aca="false">K50*$D$2</f>
        <v>177136.596015</v>
      </c>
      <c r="L51" s="112" t="n">
        <f aca="false">L50*$D$2</f>
        <v>10846.13983</v>
      </c>
      <c r="M51" s="165" t="n">
        <f aca="false">M50*$D$2</f>
        <v>43913.1032</v>
      </c>
      <c r="N51" s="112" t="n">
        <f aca="false">N50*$D$2</f>
        <v>69.799365</v>
      </c>
      <c r="O51" s="112" t="n">
        <f aca="false">O50*$D$2</f>
        <v>7348.9171370875</v>
      </c>
      <c r="P51" s="166" t="n">
        <f aca="false">P50*$D$2</f>
        <v>36494.3866979125</v>
      </c>
      <c r="Q51" s="112" t="n">
        <f aca="false">Q50*$D$2</f>
        <v>30386.8233</v>
      </c>
      <c r="R51" s="112" t="n">
        <f aca="false">R50*$D$2</f>
        <v>12156.4748</v>
      </c>
      <c r="S51" s="112" t="n">
        <f aca="false">S50*$D$2</f>
        <v>79037.6847979125</v>
      </c>
      <c r="T51" s="112"/>
      <c r="U51" s="112" t="n">
        <f aca="false">U50*$D$2</f>
        <v>21911.92285</v>
      </c>
      <c r="V51" s="112" t="n">
        <f aca="false">V50*$D$2</f>
        <v>10623.407815</v>
      </c>
      <c r="W51" s="112" t="n">
        <f aca="false">W42*$D$2</f>
        <v>10214.018</v>
      </c>
      <c r="X51" s="112" t="n">
        <f aca="false">X50*$D$2</f>
        <v>118991.731965</v>
      </c>
      <c r="Y51" s="112" t="n">
        <f aca="false">Y50*$D$2</f>
        <v>9169.86404999999</v>
      </c>
      <c r="Z51" s="112" t="n">
        <f aca="false">Z50*$D$2</f>
        <v>128161.596015</v>
      </c>
      <c r="AA51" s="350"/>
      <c r="AB51" s="117"/>
      <c r="AC51" s="167"/>
      <c r="AD51" s="118"/>
      <c r="AE51" s="352"/>
      <c r="AF51" s="361" t="n">
        <f aca="false">AF50*$D$2</f>
        <v>2128.78262990483</v>
      </c>
      <c r="AG51" s="359"/>
    </row>
    <row r="52" customFormat="false" ht="3" hidden="false" customHeight="true" outlineLevel="0" collapsed="false">
      <c r="A52" s="169"/>
      <c r="B52" s="185"/>
      <c r="C52" s="171"/>
      <c r="D52" s="169"/>
      <c r="E52" s="171"/>
      <c r="F52" s="172"/>
      <c r="G52" s="169"/>
      <c r="H52" s="229"/>
      <c r="I52" s="169"/>
      <c r="J52" s="169"/>
      <c r="K52" s="169"/>
      <c r="L52" s="169"/>
      <c r="M52" s="174"/>
      <c r="N52" s="169"/>
      <c r="O52" s="169"/>
      <c r="P52" s="175"/>
      <c r="Q52" s="169"/>
      <c r="R52" s="169"/>
      <c r="S52" s="169"/>
      <c r="T52" s="171"/>
      <c r="U52" s="169"/>
      <c r="V52" s="169"/>
      <c r="W52" s="171"/>
      <c r="X52" s="169"/>
      <c r="Y52" s="169"/>
      <c r="Z52" s="169"/>
      <c r="AA52" s="185"/>
      <c r="AB52" s="169"/>
      <c r="AC52" s="172"/>
      <c r="AD52" s="169"/>
      <c r="AE52" s="229"/>
      <c r="AF52" s="362"/>
      <c r="AG52" s="226"/>
    </row>
    <row r="53" customFormat="false" ht="11.1" hidden="false" customHeight="true" outlineLevel="0" collapsed="false">
      <c r="A53" s="111"/>
      <c r="B53" s="100"/>
      <c r="C53" s="7"/>
      <c r="D53" s="6"/>
      <c r="E53" s="7"/>
      <c r="F53" s="0"/>
      <c r="G53" s="0"/>
      <c r="H53" s="87"/>
      <c r="I53" s="6"/>
      <c r="J53" s="6"/>
      <c r="K53" s="332"/>
      <c r="L53" s="112"/>
      <c r="M53" s="6"/>
      <c r="N53" s="6"/>
      <c r="O53" s="6"/>
      <c r="P53" s="6"/>
      <c r="Q53" s="6"/>
      <c r="R53" s="6"/>
      <c r="S53" s="6"/>
      <c r="T53" s="333"/>
      <c r="U53" s="6"/>
      <c r="V53" s="6"/>
      <c r="W53" s="7"/>
      <c r="X53" s="7"/>
      <c r="Y53" s="111"/>
      <c r="Z53" s="111"/>
      <c r="AA53" s="115"/>
      <c r="AB53" s="117"/>
      <c r="AC53" s="117"/>
      <c r="AD53" s="118"/>
      <c r="AE53" s="214"/>
    </row>
    <row r="54" customFormat="false" ht="11.1" hidden="false" customHeight="true" outlineLevel="0" collapsed="false">
      <c r="A54" s="111"/>
      <c r="B54" s="100"/>
      <c r="C54" s="7"/>
      <c r="D54" s="101"/>
      <c r="E54" s="307"/>
      <c r="F54" s="334"/>
      <c r="G54" s="0"/>
      <c r="H54" s="87"/>
      <c r="I54" s="8"/>
      <c r="J54" s="6"/>
      <c r="K54" s="102"/>
      <c r="L54" s="181"/>
      <c r="M54" s="6"/>
      <c r="N54" s="6"/>
      <c r="O54" s="6"/>
      <c r="P54" s="89"/>
      <c r="Q54" s="335"/>
      <c r="R54" s="89"/>
      <c r="S54" s="67"/>
      <c r="T54" s="112"/>
      <c r="U54" s="333"/>
      <c r="V54" s="6"/>
      <c r="W54" s="7"/>
      <c r="X54" s="7"/>
      <c r="Y54" s="111"/>
      <c r="Z54" s="115"/>
      <c r="AA54" s="117"/>
      <c r="AB54" s="117"/>
      <c r="AC54" s="118"/>
      <c r="AD54" s="197"/>
      <c r="AE54" s="214"/>
    </row>
    <row r="55" customFormat="false" ht="11.1" hidden="false" customHeight="true" outlineLevel="0" collapsed="false">
      <c r="A55" s="183"/>
      <c r="B55" s="112"/>
      <c r="E55" s="307"/>
      <c r="F55" s="308"/>
      <c r="G55" s="0"/>
      <c r="H55" s="87"/>
      <c r="I55" s="101"/>
      <c r="J55" s="101"/>
      <c r="K55" s="336"/>
      <c r="L55" s="112"/>
      <c r="M55" s="87"/>
      <c r="N55" s="87"/>
      <c r="O55" s="307"/>
      <c r="P55" s="92"/>
      <c r="Q55" s="335"/>
      <c r="R55" s="89"/>
      <c r="S55" s="67"/>
      <c r="T55" s="112"/>
      <c r="U55" s="112"/>
      <c r="V55" s="7"/>
      <c r="W55" s="335"/>
      <c r="X55" s="335"/>
      <c r="Y55" s="183"/>
      <c r="Z55" s="115"/>
      <c r="AA55" s="117"/>
      <c r="AB55" s="117"/>
      <c r="AC55" s="118"/>
      <c r="AD55" s="213"/>
      <c r="AE55" s="214"/>
    </row>
    <row r="56" customFormat="false" ht="11.1" hidden="false" customHeight="true" outlineLevel="0" collapsed="false">
      <c r="A56" s="183"/>
      <c r="B56" s="183"/>
      <c r="C56" s="112"/>
      <c r="D56" s="112"/>
      <c r="E56" s="307"/>
      <c r="F56" s="0"/>
      <c r="G56" s="0"/>
      <c r="H56" s="181"/>
      <c r="I56" s="0"/>
      <c r="J56" s="101"/>
      <c r="K56" s="336"/>
      <c r="L56" s="117"/>
      <c r="M56" s="87"/>
      <c r="N56" s="87"/>
      <c r="O56" s="117"/>
      <c r="P56" s="92"/>
      <c r="Q56" s="92"/>
      <c r="R56" s="92"/>
      <c r="S56" s="67"/>
      <c r="T56" s="117"/>
      <c r="U56" s="112"/>
      <c r="V56" s="7"/>
      <c r="W56" s="112"/>
      <c r="X56" s="112"/>
      <c r="Y56" s="183"/>
      <c r="Z56" s="228"/>
      <c r="AA56" s="117"/>
      <c r="AB56" s="117"/>
      <c r="AC56" s="118"/>
      <c r="AD56" s="213"/>
      <c r="AE56" s="214"/>
    </row>
    <row r="57" customFormat="false" ht="11.1" hidden="false" customHeight="true" outlineLevel="0" collapsed="false">
      <c r="A57" s="183"/>
      <c r="B57" s="183"/>
      <c r="C57" s="112"/>
      <c r="D57" s="183"/>
      <c r="E57" s="112"/>
      <c r="F57" s="183"/>
      <c r="G57" s="194"/>
      <c r="H57" s="181"/>
      <c r="I57" s="183"/>
      <c r="J57" s="183"/>
      <c r="K57" s="183"/>
      <c r="L57" s="183"/>
      <c r="M57" s="181"/>
      <c r="N57" s="181"/>
      <c r="O57" s="181"/>
      <c r="P57" s="183"/>
      <c r="Q57" s="183"/>
      <c r="R57" s="183"/>
      <c r="S57" s="112"/>
      <c r="T57" s="183"/>
      <c r="U57" s="183"/>
      <c r="V57" s="112"/>
      <c r="W57" s="183"/>
      <c r="X57" s="183"/>
      <c r="Y57" s="183"/>
      <c r="Z57" s="115"/>
      <c r="AA57" s="117"/>
      <c r="AB57" s="117"/>
      <c r="AC57" s="118"/>
      <c r="AD57" s="213"/>
      <c r="AE57" s="214"/>
    </row>
  </sheetData>
  <mergeCells count="2">
    <mergeCell ref="K2:V2"/>
    <mergeCell ref="M5:P5"/>
  </mergeCells>
  <printOptions headings="true" gridLines="true" gridLinesSet="true" horizontalCentered="true" verticalCentered="false"/>
  <pageMargins left="0" right="0" top="0" bottom="0" header="0.511811023622047" footer="0.511811023622047"/>
  <pageSetup paperSize="5"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W60"/>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pane xSplit="1" ySplit="11" topLeftCell="B15" activePane="bottomRight" state="frozen"/>
      <selection pane="topLeft" activeCell="A1" activeCellId="0" sqref="A1"/>
      <selection pane="topRight" activeCell="B1" activeCellId="0" sqref="B1"/>
      <selection pane="bottomLeft" activeCell="A15" activeCellId="0" sqref="A15"/>
      <selection pane="bottomRight" activeCell="C22" activeCellId="1" sqref="AA13:AA42 C22"/>
    </sheetView>
  </sheetViews>
  <sheetFormatPr defaultColWidth="9.3359375" defaultRowHeight="11.1" zeroHeight="false" outlineLevelRow="0" outlineLevelCol="0"/>
  <cols>
    <col collapsed="false" customWidth="true" hidden="false" outlineLevel="0" max="1" min="1" style="104" width="4.67"/>
    <col collapsed="false" customWidth="true" hidden="false" outlineLevel="0" max="2" min="2" style="104" width="6.99"/>
    <col collapsed="false" customWidth="true" hidden="false" outlineLevel="0" max="3" min="3" style="105" width="6.32"/>
    <col collapsed="false" customWidth="true" hidden="false" outlineLevel="0" max="4" min="4" style="104" width="6.99"/>
    <col collapsed="false" customWidth="true" hidden="false" outlineLevel="0" max="5" min="5" style="105" width="7.66"/>
    <col collapsed="false" customWidth="true" hidden="false" outlineLevel="0" max="6" min="6" style="104" width="7.16"/>
    <col collapsed="false" customWidth="true" hidden="false" outlineLevel="0" max="7" min="7" style="104" width="6.82"/>
    <col collapsed="false" customWidth="true" hidden="false" outlineLevel="0" max="8" min="8" style="363" width="5.67"/>
    <col collapsed="false" customWidth="true" hidden="false" outlineLevel="0" max="9" min="9" style="104" width="7.16"/>
    <col collapsed="false" customWidth="true" hidden="false" outlineLevel="0" max="10" min="10" style="104" width="6.66"/>
    <col collapsed="false" customWidth="true" hidden="false" outlineLevel="0" max="12" min="11" style="104" width="7.16"/>
    <col collapsed="false" customWidth="true" hidden="false" outlineLevel="0" max="13" min="13" style="107" width="6.16"/>
    <col collapsed="false" customWidth="true" hidden="false" outlineLevel="0" max="14" min="14" style="107" width="5.99"/>
    <col collapsed="false" customWidth="true" hidden="false" outlineLevel="0" max="15" min="15" style="107" width="6.49"/>
    <col collapsed="false" customWidth="true" hidden="false" outlineLevel="0" max="16" min="16" style="104" width="4.32"/>
    <col collapsed="false" customWidth="true" hidden="false" outlineLevel="0" max="18" min="17" style="104" width="4.82"/>
    <col collapsed="false" customWidth="true" hidden="false" outlineLevel="0" max="19" min="19" style="104" width="5.49"/>
    <col collapsed="false" customWidth="true" hidden="false" outlineLevel="0" max="20" min="20" style="105" width="5.49"/>
    <col collapsed="false" customWidth="true" hidden="false" outlineLevel="0" max="21" min="21" style="104" width="5.82"/>
    <col collapsed="false" customWidth="true" hidden="false" outlineLevel="0" max="22" min="22" style="104" width="5.67"/>
    <col collapsed="false" customWidth="true" hidden="false" outlineLevel="0" max="23" min="23" style="105" width="5.67"/>
    <col collapsed="false" customWidth="true" hidden="false" outlineLevel="0" max="24" min="24" style="104" width="5.67"/>
    <col collapsed="false" customWidth="true" hidden="false" outlineLevel="0" max="26" min="25" style="104" width="6.16"/>
    <col collapsed="false" customWidth="true" hidden="false" outlineLevel="0" max="27" min="27" style="108" width="7.16"/>
    <col collapsed="false" customWidth="true" hidden="false" outlineLevel="0" max="28" min="28" style="106" width="7.32"/>
    <col collapsed="false" customWidth="true" hidden="false" outlineLevel="0" max="29" min="29" style="109" width="7.82"/>
    <col collapsed="false" customWidth="true" hidden="false" outlineLevel="0" max="30" min="30" style="110" width="5.32"/>
    <col collapsed="false" customWidth="true" hidden="false" outlineLevel="0" max="32" min="31" style="104" width="3.82"/>
    <col collapsed="false" customWidth="true" hidden="false" outlineLevel="0" max="33" min="33" style="108" width="5.99"/>
    <col collapsed="false" customWidth="true" hidden="false" outlineLevel="0" max="34" min="34" style="231" width="6.66"/>
    <col collapsed="false" customWidth="true" hidden="false" outlineLevel="0" max="35" min="35" style="104" width="6.82"/>
    <col collapsed="false" customWidth="true" hidden="false" outlineLevel="0" max="36" min="36" style="364" width="6.32"/>
    <col collapsed="false" customWidth="false" hidden="false" outlineLevel="0" max="257" min="37" style="104" width="9.32"/>
  </cols>
  <sheetData>
    <row r="1" customFormat="false" ht="14.1" hidden="false" customHeight="true" outlineLevel="0" collapsed="false">
      <c r="A1" s="111"/>
      <c r="B1" s="111"/>
      <c r="C1" s="112"/>
      <c r="D1" s="111"/>
      <c r="E1" s="112"/>
      <c r="F1" s="111"/>
      <c r="G1" s="111"/>
      <c r="H1" s="113"/>
      <c r="I1" s="111"/>
      <c r="J1" s="111"/>
      <c r="K1" s="114" t="s">
        <v>0</v>
      </c>
      <c r="L1" s="111"/>
      <c r="M1" s="111"/>
      <c r="N1" s="111"/>
      <c r="O1" s="111"/>
      <c r="P1" s="115"/>
      <c r="Q1" s="115"/>
      <c r="R1" s="115"/>
      <c r="S1" s="111"/>
      <c r="T1" s="111"/>
      <c r="U1" s="112"/>
      <c r="V1" s="111"/>
      <c r="W1" s="111"/>
      <c r="X1" s="111"/>
      <c r="Y1" s="112"/>
      <c r="Z1" s="111"/>
      <c r="AA1" s="111"/>
      <c r="AB1" s="111"/>
      <c r="AC1" s="115"/>
      <c r="AD1" s="116"/>
      <c r="AE1" s="117"/>
      <c r="AF1" s="118"/>
      <c r="AG1" s="197"/>
      <c r="AH1" s="203"/>
      <c r="AI1" s="108"/>
      <c r="AJ1" s="361"/>
    </row>
    <row r="2" customFormat="false" ht="14.1" hidden="false" customHeight="true" outlineLevel="0" collapsed="false">
      <c r="A2" s="111" t="s">
        <v>1</v>
      </c>
      <c r="B2" s="111"/>
      <c r="C2" s="112"/>
      <c r="D2" s="119" t="n">
        <v>1.9835</v>
      </c>
      <c r="E2" s="112"/>
      <c r="F2" s="111"/>
      <c r="G2" s="111"/>
      <c r="H2" s="113"/>
      <c r="I2" s="111"/>
      <c r="J2" s="111"/>
      <c r="K2" s="120" t="s">
        <v>96</v>
      </c>
      <c r="L2" s="120"/>
      <c r="M2" s="120"/>
      <c r="N2" s="120"/>
      <c r="O2" s="120"/>
      <c r="P2" s="120"/>
      <c r="Q2" s="120"/>
      <c r="R2" s="120"/>
      <c r="S2" s="120"/>
      <c r="T2" s="120"/>
      <c r="U2" s="120"/>
      <c r="V2" s="153" t="s">
        <v>71</v>
      </c>
      <c r="W2" s="153"/>
      <c r="X2" s="111"/>
      <c r="Y2" s="112"/>
      <c r="Z2" s="111"/>
      <c r="AA2" s="111"/>
      <c r="AB2" s="111"/>
      <c r="AC2" s="115"/>
      <c r="AD2" s="116"/>
      <c r="AE2" s="117"/>
      <c r="AF2" s="118"/>
      <c r="AG2" s="197"/>
      <c r="AH2" s="203"/>
      <c r="AI2" s="108"/>
      <c r="AJ2" s="361"/>
    </row>
    <row r="3" customFormat="false" ht="14.1" hidden="false" customHeight="true" outlineLevel="0" collapsed="false">
      <c r="A3" s="121"/>
      <c r="B3" s="121"/>
      <c r="C3" s="122"/>
      <c r="D3" s="123"/>
      <c r="E3" s="122"/>
      <c r="F3" s="121"/>
      <c r="G3" s="121"/>
      <c r="H3" s="124"/>
      <c r="I3" s="121"/>
      <c r="J3" s="121"/>
      <c r="K3" s="121"/>
      <c r="L3" s="121"/>
      <c r="M3" s="121"/>
      <c r="N3" s="121"/>
      <c r="O3" s="121"/>
      <c r="P3" s="125"/>
      <c r="Q3" s="125"/>
      <c r="R3" s="125"/>
      <c r="S3" s="121"/>
      <c r="T3" s="121"/>
      <c r="U3" s="122"/>
      <c r="V3" s="121"/>
      <c r="W3" s="121"/>
      <c r="X3" s="121"/>
      <c r="Y3" s="122"/>
      <c r="Z3" s="121"/>
      <c r="AA3" s="121"/>
      <c r="AB3" s="121"/>
      <c r="AC3" s="125"/>
      <c r="AD3" s="126"/>
      <c r="AE3" s="127"/>
      <c r="AF3" s="128"/>
      <c r="AG3" s="199"/>
      <c r="AH3" s="365"/>
      <c r="AI3" s="366"/>
      <c r="AJ3" s="367"/>
    </row>
    <row r="4" customFormat="false" ht="14.1" hidden="false" customHeight="true" outlineLevel="0" collapsed="false">
      <c r="A4" s="111"/>
      <c r="B4" s="130"/>
      <c r="C4" s="131"/>
      <c r="D4" s="200" t="s">
        <v>3</v>
      </c>
      <c r="E4" s="131"/>
      <c r="F4" s="133"/>
      <c r="G4" s="111"/>
      <c r="H4" s="113"/>
      <c r="I4" s="111"/>
      <c r="J4" s="111"/>
      <c r="K4" s="111"/>
      <c r="L4" s="111"/>
      <c r="M4" s="111"/>
      <c r="N4" s="111"/>
      <c r="O4" s="111"/>
      <c r="P4" s="115"/>
      <c r="Q4" s="115"/>
      <c r="R4" s="115"/>
      <c r="S4" s="134" t="s">
        <v>4</v>
      </c>
      <c r="T4" s="111"/>
      <c r="U4" s="112"/>
      <c r="V4" s="111"/>
      <c r="W4" s="111"/>
      <c r="X4" s="111"/>
      <c r="Y4" s="112"/>
      <c r="Z4" s="111"/>
      <c r="AA4" s="111"/>
      <c r="AB4" s="111"/>
      <c r="AC4" s="115"/>
      <c r="AD4" s="135"/>
      <c r="AE4" s="136" t="s">
        <v>5</v>
      </c>
      <c r="AF4" s="137"/>
      <c r="AG4" s="197"/>
      <c r="AH4" s="203"/>
      <c r="AI4" s="368" t="s">
        <v>93</v>
      </c>
      <c r="AJ4" s="361"/>
    </row>
    <row r="5" customFormat="false" ht="11.1" hidden="false" customHeight="true" outlineLevel="0" collapsed="false">
      <c r="A5" s="138" t="s">
        <v>6</v>
      </c>
      <c r="B5" s="139" t="s">
        <v>7</v>
      </c>
      <c r="C5" s="140" t="s">
        <v>7</v>
      </c>
      <c r="D5" s="138" t="s">
        <v>8</v>
      </c>
      <c r="E5" s="140" t="s">
        <v>9</v>
      </c>
      <c r="F5" s="141" t="s">
        <v>10</v>
      </c>
      <c r="G5" s="138" t="s">
        <v>11</v>
      </c>
      <c r="H5" s="142" t="s">
        <v>12</v>
      </c>
      <c r="I5" s="138" t="s">
        <v>97</v>
      </c>
      <c r="J5" s="138" t="s">
        <v>14</v>
      </c>
      <c r="K5" s="138" t="s">
        <v>15</v>
      </c>
      <c r="L5" s="138" t="s">
        <v>14</v>
      </c>
      <c r="M5" s="143" t="s">
        <v>16</v>
      </c>
      <c r="N5" s="143"/>
      <c r="O5" s="143"/>
      <c r="P5" s="143"/>
      <c r="Q5" s="143"/>
      <c r="R5" s="143"/>
      <c r="S5" s="138" t="s">
        <v>17</v>
      </c>
      <c r="T5" s="138" t="s">
        <v>18</v>
      </c>
      <c r="U5" s="138" t="s">
        <v>15</v>
      </c>
      <c r="V5" s="156" t="s">
        <v>19</v>
      </c>
      <c r="W5" s="156" t="s">
        <v>19</v>
      </c>
      <c r="X5" s="138" t="s">
        <v>20</v>
      </c>
      <c r="Y5" s="138" t="s">
        <v>21</v>
      </c>
      <c r="Z5" s="140" t="s">
        <v>98</v>
      </c>
      <c r="AA5" s="138" t="s">
        <v>97</v>
      </c>
      <c r="AB5" s="138" t="s">
        <v>14</v>
      </c>
      <c r="AC5" s="138" t="s">
        <v>15</v>
      </c>
      <c r="AD5" s="144" t="s">
        <v>23</v>
      </c>
      <c r="AE5" s="145" t="s">
        <v>24</v>
      </c>
      <c r="AF5" s="146" t="s">
        <v>25</v>
      </c>
      <c r="AG5" s="145" t="s">
        <v>64</v>
      </c>
      <c r="AH5" s="203" t="s">
        <v>19</v>
      </c>
      <c r="AI5" s="294" t="s">
        <v>19</v>
      </c>
      <c r="AJ5" s="271" t="s">
        <v>99</v>
      </c>
    </row>
    <row r="6" customFormat="false" ht="11.1" hidden="false" customHeight="true" outlineLevel="0" collapsed="false">
      <c r="A6" s="148" t="s">
        <v>100</v>
      </c>
      <c r="B6" s="139" t="s">
        <v>28</v>
      </c>
      <c r="C6" s="140" t="s">
        <v>8</v>
      </c>
      <c r="D6" s="138" t="s">
        <v>29</v>
      </c>
      <c r="E6" s="140" t="s">
        <v>30</v>
      </c>
      <c r="F6" s="141" t="s">
        <v>31</v>
      </c>
      <c r="G6" s="138" t="s">
        <v>32</v>
      </c>
      <c r="H6" s="142" t="s">
        <v>101</v>
      </c>
      <c r="I6" s="138" t="s">
        <v>34</v>
      </c>
      <c r="J6" s="138" t="s">
        <v>34</v>
      </c>
      <c r="K6" s="138" t="s">
        <v>34</v>
      </c>
      <c r="L6" s="138" t="s">
        <v>35</v>
      </c>
      <c r="M6" s="149" t="s">
        <v>36</v>
      </c>
      <c r="N6" s="138" t="s">
        <v>37</v>
      </c>
      <c r="O6" s="138" t="s">
        <v>38</v>
      </c>
      <c r="P6" s="369" t="s">
        <v>102</v>
      </c>
      <c r="Q6" s="369" t="s">
        <v>103</v>
      </c>
      <c r="R6" s="218" t="s">
        <v>103</v>
      </c>
      <c r="S6" s="138" t="s">
        <v>40</v>
      </c>
      <c r="T6" s="138" t="s">
        <v>41</v>
      </c>
      <c r="U6" s="138" t="s">
        <v>19</v>
      </c>
      <c r="V6" s="156" t="s">
        <v>80</v>
      </c>
      <c r="W6" s="156" t="s">
        <v>104</v>
      </c>
      <c r="X6" s="138" t="s">
        <v>43</v>
      </c>
      <c r="Y6" s="138" t="s">
        <v>44</v>
      </c>
      <c r="Z6" s="140" t="s">
        <v>105</v>
      </c>
      <c r="AA6" s="138" t="s">
        <v>46</v>
      </c>
      <c r="AB6" s="138" t="s">
        <v>46</v>
      </c>
      <c r="AC6" s="138" t="s">
        <v>46</v>
      </c>
      <c r="AD6" s="151"/>
      <c r="AE6" s="145" t="s">
        <v>47</v>
      </c>
      <c r="AF6" s="146" t="s">
        <v>47</v>
      </c>
      <c r="AG6" s="152" t="s">
        <v>42</v>
      </c>
      <c r="AH6" s="203" t="s">
        <v>42</v>
      </c>
      <c r="AI6" s="294" t="s">
        <v>42</v>
      </c>
      <c r="AJ6" s="271" t="s">
        <v>90</v>
      </c>
    </row>
    <row r="7" customFormat="false" ht="11.1" hidden="false" customHeight="true" outlineLevel="0" collapsed="false">
      <c r="A7" s="153"/>
      <c r="B7" s="154"/>
      <c r="C7" s="155"/>
      <c r="D7" s="153"/>
      <c r="E7" s="156" t="s">
        <v>48</v>
      </c>
      <c r="F7" s="157"/>
      <c r="G7" s="153"/>
      <c r="H7" s="158"/>
      <c r="I7" s="153"/>
      <c r="J7" s="153"/>
      <c r="K7" s="153"/>
      <c r="L7" s="153"/>
      <c r="M7" s="159"/>
      <c r="N7" s="153" t="n">
        <v>360</v>
      </c>
      <c r="O7" s="370" t="n">
        <v>12583</v>
      </c>
      <c r="P7" s="295"/>
      <c r="Q7" s="295"/>
      <c r="R7" s="371" t="s">
        <v>104</v>
      </c>
      <c r="S7" s="153"/>
      <c r="T7" s="153"/>
      <c r="U7" s="153"/>
      <c r="V7" s="156" t="s">
        <v>81</v>
      </c>
      <c r="W7" s="156" t="n">
        <v>6577</v>
      </c>
      <c r="X7" s="372" t="n">
        <v>30060</v>
      </c>
      <c r="Y7" s="153"/>
      <c r="Z7" s="155"/>
      <c r="AA7" s="153"/>
      <c r="AB7" s="153"/>
      <c r="AC7" s="153"/>
      <c r="AD7" s="161"/>
      <c r="AE7" s="152" t="s">
        <v>50</v>
      </c>
      <c r="AF7" s="162"/>
      <c r="AG7" s="118"/>
      <c r="AH7" s="203" t="s">
        <v>51</v>
      </c>
      <c r="AI7" s="297" t="s">
        <v>83</v>
      </c>
      <c r="AJ7" s="271" t="s">
        <v>106</v>
      </c>
    </row>
    <row r="8" customFormat="false" ht="11.1" hidden="false" customHeight="true" outlineLevel="0" collapsed="false">
      <c r="A8" s="153"/>
      <c r="B8" s="154"/>
      <c r="C8" s="155"/>
      <c r="D8" s="153"/>
      <c r="E8" s="155"/>
      <c r="F8" s="157"/>
      <c r="G8" s="153"/>
      <c r="H8" s="158"/>
      <c r="I8" s="153"/>
      <c r="J8" s="153"/>
      <c r="K8" s="153"/>
      <c r="L8" s="153"/>
      <c r="M8" s="159"/>
      <c r="N8" s="153"/>
      <c r="O8" s="153"/>
      <c r="P8" s="295"/>
      <c r="Q8" s="295"/>
      <c r="R8" s="221"/>
      <c r="S8" s="153"/>
      <c r="T8" s="153"/>
      <c r="U8" s="153"/>
      <c r="V8" s="372"/>
      <c r="W8" s="372"/>
      <c r="X8" s="153"/>
      <c r="Y8" s="153"/>
      <c r="Z8" s="155"/>
      <c r="AA8" s="153"/>
      <c r="AB8" s="153"/>
      <c r="AC8" s="153"/>
      <c r="AD8" s="161"/>
      <c r="AE8" s="118"/>
      <c r="AF8" s="162"/>
      <c r="AG8" s="118"/>
      <c r="AH8" s="373"/>
      <c r="AI8" s="374"/>
      <c r="AJ8" s="361"/>
    </row>
    <row r="9" customFormat="false" ht="11.1" hidden="false" customHeight="true" outlineLevel="0" collapsed="false">
      <c r="A9" s="111" t="s">
        <v>52</v>
      </c>
      <c r="B9" s="163"/>
      <c r="C9" s="112"/>
      <c r="D9" s="112"/>
      <c r="E9" s="112"/>
      <c r="F9" s="164" t="n">
        <f aca="false">JUL!F47</f>
        <v>16413.9147970759</v>
      </c>
      <c r="G9" s="112" t="n">
        <f aca="false">JUL!G47</f>
        <v>70332</v>
      </c>
      <c r="H9" s="112" t="n">
        <f aca="false">JUL!H47</f>
        <v>1045.07</v>
      </c>
      <c r="I9" s="112" t="n">
        <f aca="false">JUL!I47</f>
        <v>71377.07</v>
      </c>
      <c r="J9" s="112" t="n">
        <f aca="false">JUL!J47</f>
        <v>5612.50102092261</v>
      </c>
      <c r="K9" s="112" t="n">
        <f aca="false">JUL!K47</f>
        <v>76989.5710209226</v>
      </c>
      <c r="L9" s="112" t="n">
        <f aca="false">JUL!L47</f>
        <v>1623.94479707588</v>
      </c>
      <c r="M9" s="165" t="n">
        <f aca="false">JUL!M47</f>
        <v>21182.38</v>
      </c>
      <c r="N9" s="112" t="n">
        <f aca="false">JUL!N47</f>
        <v>35.19</v>
      </c>
      <c r="O9" s="112" t="n">
        <f aca="false">JUL!O47</f>
        <v>3705.025025</v>
      </c>
      <c r="P9" s="115"/>
      <c r="Q9" s="115"/>
      <c r="R9" s="223"/>
      <c r="S9" s="112" t="n">
        <f aca="false">JUL!Q47</f>
        <v>15257.8</v>
      </c>
      <c r="T9" s="112" t="n">
        <f aca="false">JUL!R47</f>
        <v>6077.8</v>
      </c>
      <c r="U9" s="112" t="n">
        <f aca="false">JUL!S47</f>
        <v>38709.412475</v>
      </c>
      <c r="V9" s="112" t="n">
        <f aca="false">JUL!T47</f>
        <v>8973.71063285034</v>
      </c>
      <c r="W9" s="112"/>
      <c r="X9" s="112" t="n">
        <f aca="false">JUL!U47</f>
        <v>11047.1</v>
      </c>
      <c r="Y9" s="112" t="n">
        <f aca="false">JUL!V47</f>
        <v>3092</v>
      </c>
      <c r="Z9" s="112"/>
      <c r="AA9" s="112" t="n">
        <f aca="false">JUL!X47</f>
        <v>56587.1</v>
      </c>
      <c r="AB9" s="112" t="n">
        <f aca="false">JUL!Y47</f>
        <v>3988.55622384674</v>
      </c>
      <c r="AC9" s="112" t="n">
        <f aca="false">JUL!Z47</f>
        <v>60575.6562238467</v>
      </c>
      <c r="AD9" s="161"/>
      <c r="AE9" s="117"/>
      <c r="AF9" s="167"/>
      <c r="AG9" s="118"/>
      <c r="AH9" s="373"/>
      <c r="AI9" s="352" t="n">
        <f aca="false">JUL!AF47</f>
        <v>1073.24559107882</v>
      </c>
      <c r="AJ9" s="361" t="n">
        <f aca="false">JUL!AG47</f>
        <v>530.93</v>
      </c>
    </row>
    <row r="10" s="105" customFormat="true" ht="11.1" hidden="false" customHeight="true" outlineLevel="0" collapsed="false">
      <c r="A10" s="112" t="s">
        <v>53</v>
      </c>
      <c r="B10" s="168" t="n">
        <f aca="false">JUL!B42</f>
        <v>6876.39</v>
      </c>
      <c r="C10" s="112" t="n">
        <f aca="false">JUL!C42</f>
        <v>205542</v>
      </c>
      <c r="D10" s="112" t="n">
        <f aca="false">JUL!D51</f>
        <v>48975</v>
      </c>
      <c r="E10" s="112" t="n">
        <f aca="false">JUL!E51</f>
        <v>53542</v>
      </c>
      <c r="F10" s="164" t="n">
        <f aca="false">JUL!F50</f>
        <v>24691.2024199647</v>
      </c>
      <c r="G10" s="112" t="n">
        <f aca="false">JUL!G50</f>
        <v>77886</v>
      </c>
      <c r="H10" s="117" t="n">
        <f aca="false">JUL!H50</f>
        <v>1327.81</v>
      </c>
      <c r="I10" s="112" t="n">
        <f aca="false">JUL!I50</f>
        <v>79213.81</v>
      </c>
      <c r="J10" s="112" t="n">
        <f aca="false">JUL!J50</f>
        <v>10091.2547920343</v>
      </c>
      <c r="K10" s="112" t="n">
        <f aca="false">JUL!K50</f>
        <v>89305.0647920343</v>
      </c>
      <c r="L10" s="112" t="n">
        <f aca="false">JUL!L50</f>
        <v>5468.1824199647</v>
      </c>
      <c r="M10" s="165" t="n">
        <f aca="false">JUL!M50</f>
        <v>22139.2</v>
      </c>
      <c r="N10" s="112" t="n">
        <f aca="false">JUL!N50</f>
        <v>35.19</v>
      </c>
      <c r="O10" s="112" t="n">
        <f aca="false">JUL!O50</f>
        <v>3705.025025</v>
      </c>
      <c r="P10" s="115"/>
      <c r="Q10" s="115"/>
      <c r="R10" s="223"/>
      <c r="S10" s="112" t="n">
        <f aca="false">JUL!Q50</f>
        <v>15319.8</v>
      </c>
      <c r="T10" s="112" t="n">
        <f aca="false">JUL!R50</f>
        <v>6128.8</v>
      </c>
      <c r="U10" s="112" t="n">
        <f aca="false">JUL!S50</f>
        <v>39847.584975</v>
      </c>
      <c r="V10" s="112"/>
      <c r="W10" s="112"/>
      <c r="X10" s="112" t="n">
        <f aca="false">JUL!U50</f>
        <v>11047.1</v>
      </c>
      <c r="Y10" s="112" t="n">
        <f aca="false">JUL!V50</f>
        <v>5355.89</v>
      </c>
      <c r="Z10" s="112" t="n">
        <f aca="false">JUL!W50</f>
        <v>5149.49231157046</v>
      </c>
      <c r="AA10" s="112" t="n">
        <f aca="false">JUL!X50</f>
        <v>59990.79</v>
      </c>
      <c r="AB10" s="112" t="n">
        <f aca="false">JUL!Y50</f>
        <v>4623.07237206957</v>
      </c>
      <c r="AC10" s="112" t="n">
        <f aca="false">JUL!Z50</f>
        <v>64613.8623720696</v>
      </c>
      <c r="AD10" s="161" t="n">
        <f aca="false">JUL!AA50</f>
        <v>8.33</v>
      </c>
      <c r="AE10" s="117"/>
      <c r="AF10" s="167"/>
      <c r="AG10" s="118"/>
      <c r="AH10" s="375"/>
      <c r="AI10" s="352" t="n">
        <f aca="false">JUL!AF50</f>
        <v>1073.24559107882</v>
      </c>
      <c r="AJ10" s="361"/>
    </row>
    <row r="11" customFormat="false" ht="3" hidden="false" customHeight="true" outlineLevel="0" collapsed="false">
      <c r="A11" s="169"/>
      <c r="B11" s="170"/>
      <c r="C11" s="171"/>
      <c r="D11" s="169"/>
      <c r="E11" s="171"/>
      <c r="F11" s="172"/>
      <c r="G11" s="169"/>
      <c r="H11" s="173"/>
      <c r="I11" s="169"/>
      <c r="J11" s="169"/>
      <c r="K11" s="169"/>
      <c r="L11" s="169"/>
      <c r="M11" s="174"/>
      <c r="N11" s="169"/>
      <c r="O11" s="169"/>
      <c r="P11" s="300"/>
      <c r="Q11" s="300"/>
      <c r="R11" s="225"/>
      <c r="S11" s="169"/>
      <c r="T11" s="169"/>
      <c r="U11" s="169"/>
      <c r="V11" s="171"/>
      <c r="W11" s="171"/>
      <c r="X11" s="169"/>
      <c r="Y11" s="169"/>
      <c r="Z11" s="171"/>
      <c r="AA11" s="169"/>
      <c r="AB11" s="169"/>
      <c r="AC11" s="169"/>
      <c r="AD11" s="176"/>
      <c r="AE11" s="177"/>
      <c r="AF11" s="178"/>
      <c r="AG11" s="179"/>
      <c r="AH11" s="179"/>
      <c r="AI11" s="301"/>
      <c r="AJ11" s="357"/>
    </row>
    <row r="12" customFormat="false" ht="11.1" hidden="false" customHeight="true" outlineLevel="0" collapsed="false">
      <c r="A12" s="118" t="n">
        <v>1</v>
      </c>
      <c r="B12" s="168" t="n">
        <v>6876.12</v>
      </c>
      <c r="C12" s="112" t="n">
        <v>204762</v>
      </c>
      <c r="D12" s="117" t="n">
        <f aca="false">C12-C10</f>
        <v>-780</v>
      </c>
      <c r="E12" s="112" t="n">
        <f aca="false">C12-152000</f>
        <v>52762</v>
      </c>
      <c r="F12" s="180" t="n">
        <f aca="false">D12/$D$2</f>
        <v>-393.244265187799</v>
      </c>
      <c r="G12" s="111" t="n">
        <v>127</v>
      </c>
      <c r="H12" s="113" t="n">
        <v>0.21</v>
      </c>
      <c r="I12" s="111" t="n">
        <f aca="false">G12+H12</f>
        <v>127.21</v>
      </c>
      <c r="J12" s="181" t="n">
        <f aca="false">IF(L12&gt;0,L12,0)</f>
        <v>0</v>
      </c>
      <c r="K12" s="111" t="n">
        <f aca="false">I12+J12</f>
        <v>127.21</v>
      </c>
      <c r="L12" s="111" t="n">
        <f aca="false">F12-(I12-AA12)</f>
        <v>-42.3042651877993</v>
      </c>
      <c r="M12" s="182" t="n">
        <v>187</v>
      </c>
      <c r="N12" s="196" t="n">
        <v>0</v>
      </c>
      <c r="O12" s="111" t="n">
        <f aca="false">35.08*1.05</f>
        <v>36.834</v>
      </c>
      <c r="P12" s="115"/>
      <c r="Q12" s="245"/>
      <c r="R12" s="227"/>
      <c r="S12" s="111" t="n">
        <v>131</v>
      </c>
      <c r="T12" s="111" t="n">
        <v>75</v>
      </c>
      <c r="U12" s="111" t="n">
        <f aca="false">M12-N12-O12-P12-Q12+S12+T12</f>
        <v>356.166</v>
      </c>
      <c r="V12" s="112" t="n">
        <f aca="false">V9+AH12-(AI12/1.9835)+AJ12-1508.95</f>
        <v>7246.96641028729</v>
      </c>
      <c r="W12" s="112"/>
      <c r="X12" s="111" t="n">
        <v>62.15</v>
      </c>
      <c r="Y12" s="111" t="n">
        <v>23</v>
      </c>
      <c r="Z12" s="112" t="n">
        <f aca="false">Z10-Y12</f>
        <v>5126.49231157046</v>
      </c>
      <c r="AA12" s="6" t="n">
        <f aca="false">M12+S12+T12+X12+Y12</f>
        <v>478.15</v>
      </c>
      <c r="AB12" s="111" t="n">
        <f aca="false">IF(L12&lt;0,L12*-1,0)</f>
        <v>42.3042651877993</v>
      </c>
      <c r="AC12" s="111" t="n">
        <f aca="false">AA12+AB12</f>
        <v>520.454265187799</v>
      </c>
      <c r="AD12" s="161" t="n">
        <v>0</v>
      </c>
      <c r="AE12" s="117" t="n">
        <v>88</v>
      </c>
      <c r="AF12" s="167" t="n">
        <v>57</v>
      </c>
      <c r="AG12" s="118" t="n">
        <v>0</v>
      </c>
      <c r="AH12" s="373" t="n">
        <f aca="false">(I12-8)-(U12-8)</f>
        <v>-228.956</v>
      </c>
      <c r="AI12" s="10" t="n">
        <f aca="false">23.5*(V9*1.9835-U12*1.9835)/E12</f>
        <v>7.61311445382242</v>
      </c>
      <c r="AJ12" s="376" t="n">
        <v>15</v>
      </c>
      <c r="AK12" s="0"/>
      <c r="AL12" s="0"/>
      <c r="AM12" s="0"/>
      <c r="AN12" s="0"/>
      <c r="AO12" s="0"/>
      <c r="AP12" s="0"/>
      <c r="AQ12" s="0"/>
      <c r="AR12" s="0"/>
      <c r="AS12" s="0"/>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c r="BY12" s="0"/>
      <c r="BZ12" s="0"/>
      <c r="CA12" s="0"/>
      <c r="CB12" s="0"/>
      <c r="CC12" s="0"/>
      <c r="CD12" s="0"/>
      <c r="CE12" s="0"/>
      <c r="CF12" s="0"/>
      <c r="CG12" s="0"/>
      <c r="CH12" s="0"/>
      <c r="CI12" s="0"/>
      <c r="CJ12" s="0"/>
      <c r="CK12" s="0"/>
      <c r="CL12" s="0"/>
      <c r="CM12" s="0"/>
      <c r="CN12" s="0"/>
      <c r="CO12" s="0"/>
      <c r="CP12" s="0"/>
      <c r="CQ12" s="0"/>
      <c r="CR12" s="0"/>
      <c r="CS12" s="0"/>
      <c r="CT12" s="0"/>
      <c r="CU12" s="0"/>
      <c r="CV12" s="0"/>
      <c r="CW12" s="0"/>
      <c r="CX12" s="0"/>
      <c r="CY12" s="0"/>
      <c r="CZ12" s="0"/>
      <c r="DA12" s="0"/>
      <c r="DB12" s="0"/>
      <c r="DC12" s="0"/>
      <c r="DD12" s="0"/>
      <c r="DE12" s="0"/>
      <c r="DF12" s="0"/>
      <c r="DG12" s="0"/>
      <c r="DH12" s="0"/>
      <c r="DI12" s="0"/>
      <c r="DJ12" s="0"/>
      <c r="DK12" s="0"/>
      <c r="DL12" s="0"/>
      <c r="DM12" s="0"/>
      <c r="DN12" s="0"/>
      <c r="DO12" s="0"/>
      <c r="DP12" s="0"/>
      <c r="DQ12" s="0"/>
      <c r="DR12" s="0"/>
      <c r="DS12" s="0"/>
      <c r="DT12" s="0"/>
      <c r="DU12" s="0"/>
      <c r="DV12" s="0"/>
      <c r="DW12" s="0"/>
      <c r="DX12" s="0"/>
      <c r="DY12" s="0"/>
      <c r="DZ12" s="0"/>
      <c r="EA12" s="0"/>
      <c r="EB12" s="0"/>
      <c r="EC12" s="0"/>
      <c r="ED12" s="0"/>
      <c r="EE12" s="0"/>
      <c r="EF12" s="0"/>
      <c r="EG12" s="0"/>
      <c r="EH12" s="0"/>
      <c r="EI12" s="0"/>
      <c r="EJ12" s="0"/>
      <c r="EK12" s="0"/>
      <c r="EL12" s="0"/>
      <c r="EM12" s="0"/>
      <c r="EN12" s="0"/>
      <c r="EO12" s="0"/>
      <c r="EP12" s="0"/>
      <c r="EQ12" s="0"/>
      <c r="ER12" s="0"/>
      <c r="ES12" s="0"/>
      <c r="ET12" s="0"/>
      <c r="EU12" s="0"/>
      <c r="EV12" s="0"/>
      <c r="EW12" s="0"/>
      <c r="EX12" s="0"/>
      <c r="EY12" s="0"/>
      <c r="EZ12" s="0"/>
      <c r="FA12" s="0"/>
      <c r="FB12" s="0"/>
      <c r="FC12" s="0"/>
      <c r="FD12" s="0"/>
      <c r="FE12" s="0"/>
      <c r="FF12" s="0"/>
      <c r="FG12" s="0"/>
      <c r="FH12" s="0"/>
      <c r="FI12" s="0"/>
      <c r="FJ12" s="0"/>
      <c r="FK12" s="0"/>
      <c r="FL12" s="0"/>
      <c r="FM12" s="0"/>
      <c r="FN12" s="0"/>
      <c r="FO12" s="0"/>
      <c r="FP12" s="0"/>
      <c r="FQ12" s="0"/>
      <c r="FR12" s="0"/>
      <c r="FS12" s="0"/>
      <c r="FT12" s="0"/>
      <c r="FU12" s="0"/>
      <c r="FV12" s="0"/>
      <c r="FW12" s="0"/>
      <c r="FX12" s="0"/>
      <c r="FY12" s="0"/>
      <c r="FZ12" s="0"/>
      <c r="GA12" s="0"/>
      <c r="GB12" s="0"/>
      <c r="GC12" s="0"/>
      <c r="GD12" s="0"/>
      <c r="GE12" s="0"/>
      <c r="GF12" s="0"/>
      <c r="GG12" s="0"/>
      <c r="GH12" s="0"/>
      <c r="GI12" s="0"/>
      <c r="GJ12" s="0"/>
      <c r="GK12" s="0"/>
      <c r="GL12" s="0"/>
      <c r="GM12" s="0"/>
      <c r="GN12" s="0"/>
      <c r="GO12" s="0"/>
      <c r="GP12" s="0"/>
      <c r="GQ12" s="0"/>
      <c r="GR12" s="0"/>
      <c r="GS12" s="0"/>
      <c r="GT12" s="0"/>
      <c r="GU12" s="0"/>
      <c r="GV12" s="0"/>
      <c r="GW12" s="0"/>
      <c r="GX12" s="0"/>
      <c r="GY12" s="0"/>
      <c r="GZ12" s="0"/>
      <c r="HA12" s="0"/>
      <c r="HB12" s="0"/>
      <c r="HC12" s="0"/>
      <c r="HD12" s="0"/>
      <c r="HE12" s="0"/>
      <c r="HF12" s="0"/>
      <c r="HG12" s="0"/>
      <c r="HH12" s="0"/>
      <c r="HI12" s="0"/>
      <c r="HJ12" s="0"/>
      <c r="HK12" s="0"/>
      <c r="HL12" s="0"/>
      <c r="HM12" s="0"/>
      <c r="HN12" s="0"/>
      <c r="HO12" s="0"/>
      <c r="HP12" s="0"/>
      <c r="HQ12" s="0"/>
      <c r="HR12" s="0"/>
      <c r="HS12" s="0"/>
      <c r="HT12" s="0"/>
      <c r="HU12" s="0"/>
      <c r="HV12" s="0"/>
      <c r="HW12" s="0"/>
      <c r="HX12" s="0"/>
      <c r="HY12" s="0"/>
      <c r="HZ12" s="0"/>
      <c r="IA12" s="0"/>
      <c r="IB12" s="0"/>
      <c r="IC12" s="0"/>
      <c r="ID12" s="0"/>
      <c r="IE12" s="0"/>
      <c r="IF12" s="0"/>
      <c r="IG12" s="0"/>
      <c r="IH12" s="0"/>
      <c r="II12" s="0"/>
      <c r="IJ12" s="0"/>
      <c r="IK12" s="0"/>
      <c r="IL12" s="0"/>
      <c r="IM12" s="0"/>
      <c r="IN12" s="0"/>
      <c r="IO12" s="0"/>
      <c r="IP12" s="0"/>
      <c r="IQ12" s="0"/>
      <c r="IR12" s="0"/>
      <c r="IS12" s="0"/>
      <c r="IT12" s="0"/>
      <c r="IU12" s="0"/>
      <c r="IV12" s="0"/>
      <c r="IW12" s="0"/>
    </row>
    <row r="13" customFormat="false" ht="11.1" hidden="false" customHeight="true" outlineLevel="0" collapsed="false">
      <c r="A13" s="118" t="n">
        <f aca="false">A12+1</f>
        <v>2</v>
      </c>
      <c r="B13" s="168" t="n">
        <v>6875.85</v>
      </c>
      <c r="C13" s="112" t="n">
        <v>203987</v>
      </c>
      <c r="D13" s="117" t="n">
        <f aca="false">C13-C12</f>
        <v>-775</v>
      </c>
      <c r="E13" s="112" t="n">
        <f aca="false">C13-152000</f>
        <v>51987</v>
      </c>
      <c r="F13" s="180" t="n">
        <f aca="false">D13/$D$2</f>
        <v>-390.723468616083</v>
      </c>
      <c r="G13" s="111" t="n">
        <v>120</v>
      </c>
      <c r="H13" s="113" t="n">
        <v>0.2</v>
      </c>
      <c r="I13" s="111" t="n">
        <f aca="false">G13+H13</f>
        <v>120.2</v>
      </c>
      <c r="J13" s="181" t="n">
        <f aca="false">IF(L13&gt;0,L13,0)</f>
        <v>0</v>
      </c>
      <c r="K13" s="111" t="n">
        <f aca="false">I13+J13</f>
        <v>120.2</v>
      </c>
      <c r="L13" s="111" t="n">
        <f aca="false">F13-(I13-AA13)</f>
        <v>-48.1134686160827</v>
      </c>
      <c r="M13" s="182" t="n">
        <v>183</v>
      </c>
      <c r="N13" s="196" t="n">
        <v>0</v>
      </c>
      <c r="O13" s="111" t="n">
        <f aca="false">41.56*1.05</f>
        <v>43.638</v>
      </c>
      <c r="P13" s="115" t="n">
        <v>2.49</v>
      </c>
      <c r="Q13" s="245" t="n">
        <v>4.2</v>
      </c>
      <c r="R13" s="227" t="n">
        <v>0.97</v>
      </c>
      <c r="S13" s="111" t="n">
        <v>130</v>
      </c>
      <c r="T13" s="111" t="n">
        <v>69</v>
      </c>
      <c r="U13" s="111" t="n">
        <f aca="false">M13-N13-O13-P13-Q13-R13+S13+T13</f>
        <v>330.702</v>
      </c>
      <c r="V13" s="112" t="n">
        <f aca="false">V12+AH13-(AI13/1.9835)+AJ13</f>
        <v>7041.6480091939</v>
      </c>
      <c r="W13" s="112"/>
      <c r="X13" s="111" t="n">
        <v>59.81</v>
      </c>
      <c r="Y13" s="111" t="n">
        <v>21</v>
      </c>
      <c r="Z13" s="112" t="n">
        <f aca="false">Z12-Y13</f>
        <v>5105.49231157046</v>
      </c>
      <c r="AA13" s="6" t="n">
        <f aca="false">M13+S13+T13+X13+Y13</f>
        <v>462.81</v>
      </c>
      <c r="AB13" s="111" t="n">
        <f aca="false">IF(L13&lt;0,L13*-1,0)</f>
        <v>48.1134686160827</v>
      </c>
      <c r="AC13" s="111" t="n">
        <f aca="false">AA13+AB13</f>
        <v>510.923468616083</v>
      </c>
      <c r="AD13" s="161" t="n">
        <v>0</v>
      </c>
      <c r="AE13" s="117" t="n">
        <v>85</v>
      </c>
      <c r="AF13" s="167" t="n">
        <v>56</v>
      </c>
      <c r="AG13" s="118" t="n">
        <v>0</v>
      </c>
      <c r="AH13" s="373" t="n">
        <f aca="false">(I13-P13-Q13)-(U13)</f>
        <v>-217.192</v>
      </c>
      <c r="AI13" s="10" t="n">
        <f aca="false">23.5*(V12*1.9835-U13*1.9835)/E13</f>
        <v>6.20121656872706</v>
      </c>
      <c r="AJ13" s="376" t="n">
        <v>15</v>
      </c>
      <c r="AK13" s="0"/>
      <c r="AL13" s="0"/>
      <c r="AM13" s="0"/>
      <c r="AN13" s="0"/>
      <c r="AO13" s="0"/>
      <c r="AP13" s="0"/>
      <c r="AQ13" s="0"/>
      <c r="AR13" s="0"/>
      <c r="AS13" s="0"/>
      <c r="AT13" s="0"/>
      <c r="AU13" s="0"/>
      <c r="AV13" s="0"/>
      <c r="AW13" s="0"/>
      <c r="AX13" s="0"/>
      <c r="AY13" s="0"/>
      <c r="AZ13" s="0"/>
      <c r="BA13" s="0"/>
      <c r="BB13" s="0"/>
      <c r="BC13" s="0"/>
      <c r="BD13" s="0"/>
      <c r="BE13" s="0"/>
      <c r="BF13" s="0"/>
      <c r="BG13" s="0"/>
      <c r="BH13" s="0"/>
      <c r="BI13" s="0"/>
      <c r="BJ13" s="0"/>
      <c r="BK13" s="0"/>
      <c r="BL13" s="0"/>
      <c r="BM13" s="0"/>
      <c r="BN13" s="0"/>
      <c r="BO13" s="0"/>
      <c r="BP13" s="0"/>
      <c r="BQ13" s="0"/>
      <c r="BR13" s="0"/>
      <c r="BS13" s="0"/>
      <c r="BT13" s="0"/>
      <c r="BU13" s="0"/>
      <c r="BV13" s="0"/>
      <c r="BW13" s="0"/>
      <c r="BX13" s="0"/>
      <c r="BY13" s="0"/>
      <c r="BZ13" s="0"/>
      <c r="CA13" s="0"/>
      <c r="CB13" s="0"/>
      <c r="CC13" s="0"/>
      <c r="CD13" s="0"/>
      <c r="CE13" s="0"/>
      <c r="CF13" s="0"/>
      <c r="CG13" s="0"/>
      <c r="CH13" s="0"/>
      <c r="CI13" s="0"/>
      <c r="CJ13" s="0"/>
      <c r="CK13" s="0"/>
      <c r="CL13" s="0"/>
      <c r="CM13" s="0"/>
      <c r="CN13" s="0"/>
      <c r="CO13" s="0"/>
      <c r="CP13" s="0"/>
      <c r="CQ13" s="0"/>
      <c r="CR13" s="0"/>
      <c r="CS13" s="0"/>
      <c r="CT13" s="0"/>
      <c r="CU13" s="0"/>
      <c r="CV13" s="0"/>
      <c r="CW13" s="0"/>
      <c r="CX13" s="0"/>
      <c r="CY13" s="0"/>
      <c r="CZ13" s="0"/>
      <c r="DA13" s="0"/>
      <c r="DB13" s="0"/>
      <c r="DC13" s="0"/>
      <c r="DD13" s="0"/>
      <c r="DE13" s="0"/>
      <c r="DF13" s="0"/>
      <c r="DG13" s="0"/>
      <c r="DH13" s="0"/>
      <c r="DI13" s="0"/>
      <c r="DJ13" s="0"/>
      <c r="DK13" s="0"/>
      <c r="DL13" s="0"/>
      <c r="DM13" s="0"/>
      <c r="DN13" s="0"/>
      <c r="DO13" s="0"/>
      <c r="DP13" s="0"/>
      <c r="DQ13" s="0"/>
      <c r="DR13" s="0"/>
      <c r="DS13" s="0"/>
      <c r="DT13" s="0"/>
      <c r="DU13" s="0"/>
      <c r="DV13" s="0"/>
      <c r="DW13" s="0"/>
      <c r="DX13" s="0"/>
      <c r="DY13" s="0"/>
      <c r="DZ13" s="0"/>
      <c r="EA13" s="0"/>
      <c r="EB13" s="0"/>
      <c r="EC13" s="0"/>
      <c r="ED13" s="0"/>
      <c r="EE13" s="0"/>
      <c r="EF13" s="0"/>
      <c r="EG13" s="0"/>
      <c r="EH13" s="0"/>
      <c r="EI13" s="0"/>
      <c r="EJ13" s="0"/>
      <c r="EK13" s="0"/>
      <c r="EL13" s="0"/>
      <c r="EM13" s="0"/>
      <c r="EN13" s="0"/>
      <c r="EO13" s="0"/>
      <c r="EP13" s="0"/>
      <c r="EQ13" s="0"/>
      <c r="ER13" s="0"/>
      <c r="ES13" s="0"/>
      <c r="ET13" s="0"/>
      <c r="EU13" s="0"/>
      <c r="EV13" s="0"/>
      <c r="EW13" s="0"/>
      <c r="EX13" s="0"/>
      <c r="EY13" s="0"/>
      <c r="EZ13" s="0"/>
      <c r="FA13" s="0"/>
      <c r="FB13" s="0"/>
      <c r="FC13" s="0"/>
      <c r="FD13" s="0"/>
      <c r="FE13" s="0"/>
      <c r="FF13" s="0"/>
      <c r="FG13" s="0"/>
      <c r="FH13" s="0"/>
      <c r="FI13" s="0"/>
      <c r="FJ13" s="0"/>
      <c r="FK13" s="0"/>
      <c r="FL13" s="0"/>
      <c r="FM13" s="0"/>
      <c r="FN13" s="0"/>
      <c r="FO13" s="0"/>
      <c r="FP13" s="0"/>
      <c r="FQ13" s="0"/>
      <c r="FR13" s="0"/>
      <c r="FS13" s="0"/>
      <c r="FT13" s="0"/>
      <c r="FU13" s="0"/>
      <c r="FV13" s="0"/>
      <c r="FW13" s="0"/>
      <c r="FX13" s="0"/>
      <c r="FY13" s="0"/>
      <c r="FZ13" s="0"/>
      <c r="GA13" s="0"/>
      <c r="GB13" s="0"/>
      <c r="GC13" s="0"/>
      <c r="GD13" s="0"/>
      <c r="GE13" s="0"/>
      <c r="GF13" s="0"/>
      <c r="GG13" s="0"/>
      <c r="GH13" s="0"/>
      <c r="GI13" s="0"/>
      <c r="GJ13" s="0"/>
      <c r="GK13" s="0"/>
      <c r="GL13" s="0"/>
      <c r="GM13" s="0"/>
      <c r="GN13" s="0"/>
      <c r="GO13" s="0"/>
      <c r="GP13" s="0"/>
      <c r="GQ13" s="0"/>
      <c r="GR13" s="0"/>
      <c r="GS13" s="0"/>
      <c r="GT13" s="0"/>
      <c r="GU13" s="0"/>
      <c r="GV13" s="0"/>
      <c r="GW13" s="0"/>
      <c r="GX13" s="0"/>
      <c r="GY13" s="0"/>
      <c r="GZ13" s="0"/>
      <c r="HA13" s="0"/>
      <c r="HB13" s="0"/>
      <c r="HC13" s="0"/>
      <c r="HD13" s="0"/>
      <c r="HE13" s="0"/>
      <c r="HF13" s="0"/>
      <c r="HG13" s="0"/>
      <c r="HH13" s="0"/>
      <c r="HI13" s="0"/>
      <c r="HJ13" s="0"/>
      <c r="HK13" s="0"/>
      <c r="HL13" s="0"/>
      <c r="HM13" s="0"/>
      <c r="HN13" s="0"/>
      <c r="HO13" s="0"/>
      <c r="HP13" s="0"/>
      <c r="HQ13" s="0"/>
      <c r="HR13" s="0"/>
      <c r="HS13" s="0"/>
      <c r="HT13" s="0"/>
      <c r="HU13" s="0"/>
      <c r="HV13" s="0"/>
      <c r="HW13" s="0"/>
      <c r="HX13" s="0"/>
      <c r="HY13" s="0"/>
      <c r="HZ13" s="0"/>
      <c r="IA13" s="0"/>
      <c r="IB13" s="0"/>
      <c r="IC13" s="0"/>
      <c r="ID13" s="0"/>
      <c r="IE13" s="0"/>
      <c r="IF13" s="0"/>
      <c r="IG13" s="0"/>
      <c r="IH13" s="0"/>
      <c r="II13" s="0"/>
      <c r="IJ13" s="0"/>
      <c r="IK13" s="0"/>
      <c r="IL13" s="0"/>
      <c r="IM13" s="0"/>
      <c r="IN13" s="0"/>
      <c r="IO13" s="0"/>
      <c r="IP13" s="0"/>
      <c r="IQ13" s="0"/>
      <c r="IR13" s="0"/>
      <c r="IS13" s="0"/>
      <c r="IT13" s="0"/>
      <c r="IU13" s="0"/>
      <c r="IV13" s="0"/>
      <c r="IW13" s="0"/>
    </row>
    <row r="14" customFormat="false" ht="11.1" hidden="false" customHeight="true" outlineLevel="0" collapsed="false">
      <c r="A14" s="118" t="n">
        <f aca="false">A13+1</f>
        <v>3</v>
      </c>
      <c r="B14" s="168" t="n">
        <v>6875.6</v>
      </c>
      <c r="C14" s="112" t="n">
        <v>203273</v>
      </c>
      <c r="D14" s="117" t="n">
        <f aca="false">C14-C13</f>
        <v>-714</v>
      </c>
      <c r="E14" s="112" t="n">
        <f aca="false">C14-152000</f>
        <v>51273</v>
      </c>
      <c r="F14" s="180" t="n">
        <f aca="false">D14/$D$2</f>
        <v>-359.969750441139</v>
      </c>
      <c r="G14" s="111" t="n">
        <v>126</v>
      </c>
      <c r="H14" s="113" t="n">
        <v>0.22</v>
      </c>
      <c r="I14" s="111" t="n">
        <f aca="false">G14+H14</f>
        <v>126.22</v>
      </c>
      <c r="J14" s="181" t="n">
        <f aca="false">IF(L14&gt;0,L14,0)</f>
        <v>0</v>
      </c>
      <c r="K14" s="111" t="n">
        <f aca="false">I14+J14</f>
        <v>126.22</v>
      </c>
      <c r="L14" s="111" t="n">
        <f aca="false">F14-(I14-AA14)</f>
        <v>-23.6097504411394</v>
      </c>
      <c r="M14" s="182" t="n">
        <v>176</v>
      </c>
      <c r="N14" s="196" t="n">
        <v>0</v>
      </c>
      <c r="O14" s="111" t="n">
        <f aca="false">37.89*1.05</f>
        <v>39.7845</v>
      </c>
      <c r="P14" s="115" t="n">
        <v>2.28</v>
      </c>
      <c r="Q14" s="245" t="n">
        <v>4.05</v>
      </c>
      <c r="R14" s="227" t="n">
        <v>0</v>
      </c>
      <c r="S14" s="111" t="n">
        <v>130</v>
      </c>
      <c r="T14" s="111" t="n">
        <v>75</v>
      </c>
      <c r="U14" s="111" t="n">
        <f aca="false">M14-N14-O14-P14-Q14-R14+S14+T14</f>
        <v>334.8855</v>
      </c>
      <c r="V14" s="112" t="n">
        <f aca="false">V13+AH14-(AI14/1.9835)+AJ14</f>
        <v>6838.57859272781</v>
      </c>
      <c r="W14" s="112"/>
      <c r="X14" s="111" t="n">
        <v>67.58</v>
      </c>
      <c r="Y14" s="111" t="n">
        <v>14</v>
      </c>
      <c r="Z14" s="112" t="n">
        <f aca="false">Z13-Y14</f>
        <v>5091.49231157046</v>
      </c>
      <c r="AA14" s="6" t="n">
        <f aca="false">M14+S14+T14+X14+Y14</f>
        <v>462.58</v>
      </c>
      <c r="AB14" s="111" t="n">
        <f aca="false">IF(L14&lt;0,L14*-1,0)</f>
        <v>23.6097504411394</v>
      </c>
      <c r="AC14" s="111" t="n">
        <f aca="false">AA14+AB14</f>
        <v>486.189750441139</v>
      </c>
      <c r="AD14" s="161" t="n">
        <v>0</v>
      </c>
      <c r="AE14" s="117" t="n">
        <v>82</v>
      </c>
      <c r="AF14" s="167" t="n">
        <v>56</v>
      </c>
      <c r="AG14" s="118" t="n">
        <v>0</v>
      </c>
      <c r="AH14" s="373" t="n">
        <f aca="false">(I14-P14-Q14)-(U14)</f>
        <v>-214.9955</v>
      </c>
      <c r="AI14" s="10" t="n">
        <f aca="false">23.5*(V13*1.9835-U14*1.9835)/E14</f>
        <v>6.09711331049819</v>
      </c>
      <c r="AJ14" s="376" t="n">
        <v>15</v>
      </c>
      <c r="AK14" s="0"/>
      <c r="AL14" s="0"/>
      <c r="AM14" s="0"/>
      <c r="AN14" s="0"/>
      <c r="AO14" s="0"/>
      <c r="AP14" s="0"/>
      <c r="AQ14" s="0"/>
      <c r="AR14" s="0"/>
      <c r="AS14" s="0"/>
      <c r="AT14" s="0"/>
      <c r="AU14" s="0"/>
      <c r="AV14" s="0"/>
      <c r="AW14" s="0"/>
      <c r="AX14" s="0"/>
      <c r="AY14" s="0"/>
      <c r="AZ14" s="0"/>
      <c r="BA14" s="0"/>
      <c r="BB14" s="0"/>
      <c r="BC14" s="0"/>
      <c r="BD14" s="0"/>
      <c r="BE14" s="0"/>
      <c r="BF14" s="0"/>
      <c r="BG14" s="0"/>
      <c r="BH14" s="0"/>
      <c r="BI14" s="0"/>
      <c r="BJ14" s="0"/>
      <c r="BK14" s="0"/>
      <c r="BL14" s="0"/>
      <c r="BM14" s="0"/>
      <c r="BN14" s="0"/>
      <c r="BO14" s="0"/>
      <c r="BP14" s="0"/>
      <c r="BQ14" s="0"/>
      <c r="BR14" s="0"/>
      <c r="BS14" s="0"/>
      <c r="BT14" s="0"/>
      <c r="BU14" s="0"/>
      <c r="BV14" s="0"/>
      <c r="BW14" s="0"/>
      <c r="BX14" s="0"/>
      <c r="BY14" s="0"/>
      <c r="BZ14" s="0"/>
      <c r="CA14" s="0"/>
      <c r="CB14" s="0"/>
      <c r="CC14" s="0"/>
      <c r="CD14" s="0"/>
      <c r="CE14" s="0"/>
      <c r="CF14" s="0"/>
      <c r="CG14" s="0"/>
      <c r="CH14" s="0"/>
      <c r="CI14" s="0"/>
      <c r="CJ14" s="0"/>
      <c r="CK14" s="0"/>
      <c r="CL14" s="0"/>
      <c r="CM14" s="0"/>
      <c r="CN14" s="0"/>
      <c r="CO14" s="0"/>
      <c r="CP14" s="0"/>
      <c r="CQ14" s="0"/>
      <c r="CR14" s="0"/>
      <c r="CS14" s="0"/>
      <c r="CT14" s="0"/>
      <c r="CU14" s="0"/>
      <c r="CV14" s="0"/>
      <c r="CW14" s="0"/>
      <c r="CX14" s="0"/>
      <c r="CY14" s="0"/>
      <c r="CZ14" s="0"/>
      <c r="DA14" s="0"/>
      <c r="DB14" s="0"/>
      <c r="DC14" s="0"/>
      <c r="DD14" s="0"/>
      <c r="DE14" s="0"/>
      <c r="DF14" s="0"/>
      <c r="DG14" s="0"/>
      <c r="DH14" s="0"/>
      <c r="DI14" s="0"/>
      <c r="DJ14" s="0"/>
      <c r="DK14" s="0"/>
      <c r="DL14" s="0"/>
      <c r="DM14" s="0"/>
      <c r="DN14" s="0"/>
      <c r="DO14" s="0"/>
      <c r="DP14" s="0"/>
      <c r="DQ14" s="0"/>
      <c r="DR14" s="0"/>
      <c r="DS14" s="0"/>
      <c r="DT14" s="0"/>
      <c r="DU14" s="0"/>
      <c r="DV14" s="0"/>
      <c r="DW14" s="0"/>
      <c r="DX14" s="0"/>
      <c r="DY14" s="0"/>
      <c r="DZ14" s="0"/>
      <c r="EA14" s="0"/>
      <c r="EB14" s="0"/>
      <c r="EC14" s="0"/>
      <c r="ED14" s="0"/>
      <c r="EE14" s="0"/>
      <c r="EF14" s="0"/>
      <c r="EG14" s="0"/>
      <c r="EH14" s="0"/>
      <c r="EI14" s="0"/>
      <c r="EJ14" s="0"/>
      <c r="EK14" s="0"/>
      <c r="EL14" s="0"/>
      <c r="EM14" s="0"/>
      <c r="EN14" s="0"/>
      <c r="EO14" s="0"/>
      <c r="EP14" s="0"/>
      <c r="EQ14" s="0"/>
      <c r="ER14" s="0"/>
      <c r="ES14" s="0"/>
      <c r="ET14" s="0"/>
      <c r="EU14" s="0"/>
      <c r="EV14" s="0"/>
      <c r="EW14" s="0"/>
      <c r="EX14" s="0"/>
      <c r="EY14" s="0"/>
      <c r="EZ14" s="0"/>
      <c r="FA14" s="0"/>
      <c r="FB14" s="0"/>
      <c r="FC14" s="0"/>
      <c r="FD14" s="0"/>
      <c r="FE14" s="0"/>
      <c r="FF14" s="0"/>
      <c r="FG14" s="0"/>
      <c r="FH14" s="0"/>
      <c r="FI14" s="0"/>
      <c r="FJ14" s="0"/>
      <c r="FK14" s="0"/>
      <c r="FL14" s="0"/>
      <c r="FM14" s="0"/>
      <c r="FN14" s="0"/>
      <c r="FO14" s="0"/>
      <c r="FP14" s="0"/>
      <c r="FQ14" s="0"/>
      <c r="FR14" s="0"/>
      <c r="FS14" s="0"/>
      <c r="FT14" s="0"/>
      <c r="FU14" s="0"/>
      <c r="FV14" s="0"/>
      <c r="FW14" s="0"/>
      <c r="FX14" s="0"/>
      <c r="FY14" s="0"/>
      <c r="FZ14" s="0"/>
      <c r="GA14" s="0"/>
      <c r="GB14" s="0"/>
      <c r="GC14" s="0"/>
      <c r="GD14" s="0"/>
      <c r="GE14" s="0"/>
      <c r="GF14" s="0"/>
      <c r="GG14" s="0"/>
      <c r="GH14" s="0"/>
      <c r="GI14" s="0"/>
      <c r="GJ14" s="0"/>
      <c r="GK14" s="0"/>
      <c r="GL14" s="0"/>
      <c r="GM14" s="0"/>
      <c r="GN14" s="0"/>
      <c r="GO14" s="0"/>
      <c r="GP14" s="0"/>
      <c r="GQ14" s="0"/>
      <c r="GR14" s="0"/>
      <c r="GS14" s="0"/>
      <c r="GT14" s="0"/>
      <c r="GU14" s="0"/>
      <c r="GV14" s="0"/>
      <c r="GW14" s="0"/>
      <c r="GX14" s="0"/>
      <c r="GY14" s="0"/>
      <c r="GZ14" s="0"/>
      <c r="HA14" s="0"/>
      <c r="HB14" s="0"/>
      <c r="HC14" s="0"/>
      <c r="HD14" s="0"/>
      <c r="HE14" s="0"/>
      <c r="HF14" s="0"/>
      <c r="HG14" s="0"/>
      <c r="HH14" s="0"/>
      <c r="HI14" s="0"/>
      <c r="HJ14" s="0"/>
      <c r="HK14" s="0"/>
      <c r="HL14" s="0"/>
      <c r="HM14" s="0"/>
      <c r="HN14" s="0"/>
      <c r="HO14" s="0"/>
      <c r="HP14" s="0"/>
      <c r="HQ14" s="0"/>
      <c r="HR14" s="0"/>
      <c r="HS14" s="0"/>
      <c r="HT14" s="0"/>
      <c r="HU14" s="0"/>
      <c r="HV14" s="0"/>
      <c r="HW14" s="0"/>
      <c r="HX14" s="0"/>
      <c r="HY14" s="0"/>
      <c r="HZ14" s="0"/>
      <c r="IA14" s="0"/>
      <c r="IB14" s="0"/>
      <c r="IC14" s="0"/>
      <c r="ID14" s="0"/>
      <c r="IE14" s="0"/>
      <c r="IF14" s="0"/>
      <c r="IG14" s="0"/>
      <c r="IH14" s="0"/>
      <c r="II14" s="0"/>
      <c r="IJ14" s="0"/>
      <c r="IK14" s="0"/>
      <c r="IL14" s="0"/>
      <c r="IM14" s="0"/>
      <c r="IN14" s="0"/>
      <c r="IO14" s="0"/>
      <c r="IP14" s="0"/>
      <c r="IQ14" s="0"/>
      <c r="IR14" s="0"/>
      <c r="IS14" s="0"/>
      <c r="IT14" s="0"/>
      <c r="IU14" s="0"/>
      <c r="IV14" s="0"/>
      <c r="IW14" s="0"/>
    </row>
    <row r="15" customFormat="false" ht="11.1" hidden="false" customHeight="true" outlineLevel="0" collapsed="false">
      <c r="A15" s="118" t="n">
        <f aca="false">A14+1</f>
        <v>4</v>
      </c>
      <c r="B15" s="168" t="n">
        <v>6875.33</v>
      </c>
      <c r="C15" s="112" t="n">
        <v>202502</v>
      </c>
      <c r="D15" s="117" t="n">
        <f aca="false">C15-C14</f>
        <v>-771</v>
      </c>
      <c r="E15" s="112" t="n">
        <f aca="false">C15-152000</f>
        <v>50502</v>
      </c>
      <c r="F15" s="180" t="n">
        <f aca="false">D15/$D$2</f>
        <v>-388.706831358709</v>
      </c>
      <c r="G15" s="111" t="n">
        <v>116</v>
      </c>
      <c r="H15" s="113" t="n">
        <v>0.14</v>
      </c>
      <c r="I15" s="111" t="n">
        <f aca="false">G15+H15</f>
        <v>116.14</v>
      </c>
      <c r="J15" s="181" t="n">
        <f aca="false">IF(L15&gt;0,L15,0)</f>
        <v>0</v>
      </c>
      <c r="K15" s="111" t="n">
        <f aca="false">I15+J15</f>
        <v>116.14</v>
      </c>
      <c r="L15" s="111" t="n">
        <f aca="false">F15-(I15-AA15)</f>
        <v>-13.5868313587093</v>
      </c>
      <c r="M15" s="182" t="n">
        <v>163</v>
      </c>
      <c r="N15" s="196" t="n">
        <v>0</v>
      </c>
      <c r="O15" s="111" t="n">
        <f aca="false">31.21*1.05</f>
        <v>32.7705</v>
      </c>
      <c r="P15" s="115" t="n">
        <v>2.16</v>
      </c>
      <c r="Q15" s="245" t="n">
        <v>4.2</v>
      </c>
      <c r="R15" s="227" t="n">
        <v>1.64</v>
      </c>
      <c r="S15" s="111" t="n">
        <v>130</v>
      </c>
      <c r="T15" s="111" t="n">
        <v>65</v>
      </c>
      <c r="U15" s="111" t="n">
        <f aca="false">M15-N15-O15-P15-Q15-R15+S15+T15</f>
        <v>317.2295</v>
      </c>
      <c r="V15" s="112" t="n">
        <f aca="false">V14+AH15-(AI15/1.9835)+AJ15</f>
        <v>6643.09452570711</v>
      </c>
      <c r="W15" s="112"/>
      <c r="X15" s="111" t="n">
        <v>117.26</v>
      </c>
      <c r="Y15" s="111" t="n">
        <v>16</v>
      </c>
      <c r="Z15" s="112" t="n">
        <f aca="false">Z14-Y15</f>
        <v>5075.49231157046</v>
      </c>
      <c r="AA15" s="6" t="n">
        <f aca="false">M15+S15+T15+X15+Y15</f>
        <v>491.26</v>
      </c>
      <c r="AB15" s="111" t="n">
        <f aca="false">IF(L15&lt;0,L15*-1,0)</f>
        <v>13.5868313587093</v>
      </c>
      <c r="AC15" s="111" t="n">
        <f aca="false">AA15+AB15</f>
        <v>504.846831358709</v>
      </c>
      <c r="AD15" s="161" t="n">
        <v>0</v>
      </c>
      <c r="AE15" s="117" t="n">
        <v>86</v>
      </c>
      <c r="AF15" s="167" t="n">
        <v>54</v>
      </c>
      <c r="AG15" s="118" t="n">
        <v>0</v>
      </c>
      <c r="AH15" s="373" t="n">
        <f aca="false">(I15-P15-Q15)-(U15)</f>
        <v>-207.4495</v>
      </c>
      <c r="AI15" s="10" t="n">
        <f aca="false">23.5*(V14*1.9835-U15*1.9835)/E15</f>
        <v>6.01906368554714</v>
      </c>
      <c r="AJ15" s="376" t="n">
        <v>15</v>
      </c>
      <c r="AK15" s="0"/>
      <c r="AL15" s="0"/>
      <c r="AM15" s="0"/>
      <c r="AN15" s="0"/>
      <c r="AO15" s="0"/>
      <c r="AP15" s="0"/>
      <c r="AQ15" s="0"/>
      <c r="AR15" s="0"/>
      <c r="AS15" s="0"/>
      <c r="AT15" s="0"/>
      <c r="AU15" s="0"/>
      <c r="AV15" s="0"/>
      <c r="AW15" s="0"/>
      <c r="AX15" s="0"/>
      <c r="AY15" s="0"/>
      <c r="AZ15" s="0"/>
      <c r="BA15" s="0"/>
      <c r="BB15" s="0"/>
      <c r="BC15" s="0"/>
      <c r="BD15" s="0"/>
      <c r="BE15" s="0"/>
      <c r="BF15" s="0"/>
      <c r="BG15" s="0"/>
      <c r="BH15" s="0"/>
      <c r="BI15" s="0"/>
      <c r="BJ15" s="0"/>
      <c r="BK15" s="0"/>
      <c r="BL15" s="0"/>
      <c r="BM15" s="0"/>
      <c r="BN15" s="0"/>
      <c r="BO15" s="0"/>
      <c r="BP15" s="0"/>
      <c r="BQ15" s="0"/>
      <c r="BR15" s="0"/>
      <c r="BS15" s="0"/>
      <c r="BT15" s="0"/>
      <c r="BU15" s="0"/>
      <c r="BV15" s="0"/>
      <c r="BW15" s="0"/>
      <c r="BX15" s="0"/>
      <c r="BY15" s="0"/>
      <c r="BZ15" s="0"/>
      <c r="CA15" s="0"/>
      <c r="CB15" s="0"/>
      <c r="CC15" s="0"/>
      <c r="CD15" s="0"/>
      <c r="CE15" s="0"/>
      <c r="CF15" s="0"/>
      <c r="CG15" s="0"/>
      <c r="CH15" s="0"/>
      <c r="CI15" s="0"/>
      <c r="CJ15" s="0"/>
      <c r="CK15" s="0"/>
      <c r="CL15" s="0"/>
      <c r="CM15" s="0"/>
      <c r="CN15" s="0"/>
      <c r="CO15" s="0"/>
      <c r="CP15" s="0"/>
      <c r="CQ15" s="0"/>
      <c r="CR15" s="0"/>
      <c r="CS15" s="0"/>
      <c r="CT15" s="0"/>
      <c r="CU15" s="0"/>
      <c r="CV15" s="0"/>
      <c r="CW15" s="0"/>
      <c r="CX15" s="0"/>
      <c r="CY15" s="0"/>
      <c r="CZ15" s="0"/>
      <c r="DA15" s="0"/>
      <c r="DB15" s="0"/>
      <c r="DC15" s="0"/>
      <c r="DD15" s="0"/>
      <c r="DE15" s="0"/>
      <c r="DF15" s="0"/>
      <c r="DG15" s="0"/>
      <c r="DH15" s="0"/>
      <c r="DI15" s="0"/>
      <c r="DJ15" s="0"/>
      <c r="DK15" s="0"/>
      <c r="DL15" s="0"/>
      <c r="DM15" s="0"/>
      <c r="DN15" s="0"/>
      <c r="DO15" s="0"/>
      <c r="DP15" s="0"/>
      <c r="DQ15" s="0"/>
      <c r="DR15" s="0"/>
      <c r="DS15" s="0"/>
      <c r="DT15" s="0"/>
      <c r="DU15" s="0"/>
      <c r="DV15" s="0"/>
      <c r="DW15" s="0"/>
      <c r="DX15" s="0"/>
      <c r="DY15" s="0"/>
      <c r="DZ15" s="0"/>
      <c r="EA15" s="0"/>
      <c r="EB15" s="0"/>
      <c r="EC15" s="0"/>
      <c r="ED15" s="0"/>
      <c r="EE15" s="0"/>
      <c r="EF15" s="0"/>
      <c r="EG15" s="0"/>
      <c r="EH15" s="0"/>
      <c r="EI15" s="0"/>
      <c r="EJ15" s="0"/>
      <c r="EK15" s="0"/>
      <c r="EL15" s="0"/>
      <c r="EM15" s="0"/>
      <c r="EN15" s="0"/>
      <c r="EO15" s="0"/>
      <c r="EP15" s="0"/>
      <c r="EQ15" s="0"/>
      <c r="ER15" s="0"/>
      <c r="ES15" s="0"/>
      <c r="ET15" s="0"/>
      <c r="EU15" s="0"/>
      <c r="EV15" s="0"/>
      <c r="EW15" s="0"/>
      <c r="EX15" s="0"/>
      <c r="EY15" s="0"/>
      <c r="EZ15" s="0"/>
      <c r="FA15" s="0"/>
      <c r="FB15" s="0"/>
      <c r="FC15" s="0"/>
      <c r="FD15" s="0"/>
      <c r="FE15" s="0"/>
      <c r="FF15" s="0"/>
      <c r="FG15" s="0"/>
      <c r="FH15" s="0"/>
      <c r="FI15" s="0"/>
      <c r="FJ15" s="0"/>
      <c r="FK15" s="0"/>
      <c r="FL15" s="0"/>
      <c r="FM15" s="0"/>
      <c r="FN15" s="0"/>
      <c r="FO15" s="0"/>
      <c r="FP15" s="0"/>
      <c r="FQ15" s="0"/>
      <c r="FR15" s="0"/>
      <c r="FS15" s="0"/>
      <c r="FT15" s="0"/>
      <c r="FU15" s="0"/>
      <c r="FV15" s="0"/>
      <c r="FW15" s="0"/>
      <c r="FX15" s="0"/>
      <c r="FY15" s="0"/>
      <c r="FZ15" s="0"/>
      <c r="GA15" s="0"/>
      <c r="GB15" s="0"/>
      <c r="GC15" s="0"/>
      <c r="GD15" s="0"/>
      <c r="GE15" s="0"/>
      <c r="GF15" s="0"/>
      <c r="GG15" s="0"/>
      <c r="GH15" s="0"/>
      <c r="GI15" s="0"/>
      <c r="GJ15" s="0"/>
      <c r="GK15" s="0"/>
      <c r="GL15" s="0"/>
      <c r="GM15" s="0"/>
      <c r="GN15" s="0"/>
      <c r="GO15" s="0"/>
      <c r="GP15" s="0"/>
      <c r="GQ15" s="0"/>
      <c r="GR15" s="0"/>
      <c r="GS15" s="0"/>
      <c r="GT15" s="0"/>
      <c r="GU15" s="0"/>
      <c r="GV15" s="0"/>
      <c r="GW15" s="0"/>
      <c r="GX15" s="0"/>
      <c r="GY15" s="0"/>
      <c r="GZ15" s="0"/>
      <c r="HA15" s="0"/>
      <c r="HB15" s="0"/>
      <c r="HC15" s="0"/>
      <c r="HD15" s="0"/>
      <c r="HE15" s="0"/>
      <c r="HF15" s="0"/>
      <c r="HG15" s="0"/>
      <c r="HH15" s="0"/>
      <c r="HI15" s="0"/>
      <c r="HJ15" s="0"/>
      <c r="HK15" s="0"/>
      <c r="HL15" s="0"/>
      <c r="HM15" s="0"/>
      <c r="HN15" s="0"/>
      <c r="HO15" s="0"/>
      <c r="HP15" s="0"/>
      <c r="HQ15" s="0"/>
      <c r="HR15" s="0"/>
      <c r="HS15" s="0"/>
      <c r="HT15" s="0"/>
      <c r="HU15" s="0"/>
      <c r="HV15" s="0"/>
      <c r="HW15" s="0"/>
      <c r="HX15" s="0"/>
      <c r="HY15" s="0"/>
      <c r="HZ15" s="0"/>
      <c r="IA15" s="0"/>
      <c r="IB15" s="0"/>
      <c r="IC15" s="0"/>
      <c r="ID15" s="0"/>
      <c r="IE15" s="0"/>
      <c r="IF15" s="0"/>
      <c r="IG15" s="0"/>
      <c r="IH15" s="0"/>
      <c r="II15" s="0"/>
      <c r="IJ15" s="0"/>
      <c r="IK15" s="0"/>
      <c r="IL15" s="0"/>
      <c r="IM15" s="0"/>
      <c r="IN15" s="0"/>
      <c r="IO15" s="0"/>
      <c r="IP15" s="0"/>
      <c r="IQ15" s="0"/>
      <c r="IR15" s="0"/>
      <c r="IS15" s="0"/>
      <c r="IT15" s="0"/>
      <c r="IU15" s="0"/>
      <c r="IV15" s="0"/>
      <c r="IW15" s="0"/>
    </row>
    <row r="16" customFormat="false" ht="11.1" hidden="false" customHeight="true" outlineLevel="0" collapsed="false">
      <c r="A16" s="118" t="n">
        <f aca="false">A15+1</f>
        <v>5</v>
      </c>
      <c r="B16" s="168" t="n">
        <v>6875.04</v>
      </c>
      <c r="C16" s="112" t="n">
        <v>201675</v>
      </c>
      <c r="D16" s="117" t="n">
        <f aca="false">C16-C15</f>
        <v>-827</v>
      </c>
      <c r="E16" s="112" t="n">
        <f aca="false">C16-152000</f>
        <v>49675</v>
      </c>
      <c r="F16" s="180" t="n">
        <f aca="false">D16/$D$2</f>
        <v>-416.939752961936</v>
      </c>
      <c r="G16" s="111" t="n">
        <v>103</v>
      </c>
      <c r="H16" s="113" t="n">
        <v>0.07</v>
      </c>
      <c r="I16" s="111" t="n">
        <f aca="false">G16+H16</f>
        <v>103.07</v>
      </c>
      <c r="J16" s="181" t="n">
        <f aca="false">IF(L16&gt;0,L16,0)</f>
        <v>0</v>
      </c>
      <c r="K16" s="111" t="n">
        <f aca="false">I16+J16</f>
        <v>103.07</v>
      </c>
      <c r="L16" s="111" t="n">
        <f aca="false">F16-(I16-AA16)</f>
        <v>-37.1597529619359</v>
      </c>
      <c r="M16" s="182" t="n">
        <v>169</v>
      </c>
      <c r="N16" s="196" t="n">
        <v>0</v>
      </c>
      <c r="O16" s="111" t="n">
        <f aca="false">35.69*1.05</f>
        <v>37.4745</v>
      </c>
      <c r="P16" s="115" t="n">
        <v>2.41</v>
      </c>
      <c r="Q16" s="245" t="n">
        <v>4.2</v>
      </c>
      <c r="R16" s="227" t="n">
        <v>1.9</v>
      </c>
      <c r="S16" s="111" t="n">
        <v>128</v>
      </c>
      <c r="T16" s="111" t="n">
        <v>75</v>
      </c>
      <c r="U16" s="111" t="n">
        <f aca="false">M16-N16-O16-P16-Q16-R16+S16+T16</f>
        <v>326.0155</v>
      </c>
      <c r="V16" s="112" t="n">
        <f aca="false">V15+AH16-(AI16/1.9835)+AJ16</f>
        <v>6416.15057362651</v>
      </c>
      <c r="W16" s="112"/>
      <c r="X16" s="111" t="n">
        <v>87.85</v>
      </c>
      <c r="Y16" s="111" t="n">
        <v>23</v>
      </c>
      <c r="Z16" s="112" t="n">
        <f aca="false">Z15-Y16</f>
        <v>5052.49231157046</v>
      </c>
      <c r="AA16" s="6" t="n">
        <f aca="false">M16+S16+T16+X16+Y16</f>
        <v>482.85</v>
      </c>
      <c r="AB16" s="111" t="n">
        <f aca="false">IF(L16&lt;0,L16*-1,0)</f>
        <v>37.1597529619359</v>
      </c>
      <c r="AC16" s="111" t="n">
        <f aca="false">AA16+AB16</f>
        <v>520.009752961936</v>
      </c>
      <c r="AD16" s="161" t="n">
        <v>0</v>
      </c>
      <c r="AE16" s="117" t="n">
        <v>90</v>
      </c>
      <c r="AF16" s="167" t="n">
        <v>54</v>
      </c>
      <c r="AG16" s="118" t="n">
        <v>0</v>
      </c>
      <c r="AH16" s="373" t="n">
        <f aca="false">(I16-P16-Q16)-(U16)</f>
        <v>-229.5555</v>
      </c>
      <c r="AI16" s="10" t="n">
        <f aca="false">23.5*(V15*1.9835-U16*1.9835)/E16</f>
        <v>5.92759470188256</v>
      </c>
      <c r="AJ16" s="376" t="n">
        <v>5.6</v>
      </c>
      <c r="AK16" s="0"/>
      <c r="AL16" s="0"/>
      <c r="AM16" s="0"/>
      <c r="AN16" s="0"/>
      <c r="AO16" s="0"/>
      <c r="AP16" s="0"/>
      <c r="AQ16" s="0"/>
      <c r="AR16" s="0"/>
      <c r="AS16" s="0"/>
      <c r="AT16" s="0"/>
      <c r="AU16" s="0"/>
      <c r="AV16" s="0"/>
      <c r="AW16" s="0"/>
      <c r="AX16" s="0"/>
      <c r="AY16" s="0"/>
      <c r="AZ16" s="0"/>
      <c r="BA16" s="0"/>
      <c r="BB16" s="0"/>
      <c r="BC16" s="0"/>
      <c r="BD16" s="0"/>
      <c r="BE16" s="0"/>
      <c r="BF16" s="0"/>
      <c r="BG16" s="0"/>
      <c r="BH16" s="0"/>
      <c r="BI16" s="0"/>
      <c r="BJ16" s="0"/>
      <c r="BK16" s="0"/>
      <c r="BL16" s="0"/>
      <c r="BM16" s="0"/>
      <c r="BN16" s="0"/>
      <c r="BO16" s="0"/>
      <c r="BP16" s="0"/>
      <c r="BQ16" s="0"/>
      <c r="BR16" s="0"/>
      <c r="BS16" s="0"/>
      <c r="BT16" s="0"/>
      <c r="BU16" s="0"/>
      <c r="BV16" s="0"/>
      <c r="BW16" s="0"/>
      <c r="BX16" s="0"/>
      <c r="BY16" s="0"/>
      <c r="BZ16" s="0"/>
      <c r="CA16" s="0"/>
      <c r="CB16" s="0"/>
      <c r="CC16" s="0"/>
      <c r="CD16" s="0"/>
      <c r="CE16" s="0"/>
      <c r="CF16" s="0"/>
      <c r="CG16" s="0"/>
      <c r="CH16" s="0"/>
      <c r="CI16" s="0"/>
      <c r="CJ16" s="0"/>
      <c r="CK16" s="0"/>
      <c r="CL16" s="0"/>
      <c r="CM16" s="0"/>
      <c r="CN16" s="0"/>
      <c r="CO16" s="0"/>
      <c r="CP16" s="0"/>
      <c r="CQ16" s="0"/>
      <c r="CR16" s="0"/>
      <c r="CS16" s="0"/>
      <c r="CT16" s="0"/>
      <c r="CU16" s="0"/>
      <c r="CV16" s="0"/>
      <c r="CW16" s="0"/>
      <c r="CX16" s="0"/>
      <c r="CY16" s="0"/>
      <c r="CZ16" s="0"/>
      <c r="DA16" s="0"/>
      <c r="DB16" s="0"/>
      <c r="DC16" s="0"/>
      <c r="DD16" s="0"/>
      <c r="DE16" s="0"/>
      <c r="DF16" s="0"/>
      <c r="DG16" s="0"/>
      <c r="DH16" s="0"/>
      <c r="DI16" s="0"/>
      <c r="DJ16" s="0"/>
      <c r="DK16" s="0"/>
      <c r="DL16" s="0"/>
      <c r="DM16" s="0"/>
      <c r="DN16" s="0"/>
      <c r="DO16" s="0"/>
      <c r="DP16" s="0"/>
      <c r="DQ16" s="0"/>
      <c r="DR16" s="0"/>
      <c r="DS16" s="0"/>
      <c r="DT16" s="0"/>
      <c r="DU16" s="0"/>
      <c r="DV16" s="0"/>
      <c r="DW16" s="0"/>
      <c r="DX16" s="0"/>
      <c r="DY16" s="0"/>
      <c r="DZ16" s="0"/>
      <c r="EA16" s="0"/>
      <c r="EB16" s="0"/>
      <c r="EC16" s="0"/>
      <c r="ED16" s="0"/>
      <c r="EE16" s="0"/>
      <c r="EF16" s="0"/>
      <c r="EG16" s="0"/>
      <c r="EH16" s="0"/>
      <c r="EI16" s="0"/>
      <c r="EJ16" s="0"/>
      <c r="EK16" s="0"/>
      <c r="EL16" s="0"/>
      <c r="EM16" s="0"/>
      <c r="EN16" s="0"/>
      <c r="EO16" s="0"/>
      <c r="EP16" s="0"/>
      <c r="EQ16" s="0"/>
      <c r="ER16" s="0"/>
      <c r="ES16" s="0"/>
      <c r="ET16" s="0"/>
      <c r="EU16" s="0"/>
      <c r="EV16" s="0"/>
      <c r="EW16" s="0"/>
      <c r="EX16" s="0"/>
      <c r="EY16" s="0"/>
      <c r="EZ16" s="0"/>
      <c r="FA16" s="0"/>
      <c r="FB16" s="0"/>
      <c r="FC16" s="0"/>
      <c r="FD16" s="0"/>
      <c r="FE16" s="0"/>
      <c r="FF16" s="0"/>
      <c r="FG16" s="0"/>
      <c r="FH16" s="0"/>
      <c r="FI16" s="0"/>
      <c r="FJ16" s="0"/>
      <c r="FK16" s="0"/>
      <c r="FL16" s="0"/>
      <c r="FM16" s="0"/>
      <c r="FN16" s="0"/>
      <c r="FO16" s="0"/>
      <c r="FP16" s="0"/>
      <c r="FQ16" s="0"/>
      <c r="FR16" s="0"/>
      <c r="FS16" s="0"/>
      <c r="FT16" s="0"/>
      <c r="FU16" s="0"/>
      <c r="FV16" s="0"/>
      <c r="FW16" s="0"/>
      <c r="FX16" s="0"/>
      <c r="FY16" s="0"/>
      <c r="FZ16" s="0"/>
      <c r="GA16" s="0"/>
      <c r="GB16" s="0"/>
      <c r="GC16" s="0"/>
      <c r="GD16" s="0"/>
      <c r="GE16" s="0"/>
      <c r="GF16" s="0"/>
      <c r="GG16" s="0"/>
      <c r="GH16" s="0"/>
      <c r="GI16" s="0"/>
      <c r="GJ16" s="0"/>
      <c r="GK16" s="0"/>
      <c r="GL16" s="0"/>
      <c r="GM16" s="0"/>
      <c r="GN16" s="0"/>
      <c r="GO16" s="0"/>
      <c r="GP16" s="0"/>
      <c r="GQ16" s="0"/>
      <c r="GR16" s="0"/>
      <c r="GS16" s="0"/>
      <c r="GT16" s="0"/>
      <c r="GU16" s="0"/>
      <c r="GV16" s="0"/>
      <c r="GW16" s="0"/>
      <c r="GX16" s="0"/>
      <c r="GY16" s="0"/>
      <c r="GZ16" s="0"/>
      <c r="HA16" s="0"/>
      <c r="HB16" s="0"/>
      <c r="HC16" s="0"/>
      <c r="HD16" s="0"/>
      <c r="HE16" s="0"/>
      <c r="HF16" s="0"/>
      <c r="HG16" s="0"/>
      <c r="HH16" s="0"/>
      <c r="HI16" s="0"/>
      <c r="HJ16" s="0"/>
      <c r="HK16" s="0"/>
      <c r="HL16" s="0"/>
      <c r="HM16" s="0"/>
      <c r="HN16" s="0"/>
      <c r="HO16" s="0"/>
      <c r="HP16" s="0"/>
      <c r="HQ16" s="0"/>
      <c r="HR16" s="0"/>
      <c r="HS16" s="0"/>
      <c r="HT16" s="0"/>
      <c r="HU16" s="0"/>
      <c r="HV16" s="0"/>
      <c r="HW16" s="0"/>
      <c r="HX16" s="0"/>
      <c r="HY16" s="0"/>
      <c r="HZ16" s="0"/>
      <c r="IA16" s="0"/>
      <c r="IB16" s="0"/>
      <c r="IC16" s="0"/>
      <c r="ID16" s="0"/>
      <c r="IE16" s="0"/>
      <c r="IF16" s="0"/>
      <c r="IG16" s="0"/>
      <c r="IH16" s="0"/>
      <c r="II16" s="0"/>
      <c r="IJ16" s="0"/>
      <c r="IK16" s="0"/>
      <c r="IL16" s="0"/>
      <c r="IM16" s="0"/>
      <c r="IN16" s="0"/>
      <c r="IO16" s="0"/>
      <c r="IP16" s="0"/>
      <c r="IQ16" s="0"/>
      <c r="IR16" s="0"/>
      <c r="IS16" s="0"/>
      <c r="IT16" s="0"/>
      <c r="IU16" s="0"/>
      <c r="IV16" s="0"/>
      <c r="IW16" s="0"/>
    </row>
    <row r="17" customFormat="false" ht="11.1" hidden="false" customHeight="true" outlineLevel="0" collapsed="false">
      <c r="A17" s="118" t="n">
        <f aca="false">A16+1</f>
        <v>6</v>
      </c>
      <c r="B17" s="168" t="n">
        <v>6874.71</v>
      </c>
      <c r="C17" s="112" t="n">
        <v>200742</v>
      </c>
      <c r="D17" s="117" t="n">
        <f aca="false">C17-C16</f>
        <v>-933</v>
      </c>
      <c r="E17" s="112" t="n">
        <f aca="false">C17-152000</f>
        <v>48742</v>
      </c>
      <c r="F17" s="180" t="n">
        <f aca="false">D17/$D$2</f>
        <v>-470.380640282329</v>
      </c>
      <c r="G17" s="111" t="n">
        <v>83</v>
      </c>
      <c r="H17" s="113" t="n">
        <v>0.01</v>
      </c>
      <c r="I17" s="111" t="n">
        <f aca="false">G17+H17</f>
        <v>83.01</v>
      </c>
      <c r="J17" s="181" t="n">
        <f aca="false">IF(L17&gt;0,L17,0)</f>
        <v>0</v>
      </c>
      <c r="K17" s="111" t="n">
        <f aca="false">I17+J17</f>
        <v>83.01</v>
      </c>
      <c r="L17" s="111" t="n">
        <f aca="false">F17-(I17-AA17)</f>
        <v>-38.1606402823292</v>
      </c>
      <c r="M17" s="182" t="n">
        <v>214</v>
      </c>
      <c r="N17" s="196" t="n">
        <v>1.5</v>
      </c>
      <c r="O17" s="111" t="n">
        <f aca="false">44.68*1.05</f>
        <v>46.914</v>
      </c>
      <c r="P17" s="115" t="n">
        <v>2.92</v>
      </c>
      <c r="Q17" s="245" t="n">
        <v>4.2</v>
      </c>
      <c r="R17" s="227" t="n">
        <v>2.15</v>
      </c>
      <c r="S17" s="111" t="n">
        <v>128</v>
      </c>
      <c r="T17" s="111" t="n">
        <v>75</v>
      </c>
      <c r="U17" s="111" t="n">
        <f aca="false">M17-N17-O17-P17-Q17-R17+S17+T17</f>
        <v>359.316</v>
      </c>
      <c r="V17" s="112" t="n">
        <f aca="false">V16+AH17-(AI17/1.9835)</f>
        <v>6129.80438954542</v>
      </c>
      <c r="W17" s="112"/>
      <c r="X17" s="111" t="n">
        <v>75.23</v>
      </c>
      <c r="Y17" s="111" t="n">
        <v>23</v>
      </c>
      <c r="Z17" s="112" t="n">
        <f aca="false">Z16-Y17</f>
        <v>5029.49231157046</v>
      </c>
      <c r="AA17" s="6" t="n">
        <f aca="false">M17+S17+T17+X17+Y17</f>
        <v>515.23</v>
      </c>
      <c r="AB17" s="111" t="n">
        <f aca="false">IF(L17&lt;0,L17*-1,0)</f>
        <v>38.1606402823292</v>
      </c>
      <c r="AC17" s="111" t="n">
        <f aca="false">AA17+AB17</f>
        <v>553.390640282329</v>
      </c>
      <c r="AD17" s="161" t="n">
        <v>0</v>
      </c>
      <c r="AE17" s="117" t="n">
        <v>90</v>
      </c>
      <c r="AF17" s="167" t="n">
        <v>58</v>
      </c>
      <c r="AG17" s="118" t="n">
        <v>0</v>
      </c>
      <c r="AH17" s="373" t="n">
        <f aca="false">(I17-P17-Q17)-(U17)</f>
        <v>-283.426</v>
      </c>
      <c r="AI17" s="10" t="n">
        <f aca="false">23.5*(V16*1.9835-U17*1.9835)/E17</f>
        <v>5.7921851248312</v>
      </c>
      <c r="AJ17" s="376"/>
      <c r="AK17" s="0"/>
      <c r="AL17" s="0"/>
      <c r="AM17" s="0"/>
      <c r="AN17" s="0"/>
      <c r="AO17" s="0"/>
      <c r="AP17" s="0"/>
      <c r="AQ17" s="0"/>
      <c r="AR17" s="0"/>
      <c r="AS17" s="0"/>
      <c r="AT17" s="0"/>
      <c r="AU17" s="0"/>
      <c r="AV17" s="0"/>
      <c r="AW17" s="0"/>
      <c r="AX17" s="0"/>
      <c r="AY17" s="0"/>
      <c r="AZ17" s="0"/>
      <c r="BA17" s="0"/>
      <c r="BB17" s="0"/>
      <c r="BC17" s="0"/>
      <c r="BD17" s="0"/>
      <c r="BE17" s="0"/>
      <c r="BF17" s="0"/>
      <c r="BG17" s="0"/>
      <c r="BH17" s="0"/>
      <c r="BI17" s="0"/>
      <c r="BJ17" s="0"/>
      <c r="BK17" s="0"/>
      <c r="BL17" s="0"/>
      <c r="BM17" s="0"/>
      <c r="BN17" s="0"/>
      <c r="BO17" s="0"/>
      <c r="BP17" s="0"/>
      <c r="BQ17" s="0"/>
      <c r="BR17" s="0"/>
      <c r="BS17" s="0"/>
      <c r="BT17" s="0"/>
      <c r="BU17" s="0"/>
      <c r="BV17" s="0"/>
      <c r="BW17" s="0"/>
      <c r="BX17" s="0"/>
      <c r="BY17" s="0"/>
      <c r="BZ17" s="0"/>
      <c r="CA17" s="0"/>
      <c r="CB17" s="0"/>
      <c r="CC17" s="0"/>
      <c r="CD17" s="0"/>
      <c r="CE17" s="0"/>
      <c r="CF17" s="0"/>
      <c r="CG17" s="0"/>
      <c r="CH17" s="0"/>
      <c r="CI17" s="0"/>
      <c r="CJ17" s="0"/>
      <c r="CK17" s="0"/>
      <c r="CL17" s="0"/>
      <c r="CM17" s="0"/>
      <c r="CN17" s="0"/>
      <c r="CO17" s="0"/>
      <c r="CP17" s="0"/>
      <c r="CQ17" s="0"/>
      <c r="CR17" s="0"/>
      <c r="CS17" s="0"/>
      <c r="CT17" s="0"/>
      <c r="CU17" s="0"/>
      <c r="CV17" s="0"/>
      <c r="CW17" s="0"/>
      <c r="CX17" s="0"/>
      <c r="CY17" s="0"/>
      <c r="CZ17" s="0"/>
      <c r="DA17" s="0"/>
      <c r="DB17" s="0"/>
      <c r="DC17" s="0"/>
      <c r="DD17" s="0"/>
      <c r="DE17" s="0"/>
      <c r="DF17" s="0"/>
      <c r="DG17" s="0"/>
      <c r="DH17" s="0"/>
      <c r="DI17" s="0"/>
      <c r="DJ17" s="0"/>
      <c r="DK17" s="0"/>
      <c r="DL17" s="0"/>
      <c r="DM17" s="0"/>
      <c r="DN17" s="0"/>
      <c r="DO17" s="0"/>
      <c r="DP17" s="0"/>
      <c r="DQ17" s="0"/>
      <c r="DR17" s="0"/>
      <c r="DS17" s="0"/>
      <c r="DT17" s="0"/>
      <c r="DU17" s="0"/>
      <c r="DV17" s="0"/>
      <c r="DW17" s="0"/>
      <c r="DX17" s="0"/>
      <c r="DY17" s="0"/>
      <c r="DZ17" s="0"/>
      <c r="EA17" s="0"/>
      <c r="EB17" s="0"/>
      <c r="EC17" s="0"/>
      <c r="ED17" s="0"/>
      <c r="EE17" s="0"/>
      <c r="EF17" s="0"/>
      <c r="EG17" s="0"/>
      <c r="EH17" s="0"/>
      <c r="EI17" s="0"/>
      <c r="EJ17" s="0"/>
      <c r="EK17" s="0"/>
      <c r="EL17" s="0"/>
      <c r="EM17" s="0"/>
      <c r="EN17" s="0"/>
      <c r="EO17" s="0"/>
      <c r="EP17" s="0"/>
      <c r="EQ17" s="0"/>
      <c r="ER17" s="0"/>
      <c r="ES17" s="0"/>
      <c r="ET17" s="0"/>
      <c r="EU17" s="0"/>
      <c r="EV17" s="0"/>
      <c r="EW17" s="0"/>
      <c r="EX17" s="0"/>
      <c r="EY17" s="0"/>
      <c r="EZ17" s="0"/>
      <c r="FA17" s="0"/>
      <c r="FB17" s="0"/>
      <c r="FC17" s="0"/>
      <c r="FD17" s="0"/>
      <c r="FE17" s="0"/>
      <c r="FF17" s="0"/>
      <c r="FG17" s="0"/>
      <c r="FH17" s="0"/>
      <c r="FI17" s="0"/>
      <c r="FJ17" s="0"/>
      <c r="FK17" s="0"/>
      <c r="FL17" s="0"/>
      <c r="FM17" s="0"/>
      <c r="FN17" s="0"/>
      <c r="FO17" s="0"/>
      <c r="FP17" s="0"/>
      <c r="FQ17" s="0"/>
      <c r="FR17" s="0"/>
      <c r="FS17" s="0"/>
      <c r="FT17" s="0"/>
      <c r="FU17" s="0"/>
      <c r="FV17" s="0"/>
      <c r="FW17" s="0"/>
      <c r="FX17" s="0"/>
      <c r="FY17" s="0"/>
      <c r="FZ17" s="0"/>
      <c r="GA17" s="0"/>
      <c r="GB17" s="0"/>
      <c r="GC17" s="0"/>
      <c r="GD17" s="0"/>
      <c r="GE17" s="0"/>
      <c r="GF17" s="0"/>
      <c r="GG17" s="0"/>
      <c r="GH17" s="0"/>
      <c r="GI17" s="0"/>
      <c r="GJ17" s="0"/>
      <c r="GK17" s="0"/>
      <c r="GL17" s="0"/>
      <c r="GM17" s="0"/>
      <c r="GN17" s="0"/>
      <c r="GO17" s="0"/>
      <c r="GP17" s="0"/>
      <c r="GQ17" s="0"/>
      <c r="GR17" s="0"/>
      <c r="GS17" s="0"/>
      <c r="GT17" s="0"/>
      <c r="GU17" s="0"/>
      <c r="GV17" s="0"/>
      <c r="GW17" s="0"/>
      <c r="GX17" s="0"/>
      <c r="GY17" s="0"/>
      <c r="GZ17" s="0"/>
      <c r="HA17" s="0"/>
      <c r="HB17" s="0"/>
      <c r="HC17" s="0"/>
      <c r="HD17" s="0"/>
      <c r="HE17" s="0"/>
      <c r="HF17" s="0"/>
      <c r="HG17" s="0"/>
      <c r="HH17" s="0"/>
      <c r="HI17" s="0"/>
      <c r="HJ17" s="0"/>
      <c r="HK17" s="0"/>
      <c r="HL17" s="0"/>
      <c r="HM17" s="0"/>
      <c r="HN17" s="0"/>
      <c r="HO17" s="0"/>
      <c r="HP17" s="0"/>
      <c r="HQ17" s="0"/>
      <c r="HR17" s="0"/>
      <c r="HS17" s="0"/>
      <c r="HT17" s="0"/>
      <c r="HU17" s="0"/>
      <c r="HV17" s="0"/>
      <c r="HW17" s="0"/>
      <c r="HX17" s="0"/>
      <c r="HY17" s="0"/>
      <c r="HZ17" s="0"/>
      <c r="IA17" s="0"/>
      <c r="IB17" s="0"/>
      <c r="IC17" s="0"/>
      <c r="ID17" s="0"/>
      <c r="IE17" s="0"/>
      <c r="IF17" s="0"/>
      <c r="IG17" s="0"/>
      <c r="IH17" s="0"/>
      <c r="II17" s="0"/>
      <c r="IJ17" s="0"/>
      <c r="IK17" s="0"/>
      <c r="IL17" s="0"/>
      <c r="IM17" s="0"/>
      <c r="IN17" s="0"/>
      <c r="IO17" s="0"/>
      <c r="IP17" s="0"/>
      <c r="IQ17" s="0"/>
      <c r="IR17" s="0"/>
      <c r="IS17" s="0"/>
      <c r="IT17" s="0"/>
      <c r="IU17" s="0"/>
      <c r="IV17" s="0"/>
      <c r="IW17" s="0"/>
    </row>
    <row r="18" customFormat="false" ht="11.1" hidden="false" customHeight="true" outlineLevel="0" collapsed="false">
      <c r="A18" s="118" t="n">
        <f aca="false">A17+1</f>
        <v>7</v>
      </c>
      <c r="B18" s="168" t="n">
        <v>6874.42</v>
      </c>
      <c r="C18" s="112" t="n">
        <v>199924</v>
      </c>
      <c r="D18" s="117" t="n">
        <f aca="false">C18-C17</f>
        <v>-818</v>
      </c>
      <c r="E18" s="112" t="n">
        <f aca="false">C18-152000</f>
        <v>47924</v>
      </c>
      <c r="F18" s="180" t="n">
        <f aca="false">D18/$D$2</f>
        <v>-412.402319132846</v>
      </c>
      <c r="G18" s="111" t="n">
        <v>74</v>
      </c>
      <c r="H18" s="113" t="n">
        <v>0</v>
      </c>
      <c r="I18" s="111" t="n">
        <f aca="false">G18+H18</f>
        <v>74</v>
      </c>
      <c r="J18" s="181" t="n">
        <f aca="false">IF(L18&gt;0,L18,0)</f>
        <v>14.8876808671541</v>
      </c>
      <c r="K18" s="111" t="n">
        <f aca="false">I18+J18</f>
        <v>88.8876808671541</v>
      </c>
      <c r="L18" s="111" t="n">
        <f aca="false">F18-(I18-AA18)</f>
        <v>14.8876808671541</v>
      </c>
      <c r="M18" s="182" t="n">
        <v>201</v>
      </c>
      <c r="N18" s="196" t="n">
        <v>0</v>
      </c>
      <c r="O18" s="111" t="n">
        <f aca="false">43.66*1.05</f>
        <v>45.843</v>
      </c>
      <c r="P18" s="115" t="n">
        <v>2.74</v>
      </c>
      <c r="Q18" s="245" t="n">
        <v>4.2</v>
      </c>
      <c r="R18" s="227" t="n">
        <v>1.74</v>
      </c>
      <c r="S18" s="111" t="n">
        <v>127</v>
      </c>
      <c r="T18" s="111" t="n">
        <v>74</v>
      </c>
      <c r="U18" s="111" t="n">
        <f aca="false">M18-N18-O18-P18-Q18-R18+S18+T18</f>
        <v>347.477</v>
      </c>
      <c r="V18" s="112" t="n">
        <f aca="false">V17+AH18-(AI18/1.9835)</f>
        <v>5846.55196901178</v>
      </c>
      <c r="W18" s="112"/>
      <c r="X18" s="111" t="n">
        <v>77.29</v>
      </c>
      <c r="Y18" s="111" t="n">
        <v>22</v>
      </c>
      <c r="Z18" s="112" t="n">
        <f aca="false">Z17-Y18</f>
        <v>5007.49231157046</v>
      </c>
      <c r="AA18" s="6" t="n">
        <f aca="false">M18+S18+T18+X18+Y18</f>
        <v>501.29</v>
      </c>
      <c r="AB18" s="111" t="n">
        <f aca="false">IF(L18&lt;0,L18*-1,0)</f>
        <v>0</v>
      </c>
      <c r="AC18" s="111" t="n">
        <f aca="false">AA18+AB18</f>
        <v>501.29</v>
      </c>
      <c r="AD18" s="161" t="n">
        <v>0.05</v>
      </c>
      <c r="AE18" s="117" t="n">
        <v>90</v>
      </c>
      <c r="AF18" s="167" t="n">
        <v>60</v>
      </c>
      <c r="AG18" s="118" t="n">
        <v>0</v>
      </c>
      <c r="AH18" s="373" t="n">
        <f aca="false">(I18-P18-Q18)-(U18)</f>
        <v>-280.417</v>
      </c>
      <c r="AI18" s="10" t="n">
        <f aca="false">23.5*(V17*1.9835-U18*1.9835)/E18</f>
        <v>5.62405662848132</v>
      </c>
      <c r="AJ18" s="376"/>
      <c r="AK18" s="0"/>
      <c r="AL18" s="0"/>
      <c r="AM18" s="0"/>
      <c r="AN18" s="0"/>
      <c r="AO18" s="0"/>
      <c r="AP18" s="0"/>
      <c r="AQ18" s="0"/>
      <c r="AR18" s="0"/>
      <c r="AS18" s="0"/>
      <c r="AT18" s="0"/>
      <c r="AU18" s="0"/>
      <c r="AV18" s="0"/>
      <c r="AW18" s="0"/>
      <c r="AX18" s="0"/>
      <c r="AY18" s="0"/>
      <c r="AZ18" s="0"/>
      <c r="BA18" s="0"/>
      <c r="BB18" s="0"/>
      <c r="BC18" s="0"/>
      <c r="BD18" s="0"/>
      <c r="BE18" s="0"/>
      <c r="BF18" s="0"/>
      <c r="BG18" s="0"/>
      <c r="BH18" s="0"/>
      <c r="BI18" s="0"/>
      <c r="BJ18" s="0"/>
      <c r="BK18" s="0"/>
      <c r="BL18" s="0"/>
      <c r="BM18" s="0"/>
      <c r="BN18" s="0"/>
      <c r="BO18" s="0"/>
      <c r="BP18" s="0"/>
      <c r="BQ18" s="0"/>
      <c r="BR18" s="0"/>
      <c r="BS18" s="0"/>
      <c r="BT18" s="0"/>
      <c r="BU18" s="0"/>
      <c r="BV18" s="0"/>
      <c r="BW18" s="0"/>
      <c r="BX18" s="0"/>
      <c r="BY18" s="0"/>
      <c r="BZ18" s="0"/>
      <c r="CA18" s="0"/>
      <c r="CB18" s="0"/>
      <c r="CC18" s="0"/>
      <c r="CD18" s="0"/>
      <c r="CE18" s="0"/>
      <c r="CF18" s="0"/>
      <c r="CG18" s="0"/>
      <c r="CH18" s="0"/>
      <c r="CI18" s="0"/>
      <c r="CJ18" s="0"/>
      <c r="CK18" s="0"/>
      <c r="CL18" s="0"/>
      <c r="CM18" s="0"/>
      <c r="CN18" s="0"/>
      <c r="CO18" s="0"/>
      <c r="CP18" s="0"/>
      <c r="CQ18" s="0"/>
      <c r="CR18" s="0"/>
      <c r="CS18" s="0"/>
      <c r="CT18" s="0"/>
      <c r="CU18" s="0"/>
      <c r="CV18" s="0"/>
      <c r="CW18" s="0"/>
      <c r="CX18" s="0"/>
      <c r="CY18" s="0"/>
      <c r="CZ18" s="0"/>
      <c r="DA18" s="0"/>
      <c r="DB18" s="0"/>
      <c r="DC18" s="0"/>
      <c r="DD18" s="0"/>
      <c r="DE18" s="0"/>
      <c r="DF18" s="0"/>
      <c r="DG18" s="0"/>
      <c r="DH18" s="0"/>
      <c r="DI18" s="0"/>
      <c r="DJ18" s="0"/>
      <c r="DK18" s="0"/>
      <c r="DL18" s="0"/>
      <c r="DM18" s="0"/>
      <c r="DN18" s="0"/>
      <c r="DO18" s="0"/>
      <c r="DP18" s="0"/>
      <c r="DQ18" s="0"/>
      <c r="DR18" s="0"/>
      <c r="DS18" s="0"/>
      <c r="DT18" s="0"/>
      <c r="DU18" s="0"/>
      <c r="DV18" s="0"/>
      <c r="DW18" s="0"/>
      <c r="DX18" s="0"/>
      <c r="DY18" s="0"/>
      <c r="DZ18" s="0"/>
      <c r="EA18" s="0"/>
      <c r="EB18" s="0"/>
      <c r="EC18" s="0"/>
      <c r="ED18" s="0"/>
      <c r="EE18" s="0"/>
      <c r="EF18" s="0"/>
      <c r="EG18" s="0"/>
      <c r="EH18" s="0"/>
      <c r="EI18" s="0"/>
      <c r="EJ18" s="0"/>
      <c r="EK18" s="0"/>
      <c r="EL18" s="0"/>
      <c r="EM18" s="0"/>
      <c r="EN18" s="0"/>
      <c r="EO18" s="0"/>
      <c r="EP18" s="0"/>
      <c r="EQ18" s="0"/>
      <c r="ER18" s="0"/>
      <c r="ES18" s="0"/>
      <c r="ET18" s="0"/>
      <c r="EU18" s="0"/>
      <c r="EV18" s="0"/>
      <c r="EW18" s="0"/>
      <c r="EX18" s="0"/>
      <c r="EY18" s="0"/>
      <c r="EZ18" s="0"/>
      <c r="FA18" s="0"/>
      <c r="FB18" s="0"/>
      <c r="FC18" s="0"/>
      <c r="FD18" s="0"/>
      <c r="FE18" s="0"/>
      <c r="FF18" s="0"/>
      <c r="FG18" s="0"/>
      <c r="FH18" s="0"/>
      <c r="FI18" s="0"/>
      <c r="FJ18" s="0"/>
      <c r="FK18" s="0"/>
      <c r="FL18" s="0"/>
      <c r="FM18" s="0"/>
      <c r="FN18" s="0"/>
      <c r="FO18" s="0"/>
      <c r="FP18" s="0"/>
      <c r="FQ18" s="0"/>
      <c r="FR18" s="0"/>
      <c r="FS18" s="0"/>
      <c r="FT18" s="0"/>
      <c r="FU18" s="0"/>
      <c r="FV18" s="0"/>
      <c r="FW18" s="0"/>
      <c r="FX18" s="0"/>
      <c r="FY18" s="0"/>
      <c r="FZ18" s="0"/>
      <c r="GA18" s="0"/>
      <c r="GB18" s="0"/>
      <c r="GC18" s="0"/>
      <c r="GD18" s="0"/>
      <c r="GE18" s="0"/>
      <c r="GF18" s="0"/>
      <c r="GG18" s="0"/>
      <c r="GH18" s="0"/>
      <c r="GI18" s="0"/>
      <c r="GJ18" s="0"/>
      <c r="GK18" s="0"/>
      <c r="GL18" s="0"/>
      <c r="GM18" s="0"/>
      <c r="GN18" s="0"/>
      <c r="GO18" s="0"/>
      <c r="GP18" s="0"/>
      <c r="GQ18" s="0"/>
      <c r="GR18" s="0"/>
      <c r="GS18" s="0"/>
      <c r="GT18" s="0"/>
      <c r="GU18" s="0"/>
      <c r="GV18" s="0"/>
      <c r="GW18" s="0"/>
      <c r="GX18" s="0"/>
      <c r="GY18" s="0"/>
      <c r="GZ18" s="0"/>
      <c r="HA18" s="0"/>
      <c r="HB18" s="0"/>
      <c r="HC18" s="0"/>
      <c r="HD18" s="0"/>
      <c r="HE18" s="0"/>
      <c r="HF18" s="0"/>
      <c r="HG18" s="0"/>
      <c r="HH18" s="0"/>
      <c r="HI18" s="0"/>
      <c r="HJ18" s="0"/>
      <c r="HK18" s="0"/>
      <c r="HL18" s="0"/>
      <c r="HM18" s="0"/>
      <c r="HN18" s="0"/>
      <c r="HO18" s="0"/>
      <c r="HP18" s="0"/>
      <c r="HQ18" s="0"/>
      <c r="HR18" s="0"/>
      <c r="HS18" s="0"/>
      <c r="HT18" s="0"/>
      <c r="HU18" s="0"/>
      <c r="HV18" s="0"/>
      <c r="HW18" s="0"/>
      <c r="HX18" s="0"/>
      <c r="HY18" s="0"/>
      <c r="HZ18" s="0"/>
      <c r="IA18" s="0"/>
      <c r="IB18" s="0"/>
      <c r="IC18" s="0"/>
      <c r="ID18" s="0"/>
      <c r="IE18" s="0"/>
      <c r="IF18" s="0"/>
      <c r="IG18" s="0"/>
      <c r="IH18" s="0"/>
      <c r="II18" s="0"/>
      <c r="IJ18" s="0"/>
      <c r="IK18" s="0"/>
      <c r="IL18" s="0"/>
      <c r="IM18" s="0"/>
      <c r="IN18" s="0"/>
      <c r="IO18" s="0"/>
      <c r="IP18" s="0"/>
      <c r="IQ18" s="0"/>
      <c r="IR18" s="0"/>
      <c r="IS18" s="0"/>
      <c r="IT18" s="0"/>
      <c r="IU18" s="0"/>
      <c r="IV18" s="0"/>
      <c r="IW18" s="0"/>
    </row>
    <row r="19" customFormat="false" ht="11.1" hidden="false" customHeight="true" outlineLevel="0" collapsed="false">
      <c r="A19" s="118" t="n">
        <f aca="false">A18+1</f>
        <v>8</v>
      </c>
      <c r="B19" s="168" t="n">
        <v>6874.12</v>
      </c>
      <c r="C19" s="112" t="n">
        <v>199078</v>
      </c>
      <c r="D19" s="117" t="n">
        <f aca="false">C19-C18</f>
        <v>-846</v>
      </c>
      <c r="E19" s="112" t="n">
        <f aca="false">C19-152000</f>
        <v>47078</v>
      </c>
      <c r="F19" s="180" t="n">
        <f aca="false">D19/$D$2</f>
        <v>-426.518779934459</v>
      </c>
      <c r="G19" s="111" t="n">
        <v>83</v>
      </c>
      <c r="H19" s="113" t="n">
        <v>0</v>
      </c>
      <c r="I19" s="111" t="n">
        <f aca="false">G19+H19</f>
        <v>83</v>
      </c>
      <c r="J19" s="181" t="n">
        <f aca="false">IF(L19&gt;0,L19,0)</f>
        <v>0</v>
      </c>
      <c r="K19" s="111" t="n">
        <f aca="false">I19+J19</f>
        <v>83</v>
      </c>
      <c r="L19" s="111" t="n">
        <f aca="false">F19-(I19-AA19)</f>
        <v>-38.3887799344593</v>
      </c>
      <c r="M19" s="182" t="n">
        <v>186</v>
      </c>
      <c r="N19" s="196" t="n">
        <v>0</v>
      </c>
      <c r="O19" s="111" t="n">
        <f aca="false">38.08*1.05</f>
        <v>39.984</v>
      </c>
      <c r="P19" s="115" t="n">
        <v>3.1</v>
      </c>
      <c r="Q19" s="245" t="n">
        <v>4.2</v>
      </c>
      <c r="R19" s="227" t="n">
        <v>1.91</v>
      </c>
      <c r="S19" s="111" t="n">
        <v>125</v>
      </c>
      <c r="T19" s="111" t="n">
        <v>74</v>
      </c>
      <c r="U19" s="111" t="n">
        <f aca="false">M19-N19-O19-P19-Q19-R19+S19+T19</f>
        <v>335.806</v>
      </c>
      <c r="V19" s="112" t="n">
        <f aca="false">V18+AH19-(AI19/1.9835)</f>
        <v>5583.69516119769</v>
      </c>
      <c r="W19" s="112"/>
      <c r="X19" s="111" t="n">
        <v>65.13</v>
      </c>
      <c r="Y19" s="111" t="n">
        <v>21</v>
      </c>
      <c r="Z19" s="112" t="n">
        <f aca="false">Z18-Y19</f>
        <v>4986.49231157046</v>
      </c>
      <c r="AA19" s="6" t="n">
        <f aca="false">M19+S19+T19+X19+Y19</f>
        <v>471.13</v>
      </c>
      <c r="AB19" s="111" t="n">
        <f aca="false">IF(L19&lt;0,L19*-1,0)</f>
        <v>38.3887799344593</v>
      </c>
      <c r="AC19" s="111" t="n">
        <f aca="false">AA19+AB19</f>
        <v>509.518779934459</v>
      </c>
      <c r="AD19" s="161" t="n">
        <v>0</v>
      </c>
      <c r="AE19" s="117" t="n">
        <v>89</v>
      </c>
      <c r="AF19" s="167" t="n">
        <v>52</v>
      </c>
      <c r="AG19" s="118" t="n">
        <v>0</v>
      </c>
      <c r="AH19" s="373" t="n">
        <f aca="false">(I19-P19-Q19)-(U19)</f>
        <v>-260.106</v>
      </c>
      <c r="AI19" s="10" t="n">
        <f aca="false">23.5*(V18*1.9835-U19*1.9835)/E19</f>
        <v>5.45622729924953</v>
      </c>
      <c r="AJ19" s="376"/>
      <c r="AK19" s="0"/>
      <c r="AL19" s="0"/>
      <c r="AM19" s="0"/>
      <c r="AN19" s="0"/>
      <c r="AO19" s="0"/>
      <c r="AP19" s="0"/>
      <c r="AQ19" s="0"/>
      <c r="AR19" s="0"/>
      <c r="AS19" s="0"/>
      <c r="AT19" s="0"/>
      <c r="AU19" s="0"/>
      <c r="AV19" s="0"/>
      <c r="AW19" s="0"/>
      <c r="AX19" s="0"/>
      <c r="AY19" s="0"/>
      <c r="AZ19" s="0"/>
      <c r="BA19" s="0"/>
      <c r="BB19" s="0"/>
      <c r="BC19" s="0"/>
      <c r="BD19" s="0"/>
      <c r="BE19" s="0"/>
      <c r="BF19" s="0"/>
      <c r="BG19" s="0"/>
      <c r="BH19" s="0"/>
      <c r="BI19" s="0"/>
      <c r="BJ19" s="0"/>
      <c r="BK19" s="0"/>
      <c r="BL19" s="0"/>
      <c r="BM19" s="0"/>
      <c r="BN19" s="0"/>
      <c r="BO19" s="0"/>
      <c r="BP19" s="0"/>
      <c r="BQ19" s="0"/>
      <c r="BR19" s="0"/>
      <c r="BS19" s="0"/>
      <c r="BT19" s="0"/>
      <c r="BU19" s="0"/>
      <c r="BV19" s="0"/>
      <c r="BW19" s="0"/>
      <c r="BX19" s="0"/>
      <c r="BY19" s="0"/>
      <c r="BZ19" s="0"/>
      <c r="CA19" s="0"/>
      <c r="CB19" s="0"/>
      <c r="CC19" s="0"/>
      <c r="CD19" s="0"/>
      <c r="CE19" s="0"/>
      <c r="CF19" s="0"/>
      <c r="CG19" s="0"/>
      <c r="CH19" s="0"/>
      <c r="CI19" s="0"/>
      <c r="CJ19" s="0"/>
      <c r="CK19" s="0"/>
      <c r="CL19" s="0"/>
      <c r="CM19" s="0"/>
      <c r="CN19" s="0"/>
      <c r="CO19" s="0"/>
      <c r="CP19" s="0"/>
      <c r="CQ19" s="0"/>
      <c r="CR19" s="0"/>
      <c r="CS19" s="0"/>
      <c r="CT19" s="0"/>
      <c r="CU19" s="0"/>
      <c r="CV19" s="0"/>
      <c r="CW19" s="0"/>
      <c r="CX19" s="0"/>
      <c r="CY19" s="0"/>
      <c r="CZ19" s="0"/>
      <c r="DA19" s="0"/>
      <c r="DB19" s="0"/>
      <c r="DC19" s="0"/>
      <c r="DD19" s="0"/>
      <c r="DE19" s="0"/>
      <c r="DF19" s="0"/>
      <c r="DG19" s="0"/>
      <c r="DH19" s="0"/>
      <c r="DI19" s="0"/>
      <c r="DJ19" s="0"/>
      <c r="DK19" s="0"/>
      <c r="DL19" s="0"/>
      <c r="DM19" s="0"/>
      <c r="DN19" s="0"/>
      <c r="DO19" s="0"/>
      <c r="DP19" s="0"/>
      <c r="DQ19" s="0"/>
      <c r="DR19" s="0"/>
      <c r="DS19" s="0"/>
      <c r="DT19" s="0"/>
      <c r="DU19" s="0"/>
      <c r="DV19" s="0"/>
      <c r="DW19" s="0"/>
      <c r="DX19" s="0"/>
      <c r="DY19" s="0"/>
      <c r="DZ19" s="0"/>
      <c r="EA19" s="0"/>
      <c r="EB19" s="0"/>
      <c r="EC19" s="0"/>
      <c r="ED19" s="0"/>
      <c r="EE19" s="0"/>
      <c r="EF19" s="0"/>
      <c r="EG19" s="0"/>
      <c r="EH19" s="0"/>
      <c r="EI19" s="0"/>
      <c r="EJ19" s="0"/>
      <c r="EK19" s="0"/>
      <c r="EL19" s="0"/>
      <c r="EM19" s="0"/>
      <c r="EN19" s="0"/>
      <c r="EO19" s="0"/>
      <c r="EP19" s="0"/>
      <c r="EQ19" s="0"/>
      <c r="ER19" s="0"/>
      <c r="ES19" s="0"/>
      <c r="ET19" s="0"/>
      <c r="EU19" s="0"/>
      <c r="EV19" s="0"/>
      <c r="EW19" s="0"/>
      <c r="EX19" s="0"/>
      <c r="EY19" s="0"/>
      <c r="EZ19" s="0"/>
      <c r="FA19" s="0"/>
      <c r="FB19" s="0"/>
      <c r="FC19" s="0"/>
      <c r="FD19" s="0"/>
      <c r="FE19" s="0"/>
      <c r="FF19" s="0"/>
      <c r="FG19" s="0"/>
      <c r="FH19" s="0"/>
      <c r="FI19" s="0"/>
      <c r="FJ19" s="0"/>
      <c r="FK19" s="0"/>
      <c r="FL19" s="0"/>
      <c r="FM19" s="0"/>
      <c r="FN19" s="0"/>
      <c r="FO19" s="0"/>
      <c r="FP19" s="0"/>
      <c r="FQ19" s="0"/>
      <c r="FR19" s="0"/>
      <c r="FS19" s="0"/>
      <c r="FT19" s="0"/>
      <c r="FU19" s="0"/>
      <c r="FV19" s="0"/>
      <c r="FW19" s="0"/>
      <c r="FX19" s="0"/>
      <c r="FY19" s="0"/>
      <c r="FZ19" s="0"/>
      <c r="GA19" s="0"/>
      <c r="GB19" s="0"/>
      <c r="GC19" s="0"/>
      <c r="GD19" s="0"/>
      <c r="GE19" s="0"/>
      <c r="GF19" s="0"/>
      <c r="GG19" s="0"/>
      <c r="GH19" s="0"/>
      <c r="GI19" s="0"/>
      <c r="GJ19" s="0"/>
      <c r="GK19" s="0"/>
      <c r="GL19" s="0"/>
      <c r="GM19" s="0"/>
      <c r="GN19" s="0"/>
      <c r="GO19" s="0"/>
      <c r="GP19" s="0"/>
      <c r="GQ19" s="0"/>
      <c r="GR19" s="0"/>
      <c r="GS19" s="0"/>
      <c r="GT19" s="0"/>
      <c r="GU19" s="0"/>
      <c r="GV19" s="0"/>
      <c r="GW19" s="0"/>
      <c r="GX19" s="0"/>
      <c r="GY19" s="0"/>
      <c r="GZ19" s="0"/>
      <c r="HA19" s="0"/>
      <c r="HB19" s="0"/>
      <c r="HC19" s="0"/>
      <c r="HD19" s="0"/>
      <c r="HE19" s="0"/>
      <c r="HF19" s="0"/>
      <c r="HG19" s="0"/>
      <c r="HH19" s="0"/>
      <c r="HI19" s="0"/>
      <c r="HJ19" s="0"/>
      <c r="HK19" s="0"/>
      <c r="HL19" s="0"/>
      <c r="HM19" s="0"/>
      <c r="HN19" s="0"/>
      <c r="HO19" s="0"/>
      <c r="HP19" s="0"/>
      <c r="HQ19" s="0"/>
      <c r="HR19" s="0"/>
      <c r="HS19" s="0"/>
      <c r="HT19" s="0"/>
      <c r="HU19" s="0"/>
      <c r="HV19" s="0"/>
      <c r="HW19" s="0"/>
      <c r="HX19" s="0"/>
      <c r="HY19" s="0"/>
      <c r="HZ19" s="0"/>
      <c r="IA19" s="0"/>
      <c r="IB19" s="0"/>
      <c r="IC19" s="0"/>
      <c r="ID19" s="0"/>
      <c r="IE19" s="0"/>
      <c r="IF19" s="0"/>
      <c r="IG19" s="0"/>
      <c r="IH19" s="0"/>
      <c r="II19" s="0"/>
      <c r="IJ19" s="0"/>
      <c r="IK19" s="0"/>
      <c r="IL19" s="0"/>
      <c r="IM19" s="0"/>
      <c r="IN19" s="0"/>
      <c r="IO19" s="0"/>
      <c r="IP19" s="0"/>
      <c r="IQ19" s="0"/>
      <c r="IR19" s="0"/>
      <c r="IS19" s="0"/>
      <c r="IT19" s="0"/>
      <c r="IU19" s="0"/>
      <c r="IV19" s="0"/>
      <c r="IW19" s="0"/>
    </row>
    <row r="20" customFormat="false" ht="11.1" hidden="false" customHeight="true" outlineLevel="0" collapsed="false">
      <c r="A20" s="118" t="n">
        <f aca="false">A19+1</f>
        <v>9</v>
      </c>
      <c r="B20" s="168" t="n">
        <v>6873.78</v>
      </c>
      <c r="C20" s="112" t="n">
        <v>198126</v>
      </c>
      <c r="D20" s="117" t="n">
        <f aca="false">C20-C19</f>
        <v>-952</v>
      </c>
      <c r="E20" s="112" t="n">
        <f aca="false">C20-152000</f>
        <v>46126</v>
      </c>
      <c r="F20" s="180" t="n">
        <f aca="false">D20/$D$2</f>
        <v>-479.959667254853</v>
      </c>
      <c r="G20" s="111" t="n">
        <v>88</v>
      </c>
      <c r="H20" s="113" t="n">
        <v>0</v>
      </c>
      <c r="I20" s="111" t="n">
        <f aca="false">G20+H20</f>
        <v>88</v>
      </c>
      <c r="J20" s="181" t="n">
        <f aca="false">IF(L20&gt;0,L20,0)</f>
        <v>0</v>
      </c>
      <c r="K20" s="111" t="n">
        <f aca="false">I20+J20</f>
        <v>88</v>
      </c>
      <c r="L20" s="111" t="n">
        <f aca="false">F20-(I20-AA20)</f>
        <v>-108.269667254853</v>
      </c>
      <c r="M20" s="182" t="n">
        <v>177</v>
      </c>
      <c r="N20" s="196" t="n">
        <v>0</v>
      </c>
      <c r="O20" s="111" t="n">
        <f aca="false">31.36*1.05</f>
        <v>32.928</v>
      </c>
      <c r="P20" s="115" t="n">
        <v>2.71</v>
      </c>
      <c r="Q20" s="245" t="n">
        <v>4.2</v>
      </c>
      <c r="R20" s="227" t="n">
        <v>1.96</v>
      </c>
      <c r="S20" s="111" t="n">
        <v>124</v>
      </c>
      <c r="T20" s="111" t="n">
        <v>70</v>
      </c>
      <c r="U20" s="111" t="n">
        <f aca="false">M20-N20-O20-P20-Q20-R20+S20+T20</f>
        <v>329.202</v>
      </c>
      <c r="V20" s="112" t="n">
        <f aca="false">V19+AH20-(AI20/1.9835)</f>
        <v>5332.90613328961</v>
      </c>
      <c r="W20" s="112"/>
      <c r="X20" s="111" t="n">
        <v>67.69</v>
      </c>
      <c r="Y20" s="111" t="n">
        <v>21</v>
      </c>
      <c r="Z20" s="112" t="n">
        <f aca="false">Z19-Y20</f>
        <v>4965.49231157046</v>
      </c>
      <c r="AA20" s="6" t="n">
        <f aca="false">M20+S20+T20+X20+Y20</f>
        <v>459.69</v>
      </c>
      <c r="AB20" s="111" t="n">
        <f aca="false">IF(L20&lt;0,L20*-1,0)</f>
        <v>108.269667254853</v>
      </c>
      <c r="AC20" s="111" t="n">
        <f aca="false">AA20+AB20</f>
        <v>567.959667254853</v>
      </c>
      <c r="AD20" s="161" t="n">
        <v>0</v>
      </c>
      <c r="AE20" s="183" t="n">
        <v>89</v>
      </c>
      <c r="AF20" s="167" t="n">
        <v>59</v>
      </c>
      <c r="AG20" s="118" t="n">
        <v>0</v>
      </c>
      <c r="AH20" s="373" t="n">
        <f aca="false">(I20-P20-Q20)-(U20)</f>
        <v>-248.112</v>
      </c>
      <c r="AI20" s="10" t="n">
        <f aca="false">23.5*(V19*1.9835-U20*1.9835)/E20</f>
        <v>5.30988485567873</v>
      </c>
      <c r="AJ20" s="376"/>
      <c r="AK20" s="0"/>
      <c r="AL20" s="0"/>
      <c r="AM20" s="0"/>
      <c r="AN20" s="0"/>
      <c r="AO20" s="0"/>
      <c r="AP20" s="0"/>
      <c r="AQ20" s="0"/>
      <c r="AR20" s="0"/>
      <c r="AS20" s="0"/>
      <c r="AT20" s="0"/>
      <c r="AU20" s="0"/>
      <c r="AV20" s="0"/>
      <c r="AW20" s="0"/>
      <c r="AX20" s="0"/>
      <c r="AY20" s="0"/>
      <c r="AZ20" s="0"/>
      <c r="BA20" s="0"/>
      <c r="BB20" s="0"/>
      <c r="BC20" s="0"/>
      <c r="BD20" s="0"/>
      <c r="BE20" s="0"/>
      <c r="BF20" s="0"/>
      <c r="BG20" s="0"/>
      <c r="BH20" s="0"/>
      <c r="BI20" s="0"/>
      <c r="BJ20" s="0"/>
      <c r="BK20" s="0"/>
      <c r="BL20" s="0"/>
      <c r="BM20" s="0"/>
      <c r="BN20" s="0"/>
      <c r="BO20" s="0"/>
      <c r="BP20" s="0"/>
      <c r="BQ20" s="0"/>
      <c r="BR20" s="0"/>
      <c r="BS20" s="0"/>
      <c r="BT20" s="0"/>
      <c r="BU20" s="0"/>
      <c r="BV20" s="0"/>
      <c r="BW20" s="0"/>
      <c r="BX20" s="0"/>
      <c r="BY20" s="0"/>
      <c r="BZ20" s="0"/>
      <c r="CA20" s="0"/>
      <c r="CB20" s="0"/>
      <c r="CC20" s="0"/>
      <c r="CD20" s="0"/>
      <c r="CE20" s="0"/>
      <c r="CF20" s="0"/>
      <c r="CG20" s="0"/>
      <c r="CH20" s="0"/>
      <c r="CI20" s="0"/>
      <c r="CJ20" s="0"/>
      <c r="CK20" s="0"/>
      <c r="CL20" s="0"/>
      <c r="CM20" s="0"/>
      <c r="CN20" s="0"/>
      <c r="CO20" s="0"/>
      <c r="CP20" s="0"/>
      <c r="CQ20" s="0"/>
      <c r="CR20" s="0"/>
      <c r="CS20" s="0"/>
      <c r="CT20" s="0"/>
      <c r="CU20" s="0"/>
      <c r="CV20" s="0"/>
      <c r="CW20" s="0"/>
      <c r="CX20" s="0"/>
      <c r="CY20" s="0"/>
      <c r="CZ20" s="0"/>
      <c r="DA20" s="0"/>
      <c r="DB20" s="0"/>
      <c r="DC20" s="0"/>
      <c r="DD20" s="0"/>
      <c r="DE20" s="0"/>
      <c r="DF20" s="0"/>
      <c r="DG20" s="0"/>
      <c r="DH20" s="0"/>
      <c r="DI20" s="0"/>
      <c r="DJ20" s="0"/>
      <c r="DK20" s="0"/>
      <c r="DL20" s="0"/>
      <c r="DM20" s="0"/>
      <c r="DN20" s="0"/>
      <c r="DO20" s="0"/>
      <c r="DP20" s="0"/>
      <c r="DQ20" s="0"/>
      <c r="DR20" s="0"/>
      <c r="DS20" s="0"/>
      <c r="DT20" s="0"/>
      <c r="DU20" s="0"/>
      <c r="DV20" s="0"/>
      <c r="DW20" s="0"/>
      <c r="DX20" s="0"/>
      <c r="DY20" s="0"/>
      <c r="DZ20" s="0"/>
      <c r="EA20" s="0"/>
      <c r="EB20" s="0"/>
      <c r="EC20" s="0"/>
      <c r="ED20" s="0"/>
      <c r="EE20" s="0"/>
      <c r="EF20" s="0"/>
      <c r="EG20" s="0"/>
      <c r="EH20" s="0"/>
      <c r="EI20" s="0"/>
      <c r="EJ20" s="0"/>
      <c r="EK20" s="0"/>
      <c r="EL20" s="0"/>
      <c r="EM20" s="0"/>
      <c r="EN20" s="0"/>
      <c r="EO20" s="0"/>
      <c r="EP20" s="0"/>
      <c r="EQ20" s="0"/>
      <c r="ER20" s="0"/>
      <c r="ES20" s="0"/>
      <c r="ET20" s="0"/>
      <c r="EU20" s="0"/>
      <c r="EV20" s="0"/>
      <c r="EW20" s="0"/>
      <c r="EX20" s="0"/>
      <c r="EY20" s="0"/>
      <c r="EZ20" s="0"/>
      <c r="FA20" s="0"/>
      <c r="FB20" s="0"/>
      <c r="FC20" s="0"/>
      <c r="FD20" s="0"/>
      <c r="FE20" s="0"/>
      <c r="FF20" s="0"/>
      <c r="FG20" s="0"/>
      <c r="FH20" s="0"/>
      <c r="FI20" s="0"/>
      <c r="FJ20" s="0"/>
      <c r="FK20" s="0"/>
      <c r="FL20" s="0"/>
      <c r="FM20" s="0"/>
      <c r="FN20" s="0"/>
      <c r="FO20" s="0"/>
      <c r="FP20" s="0"/>
      <c r="FQ20" s="0"/>
      <c r="FR20" s="0"/>
      <c r="FS20" s="0"/>
      <c r="FT20" s="0"/>
      <c r="FU20" s="0"/>
      <c r="FV20" s="0"/>
      <c r="FW20" s="0"/>
      <c r="FX20" s="0"/>
      <c r="FY20" s="0"/>
      <c r="FZ20" s="0"/>
      <c r="GA20" s="0"/>
      <c r="GB20" s="0"/>
      <c r="GC20" s="0"/>
      <c r="GD20" s="0"/>
      <c r="GE20" s="0"/>
      <c r="GF20" s="0"/>
      <c r="GG20" s="0"/>
      <c r="GH20" s="0"/>
      <c r="GI20" s="0"/>
      <c r="GJ20" s="0"/>
      <c r="GK20" s="0"/>
      <c r="GL20" s="0"/>
      <c r="GM20" s="0"/>
      <c r="GN20" s="0"/>
      <c r="GO20" s="0"/>
      <c r="GP20" s="0"/>
      <c r="GQ20" s="0"/>
      <c r="GR20" s="0"/>
      <c r="GS20" s="0"/>
      <c r="GT20" s="0"/>
      <c r="GU20" s="0"/>
      <c r="GV20" s="0"/>
      <c r="GW20" s="0"/>
      <c r="GX20" s="0"/>
      <c r="GY20" s="0"/>
      <c r="GZ20" s="0"/>
      <c r="HA20" s="0"/>
      <c r="HB20" s="0"/>
      <c r="HC20" s="0"/>
      <c r="HD20" s="0"/>
      <c r="HE20" s="0"/>
      <c r="HF20" s="0"/>
      <c r="HG20" s="0"/>
      <c r="HH20" s="0"/>
      <c r="HI20" s="0"/>
      <c r="HJ20" s="0"/>
      <c r="HK20" s="0"/>
      <c r="HL20" s="0"/>
      <c r="HM20" s="0"/>
      <c r="HN20" s="0"/>
      <c r="HO20" s="0"/>
      <c r="HP20" s="0"/>
      <c r="HQ20" s="0"/>
      <c r="HR20" s="0"/>
      <c r="HS20" s="0"/>
      <c r="HT20" s="0"/>
      <c r="HU20" s="0"/>
      <c r="HV20" s="0"/>
      <c r="HW20" s="0"/>
      <c r="HX20" s="0"/>
      <c r="HY20" s="0"/>
      <c r="HZ20" s="0"/>
      <c r="IA20" s="0"/>
      <c r="IB20" s="0"/>
      <c r="IC20" s="0"/>
      <c r="ID20" s="0"/>
      <c r="IE20" s="0"/>
      <c r="IF20" s="0"/>
      <c r="IG20" s="0"/>
      <c r="IH20" s="0"/>
      <c r="II20" s="0"/>
      <c r="IJ20" s="0"/>
      <c r="IK20" s="0"/>
      <c r="IL20" s="0"/>
      <c r="IM20" s="0"/>
      <c r="IN20" s="0"/>
      <c r="IO20" s="0"/>
      <c r="IP20" s="0"/>
      <c r="IQ20" s="0"/>
      <c r="IR20" s="0"/>
      <c r="IS20" s="0"/>
      <c r="IT20" s="0"/>
      <c r="IU20" s="0"/>
      <c r="IV20" s="0"/>
      <c r="IW20" s="0"/>
    </row>
    <row r="21" customFormat="false" ht="11.1" hidden="false" customHeight="true" outlineLevel="0" collapsed="false">
      <c r="A21" s="118" t="n">
        <f aca="false">A20+1</f>
        <v>10</v>
      </c>
      <c r="B21" s="168" t="n">
        <v>6873.49</v>
      </c>
      <c r="C21" s="112" t="n">
        <v>197318</v>
      </c>
      <c r="D21" s="117" t="n">
        <f aca="false">C21-C20</f>
        <v>-808</v>
      </c>
      <c r="E21" s="112" t="n">
        <f aca="false">C21-152000</f>
        <v>45318</v>
      </c>
      <c r="F21" s="180" t="n">
        <f aca="false">D21/$D$2</f>
        <v>-407.360725989413</v>
      </c>
      <c r="G21" s="111" t="n">
        <v>77</v>
      </c>
      <c r="H21" s="113" t="n">
        <v>0</v>
      </c>
      <c r="I21" s="111" t="n">
        <f aca="false">G21+H21</f>
        <v>77</v>
      </c>
      <c r="J21" s="181" t="n">
        <v>0</v>
      </c>
      <c r="K21" s="111" t="n">
        <f aca="false">I21+J21</f>
        <v>77</v>
      </c>
      <c r="L21" s="111" t="n">
        <f aca="false">F21-(I21-AA21)</f>
        <v>-23.4307259894126</v>
      </c>
      <c r="M21" s="182" t="n">
        <v>180</v>
      </c>
      <c r="N21" s="196" t="n">
        <v>6</v>
      </c>
      <c r="O21" s="111" t="n">
        <f aca="false">32.17*1.05</f>
        <v>33.7785</v>
      </c>
      <c r="P21" s="115" t="n">
        <v>2.81</v>
      </c>
      <c r="Q21" s="245" t="n">
        <v>4.2</v>
      </c>
      <c r="R21" s="227" t="n">
        <v>2.94</v>
      </c>
      <c r="S21" s="111" t="n">
        <v>123</v>
      </c>
      <c r="T21" s="111" t="n">
        <v>69</v>
      </c>
      <c r="U21" s="111" t="n">
        <f aca="false">M21-N21-O21-P21-Q21-R21+S21+T21</f>
        <v>322.2715</v>
      </c>
      <c r="V21" s="112" t="n">
        <f aca="false">V20+AH21-(AI21/1.9835)</f>
        <v>5078.02632988076</v>
      </c>
      <c r="W21" s="112"/>
      <c r="X21" s="111" t="n">
        <v>67.93</v>
      </c>
      <c r="Y21" s="111" t="n">
        <v>21</v>
      </c>
      <c r="Z21" s="112" t="n">
        <f aca="false">Z20-Y21</f>
        <v>4944.49231157046</v>
      </c>
      <c r="AA21" s="6" t="n">
        <f aca="false">M21+S21+T21+X21+Y21</f>
        <v>460.93</v>
      </c>
      <c r="AB21" s="111" t="n">
        <f aca="false">IF(L21&lt;0,L21*-1,0)</f>
        <v>23.4307259894126</v>
      </c>
      <c r="AC21" s="111" t="n">
        <f aca="false">AA21+AB21</f>
        <v>484.360725989413</v>
      </c>
      <c r="AD21" s="161" t="n">
        <v>0</v>
      </c>
      <c r="AE21" s="117" t="n">
        <v>91</v>
      </c>
      <c r="AF21" s="167" t="n">
        <v>59</v>
      </c>
      <c r="AG21" s="118" t="n">
        <v>0</v>
      </c>
      <c r="AH21" s="373" t="n">
        <f aca="false">(I21-P21-Q21)-(U21)</f>
        <v>-252.2815</v>
      </c>
      <c r="AI21" s="10" t="n">
        <f aca="false">23.5*(V20*1.9835-U21*1.9835)/E21</f>
        <v>5.15373481145579</v>
      </c>
      <c r="AJ21" s="376"/>
      <c r="AK21" s="0"/>
      <c r="AL21" s="0"/>
      <c r="AM21" s="0"/>
      <c r="AN21" s="0"/>
      <c r="AO21" s="0"/>
      <c r="AP21" s="0"/>
      <c r="AQ21" s="0"/>
      <c r="AR21" s="0"/>
      <c r="AS21" s="0"/>
      <c r="AT21" s="0"/>
      <c r="AU21" s="0"/>
      <c r="AV21" s="0"/>
      <c r="AW21" s="0"/>
      <c r="AX21" s="0"/>
      <c r="AY21" s="0"/>
      <c r="AZ21" s="0"/>
      <c r="BA21" s="0"/>
      <c r="BB21" s="0"/>
      <c r="BC21" s="0"/>
      <c r="BD21" s="0"/>
      <c r="BE21" s="0"/>
      <c r="BF21" s="0"/>
      <c r="BG21" s="0"/>
      <c r="BH21" s="0"/>
      <c r="BI21" s="0"/>
      <c r="BJ21" s="0"/>
      <c r="BK21" s="0"/>
      <c r="BL21" s="0"/>
      <c r="BM21" s="0"/>
      <c r="BN21" s="0"/>
      <c r="BO21" s="0"/>
      <c r="BP21" s="0"/>
      <c r="BQ21" s="0"/>
      <c r="BR21" s="0"/>
      <c r="BS21" s="0"/>
      <c r="BT21" s="0"/>
      <c r="BU21" s="0"/>
      <c r="BV21" s="0"/>
      <c r="BW21" s="0"/>
      <c r="BX21" s="0"/>
      <c r="BY21" s="0"/>
      <c r="BZ21" s="0"/>
      <c r="CA21" s="0"/>
      <c r="CB21" s="0"/>
      <c r="CC21" s="0"/>
      <c r="CD21" s="0"/>
      <c r="CE21" s="0"/>
      <c r="CF21" s="0"/>
      <c r="CG21" s="0"/>
      <c r="CH21" s="0"/>
      <c r="CI21" s="0"/>
      <c r="CJ21" s="0"/>
      <c r="CK21" s="0"/>
      <c r="CL21" s="0"/>
      <c r="CM21" s="0"/>
      <c r="CN21" s="0"/>
      <c r="CO21" s="0"/>
      <c r="CP21" s="0"/>
      <c r="CQ21" s="0"/>
      <c r="CR21" s="0"/>
      <c r="CS21" s="0"/>
      <c r="CT21" s="0"/>
      <c r="CU21" s="0"/>
      <c r="CV21" s="0"/>
      <c r="CW21" s="0"/>
      <c r="CX21" s="0"/>
      <c r="CY21" s="0"/>
      <c r="CZ21" s="0"/>
      <c r="DA21" s="0"/>
      <c r="DB21" s="0"/>
      <c r="DC21" s="0"/>
      <c r="DD21" s="0"/>
      <c r="DE21" s="0"/>
      <c r="DF21" s="0"/>
      <c r="DG21" s="0"/>
      <c r="DH21" s="0"/>
      <c r="DI21" s="0"/>
      <c r="DJ21" s="0"/>
      <c r="DK21" s="0"/>
      <c r="DL21" s="0"/>
      <c r="DM21" s="0"/>
      <c r="DN21" s="0"/>
      <c r="DO21" s="0"/>
      <c r="DP21" s="0"/>
      <c r="DQ21" s="0"/>
      <c r="DR21" s="0"/>
      <c r="DS21" s="0"/>
      <c r="DT21" s="0"/>
      <c r="DU21" s="0"/>
      <c r="DV21" s="0"/>
      <c r="DW21" s="0"/>
      <c r="DX21" s="0"/>
      <c r="DY21" s="0"/>
      <c r="DZ21" s="0"/>
      <c r="EA21" s="0"/>
      <c r="EB21" s="0"/>
      <c r="EC21" s="0"/>
      <c r="ED21" s="0"/>
      <c r="EE21" s="0"/>
      <c r="EF21" s="0"/>
      <c r="EG21" s="0"/>
      <c r="EH21" s="0"/>
      <c r="EI21" s="0"/>
      <c r="EJ21" s="0"/>
      <c r="EK21" s="0"/>
      <c r="EL21" s="0"/>
      <c r="EM21" s="0"/>
      <c r="EN21" s="0"/>
      <c r="EO21" s="0"/>
      <c r="EP21" s="0"/>
      <c r="EQ21" s="0"/>
      <c r="ER21" s="0"/>
      <c r="ES21" s="0"/>
      <c r="ET21" s="0"/>
      <c r="EU21" s="0"/>
      <c r="EV21" s="0"/>
      <c r="EW21" s="0"/>
      <c r="EX21" s="0"/>
      <c r="EY21" s="0"/>
      <c r="EZ21" s="0"/>
      <c r="FA21" s="0"/>
      <c r="FB21" s="0"/>
      <c r="FC21" s="0"/>
      <c r="FD21" s="0"/>
      <c r="FE21" s="0"/>
      <c r="FF21" s="0"/>
      <c r="FG21" s="0"/>
      <c r="FH21" s="0"/>
      <c r="FI21" s="0"/>
      <c r="FJ21" s="0"/>
      <c r="FK21" s="0"/>
      <c r="FL21" s="0"/>
      <c r="FM21" s="0"/>
      <c r="FN21" s="0"/>
      <c r="FO21" s="0"/>
      <c r="FP21" s="0"/>
      <c r="FQ21" s="0"/>
      <c r="FR21" s="0"/>
      <c r="FS21" s="0"/>
      <c r="FT21" s="0"/>
      <c r="FU21" s="0"/>
      <c r="FV21" s="0"/>
      <c r="FW21" s="0"/>
      <c r="FX21" s="0"/>
      <c r="FY21" s="0"/>
      <c r="FZ21" s="0"/>
      <c r="GA21" s="0"/>
      <c r="GB21" s="0"/>
      <c r="GC21" s="0"/>
      <c r="GD21" s="0"/>
      <c r="GE21" s="0"/>
      <c r="GF21" s="0"/>
      <c r="GG21" s="0"/>
      <c r="GH21" s="0"/>
      <c r="GI21" s="0"/>
      <c r="GJ21" s="0"/>
      <c r="GK21" s="0"/>
      <c r="GL21" s="0"/>
      <c r="GM21" s="0"/>
      <c r="GN21" s="0"/>
      <c r="GO21" s="0"/>
      <c r="GP21" s="0"/>
      <c r="GQ21" s="0"/>
      <c r="GR21" s="0"/>
      <c r="GS21" s="0"/>
      <c r="GT21" s="0"/>
      <c r="GU21" s="0"/>
      <c r="GV21" s="0"/>
      <c r="GW21" s="0"/>
      <c r="GX21" s="0"/>
      <c r="GY21" s="0"/>
      <c r="GZ21" s="0"/>
      <c r="HA21" s="0"/>
      <c r="HB21" s="0"/>
      <c r="HC21" s="0"/>
      <c r="HD21" s="0"/>
      <c r="HE21" s="0"/>
      <c r="HF21" s="0"/>
      <c r="HG21" s="0"/>
      <c r="HH21" s="0"/>
      <c r="HI21" s="0"/>
      <c r="HJ21" s="0"/>
      <c r="HK21" s="0"/>
      <c r="HL21" s="0"/>
      <c r="HM21" s="0"/>
      <c r="HN21" s="0"/>
      <c r="HO21" s="0"/>
      <c r="HP21" s="0"/>
      <c r="HQ21" s="0"/>
      <c r="HR21" s="0"/>
      <c r="HS21" s="0"/>
      <c r="HT21" s="0"/>
      <c r="HU21" s="0"/>
      <c r="HV21" s="0"/>
      <c r="HW21" s="0"/>
      <c r="HX21" s="0"/>
      <c r="HY21" s="0"/>
      <c r="HZ21" s="0"/>
      <c r="IA21" s="0"/>
      <c r="IB21" s="0"/>
      <c r="IC21" s="0"/>
      <c r="ID21" s="0"/>
      <c r="IE21" s="0"/>
      <c r="IF21" s="0"/>
      <c r="IG21" s="0"/>
      <c r="IH21" s="0"/>
      <c r="II21" s="0"/>
      <c r="IJ21" s="0"/>
      <c r="IK21" s="0"/>
      <c r="IL21" s="0"/>
      <c r="IM21" s="0"/>
      <c r="IN21" s="0"/>
      <c r="IO21" s="0"/>
      <c r="IP21" s="0"/>
      <c r="IQ21" s="0"/>
      <c r="IR21" s="0"/>
      <c r="IS21" s="0"/>
      <c r="IT21" s="0"/>
      <c r="IU21" s="0"/>
      <c r="IV21" s="0"/>
      <c r="IW21" s="0"/>
    </row>
    <row r="22" customFormat="false" ht="11.1" hidden="false" customHeight="true" outlineLevel="0" collapsed="false">
      <c r="A22" s="118" t="n">
        <v>11</v>
      </c>
      <c r="B22" s="168" t="n">
        <v>6873.19</v>
      </c>
      <c r="C22" s="112" t="n">
        <v>196482</v>
      </c>
      <c r="D22" s="117" t="n">
        <f aca="false">C22-C21</f>
        <v>-836</v>
      </c>
      <c r="E22" s="112" t="n">
        <f aca="false">C22-152000</f>
        <v>44482</v>
      </c>
      <c r="F22" s="180" t="n">
        <f aca="false">D22/$D$2</f>
        <v>-421.477186791026</v>
      </c>
      <c r="G22" s="111" t="n">
        <v>78</v>
      </c>
      <c r="H22" s="113" t="n">
        <v>0</v>
      </c>
      <c r="I22" s="111" t="n">
        <f aca="false">G22+H22</f>
        <v>78</v>
      </c>
      <c r="J22" s="181" t="n">
        <f aca="false">IF(L22&gt;0,L22,0)</f>
        <v>0</v>
      </c>
      <c r="K22" s="111" t="n">
        <f aca="false">I22+J22</f>
        <v>78</v>
      </c>
      <c r="L22" s="111" t="n">
        <f aca="false">F22-(I22-AA22)</f>
        <v>-52.8171867910259</v>
      </c>
      <c r="M22" s="182" t="n">
        <v>185</v>
      </c>
      <c r="N22" s="196" t="n">
        <v>0</v>
      </c>
      <c r="O22" s="111" t="n">
        <f aca="false">35.67*1.05</f>
        <v>37.4535</v>
      </c>
      <c r="P22" s="115" t="n">
        <v>2.81</v>
      </c>
      <c r="Q22" s="245" t="n">
        <v>4.2</v>
      </c>
      <c r="R22" s="227" t="n">
        <v>3.183</v>
      </c>
      <c r="S22" s="111" t="n">
        <v>122</v>
      </c>
      <c r="T22" s="111" t="n">
        <v>69</v>
      </c>
      <c r="U22" s="111" t="n">
        <f aca="false">M22-N22-O22-P22-Q22-R22+S22+T22</f>
        <v>328.3535</v>
      </c>
      <c r="V22" s="112" t="n">
        <f aca="false">V21+AH22-(AI22/1.9835)</f>
        <v>4818.15356070441</v>
      </c>
      <c r="W22" s="112"/>
      <c r="X22" s="111" t="n">
        <v>49.66</v>
      </c>
      <c r="Y22" s="111" t="n">
        <v>21</v>
      </c>
      <c r="Z22" s="112" t="n">
        <f aca="false">Z21-Y22</f>
        <v>4923.49231157046</v>
      </c>
      <c r="AA22" s="6" t="n">
        <f aca="false">M22+S22+T22+X22+Y22</f>
        <v>446.66</v>
      </c>
      <c r="AB22" s="111" t="n">
        <f aca="false">IF(L22&lt;0,L22*-1,0)</f>
        <v>52.8171867910259</v>
      </c>
      <c r="AC22" s="111" t="n">
        <f aca="false">AA22+AB22</f>
        <v>499.477186791026</v>
      </c>
      <c r="AD22" s="161" t="n">
        <v>0</v>
      </c>
      <c r="AE22" s="117" t="n">
        <v>92</v>
      </c>
      <c r="AF22" s="167" t="n">
        <v>59</v>
      </c>
      <c r="AG22" s="118" t="n">
        <v>0</v>
      </c>
      <c r="AH22" s="373" t="n">
        <f aca="false">(I22-P22-Q22)-(U22)</f>
        <v>-257.3635</v>
      </c>
      <c r="AI22" s="10" t="n">
        <f aca="false">23.5*(V21*1.9835-U22*1.9835)/E22</f>
        <v>4.97713541128118</v>
      </c>
      <c r="AJ22" s="376"/>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c r="BY22" s="0"/>
      <c r="BZ22" s="0"/>
      <c r="CA22" s="0"/>
      <c r="CB22" s="0"/>
      <c r="CC22" s="0"/>
      <c r="CD22" s="0"/>
      <c r="CE22" s="0"/>
      <c r="CF22" s="0"/>
      <c r="CG22" s="0"/>
      <c r="CH22" s="0"/>
      <c r="CI22" s="0"/>
      <c r="CJ22" s="0"/>
      <c r="CK22" s="0"/>
      <c r="CL22" s="0"/>
      <c r="CM22" s="0"/>
      <c r="CN22" s="0"/>
      <c r="CO22" s="0"/>
      <c r="CP22" s="0"/>
      <c r="CQ22" s="0"/>
      <c r="CR22" s="0"/>
      <c r="CS22" s="0"/>
      <c r="CT22" s="0"/>
      <c r="CU22" s="0"/>
      <c r="CV22" s="0"/>
      <c r="CW22" s="0"/>
      <c r="CX22" s="0"/>
      <c r="CY22" s="0"/>
      <c r="CZ22" s="0"/>
      <c r="DA22" s="0"/>
      <c r="DB22" s="0"/>
      <c r="DC22" s="0"/>
      <c r="DD22" s="0"/>
      <c r="DE22" s="0"/>
      <c r="DF22" s="0"/>
      <c r="DG22" s="0"/>
      <c r="DH22" s="0"/>
      <c r="DI22" s="0"/>
      <c r="DJ22" s="0"/>
      <c r="DK22" s="0"/>
      <c r="DL22" s="0"/>
      <c r="DM22" s="0"/>
      <c r="DN22" s="0"/>
      <c r="DO22" s="0"/>
      <c r="DP22" s="0"/>
      <c r="DQ22" s="0"/>
      <c r="DR22" s="0"/>
      <c r="DS22" s="0"/>
      <c r="DT22" s="0"/>
      <c r="DU22" s="0"/>
      <c r="DV22" s="0"/>
      <c r="DW22" s="0"/>
      <c r="DX22" s="0"/>
      <c r="DY22" s="0"/>
      <c r="DZ22" s="0"/>
      <c r="EA22" s="0"/>
      <c r="EB22" s="0"/>
      <c r="EC22" s="0"/>
      <c r="ED22" s="0"/>
      <c r="EE22" s="0"/>
      <c r="EF22" s="0"/>
      <c r="EG22" s="0"/>
      <c r="EH22" s="0"/>
      <c r="EI22" s="0"/>
      <c r="EJ22" s="0"/>
      <c r="EK22" s="0"/>
      <c r="EL22" s="0"/>
      <c r="EM22" s="0"/>
      <c r="EN22" s="0"/>
      <c r="EO22" s="0"/>
      <c r="EP22" s="0"/>
      <c r="EQ22" s="0"/>
      <c r="ER22" s="0"/>
      <c r="ES22" s="0"/>
      <c r="ET22" s="0"/>
      <c r="EU22" s="0"/>
      <c r="EV22" s="0"/>
      <c r="EW22" s="0"/>
      <c r="EX22" s="0"/>
      <c r="EY22" s="0"/>
      <c r="EZ22" s="0"/>
      <c r="FA22" s="0"/>
      <c r="FB22" s="0"/>
      <c r="FC22" s="0"/>
      <c r="FD22" s="0"/>
      <c r="FE22" s="0"/>
      <c r="FF22" s="0"/>
      <c r="FG22" s="0"/>
      <c r="FH22" s="0"/>
      <c r="FI22" s="0"/>
      <c r="FJ22" s="0"/>
      <c r="FK22" s="0"/>
      <c r="FL22" s="0"/>
      <c r="FM22" s="0"/>
      <c r="FN22" s="0"/>
      <c r="FO22" s="0"/>
      <c r="FP22" s="0"/>
      <c r="FQ22" s="0"/>
      <c r="FR22" s="0"/>
      <c r="FS22" s="0"/>
      <c r="FT22" s="0"/>
      <c r="FU22" s="0"/>
      <c r="FV22" s="0"/>
      <c r="FW22" s="0"/>
      <c r="FX22" s="0"/>
      <c r="FY22" s="0"/>
      <c r="FZ22" s="0"/>
      <c r="GA22" s="0"/>
      <c r="GB22" s="0"/>
      <c r="GC22" s="0"/>
      <c r="GD22" s="0"/>
      <c r="GE22" s="0"/>
      <c r="GF22" s="0"/>
      <c r="GG22" s="0"/>
      <c r="GH22" s="0"/>
      <c r="GI22" s="0"/>
      <c r="GJ22" s="0"/>
      <c r="GK22" s="0"/>
      <c r="GL22" s="0"/>
      <c r="GM22" s="0"/>
      <c r="GN22" s="0"/>
      <c r="GO22" s="0"/>
      <c r="GP22" s="0"/>
      <c r="GQ22" s="0"/>
      <c r="GR22" s="0"/>
      <c r="GS22" s="0"/>
      <c r="GT22" s="0"/>
      <c r="GU22" s="0"/>
      <c r="GV22" s="0"/>
      <c r="GW22" s="0"/>
      <c r="GX22" s="0"/>
      <c r="GY22" s="0"/>
      <c r="GZ22" s="0"/>
      <c r="HA22" s="0"/>
      <c r="HB22" s="0"/>
      <c r="HC22" s="0"/>
      <c r="HD22" s="0"/>
      <c r="HE22" s="0"/>
      <c r="HF22" s="0"/>
      <c r="HG22" s="0"/>
      <c r="HH22" s="0"/>
      <c r="HI22" s="0"/>
      <c r="HJ22" s="0"/>
      <c r="HK22" s="0"/>
      <c r="HL22" s="0"/>
      <c r="HM22" s="0"/>
      <c r="HN22" s="0"/>
      <c r="HO22" s="0"/>
      <c r="HP22" s="0"/>
      <c r="HQ22" s="0"/>
      <c r="HR22" s="0"/>
      <c r="HS22" s="0"/>
      <c r="HT22" s="0"/>
      <c r="HU22" s="0"/>
      <c r="HV22" s="0"/>
      <c r="HW22" s="0"/>
      <c r="HX22" s="0"/>
      <c r="HY22" s="0"/>
      <c r="HZ22" s="0"/>
      <c r="IA22" s="0"/>
      <c r="IB22" s="0"/>
      <c r="IC22" s="0"/>
      <c r="ID22" s="0"/>
      <c r="IE22" s="0"/>
      <c r="IF22" s="0"/>
      <c r="IG22" s="0"/>
      <c r="IH22" s="0"/>
      <c r="II22" s="0"/>
      <c r="IJ22" s="0"/>
      <c r="IK22" s="0"/>
      <c r="IL22" s="0"/>
      <c r="IM22" s="0"/>
      <c r="IN22" s="0"/>
      <c r="IO22" s="0"/>
      <c r="IP22" s="0"/>
      <c r="IQ22" s="0"/>
      <c r="IR22" s="0"/>
      <c r="IS22" s="0"/>
      <c r="IT22" s="0"/>
      <c r="IU22" s="0"/>
      <c r="IV22" s="0"/>
      <c r="IW22" s="0"/>
    </row>
    <row r="23" customFormat="false" ht="11.1" hidden="false" customHeight="true" outlineLevel="0" collapsed="false">
      <c r="A23" s="118" t="n">
        <v>12</v>
      </c>
      <c r="B23" s="168" t="n">
        <v>6872.86</v>
      </c>
      <c r="C23" s="112" t="n">
        <v>195567</v>
      </c>
      <c r="D23" s="117" t="n">
        <f aca="false">C23-C22</f>
        <v>-915</v>
      </c>
      <c r="E23" s="112" t="n">
        <f aca="false">C23-152000</f>
        <v>43567</v>
      </c>
      <c r="F23" s="180" t="n">
        <f aca="false">D23/$D$2</f>
        <v>-461.305772624149</v>
      </c>
      <c r="G23" s="111" t="n">
        <v>79</v>
      </c>
      <c r="H23" s="113" t="n">
        <v>0</v>
      </c>
      <c r="I23" s="111" t="n">
        <f aca="false">G23+H23</f>
        <v>79</v>
      </c>
      <c r="J23" s="181" t="n">
        <f aca="false">IF(L23&gt;0,L23,0)</f>
        <v>0</v>
      </c>
      <c r="K23" s="111" t="n">
        <f aca="false">I23+J23</f>
        <v>79</v>
      </c>
      <c r="L23" s="111" t="n">
        <f aca="false">F23-(I23-AA23)</f>
        <v>-74.9557726241492</v>
      </c>
      <c r="M23" s="182" t="n">
        <v>182</v>
      </c>
      <c r="N23" s="196" t="n">
        <v>0</v>
      </c>
      <c r="O23" s="111" t="n">
        <f aca="false">29.23*1.05</f>
        <v>30.6915</v>
      </c>
      <c r="P23" s="115" t="n">
        <v>2.75</v>
      </c>
      <c r="Q23" s="245" t="n">
        <v>4.2</v>
      </c>
      <c r="R23" s="227" t="n">
        <v>3.01</v>
      </c>
      <c r="S23" s="111" t="n">
        <v>121</v>
      </c>
      <c r="T23" s="111" t="n">
        <v>69</v>
      </c>
      <c r="U23" s="111" t="n">
        <f aca="false">M23-N23-O23-P23-Q23-R23+S23+T23</f>
        <v>331.3485</v>
      </c>
      <c r="V23" s="112" t="n">
        <f aca="false">V22+AH23-(AI23/1.9835)</f>
        <v>4556.43488215352</v>
      </c>
      <c r="W23" s="112"/>
      <c r="X23" s="111" t="n">
        <v>72.35</v>
      </c>
      <c r="Y23" s="111" t="n">
        <v>21</v>
      </c>
      <c r="Z23" s="112" t="n">
        <f aca="false">Z22-Y23</f>
        <v>4902.49231157046</v>
      </c>
      <c r="AA23" s="6" t="n">
        <f aca="false">M23+S23+T23+X23+Y23</f>
        <v>465.35</v>
      </c>
      <c r="AB23" s="111" t="n">
        <f aca="false">IF(L23&lt;0,L23*-1,0)</f>
        <v>74.9557726241492</v>
      </c>
      <c r="AC23" s="111" t="n">
        <f aca="false">AA23+AB23</f>
        <v>540.305772624149</v>
      </c>
      <c r="AD23" s="161" t="n">
        <v>0</v>
      </c>
      <c r="AE23" s="117" t="n">
        <v>89</v>
      </c>
      <c r="AF23" s="167" t="n">
        <v>58</v>
      </c>
      <c r="AG23" s="118" t="n">
        <v>0</v>
      </c>
      <c r="AH23" s="373" t="n">
        <f aca="false">(I23-P23-Q23)-(U23)</f>
        <v>-259.2985</v>
      </c>
      <c r="AI23" s="10" t="n">
        <f aca="false">23.5*(V22*1.9835-U23*1.9835)/E23</f>
        <v>4.80042415568708</v>
      </c>
      <c r="AJ23" s="376"/>
      <c r="AK23" s="0"/>
      <c r="AL23" s="0"/>
      <c r="AM23" s="0"/>
      <c r="AN23" s="0"/>
      <c r="AO23" s="0"/>
      <c r="AP23" s="0"/>
      <c r="AQ23" s="0"/>
      <c r="AR23" s="0"/>
      <c r="AS23" s="0"/>
      <c r="AT23" s="0"/>
      <c r="AU23" s="0"/>
      <c r="AV23" s="0"/>
      <c r="AW23" s="0"/>
      <c r="AX23" s="0"/>
      <c r="AY23" s="0"/>
      <c r="AZ23" s="0"/>
      <c r="BA23" s="0"/>
      <c r="BB23" s="0"/>
      <c r="BC23" s="0"/>
      <c r="BD23" s="0"/>
      <c r="BE23" s="0"/>
      <c r="BF23" s="0"/>
      <c r="BG23" s="0"/>
      <c r="BH23" s="0"/>
      <c r="BI23" s="0"/>
      <c r="BJ23" s="0"/>
      <c r="BK23" s="0"/>
      <c r="BL23" s="0"/>
      <c r="BM23" s="0"/>
      <c r="BN23" s="0"/>
      <c r="BO23" s="0"/>
      <c r="BP23" s="0"/>
      <c r="BQ23" s="0"/>
      <c r="BR23" s="0"/>
      <c r="BS23" s="0"/>
      <c r="BT23" s="0"/>
      <c r="BU23" s="0"/>
      <c r="BV23" s="0"/>
      <c r="BW23" s="0"/>
      <c r="BX23" s="0"/>
      <c r="BY23" s="0"/>
      <c r="BZ23" s="0"/>
      <c r="CA23" s="0"/>
      <c r="CB23" s="0"/>
      <c r="CC23" s="0"/>
      <c r="CD23" s="0"/>
      <c r="CE23" s="0"/>
      <c r="CF23" s="0"/>
      <c r="CG23" s="0"/>
      <c r="CH23" s="0"/>
      <c r="CI23" s="0"/>
      <c r="CJ23" s="0"/>
      <c r="CK23" s="0"/>
      <c r="CL23" s="0"/>
      <c r="CM23" s="0"/>
      <c r="CN23" s="0"/>
      <c r="CO23" s="0"/>
      <c r="CP23" s="0"/>
      <c r="CQ23" s="0"/>
      <c r="CR23" s="0"/>
      <c r="CS23" s="0"/>
      <c r="CT23" s="0"/>
      <c r="CU23" s="0"/>
      <c r="CV23" s="0"/>
      <c r="CW23" s="0"/>
      <c r="CX23" s="0"/>
      <c r="CY23" s="0"/>
      <c r="CZ23" s="0"/>
      <c r="DA23" s="0"/>
      <c r="DB23" s="0"/>
      <c r="DC23" s="0"/>
      <c r="DD23" s="0"/>
      <c r="DE23" s="0"/>
      <c r="DF23" s="0"/>
      <c r="DG23" s="0"/>
      <c r="DH23" s="0"/>
      <c r="DI23" s="0"/>
      <c r="DJ23" s="0"/>
      <c r="DK23" s="0"/>
      <c r="DL23" s="0"/>
      <c r="DM23" s="0"/>
      <c r="DN23" s="0"/>
      <c r="DO23" s="0"/>
      <c r="DP23" s="0"/>
      <c r="DQ23" s="0"/>
      <c r="DR23" s="0"/>
      <c r="DS23" s="0"/>
      <c r="DT23" s="0"/>
      <c r="DU23" s="0"/>
      <c r="DV23" s="0"/>
      <c r="DW23" s="0"/>
      <c r="DX23" s="0"/>
      <c r="DY23" s="0"/>
      <c r="DZ23" s="0"/>
      <c r="EA23" s="0"/>
      <c r="EB23" s="0"/>
      <c r="EC23" s="0"/>
      <c r="ED23" s="0"/>
      <c r="EE23" s="0"/>
      <c r="EF23" s="0"/>
      <c r="EG23" s="0"/>
      <c r="EH23" s="0"/>
      <c r="EI23" s="0"/>
      <c r="EJ23" s="0"/>
      <c r="EK23" s="0"/>
      <c r="EL23" s="0"/>
      <c r="EM23" s="0"/>
      <c r="EN23" s="0"/>
      <c r="EO23" s="0"/>
      <c r="EP23" s="0"/>
      <c r="EQ23" s="0"/>
      <c r="ER23" s="0"/>
      <c r="ES23" s="0"/>
      <c r="ET23" s="0"/>
      <c r="EU23" s="0"/>
      <c r="EV23" s="0"/>
      <c r="EW23" s="0"/>
      <c r="EX23" s="0"/>
      <c r="EY23" s="0"/>
      <c r="EZ23" s="0"/>
      <c r="FA23" s="0"/>
      <c r="FB23" s="0"/>
      <c r="FC23" s="0"/>
      <c r="FD23" s="0"/>
      <c r="FE23" s="0"/>
      <c r="FF23" s="0"/>
      <c r="FG23" s="0"/>
      <c r="FH23" s="0"/>
      <c r="FI23" s="0"/>
      <c r="FJ23" s="0"/>
      <c r="FK23" s="0"/>
      <c r="FL23" s="0"/>
      <c r="FM23" s="0"/>
      <c r="FN23" s="0"/>
      <c r="FO23" s="0"/>
      <c r="FP23" s="0"/>
      <c r="FQ23" s="0"/>
      <c r="FR23" s="0"/>
      <c r="FS23" s="0"/>
      <c r="FT23" s="0"/>
      <c r="FU23" s="0"/>
      <c r="FV23" s="0"/>
      <c r="FW23" s="0"/>
      <c r="FX23" s="0"/>
      <c r="FY23" s="0"/>
      <c r="FZ23" s="0"/>
      <c r="GA23" s="0"/>
      <c r="GB23" s="0"/>
      <c r="GC23" s="0"/>
      <c r="GD23" s="0"/>
      <c r="GE23" s="0"/>
      <c r="GF23" s="0"/>
      <c r="GG23" s="0"/>
      <c r="GH23" s="0"/>
      <c r="GI23" s="0"/>
      <c r="GJ23" s="0"/>
      <c r="GK23" s="0"/>
      <c r="GL23" s="0"/>
      <c r="GM23" s="0"/>
      <c r="GN23" s="0"/>
      <c r="GO23" s="0"/>
      <c r="GP23" s="0"/>
      <c r="GQ23" s="0"/>
      <c r="GR23" s="0"/>
      <c r="GS23" s="0"/>
      <c r="GT23" s="0"/>
      <c r="GU23" s="0"/>
      <c r="GV23" s="0"/>
      <c r="GW23" s="0"/>
      <c r="GX23" s="0"/>
      <c r="GY23" s="0"/>
      <c r="GZ23" s="0"/>
      <c r="HA23" s="0"/>
      <c r="HB23" s="0"/>
      <c r="HC23" s="0"/>
      <c r="HD23" s="0"/>
      <c r="HE23" s="0"/>
      <c r="HF23" s="0"/>
      <c r="HG23" s="0"/>
      <c r="HH23" s="0"/>
      <c r="HI23" s="0"/>
      <c r="HJ23" s="0"/>
      <c r="HK23" s="0"/>
      <c r="HL23" s="0"/>
      <c r="HM23" s="0"/>
      <c r="HN23" s="0"/>
      <c r="HO23" s="0"/>
      <c r="HP23" s="0"/>
      <c r="HQ23" s="0"/>
      <c r="HR23" s="0"/>
      <c r="HS23" s="0"/>
      <c r="HT23" s="0"/>
      <c r="HU23" s="0"/>
      <c r="HV23" s="0"/>
      <c r="HW23" s="0"/>
      <c r="HX23" s="0"/>
      <c r="HY23" s="0"/>
      <c r="HZ23" s="0"/>
      <c r="IA23" s="0"/>
      <c r="IB23" s="0"/>
      <c r="IC23" s="0"/>
      <c r="ID23" s="0"/>
      <c r="IE23" s="0"/>
      <c r="IF23" s="0"/>
      <c r="IG23" s="0"/>
      <c r="IH23" s="0"/>
      <c r="II23" s="0"/>
      <c r="IJ23" s="0"/>
      <c r="IK23" s="0"/>
      <c r="IL23" s="0"/>
      <c r="IM23" s="0"/>
      <c r="IN23" s="0"/>
      <c r="IO23" s="0"/>
      <c r="IP23" s="0"/>
      <c r="IQ23" s="0"/>
      <c r="IR23" s="0"/>
      <c r="IS23" s="0"/>
      <c r="IT23" s="0"/>
      <c r="IU23" s="0"/>
      <c r="IV23" s="0"/>
      <c r="IW23" s="0"/>
    </row>
    <row r="24" customFormat="false" ht="11.1" hidden="false" customHeight="true" outlineLevel="0" collapsed="false">
      <c r="A24" s="118" t="n">
        <v>13</v>
      </c>
      <c r="B24" s="168" t="n">
        <v>6872.57</v>
      </c>
      <c r="C24" s="112" t="n">
        <v>194769</v>
      </c>
      <c r="D24" s="117" t="n">
        <f aca="false">C24-C23</f>
        <v>-798</v>
      </c>
      <c r="E24" s="112" t="n">
        <f aca="false">C24-152000</f>
        <v>42769</v>
      </c>
      <c r="F24" s="180" t="n">
        <f aca="false">D24/$D$2</f>
        <v>-402.319132845979</v>
      </c>
      <c r="G24" s="111" t="n">
        <v>99</v>
      </c>
      <c r="H24" s="113" t="n">
        <v>0</v>
      </c>
      <c r="I24" s="111" t="n">
        <f aca="false">G24+H24</f>
        <v>99</v>
      </c>
      <c r="J24" s="181" t="n">
        <f aca="false">IF(L24&gt;0,L24,0)</f>
        <v>0</v>
      </c>
      <c r="K24" s="111" t="n">
        <f aca="false">I24+J24</f>
        <v>99</v>
      </c>
      <c r="L24" s="111" t="n">
        <f aca="false">F24-(I24-AA24)</f>
        <v>-35.2091328459793</v>
      </c>
      <c r="M24" s="182" t="n">
        <v>194</v>
      </c>
      <c r="N24" s="196" t="n">
        <v>0</v>
      </c>
      <c r="O24" s="111" t="n">
        <f aca="false">34.44*1.05</f>
        <v>36.162</v>
      </c>
      <c r="P24" s="115" t="n">
        <v>3.21</v>
      </c>
      <c r="Q24" s="245" t="n">
        <v>4.2</v>
      </c>
      <c r="R24" s="227" t="n">
        <v>4.61</v>
      </c>
      <c r="S24" s="111" t="n">
        <v>120</v>
      </c>
      <c r="T24" s="111" t="n">
        <v>68</v>
      </c>
      <c r="U24" s="111" t="n">
        <f aca="false">M24-N24-O24-P24-Q24-R24+S24+T24</f>
        <v>333.818</v>
      </c>
      <c r="V24" s="112" t="n">
        <f aca="false">V23+AH24-(AI24/1.9835)</f>
        <v>4311.88670873982</v>
      </c>
      <c r="W24" s="112"/>
      <c r="X24" s="111" t="n">
        <v>63.11</v>
      </c>
      <c r="Y24" s="111" t="n">
        <v>21</v>
      </c>
      <c r="Z24" s="112" t="n">
        <f aca="false">Z23-Y24</f>
        <v>4881.49231157046</v>
      </c>
      <c r="AA24" s="6" t="n">
        <f aca="false">M24+S24+T24+X24+Y24</f>
        <v>466.11</v>
      </c>
      <c r="AB24" s="111" t="n">
        <f aca="false">IF(L24&lt;0,L24*-1,0)</f>
        <v>35.2091328459793</v>
      </c>
      <c r="AC24" s="111" t="n">
        <f aca="false">AA24+AB24</f>
        <v>501.319132845979</v>
      </c>
      <c r="AD24" s="161" t="n">
        <v>0.16</v>
      </c>
      <c r="AE24" s="117" t="n">
        <v>88</v>
      </c>
      <c r="AF24" s="167" t="n">
        <v>60</v>
      </c>
      <c r="AG24" s="118" t="n">
        <v>0</v>
      </c>
      <c r="AH24" s="373" t="n">
        <f aca="false">(I24-P24-Q24)-(U24)</f>
        <v>-242.228</v>
      </c>
      <c r="AI24" s="10" t="n">
        <f aca="false">23.5*(V23*1.9835-U24*1.9835)/E24</f>
        <v>4.60206396607731</v>
      </c>
      <c r="AJ24" s="376"/>
      <c r="AK24" s="0"/>
      <c r="AL24" s="0"/>
      <c r="AM24" s="0"/>
      <c r="AN24" s="0"/>
      <c r="AO24" s="0"/>
      <c r="AP24" s="0"/>
      <c r="AQ24" s="0"/>
      <c r="AR24" s="0"/>
      <c r="AS24" s="0"/>
      <c r="AT24" s="0"/>
      <c r="AU24" s="0"/>
      <c r="AV24" s="0"/>
      <c r="AW24" s="0"/>
      <c r="AX24" s="0"/>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c r="BY24" s="0"/>
      <c r="BZ24" s="0"/>
      <c r="CA24" s="0"/>
      <c r="CB24" s="0"/>
      <c r="CC24" s="0"/>
      <c r="CD24" s="0"/>
      <c r="CE24" s="0"/>
      <c r="CF24" s="0"/>
      <c r="CG24" s="0"/>
      <c r="CH24" s="0"/>
      <c r="CI24" s="0"/>
      <c r="CJ24" s="0"/>
      <c r="CK24" s="0"/>
      <c r="CL24" s="0"/>
      <c r="CM24" s="0"/>
      <c r="CN24" s="0"/>
      <c r="CO24" s="0"/>
      <c r="CP24" s="0"/>
      <c r="CQ24" s="0"/>
      <c r="CR24" s="0"/>
      <c r="CS24" s="0"/>
      <c r="CT24" s="0"/>
      <c r="CU24" s="0"/>
      <c r="CV24" s="0"/>
      <c r="CW24" s="0"/>
      <c r="CX24" s="0"/>
      <c r="CY24" s="0"/>
      <c r="CZ24" s="0"/>
      <c r="DA24" s="0"/>
      <c r="DB24" s="0"/>
      <c r="DC24" s="0"/>
      <c r="DD24" s="0"/>
      <c r="DE24" s="0"/>
      <c r="DF24" s="0"/>
      <c r="DG24" s="0"/>
      <c r="DH24" s="0"/>
      <c r="DI24" s="0"/>
      <c r="DJ24" s="0"/>
      <c r="DK24" s="0"/>
      <c r="DL24" s="0"/>
      <c r="DM24" s="0"/>
      <c r="DN24" s="0"/>
      <c r="DO24" s="0"/>
      <c r="DP24" s="0"/>
      <c r="DQ24" s="0"/>
      <c r="DR24" s="0"/>
      <c r="DS24" s="0"/>
      <c r="DT24" s="0"/>
      <c r="DU24" s="0"/>
      <c r="DV24" s="0"/>
      <c r="DW24" s="0"/>
      <c r="DX24" s="0"/>
      <c r="DY24" s="0"/>
      <c r="DZ24" s="0"/>
      <c r="EA24" s="0"/>
      <c r="EB24" s="0"/>
      <c r="EC24" s="0"/>
      <c r="ED24" s="0"/>
      <c r="EE24" s="0"/>
      <c r="EF24" s="0"/>
      <c r="EG24" s="0"/>
      <c r="EH24" s="0"/>
      <c r="EI24" s="0"/>
      <c r="EJ24" s="0"/>
      <c r="EK24" s="0"/>
      <c r="EL24" s="0"/>
      <c r="EM24" s="0"/>
      <c r="EN24" s="0"/>
      <c r="EO24" s="0"/>
      <c r="EP24" s="0"/>
      <c r="EQ24" s="0"/>
      <c r="ER24" s="0"/>
      <c r="ES24" s="0"/>
      <c r="ET24" s="0"/>
      <c r="EU24" s="0"/>
      <c r="EV24" s="0"/>
      <c r="EW24" s="0"/>
      <c r="EX24" s="0"/>
      <c r="EY24" s="0"/>
      <c r="EZ24" s="0"/>
      <c r="FA24" s="0"/>
      <c r="FB24" s="0"/>
      <c r="FC24" s="0"/>
      <c r="FD24" s="0"/>
      <c r="FE24" s="0"/>
      <c r="FF24" s="0"/>
      <c r="FG24" s="0"/>
      <c r="FH24" s="0"/>
      <c r="FI24" s="0"/>
      <c r="FJ24" s="0"/>
      <c r="FK24" s="0"/>
      <c r="FL24" s="0"/>
      <c r="FM24" s="0"/>
      <c r="FN24" s="0"/>
      <c r="FO24" s="0"/>
      <c r="FP24" s="0"/>
      <c r="FQ24" s="0"/>
      <c r="FR24" s="0"/>
      <c r="FS24" s="0"/>
      <c r="FT24" s="0"/>
      <c r="FU24" s="0"/>
      <c r="FV24" s="0"/>
      <c r="FW24" s="0"/>
      <c r="FX24" s="0"/>
      <c r="FY24" s="0"/>
      <c r="FZ24" s="0"/>
      <c r="GA24" s="0"/>
      <c r="GB24" s="0"/>
      <c r="GC24" s="0"/>
      <c r="GD24" s="0"/>
      <c r="GE24" s="0"/>
      <c r="GF24" s="0"/>
      <c r="GG24" s="0"/>
      <c r="GH24" s="0"/>
      <c r="GI24" s="0"/>
      <c r="GJ24" s="0"/>
      <c r="GK24" s="0"/>
      <c r="GL24" s="0"/>
      <c r="GM24" s="0"/>
      <c r="GN24" s="0"/>
      <c r="GO24" s="0"/>
      <c r="GP24" s="0"/>
      <c r="GQ24" s="0"/>
      <c r="GR24" s="0"/>
      <c r="GS24" s="0"/>
      <c r="GT24" s="0"/>
      <c r="GU24" s="0"/>
      <c r="GV24" s="0"/>
      <c r="GW24" s="0"/>
      <c r="GX24" s="0"/>
      <c r="GY24" s="0"/>
      <c r="GZ24" s="0"/>
      <c r="HA24" s="0"/>
      <c r="HB24" s="0"/>
      <c r="HC24" s="0"/>
      <c r="HD24" s="0"/>
      <c r="HE24" s="0"/>
      <c r="HF24" s="0"/>
      <c r="HG24" s="0"/>
      <c r="HH24" s="0"/>
      <c r="HI24" s="0"/>
      <c r="HJ24" s="0"/>
      <c r="HK24" s="0"/>
      <c r="HL24" s="0"/>
      <c r="HM24" s="0"/>
      <c r="HN24" s="0"/>
      <c r="HO24" s="0"/>
      <c r="HP24" s="0"/>
      <c r="HQ24" s="0"/>
      <c r="HR24" s="0"/>
      <c r="HS24" s="0"/>
      <c r="HT24" s="0"/>
      <c r="HU24" s="0"/>
      <c r="HV24" s="0"/>
      <c r="HW24" s="0"/>
      <c r="HX24" s="0"/>
      <c r="HY24" s="0"/>
      <c r="HZ24" s="0"/>
      <c r="IA24" s="0"/>
      <c r="IB24" s="0"/>
      <c r="IC24" s="0"/>
      <c r="ID24" s="0"/>
      <c r="IE24" s="0"/>
      <c r="IF24" s="0"/>
      <c r="IG24" s="0"/>
      <c r="IH24" s="0"/>
      <c r="II24" s="0"/>
      <c r="IJ24" s="0"/>
      <c r="IK24" s="0"/>
      <c r="IL24" s="0"/>
      <c r="IM24" s="0"/>
      <c r="IN24" s="0"/>
      <c r="IO24" s="0"/>
      <c r="IP24" s="0"/>
      <c r="IQ24" s="0"/>
      <c r="IR24" s="0"/>
      <c r="IS24" s="0"/>
      <c r="IT24" s="0"/>
      <c r="IU24" s="0"/>
      <c r="IV24" s="0"/>
      <c r="IW24" s="0"/>
    </row>
    <row r="25" customFormat="false" ht="11.1" hidden="false" customHeight="true" outlineLevel="0" collapsed="false">
      <c r="A25" s="118" t="n">
        <v>14</v>
      </c>
      <c r="B25" s="168" t="n">
        <v>6872.47</v>
      </c>
      <c r="C25" s="112" t="n">
        <v>194494</v>
      </c>
      <c r="D25" s="117" t="n">
        <f aca="false">C25-C24</f>
        <v>-275</v>
      </c>
      <c r="E25" s="112" t="n">
        <f aca="false">C25-152000</f>
        <v>42494</v>
      </c>
      <c r="F25" s="180" t="n">
        <f aca="false">D25/$D$2</f>
        <v>-138.643811444416</v>
      </c>
      <c r="G25" s="111" t="n">
        <v>242</v>
      </c>
      <c r="H25" s="113" t="n">
        <v>0</v>
      </c>
      <c r="I25" s="111" t="n">
        <f aca="false">G25+H25</f>
        <v>242</v>
      </c>
      <c r="J25" s="181" t="n">
        <f aca="false">IF(L25&gt;0,L25,0)</f>
        <v>84.4861885555836</v>
      </c>
      <c r="K25" s="111" t="n">
        <f aca="false">I25+J25</f>
        <v>326.486188555584</v>
      </c>
      <c r="L25" s="111" t="n">
        <f aca="false">F25-(I25-AA25)</f>
        <v>84.4861885555836</v>
      </c>
      <c r="M25" s="182" t="n">
        <v>196</v>
      </c>
      <c r="N25" s="196" t="n">
        <v>0</v>
      </c>
      <c r="O25" s="111" t="n">
        <f aca="false">26.56*1.05</f>
        <v>27.888</v>
      </c>
      <c r="P25" s="115" t="n">
        <v>2.43</v>
      </c>
      <c r="Q25" s="245" t="n">
        <v>4.2</v>
      </c>
      <c r="R25" s="227" t="n">
        <v>5.78</v>
      </c>
      <c r="S25" s="111" t="n">
        <v>119</v>
      </c>
      <c r="T25" s="111" t="n">
        <v>65</v>
      </c>
      <c r="U25" s="111" t="n">
        <f aca="false">M25-N25-O25-P25-Q25-R25+S25+T25</f>
        <v>339.702</v>
      </c>
      <c r="V25" s="112" t="n">
        <f aca="false">V24+AH25-(AI25/1.9835)</f>
        <v>4205.35801413222</v>
      </c>
      <c r="W25" s="112"/>
      <c r="X25" s="111" t="n">
        <v>64.13</v>
      </c>
      <c r="Y25" s="111" t="n">
        <v>21</v>
      </c>
      <c r="Z25" s="112" t="n">
        <f aca="false">Z24-Y25</f>
        <v>4860.49231157046</v>
      </c>
      <c r="AA25" s="6" t="n">
        <f aca="false">M25+S25+T25+X25+Y25</f>
        <v>465.13</v>
      </c>
      <c r="AB25" s="111" t="n">
        <f aca="false">IF(L25&lt;0,L25*-1,0)</f>
        <v>0</v>
      </c>
      <c r="AC25" s="111" t="n">
        <f aca="false">AA25+AB25</f>
        <v>465.13</v>
      </c>
      <c r="AD25" s="161" t="n">
        <v>0</v>
      </c>
      <c r="AE25" s="117" t="n">
        <v>88</v>
      </c>
      <c r="AF25" s="167" t="n">
        <v>57</v>
      </c>
      <c r="AG25" s="118" t="n">
        <v>0</v>
      </c>
      <c r="AH25" s="373" t="n">
        <f aca="false">(I25-P25-Q25)-(U25)</f>
        <v>-104.332</v>
      </c>
      <c r="AI25" s="10" t="n">
        <f aca="false">23.5*(V24*1.9835-U25*1.9835)/E25</f>
        <v>4.35714375417606</v>
      </c>
      <c r="AJ25" s="376"/>
      <c r="AK25" s="0"/>
      <c r="AL25" s="0"/>
      <c r="AM25" s="0"/>
      <c r="AN25" s="0"/>
      <c r="AO25" s="0"/>
      <c r="AP25" s="0"/>
      <c r="AQ25" s="0"/>
      <c r="AR25" s="0"/>
      <c r="AS25" s="0"/>
      <c r="AT25" s="0"/>
      <c r="AU25" s="0"/>
      <c r="AV25" s="0"/>
      <c r="AW25" s="0"/>
      <c r="AX25" s="0"/>
      <c r="AY25" s="0"/>
      <c r="AZ25" s="0"/>
      <c r="BA25" s="0"/>
      <c r="BB25" s="0"/>
      <c r="BC25" s="0"/>
      <c r="BD25" s="0"/>
      <c r="BE25" s="0"/>
      <c r="BF25" s="0"/>
      <c r="BG25" s="0"/>
      <c r="BH25" s="0"/>
      <c r="BI25" s="0"/>
      <c r="BJ25" s="0"/>
      <c r="BK25" s="0"/>
      <c r="BL25" s="0"/>
      <c r="BM25" s="0"/>
      <c r="BN25" s="0"/>
      <c r="BO25" s="0"/>
      <c r="BP25" s="0"/>
      <c r="BQ25" s="0"/>
      <c r="BR25" s="0"/>
      <c r="BS25" s="0"/>
      <c r="BT25" s="0"/>
      <c r="BU25" s="0"/>
      <c r="BV25" s="0"/>
      <c r="BW25" s="0"/>
      <c r="BX25" s="0"/>
      <c r="BY25" s="0"/>
      <c r="BZ25" s="0"/>
      <c r="CA25" s="0"/>
      <c r="CB25" s="0"/>
      <c r="CC25" s="0"/>
      <c r="CD25" s="0"/>
      <c r="CE25" s="0"/>
      <c r="CF25" s="0"/>
      <c r="CG25" s="0"/>
      <c r="CH25" s="0"/>
      <c r="CI25" s="0"/>
      <c r="CJ25" s="0"/>
      <c r="CK25" s="0"/>
      <c r="CL25" s="0"/>
      <c r="CM25" s="0"/>
      <c r="CN25" s="0"/>
      <c r="CO25" s="0"/>
      <c r="CP25" s="0"/>
      <c r="CQ25" s="0"/>
      <c r="CR25" s="0"/>
      <c r="CS25" s="0"/>
      <c r="CT25" s="0"/>
      <c r="CU25" s="0"/>
      <c r="CV25" s="0"/>
      <c r="CW25" s="0"/>
      <c r="CX25" s="0"/>
      <c r="CY25" s="0"/>
      <c r="CZ25" s="0"/>
      <c r="DA25" s="0"/>
      <c r="DB25" s="0"/>
      <c r="DC25" s="0"/>
      <c r="DD25" s="0"/>
      <c r="DE25" s="0"/>
      <c r="DF25" s="0"/>
      <c r="DG25" s="0"/>
      <c r="DH25" s="0"/>
      <c r="DI25" s="0"/>
      <c r="DJ25" s="0"/>
      <c r="DK25" s="0"/>
      <c r="DL25" s="0"/>
      <c r="DM25" s="0"/>
      <c r="DN25" s="0"/>
      <c r="DO25" s="0"/>
      <c r="DP25" s="0"/>
      <c r="DQ25" s="0"/>
      <c r="DR25" s="0"/>
      <c r="DS25" s="0"/>
      <c r="DT25" s="0"/>
      <c r="DU25" s="0"/>
      <c r="DV25" s="0"/>
      <c r="DW25" s="0"/>
      <c r="DX25" s="0"/>
      <c r="DY25" s="0"/>
      <c r="DZ25" s="0"/>
      <c r="EA25" s="0"/>
      <c r="EB25" s="0"/>
      <c r="EC25" s="0"/>
      <c r="ED25" s="0"/>
      <c r="EE25" s="0"/>
      <c r="EF25" s="0"/>
      <c r="EG25" s="0"/>
      <c r="EH25" s="0"/>
      <c r="EI25" s="0"/>
      <c r="EJ25" s="0"/>
      <c r="EK25" s="0"/>
      <c r="EL25" s="0"/>
      <c r="EM25" s="0"/>
      <c r="EN25" s="0"/>
      <c r="EO25" s="0"/>
      <c r="EP25" s="0"/>
      <c r="EQ25" s="0"/>
      <c r="ER25" s="0"/>
      <c r="ES25" s="0"/>
      <c r="ET25" s="0"/>
      <c r="EU25" s="0"/>
      <c r="EV25" s="0"/>
      <c r="EW25" s="0"/>
      <c r="EX25" s="0"/>
      <c r="EY25" s="0"/>
      <c r="EZ25" s="0"/>
      <c r="FA25" s="0"/>
      <c r="FB25" s="0"/>
      <c r="FC25" s="0"/>
      <c r="FD25" s="0"/>
      <c r="FE25" s="0"/>
      <c r="FF25" s="0"/>
      <c r="FG25" s="0"/>
      <c r="FH25" s="0"/>
      <c r="FI25" s="0"/>
      <c r="FJ25" s="0"/>
      <c r="FK25" s="0"/>
      <c r="FL25" s="0"/>
      <c r="FM25" s="0"/>
      <c r="FN25" s="0"/>
      <c r="FO25" s="0"/>
      <c r="FP25" s="0"/>
      <c r="FQ25" s="0"/>
      <c r="FR25" s="0"/>
      <c r="FS25" s="0"/>
      <c r="FT25" s="0"/>
      <c r="FU25" s="0"/>
      <c r="FV25" s="0"/>
      <c r="FW25" s="0"/>
      <c r="FX25" s="0"/>
      <c r="FY25" s="0"/>
      <c r="FZ25" s="0"/>
      <c r="GA25" s="0"/>
      <c r="GB25" s="0"/>
      <c r="GC25" s="0"/>
      <c r="GD25" s="0"/>
      <c r="GE25" s="0"/>
      <c r="GF25" s="0"/>
      <c r="GG25" s="0"/>
      <c r="GH25" s="0"/>
      <c r="GI25" s="0"/>
      <c r="GJ25" s="0"/>
      <c r="GK25" s="0"/>
      <c r="GL25" s="0"/>
      <c r="GM25" s="0"/>
      <c r="GN25" s="0"/>
      <c r="GO25" s="0"/>
      <c r="GP25" s="0"/>
      <c r="GQ25" s="0"/>
      <c r="GR25" s="0"/>
      <c r="GS25" s="0"/>
      <c r="GT25" s="0"/>
      <c r="GU25" s="0"/>
      <c r="GV25" s="0"/>
      <c r="GW25" s="0"/>
      <c r="GX25" s="0"/>
      <c r="GY25" s="0"/>
      <c r="GZ25" s="0"/>
      <c r="HA25" s="0"/>
      <c r="HB25" s="0"/>
      <c r="HC25" s="0"/>
      <c r="HD25" s="0"/>
      <c r="HE25" s="0"/>
      <c r="HF25" s="0"/>
      <c r="HG25" s="0"/>
      <c r="HH25" s="0"/>
      <c r="HI25" s="0"/>
      <c r="HJ25" s="0"/>
      <c r="HK25" s="0"/>
      <c r="HL25" s="0"/>
      <c r="HM25" s="0"/>
      <c r="HN25" s="0"/>
      <c r="HO25" s="0"/>
      <c r="HP25" s="0"/>
      <c r="HQ25" s="0"/>
      <c r="HR25" s="0"/>
      <c r="HS25" s="0"/>
      <c r="HT25" s="0"/>
      <c r="HU25" s="0"/>
      <c r="HV25" s="0"/>
      <c r="HW25" s="0"/>
      <c r="HX25" s="0"/>
      <c r="HY25" s="0"/>
      <c r="HZ25" s="0"/>
      <c r="IA25" s="0"/>
      <c r="IB25" s="0"/>
      <c r="IC25" s="0"/>
      <c r="ID25" s="0"/>
      <c r="IE25" s="0"/>
      <c r="IF25" s="0"/>
      <c r="IG25" s="0"/>
      <c r="IH25" s="0"/>
      <c r="II25" s="0"/>
      <c r="IJ25" s="0"/>
      <c r="IK25" s="0"/>
      <c r="IL25" s="0"/>
      <c r="IM25" s="0"/>
      <c r="IN25" s="0"/>
      <c r="IO25" s="0"/>
      <c r="IP25" s="0"/>
      <c r="IQ25" s="0"/>
      <c r="IR25" s="0"/>
      <c r="IS25" s="0"/>
      <c r="IT25" s="0"/>
      <c r="IU25" s="0"/>
      <c r="IV25" s="0"/>
      <c r="IW25" s="0"/>
    </row>
    <row r="26" customFormat="false" ht="11.1" hidden="false" customHeight="true" outlineLevel="0" collapsed="false">
      <c r="A26" s="118" t="n">
        <v>15</v>
      </c>
      <c r="B26" s="168" t="n">
        <v>6872.31</v>
      </c>
      <c r="C26" s="112" t="n">
        <v>194054</v>
      </c>
      <c r="D26" s="117" t="n">
        <f aca="false">C26-C25</f>
        <v>-440</v>
      </c>
      <c r="E26" s="112" t="n">
        <f aca="false">C26-152000</f>
        <v>42054</v>
      </c>
      <c r="F26" s="180" t="n">
        <f aca="false">D26/$D$2</f>
        <v>-221.830098311066</v>
      </c>
      <c r="G26" s="111" t="n">
        <v>209</v>
      </c>
      <c r="H26" s="113" t="n">
        <v>0</v>
      </c>
      <c r="I26" s="111" t="n">
        <f aca="false">G26+H26</f>
        <v>209</v>
      </c>
      <c r="J26" s="181" t="n">
        <f aca="false">IF(L26&gt;0,L26,0)</f>
        <v>20.4199016889337</v>
      </c>
      <c r="K26" s="111" t="n">
        <f aca="false">I26+J26</f>
        <v>229.419901688934</v>
      </c>
      <c r="L26" s="111" t="n">
        <f aca="false">F26-(I26-AA26)</f>
        <v>20.4199016889337</v>
      </c>
      <c r="M26" s="182" t="n">
        <v>165</v>
      </c>
      <c r="N26" s="196" t="n">
        <v>0</v>
      </c>
      <c r="O26" s="111" t="n">
        <f aca="false">21.59*1.05</f>
        <v>22.6695</v>
      </c>
      <c r="P26" s="115" t="n">
        <v>2.31</v>
      </c>
      <c r="Q26" s="245" t="n">
        <v>4.2</v>
      </c>
      <c r="R26" s="227" t="n">
        <v>4.74</v>
      </c>
      <c r="S26" s="111" t="n">
        <v>119</v>
      </c>
      <c r="T26" s="111" t="n">
        <v>66</v>
      </c>
      <c r="U26" s="111" t="n">
        <f aca="false">M26-N26-O26-P26-Q26-R26+S26+T26</f>
        <v>316.0805</v>
      </c>
      <c r="V26" s="112" t="n">
        <f aca="false">V25+AH26-(AI26/1.9835)</f>
        <v>4089.59416506716</v>
      </c>
      <c r="W26" s="112"/>
      <c r="X26" s="111" t="n">
        <v>80.25</v>
      </c>
      <c r="Y26" s="111" t="n">
        <v>21</v>
      </c>
      <c r="Z26" s="112" t="n">
        <f aca="false">Z25-Y26</f>
        <v>4839.49231157046</v>
      </c>
      <c r="AA26" s="6" t="n">
        <f aca="false">M26+S26+T26+X26+Y26</f>
        <v>451.25</v>
      </c>
      <c r="AB26" s="111" t="n">
        <f aca="false">IF(L26&lt;0,L26*-1,0)</f>
        <v>0</v>
      </c>
      <c r="AC26" s="111" t="n">
        <f aca="false">AA26+AB26</f>
        <v>451.25</v>
      </c>
      <c r="AD26" s="161" t="n">
        <v>0.01</v>
      </c>
      <c r="AE26" s="117" t="n">
        <v>87</v>
      </c>
      <c r="AF26" s="167" t="n">
        <v>54</v>
      </c>
      <c r="AG26" s="118" t="n">
        <v>0</v>
      </c>
      <c r="AH26" s="373" t="n">
        <f aca="false">(I26-P26-Q26)-(U26)</f>
        <v>-113.5905</v>
      </c>
      <c r="AI26" s="10" t="n">
        <f aca="false">23.5*(V25*1.9835-U26*1.9835)/E26</f>
        <v>4.31083787054999</v>
      </c>
      <c r="AJ26" s="376"/>
      <c r="AK26" s="0"/>
      <c r="AL26" s="0"/>
      <c r="AM26" s="0"/>
      <c r="AN26" s="0"/>
      <c r="AO26" s="0"/>
      <c r="AP26" s="0"/>
      <c r="AQ26" s="0"/>
      <c r="AR26" s="0"/>
      <c r="AS26" s="0"/>
      <c r="AT26" s="0"/>
      <c r="AU26" s="0"/>
      <c r="AV26" s="0"/>
      <c r="AW26" s="0"/>
      <c r="AX26" s="0"/>
      <c r="AY26" s="0"/>
      <c r="AZ26" s="0"/>
      <c r="BA26" s="0"/>
      <c r="BB26" s="0"/>
      <c r="BC26" s="0"/>
      <c r="BD26" s="0"/>
      <c r="BE26" s="0"/>
      <c r="BF26" s="0"/>
      <c r="BG26" s="0"/>
      <c r="BH26" s="0"/>
      <c r="BI26" s="0"/>
      <c r="BJ26" s="0"/>
      <c r="BK26" s="0"/>
      <c r="BL26" s="0"/>
      <c r="BM26" s="0"/>
      <c r="BN26" s="0"/>
      <c r="BO26" s="0"/>
      <c r="BP26" s="0"/>
      <c r="BQ26" s="0"/>
      <c r="BR26" s="0"/>
      <c r="BS26" s="0"/>
      <c r="BT26" s="0"/>
      <c r="BU26" s="0"/>
      <c r="BV26" s="0"/>
      <c r="BW26" s="0"/>
      <c r="BX26" s="0"/>
      <c r="BY26" s="0"/>
      <c r="BZ26" s="0"/>
      <c r="CA26" s="0"/>
      <c r="CB26" s="0"/>
      <c r="CC26" s="0"/>
      <c r="CD26" s="0"/>
      <c r="CE26" s="0"/>
      <c r="CF26" s="0"/>
      <c r="CG26" s="0"/>
      <c r="CH26" s="0"/>
      <c r="CI26" s="0"/>
      <c r="CJ26" s="0"/>
      <c r="CK26" s="0"/>
      <c r="CL26" s="0"/>
      <c r="CM26" s="0"/>
      <c r="CN26" s="0"/>
      <c r="CO26" s="0"/>
      <c r="CP26" s="0"/>
      <c r="CQ26" s="0"/>
      <c r="CR26" s="0"/>
      <c r="CS26" s="0"/>
      <c r="CT26" s="0"/>
      <c r="CU26" s="0"/>
      <c r="CV26" s="0"/>
      <c r="CW26" s="0"/>
      <c r="CX26" s="0"/>
      <c r="CY26" s="0"/>
      <c r="CZ26" s="0"/>
      <c r="DA26" s="0"/>
      <c r="DB26" s="0"/>
      <c r="DC26" s="0"/>
      <c r="DD26" s="0"/>
      <c r="DE26" s="0"/>
      <c r="DF26" s="0"/>
      <c r="DG26" s="0"/>
      <c r="DH26" s="0"/>
      <c r="DI26" s="0"/>
      <c r="DJ26" s="0"/>
      <c r="DK26" s="0"/>
      <c r="DL26" s="0"/>
      <c r="DM26" s="0"/>
      <c r="DN26" s="0"/>
      <c r="DO26" s="0"/>
      <c r="DP26" s="0"/>
      <c r="DQ26" s="0"/>
      <c r="DR26" s="0"/>
      <c r="DS26" s="0"/>
      <c r="DT26" s="0"/>
      <c r="DU26" s="0"/>
      <c r="DV26" s="0"/>
      <c r="DW26" s="0"/>
      <c r="DX26" s="0"/>
      <c r="DY26" s="0"/>
      <c r="DZ26" s="0"/>
      <c r="EA26" s="0"/>
      <c r="EB26" s="0"/>
      <c r="EC26" s="0"/>
      <c r="ED26" s="0"/>
      <c r="EE26" s="0"/>
      <c r="EF26" s="0"/>
      <c r="EG26" s="0"/>
      <c r="EH26" s="0"/>
      <c r="EI26" s="0"/>
      <c r="EJ26" s="0"/>
      <c r="EK26" s="0"/>
      <c r="EL26" s="0"/>
      <c r="EM26" s="0"/>
      <c r="EN26" s="0"/>
      <c r="EO26" s="0"/>
      <c r="EP26" s="0"/>
      <c r="EQ26" s="0"/>
      <c r="ER26" s="0"/>
      <c r="ES26" s="0"/>
      <c r="ET26" s="0"/>
      <c r="EU26" s="0"/>
      <c r="EV26" s="0"/>
      <c r="EW26" s="0"/>
      <c r="EX26" s="0"/>
      <c r="EY26" s="0"/>
      <c r="EZ26" s="0"/>
      <c r="FA26" s="0"/>
      <c r="FB26" s="0"/>
      <c r="FC26" s="0"/>
      <c r="FD26" s="0"/>
      <c r="FE26" s="0"/>
      <c r="FF26" s="0"/>
      <c r="FG26" s="0"/>
      <c r="FH26" s="0"/>
      <c r="FI26" s="0"/>
      <c r="FJ26" s="0"/>
      <c r="FK26" s="0"/>
      <c r="FL26" s="0"/>
      <c r="FM26" s="0"/>
      <c r="FN26" s="0"/>
      <c r="FO26" s="0"/>
      <c r="FP26" s="0"/>
      <c r="FQ26" s="0"/>
      <c r="FR26" s="0"/>
      <c r="FS26" s="0"/>
      <c r="FT26" s="0"/>
      <c r="FU26" s="0"/>
      <c r="FV26" s="0"/>
      <c r="FW26" s="0"/>
      <c r="FX26" s="0"/>
      <c r="FY26" s="0"/>
      <c r="FZ26" s="0"/>
      <c r="GA26" s="0"/>
      <c r="GB26" s="0"/>
      <c r="GC26" s="0"/>
      <c r="GD26" s="0"/>
      <c r="GE26" s="0"/>
      <c r="GF26" s="0"/>
      <c r="GG26" s="0"/>
      <c r="GH26" s="0"/>
      <c r="GI26" s="0"/>
      <c r="GJ26" s="0"/>
      <c r="GK26" s="0"/>
      <c r="GL26" s="0"/>
      <c r="GM26" s="0"/>
      <c r="GN26" s="0"/>
      <c r="GO26" s="0"/>
      <c r="GP26" s="0"/>
      <c r="GQ26" s="0"/>
      <c r="GR26" s="0"/>
      <c r="GS26" s="0"/>
      <c r="GT26" s="0"/>
      <c r="GU26" s="0"/>
      <c r="GV26" s="0"/>
      <c r="GW26" s="0"/>
      <c r="GX26" s="0"/>
      <c r="GY26" s="0"/>
      <c r="GZ26" s="0"/>
      <c r="HA26" s="0"/>
      <c r="HB26" s="0"/>
      <c r="HC26" s="0"/>
      <c r="HD26" s="0"/>
      <c r="HE26" s="0"/>
      <c r="HF26" s="0"/>
      <c r="HG26" s="0"/>
      <c r="HH26" s="0"/>
      <c r="HI26" s="0"/>
      <c r="HJ26" s="0"/>
      <c r="HK26" s="0"/>
      <c r="HL26" s="0"/>
      <c r="HM26" s="0"/>
      <c r="HN26" s="0"/>
      <c r="HO26" s="0"/>
      <c r="HP26" s="0"/>
      <c r="HQ26" s="0"/>
      <c r="HR26" s="0"/>
      <c r="HS26" s="0"/>
      <c r="HT26" s="0"/>
      <c r="HU26" s="0"/>
      <c r="HV26" s="0"/>
      <c r="HW26" s="0"/>
      <c r="HX26" s="0"/>
      <c r="HY26" s="0"/>
      <c r="HZ26" s="0"/>
      <c r="IA26" s="0"/>
      <c r="IB26" s="0"/>
      <c r="IC26" s="0"/>
      <c r="ID26" s="0"/>
      <c r="IE26" s="0"/>
      <c r="IF26" s="0"/>
      <c r="IG26" s="0"/>
      <c r="IH26" s="0"/>
      <c r="II26" s="0"/>
      <c r="IJ26" s="0"/>
      <c r="IK26" s="0"/>
      <c r="IL26" s="0"/>
      <c r="IM26" s="0"/>
      <c r="IN26" s="0"/>
      <c r="IO26" s="0"/>
      <c r="IP26" s="0"/>
      <c r="IQ26" s="0"/>
      <c r="IR26" s="0"/>
      <c r="IS26" s="0"/>
      <c r="IT26" s="0"/>
      <c r="IU26" s="0"/>
      <c r="IV26" s="0"/>
      <c r="IW26" s="0"/>
    </row>
    <row r="27" customFormat="false" ht="11.1" hidden="false" customHeight="true" outlineLevel="0" collapsed="false">
      <c r="A27" s="118" t="n">
        <v>16</v>
      </c>
      <c r="B27" s="168" t="n">
        <v>6872.04</v>
      </c>
      <c r="C27" s="112" t="n">
        <v>193311</v>
      </c>
      <c r="D27" s="117" t="n">
        <f aca="false">C27-C26</f>
        <v>-743</v>
      </c>
      <c r="E27" s="112" t="n">
        <f aca="false">C27-152000</f>
        <v>41311</v>
      </c>
      <c r="F27" s="180" t="n">
        <f aca="false">D27/$D$2</f>
        <v>-374.590370557096</v>
      </c>
      <c r="G27" s="111" t="n">
        <v>171</v>
      </c>
      <c r="H27" s="113" t="n">
        <v>0</v>
      </c>
      <c r="I27" s="111" t="n">
        <f aca="false">G27+H27</f>
        <v>171</v>
      </c>
      <c r="J27" s="181" t="n">
        <f aca="false">IF(L27&gt;0,L27,0)</f>
        <v>0</v>
      </c>
      <c r="K27" s="111" t="n">
        <f aca="false">I27+J27</f>
        <v>171</v>
      </c>
      <c r="L27" s="111" t="n">
        <f aca="false">F27-(I27-AA27)</f>
        <v>-116.680370557096</v>
      </c>
      <c r="M27" s="182" t="n">
        <v>152</v>
      </c>
      <c r="N27" s="196" t="n">
        <v>0</v>
      </c>
      <c r="O27" s="111" t="n">
        <f aca="false">16.89*1.05</f>
        <v>17.7345</v>
      </c>
      <c r="P27" s="115" t="n">
        <v>1.91</v>
      </c>
      <c r="Q27" s="245" t="n">
        <v>4.2</v>
      </c>
      <c r="R27" s="227" t="n">
        <v>3.13</v>
      </c>
      <c r="S27" s="111" t="n">
        <v>119</v>
      </c>
      <c r="T27" s="111" t="n">
        <v>67</v>
      </c>
      <c r="U27" s="111" t="n">
        <f aca="false">M27-N27-O27-P27-Q27-R27+S27+T27</f>
        <v>311.0255</v>
      </c>
      <c r="V27" s="112" t="n">
        <f aca="false">V26+AH27-(AI27/1.9835)</f>
        <v>3941.30920454504</v>
      </c>
      <c r="W27" s="112"/>
      <c r="X27" s="111" t="n">
        <v>69.91</v>
      </c>
      <c r="Y27" s="111" t="n">
        <v>21</v>
      </c>
      <c r="Z27" s="112" t="n">
        <f aca="false">Z26-Y27</f>
        <v>4818.49231157046</v>
      </c>
      <c r="AA27" s="6" t="n">
        <f aca="false">M27+S27+T27+X27+Y27</f>
        <v>428.91</v>
      </c>
      <c r="AB27" s="111" t="n">
        <f aca="false">IF(L27&lt;0,L27*-1,0)</f>
        <v>116.680370557096</v>
      </c>
      <c r="AC27" s="111" t="n">
        <f aca="false">AA27+AB27</f>
        <v>545.590370557096</v>
      </c>
      <c r="AD27" s="161" t="n">
        <v>0.01</v>
      </c>
      <c r="AE27" s="117" t="n">
        <v>77</v>
      </c>
      <c r="AF27" s="167" t="n">
        <v>50</v>
      </c>
      <c r="AG27" s="118" t="n">
        <v>0</v>
      </c>
      <c r="AH27" s="373" t="n">
        <f aca="false">(I27-P27-Q27)-(U27)</f>
        <v>-146.1355</v>
      </c>
      <c r="AI27" s="10" t="n">
        <f aca="false">23.5*(V26*1.9835-U27*1.9835)/E27</f>
        <v>4.2634549456144</v>
      </c>
      <c r="AJ27" s="376"/>
      <c r="AK27" s="0"/>
      <c r="AL27" s="0"/>
      <c r="AM27" s="0"/>
      <c r="AN27" s="0"/>
      <c r="AO27" s="0"/>
      <c r="AP27" s="0"/>
      <c r="AQ27" s="0"/>
      <c r="AR27" s="0"/>
      <c r="AS27" s="0"/>
      <c r="AT27" s="0"/>
      <c r="AU27" s="0"/>
      <c r="AV27" s="0"/>
      <c r="AW27" s="0"/>
      <c r="AX27" s="0"/>
      <c r="AY27" s="0"/>
      <c r="AZ27" s="0"/>
      <c r="BA27" s="0"/>
      <c r="BB27" s="0"/>
      <c r="BC27" s="0"/>
      <c r="BD27" s="0"/>
      <c r="BE27" s="0"/>
      <c r="BF27" s="0"/>
      <c r="BG27" s="0"/>
      <c r="BH27" s="0"/>
      <c r="BI27" s="0"/>
      <c r="BJ27" s="0"/>
      <c r="BK27" s="0"/>
      <c r="BL27" s="0"/>
      <c r="BM27" s="0"/>
      <c r="BN27" s="0"/>
      <c r="BO27" s="0"/>
      <c r="BP27" s="0"/>
      <c r="BQ27" s="0"/>
      <c r="BR27" s="0"/>
      <c r="BS27" s="0"/>
      <c r="BT27" s="0"/>
      <c r="BU27" s="0"/>
      <c r="BV27" s="0"/>
      <c r="BW27" s="0"/>
      <c r="BX27" s="0"/>
      <c r="BY27" s="0"/>
      <c r="BZ27" s="0"/>
      <c r="CA27" s="0"/>
      <c r="CB27" s="0"/>
      <c r="CC27" s="0"/>
      <c r="CD27" s="0"/>
      <c r="CE27" s="0"/>
      <c r="CF27" s="0"/>
      <c r="CG27" s="0"/>
      <c r="CH27" s="0"/>
      <c r="CI27" s="0"/>
      <c r="CJ27" s="0"/>
      <c r="CK27" s="0"/>
      <c r="CL27" s="0"/>
      <c r="CM27" s="0"/>
      <c r="CN27" s="0"/>
      <c r="CO27" s="0"/>
      <c r="CP27" s="0"/>
      <c r="CQ27" s="0"/>
      <c r="CR27" s="0"/>
      <c r="CS27" s="0"/>
      <c r="CT27" s="0"/>
      <c r="CU27" s="0"/>
      <c r="CV27" s="0"/>
      <c r="CW27" s="0"/>
      <c r="CX27" s="0"/>
      <c r="CY27" s="0"/>
      <c r="CZ27" s="0"/>
      <c r="DA27" s="0"/>
      <c r="DB27" s="0"/>
      <c r="DC27" s="0"/>
      <c r="DD27" s="0"/>
      <c r="DE27" s="0"/>
      <c r="DF27" s="0"/>
      <c r="DG27" s="0"/>
      <c r="DH27" s="0"/>
      <c r="DI27" s="0"/>
      <c r="DJ27" s="0"/>
      <c r="DK27" s="0"/>
      <c r="DL27" s="0"/>
      <c r="DM27" s="0"/>
      <c r="DN27" s="0"/>
      <c r="DO27" s="0"/>
      <c r="DP27" s="0"/>
      <c r="DQ27" s="0"/>
      <c r="DR27" s="0"/>
      <c r="DS27" s="0"/>
      <c r="DT27" s="0"/>
      <c r="DU27" s="0"/>
      <c r="DV27" s="0"/>
      <c r="DW27" s="0"/>
      <c r="DX27" s="0"/>
      <c r="DY27" s="0"/>
      <c r="DZ27" s="0"/>
      <c r="EA27" s="0"/>
      <c r="EB27" s="0"/>
      <c r="EC27" s="0"/>
      <c r="ED27" s="0"/>
      <c r="EE27" s="0"/>
      <c r="EF27" s="0"/>
      <c r="EG27" s="0"/>
      <c r="EH27" s="0"/>
      <c r="EI27" s="0"/>
      <c r="EJ27" s="0"/>
      <c r="EK27" s="0"/>
      <c r="EL27" s="0"/>
      <c r="EM27" s="0"/>
      <c r="EN27" s="0"/>
      <c r="EO27" s="0"/>
      <c r="EP27" s="0"/>
      <c r="EQ27" s="0"/>
      <c r="ER27" s="0"/>
      <c r="ES27" s="0"/>
      <c r="ET27" s="0"/>
      <c r="EU27" s="0"/>
      <c r="EV27" s="0"/>
      <c r="EW27" s="0"/>
      <c r="EX27" s="0"/>
      <c r="EY27" s="0"/>
      <c r="EZ27" s="0"/>
      <c r="FA27" s="0"/>
      <c r="FB27" s="0"/>
      <c r="FC27" s="0"/>
      <c r="FD27" s="0"/>
      <c r="FE27" s="0"/>
      <c r="FF27" s="0"/>
      <c r="FG27" s="0"/>
      <c r="FH27" s="0"/>
      <c r="FI27" s="0"/>
      <c r="FJ27" s="0"/>
      <c r="FK27" s="0"/>
      <c r="FL27" s="0"/>
      <c r="FM27" s="0"/>
      <c r="FN27" s="0"/>
      <c r="FO27" s="0"/>
      <c r="FP27" s="0"/>
      <c r="FQ27" s="0"/>
      <c r="FR27" s="0"/>
      <c r="FS27" s="0"/>
      <c r="FT27" s="0"/>
      <c r="FU27" s="0"/>
      <c r="FV27" s="0"/>
      <c r="FW27" s="0"/>
      <c r="FX27" s="0"/>
      <c r="FY27" s="0"/>
      <c r="FZ27" s="0"/>
      <c r="GA27" s="0"/>
      <c r="GB27" s="0"/>
      <c r="GC27" s="0"/>
      <c r="GD27" s="0"/>
      <c r="GE27" s="0"/>
      <c r="GF27" s="0"/>
      <c r="GG27" s="0"/>
      <c r="GH27" s="0"/>
      <c r="GI27" s="0"/>
      <c r="GJ27" s="0"/>
      <c r="GK27" s="0"/>
      <c r="GL27" s="0"/>
      <c r="GM27" s="0"/>
      <c r="GN27" s="0"/>
      <c r="GO27" s="0"/>
      <c r="GP27" s="0"/>
      <c r="GQ27" s="0"/>
      <c r="GR27" s="0"/>
      <c r="GS27" s="0"/>
      <c r="GT27" s="0"/>
      <c r="GU27" s="0"/>
      <c r="GV27" s="0"/>
      <c r="GW27" s="0"/>
      <c r="GX27" s="0"/>
      <c r="GY27" s="0"/>
      <c r="GZ27" s="0"/>
      <c r="HA27" s="0"/>
      <c r="HB27" s="0"/>
      <c r="HC27" s="0"/>
      <c r="HD27" s="0"/>
      <c r="HE27" s="0"/>
      <c r="HF27" s="0"/>
      <c r="HG27" s="0"/>
      <c r="HH27" s="0"/>
      <c r="HI27" s="0"/>
      <c r="HJ27" s="0"/>
      <c r="HK27" s="0"/>
      <c r="HL27" s="0"/>
      <c r="HM27" s="0"/>
      <c r="HN27" s="0"/>
      <c r="HO27" s="0"/>
      <c r="HP27" s="0"/>
      <c r="HQ27" s="0"/>
      <c r="HR27" s="0"/>
      <c r="HS27" s="0"/>
      <c r="HT27" s="0"/>
      <c r="HU27" s="0"/>
      <c r="HV27" s="0"/>
      <c r="HW27" s="0"/>
      <c r="HX27" s="0"/>
      <c r="HY27" s="0"/>
      <c r="HZ27" s="0"/>
      <c r="IA27" s="0"/>
      <c r="IB27" s="0"/>
      <c r="IC27" s="0"/>
      <c r="ID27" s="0"/>
      <c r="IE27" s="0"/>
      <c r="IF27" s="0"/>
      <c r="IG27" s="0"/>
      <c r="IH27" s="0"/>
      <c r="II27" s="0"/>
      <c r="IJ27" s="0"/>
      <c r="IK27" s="0"/>
      <c r="IL27" s="0"/>
      <c r="IM27" s="0"/>
      <c r="IN27" s="0"/>
      <c r="IO27" s="0"/>
      <c r="IP27" s="0"/>
      <c r="IQ27" s="0"/>
      <c r="IR27" s="0"/>
      <c r="IS27" s="0"/>
      <c r="IT27" s="0"/>
      <c r="IU27" s="0"/>
      <c r="IV27" s="0"/>
      <c r="IW27" s="0"/>
    </row>
    <row r="28" customFormat="false" ht="11.1" hidden="false" customHeight="true" outlineLevel="0" collapsed="false">
      <c r="A28" s="118" t="n">
        <v>17</v>
      </c>
      <c r="B28" s="168" t="n">
        <v>6871.78</v>
      </c>
      <c r="C28" s="112" t="n">
        <v>192603</v>
      </c>
      <c r="D28" s="117" t="n">
        <f aca="false">C28-C27</f>
        <v>-708</v>
      </c>
      <c r="E28" s="112" t="n">
        <f aca="false">C28-152000</f>
        <v>40603</v>
      </c>
      <c r="F28" s="180" t="n">
        <f aca="false">D28/$D$2</f>
        <v>-356.944794555079</v>
      </c>
      <c r="G28" s="111" t="n">
        <v>182</v>
      </c>
      <c r="H28" s="113" t="n">
        <v>0</v>
      </c>
      <c r="I28" s="111" t="n">
        <f aca="false">G28+H28</f>
        <v>182</v>
      </c>
      <c r="J28" s="181" t="n">
        <f aca="false">IF(L28&gt;0,L28,0)</f>
        <v>0</v>
      </c>
      <c r="K28" s="111" t="n">
        <f aca="false">I28+J28</f>
        <v>182</v>
      </c>
      <c r="L28" s="111" t="n">
        <f aca="false">F28-(I28-AA28)</f>
        <v>-126.464794555079</v>
      </c>
      <c r="M28" s="182" t="n">
        <v>139</v>
      </c>
      <c r="N28" s="196" t="n">
        <v>0</v>
      </c>
      <c r="O28" s="111" t="n">
        <f aca="false">16.23*1.05</f>
        <v>17.0415</v>
      </c>
      <c r="P28" s="115" t="n">
        <v>1.88</v>
      </c>
      <c r="Q28" s="245" t="n">
        <v>4.2</v>
      </c>
      <c r="R28" s="227" t="n">
        <v>2.11</v>
      </c>
      <c r="S28" s="111" t="n">
        <v>120</v>
      </c>
      <c r="T28" s="111" t="n">
        <v>68</v>
      </c>
      <c r="U28" s="111" t="n">
        <f aca="false">M28-N28-O28-P28-Q28-R28+S28+T28</f>
        <v>301.7685</v>
      </c>
      <c r="V28" s="112" t="n">
        <f aca="false">V27+AH28-(AI28/1.9835)</f>
        <v>3813.35422949254</v>
      </c>
      <c r="W28" s="112"/>
      <c r="X28" s="111" t="n">
        <v>64.48</v>
      </c>
      <c r="Y28" s="111" t="n">
        <v>21</v>
      </c>
      <c r="Z28" s="112" t="n">
        <f aca="false">Z27-Y28</f>
        <v>4797.49231157046</v>
      </c>
      <c r="AA28" s="6" t="n">
        <f aca="false">M28+S28+T28+X28+Y28</f>
        <v>412.48</v>
      </c>
      <c r="AB28" s="111" t="n">
        <f aca="false">IF(L28&lt;0,L28*-1,0)</f>
        <v>126.464794555079</v>
      </c>
      <c r="AC28" s="111" t="n">
        <f aca="false">AA28+AB28</f>
        <v>538.944794555079</v>
      </c>
      <c r="AD28" s="161" t="n">
        <v>0.29</v>
      </c>
      <c r="AE28" s="117" t="n">
        <v>74</v>
      </c>
      <c r="AF28" s="167" t="n">
        <v>53</v>
      </c>
      <c r="AG28" s="118" t="n">
        <v>0</v>
      </c>
      <c r="AH28" s="373" t="n">
        <f aca="false">(I28-P28-Q28)-(U28)</f>
        <v>-125.8485</v>
      </c>
      <c r="AI28" s="10" t="n">
        <f aca="false">23.5*(V27*1.9835-U28*1.9835)/E28</f>
        <v>4.17819326664113</v>
      </c>
      <c r="AJ28" s="376"/>
      <c r="AK28" s="0"/>
      <c r="AL28" s="0"/>
      <c r="AM28" s="0"/>
      <c r="AN28" s="0"/>
      <c r="AO28" s="0"/>
      <c r="AP28" s="0"/>
      <c r="AQ28" s="0"/>
      <c r="AR28" s="0"/>
      <c r="AS28" s="0"/>
      <c r="AT28" s="0"/>
      <c r="AU28" s="0"/>
      <c r="AV28" s="0"/>
      <c r="AW28" s="0"/>
      <c r="AX28" s="0"/>
      <c r="AY28" s="0"/>
      <c r="AZ28" s="0"/>
      <c r="BA28" s="0"/>
      <c r="BB28" s="0"/>
      <c r="BC28" s="0"/>
      <c r="BD28" s="0"/>
      <c r="BE28" s="0"/>
      <c r="BF28" s="0"/>
      <c r="BG28" s="0"/>
      <c r="BH28" s="0"/>
      <c r="BI28" s="0"/>
      <c r="BJ28" s="0"/>
      <c r="BK28" s="0"/>
      <c r="BL28" s="0"/>
      <c r="BM28" s="0"/>
      <c r="BN28" s="0"/>
      <c r="BO28" s="0"/>
      <c r="BP28" s="0"/>
      <c r="BQ28" s="0"/>
      <c r="BR28" s="0"/>
      <c r="BS28" s="0"/>
      <c r="BT28" s="0"/>
      <c r="BU28" s="0"/>
      <c r="BV28" s="0"/>
      <c r="BW28" s="0"/>
      <c r="BX28" s="0"/>
      <c r="BY28" s="0"/>
      <c r="BZ28" s="0"/>
      <c r="CA28" s="0"/>
      <c r="CB28" s="0"/>
      <c r="CC28" s="0"/>
      <c r="CD28" s="0"/>
      <c r="CE28" s="0"/>
      <c r="CF28" s="0"/>
      <c r="CG28" s="0"/>
      <c r="CH28" s="0"/>
      <c r="CI28" s="0"/>
      <c r="CJ28" s="0"/>
      <c r="CK28" s="0"/>
      <c r="CL28" s="0"/>
      <c r="CM28" s="0"/>
      <c r="CN28" s="0"/>
      <c r="CO28" s="0"/>
      <c r="CP28" s="0"/>
      <c r="CQ28" s="0"/>
      <c r="CR28" s="0"/>
      <c r="CS28" s="0"/>
      <c r="CT28" s="0"/>
      <c r="CU28" s="0"/>
      <c r="CV28" s="0"/>
      <c r="CW28" s="0"/>
      <c r="CX28" s="0"/>
      <c r="CY28" s="0"/>
      <c r="CZ28" s="0"/>
      <c r="DA28" s="0"/>
      <c r="DB28" s="0"/>
      <c r="DC28" s="0"/>
      <c r="DD28" s="0"/>
      <c r="DE28" s="0"/>
      <c r="DF28" s="0"/>
      <c r="DG28" s="0"/>
      <c r="DH28" s="0"/>
      <c r="DI28" s="0"/>
      <c r="DJ28" s="0"/>
      <c r="DK28" s="0"/>
      <c r="DL28" s="0"/>
      <c r="DM28" s="0"/>
      <c r="DN28" s="0"/>
      <c r="DO28" s="0"/>
      <c r="DP28" s="0"/>
      <c r="DQ28" s="0"/>
      <c r="DR28" s="0"/>
      <c r="DS28" s="0"/>
      <c r="DT28" s="0"/>
      <c r="DU28" s="0"/>
      <c r="DV28" s="0"/>
      <c r="DW28" s="0"/>
      <c r="DX28" s="0"/>
      <c r="DY28" s="0"/>
      <c r="DZ28" s="0"/>
      <c r="EA28" s="0"/>
      <c r="EB28" s="0"/>
      <c r="EC28" s="0"/>
      <c r="ED28" s="0"/>
      <c r="EE28" s="0"/>
      <c r="EF28" s="0"/>
      <c r="EG28" s="0"/>
      <c r="EH28" s="0"/>
      <c r="EI28" s="0"/>
      <c r="EJ28" s="0"/>
      <c r="EK28" s="0"/>
      <c r="EL28" s="0"/>
      <c r="EM28" s="0"/>
      <c r="EN28" s="0"/>
      <c r="EO28" s="0"/>
      <c r="EP28" s="0"/>
      <c r="EQ28" s="0"/>
      <c r="ER28" s="0"/>
      <c r="ES28" s="0"/>
      <c r="ET28" s="0"/>
      <c r="EU28" s="0"/>
      <c r="EV28" s="0"/>
      <c r="EW28" s="0"/>
      <c r="EX28" s="0"/>
      <c r="EY28" s="0"/>
      <c r="EZ28" s="0"/>
      <c r="FA28" s="0"/>
      <c r="FB28" s="0"/>
      <c r="FC28" s="0"/>
      <c r="FD28" s="0"/>
      <c r="FE28" s="0"/>
      <c r="FF28" s="0"/>
      <c r="FG28" s="0"/>
      <c r="FH28" s="0"/>
      <c r="FI28" s="0"/>
      <c r="FJ28" s="0"/>
      <c r="FK28" s="0"/>
      <c r="FL28" s="0"/>
      <c r="FM28" s="0"/>
      <c r="FN28" s="0"/>
      <c r="FO28" s="0"/>
      <c r="FP28" s="0"/>
      <c r="FQ28" s="0"/>
      <c r="FR28" s="0"/>
      <c r="FS28" s="0"/>
      <c r="FT28" s="0"/>
      <c r="FU28" s="0"/>
      <c r="FV28" s="0"/>
      <c r="FW28" s="0"/>
      <c r="FX28" s="0"/>
      <c r="FY28" s="0"/>
      <c r="FZ28" s="0"/>
      <c r="GA28" s="0"/>
      <c r="GB28" s="0"/>
      <c r="GC28" s="0"/>
      <c r="GD28" s="0"/>
      <c r="GE28" s="0"/>
      <c r="GF28" s="0"/>
      <c r="GG28" s="0"/>
      <c r="GH28" s="0"/>
      <c r="GI28" s="0"/>
      <c r="GJ28" s="0"/>
      <c r="GK28" s="0"/>
      <c r="GL28" s="0"/>
      <c r="GM28" s="0"/>
      <c r="GN28" s="0"/>
      <c r="GO28" s="0"/>
      <c r="GP28" s="0"/>
      <c r="GQ28" s="0"/>
      <c r="GR28" s="0"/>
      <c r="GS28" s="0"/>
      <c r="GT28" s="0"/>
      <c r="GU28" s="0"/>
      <c r="GV28" s="0"/>
      <c r="GW28" s="0"/>
      <c r="GX28" s="0"/>
      <c r="GY28" s="0"/>
      <c r="GZ28" s="0"/>
      <c r="HA28" s="0"/>
      <c r="HB28" s="0"/>
      <c r="HC28" s="0"/>
      <c r="HD28" s="0"/>
      <c r="HE28" s="0"/>
      <c r="HF28" s="0"/>
      <c r="HG28" s="0"/>
      <c r="HH28" s="0"/>
      <c r="HI28" s="0"/>
      <c r="HJ28" s="0"/>
      <c r="HK28" s="0"/>
      <c r="HL28" s="0"/>
      <c r="HM28" s="0"/>
      <c r="HN28" s="0"/>
      <c r="HO28" s="0"/>
      <c r="HP28" s="0"/>
      <c r="HQ28" s="0"/>
      <c r="HR28" s="0"/>
      <c r="HS28" s="0"/>
      <c r="HT28" s="0"/>
      <c r="HU28" s="0"/>
      <c r="HV28" s="0"/>
      <c r="HW28" s="0"/>
      <c r="HX28" s="0"/>
      <c r="HY28" s="0"/>
      <c r="HZ28" s="0"/>
      <c r="IA28" s="0"/>
      <c r="IB28" s="0"/>
      <c r="IC28" s="0"/>
      <c r="ID28" s="0"/>
      <c r="IE28" s="0"/>
      <c r="IF28" s="0"/>
      <c r="IG28" s="0"/>
      <c r="IH28" s="0"/>
      <c r="II28" s="0"/>
      <c r="IJ28" s="0"/>
      <c r="IK28" s="0"/>
      <c r="IL28" s="0"/>
      <c r="IM28" s="0"/>
      <c r="IN28" s="0"/>
      <c r="IO28" s="0"/>
      <c r="IP28" s="0"/>
      <c r="IQ28" s="0"/>
      <c r="IR28" s="0"/>
      <c r="IS28" s="0"/>
      <c r="IT28" s="0"/>
      <c r="IU28" s="0"/>
      <c r="IV28" s="0"/>
      <c r="IW28" s="0"/>
    </row>
    <row r="29" customFormat="false" ht="11.1" hidden="false" customHeight="true" outlineLevel="0" collapsed="false">
      <c r="A29" s="118" t="n">
        <v>18</v>
      </c>
      <c r="B29" s="168" t="n">
        <v>6871.5</v>
      </c>
      <c r="C29" s="112" t="n">
        <v>191842</v>
      </c>
      <c r="D29" s="117" t="n">
        <f aca="false">C29-C28</f>
        <v>-761</v>
      </c>
      <c r="E29" s="112" t="n">
        <f aca="false">C29-152000</f>
        <v>39842</v>
      </c>
      <c r="F29" s="180" t="n">
        <f aca="false">D29/$D$2</f>
        <v>-383.665238215276</v>
      </c>
      <c r="G29" s="111" t="n">
        <v>166</v>
      </c>
      <c r="H29" s="113" t="n">
        <v>0</v>
      </c>
      <c r="I29" s="111" t="n">
        <f aca="false">G29+H29</f>
        <v>166</v>
      </c>
      <c r="J29" s="181" t="n">
        <f aca="false">IF(L29&gt;0,L29,0)</f>
        <v>0</v>
      </c>
      <c r="K29" s="111" t="n">
        <f aca="false">I29+J29</f>
        <v>166</v>
      </c>
      <c r="L29" s="111" t="n">
        <f aca="false">F29-(I29-AA29)</f>
        <v>-121.165238215276</v>
      </c>
      <c r="M29" s="182" t="n">
        <v>131</v>
      </c>
      <c r="N29" s="196" t="n">
        <v>0</v>
      </c>
      <c r="O29" s="111" t="n">
        <f aca="false">14.61*1.05</f>
        <v>15.3405</v>
      </c>
      <c r="P29" s="115" t="n">
        <v>1.94</v>
      </c>
      <c r="Q29" s="245" t="n">
        <v>4.2</v>
      </c>
      <c r="R29" s="227" t="n">
        <v>1.83</v>
      </c>
      <c r="S29" s="111" t="n">
        <v>118</v>
      </c>
      <c r="T29" s="111" t="n">
        <v>67</v>
      </c>
      <c r="U29" s="111" t="n">
        <f aca="false">M29-N29-O29-P29-Q29-R29+S29+T29</f>
        <v>292.6895</v>
      </c>
      <c r="V29" s="112" t="n">
        <f aca="false">V28+AH29-(AI29/1.9835)</f>
        <v>3678.44813642133</v>
      </c>
      <c r="W29" s="112"/>
      <c r="X29" s="111" t="n">
        <v>91.5</v>
      </c>
      <c r="Y29" s="111" t="n">
        <v>21</v>
      </c>
      <c r="Z29" s="112" t="n">
        <f aca="false">Z28-Y29</f>
        <v>4776.49231157046</v>
      </c>
      <c r="AA29" s="6" t="n">
        <f aca="false">M29+S29+T29+X29+Y29</f>
        <v>428.5</v>
      </c>
      <c r="AB29" s="111" t="n">
        <f aca="false">IF(L29&lt;0,L29*-1,0)</f>
        <v>121.165238215276</v>
      </c>
      <c r="AC29" s="111" t="n">
        <f aca="false">AA29+AB29</f>
        <v>549.665238215276</v>
      </c>
      <c r="AD29" s="161" t="n">
        <v>0</v>
      </c>
      <c r="AE29" s="117" t="n">
        <v>85</v>
      </c>
      <c r="AF29" s="167" t="n">
        <v>55</v>
      </c>
      <c r="AG29" s="118" t="n">
        <v>0</v>
      </c>
      <c r="AH29" s="373" t="n">
        <f aca="false">(I29-P29-Q29)-(U29)</f>
        <v>-132.8295</v>
      </c>
      <c r="AI29" s="10" t="n">
        <f aca="false">23.5*(V28*1.9835-U29*1.9835)/E29</f>
        <v>4.11892235674134</v>
      </c>
      <c r="AJ29" s="376"/>
      <c r="AK29" s="0"/>
      <c r="AL29" s="0"/>
      <c r="AM29" s="0"/>
      <c r="AN29" s="0"/>
      <c r="AO29" s="0"/>
      <c r="AP29" s="0"/>
      <c r="AQ29" s="0"/>
      <c r="AR29" s="0"/>
      <c r="AS29" s="0"/>
      <c r="AT29" s="0"/>
      <c r="AU29" s="0"/>
      <c r="AV29" s="0"/>
      <c r="AW29" s="0"/>
      <c r="AX29" s="0"/>
      <c r="AY29" s="0"/>
      <c r="AZ29" s="0"/>
      <c r="BA29" s="0"/>
      <c r="BB29" s="0"/>
      <c r="BC29" s="0"/>
      <c r="BD29" s="0"/>
      <c r="BE29" s="0"/>
      <c r="BF29" s="0"/>
      <c r="BG29" s="0"/>
      <c r="BH29" s="0"/>
      <c r="BI29" s="0"/>
      <c r="BJ29" s="0"/>
      <c r="BK29" s="0"/>
      <c r="BL29" s="0"/>
      <c r="BM29" s="0"/>
      <c r="BN29" s="0"/>
      <c r="BO29" s="0"/>
      <c r="BP29" s="0"/>
      <c r="BQ29" s="0"/>
      <c r="BR29" s="0"/>
      <c r="BS29" s="0"/>
      <c r="BT29" s="0"/>
      <c r="BU29" s="0"/>
      <c r="BV29" s="0"/>
      <c r="BW29" s="0"/>
      <c r="BX29" s="0"/>
      <c r="BY29" s="0"/>
      <c r="BZ29" s="0"/>
      <c r="CA29" s="0"/>
      <c r="CB29" s="0"/>
      <c r="CC29" s="0"/>
      <c r="CD29" s="0"/>
      <c r="CE29" s="0"/>
      <c r="CF29" s="0"/>
      <c r="CG29" s="0"/>
      <c r="CH29" s="0"/>
      <c r="CI29" s="0"/>
      <c r="CJ29" s="0"/>
      <c r="CK29" s="0"/>
      <c r="CL29" s="0"/>
      <c r="CM29" s="0"/>
      <c r="CN29" s="0"/>
      <c r="CO29" s="0"/>
      <c r="CP29" s="0"/>
      <c r="CQ29" s="0"/>
      <c r="CR29" s="0"/>
      <c r="CS29" s="0"/>
      <c r="CT29" s="0"/>
      <c r="CU29" s="0"/>
      <c r="CV29" s="0"/>
      <c r="CW29" s="0"/>
      <c r="CX29" s="0"/>
      <c r="CY29" s="0"/>
      <c r="CZ29" s="0"/>
      <c r="DA29" s="0"/>
      <c r="DB29" s="0"/>
      <c r="DC29" s="0"/>
      <c r="DD29" s="0"/>
      <c r="DE29" s="0"/>
      <c r="DF29" s="0"/>
      <c r="DG29" s="0"/>
      <c r="DH29" s="0"/>
      <c r="DI29" s="0"/>
      <c r="DJ29" s="0"/>
      <c r="DK29" s="0"/>
      <c r="DL29" s="0"/>
      <c r="DM29" s="0"/>
      <c r="DN29" s="0"/>
      <c r="DO29" s="0"/>
      <c r="DP29" s="0"/>
      <c r="DQ29" s="0"/>
      <c r="DR29" s="0"/>
      <c r="DS29" s="0"/>
      <c r="DT29" s="0"/>
      <c r="DU29" s="0"/>
      <c r="DV29" s="0"/>
      <c r="DW29" s="0"/>
      <c r="DX29" s="0"/>
      <c r="DY29" s="0"/>
      <c r="DZ29" s="0"/>
      <c r="EA29" s="0"/>
      <c r="EB29" s="0"/>
      <c r="EC29" s="0"/>
      <c r="ED29" s="0"/>
      <c r="EE29" s="0"/>
      <c r="EF29" s="0"/>
      <c r="EG29" s="0"/>
      <c r="EH29" s="0"/>
      <c r="EI29" s="0"/>
      <c r="EJ29" s="0"/>
      <c r="EK29" s="0"/>
      <c r="EL29" s="0"/>
      <c r="EM29" s="0"/>
      <c r="EN29" s="0"/>
      <c r="EO29" s="0"/>
      <c r="EP29" s="0"/>
      <c r="EQ29" s="0"/>
      <c r="ER29" s="0"/>
      <c r="ES29" s="0"/>
      <c r="ET29" s="0"/>
      <c r="EU29" s="0"/>
      <c r="EV29" s="0"/>
      <c r="EW29" s="0"/>
      <c r="EX29" s="0"/>
      <c r="EY29" s="0"/>
      <c r="EZ29" s="0"/>
      <c r="FA29" s="0"/>
      <c r="FB29" s="0"/>
      <c r="FC29" s="0"/>
      <c r="FD29" s="0"/>
      <c r="FE29" s="0"/>
      <c r="FF29" s="0"/>
      <c r="FG29" s="0"/>
      <c r="FH29" s="0"/>
      <c r="FI29" s="0"/>
      <c r="FJ29" s="0"/>
      <c r="FK29" s="0"/>
      <c r="FL29" s="0"/>
      <c r="FM29" s="0"/>
      <c r="FN29" s="0"/>
      <c r="FO29" s="0"/>
      <c r="FP29" s="0"/>
      <c r="FQ29" s="0"/>
      <c r="FR29" s="0"/>
      <c r="FS29" s="0"/>
      <c r="FT29" s="0"/>
      <c r="FU29" s="0"/>
      <c r="FV29" s="0"/>
      <c r="FW29" s="0"/>
      <c r="FX29" s="0"/>
      <c r="FY29" s="0"/>
      <c r="FZ29" s="0"/>
      <c r="GA29" s="0"/>
      <c r="GB29" s="0"/>
      <c r="GC29" s="0"/>
      <c r="GD29" s="0"/>
      <c r="GE29" s="0"/>
      <c r="GF29" s="0"/>
      <c r="GG29" s="0"/>
      <c r="GH29" s="0"/>
      <c r="GI29" s="0"/>
      <c r="GJ29" s="0"/>
      <c r="GK29" s="0"/>
      <c r="GL29" s="0"/>
      <c r="GM29" s="0"/>
      <c r="GN29" s="0"/>
      <c r="GO29" s="0"/>
      <c r="GP29" s="0"/>
      <c r="GQ29" s="0"/>
      <c r="GR29" s="0"/>
      <c r="GS29" s="0"/>
      <c r="GT29" s="0"/>
      <c r="GU29" s="0"/>
      <c r="GV29" s="0"/>
      <c r="GW29" s="0"/>
      <c r="GX29" s="0"/>
      <c r="GY29" s="0"/>
      <c r="GZ29" s="0"/>
      <c r="HA29" s="0"/>
      <c r="HB29" s="0"/>
      <c r="HC29" s="0"/>
      <c r="HD29" s="0"/>
      <c r="HE29" s="0"/>
      <c r="HF29" s="0"/>
      <c r="HG29" s="0"/>
      <c r="HH29" s="0"/>
      <c r="HI29" s="0"/>
      <c r="HJ29" s="0"/>
      <c r="HK29" s="0"/>
      <c r="HL29" s="0"/>
      <c r="HM29" s="0"/>
      <c r="HN29" s="0"/>
      <c r="HO29" s="0"/>
      <c r="HP29" s="0"/>
      <c r="HQ29" s="0"/>
      <c r="HR29" s="0"/>
      <c r="HS29" s="0"/>
      <c r="HT29" s="0"/>
      <c r="HU29" s="0"/>
      <c r="HV29" s="0"/>
      <c r="HW29" s="0"/>
      <c r="HX29" s="0"/>
      <c r="HY29" s="0"/>
      <c r="HZ29" s="0"/>
      <c r="IA29" s="0"/>
      <c r="IB29" s="0"/>
      <c r="IC29" s="0"/>
      <c r="ID29" s="0"/>
      <c r="IE29" s="0"/>
      <c r="IF29" s="0"/>
      <c r="IG29" s="0"/>
      <c r="IH29" s="0"/>
      <c r="II29" s="0"/>
      <c r="IJ29" s="0"/>
      <c r="IK29" s="0"/>
      <c r="IL29" s="0"/>
      <c r="IM29" s="0"/>
      <c r="IN29" s="0"/>
      <c r="IO29" s="0"/>
      <c r="IP29" s="0"/>
      <c r="IQ29" s="0"/>
      <c r="IR29" s="0"/>
      <c r="IS29" s="0"/>
      <c r="IT29" s="0"/>
      <c r="IU29" s="0"/>
      <c r="IV29" s="0"/>
      <c r="IW29" s="0"/>
    </row>
    <row r="30" customFormat="false" ht="11.1" hidden="false" customHeight="true" outlineLevel="0" collapsed="false">
      <c r="A30" s="118" t="n">
        <v>19</v>
      </c>
      <c r="B30" s="168" t="n">
        <v>6871.23</v>
      </c>
      <c r="C30" s="112" t="n">
        <v>191109</v>
      </c>
      <c r="D30" s="117" t="n">
        <f aca="false">C30-C29</f>
        <v>-733</v>
      </c>
      <c r="E30" s="112" t="n">
        <f aca="false">C30-152000</f>
        <v>39109</v>
      </c>
      <c r="F30" s="180" t="n">
        <f aca="false">D30/$D$2</f>
        <v>-369.548777413663</v>
      </c>
      <c r="G30" s="111" t="n">
        <v>159</v>
      </c>
      <c r="H30" s="113" t="n">
        <v>0</v>
      </c>
      <c r="I30" s="111" t="n">
        <f aca="false">G30+H30</f>
        <v>159</v>
      </c>
      <c r="J30" s="181" t="n">
        <f aca="false">IF(L30&gt;0,L30,0)</f>
        <v>0</v>
      </c>
      <c r="K30" s="111" t="n">
        <f aca="false">I30+J30</f>
        <v>159</v>
      </c>
      <c r="L30" s="111" t="n">
        <f aca="false">F30-(I30-AA30)</f>
        <v>-90.6687774136627</v>
      </c>
      <c r="M30" s="182" t="n">
        <v>152</v>
      </c>
      <c r="N30" s="196" t="n">
        <v>0</v>
      </c>
      <c r="O30" s="111" t="n">
        <f aca="false">15.41*1.05</f>
        <v>16.1805</v>
      </c>
      <c r="P30" s="115" t="n">
        <v>1.92</v>
      </c>
      <c r="Q30" s="245" t="n">
        <v>4.2</v>
      </c>
      <c r="R30" s="227" t="n">
        <v>1.6</v>
      </c>
      <c r="S30" s="111" t="n">
        <v>116</v>
      </c>
      <c r="T30" s="111" t="n">
        <v>70</v>
      </c>
      <c r="U30" s="111" t="n">
        <f aca="false">M30-N30-O30-P30-Q30-R30+S30+T30</f>
        <v>314.0995</v>
      </c>
      <c r="V30" s="112" t="n">
        <f aca="false">V29+AH30-(AI30/1.9835)</f>
        <v>3515.20705077721</v>
      </c>
      <c r="W30" s="112"/>
      <c r="X30" s="111" t="n">
        <v>78.88</v>
      </c>
      <c r="Y30" s="111" t="n">
        <v>21</v>
      </c>
      <c r="Z30" s="112" t="n">
        <f aca="false">Z29-Y30</f>
        <v>4755.49231157046</v>
      </c>
      <c r="AA30" s="6" t="n">
        <f aca="false">M30+S30+T30+X30+Y30</f>
        <v>437.88</v>
      </c>
      <c r="AB30" s="111" t="n">
        <f aca="false">IF(L30&lt;0,L30*-1,0)</f>
        <v>90.6687774136627</v>
      </c>
      <c r="AC30" s="111" t="n">
        <f aca="false">AA30+AB30</f>
        <v>528.548777413663</v>
      </c>
      <c r="AD30" s="161" t="n">
        <v>0</v>
      </c>
      <c r="AE30" s="117" t="n">
        <v>88</v>
      </c>
      <c r="AF30" s="167" t="n">
        <v>53</v>
      </c>
      <c r="AG30" s="118" t="n">
        <v>0</v>
      </c>
      <c r="AH30" s="373" t="n">
        <f aca="false">(I30-P30-Q30)-(U30)</f>
        <v>-161.2195</v>
      </c>
      <c r="AI30" s="10" t="n">
        <f aca="false">23.5*(V29*1.9835-U30*1.9835)/E30</f>
        <v>4.00981512511264</v>
      </c>
      <c r="AJ30" s="376"/>
      <c r="AK30" s="0"/>
      <c r="AL30" s="0"/>
      <c r="AM30" s="0"/>
      <c r="AN30" s="0"/>
      <c r="AO30" s="0"/>
      <c r="AP30" s="0"/>
      <c r="AQ30" s="0"/>
      <c r="AR30" s="0"/>
      <c r="AS30" s="0"/>
      <c r="AT30" s="0"/>
      <c r="AU30" s="0"/>
      <c r="AV30" s="0"/>
      <c r="AW30" s="0"/>
      <c r="AX30" s="0"/>
      <c r="AY30" s="0"/>
      <c r="AZ30" s="0"/>
      <c r="BA30" s="0"/>
      <c r="BB30" s="0"/>
      <c r="BC30" s="0"/>
      <c r="BD30" s="0"/>
      <c r="BE30" s="0"/>
      <c r="BF30" s="0"/>
      <c r="BG30" s="0"/>
      <c r="BH30" s="0"/>
      <c r="BI30" s="0"/>
      <c r="BJ30" s="0"/>
      <c r="BK30" s="0"/>
      <c r="BL30" s="0"/>
      <c r="BM30" s="0"/>
      <c r="BN30" s="0"/>
      <c r="BO30" s="0"/>
      <c r="BP30" s="0"/>
      <c r="BQ30" s="0"/>
      <c r="BR30" s="0"/>
      <c r="BS30" s="0"/>
      <c r="BT30" s="0"/>
      <c r="BU30" s="0"/>
      <c r="BV30" s="0"/>
      <c r="BW30" s="0"/>
      <c r="BX30" s="0"/>
      <c r="BY30" s="0"/>
      <c r="BZ30" s="0"/>
      <c r="CA30" s="0"/>
      <c r="CB30" s="0"/>
      <c r="CC30" s="0"/>
      <c r="CD30" s="0"/>
      <c r="CE30" s="0"/>
      <c r="CF30" s="0"/>
      <c r="CG30" s="0"/>
      <c r="CH30" s="0"/>
      <c r="CI30" s="0"/>
      <c r="CJ30" s="0"/>
      <c r="CK30" s="0"/>
      <c r="CL30" s="0"/>
      <c r="CM30" s="0"/>
      <c r="CN30" s="0"/>
      <c r="CO30" s="0"/>
      <c r="CP30" s="0"/>
      <c r="CQ30" s="0"/>
      <c r="CR30" s="0"/>
      <c r="CS30" s="0"/>
      <c r="CT30" s="0"/>
      <c r="CU30" s="0"/>
      <c r="CV30" s="0"/>
      <c r="CW30" s="0"/>
      <c r="CX30" s="0"/>
      <c r="CY30" s="0"/>
      <c r="CZ30" s="0"/>
      <c r="DA30" s="0"/>
      <c r="DB30" s="0"/>
      <c r="DC30" s="0"/>
      <c r="DD30" s="0"/>
      <c r="DE30" s="0"/>
      <c r="DF30" s="0"/>
      <c r="DG30" s="0"/>
      <c r="DH30" s="0"/>
      <c r="DI30" s="0"/>
      <c r="DJ30" s="0"/>
      <c r="DK30" s="0"/>
      <c r="DL30" s="0"/>
      <c r="DM30" s="0"/>
      <c r="DN30" s="0"/>
      <c r="DO30" s="0"/>
      <c r="DP30" s="0"/>
      <c r="DQ30" s="0"/>
      <c r="DR30" s="0"/>
      <c r="DS30" s="0"/>
      <c r="DT30" s="0"/>
      <c r="DU30" s="0"/>
      <c r="DV30" s="0"/>
      <c r="DW30" s="0"/>
      <c r="DX30" s="0"/>
      <c r="DY30" s="0"/>
      <c r="DZ30" s="0"/>
      <c r="EA30" s="0"/>
      <c r="EB30" s="0"/>
      <c r="EC30" s="0"/>
      <c r="ED30" s="0"/>
      <c r="EE30" s="0"/>
      <c r="EF30" s="0"/>
      <c r="EG30" s="0"/>
      <c r="EH30" s="0"/>
      <c r="EI30" s="0"/>
      <c r="EJ30" s="0"/>
      <c r="EK30" s="0"/>
      <c r="EL30" s="0"/>
      <c r="EM30" s="0"/>
      <c r="EN30" s="0"/>
      <c r="EO30" s="0"/>
      <c r="EP30" s="0"/>
      <c r="EQ30" s="0"/>
      <c r="ER30" s="0"/>
      <c r="ES30" s="0"/>
      <c r="ET30" s="0"/>
      <c r="EU30" s="0"/>
      <c r="EV30" s="0"/>
      <c r="EW30" s="0"/>
      <c r="EX30" s="0"/>
      <c r="EY30" s="0"/>
      <c r="EZ30" s="0"/>
      <c r="FA30" s="0"/>
      <c r="FB30" s="0"/>
      <c r="FC30" s="0"/>
      <c r="FD30" s="0"/>
      <c r="FE30" s="0"/>
      <c r="FF30" s="0"/>
      <c r="FG30" s="0"/>
      <c r="FH30" s="0"/>
      <c r="FI30" s="0"/>
      <c r="FJ30" s="0"/>
      <c r="FK30" s="0"/>
      <c r="FL30" s="0"/>
      <c r="FM30" s="0"/>
      <c r="FN30" s="0"/>
      <c r="FO30" s="0"/>
      <c r="FP30" s="0"/>
      <c r="FQ30" s="0"/>
      <c r="FR30" s="0"/>
      <c r="FS30" s="0"/>
      <c r="FT30" s="0"/>
      <c r="FU30" s="0"/>
      <c r="FV30" s="0"/>
      <c r="FW30" s="0"/>
      <c r="FX30" s="0"/>
      <c r="FY30" s="0"/>
      <c r="FZ30" s="0"/>
      <c r="GA30" s="0"/>
      <c r="GB30" s="0"/>
      <c r="GC30" s="0"/>
      <c r="GD30" s="0"/>
      <c r="GE30" s="0"/>
      <c r="GF30" s="0"/>
      <c r="GG30" s="0"/>
      <c r="GH30" s="0"/>
      <c r="GI30" s="0"/>
      <c r="GJ30" s="0"/>
      <c r="GK30" s="0"/>
      <c r="GL30" s="0"/>
      <c r="GM30" s="0"/>
      <c r="GN30" s="0"/>
      <c r="GO30" s="0"/>
      <c r="GP30" s="0"/>
      <c r="GQ30" s="0"/>
      <c r="GR30" s="0"/>
      <c r="GS30" s="0"/>
      <c r="GT30" s="0"/>
      <c r="GU30" s="0"/>
      <c r="GV30" s="0"/>
      <c r="GW30" s="0"/>
      <c r="GX30" s="0"/>
      <c r="GY30" s="0"/>
      <c r="GZ30" s="0"/>
      <c r="HA30" s="0"/>
      <c r="HB30" s="0"/>
      <c r="HC30" s="0"/>
      <c r="HD30" s="0"/>
      <c r="HE30" s="0"/>
      <c r="HF30" s="0"/>
      <c r="HG30" s="0"/>
      <c r="HH30" s="0"/>
      <c r="HI30" s="0"/>
      <c r="HJ30" s="0"/>
      <c r="HK30" s="0"/>
      <c r="HL30" s="0"/>
      <c r="HM30" s="0"/>
      <c r="HN30" s="0"/>
      <c r="HO30" s="0"/>
      <c r="HP30" s="0"/>
      <c r="HQ30" s="0"/>
      <c r="HR30" s="0"/>
      <c r="HS30" s="0"/>
      <c r="HT30" s="0"/>
      <c r="HU30" s="0"/>
      <c r="HV30" s="0"/>
      <c r="HW30" s="0"/>
      <c r="HX30" s="0"/>
      <c r="HY30" s="0"/>
      <c r="HZ30" s="0"/>
      <c r="IA30" s="0"/>
      <c r="IB30" s="0"/>
      <c r="IC30" s="0"/>
      <c r="ID30" s="0"/>
      <c r="IE30" s="0"/>
      <c r="IF30" s="0"/>
      <c r="IG30" s="0"/>
      <c r="IH30" s="0"/>
      <c r="II30" s="0"/>
      <c r="IJ30" s="0"/>
      <c r="IK30" s="0"/>
      <c r="IL30" s="0"/>
      <c r="IM30" s="0"/>
      <c r="IN30" s="0"/>
      <c r="IO30" s="0"/>
      <c r="IP30" s="0"/>
      <c r="IQ30" s="0"/>
      <c r="IR30" s="0"/>
      <c r="IS30" s="0"/>
      <c r="IT30" s="0"/>
      <c r="IU30" s="0"/>
      <c r="IV30" s="0"/>
      <c r="IW30" s="0"/>
    </row>
    <row r="31" customFormat="false" ht="11.1" hidden="false" customHeight="true" outlineLevel="0" collapsed="false">
      <c r="A31" s="118" t="n">
        <v>20</v>
      </c>
      <c r="B31" s="168" t="n">
        <v>6870.97</v>
      </c>
      <c r="C31" s="112" t="n">
        <v>190404</v>
      </c>
      <c r="D31" s="117" t="n">
        <f aca="false">C31-C30</f>
        <v>-705</v>
      </c>
      <c r="E31" s="112" t="n">
        <f aca="false">C31-152000</f>
        <v>38404</v>
      </c>
      <c r="F31" s="180" t="n">
        <f aca="false">D31/$D$2</f>
        <v>-355.432316612049</v>
      </c>
      <c r="G31" s="111" t="n">
        <v>137</v>
      </c>
      <c r="H31" s="113" t="n">
        <v>0</v>
      </c>
      <c r="I31" s="111" t="n">
        <f aca="false">G31+H31</f>
        <v>137</v>
      </c>
      <c r="J31" s="181" t="n">
        <f aca="false">IF(L31&gt;0,L31,0)</f>
        <v>0</v>
      </c>
      <c r="K31" s="111" t="n">
        <f aca="false">I31+J31</f>
        <v>137</v>
      </c>
      <c r="L31" s="111" t="n">
        <f aca="false">F31-(I31-AA31)</f>
        <v>-12.8923166120494</v>
      </c>
      <c r="M31" s="182" t="n">
        <v>170</v>
      </c>
      <c r="N31" s="196" t="n">
        <v>14.62</v>
      </c>
      <c r="O31" s="111" t="n">
        <f aca="false">16.72*1.05</f>
        <v>17.556</v>
      </c>
      <c r="P31" s="115" t="n">
        <v>2.07</v>
      </c>
      <c r="Q31" s="245" t="n">
        <v>4.2</v>
      </c>
      <c r="R31" s="227" t="n">
        <v>1.96</v>
      </c>
      <c r="S31" s="111" t="n">
        <v>116</v>
      </c>
      <c r="T31" s="111" t="n">
        <v>72</v>
      </c>
      <c r="U31" s="111" t="n">
        <f aca="false">M31-N31-O31-P31-Q31-R31+S31+T31</f>
        <v>317.594</v>
      </c>
      <c r="V31" s="112" t="n">
        <f aca="false">V30+AH31-(AI31/1.9835)</f>
        <v>3326.38638202673</v>
      </c>
      <c r="W31" s="112"/>
      <c r="X31" s="111" t="n">
        <v>100.54</v>
      </c>
      <c r="Y31" s="111" t="n">
        <v>21</v>
      </c>
      <c r="Z31" s="112" t="n">
        <f aca="false">Z30-Y31</f>
        <v>4734.49231157046</v>
      </c>
      <c r="AA31" s="6" t="n">
        <f aca="false">M31+S31+T31+X31+Y31</f>
        <v>479.54</v>
      </c>
      <c r="AB31" s="111" t="n">
        <f aca="false">IF(L31&lt;0,L31*-1,0)</f>
        <v>12.8923166120494</v>
      </c>
      <c r="AC31" s="111" t="n">
        <f aca="false">AA31+AB31</f>
        <v>492.432316612049</v>
      </c>
      <c r="AD31" s="161" t="n">
        <v>0</v>
      </c>
      <c r="AE31" s="117" t="n">
        <v>85</v>
      </c>
      <c r="AF31" s="167" t="n">
        <v>57</v>
      </c>
      <c r="AG31" s="118" t="n">
        <v>0</v>
      </c>
      <c r="AH31" s="373" t="n">
        <f aca="false">(I31-P31-Q31)-(U31)</f>
        <v>-186.864</v>
      </c>
      <c r="AI31" s="10" t="n">
        <f aca="false">23.5*(V30*1.9835-U31*1.9835)/E31</f>
        <v>3.88105246656832</v>
      </c>
      <c r="AJ31" s="376"/>
      <c r="AK31" s="0"/>
      <c r="AL31" s="0"/>
      <c r="AM31" s="0"/>
      <c r="AN31" s="0"/>
      <c r="AO31" s="0"/>
      <c r="AP31" s="0"/>
      <c r="AQ31" s="0"/>
      <c r="AR31" s="0"/>
      <c r="AS31" s="0"/>
      <c r="AT31" s="0"/>
      <c r="AU31" s="0"/>
      <c r="AV31" s="0"/>
      <c r="AW31" s="0"/>
      <c r="AX31" s="0"/>
      <c r="AY31" s="0"/>
      <c r="AZ31" s="0"/>
      <c r="BA31" s="0"/>
      <c r="BB31" s="0"/>
      <c r="BC31" s="0"/>
      <c r="BD31" s="0"/>
      <c r="BE31" s="0"/>
      <c r="BF31" s="0"/>
      <c r="BG31" s="0"/>
      <c r="BH31" s="0"/>
      <c r="BI31" s="0"/>
      <c r="BJ31" s="0"/>
      <c r="BK31" s="0"/>
      <c r="BL31" s="0"/>
      <c r="BM31" s="0"/>
      <c r="BN31" s="0"/>
      <c r="BO31" s="0"/>
      <c r="BP31" s="0"/>
      <c r="BQ31" s="0"/>
      <c r="BR31" s="0"/>
      <c r="BS31" s="0"/>
      <c r="BT31" s="0"/>
      <c r="BU31" s="0"/>
      <c r="BV31" s="0"/>
      <c r="BW31" s="0"/>
      <c r="BX31" s="0"/>
      <c r="BY31" s="0"/>
      <c r="BZ31" s="0"/>
      <c r="CA31" s="0"/>
      <c r="CB31" s="0"/>
      <c r="CC31" s="0"/>
      <c r="CD31" s="0"/>
      <c r="CE31" s="0"/>
      <c r="CF31" s="0"/>
      <c r="CG31" s="0"/>
      <c r="CH31" s="0"/>
      <c r="CI31" s="0"/>
      <c r="CJ31" s="0"/>
      <c r="CK31" s="0"/>
      <c r="CL31" s="0"/>
      <c r="CM31" s="0"/>
      <c r="CN31" s="0"/>
      <c r="CO31" s="0"/>
      <c r="CP31" s="0"/>
      <c r="CQ31" s="0"/>
      <c r="CR31" s="0"/>
      <c r="CS31" s="0"/>
      <c r="CT31" s="0"/>
      <c r="CU31" s="0"/>
      <c r="CV31" s="0"/>
      <c r="CW31" s="0"/>
      <c r="CX31" s="0"/>
      <c r="CY31" s="0"/>
      <c r="CZ31" s="0"/>
      <c r="DA31" s="0"/>
      <c r="DB31" s="0"/>
      <c r="DC31" s="0"/>
      <c r="DD31" s="0"/>
      <c r="DE31" s="0"/>
      <c r="DF31" s="0"/>
      <c r="DG31" s="0"/>
      <c r="DH31" s="0"/>
      <c r="DI31" s="0"/>
      <c r="DJ31" s="0"/>
      <c r="DK31" s="0"/>
      <c r="DL31" s="0"/>
      <c r="DM31" s="0"/>
      <c r="DN31" s="0"/>
      <c r="DO31" s="0"/>
      <c r="DP31" s="0"/>
      <c r="DQ31" s="0"/>
      <c r="DR31" s="0"/>
      <c r="DS31" s="0"/>
      <c r="DT31" s="0"/>
      <c r="DU31" s="0"/>
      <c r="DV31" s="0"/>
      <c r="DW31" s="0"/>
      <c r="DX31" s="0"/>
      <c r="DY31" s="0"/>
      <c r="DZ31" s="0"/>
      <c r="EA31" s="0"/>
      <c r="EB31" s="0"/>
      <c r="EC31" s="0"/>
      <c r="ED31" s="0"/>
      <c r="EE31" s="0"/>
      <c r="EF31" s="0"/>
      <c r="EG31" s="0"/>
      <c r="EH31" s="0"/>
      <c r="EI31" s="0"/>
      <c r="EJ31" s="0"/>
      <c r="EK31" s="0"/>
      <c r="EL31" s="0"/>
      <c r="EM31" s="0"/>
      <c r="EN31" s="0"/>
      <c r="EO31" s="0"/>
      <c r="EP31" s="0"/>
      <c r="EQ31" s="0"/>
      <c r="ER31" s="0"/>
      <c r="ES31" s="0"/>
      <c r="ET31" s="0"/>
      <c r="EU31" s="0"/>
      <c r="EV31" s="0"/>
      <c r="EW31" s="0"/>
      <c r="EX31" s="0"/>
      <c r="EY31" s="0"/>
      <c r="EZ31" s="0"/>
      <c r="FA31" s="0"/>
      <c r="FB31" s="0"/>
      <c r="FC31" s="0"/>
      <c r="FD31" s="0"/>
      <c r="FE31" s="0"/>
      <c r="FF31" s="0"/>
      <c r="FG31" s="0"/>
      <c r="FH31" s="0"/>
      <c r="FI31" s="0"/>
      <c r="FJ31" s="0"/>
      <c r="FK31" s="0"/>
      <c r="FL31" s="0"/>
      <c r="FM31" s="0"/>
      <c r="FN31" s="0"/>
      <c r="FO31" s="0"/>
      <c r="FP31" s="0"/>
      <c r="FQ31" s="0"/>
      <c r="FR31" s="0"/>
      <c r="FS31" s="0"/>
      <c r="FT31" s="0"/>
      <c r="FU31" s="0"/>
      <c r="FV31" s="0"/>
      <c r="FW31" s="0"/>
      <c r="FX31" s="0"/>
      <c r="FY31" s="0"/>
      <c r="FZ31" s="0"/>
      <c r="GA31" s="0"/>
      <c r="GB31" s="0"/>
      <c r="GC31" s="0"/>
      <c r="GD31" s="0"/>
      <c r="GE31" s="0"/>
      <c r="GF31" s="0"/>
      <c r="GG31" s="0"/>
      <c r="GH31" s="0"/>
      <c r="GI31" s="0"/>
      <c r="GJ31" s="0"/>
      <c r="GK31" s="0"/>
      <c r="GL31" s="0"/>
      <c r="GM31" s="0"/>
      <c r="GN31" s="0"/>
      <c r="GO31" s="0"/>
      <c r="GP31" s="0"/>
      <c r="GQ31" s="0"/>
      <c r="GR31" s="0"/>
      <c r="GS31" s="0"/>
      <c r="GT31" s="0"/>
      <c r="GU31" s="0"/>
      <c r="GV31" s="0"/>
      <c r="GW31" s="0"/>
      <c r="GX31" s="0"/>
      <c r="GY31" s="0"/>
      <c r="GZ31" s="0"/>
      <c r="HA31" s="0"/>
      <c r="HB31" s="0"/>
      <c r="HC31" s="0"/>
      <c r="HD31" s="0"/>
      <c r="HE31" s="0"/>
      <c r="HF31" s="0"/>
      <c r="HG31" s="0"/>
      <c r="HH31" s="0"/>
      <c r="HI31" s="0"/>
      <c r="HJ31" s="0"/>
      <c r="HK31" s="0"/>
      <c r="HL31" s="0"/>
      <c r="HM31" s="0"/>
      <c r="HN31" s="0"/>
      <c r="HO31" s="0"/>
      <c r="HP31" s="0"/>
      <c r="HQ31" s="0"/>
      <c r="HR31" s="0"/>
      <c r="HS31" s="0"/>
      <c r="HT31" s="0"/>
      <c r="HU31" s="0"/>
      <c r="HV31" s="0"/>
      <c r="HW31" s="0"/>
      <c r="HX31" s="0"/>
      <c r="HY31" s="0"/>
      <c r="HZ31" s="0"/>
      <c r="IA31" s="0"/>
      <c r="IB31" s="0"/>
      <c r="IC31" s="0"/>
      <c r="ID31" s="0"/>
      <c r="IE31" s="0"/>
      <c r="IF31" s="0"/>
      <c r="IG31" s="0"/>
      <c r="IH31" s="0"/>
      <c r="II31" s="0"/>
      <c r="IJ31" s="0"/>
      <c r="IK31" s="0"/>
      <c r="IL31" s="0"/>
      <c r="IM31" s="0"/>
      <c r="IN31" s="0"/>
      <c r="IO31" s="0"/>
      <c r="IP31" s="0"/>
      <c r="IQ31" s="0"/>
      <c r="IR31" s="0"/>
      <c r="IS31" s="0"/>
      <c r="IT31" s="0"/>
      <c r="IU31" s="0"/>
      <c r="IV31" s="0"/>
      <c r="IW31" s="0"/>
    </row>
    <row r="32" customFormat="false" ht="11.1" hidden="false" customHeight="true" outlineLevel="0" collapsed="false">
      <c r="A32" s="118" t="n">
        <v>21</v>
      </c>
      <c r="B32" s="168" t="n">
        <v>6870.71</v>
      </c>
      <c r="C32" s="112" t="n">
        <v>189707</v>
      </c>
      <c r="D32" s="117" t="n">
        <f aca="false">C32-C31</f>
        <v>-697</v>
      </c>
      <c r="E32" s="112" t="n">
        <f aca="false">C32-152000</f>
        <v>37707</v>
      </c>
      <c r="F32" s="180" t="n">
        <f aca="false">D32/$D$2</f>
        <v>-351.399042097303</v>
      </c>
      <c r="G32" s="111" t="n">
        <v>131</v>
      </c>
      <c r="H32" s="113" t="n">
        <v>0</v>
      </c>
      <c r="I32" s="111" t="n">
        <f aca="false">G32+H32</f>
        <v>131</v>
      </c>
      <c r="J32" s="181" t="n">
        <f aca="false">IF(L32&gt;0,L32,0)</f>
        <v>0</v>
      </c>
      <c r="K32" s="111" t="n">
        <f aca="false">I32+J32</f>
        <v>131</v>
      </c>
      <c r="L32" s="111" t="n">
        <f aca="false">F32-(I32-AA32)</f>
        <v>-13.9590420973028</v>
      </c>
      <c r="M32" s="182" t="n">
        <v>179</v>
      </c>
      <c r="N32" s="196" t="n">
        <v>0</v>
      </c>
      <c r="O32" s="111" t="n">
        <f aca="false">19.65*1.05</f>
        <v>20.6325</v>
      </c>
      <c r="P32" s="115" t="n">
        <v>2.25</v>
      </c>
      <c r="Q32" s="245" t="n">
        <v>4.2</v>
      </c>
      <c r="R32" s="227" t="n">
        <v>4.02</v>
      </c>
      <c r="S32" s="111" t="n">
        <v>117</v>
      </c>
      <c r="T32" s="111" t="n">
        <v>71</v>
      </c>
      <c r="U32" s="111" t="n">
        <f aca="false">M32-N32-O32-P32-Q32-R32+S32+T32</f>
        <v>335.8975</v>
      </c>
      <c r="V32" s="112" t="n">
        <f aca="false">V31+AH32-(AI32/1.9835)</f>
        <v>3113.17513023721</v>
      </c>
      <c r="W32" s="112"/>
      <c r="X32" s="111" t="n">
        <v>79.44</v>
      </c>
      <c r="Y32" s="111" t="n">
        <v>22</v>
      </c>
      <c r="Z32" s="112" t="n">
        <f aca="false">Z31-Y32</f>
        <v>4712.49231157046</v>
      </c>
      <c r="AA32" s="6" t="n">
        <f aca="false">M32+S32+T32+X32+Y32</f>
        <v>468.44</v>
      </c>
      <c r="AB32" s="111" t="n">
        <f aca="false">IF(L32&lt;0,L32*-1,0)</f>
        <v>13.9590420973028</v>
      </c>
      <c r="AC32" s="111" t="n">
        <f aca="false">AA32+AB32</f>
        <v>482.399042097303</v>
      </c>
      <c r="AD32" s="161" t="n">
        <v>0</v>
      </c>
      <c r="AE32" s="117" t="n">
        <v>85</v>
      </c>
      <c r="AF32" s="167" t="n">
        <v>55</v>
      </c>
      <c r="AG32" s="118" t="n">
        <v>0</v>
      </c>
      <c r="AH32" s="373" t="n">
        <f aca="false">(I32-P32-Q32)-(U32)</f>
        <v>-211.3475</v>
      </c>
      <c r="AI32" s="10" t="n">
        <f aca="false">23.5*(V31*1.9835-U32*1.9835)/E32</f>
        <v>3.69675167452331</v>
      </c>
      <c r="AJ32" s="376"/>
      <c r="AK32" s="0"/>
      <c r="AL32" s="0"/>
      <c r="AM32" s="0"/>
      <c r="AN32" s="0"/>
      <c r="AO32" s="0"/>
      <c r="AP32" s="0"/>
      <c r="AQ32" s="0"/>
      <c r="AR32" s="0"/>
      <c r="AS32" s="0"/>
      <c r="AT32" s="0"/>
      <c r="AU32" s="0"/>
      <c r="AV32" s="0"/>
      <c r="AW32" s="0"/>
      <c r="AX32" s="0"/>
      <c r="AY32" s="0"/>
      <c r="AZ32" s="0"/>
      <c r="BA32" s="0"/>
      <c r="BB32" s="0"/>
      <c r="BC32" s="0"/>
      <c r="BD32" s="0"/>
      <c r="BE32" s="0"/>
      <c r="BF32" s="0"/>
      <c r="BG32" s="0"/>
      <c r="BH32" s="0"/>
      <c r="BI32" s="0"/>
      <c r="BJ32" s="0"/>
      <c r="BK32" s="0"/>
      <c r="BL32" s="0"/>
      <c r="BM32" s="0"/>
      <c r="BN32" s="0"/>
      <c r="BO32" s="0"/>
      <c r="BP32" s="0"/>
      <c r="BQ32" s="0"/>
      <c r="BR32" s="0"/>
      <c r="BS32" s="0"/>
      <c r="BT32" s="0"/>
      <c r="BU32" s="0"/>
      <c r="BV32" s="0"/>
      <c r="BW32" s="0"/>
      <c r="BX32" s="0"/>
      <c r="BY32" s="0"/>
      <c r="BZ32" s="0"/>
      <c r="CA32" s="0"/>
      <c r="CB32" s="0"/>
      <c r="CC32" s="0"/>
      <c r="CD32" s="0"/>
      <c r="CE32" s="0"/>
      <c r="CF32" s="0"/>
      <c r="CG32" s="0"/>
      <c r="CH32" s="0"/>
      <c r="CI32" s="0"/>
      <c r="CJ32" s="0"/>
      <c r="CK32" s="0"/>
      <c r="CL32" s="0"/>
      <c r="CM32" s="0"/>
      <c r="CN32" s="0"/>
      <c r="CO32" s="0"/>
      <c r="CP32" s="0"/>
      <c r="CQ32" s="0"/>
      <c r="CR32" s="0"/>
      <c r="CS32" s="0"/>
      <c r="CT32" s="0"/>
      <c r="CU32" s="0"/>
      <c r="CV32" s="0"/>
      <c r="CW32" s="0"/>
      <c r="CX32" s="0"/>
      <c r="CY32" s="0"/>
      <c r="CZ32" s="0"/>
      <c r="DA32" s="0"/>
      <c r="DB32" s="0"/>
      <c r="DC32" s="0"/>
      <c r="DD32" s="0"/>
      <c r="DE32" s="0"/>
      <c r="DF32" s="0"/>
      <c r="DG32" s="0"/>
      <c r="DH32" s="0"/>
      <c r="DI32" s="0"/>
      <c r="DJ32" s="0"/>
      <c r="DK32" s="0"/>
      <c r="DL32" s="0"/>
      <c r="DM32" s="0"/>
      <c r="DN32" s="0"/>
      <c r="DO32" s="0"/>
      <c r="DP32" s="0"/>
      <c r="DQ32" s="0"/>
      <c r="DR32" s="0"/>
      <c r="DS32" s="0"/>
      <c r="DT32" s="0"/>
      <c r="DU32" s="0"/>
      <c r="DV32" s="0"/>
      <c r="DW32" s="0"/>
      <c r="DX32" s="0"/>
      <c r="DY32" s="0"/>
      <c r="DZ32" s="0"/>
      <c r="EA32" s="0"/>
      <c r="EB32" s="0"/>
      <c r="EC32" s="0"/>
      <c r="ED32" s="0"/>
      <c r="EE32" s="0"/>
      <c r="EF32" s="0"/>
      <c r="EG32" s="0"/>
      <c r="EH32" s="0"/>
      <c r="EI32" s="0"/>
      <c r="EJ32" s="0"/>
      <c r="EK32" s="0"/>
      <c r="EL32" s="0"/>
      <c r="EM32" s="0"/>
      <c r="EN32" s="0"/>
      <c r="EO32" s="0"/>
      <c r="EP32" s="0"/>
      <c r="EQ32" s="0"/>
      <c r="ER32" s="0"/>
      <c r="ES32" s="0"/>
      <c r="ET32" s="0"/>
      <c r="EU32" s="0"/>
      <c r="EV32" s="0"/>
      <c r="EW32" s="0"/>
      <c r="EX32" s="0"/>
      <c r="EY32" s="0"/>
      <c r="EZ32" s="0"/>
      <c r="FA32" s="0"/>
      <c r="FB32" s="0"/>
      <c r="FC32" s="0"/>
      <c r="FD32" s="0"/>
      <c r="FE32" s="0"/>
      <c r="FF32" s="0"/>
      <c r="FG32" s="0"/>
      <c r="FH32" s="0"/>
      <c r="FI32" s="0"/>
      <c r="FJ32" s="0"/>
      <c r="FK32" s="0"/>
      <c r="FL32" s="0"/>
      <c r="FM32" s="0"/>
      <c r="FN32" s="0"/>
      <c r="FO32" s="0"/>
      <c r="FP32" s="0"/>
      <c r="FQ32" s="0"/>
      <c r="FR32" s="0"/>
      <c r="FS32" s="0"/>
      <c r="FT32" s="0"/>
      <c r="FU32" s="0"/>
      <c r="FV32" s="0"/>
      <c r="FW32" s="0"/>
      <c r="FX32" s="0"/>
      <c r="FY32" s="0"/>
      <c r="FZ32" s="0"/>
      <c r="GA32" s="0"/>
      <c r="GB32" s="0"/>
      <c r="GC32" s="0"/>
      <c r="GD32" s="0"/>
      <c r="GE32" s="0"/>
      <c r="GF32" s="0"/>
      <c r="GG32" s="0"/>
      <c r="GH32" s="0"/>
      <c r="GI32" s="0"/>
      <c r="GJ32" s="0"/>
      <c r="GK32" s="0"/>
      <c r="GL32" s="0"/>
      <c r="GM32" s="0"/>
      <c r="GN32" s="0"/>
      <c r="GO32" s="0"/>
      <c r="GP32" s="0"/>
      <c r="GQ32" s="0"/>
      <c r="GR32" s="0"/>
      <c r="GS32" s="0"/>
      <c r="GT32" s="0"/>
      <c r="GU32" s="0"/>
      <c r="GV32" s="0"/>
      <c r="GW32" s="0"/>
      <c r="GX32" s="0"/>
      <c r="GY32" s="0"/>
      <c r="GZ32" s="0"/>
      <c r="HA32" s="0"/>
      <c r="HB32" s="0"/>
      <c r="HC32" s="0"/>
      <c r="HD32" s="0"/>
      <c r="HE32" s="0"/>
      <c r="HF32" s="0"/>
      <c r="HG32" s="0"/>
      <c r="HH32" s="0"/>
      <c r="HI32" s="0"/>
      <c r="HJ32" s="0"/>
      <c r="HK32" s="0"/>
      <c r="HL32" s="0"/>
      <c r="HM32" s="0"/>
      <c r="HN32" s="0"/>
      <c r="HO32" s="0"/>
      <c r="HP32" s="0"/>
      <c r="HQ32" s="0"/>
      <c r="HR32" s="0"/>
      <c r="HS32" s="0"/>
      <c r="HT32" s="0"/>
      <c r="HU32" s="0"/>
      <c r="HV32" s="0"/>
      <c r="HW32" s="0"/>
      <c r="HX32" s="0"/>
      <c r="HY32" s="0"/>
      <c r="HZ32" s="0"/>
      <c r="IA32" s="0"/>
      <c r="IB32" s="0"/>
      <c r="IC32" s="0"/>
      <c r="ID32" s="0"/>
      <c r="IE32" s="0"/>
      <c r="IF32" s="0"/>
      <c r="IG32" s="0"/>
      <c r="IH32" s="0"/>
      <c r="II32" s="0"/>
      <c r="IJ32" s="0"/>
      <c r="IK32" s="0"/>
      <c r="IL32" s="0"/>
      <c r="IM32" s="0"/>
      <c r="IN32" s="0"/>
      <c r="IO32" s="0"/>
      <c r="IP32" s="0"/>
      <c r="IQ32" s="0"/>
      <c r="IR32" s="0"/>
      <c r="IS32" s="0"/>
      <c r="IT32" s="0"/>
      <c r="IU32" s="0"/>
      <c r="IV32" s="0"/>
      <c r="IW32" s="0"/>
    </row>
    <row r="33" customFormat="false" ht="11.1" hidden="false" customHeight="true" outlineLevel="0" collapsed="false">
      <c r="A33" s="118" t="n">
        <v>22</v>
      </c>
      <c r="B33" s="168" t="n">
        <v>6870.43</v>
      </c>
      <c r="C33" s="112" t="n">
        <v>188956</v>
      </c>
      <c r="D33" s="117" t="n">
        <f aca="false">C33-C32</f>
        <v>-751</v>
      </c>
      <c r="E33" s="112" t="n">
        <f aca="false">C33-152000</f>
        <v>36956</v>
      </c>
      <c r="F33" s="180" t="n">
        <f aca="false">D33/$D$2</f>
        <v>-378.623645071843</v>
      </c>
      <c r="G33" s="111" t="n">
        <v>137</v>
      </c>
      <c r="H33" s="113" t="n">
        <v>0</v>
      </c>
      <c r="I33" s="111" t="n">
        <f aca="false">G33+H33</f>
        <v>137</v>
      </c>
      <c r="J33" s="181" t="n">
        <f aca="false">IF(L33&gt;0,L33,0)</f>
        <v>0</v>
      </c>
      <c r="K33" s="111" t="n">
        <f aca="false">I33+J33</f>
        <v>137</v>
      </c>
      <c r="L33" s="111" t="n">
        <f aca="false">F33-(I33-AA33)</f>
        <v>-55.1936450718427</v>
      </c>
      <c r="M33" s="182" t="n">
        <v>163</v>
      </c>
      <c r="N33" s="196" t="n">
        <v>0</v>
      </c>
      <c r="O33" s="111" t="n">
        <f aca="false">28.24*1.05</f>
        <v>29.652</v>
      </c>
      <c r="P33" s="115" t="n">
        <v>1.98</v>
      </c>
      <c r="Q33" s="245" t="n">
        <v>4.2</v>
      </c>
      <c r="R33" s="227" t="n">
        <v>4.92</v>
      </c>
      <c r="S33" s="111" t="n">
        <v>120</v>
      </c>
      <c r="T33" s="111" t="n">
        <v>71</v>
      </c>
      <c r="U33" s="111" t="n">
        <f aca="false">M33-N33-O33-P33-Q33-R33+S33+T33</f>
        <v>313.248</v>
      </c>
      <c r="V33" s="112" t="n">
        <f aca="false">V32+AH33-(AI33/1.9835)</f>
        <v>2928.96668084981</v>
      </c>
      <c r="W33" s="112"/>
      <c r="X33" s="111" t="n">
        <v>80.43</v>
      </c>
      <c r="Y33" s="111" t="n">
        <v>26</v>
      </c>
      <c r="Z33" s="112" t="n">
        <f aca="false">Z32-Y33</f>
        <v>4686.49231157046</v>
      </c>
      <c r="AA33" s="6" t="n">
        <f aca="false">M33+S33+T33+X33+Y33</f>
        <v>460.43</v>
      </c>
      <c r="AB33" s="111" t="n">
        <f aca="false">IF(L33&lt;0,L33*-1,0)</f>
        <v>55.1936450718427</v>
      </c>
      <c r="AC33" s="111" t="n">
        <f aca="false">AA33+AB33</f>
        <v>515.623645071843</v>
      </c>
      <c r="AD33" s="161" t="n">
        <v>0.05</v>
      </c>
      <c r="AE33" s="117" t="n">
        <v>86</v>
      </c>
      <c r="AF33" s="167" t="n">
        <v>59</v>
      </c>
      <c r="AG33" s="118" t="n">
        <v>0</v>
      </c>
      <c r="AH33" s="373" t="n">
        <f aca="false">(I33-P33-Q33)-(U33)</f>
        <v>-182.428</v>
      </c>
      <c r="AI33" s="10" t="n">
        <f aca="false">23.5*(V32*1.9835-U33*1.9835)/E33</f>
        <v>3.53152135989824</v>
      </c>
      <c r="AJ33" s="376"/>
      <c r="AK33" s="0"/>
      <c r="AL33" s="0"/>
      <c r="AM33" s="0"/>
      <c r="AN33" s="0"/>
      <c r="AO33" s="0"/>
      <c r="AP33" s="0"/>
      <c r="AQ33" s="0"/>
      <c r="AR33" s="0"/>
      <c r="AS33" s="0"/>
      <c r="AT33" s="0"/>
      <c r="AU33" s="0"/>
      <c r="AV33" s="0"/>
      <c r="AW33" s="0"/>
      <c r="AX33" s="0"/>
      <c r="AY33" s="0"/>
      <c r="AZ33" s="0"/>
      <c r="BA33" s="0"/>
      <c r="BB33" s="0"/>
      <c r="BC33" s="0"/>
      <c r="BD33" s="0"/>
      <c r="BE33" s="0"/>
      <c r="BF33" s="0"/>
      <c r="BG33" s="0"/>
      <c r="BH33" s="0"/>
      <c r="BI33" s="0"/>
      <c r="BJ33" s="0"/>
      <c r="BK33" s="0"/>
      <c r="BL33" s="0"/>
      <c r="BM33" s="0"/>
      <c r="BN33" s="0"/>
      <c r="BO33" s="0"/>
      <c r="BP33" s="0"/>
      <c r="BQ33" s="0"/>
      <c r="BR33" s="0"/>
      <c r="BS33" s="0"/>
      <c r="BT33" s="0"/>
      <c r="BU33" s="0"/>
      <c r="BV33" s="0"/>
      <c r="BW33" s="0"/>
      <c r="BX33" s="0"/>
      <c r="BY33" s="0"/>
      <c r="BZ33" s="0"/>
      <c r="CA33" s="0"/>
      <c r="CB33" s="0"/>
      <c r="CC33" s="0"/>
      <c r="CD33" s="0"/>
      <c r="CE33" s="0"/>
      <c r="CF33" s="0"/>
      <c r="CG33" s="0"/>
      <c r="CH33" s="0"/>
      <c r="CI33" s="0"/>
      <c r="CJ33" s="0"/>
      <c r="CK33" s="0"/>
      <c r="CL33" s="0"/>
      <c r="CM33" s="0"/>
      <c r="CN33" s="0"/>
      <c r="CO33" s="0"/>
      <c r="CP33" s="0"/>
      <c r="CQ33" s="0"/>
      <c r="CR33" s="0"/>
      <c r="CS33" s="0"/>
      <c r="CT33" s="0"/>
      <c r="CU33" s="0"/>
      <c r="CV33" s="0"/>
      <c r="CW33" s="0"/>
      <c r="CX33" s="0"/>
      <c r="CY33" s="0"/>
      <c r="CZ33" s="0"/>
      <c r="DA33" s="0"/>
      <c r="DB33" s="0"/>
      <c r="DC33" s="0"/>
      <c r="DD33" s="0"/>
      <c r="DE33" s="0"/>
      <c r="DF33" s="0"/>
      <c r="DG33" s="0"/>
      <c r="DH33" s="0"/>
      <c r="DI33" s="0"/>
      <c r="DJ33" s="0"/>
      <c r="DK33" s="0"/>
      <c r="DL33" s="0"/>
      <c r="DM33" s="0"/>
      <c r="DN33" s="0"/>
      <c r="DO33" s="0"/>
      <c r="DP33" s="0"/>
      <c r="DQ33" s="0"/>
      <c r="DR33" s="0"/>
      <c r="DS33" s="0"/>
      <c r="DT33" s="0"/>
      <c r="DU33" s="0"/>
      <c r="DV33" s="0"/>
      <c r="DW33" s="0"/>
      <c r="DX33" s="0"/>
      <c r="DY33" s="0"/>
      <c r="DZ33" s="0"/>
      <c r="EA33" s="0"/>
      <c r="EB33" s="0"/>
      <c r="EC33" s="0"/>
      <c r="ED33" s="0"/>
      <c r="EE33" s="0"/>
      <c r="EF33" s="0"/>
      <c r="EG33" s="0"/>
      <c r="EH33" s="0"/>
      <c r="EI33" s="0"/>
      <c r="EJ33" s="0"/>
      <c r="EK33" s="0"/>
      <c r="EL33" s="0"/>
      <c r="EM33" s="0"/>
      <c r="EN33" s="0"/>
      <c r="EO33" s="0"/>
      <c r="EP33" s="0"/>
      <c r="EQ33" s="0"/>
      <c r="ER33" s="0"/>
      <c r="ES33" s="0"/>
      <c r="ET33" s="0"/>
      <c r="EU33" s="0"/>
      <c r="EV33" s="0"/>
      <c r="EW33" s="0"/>
      <c r="EX33" s="0"/>
      <c r="EY33" s="0"/>
      <c r="EZ33" s="0"/>
      <c r="FA33" s="0"/>
      <c r="FB33" s="0"/>
      <c r="FC33" s="0"/>
      <c r="FD33" s="0"/>
      <c r="FE33" s="0"/>
      <c r="FF33" s="0"/>
      <c r="FG33" s="0"/>
      <c r="FH33" s="0"/>
      <c r="FI33" s="0"/>
      <c r="FJ33" s="0"/>
      <c r="FK33" s="0"/>
      <c r="FL33" s="0"/>
      <c r="FM33" s="0"/>
      <c r="FN33" s="0"/>
      <c r="FO33" s="0"/>
      <c r="FP33" s="0"/>
      <c r="FQ33" s="0"/>
      <c r="FR33" s="0"/>
      <c r="FS33" s="0"/>
      <c r="FT33" s="0"/>
      <c r="FU33" s="0"/>
      <c r="FV33" s="0"/>
      <c r="FW33" s="0"/>
      <c r="FX33" s="0"/>
      <c r="FY33" s="0"/>
      <c r="FZ33" s="0"/>
      <c r="GA33" s="0"/>
      <c r="GB33" s="0"/>
      <c r="GC33" s="0"/>
      <c r="GD33" s="0"/>
      <c r="GE33" s="0"/>
      <c r="GF33" s="0"/>
      <c r="GG33" s="0"/>
      <c r="GH33" s="0"/>
      <c r="GI33" s="0"/>
      <c r="GJ33" s="0"/>
      <c r="GK33" s="0"/>
      <c r="GL33" s="0"/>
      <c r="GM33" s="0"/>
      <c r="GN33" s="0"/>
      <c r="GO33" s="0"/>
      <c r="GP33" s="0"/>
      <c r="GQ33" s="0"/>
      <c r="GR33" s="0"/>
      <c r="GS33" s="0"/>
      <c r="GT33" s="0"/>
      <c r="GU33" s="0"/>
      <c r="GV33" s="0"/>
      <c r="GW33" s="0"/>
      <c r="GX33" s="0"/>
      <c r="GY33" s="0"/>
      <c r="GZ33" s="0"/>
      <c r="HA33" s="0"/>
      <c r="HB33" s="0"/>
      <c r="HC33" s="0"/>
      <c r="HD33" s="0"/>
      <c r="HE33" s="0"/>
      <c r="HF33" s="0"/>
      <c r="HG33" s="0"/>
      <c r="HH33" s="0"/>
      <c r="HI33" s="0"/>
      <c r="HJ33" s="0"/>
      <c r="HK33" s="0"/>
      <c r="HL33" s="0"/>
      <c r="HM33" s="0"/>
      <c r="HN33" s="0"/>
      <c r="HO33" s="0"/>
      <c r="HP33" s="0"/>
      <c r="HQ33" s="0"/>
      <c r="HR33" s="0"/>
      <c r="HS33" s="0"/>
      <c r="HT33" s="0"/>
      <c r="HU33" s="0"/>
      <c r="HV33" s="0"/>
      <c r="HW33" s="0"/>
      <c r="HX33" s="0"/>
      <c r="HY33" s="0"/>
      <c r="HZ33" s="0"/>
      <c r="IA33" s="0"/>
      <c r="IB33" s="0"/>
      <c r="IC33" s="0"/>
      <c r="ID33" s="0"/>
      <c r="IE33" s="0"/>
      <c r="IF33" s="0"/>
      <c r="IG33" s="0"/>
      <c r="IH33" s="0"/>
      <c r="II33" s="0"/>
      <c r="IJ33" s="0"/>
      <c r="IK33" s="0"/>
      <c r="IL33" s="0"/>
      <c r="IM33" s="0"/>
      <c r="IN33" s="0"/>
      <c r="IO33" s="0"/>
      <c r="IP33" s="0"/>
      <c r="IQ33" s="0"/>
      <c r="IR33" s="0"/>
      <c r="IS33" s="0"/>
      <c r="IT33" s="0"/>
      <c r="IU33" s="0"/>
      <c r="IV33" s="0"/>
      <c r="IW33" s="0"/>
    </row>
    <row r="34" customFormat="false" ht="11.1" hidden="false" customHeight="true" outlineLevel="0" collapsed="false">
      <c r="A34" s="118" t="n">
        <v>23</v>
      </c>
      <c r="B34" s="168" t="n">
        <v>6870.16</v>
      </c>
      <c r="C34" s="112" t="n">
        <v>188232</v>
      </c>
      <c r="D34" s="117" t="n">
        <f aca="false">C34-C33</f>
        <v>-724</v>
      </c>
      <c r="E34" s="112" t="n">
        <f aca="false">C34-152000</f>
        <v>36232</v>
      </c>
      <c r="F34" s="180" t="n">
        <f aca="false">D34/$D$2</f>
        <v>-365.011343584573</v>
      </c>
      <c r="G34" s="111" t="n">
        <v>123</v>
      </c>
      <c r="H34" s="113" t="n">
        <v>0</v>
      </c>
      <c r="I34" s="111" t="n">
        <f aca="false">G34+H34</f>
        <v>123</v>
      </c>
      <c r="J34" s="181" t="n">
        <f aca="false">IF(L34&gt;0,L34,0)</f>
        <v>0</v>
      </c>
      <c r="K34" s="111" t="n">
        <f aca="false">I34+J34</f>
        <v>123</v>
      </c>
      <c r="L34" s="111" t="n">
        <f aca="false">F34-(I34-AA34)</f>
        <v>-26.8313435845727</v>
      </c>
      <c r="M34" s="182" t="n">
        <v>160</v>
      </c>
      <c r="N34" s="196" t="n">
        <v>0</v>
      </c>
      <c r="O34" s="111" t="n">
        <f aca="false">30.37*1.05</f>
        <v>31.8885</v>
      </c>
      <c r="P34" s="115" t="n">
        <v>2.04</v>
      </c>
      <c r="Q34" s="245" t="n">
        <v>4.2</v>
      </c>
      <c r="R34" s="227" t="n">
        <v>5.28</v>
      </c>
      <c r="S34" s="111" t="n">
        <v>123</v>
      </c>
      <c r="T34" s="111" t="n">
        <v>72</v>
      </c>
      <c r="U34" s="111" t="n">
        <f aca="false">M34-N34-O34-P34-Q34-R34+S34+T34</f>
        <v>311.5915</v>
      </c>
      <c r="V34" s="112" t="n">
        <f aca="false">V33+AH34-(AI34/1.9835)</f>
        <v>2732.43755673991</v>
      </c>
      <c r="W34" s="112"/>
      <c r="X34" s="111" t="n">
        <v>80.18</v>
      </c>
      <c r="Y34" s="111" t="n">
        <v>26</v>
      </c>
      <c r="Z34" s="112" t="n">
        <f aca="false">Z33-Y34</f>
        <v>4660.49231157046</v>
      </c>
      <c r="AA34" s="6" t="n">
        <f aca="false">M34+S34+T34+X34+Y34</f>
        <v>461.18</v>
      </c>
      <c r="AB34" s="111" t="n">
        <f aca="false">IF(L34&lt;0,L34*-1,0)</f>
        <v>26.8313435845727</v>
      </c>
      <c r="AC34" s="111" t="n">
        <f aca="false">AA34+AB34</f>
        <v>488.011343584573</v>
      </c>
      <c r="AD34" s="161" t="n">
        <v>0.11</v>
      </c>
      <c r="AE34" s="117" t="n">
        <v>84</v>
      </c>
      <c r="AF34" s="167" t="n">
        <v>57</v>
      </c>
      <c r="AG34" s="118" t="n">
        <v>0</v>
      </c>
      <c r="AH34" s="373" t="n">
        <f aca="false">(I34-P34-Q34)-(U34)</f>
        <v>-194.8315</v>
      </c>
      <c r="AI34" s="10" t="n">
        <f aca="false">23.5*(V33*1.9835-U34*1.9835)/E34</f>
        <v>3.36723742199069</v>
      </c>
      <c r="AJ34" s="376"/>
      <c r="AK34" s="0"/>
      <c r="AL34" s="0"/>
      <c r="AM34" s="0"/>
      <c r="AN34" s="0"/>
      <c r="AO34" s="0"/>
      <c r="AP34" s="0"/>
      <c r="AQ34" s="0"/>
      <c r="AR34" s="0"/>
      <c r="AS34" s="0"/>
      <c r="AT34" s="0"/>
      <c r="AU34" s="0"/>
      <c r="AV34" s="0"/>
      <c r="AW34" s="0"/>
      <c r="AX34" s="0"/>
      <c r="AY34" s="0"/>
      <c r="AZ34" s="0"/>
      <c r="BA34" s="0"/>
      <c r="BB34" s="0"/>
      <c r="BC34" s="0"/>
      <c r="BD34" s="0"/>
      <c r="BE34" s="0"/>
      <c r="BF34" s="0"/>
      <c r="BG34" s="0"/>
      <c r="BH34" s="0"/>
      <c r="BI34" s="0"/>
      <c r="BJ34" s="0"/>
      <c r="BK34" s="0"/>
      <c r="BL34" s="0"/>
      <c r="BM34" s="0"/>
      <c r="BN34" s="0"/>
      <c r="BO34" s="0"/>
      <c r="BP34" s="0"/>
      <c r="BQ34" s="0"/>
      <c r="BR34" s="0"/>
      <c r="BS34" s="0"/>
      <c r="BT34" s="0"/>
      <c r="BU34" s="0"/>
      <c r="BV34" s="0"/>
      <c r="BW34" s="0"/>
      <c r="BX34" s="0"/>
      <c r="BY34" s="0"/>
      <c r="BZ34" s="0"/>
      <c r="CA34" s="0"/>
      <c r="CB34" s="0"/>
      <c r="CC34" s="0"/>
      <c r="CD34" s="0"/>
      <c r="CE34" s="0"/>
      <c r="CF34" s="0"/>
      <c r="CG34" s="0"/>
      <c r="CH34" s="0"/>
      <c r="CI34" s="0"/>
      <c r="CJ34" s="0"/>
      <c r="CK34" s="0"/>
      <c r="CL34" s="0"/>
      <c r="CM34" s="0"/>
      <c r="CN34" s="0"/>
      <c r="CO34" s="0"/>
      <c r="CP34" s="0"/>
      <c r="CQ34" s="0"/>
      <c r="CR34" s="0"/>
      <c r="CS34" s="0"/>
      <c r="CT34" s="0"/>
      <c r="CU34" s="0"/>
      <c r="CV34" s="0"/>
      <c r="CW34" s="0"/>
      <c r="CX34" s="0"/>
      <c r="CY34" s="0"/>
      <c r="CZ34" s="0"/>
      <c r="DA34" s="0"/>
      <c r="DB34" s="0"/>
      <c r="DC34" s="0"/>
      <c r="DD34" s="0"/>
      <c r="DE34" s="0"/>
      <c r="DF34" s="0"/>
      <c r="DG34" s="0"/>
      <c r="DH34" s="0"/>
      <c r="DI34" s="0"/>
      <c r="DJ34" s="0"/>
      <c r="DK34" s="0"/>
      <c r="DL34" s="0"/>
      <c r="DM34" s="0"/>
      <c r="DN34" s="0"/>
      <c r="DO34" s="0"/>
      <c r="DP34" s="0"/>
      <c r="DQ34" s="0"/>
      <c r="DR34" s="0"/>
      <c r="DS34" s="0"/>
      <c r="DT34" s="0"/>
      <c r="DU34" s="0"/>
      <c r="DV34" s="0"/>
      <c r="DW34" s="0"/>
      <c r="DX34" s="0"/>
      <c r="DY34" s="0"/>
      <c r="DZ34" s="0"/>
      <c r="EA34" s="0"/>
      <c r="EB34" s="0"/>
      <c r="EC34" s="0"/>
      <c r="ED34" s="0"/>
      <c r="EE34" s="0"/>
      <c r="EF34" s="0"/>
      <c r="EG34" s="0"/>
      <c r="EH34" s="0"/>
      <c r="EI34" s="0"/>
      <c r="EJ34" s="0"/>
      <c r="EK34" s="0"/>
      <c r="EL34" s="0"/>
      <c r="EM34" s="0"/>
      <c r="EN34" s="0"/>
      <c r="EO34" s="0"/>
      <c r="EP34" s="0"/>
      <c r="EQ34" s="0"/>
      <c r="ER34" s="0"/>
      <c r="ES34" s="0"/>
      <c r="ET34" s="0"/>
      <c r="EU34" s="0"/>
      <c r="EV34" s="0"/>
      <c r="EW34" s="0"/>
      <c r="EX34" s="0"/>
      <c r="EY34" s="0"/>
      <c r="EZ34" s="0"/>
      <c r="FA34" s="0"/>
      <c r="FB34" s="0"/>
      <c r="FC34" s="0"/>
      <c r="FD34" s="0"/>
      <c r="FE34" s="0"/>
      <c r="FF34" s="0"/>
      <c r="FG34" s="0"/>
      <c r="FH34" s="0"/>
      <c r="FI34" s="0"/>
      <c r="FJ34" s="0"/>
      <c r="FK34" s="0"/>
      <c r="FL34" s="0"/>
      <c r="FM34" s="0"/>
      <c r="FN34" s="0"/>
      <c r="FO34" s="0"/>
      <c r="FP34" s="0"/>
      <c r="FQ34" s="0"/>
      <c r="FR34" s="0"/>
      <c r="FS34" s="0"/>
      <c r="FT34" s="0"/>
      <c r="FU34" s="0"/>
      <c r="FV34" s="0"/>
      <c r="FW34" s="0"/>
      <c r="FX34" s="0"/>
      <c r="FY34" s="0"/>
      <c r="FZ34" s="0"/>
      <c r="GA34" s="0"/>
      <c r="GB34" s="0"/>
      <c r="GC34" s="0"/>
      <c r="GD34" s="0"/>
      <c r="GE34" s="0"/>
      <c r="GF34" s="0"/>
      <c r="GG34" s="0"/>
      <c r="GH34" s="0"/>
      <c r="GI34" s="0"/>
      <c r="GJ34" s="0"/>
      <c r="GK34" s="0"/>
      <c r="GL34" s="0"/>
      <c r="GM34" s="0"/>
      <c r="GN34" s="0"/>
      <c r="GO34" s="0"/>
      <c r="GP34" s="0"/>
      <c r="GQ34" s="0"/>
      <c r="GR34" s="0"/>
      <c r="GS34" s="0"/>
      <c r="GT34" s="0"/>
      <c r="GU34" s="0"/>
      <c r="GV34" s="0"/>
      <c r="GW34" s="0"/>
      <c r="GX34" s="0"/>
      <c r="GY34" s="0"/>
      <c r="GZ34" s="0"/>
      <c r="HA34" s="0"/>
      <c r="HB34" s="0"/>
      <c r="HC34" s="0"/>
      <c r="HD34" s="0"/>
      <c r="HE34" s="0"/>
      <c r="HF34" s="0"/>
      <c r="HG34" s="0"/>
      <c r="HH34" s="0"/>
      <c r="HI34" s="0"/>
      <c r="HJ34" s="0"/>
      <c r="HK34" s="0"/>
      <c r="HL34" s="0"/>
      <c r="HM34" s="0"/>
      <c r="HN34" s="0"/>
      <c r="HO34" s="0"/>
      <c r="HP34" s="0"/>
      <c r="HQ34" s="0"/>
      <c r="HR34" s="0"/>
      <c r="HS34" s="0"/>
      <c r="HT34" s="0"/>
      <c r="HU34" s="0"/>
      <c r="HV34" s="0"/>
      <c r="HW34" s="0"/>
      <c r="HX34" s="0"/>
      <c r="HY34" s="0"/>
      <c r="HZ34" s="0"/>
      <c r="IA34" s="0"/>
      <c r="IB34" s="0"/>
      <c r="IC34" s="0"/>
      <c r="ID34" s="0"/>
      <c r="IE34" s="0"/>
      <c r="IF34" s="0"/>
      <c r="IG34" s="0"/>
      <c r="IH34" s="0"/>
      <c r="II34" s="0"/>
      <c r="IJ34" s="0"/>
      <c r="IK34" s="0"/>
      <c r="IL34" s="0"/>
      <c r="IM34" s="0"/>
      <c r="IN34" s="0"/>
      <c r="IO34" s="0"/>
      <c r="IP34" s="0"/>
      <c r="IQ34" s="0"/>
      <c r="IR34" s="0"/>
      <c r="IS34" s="0"/>
      <c r="IT34" s="0"/>
      <c r="IU34" s="0"/>
      <c r="IV34" s="0"/>
      <c r="IW34" s="0"/>
    </row>
    <row r="35" customFormat="false" ht="11.1" hidden="false" customHeight="true" outlineLevel="0" collapsed="false">
      <c r="A35" s="118" t="n">
        <v>24</v>
      </c>
      <c r="B35" s="168" t="n">
        <v>6869.94</v>
      </c>
      <c r="C35" s="112" t="n">
        <v>187644</v>
      </c>
      <c r="D35" s="117" t="n">
        <f aca="false">C35-C34</f>
        <v>-588</v>
      </c>
      <c r="E35" s="112" t="n">
        <f aca="false">C35-152000</f>
        <v>35644</v>
      </c>
      <c r="F35" s="180" t="n">
        <f aca="false">D35/$D$2</f>
        <v>-296.445676833879</v>
      </c>
      <c r="G35" s="111" t="n">
        <v>169</v>
      </c>
      <c r="H35" s="113" t="n">
        <v>0</v>
      </c>
      <c r="I35" s="111" t="n">
        <f aca="false">G35+H35</f>
        <v>169</v>
      </c>
      <c r="J35" s="181" t="n">
        <f aca="false">IF(L35&gt;0,L35,0)</f>
        <v>0</v>
      </c>
      <c r="K35" s="111" t="n">
        <f aca="false">I35+J35</f>
        <v>169</v>
      </c>
      <c r="L35" s="111" t="n">
        <f aca="false">F35-(I35-AA35)</f>
        <v>-35.9356768338795</v>
      </c>
      <c r="M35" s="182" t="n">
        <v>147</v>
      </c>
      <c r="N35" s="196" t="n">
        <v>0</v>
      </c>
      <c r="O35" s="111" t="n">
        <f aca="false">25.64*1.05</f>
        <v>26.922</v>
      </c>
      <c r="P35" s="115" t="n">
        <v>1.95</v>
      </c>
      <c r="Q35" s="245" t="n">
        <v>4.2</v>
      </c>
      <c r="R35" s="227" t="n">
        <v>4.07</v>
      </c>
      <c r="S35" s="111" t="n">
        <v>123</v>
      </c>
      <c r="T35" s="111" t="n">
        <v>72</v>
      </c>
      <c r="U35" s="111" t="n">
        <f aca="false">M35-N35-O35-P35-Q35-R35+S35+T35</f>
        <v>304.858</v>
      </c>
      <c r="V35" s="112" t="n">
        <f aca="false">V34+AH35-(AI35/1.9835)</f>
        <v>2588.82905961323</v>
      </c>
      <c r="W35" s="112"/>
      <c r="X35" s="111" t="n">
        <v>62.51</v>
      </c>
      <c r="Y35" s="111" t="n">
        <v>25</v>
      </c>
      <c r="Z35" s="112" t="n">
        <f aca="false">Z34-Y35</f>
        <v>4635.49231157046</v>
      </c>
      <c r="AA35" s="6" t="n">
        <f aca="false">M35+S35+T35+X35+Y35</f>
        <v>429.51</v>
      </c>
      <c r="AB35" s="111" t="n">
        <f aca="false">IF(L35&lt;0,L35*-1,0)</f>
        <v>35.9356768338795</v>
      </c>
      <c r="AC35" s="111" t="n">
        <f aca="false">AA35+AB35</f>
        <v>465.44567683388</v>
      </c>
      <c r="AD35" s="161" t="n">
        <v>0</v>
      </c>
      <c r="AE35" s="117" t="n">
        <v>81</v>
      </c>
      <c r="AF35" s="167" t="n">
        <v>54</v>
      </c>
      <c r="AG35" s="118" t="n">
        <v>0</v>
      </c>
      <c r="AH35" s="373" t="n">
        <f aca="false">(I35-P35-Q35)-(U35)</f>
        <v>-142.008</v>
      </c>
      <c r="AI35" s="10" t="n">
        <f aca="false">23.5*(V34*1.9835-U35*1.9835)/E35</f>
        <v>3.17458605077011</v>
      </c>
      <c r="AJ35" s="376"/>
      <c r="AK35" s="0"/>
      <c r="AL35" s="0"/>
      <c r="AM35" s="0"/>
      <c r="AN35" s="0"/>
      <c r="AO35" s="0"/>
      <c r="AP35" s="0"/>
      <c r="AQ35" s="0"/>
      <c r="AR35" s="0"/>
      <c r="AS35" s="0"/>
      <c r="AT35" s="0"/>
      <c r="AU35" s="0"/>
      <c r="AV35" s="0"/>
      <c r="AW35" s="0"/>
      <c r="AX35" s="0"/>
      <c r="AY35" s="0"/>
      <c r="AZ35" s="0"/>
      <c r="BA35" s="0"/>
      <c r="BB35" s="0"/>
      <c r="BC35" s="0"/>
      <c r="BD35" s="0"/>
      <c r="BE35" s="0"/>
      <c r="BF35" s="0"/>
      <c r="BG35" s="0"/>
      <c r="BH35" s="0"/>
      <c r="BI35" s="0"/>
      <c r="BJ35" s="0"/>
      <c r="BK35" s="0"/>
      <c r="BL35" s="0"/>
      <c r="BM35" s="0"/>
      <c r="BN35" s="0"/>
      <c r="BO35" s="0"/>
      <c r="BP35" s="0"/>
      <c r="BQ35" s="0"/>
      <c r="BR35" s="0"/>
      <c r="BS35" s="0"/>
      <c r="BT35" s="0"/>
      <c r="BU35" s="0"/>
      <c r="BV35" s="0"/>
      <c r="BW35" s="0"/>
      <c r="BX35" s="0"/>
      <c r="BY35" s="0"/>
      <c r="BZ35" s="0"/>
      <c r="CA35" s="0"/>
      <c r="CB35" s="0"/>
      <c r="CC35" s="0"/>
      <c r="CD35" s="0"/>
      <c r="CE35" s="0"/>
      <c r="CF35" s="0"/>
      <c r="CG35" s="0"/>
      <c r="CH35" s="0"/>
      <c r="CI35" s="0"/>
      <c r="CJ35" s="0"/>
      <c r="CK35" s="0"/>
      <c r="CL35" s="0"/>
      <c r="CM35" s="0"/>
      <c r="CN35" s="0"/>
      <c r="CO35" s="0"/>
      <c r="CP35" s="0"/>
      <c r="CQ35" s="0"/>
      <c r="CR35" s="0"/>
      <c r="CS35" s="0"/>
      <c r="CT35" s="0"/>
      <c r="CU35" s="0"/>
      <c r="CV35" s="0"/>
      <c r="CW35" s="0"/>
      <c r="CX35" s="0"/>
      <c r="CY35" s="0"/>
      <c r="CZ35" s="0"/>
      <c r="DA35" s="0"/>
      <c r="DB35" s="0"/>
      <c r="DC35" s="0"/>
      <c r="DD35" s="0"/>
      <c r="DE35" s="0"/>
      <c r="DF35" s="0"/>
      <c r="DG35" s="0"/>
      <c r="DH35" s="0"/>
      <c r="DI35" s="0"/>
      <c r="DJ35" s="0"/>
      <c r="DK35" s="0"/>
      <c r="DL35" s="0"/>
      <c r="DM35" s="0"/>
      <c r="DN35" s="0"/>
      <c r="DO35" s="0"/>
      <c r="DP35" s="0"/>
      <c r="DQ35" s="0"/>
      <c r="DR35" s="0"/>
      <c r="DS35" s="0"/>
      <c r="DT35" s="0"/>
      <c r="DU35" s="0"/>
      <c r="DV35" s="0"/>
      <c r="DW35" s="0"/>
      <c r="DX35" s="0"/>
      <c r="DY35" s="0"/>
      <c r="DZ35" s="0"/>
      <c r="EA35" s="0"/>
      <c r="EB35" s="0"/>
      <c r="EC35" s="0"/>
      <c r="ED35" s="0"/>
      <c r="EE35" s="0"/>
      <c r="EF35" s="0"/>
      <c r="EG35" s="0"/>
      <c r="EH35" s="0"/>
      <c r="EI35" s="0"/>
      <c r="EJ35" s="0"/>
      <c r="EK35" s="0"/>
      <c r="EL35" s="0"/>
      <c r="EM35" s="0"/>
      <c r="EN35" s="0"/>
      <c r="EO35" s="0"/>
      <c r="EP35" s="0"/>
      <c r="EQ35" s="0"/>
      <c r="ER35" s="0"/>
      <c r="ES35" s="0"/>
      <c r="ET35" s="0"/>
      <c r="EU35" s="0"/>
      <c r="EV35" s="0"/>
      <c r="EW35" s="0"/>
      <c r="EX35" s="0"/>
      <c r="EY35" s="0"/>
      <c r="EZ35" s="0"/>
      <c r="FA35" s="0"/>
      <c r="FB35" s="0"/>
      <c r="FC35" s="0"/>
      <c r="FD35" s="0"/>
      <c r="FE35" s="0"/>
      <c r="FF35" s="0"/>
      <c r="FG35" s="0"/>
      <c r="FH35" s="0"/>
      <c r="FI35" s="0"/>
      <c r="FJ35" s="0"/>
      <c r="FK35" s="0"/>
      <c r="FL35" s="0"/>
      <c r="FM35" s="0"/>
      <c r="FN35" s="0"/>
      <c r="FO35" s="0"/>
      <c r="FP35" s="0"/>
      <c r="FQ35" s="0"/>
      <c r="FR35" s="0"/>
      <c r="FS35" s="0"/>
      <c r="FT35" s="0"/>
      <c r="FU35" s="0"/>
      <c r="FV35" s="0"/>
      <c r="FW35" s="0"/>
      <c r="FX35" s="0"/>
      <c r="FY35" s="0"/>
      <c r="FZ35" s="0"/>
      <c r="GA35" s="0"/>
      <c r="GB35" s="0"/>
      <c r="GC35" s="0"/>
      <c r="GD35" s="0"/>
      <c r="GE35" s="0"/>
      <c r="GF35" s="0"/>
      <c r="GG35" s="0"/>
      <c r="GH35" s="0"/>
      <c r="GI35" s="0"/>
      <c r="GJ35" s="0"/>
      <c r="GK35" s="0"/>
      <c r="GL35" s="0"/>
      <c r="GM35" s="0"/>
      <c r="GN35" s="0"/>
      <c r="GO35" s="0"/>
      <c r="GP35" s="0"/>
      <c r="GQ35" s="0"/>
      <c r="GR35" s="0"/>
      <c r="GS35" s="0"/>
      <c r="GT35" s="0"/>
      <c r="GU35" s="0"/>
      <c r="GV35" s="0"/>
      <c r="GW35" s="0"/>
      <c r="GX35" s="0"/>
      <c r="GY35" s="0"/>
      <c r="GZ35" s="0"/>
      <c r="HA35" s="0"/>
      <c r="HB35" s="0"/>
      <c r="HC35" s="0"/>
      <c r="HD35" s="0"/>
      <c r="HE35" s="0"/>
      <c r="HF35" s="0"/>
      <c r="HG35" s="0"/>
      <c r="HH35" s="0"/>
      <c r="HI35" s="0"/>
      <c r="HJ35" s="0"/>
      <c r="HK35" s="0"/>
      <c r="HL35" s="0"/>
      <c r="HM35" s="0"/>
      <c r="HN35" s="0"/>
      <c r="HO35" s="0"/>
      <c r="HP35" s="0"/>
      <c r="HQ35" s="0"/>
      <c r="HR35" s="0"/>
      <c r="HS35" s="0"/>
      <c r="HT35" s="0"/>
      <c r="HU35" s="0"/>
      <c r="HV35" s="0"/>
      <c r="HW35" s="0"/>
      <c r="HX35" s="0"/>
      <c r="HY35" s="0"/>
      <c r="HZ35" s="0"/>
      <c r="IA35" s="0"/>
      <c r="IB35" s="0"/>
      <c r="IC35" s="0"/>
      <c r="ID35" s="0"/>
      <c r="IE35" s="0"/>
      <c r="IF35" s="0"/>
      <c r="IG35" s="0"/>
      <c r="IH35" s="0"/>
      <c r="II35" s="0"/>
      <c r="IJ35" s="0"/>
      <c r="IK35" s="0"/>
      <c r="IL35" s="0"/>
      <c r="IM35" s="0"/>
      <c r="IN35" s="0"/>
      <c r="IO35" s="0"/>
      <c r="IP35" s="0"/>
      <c r="IQ35" s="0"/>
      <c r="IR35" s="0"/>
      <c r="IS35" s="0"/>
      <c r="IT35" s="0"/>
      <c r="IU35" s="0"/>
      <c r="IV35" s="0"/>
      <c r="IW35" s="0"/>
    </row>
    <row r="36" customFormat="false" ht="11.1" hidden="false" customHeight="true" outlineLevel="0" collapsed="false">
      <c r="A36" s="118" t="n">
        <v>25</v>
      </c>
      <c r="B36" s="168" t="n">
        <v>6869.74</v>
      </c>
      <c r="C36" s="112" t="n">
        <v>187115</v>
      </c>
      <c r="D36" s="117" t="n">
        <f aca="false">C36-C35</f>
        <v>-529</v>
      </c>
      <c r="E36" s="112" t="n">
        <f aca="false">C36-152000</f>
        <v>35115</v>
      </c>
      <c r="F36" s="180" t="n">
        <f aca="false">D36/$D$2</f>
        <v>-266.700277287623</v>
      </c>
      <c r="G36" s="111" t="n">
        <v>193</v>
      </c>
      <c r="H36" s="113" t="n">
        <v>0</v>
      </c>
      <c r="I36" s="111" t="n">
        <f aca="false">G36+H36</f>
        <v>193</v>
      </c>
      <c r="J36" s="181" t="n">
        <f aca="false">IF(L36&gt;0,L36,0)</f>
        <v>0</v>
      </c>
      <c r="K36" s="111" t="n">
        <f aca="false">I36+J36</f>
        <v>193</v>
      </c>
      <c r="L36" s="111" t="n">
        <f aca="false">F36-(I36-AA36)</f>
        <v>-30.2602772876229</v>
      </c>
      <c r="M36" s="182" t="n">
        <v>130</v>
      </c>
      <c r="N36" s="196" t="n">
        <v>0</v>
      </c>
      <c r="O36" s="111" t="n">
        <f aca="false">19*1.05</f>
        <v>19.95</v>
      </c>
      <c r="P36" s="115" t="n">
        <v>1.82</v>
      </c>
      <c r="Q36" s="245" t="n">
        <v>4.2</v>
      </c>
      <c r="R36" s="227" t="n">
        <v>3.89</v>
      </c>
      <c r="S36" s="111" t="n">
        <v>126</v>
      </c>
      <c r="T36" s="111" t="n">
        <v>72</v>
      </c>
      <c r="U36" s="111" t="n">
        <f aca="false">M36-N36-O36-P36-Q36-R36+S36+T36</f>
        <v>298.14</v>
      </c>
      <c r="V36" s="112" t="n">
        <f aca="false">V35+AH36-(AI36/1.9835)</f>
        <v>2476.13606252079</v>
      </c>
      <c r="W36" s="112"/>
      <c r="X36" s="111" t="n">
        <v>75.44</v>
      </c>
      <c r="Y36" s="111" t="n">
        <v>26</v>
      </c>
      <c r="Z36" s="112" t="n">
        <f aca="false">Z35-Y36</f>
        <v>4609.49231157046</v>
      </c>
      <c r="AA36" s="6" t="n">
        <f aca="false">M36+S36+T36+X36+Y36</f>
        <v>429.44</v>
      </c>
      <c r="AB36" s="111" t="n">
        <f aca="false">IF(L36&lt;0,L36*-1,0)</f>
        <v>30.2602772876229</v>
      </c>
      <c r="AC36" s="111" t="n">
        <f aca="false">AA36+AB36</f>
        <v>459.700277287623</v>
      </c>
      <c r="AD36" s="161" t="n">
        <v>0</v>
      </c>
      <c r="AE36" s="117" t="n">
        <v>84</v>
      </c>
      <c r="AF36" s="167" t="n">
        <v>54</v>
      </c>
      <c r="AG36" s="118" t="n">
        <v>0</v>
      </c>
      <c r="AH36" s="373" t="n">
        <f aca="false">(I36-P36-Q36)-(U36)</f>
        <v>-111.16</v>
      </c>
      <c r="AI36" s="10" t="n">
        <f aca="false">23.5*(V35*1.9835-U36*1.9835)/E36</f>
        <v>3.04069973284798</v>
      </c>
      <c r="AJ36" s="376"/>
      <c r="AK36" s="0"/>
      <c r="AL36" s="0"/>
      <c r="AM36" s="0"/>
      <c r="AN36" s="0"/>
      <c r="AO36" s="0"/>
      <c r="AP36" s="0"/>
      <c r="AQ36" s="0"/>
      <c r="AR36" s="0"/>
      <c r="AS36" s="0"/>
      <c r="AT36" s="0"/>
      <c r="AU36" s="0"/>
      <c r="AV36" s="0"/>
      <c r="AW36" s="0"/>
      <c r="AX36" s="0"/>
      <c r="AY36" s="0"/>
      <c r="AZ36" s="0"/>
      <c r="BA36" s="0"/>
      <c r="BB36" s="0"/>
      <c r="BC36" s="0"/>
      <c r="BD36" s="0"/>
      <c r="BE36" s="0"/>
      <c r="BF36" s="0"/>
      <c r="BG36" s="0"/>
      <c r="BH36" s="0"/>
      <c r="BI36" s="0"/>
      <c r="BJ36" s="0"/>
      <c r="BK36" s="0"/>
      <c r="BL36" s="0"/>
      <c r="BM36" s="0"/>
      <c r="BN36" s="0"/>
      <c r="BO36" s="0"/>
      <c r="BP36" s="0"/>
      <c r="BQ36" s="0"/>
      <c r="BR36" s="0"/>
      <c r="BS36" s="0"/>
      <c r="BT36" s="0"/>
      <c r="BU36" s="0"/>
      <c r="BV36" s="0"/>
      <c r="BW36" s="0"/>
      <c r="BX36" s="0"/>
      <c r="BY36" s="0"/>
      <c r="BZ36" s="0"/>
      <c r="CA36" s="0"/>
      <c r="CB36" s="0"/>
      <c r="CC36" s="0"/>
      <c r="CD36" s="0"/>
      <c r="CE36" s="0"/>
      <c r="CF36" s="0"/>
      <c r="CG36" s="0"/>
      <c r="CH36" s="0"/>
      <c r="CI36" s="0"/>
      <c r="CJ36" s="0"/>
      <c r="CK36" s="0"/>
      <c r="CL36" s="0"/>
      <c r="CM36" s="0"/>
      <c r="CN36" s="0"/>
      <c r="CO36" s="0"/>
      <c r="CP36" s="0"/>
      <c r="CQ36" s="0"/>
      <c r="CR36" s="0"/>
      <c r="CS36" s="0"/>
      <c r="CT36" s="0"/>
      <c r="CU36" s="0"/>
      <c r="CV36" s="0"/>
      <c r="CW36" s="0"/>
      <c r="CX36" s="0"/>
      <c r="CY36" s="0"/>
      <c r="CZ36" s="0"/>
      <c r="DA36" s="0"/>
      <c r="DB36" s="0"/>
      <c r="DC36" s="0"/>
      <c r="DD36" s="0"/>
      <c r="DE36" s="0"/>
      <c r="DF36" s="0"/>
      <c r="DG36" s="0"/>
      <c r="DH36" s="0"/>
      <c r="DI36" s="0"/>
      <c r="DJ36" s="0"/>
      <c r="DK36" s="0"/>
      <c r="DL36" s="0"/>
      <c r="DM36" s="0"/>
      <c r="DN36" s="0"/>
      <c r="DO36" s="0"/>
      <c r="DP36" s="0"/>
      <c r="DQ36" s="0"/>
      <c r="DR36" s="0"/>
      <c r="DS36" s="0"/>
      <c r="DT36" s="0"/>
      <c r="DU36" s="0"/>
      <c r="DV36" s="0"/>
      <c r="DW36" s="0"/>
      <c r="DX36" s="0"/>
      <c r="DY36" s="0"/>
      <c r="DZ36" s="0"/>
      <c r="EA36" s="0"/>
      <c r="EB36" s="0"/>
      <c r="EC36" s="0"/>
      <c r="ED36" s="0"/>
      <c r="EE36" s="0"/>
      <c r="EF36" s="0"/>
      <c r="EG36" s="0"/>
      <c r="EH36" s="0"/>
      <c r="EI36" s="0"/>
      <c r="EJ36" s="0"/>
      <c r="EK36" s="0"/>
      <c r="EL36" s="0"/>
      <c r="EM36" s="0"/>
      <c r="EN36" s="0"/>
      <c r="EO36" s="0"/>
      <c r="EP36" s="0"/>
      <c r="EQ36" s="0"/>
      <c r="ER36" s="0"/>
      <c r="ES36" s="0"/>
      <c r="ET36" s="0"/>
      <c r="EU36" s="0"/>
      <c r="EV36" s="0"/>
      <c r="EW36" s="0"/>
      <c r="EX36" s="0"/>
      <c r="EY36" s="0"/>
      <c r="EZ36" s="0"/>
      <c r="FA36" s="0"/>
      <c r="FB36" s="0"/>
      <c r="FC36" s="0"/>
      <c r="FD36" s="0"/>
      <c r="FE36" s="0"/>
      <c r="FF36" s="0"/>
      <c r="FG36" s="0"/>
      <c r="FH36" s="0"/>
      <c r="FI36" s="0"/>
      <c r="FJ36" s="0"/>
      <c r="FK36" s="0"/>
      <c r="FL36" s="0"/>
      <c r="FM36" s="0"/>
      <c r="FN36" s="0"/>
      <c r="FO36" s="0"/>
      <c r="FP36" s="0"/>
      <c r="FQ36" s="0"/>
      <c r="FR36" s="0"/>
      <c r="FS36" s="0"/>
      <c r="FT36" s="0"/>
      <c r="FU36" s="0"/>
      <c r="FV36" s="0"/>
      <c r="FW36" s="0"/>
      <c r="FX36" s="0"/>
      <c r="FY36" s="0"/>
      <c r="FZ36" s="0"/>
      <c r="GA36" s="0"/>
      <c r="GB36" s="0"/>
      <c r="GC36" s="0"/>
      <c r="GD36" s="0"/>
      <c r="GE36" s="0"/>
      <c r="GF36" s="0"/>
      <c r="GG36" s="0"/>
      <c r="GH36" s="0"/>
      <c r="GI36" s="0"/>
      <c r="GJ36" s="0"/>
      <c r="GK36" s="0"/>
      <c r="GL36" s="0"/>
      <c r="GM36" s="0"/>
      <c r="GN36" s="0"/>
      <c r="GO36" s="0"/>
      <c r="GP36" s="0"/>
      <c r="GQ36" s="0"/>
      <c r="GR36" s="0"/>
      <c r="GS36" s="0"/>
      <c r="GT36" s="0"/>
      <c r="GU36" s="0"/>
      <c r="GV36" s="0"/>
      <c r="GW36" s="0"/>
      <c r="GX36" s="0"/>
      <c r="GY36" s="0"/>
      <c r="GZ36" s="0"/>
      <c r="HA36" s="0"/>
      <c r="HB36" s="0"/>
      <c r="HC36" s="0"/>
      <c r="HD36" s="0"/>
      <c r="HE36" s="0"/>
      <c r="HF36" s="0"/>
      <c r="HG36" s="0"/>
      <c r="HH36" s="0"/>
      <c r="HI36" s="0"/>
      <c r="HJ36" s="0"/>
      <c r="HK36" s="0"/>
      <c r="HL36" s="0"/>
      <c r="HM36" s="0"/>
      <c r="HN36" s="0"/>
      <c r="HO36" s="0"/>
      <c r="HP36" s="0"/>
      <c r="HQ36" s="0"/>
      <c r="HR36" s="0"/>
      <c r="HS36" s="0"/>
      <c r="HT36" s="0"/>
      <c r="HU36" s="0"/>
      <c r="HV36" s="0"/>
      <c r="HW36" s="0"/>
      <c r="HX36" s="0"/>
      <c r="HY36" s="0"/>
      <c r="HZ36" s="0"/>
      <c r="IA36" s="0"/>
      <c r="IB36" s="0"/>
      <c r="IC36" s="0"/>
      <c r="ID36" s="0"/>
      <c r="IE36" s="0"/>
      <c r="IF36" s="0"/>
      <c r="IG36" s="0"/>
      <c r="IH36" s="0"/>
      <c r="II36" s="0"/>
      <c r="IJ36" s="0"/>
      <c r="IK36" s="0"/>
      <c r="IL36" s="0"/>
      <c r="IM36" s="0"/>
      <c r="IN36" s="0"/>
      <c r="IO36" s="0"/>
      <c r="IP36" s="0"/>
      <c r="IQ36" s="0"/>
      <c r="IR36" s="0"/>
      <c r="IS36" s="0"/>
      <c r="IT36" s="0"/>
      <c r="IU36" s="0"/>
      <c r="IV36" s="0"/>
      <c r="IW36" s="0"/>
    </row>
    <row r="37" customFormat="false" ht="11.1" hidden="false" customHeight="true" outlineLevel="0" collapsed="false">
      <c r="A37" s="118" t="n">
        <v>26</v>
      </c>
      <c r="B37" s="168" t="n">
        <v>6869.46</v>
      </c>
      <c r="C37" s="112" t="n">
        <v>186375</v>
      </c>
      <c r="D37" s="117" t="n">
        <f aca="false">C37-C36</f>
        <v>-740</v>
      </c>
      <c r="E37" s="112" t="n">
        <f aca="false">C37-152000</f>
        <v>34375</v>
      </c>
      <c r="F37" s="180" t="n">
        <f aca="false">D37/$D$2</f>
        <v>-373.077892614066</v>
      </c>
      <c r="G37" s="111" t="n">
        <v>177</v>
      </c>
      <c r="H37" s="113" t="n">
        <v>0</v>
      </c>
      <c r="I37" s="111" t="n">
        <f aca="false">G37+H37</f>
        <v>177</v>
      </c>
      <c r="J37" s="181" t="n">
        <f aca="false">IF(L37&gt;0,L37,0)</f>
        <v>0</v>
      </c>
      <c r="K37" s="111" t="n">
        <f aca="false">I37+J37</f>
        <v>177</v>
      </c>
      <c r="L37" s="111" t="n">
        <f aca="false">F37-(I37-AA37)</f>
        <v>-97.097892614066</v>
      </c>
      <c r="M37" s="182" t="n">
        <v>152</v>
      </c>
      <c r="N37" s="196" t="n">
        <v>0</v>
      </c>
      <c r="O37" s="111" t="n">
        <f aca="false">16.25*1.05</f>
        <v>17.0625</v>
      </c>
      <c r="P37" s="115" t="n">
        <v>1.71</v>
      </c>
      <c r="Q37" s="245" t="n">
        <v>4.2</v>
      </c>
      <c r="R37" s="227" t="n">
        <v>3.28</v>
      </c>
      <c r="S37" s="111" t="n">
        <v>126</v>
      </c>
      <c r="T37" s="111" t="n">
        <v>70</v>
      </c>
      <c r="U37" s="111" t="n">
        <f aca="false">M37-N37-O37-P37-Q37-R37+S37+T37</f>
        <v>321.7475</v>
      </c>
      <c r="V37" s="112" t="n">
        <f aca="false">V36+AH37-(AI37/1.9835)</f>
        <v>2324.00574415805</v>
      </c>
      <c r="W37" s="112"/>
      <c r="X37" s="111" t="n">
        <v>78.98</v>
      </c>
      <c r="Y37" s="111" t="n">
        <v>26</v>
      </c>
      <c r="Z37" s="112" t="n">
        <f aca="false">Z36-Y37</f>
        <v>4583.49231157046</v>
      </c>
      <c r="AA37" s="6" t="n">
        <f aca="false">M37+S37+T37+X37+Y37</f>
        <v>452.98</v>
      </c>
      <c r="AB37" s="111" t="n">
        <f aca="false">IF(L37&lt;0,L37*-1,0)</f>
        <v>97.097892614066</v>
      </c>
      <c r="AC37" s="111" t="n">
        <f aca="false">AA37+AB37</f>
        <v>550.077892614066</v>
      </c>
      <c r="AD37" s="161" t="n">
        <v>0</v>
      </c>
      <c r="AE37" s="117" t="n">
        <v>83</v>
      </c>
      <c r="AF37" s="167" t="n">
        <v>51</v>
      </c>
      <c r="AG37" s="118" t="n">
        <v>0</v>
      </c>
      <c r="AH37" s="373" t="n">
        <f aca="false">(I37-P37-Q37)-(U37)</f>
        <v>-150.6575</v>
      </c>
      <c r="AI37" s="10" t="n">
        <f aca="false">23.5*(V36*1.9835-U37*1.9835)/E37</f>
        <v>2.92133522249774</v>
      </c>
      <c r="AJ37" s="376"/>
      <c r="AK37" s="0"/>
      <c r="AL37" s="0"/>
      <c r="AM37" s="0"/>
      <c r="AN37" s="0"/>
      <c r="AO37" s="0"/>
      <c r="AP37" s="0"/>
      <c r="AQ37" s="0"/>
      <c r="AR37" s="0"/>
      <c r="AS37" s="0"/>
      <c r="AT37" s="0"/>
      <c r="AU37" s="0"/>
      <c r="AV37" s="0"/>
      <c r="AW37" s="0"/>
      <c r="AX37" s="0"/>
      <c r="AY37" s="0"/>
      <c r="AZ37" s="0"/>
      <c r="BA37" s="0"/>
      <c r="BB37" s="0"/>
      <c r="BC37" s="0"/>
      <c r="BD37" s="0"/>
      <c r="BE37" s="0"/>
      <c r="BF37" s="0"/>
      <c r="BG37" s="0"/>
      <c r="BH37" s="0"/>
      <c r="BI37" s="0"/>
      <c r="BJ37" s="0"/>
      <c r="BK37" s="0"/>
      <c r="BL37" s="0"/>
      <c r="BM37" s="0"/>
      <c r="BN37" s="0"/>
      <c r="BO37" s="0"/>
      <c r="BP37" s="0"/>
      <c r="BQ37" s="0"/>
      <c r="BR37" s="0"/>
      <c r="BS37" s="0"/>
      <c r="BT37" s="0"/>
      <c r="BU37" s="0"/>
      <c r="BV37" s="0"/>
      <c r="BW37" s="0"/>
      <c r="BX37" s="0"/>
      <c r="BY37" s="0"/>
      <c r="BZ37" s="0"/>
      <c r="CA37" s="0"/>
      <c r="CB37" s="0"/>
      <c r="CC37" s="0"/>
      <c r="CD37" s="0"/>
      <c r="CE37" s="0"/>
      <c r="CF37" s="0"/>
      <c r="CG37" s="0"/>
      <c r="CH37" s="0"/>
      <c r="CI37" s="0"/>
      <c r="CJ37" s="0"/>
      <c r="CK37" s="0"/>
      <c r="CL37" s="0"/>
      <c r="CM37" s="0"/>
      <c r="CN37" s="0"/>
      <c r="CO37" s="0"/>
      <c r="CP37" s="0"/>
      <c r="CQ37" s="0"/>
      <c r="CR37" s="0"/>
      <c r="CS37" s="0"/>
      <c r="CT37" s="0"/>
      <c r="CU37" s="0"/>
      <c r="CV37" s="0"/>
      <c r="CW37" s="0"/>
      <c r="CX37" s="0"/>
      <c r="CY37" s="0"/>
      <c r="CZ37" s="0"/>
      <c r="DA37" s="0"/>
      <c r="DB37" s="0"/>
      <c r="DC37" s="0"/>
      <c r="DD37" s="0"/>
      <c r="DE37" s="0"/>
      <c r="DF37" s="0"/>
      <c r="DG37" s="0"/>
      <c r="DH37" s="0"/>
      <c r="DI37" s="0"/>
      <c r="DJ37" s="0"/>
      <c r="DK37" s="0"/>
      <c r="DL37" s="0"/>
      <c r="DM37" s="0"/>
      <c r="DN37" s="0"/>
      <c r="DO37" s="0"/>
      <c r="DP37" s="0"/>
      <c r="DQ37" s="0"/>
      <c r="DR37" s="0"/>
      <c r="DS37" s="0"/>
      <c r="DT37" s="0"/>
      <c r="DU37" s="0"/>
      <c r="DV37" s="0"/>
      <c r="DW37" s="0"/>
      <c r="DX37" s="0"/>
      <c r="DY37" s="0"/>
      <c r="DZ37" s="0"/>
      <c r="EA37" s="0"/>
      <c r="EB37" s="0"/>
      <c r="EC37" s="0"/>
      <c r="ED37" s="0"/>
      <c r="EE37" s="0"/>
      <c r="EF37" s="0"/>
      <c r="EG37" s="0"/>
      <c r="EH37" s="0"/>
      <c r="EI37" s="0"/>
      <c r="EJ37" s="0"/>
      <c r="EK37" s="0"/>
      <c r="EL37" s="0"/>
      <c r="EM37" s="0"/>
      <c r="EN37" s="0"/>
      <c r="EO37" s="0"/>
      <c r="EP37" s="0"/>
      <c r="EQ37" s="0"/>
      <c r="ER37" s="0"/>
      <c r="ES37" s="0"/>
      <c r="ET37" s="0"/>
      <c r="EU37" s="0"/>
      <c r="EV37" s="0"/>
      <c r="EW37" s="0"/>
      <c r="EX37" s="0"/>
      <c r="EY37" s="0"/>
      <c r="EZ37" s="0"/>
      <c r="FA37" s="0"/>
      <c r="FB37" s="0"/>
      <c r="FC37" s="0"/>
      <c r="FD37" s="0"/>
      <c r="FE37" s="0"/>
      <c r="FF37" s="0"/>
      <c r="FG37" s="0"/>
      <c r="FH37" s="0"/>
      <c r="FI37" s="0"/>
      <c r="FJ37" s="0"/>
      <c r="FK37" s="0"/>
      <c r="FL37" s="0"/>
      <c r="FM37" s="0"/>
      <c r="FN37" s="0"/>
      <c r="FO37" s="0"/>
      <c r="FP37" s="0"/>
      <c r="FQ37" s="0"/>
      <c r="FR37" s="0"/>
      <c r="FS37" s="0"/>
      <c r="FT37" s="0"/>
      <c r="FU37" s="0"/>
      <c r="FV37" s="0"/>
      <c r="FW37" s="0"/>
      <c r="FX37" s="0"/>
      <c r="FY37" s="0"/>
      <c r="FZ37" s="0"/>
      <c r="GA37" s="0"/>
      <c r="GB37" s="0"/>
      <c r="GC37" s="0"/>
      <c r="GD37" s="0"/>
      <c r="GE37" s="0"/>
      <c r="GF37" s="0"/>
      <c r="GG37" s="0"/>
      <c r="GH37" s="0"/>
      <c r="GI37" s="0"/>
      <c r="GJ37" s="0"/>
      <c r="GK37" s="0"/>
      <c r="GL37" s="0"/>
      <c r="GM37" s="0"/>
      <c r="GN37" s="0"/>
      <c r="GO37" s="0"/>
      <c r="GP37" s="0"/>
      <c r="GQ37" s="0"/>
      <c r="GR37" s="0"/>
      <c r="GS37" s="0"/>
      <c r="GT37" s="0"/>
      <c r="GU37" s="0"/>
      <c r="GV37" s="0"/>
      <c r="GW37" s="0"/>
      <c r="GX37" s="0"/>
      <c r="GY37" s="0"/>
      <c r="GZ37" s="0"/>
      <c r="HA37" s="0"/>
      <c r="HB37" s="0"/>
      <c r="HC37" s="0"/>
      <c r="HD37" s="0"/>
      <c r="HE37" s="0"/>
      <c r="HF37" s="0"/>
      <c r="HG37" s="0"/>
      <c r="HH37" s="0"/>
      <c r="HI37" s="0"/>
      <c r="HJ37" s="0"/>
      <c r="HK37" s="0"/>
      <c r="HL37" s="0"/>
      <c r="HM37" s="0"/>
      <c r="HN37" s="0"/>
      <c r="HO37" s="0"/>
      <c r="HP37" s="0"/>
      <c r="HQ37" s="0"/>
      <c r="HR37" s="0"/>
      <c r="HS37" s="0"/>
      <c r="HT37" s="0"/>
      <c r="HU37" s="0"/>
      <c r="HV37" s="0"/>
      <c r="HW37" s="0"/>
      <c r="HX37" s="0"/>
      <c r="HY37" s="0"/>
      <c r="HZ37" s="0"/>
      <c r="IA37" s="0"/>
      <c r="IB37" s="0"/>
      <c r="IC37" s="0"/>
      <c r="ID37" s="0"/>
      <c r="IE37" s="0"/>
      <c r="IF37" s="0"/>
      <c r="IG37" s="0"/>
      <c r="IH37" s="0"/>
      <c r="II37" s="0"/>
      <c r="IJ37" s="0"/>
      <c r="IK37" s="0"/>
      <c r="IL37" s="0"/>
      <c r="IM37" s="0"/>
      <c r="IN37" s="0"/>
      <c r="IO37" s="0"/>
      <c r="IP37" s="0"/>
      <c r="IQ37" s="0"/>
      <c r="IR37" s="0"/>
      <c r="IS37" s="0"/>
      <c r="IT37" s="0"/>
      <c r="IU37" s="0"/>
      <c r="IV37" s="0"/>
      <c r="IW37" s="0"/>
    </row>
    <row r="38" customFormat="false" ht="11.1" hidden="false" customHeight="true" outlineLevel="0" collapsed="false">
      <c r="A38" s="118" t="n">
        <v>27</v>
      </c>
      <c r="B38" s="168" t="n">
        <v>6869.19</v>
      </c>
      <c r="C38" s="112" t="n">
        <v>185661</v>
      </c>
      <c r="D38" s="117" t="n">
        <f aca="false">C38-C37</f>
        <v>-714</v>
      </c>
      <c r="E38" s="112" t="n">
        <f aca="false">C38-152000</f>
        <v>33661</v>
      </c>
      <c r="F38" s="180" t="n">
        <f aca="false">D38/$D$2</f>
        <v>-359.969750441139</v>
      </c>
      <c r="G38" s="111" t="n">
        <v>158</v>
      </c>
      <c r="H38" s="113" t="n">
        <v>0</v>
      </c>
      <c r="I38" s="111" t="n">
        <f aca="false">G38+H38</f>
        <v>158</v>
      </c>
      <c r="J38" s="181" t="n">
        <f aca="false">IF(L38&gt;0,L38,0)</f>
        <v>0</v>
      </c>
      <c r="K38" s="111" t="n">
        <f aca="false">I38+J38</f>
        <v>158</v>
      </c>
      <c r="L38" s="111" t="n">
        <f aca="false">F38-(I38-AA38)</f>
        <v>-59.3397504411394</v>
      </c>
      <c r="M38" s="182" t="n">
        <v>163</v>
      </c>
      <c r="N38" s="196" t="n">
        <v>0.5</v>
      </c>
      <c r="O38" s="111" t="n">
        <f aca="false">23.37*1.05</f>
        <v>24.5385</v>
      </c>
      <c r="P38" s="115" t="n">
        <v>2.11</v>
      </c>
      <c r="Q38" s="245" t="n">
        <v>4.2</v>
      </c>
      <c r="R38" s="227" t="n">
        <v>4.19</v>
      </c>
      <c r="S38" s="111" t="n">
        <v>127</v>
      </c>
      <c r="T38" s="111" t="n">
        <v>68</v>
      </c>
      <c r="U38" s="111" t="n">
        <f aca="false">M38-N38-O38-P38-Q38-R38+S38+T38</f>
        <v>322.4615</v>
      </c>
      <c r="V38" s="112" t="n">
        <f aca="false">V37+AH38-(AI38/1.9835)</f>
        <v>2151.83689144311</v>
      </c>
      <c r="W38" s="112"/>
      <c r="X38" s="111" t="n">
        <v>74.63</v>
      </c>
      <c r="Y38" s="111" t="n">
        <v>26</v>
      </c>
      <c r="Z38" s="112" t="n">
        <f aca="false">Z37-Y38</f>
        <v>4557.49231157046</v>
      </c>
      <c r="AA38" s="6" t="n">
        <f aca="false">M38+S38+T38+X38+Y38</f>
        <v>458.63</v>
      </c>
      <c r="AB38" s="111" t="n">
        <f aca="false">IF(L38&lt;0,L38*-1,0)</f>
        <v>59.3397504411394</v>
      </c>
      <c r="AC38" s="111" t="n">
        <f aca="false">AA38+AB38</f>
        <v>517.969750441139</v>
      </c>
      <c r="AD38" s="161" t="n">
        <v>0</v>
      </c>
      <c r="AE38" s="117" t="n">
        <v>78</v>
      </c>
      <c r="AF38" s="167" t="n">
        <v>59</v>
      </c>
      <c r="AG38" s="118" t="n">
        <v>0</v>
      </c>
      <c r="AH38" s="373" t="n">
        <f aca="false">(I38-P38-Q38)-(U38)</f>
        <v>-170.7715</v>
      </c>
      <c r="AI38" s="10" t="n">
        <f aca="false">23.5*(V37*1.9835-U38*1.9835)/E38</f>
        <v>2.7716491100905</v>
      </c>
      <c r="AJ38" s="376"/>
      <c r="AK38" s="0"/>
      <c r="AL38" s="0"/>
      <c r="AM38" s="0"/>
      <c r="AN38" s="0"/>
      <c r="AO38" s="0"/>
      <c r="AP38" s="0"/>
      <c r="AQ38" s="0"/>
      <c r="AR38" s="0"/>
      <c r="AS38" s="0"/>
      <c r="AT38" s="0"/>
      <c r="AU38" s="0"/>
      <c r="AV38" s="0"/>
      <c r="AW38" s="0"/>
      <c r="AX38" s="0"/>
      <c r="AY38" s="0"/>
      <c r="AZ38" s="0"/>
      <c r="BA38" s="0"/>
      <c r="BB38" s="0"/>
      <c r="BC38" s="0"/>
      <c r="BD38" s="0"/>
      <c r="BE38" s="0"/>
      <c r="BF38" s="0"/>
      <c r="BG38" s="0"/>
      <c r="BH38" s="0"/>
      <c r="BI38" s="0"/>
      <c r="BJ38" s="0"/>
      <c r="BK38" s="0"/>
      <c r="BL38" s="0"/>
      <c r="BM38" s="0"/>
      <c r="BN38" s="0"/>
      <c r="BO38" s="0"/>
      <c r="BP38" s="0"/>
      <c r="BQ38" s="0"/>
      <c r="BR38" s="0"/>
      <c r="BS38" s="0"/>
      <c r="BT38" s="0"/>
      <c r="BU38" s="0"/>
      <c r="BV38" s="0"/>
      <c r="BW38" s="0"/>
      <c r="BX38" s="0"/>
      <c r="BY38" s="0"/>
      <c r="BZ38" s="0"/>
      <c r="CA38" s="0"/>
      <c r="CB38" s="0"/>
      <c r="CC38" s="0"/>
      <c r="CD38" s="0"/>
      <c r="CE38" s="0"/>
      <c r="CF38" s="0"/>
      <c r="CG38" s="0"/>
      <c r="CH38" s="0"/>
      <c r="CI38" s="0"/>
      <c r="CJ38" s="0"/>
      <c r="CK38" s="0"/>
      <c r="CL38" s="0"/>
      <c r="CM38" s="0"/>
      <c r="CN38" s="0"/>
      <c r="CO38" s="0"/>
      <c r="CP38" s="0"/>
      <c r="CQ38" s="0"/>
      <c r="CR38" s="0"/>
      <c r="CS38" s="0"/>
      <c r="CT38" s="0"/>
      <c r="CU38" s="0"/>
      <c r="CV38" s="0"/>
      <c r="CW38" s="0"/>
      <c r="CX38" s="0"/>
      <c r="CY38" s="0"/>
      <c r="CZ38" s="0"/>
      <c r="DA38" s="0"/>
      <c r="DB38" s="0"/>
      <c r="DC38" s="0"/>
      <c r="DD38" s="0"/>
      <c r="DE38" s="0"/>
      <c r="DF38" s="0"/>
      <c r="DG38" s="0"/>
      <c r="DH38" s="0"/>
      <c r="DI38" s="0"/>
      <c r="DJ38" s="0"/>
      <c r="DK38" s="0"/>
      <c r="DL38" s="0"/>
      <c r="DM38" s="0"/>
      <c r="DN38" s="0"/>
      <c r="DO38" s="0"/>
      <c r="DP38" s="0"/>
      <c r="DQ38" s="0"/>
      <c r="DR38" s="0"/>
      <c r="DS38" s="0"/>
      <c r="DT38" s="0"/>
      <c r="DU38" s="0"/>
      <c r="DV38" s="0"/>
      <c r="DW38" s="0"/>
      <c r="DX38" s="0"/>
      <c r="DY38" s="0"/>
      <c r="DZ38" s="0"/>
      <c r="EA38" s="0"/>
      <c r="EB38" s="0"/>
      <c r="EC38" s="0"/>
      <c r="ED38" s="0"/>
      <c r="EE38" s="0"/>
      <c r="EF38" s="0"/>
      <c r="EG38" s="0"/>
      <c r="EH38" s="0"/>
      <c r="EI38" s="0"/>
      <c r="EJ38" s="0"/>
      <c r="EK38" s="0"/>
      <c r="EL38" s="0"/>
      <c r="EM38" s="0"/>
      <c r="EN38" s="0"/>
      <c r="EO38" s="0"/>
      <c r="EP38" s="0"/>
      <c r="EQ38" s="0"/>
      <c r="ER38" s="0"/>
      <c r="ES38" s="0"/>
      <c r="ET38" s="0"/>
      <c r="EU38" s="0"/>
      <c r="EV38" s="0"/>
      <c r="EW38" s="0"/>
      <c r="EX38" s="0"/>
      <c r="EY38" s="0"/>
      <c r="EZ38" s="0"/>
      <c r="FA38" s="0"/>
      <c r="FB38" s="0"/>
      <c r="FC38" s="0"/>
      <c r="FD38" s="0"/>
      <c r="FE38" s="0"/>
      <c r="FF38" s="0"/>
      <c r="FG38" s="0"/>
      <c r="FH38" s="0"/>
      <c r="FI38" s="0"/>
      <c r="FJ38" s="0"/>
      <c r="FK38" s="0"/>
      <c r="FL38" s="0"/>
      <c r="FM38" s="0"/>
      <c r="FN38" s="0"/>
      <c r="FO38" s="0"/>
      <c r="FP38" s="0"/>
      <c r="FQ38" s="0"/>
      <c r="FR38" s="0"/>
      <c r="FS38" s="0"/>
      <c r="FT38" s="0"/>
      <c r="FU38" s="0"/>
      <c r="FV38" s="0"/>
      <c r="FW38" s="0"/>
      <c r="FX38" s="0"/>
      <c r="FY38" s="0"/>
      <c r="FZ38" s="0"/>
      <c r="GA38" s="0"/>
      <c r="GB38" s="0"/>
      <c r="GC38" s="0"/>
      <c r="GD38" s="0"/>
      <c r="GE38" s="0"/>
      <c r="GF38" s="0"/>
      <c r="GG38" s="0"/>
      <c r="GH38" s="0"/>
      <c r="GI38" s="0"/>
      <c r="GJ38" s="0"/>
      <c r="GK38" s="0"/>
      <c r="GL38" s="0"/>
      <c r="GM38" s="0"/>
      <c r="GN38" s="0"/>
      <c r="GO38" s="0"/>
      <c r="GP38" s="0"/>
      <c r="GQ38" s="0"/>
      <c r="GR38" s="0"/>
      <c r="GS38" s="0"/>
      <c r="GT38" s="0"/>
      <c r="GU38" s="0"/>
      <c r="GV38" s="0"/>
      <c r="GW38" s="0"/>
      <c r="GX38" s="0"/>
      <c r="GY38" s="0"/>
      <c r="GZ38" s="0"/>
      <c r="HA38" s="0"/>
      <c r="HB38" s="0"/>
      <c r="HC38" s="0"/>
      <c r="HD38" s="0"/>
      <c r="HE38" s="0"/>
      <c r="HF38" s="0"/>
      <c r="HG38" s="0"/>
      <c r="HH38" s="0"/>
      <c r="HI38" s="0"/>
      <c r="HJ38" s="0"/>
      <c r="HK38" s="0"/>
      <c r="HL38" s="0"/>
      <c r="HM38" s="0"/>
      <c r="HN38" s="0"/>
      <c r="HO38" s="0"/>
      <c r="HP38" s="0"/>
      <c r="HQ38" s="0"/>
      <c r="HR38" s="0"/>
      <c r="HS38" s="0"/>
      <c r="HT38" s="0"/>
      <c r="HU38" s="0"/>
      <c r="HV38" s="0"/>
      <c r="HW38" s="0"/>
      <c r="HX38" s="0"/>
      <c r="HY38" s="0"/>
      <c r="HZ38" s="0"/>
      <c r="IA38" s="0"/>
      <c r="IB38" s="0"/>
      <c r="IC38" s="0"/>
      <c r="ID38" s="0"/>
      <c r="IE38" s="0"/>
      <c r="IF38" s="0"/>
      <c r="IG38" s="0"/>
      <c r="IH38" s="0"/>
      <c r="II38" s="0"/>
      <c r="IJ38" s="0"/>
      <c r="IK38" s="0"/>
      <c r="IL38" s="0"/>
      <c r="IM38" s="0"/>
      <c r="IN38" s="0"/>
      <c r="IO38" s="0"/>
      <c r="IP38" s="0"/>
      <c r="IQ38" s="0"/>
      <c r="IR38" s="0"/>
      <c r="IS38" s="0"/>
      <c r="IT38" s="0"/>
      <c r="IU38" s="0"/>
      <c r="IV38" s="0"/>
      <c r="IW38" s="0"/>
    </row>
    <row r="39" customFormat="false" ht="11.1" hidden="false" customHeight="true" outlineLevel="0" collapsed="false">
      <c r="A39" s="118" t="n">
        <v>28</v>
      </c>
      <c r="B39" s="168" t="n">
        <v>6868.96</v>
      </c>
      <c r="C39" s="112" t="n">
        <v>185054</v>
      </c>
      <c r="D39" s="117" t="n">
        <f aca="false">C39-C38</f>
        <v>-607</v>
      </c>
      <c r="E39" s="112" t="n">
        <f aca="false">C39-152000</f>
        <v>33054</v>
      </c>
      <c r="F39" s="180" t="n">
        <f aca="false">D39/$D$2</f>
        <v>-306.024703806403</v>
      </c>
      <c r="G39" s="111" t="n">
        <v>227</v>
      </c>
      <c r="H39" s="113" t="n">
        <v>0</v>
      </c>
      <c r="I39" s="111" t="n">
        <f aca="false">G39+H39</f>
        <v>227</v>
      </c>
      <c r="J39" s="181" t="n">
        <f aca="false">IF(L39&gt;0,L39,0)</f>
        <v>0</v>
      </c>
      <c r="K39" s="111" t="n">
        <f aca="false">I39+J39</f>
        <v>227</v>
      </c>
      <c r="L39" s="111" t="n">
        <f aca="false">F39-(I39-AA39)</f>
        <v>-107.754703806403</v>
      </c>
      <c r="M39" s="182" t="n">
        <v>151</v>
      </c>
      <c r="N39" s="196" t="n">
        <v>0</v>
      </c>
      <c r="O39" s="111" t="n">
        <f aca="false">19.24*1.05</f>
        <v>20.202</v>
      </c>
      <c r="P39" s="115" t="n">
        <v>2.04</v>
      </c>
      <c r="Q39" s="245" t="n">
        <v>4.2</v>
      </c>
      <c r="R39" s="227" t="n">
        <v>3.34</v>
      </c>
      <c r="S39" s="111" t="n">
        <v>126</v>
      </c>
      <c r="T39" s="111" t="n">
        <v>67</v>
      </c>
      <c r="U39" s="111" t="n">
        <f aca="false">M39-N39-O39-P39-Q39-R39+S39+T39</f>
        <v>314.218</v>
      </c>
      <c r="V39" s="112" t="n">
        <f aca="false">V38+AH39-(AI39/1.9835)</f>
        <v>2057.07242190995</v>
      </c>
      <c r="W39" s="112"/>
      <c r="X39" s="111" t="n">
        <v>55.27</v>
      </c>
      <c r="Y39" s="111" t="n">
        <v>26</v>
      </c>
      <c r="Z39" s="112" t="n">
        <f aca="false">Z38-Y39</f>
        <v>4531.49231157046</v>
      </c>
      <c r="AA39" s="6" t="n">
        <f aca="false">M39+S39+T39+X39+Y39</f>
        <v>425.27</v>
      </c>
      <c r="AB39" s="111" t="n">
        <f aca="false">IF(L39&lt;0,L39*-1,0)</f>
        <v>107.754703806403</v>
      </c>
      <c r="AC39" s="111" t="n">
        <f aca="false">AA39+AB39</f>
        <v>533.024703806403</v>
      </c>
      <c r="AD39" s="161" t="n">
        <v>0.03</v>
      </c>
      <c r="AE39" s="117" t="n">
        <v>80</v>
      </c>
      <c r="AF39" s="167" t="n">
        <v>60</v>
      </c>
      <c r="AG39" s="118" t="n">
        <v>0</v>
      </c>
      <c r="AH39" s="373" t="n">
        <f aca="false">(I39-P39-Q39)-(U39)</f>
        <v>-93.458</v>
      </c>
      <c r="AI39" s="10" t="n">
        <f aca="false">23.5*(V38*1.9835-U39*1.9835)/E39</f>
        <v>2.5913823190134</v>
      </c>
      <c r="AJ39" s="376"/>
      <c r="AK39" s="0"/>
      <c r="AL39" s="0"/>
      <c r="AM39" s="0"/>
      <c r="AN39" s="0"/>
      <c r="AO39" s="0"/>
      <c r="AP39" s="0"/>
      <c r="AQ39" s="0"/>
      <c r="AR39" s="0"/>
      <c r="AS39" s="0"/>
      <c r="AT39" s="0"/>
      <c r="AU39" s="0"/>
      <c r="AV39" s="0"/>
      <c r="AW39" s="0"/>
      <c r="AX39" s="0"/>
      <c r="AY39" s="0"/>
      <c r="AZ39" s="0"/>
      <c r="BA39" s="0"/>
      <c r="BB39" s="0"/>
      <c r="BC39" s="0"/>
      <c r="BD39" s="0"/>
      <c r="BE39" s="0"/>
      <c r="BF39" s="0"/>
      <c r="BG39" s="0"/>
      <c r="BH39" s="0"/>
      <c r="BI39" s="0"/>
      <c r="BJ39" s="0"/>
      <c r="BK39" s="0"/>
      <c r="BL39" s="0"/>
      <c r="BM39" s="0"/>
      <c r="BN39" s="0"/>
      <c r="BO39" s="0"/>
      <c r="BP39" s="0"/>
      <c r="BQ39" s="0"/>
      <c r="BR39" s="0"/>
      <c r="BS39" s="0"/>
      <c r="BT39" s="0"/>
      <c r="BU39" s="0"/>
      <c r="BV39" s="0"/>
      <c r="BW39" s="0"/>
      <c r="BX39" s="0"/>
      <c r="BY39" s="0"/>
      <c r="BZ39" s="0"/>
      <c r="CA39" s="0"/>
      <c r="CB39" s="0"/>
      <c r="CC39" s="0"/>
      <c r="CD39" s="0"/>
      <c r="CE39" s="0"/>
      <c r="CF39" s="0"/>
      <c r="CG39" s="0"/>
      <c r="CH39" s="0"/>
      <c r="CI39" s="0"/>
      <c r="CJ39" s="0"/>
      <c r="CK39" s="0"/>
      <c r="CL39" s="0"/>
      <c r="CM39" s="0"/>
      <c r="CN39" s="0"/>
      <c r="CO39" s="0"/>
      <c r="CP39" s="0"/>
      <c r="CQ39" s="0"/>
      <c r="CR39" s="0"/>
      <c r="CS39" s="0"/>
      <c r="CT39" s="0"/>
      <c r="CU39" s="0"/>
      <c r="CV39" s="0"/>
      <c r="CW39" s="0"/>
      <c r="CX39" s="0"/>
      <c r="CY39" s="0"/>
      <c r="CZ39" s="0"/>
      <c r="DA39" s="0"/>
      <c r="DB39" s="0"/>
      <c r="DC39" s="0"/>
      <c r="DD39" s="0"/>
      <c r="DE39" s="0"/>
      <c r="DF39" s="0"/>
      <c r="DG39" s="0"/>
      <c r="DH39" s="0"/>
      <c r="DI39" s="0"/>
      <c r="DJ39" s="0"/>
      <c r="DK39" s="0"/>
      <c r="DL39" s="0"/>
      <c r="DM39" s="0"/>
      <c r="DN39" s="0"/>
      <c r="DO39" s="0"/>
      <c r="DP39" s="0"/>
      <c r="DQ39" s="0"/>
      <c r="DR39" s="0"/>
      <c r="DS39" s="0"/>
      <c r="DT39" s="0"/>
      <c r="DU39" s="0"/>
      <c r="DV39" s="0"/>
      <c r="DW39" s="0"/>
      <c r="DX39" s="0"/>
      <c r="DY39" s="0"/>
      <c r="DZ39" s="0"/>
      <c r="EA39" s="0"/>
      <c r="EB39" s="0"/>
      <c r="EC39" s="0"/>
      <c r="ED39" s="0"/>
      <c r="EE39" s="0"/>
      <c r="EF39" s="0"/>
      <c r="EG39" s="0"/>
      <c r="EH39" s="0"/>
      <c r="EI39" s="0"/>
      <c r="EJ39" s="0"/>
      <c r="EK39" s="0"/>
      <c r="EL39" s="0"/>
      <c r="EM39" s="0"/>
      <c r="EN39" s="0"/>
      <c r="EO39" s="0"/>
      <c r="EP39" s="0"/>
      <c r="EQ39" s="0"/>
      <c r="ER39" s="0"/>
      <c r="ES39" s="0"/>
      <c r="ET39" s="0"/>
      <c r="EU39" s="0"/>
      <c r="EV39" s="0"/>
      <c r="EW39" s="0"/>
      <c r="EX39" s="0"/>
      <c r="EY39" s="0"/>
      <c r="EZ39" s="0"/>
      <c r="FA39" s="0"/>
      <c r="FB39" s="0"/>
      <c r="FC39" s="0"/>
      <c r="FD39" s="0"/>
      <c r="FE39" s="0"/>
      <c r="FF39" s="0"/>
      <c r="FG39" s="0"/>
      <c r="FH39" s="0"/>
      <c r="FI39" s="0"/>
      <c r="FJ39" s="0"/>
      <c r="FK39" s="0"/>
      <c r="FL39" s="0"/>
      <c r="FM39" s="0"/>
      <c r="FN39" s="0"/>
      <c r="FO39" s="0"/>
      <c r="FP39" s="0"/>
      <c r="FQ39" s="0"/>
      <c r="FR39" s="0"/>
      <c r="FS39" s="0"/>
      <c r="FT39" s="0"/>
      <c r="FU39" s="0"/>
      <c r="FV39" s="0"/>
      <c r="FW39" s="0"/>
      <c r="FX39" s="0"/>
      <c r="FY39" s="0"/>
      <c r="FZ39" s="0"/>
      <c r="GA39" s="0"/>
      <c r="GB39" s="0"/>
      <c r="GC39" s="0"/>
      <c r="GD39" s="0"/>
      <c r="GE39" s="0"/>
      <c r="GF39" s="0"/>
      <c r="GG39" s="0"/>
      <c r="GH39" s="0"/>
      <c r="GI39" s="0"/>
      <c r="GJ39" s="0"/>
      <c r="GK39" s="0"/>
      <c r="GL39" s="0"/>
      <c r="GM39" s="0"/>
      <c r="GN39" s="0"/>
      <c r="GO39" s="0"/>
      <c r="GP39" s="0"/>
      <c r="GQ39" s="0"/>
      <c r="GR39" s="0"/>
      <c r="GS39" s="0"/>
      <c r="GT39" s="0"/>
      <c r="GU39" s="0"/>
      <c r="GV39" s="0"/>
      <c r="GW39" s="0"/>
      <c r="GX39" s="0"/>
      <c r="GY39" s="0"/>
      <c r="GZ39" s="0"/>
      <c r="HA39" s="0"/>
      <c r="HB39" s="0"/>
      <c r="HC39" s="0"/>
      <c r="HD39" s="0"/>
      <c r="HE39" s="0"/>
      <c r="HF39" s="0"/>
      <c r="HG39" s="0"/>
      <c r="HH39" s="0"/>
      <c r="HI39" s="0"/>
      <c r="HJ39" s="0"/>
      <c r="HK39" s="0"/>
      <c r="HL39" s="0"/>
      <c r="HM39" s="0"/>
      <c r="HN39" s="0"/>
      <c r="HO39" s="0"/>
      <c r="HP39" s="0"/>
      <c r="HQ39" s="0"/>
      <c r="HR39" s="0"/>
      <c r="HS39" s="0"/>
      <c r="HT39" s="0"/>
      <c r="HU39" s="0"/>
      <c r="HV39" s="0"/>
      <c r="HW39" s="0"/>
      <c r="HX39" s="0"/>
      <c r="HY39" s="0"/>
      <c r="HZ39" s="0"/>
      <c r="IA39" s="0"/>
      <c r="IB39" s="0"/>
      <c r="IC39" s="0"/>
      <c r="ID39" s="0"/>
      <c r="IE39" s="0"/>
      <c r="IF39" s="0"/>
      <c r="IG39" s="0"/>
      <c r="IH39" s="0"/>
      <c r="II39" s="0"/>
      <c r="IJ39" s="0"/>
      <c r="IK39" s="0"/>
      <c r="IL39" s="0"/>
      <c r="IM39" s="0"/>
      <c r="IN39" s="0"/>
      <c r="IO39" s="0"/>
      <c r="IP39" s="0"/>
      <c r="IQ39" s="0"/>
      <c r="IR39" s="0"/>
      <c r="IS39" s="0"/>
      <c r="IT39" s="0"/>
      <c r="IU39" s="0"/>
      <c r="IV39" s="0"/>
      <c r="IW39" s="0"/>
    </row>
    <row r="40" customFormat="false" ht="11.1" hidden="false" customHeight="true" outlineLevel="0" collapsed="false">
      <c r="A40" s="118" t="n">
        <v>29</v>
      </c>
      <c r="B40" s="168" t="n">
        <v>6868.77</v>
      </c>
      <c r="C40" s="112" t="n">
        <v>184558</v>
      </c>
      <c r="D40" s="117" t="n">
        <f aca="false">C40-C39</f>
        <v>-496</v>
      </c>
      <c r="E40" s="112" t="n">
        <f aca="false">C40-152000</f>
        <v>32558</v>
      </c>
      <c r="F40" s="180" t="n">
        <f aca="false">D40/$D$2</f>
        <v>-250.063019914293</v>
      </c>
      <c r="G40" s="111" t="n">
        <v>295</v>
      </c>
      <c r="H40" s="113" t="n">
        <v>0</v>
      </c>
      <c r="I40" s="111" t="n">
        <f aca="false">G40+H40</f>
        <v>295</v>
      </c>
      <c r="J40" s="181" t="n">
        <f aca="false">IF(L40&gt;0,L40,0)</f>
        <v>0</v>
      </c>
      <c r="K40" s="111" t="n">
        <f aca="false">I40+J40</f>
        <v>295</v>
      </c>
      <c r="L40" s="111" t="n">
        <f aca="false">F40-(I40-AA40)</f>
        <v>-88.4230199142929</v>
      </c>
      <c r="M40" s="182" t="n">
        <v>166</v>
      </c>
      <c r="N40" s="196" t="n">
        <v>0</v>
      </c>
      <c r="O40" s="111" t="n">
        <f aca="false">13.99*1.05</f>
        <v>14.6895</v>
      </c>
      <c r="P40" s="115" t="n">
        <v>1.88</v>
      </c>
      <c r="Q40" s="245" t="n">
        <v>4.2</v>
      </c>
      <c r="R40" s="227" t="n">
        <v>2.9</v>
      </c>
      <c r="S40" s="111" t="n">
        <v>125</v>
      </c>
      <c r="T40" s="111" t="n">
        <v>67</v>
      </c>
      <c r="U40" s="111" t="n">
        <f aca="false">M40-N40-O40-P40-Q40-R40+S40+T40</f>
        <v>334.3305</v>
      </c>
      <c r="V40" s="112" t="n">
        <f aca="false">V39+AH40-(AI40/1.9835)</f>
        <v>2010.41846607222</v>
      </c>
      <c r="W40" s="112"/>
      <c r="X40" s="111" t="n">
        <v>76.64</v>
      </c>
      <c r="Y40" s="111" t="n">
        <v>22</v>
      </c>
      <c r="Z40" s="112" t="n">
        <f aca="false">Z39-Y40</f>
        <v>4509.49231157046</v>
      </c>
      <c r="AA40" s="6" t="n">
        <f aca="false">M40+S40+T40+X40+Y40</f>
        <v>456.64</v>
      </c>
      <c r="AB40" s="111" t="n">
        <f aca="false">IF(L40&lt;0,L40*-1,0)</f>
        <v>88.4230199142929</v>
      </c>
      <c r="AC40" s="111" t="n">
        <f aca="false">AA40+AB40</f>
        <v>545.063019914293</v>
      </c>
      <c r="AD40" s="161" t="n">
        <v>0</v>
      </c>
      <c r="AE40" s="117" t="n">
        <v>82</v>
      </c>
      <c r="AF40" s="167" t="n">
        <v>53</v>
      </c>
      <c r="AG40" s="118" t="n">
        <v>0</v>
      </c>
      <c r="AH40" s="373" t="n">
        <f aca="false">(I40-P40-Q40)-(U40)</f>
        <v>-45.4105</v>
      </c>
      <c r="AI40" s="10" t="n">
        <f aca="false">23.5*(V39*1.9835-U40*1.9835)/E40</f>
        <v>2.46639465414175</v>
      </c>
      <c r="AJ40" s="376"/>
      <c r="AK40" s="0"/>
      <c r="AL40" s="0"/>
      <c r="AM40" s="0"/>
      <c r="AN40" s="0"/>
      <c r="AO40" s="0"/>
      <c r="AP40" s="0"/>
      <c r="AQ40" s="0"/>
      <c r="AR40" s="0"/>
      <c r="AS40" s="0"/>
      <c r="AT40" s="0"/>
      <c r="AU40" s="0"/>
      <c r="AV40" s="0"/>
      <c r="AW40" s="0"/>
      <c r="AX40" s="0"/>
      <c r="AY40" s="0"/>
      <c r="AZ40" s="0"/>
      <c r="BA40" s="0"/>
      <c r="BB40" s="0"/>
      <c r="BC40" s="0"/>
      <c r="BD40" s="0"/>
      <c r="BE40" s="0"/>
      <c r="BF40" s="0"/>
      <c r="BG40" s="0"/>
      <c r="BH40" s="0"/>
      <c r="BI40" s="0"/>
      <c r="BJ40" s="0"/>
      <c r="BK40" s="0"/>
      <c r="BL40" s="0"/>
      <c r="BM40" s="0"/>
      <c r="BN40" s="0"/>
      <c r="BO40" s="0"/>
      <c r="BP40" s="0"/>
      <c r="BQ40" s="0"/>
      <c r="BR40" s="0"/>
      <c r="BS40" s="0"/>
      <c r="BT40" s="0"/>
      <c r="BU40" s="0"/>
      <c r="BV40" s="0"/>
      <c r="BW40" s="0"/>
      <c r="BX40" s="0"/>
      <c r="BY40" s="0"/>
      <c r="BZ40" s="0"/>
      <c r="CA40" s="0"/>
      <c r="CB40" s="0"/>
      <c r="CC40" s="0"/>
      <c r="CD40" s="0"/>
      <c r="CE40" s="0"/>
      <c r="CF40" s="0"/>
      <c r="CG40" s="0"/>
      <c r="CH40" s="0"/>
      <c r="CI40" s="0"/>
      <c r="CJ40" s="0"/>
      <c r="CK40" s="0"/>
      <c r="CL40" s="0"/>
      <c r="CM40" s="0"/>
      <c r="CN40" s="0"/>
      <c r="CO40" s="0"/>
      <c r="CP40" s="0"/>
      <c r="CQ40" s="0"/>
      <c r="CR40" s="0"/>
      <c r="CS40" s="0"/>
      <c r="CT40" s="0"/>
      <c r="CU40" s="0"/>
      <c r="CV40" s="0"/>
      <c r="CW40" s="0"/>
      <c r="CX40" s="0"/>
      <c r="CY40" s="0"/>
      <c r="CZ40" s="0"/>
      <c r="DA40" s="0"/>
      <c r="DB40" s="0"/>
      <c r="DC40" s="0"/>
      <c r="DD40" s="0"/>
      <c r="DE40" s="0"/>
      <c r="DF40" s="0"/>
      <c r="DG40" s="0"/>
      <c r="DH40" s="0"/>
      <c r="DI40" s="0"/>
      <c r="DJ40" s="0"/>
      <c r="DK40" s="0"/>
      <c r="DL40" s="0"/>
      <c r="DM40" s="0"/>
      <c r="DN40" s="0"/>
      <c r="DO40" s="0"/>
      <c r="DP40" s="0"/>
      <c r="DQ40" s="0"/>
      <c r="DR40" s="0"/>
      <c r="DS40" s="0"/>
      <c r="DT40" s="0"/>
      <c r="DU40" s="0"/>
      <c r="DV40" s="0"/>
      <c r="DW40" s="0"/>
      <c r="DX40" s="0"/>
      <c r="DY40" s="0"/>
      <c r="DZ40" s="0"/>
      <c r="EA40" s="0"/>
      <c r="EB40" s="0"/>
      <c r="EC40" s="0"/>
      <c r="ED40" s="0"/>
      <c r="EE40" s="0"/>
      <c r="EF40" s="0"/>
      <c r="EG40" s="0"/>
      <c r="EH40" s="0"/>
      <c r="EI40" s="0"/>
      <c r="EJ40" s="0"/>
      <c r="EK40" s="0"/>
      <c r="EL40" s="0"/>
      <c r="EM40" s="0"/>
      <c r="EN40" s="0"/>
      <c r="EO40" s="0"/>
      <c r="EP40" s="0"/>
      <c r="EQ40" s="0"/>
      <c r="ER40" s="0"/>
      <c r="ES40" s="0"/>
      <c r="ET40" s="0"/>
      <c r="EU40" s="0"/>
      <c r="EV40" s="0"/>
      <c r="EW40" s="0"/>
      <c r="EX40" s="0"/>
      <c r="EY40" s="0"/>
      <c r="EZ40" s="0"/>
      <c r="FA40" s="0"/>
      <c r="FB40" s="0"/>
      <c r="FC40" s="0"/>
      <c r="FD40" s="0"/>
      <c r="FE40" s="0"/>
      <c r="FF40" s="0"/>
      <c r="FG40" s="0"/>
      <c r="FH40" s="0"/>
      <c r="FI40" s="0"/>
      <c r="FJ40" s="0"/>
      <c r="FK40" s="0"/>
      <c r="FL40" s="0"/>
      <c r="FM40" s="0"/>
      <c r="FN40" s="0"/>
      <c r="FO40" s="0"/>
      <c r="FP40" s="0"/>
      <c r="FQ40" s="0"/>
      <c r="FR40" s="0"/>
      <c r="FS40" s="0"/>
      <c r="FT40" s="0"/>
      <c r="FU40" s="0"/>
      <c r="FV40" s="0"/>
      <c r="FW40" s="0"/>
      <c r="FX40" s="0"/>
      <c r="FY40" s="0"/>
      <c r="FZ40" s="0"/>
      <c r="GA40" s="0"/>
      <c r="GB40" s="0"/>
      <c r="GC40" s="0"/>
      <c r="GD40" s="0"/>
      <c r="GE40" s="0"/>
      <c r="GF40" s="0"/>
      <c r="GG40" s="0"/>
      <c r="GH40" s="0"/>
      <c r="GI40" s="0"/>
      <c r="GJ40" s="0"/>
      <c r="GK40" s="0"/>
      <c r="GL40" s="0"/>
      <c r="GM40" s="0"/>
      <c r="GN40" s="0"/>
      <c r="GO40" s="0"/>
      <c r="GP40" s="0"/>
      <c r="GQ40" s="0"/>
      <c r="GR40" s="0"/>
      <c r="GS40" s="0"/>
      <c r="GT40" s="0"/>
      <c r="GU40" s="0"/>
      <c r="GV40" s="0"/>
      <c r="GW40" s="0"/>
      <c r="GX40" s="0"/>
      <c r="GY40" s="0"/>
      <c r="GZ40" s="0"/>
      <c r="HA40" s="0"/>
      <c r="HB40" s="0"/>
      <c r="HC40" s="0"/>
      <c r="HD40" s="0"/>
      <c r="HE40" s="0"/>
      <c r="HF40" s="0"/>
      <c r="HG40" s="0"/>
      <c r="HH40" s="0"/>
      <c r="HI40" s="0"/>
      <c r="HJ40" s="0"/>
      <c r="HK40" s="0"/>
      <c r="HL40" s="0"/>
      <c r="HM40" s="0"/>
      <c r="HN40" s="0"/>
      <c r="HO40" s="0"/>
      <c r="HP40" s="0"/>
      <c r="HQ40" s="0"/>
      <c r="HR40" s="0"/>
      <c r="HS40" s="0"/>
      <c r="HT40" s="0"/>
      <c r="HU40" s="0"/>
      <c r="HV40" s="0"/>
      <c r="HW40" s="0"/>
      <c r="HX40" s="0"/>
      <c r="HY40" s="0"/>
      <c r="HZ40" s="0"/>
      <c r="IA40" s="0"/>
      <c r="IB40" s="0"/>
      <c r="IC40" s="0"/>
      <c r="ID40" s="0"/>
      <c r="IE40" s="0"/>
      <c r="IF40" s="0"/>
      <c r="IG40" s="0"/>
      <c r="IH40" s="0"/>
      <c r="II40" s="0"/>
      <c r="IJ40" s="0"/>
      <c r="IK40" s="0"/>
      <c r="IL40" s="0"/>
      <c r="IM40" s="0"/>
      <c r="IN40" s="0"/>
      <c r="IO40" s="0"/>
      <c r="IP40" s="0"/>
      <c r="IQ40" s="0"/>
      <c r="IR40" s="0"/>
      <c r="IS40" s="0"/>
      <c r="IT40" s="0"/>
      <c r="IU40" s="0"/>
      <c r="IV40" s="0"/>
      <c r="IW40" s="0"/>
    </row>
    <row r="41" customFormat="false" ht="11.1" hidden="false" customHeight="true" outlineLevel="0" collapsed="false">
      <c r="A41" s="118" t="n">
        <v>30</v>
      </c>
      <c r="B41" s="168" t="n">
        <v>6868.57</v>
      </c>
      <c r="C41" s="112" t="n">
        <v>184037</v>
      </c>
      <c r="D41" s="117" t="n">
        <f aca="false">C41-C40</f>
        <v>-521</v>
      </c>
      <c r="E41" s="112" t="n">
        <f aca="false">C41-152000</f>
        <v>32037</v>
      </c>
      <c r="F41" s="180" t="n">
        <f aca="false">D41/$D$2</f>
        <v>-262.667002772876</v>
      </c>
      <c r="G41" s="111" t="n">
        <v>265</v>
      </c>
      <c r="H41" s="113" t="n">
        <v>0</v>
      </c>
      <c r="I41" s="111" t="n">
        <f aca="false">G41+H41</f>
        <v>265</v>
      </c>
      <c r="J41" s="181" t="n">
        <f aca="false">IF(L41&gt;0,L41,0)</f>
        <v>0</v>
      </c>
      <c r="K41" s="111" t="n">
        <f aca="false">I41+J41</f>
        <v>265</v>
      </c>
      <c r="L41" s="111" t="n">
        <f aca="false">F41-(I41-AA41)</f>
        <v>-86.6570027728762</v>
      </c>
      <c r="M41" s="182" t="n">
        <v>176</v>
      </c>
      <c r="N41" s="196" t="n">
        <v>0</v>
      </c>
      <c r="O41" s="111" t="n">
        <f aca="false">19.4*1.05</f>
        <v>20.37</v>
      </c>
      <c r="P41" s="115" t="n">
        <v>1.92</v>
      </c>
      <c r="Q41" s="245" t="n">
        <v>4.2</v>
      </c>
      <c r="R41" s="227" t="n">
        <v>2.79</v>
      </c>
      <c r="S41" s="111" t="n">
        <v>124</v>
      </c>
      <c r="T41" s="111" t="n">
        <v>67</v>
      </c>
      <c r="U41" s="111" t="n">
        <f aca="false">M41-N41-O41-P41-Q41-R41+S41+T41</f>
        <v>337.72</v>
      </c>
      <c r="V41" s="112" t="n">
        <f aca="false">V40+AH41-(AI41/1.9835)</f>
        <v>1930.3514968194</v>
      </c>
      <c r="W41" s="112"/>
      <c r="X41" s="111" t="n">
        <v>56.01</v>
      </c>
      <c r="Y41" s="111" t="n">
        <v>18</v>
      </c>
      <c r="Z41" s="112" t="n">
        <f aca="false">Z40-Y41</f>
        <v>4491.49231157046</v>
      </c>
      <c r="AA41" s="6" t="n">
        <f aca="false">M41+S41+T41+X41+Y41</f>
        <v>441.01</v>
      </c>
      <c r="AB41" s="111" t="n">
        <f aca="false">IF(L41&lt;0,L41*-1,0)</f>
        <v>86.6570027728762</v>
      </c>
      <c r="AC41" s="111" t="n">
        <f aca="false">AA41+AB41</f>
        <v>527.667002772876</v>
      </c>
      <c r="AD41" s="161" t="n">
        <v>0.13</v>
      </c>
      <c r="AE41" s="117" t="n">
        <v>77</v>
      </c>
      <c r="AF41" s="167" t="n">
        <v>53</v>
      </c>
      <c r="AG41" s="118" t="n">
        <v>0</v>
      </c>
      <c r="AH41" s="373" t="n">
        <f aca="false">(I41-P41-Q41)-(U41)</f>
        <v>-78.84</v>
      </c>
      <c r="AI41" s="10" t="n">
        <f aca="false">23.5*(V40*1.9835-U41*1.9835)/E41</f>
        <v>2.43369351297484</v>
      </c>
      <c r="AJ41" s="376"/>
      <c r="AK41" s="0"/>
      <c r="AL41" s="0"/>
      <c r="AM41" s="0"/>
      <c r="AN41" s="0"/>
      <c r="AO41" s="0"/>
      <c r="AP41" s="0"/>
      <c r="AQ41" s="0"/>
      <c r="AR41" s="0"/>
      <c r="AS41" s="0"/>
      <c r="AT41" s="0"/>
      <c r="AU41" s="0"/>
      <c r="AV41" s="0"/>
      <c r="AW41" s="0"/>
      <c r="AX41" s="0"/>
      <c r="AY41" s="0"/>
      <c r="AZ41" s="0"/>
      <c r="BA41" s="0"/>
      <c r="BB41" s="0"/>
      <c r="BC41" s="0"/>
      <c r="BD41" s="0"/>
      <c r="BE41" s="0"/>
      <c r="BF41" s="0"/>
      <c r="BG41" s="0"/>
      <c r="BH41" s="0"/>
      <c r="BI41" s="0"/>
      <c r="BJ41" s="0"/>
      <c r="BK41" s="0"/>
      <c r="BL41" s="0"/>
      <c r="BM41" s="0"/>
      <c r="BN41" s="0"/>
      <c r="BO41" s="0"/>
      <c r="BP41" s="0"/>
      <c r="BQ41" s="0"/>
      <c r="BR41" s="0"/>
      <c r="BS41" s="0"/>
      <c r="BT41" s="0"/>
      <c r="BU41" s="0"/>
      <c r="BV41" s="0"/>
      <c r="BW41" s="0"/>
      <c r="BX41" s="0"/>
      <c r="BY41" s="0"/>
      <c r="BZ41" s="0"/>
      <c r="CA41" s="0"/>
      <c r="CB41" s="0"/>
      <c r="CC41" s="0"/>
      <c r="CD41" s="0"/>
      <c r="CE41" s="0"/>
      <c r="CF41" s="0"/>
      <c r="CG41" s="0"/>
      <c r="CH41" s="0"/>
      <c r="CI41" s="0"/>
      <c r="CJ41" s="0"/>
      <c r="CK41" s="0"/>
      <c r="CL41" s="0"/>
      <c r="CM41" s="0"/>
      <c r="CN41" s="0"/>
      <c r="CO41" s="0"/>
      <c r="CP41" s="0"/>
      <c r="CQ41" s="0"/>
      <c r="CR41" s="0"/>
      <c r="CS41" s="0"/>
      <c r="CT41" s="0"/>
      <c r="CU41" s="0"/>
      <c r="CV41" s="0"/>
      <c r="CW41" s="0"/>
      <c r="CX41" s="0"/>
      <c r="CY41" s="0"/>
      <c r="CZ41" s="0"/>
      <c r="DA41" s="0"/>
      <c r="DB41" s="0"/>
      <c r="DC41" s="0"/>
      <c r="DD41" s="0"/>
      <c r="DE41" s="0"/>
      <c r="DF41" s="0"/>
      <c r="DG41" s="0"/>
      <c r="DH41" s="0"/>
      <c r="DI41" s="0"/>
      <c r="DJ41" s="0"/>
      <c r="DK41" s="0"/>
      <c r="DL41" s="0"/>
      <c r="DM41" s="0"/>
      <c r="DN41" s="0"/>
      <c r="DO41" s="0"/>
      <c r="DP41" s="0"/>
      <c r="DQ41" s="0"/>
      <c r="DR41" s="0"/>
      <c r="DS41" s="0"/>
      <c r="DT41" s="0"/>
      <c r="DU41" s="0"/>
      <c r="DV41" s="0"/>
      <c r="DW41" s="0"/>
      <c r="DX41" s="0"/>
      <c r="DY41" s="0"/>
      <c r="DZ41" s="0"/>
      <c r="EA41" s="0"/>
      <c r="EB41" s="0"/>
      <c r="EC41" s="0"/>
      <c r="ED41" s="0"/>
      <c r="EE41" s="0"/>
      <c r="EF41" s="0"/>
      <c r="EG41" s="0"/>
      <c r="EH41" s="0"/>
      <c r="EI41" s="0"/>
      <c r="EJ41" s="0"/>
      <c r="EK41" s="0"/>
      <c r="EL41" s="0"/>
      <c r="EM41" s="0"/>
      <c r="EN41" s="0"/>
      <c r="EO41" s="0"/>
      <c r="EP41" s="0"/>
      <c r="EQ41" s="0"/>
      <c r="ER41" s="0"/>
      <c r="ES41" s="0"/>
      <c r="ET41" s="0"/>
      <c r="EU41" s="0"/>
      <c r="EV41" s="0"/>
      <c r="EW41" s="0"/>
      <c r="EX41" s="0"/>
      <c r="EY41" s="0"/>
      <c r="EZ41" s="0"/>
      <c r="FA41" s="0"/>
      <c r="FB41" s="0"/>
      <c r="FC41" s="0"/>
      <c r="FD41" s="0"/>
      <c r="FE41" s="0"/>
      <c r="FF41" s="0"/>
      <c r="FG41" s="0"/>
      <c r="FH41" s="0"/>
      <c r="FI41" s="0"/>
      <c r="FJ41" s="0"/>
      <c r="FK41" s="0"/>
      <c r="FL41" s="0"/>
      <c r="FM41" s="0"/>
      <c r="FN41" s="0"/>
      <c r="FO41" s="0"/>
      <c r="FP41" s="0"/>
      <c r="FQ41" s="0"/>
      <c r="FR41" s="0"/>
      <c r="FS41" s="0"/>
      <c r="FT41" s="0"/>
      <c r="FU41" s="0"/>
      <c r="FV41" s="0"/>
      <c r="FW41" s="0"/>
      <c r="FX41" s="0"/>
      <c r="FY41" s="0"/>
      <c r="FZ41" s="0"/>
      <c r="GA41" s="0"/>
      <c r="GB41" s="0"/>
      <c r="GC41" s="0"/>
      <c r="GD41" s="0"/>
      <c r="GE41" s="0"/>
      <c r="GF41" s="0"/>
      <c r="GG41" s="0"/>
      <c r="GH41" s="0"/>
      <c r="GI41" s="0"/>
      <c r="GJ41" s="0"/>
      <c r="GK41" s="0"/>
      <c r="GL41" s="0"/>
      <c r="GM41" s="0"/>
      <c r="GN41" s="0"/>
      <c r="GO41" s="0"/>
      <c r="GP41" s="0"/>
      <c r="GQ41" s="0"/>
      <c r="GR41" s="0"/>
      <c r="GS41" s="0"/>
      <c r="GT41" s="0"/>
      <c r="GU41" s="0"/>
      <c r="GV41" s="0"/>
      <c r="GW41" s="0"/>
      <c r="GX41" s="0"/>
      <c r="GY41" s="0"/>
      <c r="GZ41" s="0"/>
      <c r="HA41" s="0"/>
      <c r="HB41" s="0"/>
      <c r="HC41" s="0"/>
      <c r="HD41" s="0"/>
      <c r="HE41" s="0"/>
      <c r="HF41" s="0"/>
      <c r="HG41" s="0"/>
      <c r="HH41" s="0"/>
      <c r="HI41" s="0"/>
      <c r="HJ41" s="0"/>
      <c r="HK41" s="0"/>
      <c r="HL41" s="0"/>
      <c r="HM41" s="0"/>
      <c r="HN41" s="0"/>
      <c r="HO41" s="0"/>
      <c r="HP41" s="0"/>
      <c r="HQ41" s="0"/>
      <c r="HR41" s="0"/>
      <c r="HS41" s="0"/>
      <c r="HT41" s="0"/>
      <c r="HU41" s="0"/>
      <c r="HV41" s="0"/>
      <c r="HW41" s="0"/>
      <c r="HX41" s="0"/>
      <c r="HY41" s="0"/>
      <c r="HZ41" s="0"/>
      <c r="IA41" s="0"/>
      <c r="IB41" s="0"/>
      <c r="IC41" s="0"/>
      <c r="ID41" s="0"/>
      <c r="IE41" s="0"/>
      <c r="IF41" s="0"/>
      <c r="IG41" s="0"/>
      <c r="IH41" s="0"/>
      <c r="II41" s="0"/>
      <c r="IJ41" s="0"/>
      <c r="IK41" s="0"/>
      <c r="IL41" s="0"/>
      <c r="IM41" s="0"/>
      <c r="IN41" s="0"/>
      <c r="IO41" s="0"/>
      <c r="IP41" s="0"/>
      <c r="IQ41" s="0"/>
      <c r="IR41" s="0"/>
      <c r="IS41" s="0"/>
      <c r="IT41" s="0"/>
      <c r="IU41" s="0"/>
      <c r="IV41" s="0"/>
      <c r="IW41" s="0"/>
    </row>
    <row r="42" customFormat="false" ht="11.25" hidden="false" customHeight="true" outlineLevel="0" collapsed="false">
      <c r="A42" s="118" t="n">
        <v>31</v>
      </c>
      <c r="B42" s="168" t="n">
        <v>6868.42</v>
      </c>
      <c r="C42" s="112" t="n">
        <v>183645</v>
      </c>
      <c r="D42" s="117" t="n">
        <f aca="false">C42-C41</f>
        <v>-392</v>
      </c>
      <c r="E42" s="112" t="n">
        <f aca="false">C42-152000</f>
        <v>31645</v>
      </c>
      <c r="F42" s="180" t="n">
        <f aca="false">D42/$D$2</f>
        <v>-197.630451222586</v>
      </c>
      <c r="G42" s="111" t="n">
        <v>287</v>
      </c>
      <c r="H42" s="113" t="n">
        <v>0</v>
      </c>
      <c r="I42" s="111" t="n">
        <f aca="false">G42+H42</f>
        <v>287</v>
      </c>
      <c r="J42" s="181" t="n">
        <f aca="false">IF(L42&gt;0,L42,0)</f>
        <v>0</v>
      </c>
      <c r="K42" s="111" t="n">
        <f aca="false">I42+J42</f>
        <v>287</v>
      </c>
      <c r="L42" s="111" t="n">
        <f aca="false">F42-(I42-AA42)</f>
        <v>-73.6304512225864</v>
      </c>
      <c r="M42" s="182" t="n">
        <v>161</v>
      </c>
      <c r="N42" s="196" t="n">
        <v>0</v>
      </c>
      <c r="O42" s="111" t="n">
        <f aca="false">22.74*1.05</f>
        <v>23.877</v>
      </c>
      <c r="P42" s="115" t="n">
        <v>2.06</v>
      </c>
      <c r="Q42" s="245" t="n">
        <v>4.2</v>
      </c>
      <c r="R42" s="227" t="n">
        <v>2.73</v>
      </c>
      <c r="S42" s="111" t="n">
        <v>118</v>
      </c>
      <c r="T42" s="111" t="n">
        <v>67</v>
      </c>
      <c r="U42" s="111" t="n">
        <f aca="false">M42-N42-O42-P42-Q42-R42+S42+T42</f>
        <v>313.133</v>
      </c>
      <c r="V42" s="112" t="n">
        <f aca="false">V41+AH42-(AI42/1.9835)</f>
        <v>1896.75752874624</v>
      </c>
      <c r="W42" s="112"/>
      <c r="X42" s="111" t="n">
        <v>46</v>
      </c>
      <c r="Y42" s="111" t="n">
        <v>19</v>
      </c>
      <c r="Z42" s="112" t="n">
        <f aca="false">Z41-Y42</f>
        <v>4472.49231157046</v>
      </c>
      <c r="AA42" s="6" t="n">
        <f aca="false">M42+S42+T42+X42+Y42</f>
        <v>411</v>
      </c>
      <c r="AB42" s="111" t="n">
        <f aca="false">IF(L42&lt;0,L42*-1,0)</f>
        <v>73.6304512225864</v>
      </c>
      <c r="AC42" s="111" t="n">
        <f aca="false">AA42+AB42</f>
        <v>484.630451222586</v>
      </c>
      <c r="AD42" s="161" t="n">
        <v>0</v>
      </c>
      <c r="AE42" s="117" t="n">
        <v>81</v>
      </c>
      <c r="AF42" s="167" t="n">
        <v>51</v>
      </c>
      <c r="AG42" s="118" t="n">
        <v>0</v>
      </c>
      <c r="AH42" s="373" t="n">
        <f aca="false">(I42-P42-Q42)-(U42)</f>
        <v>-32.393</v>
      </c>
      <c r="AI42" s="10" t="n">
        <f aca="false">23.5*(V41*1.9835-U42*1.9835)/E42</f>
        <v>2.38212017311961</v>
      </c>
      <c r="AJ42" s="376"/>
      <c r="AK42" s="0"/>
      <c r="AL42" s="0"/>
      <c r="AM42" s="0"/>
      <c r="AN42" s="0"/>
      <c r="AO42" s="0"/>
      <c r="AP42" s="0"/>
      <c r="AQ42" s="0"/>
      <c r="AR42" s="0"/>
      <c r="AS42" s="0"/>
      <c r="AT42" s="0"/>
      <c r="AU42" s="0"/>
      <c r="AV42" s="0"/>
      <c r="AW42" s="0"/>
      <c r="AX42" s="0"/>
      <c r="AY42" s="0"/>
      <c r="AZ42" s="0"/>
      <c r="BA42" s="0"/>
      <c r="BB42" s="0"/>
      <c r="BC42" s="0"/>
      <c r="BD42" s="0"/>
      <c r="BE42" s="0"/>
      <c r="BF42" s="0"/>
      <c r="BG42" s="0"/>
      <c r="BH42" s="0"/>
      <c r="BI42" s="0"/>
      <c r="BJ42" s="0"/>
      <c r="BK42" s="0"/>
      <c r="BL42" s="0"/>
      <c r="BM42" s="0"/>
      <c r="BN42" s="0"/>
      <c r="BO42" s="0"/>
      <c r="BP42" s="0"/>
      <c r="BQ42" s="0"/>
      <c r="BR42" s="0"/>
      <c r="BS42" s="0"/>
      <c r="BT42" s="0"/>
      <c r="BU42" s="0"/>
      <c r="BV42" s="0"/>
      <c r="BW42" s="0"/>
      <c r="BX42" s="0"/>
      <c r="BY42" s="0"/>
      <c r="BZ42" s="0"/>
      <c r="CA42" s="0"/>
      <c r="CB42" s="0"/>
      <c r="CC42" s="0"/>
      <c r="CD42" s="0"/>
      <c r="CE42" s="0"/>
      <c r="CF42" s="0"/>
      <c r="CG42" s="0"/>
      <c r="CH42" s="0"/>
      <c r="CI42" s="0"/>
      <c r="CJ42" s="0"/>
      <c r="CK42" s="0"/>
      <c r="CL42" s="0"/>
      <c r="CM42" s="0"/>
      <c r="CN42" s="0"/>
      <c r="CO42" s="0"/>
      <c r="CP42" s="0"/>
      <c r="CQ42" s="0"/>
      <c r="CR42" s="0"/>
      <c r="CS42" s="0"/>
      <c r="CT42" s="0"/>
      <c r="CU42" s="0"/>
      <c r="CV42" s="0"/>
      <c r="CW42" s="0"/>
      <c r="CX42" s="0"/>
      <c r="CY42" s="0"/>
      <c r="CZ42" s="0"/>
      <c r="DA42" s="0"/>
      <c r="DB42" s="0"/>
      <c r="DC42" s="0"/>
      <c r="DD42" s="0"/>
      <c r="DE42" s="0"/>
      <c r="DF42" s="0"/>
      <c r="DG42" s="0"/>
      <c r="DH42" s="0"/>
      <c r="DI42" s="0"/>
      <c r="DJ42" s="0"/>
      <c r="DK42" s="0"/>
      <c r="DL42" s="0"/>
      <c r="DM42" s="0"/>
      <c r="DN42" s="0"/>
      <c r="DO42" s="0"/>
      <c r="DP42" s="0"/>
      <c r="DQ42" s="0"/>
      <c r="DR42" s="0"/>
      <c r="DS42" s="0"/>
      <c r="DT42" s="0"/>
      <c r="DU42" s="0"/>
      <c r="DV42" s="0"/>
      <c r="DW42" s="0"/>
      <c r="DX42" s="0"/>
      <c r="DY42" s="0"/>
      <c r="DZ42" s="0"/>
      <c r="EA42" s="0"/>
      <c r="EB42" s="0"/>
      <c r="EC42" s="0"/>
      <c r="ED42" s="0"/>
      <c r="EE42" s="0"/>
      <c r="EF42" s="0"/>
      <c r="EG42" s="0"/>
      <c r="EH42" s="0"/>
      <c r="EI42" s="0"/>
      <c r="EJ42" s="0"/>
      <c r="EK42" s="0"/>
      <c r="EL42" s="0"/>
      <c r="EM42" s="0"/>
      <c r="EN42" s="0"/>
      <c r="EO42" s="0"/>
      <c r="EP42" s="0"/>
      <c r="EQ42" s="0"/>
      <c r="ER42" s="0"/>
      <c r="ES42" s="0"/>
      <c r="ET42" s="0"/>
      <c r="EU42" s="0"/>
      <c r="EV42" s="0"/>
      <c r="EW42" s="0"/>
      <c r="EX42" s="0"/>
      <c r="EY42" s="0"/>
      <c r="EZ42" s="0"/>
      <c r="FA42" s="0"/>
      <c r="FB42" s="0"/>
      <c r="FC42" s="0"/>
      <c r="FD42" s="0"/>
      <c r="FE42" s="0"/>
      <c r="FF42" s="0"/>
      <c r="FG42" s="0"/>
      <c r="FH42" s="0"/>
      <c r="FI42" s="0"/>
      <c r="FJ42" s="0"/>
      <c r="FK42" s="0"/>
      <c r="FL42" s="0"/>
      <c r="FM42" s="0"/>
      <c r="FN42" s="0"/>
      <c r="FO42" s="0"/>
      <c r="FP42" s="0"/>
      <c r="FQ42" s="0"/>
      <c r="FR42" s="0"/>
      <c r="FS42" s="0"/>
      <c r="FT42" s="0"/>
      <c r="FU42" s="0"/>
      <c r="FV42" s="0"/>
      <c r="FW42" s="0"/>
      <c r="FX42" s="0"/>
      <c r="FY42" s="0"/>
      <c r="FZ42" s="0"/>
      <c r="GA42" s="0"/>
      <c r="GB42" s="0"/>
      <c r="GC42" s="0"/>
      <c r="GD42" s="0"/>
      <c r="GE42" s="0"/>
      <c r="GF42" s="0"/>
      <c r="GG42" s="0"/>
      <c r="GH42" s="0"/>
      <c r="GI42" s="0"/>
      <c r="GJ42" s="0"/>
      <c r="GK42" s="0"/>
      <c r="GL42" s="0"/>
      <c r="GM42" s="0"/>
      <c r="GN42" s="0"/>
      <c r="GO42" s="0"/>
      <c r="GP42" s="0"/>
      <c r="GQ42" s="0"/>
      <c r="GR42" s="0"/>
      <c r="GS42" s="0"/>
      <c r="GT42" s="0"/>
      <c r="GU42" s="0"/>
      <c r="GV42" s="0"/>
      <c r="GW42" s="0"/>
      <c r="GX42" s="0"/>
      <c r="GY42" s="0"/>
      <c r="GZ42" s="0"/>
      <c r="HA42" s="0"/>
      <c r="HB42" s="0"/>
      <c r="HC42" s="0"/>
      <c r="HD42" s="0"/>
      <c r="HE42" s="0"/>
      <c r="HF42" s="0"/>
      <c r="HG42" s="0"/>
      <c r="HH42" s="0"/>
      <c r="HI42" s="0"/>
      <c r="HJ42" s="0"/>
      <c r="HK42" s="0"/>
      <c r="HL42" s="0"/>
      <c r="HM42" s="0"/>
      <c r="HN42" s="0"/>
      <c r="HO42" s="0"/>
      <c r="HP42" s="0"/>
      <c r="HQ42" s="0"/>
      <c r="HR42" s="0"/>
      <c r="HS42" s="0"/>
      <c r="HT42" s="0"/>
      <c r="HU42" s="0"/>
      <c r="HV42" s="0"/>
      <c r="HW42" s="0"/>
      <c r="HX42" s="0"/>
      <c r="HY42" s="0"/>
      <c r="HZ42" s="0"/>
      <c r="IA42" s="0"/>
      <c r="IB42" s="0"/>
      <c r="IC42" s="0"/>
      <c r="ID42" s="0"/>
      <c r="IE42" s="0"/>
      <c r="IF42" s="0"/>
      <c r="IG42" s="0"/>
      <c r="IH42" s="0"/>
      <c r="II42" s="0"/>
      <c r="IJ42" s="0"/>
      <c r="IK42" s="0"/>
      <c r="IL42" s="0"/>
      <c r="IM42" s="0"/>
      <c r="IN42" s="0"/>
      <c r="IO42" s="0"/>
      <c r="IP42" s="0"/>
      <c r="IQ42" s="0"/>
      <c r="IR42" s="0"/>
      <c r="IS42" s="0"/>
      <c r="IT42" s="0"/>
      <c r="IU42" s="0"/>
      <c r="IV42" s="0"/>
      <c r="IW42" s="0"/>
    </row>
    <row r="43" customFormat="false" ht="3" hidden="false" customHeight="true" outlineLevel="0" collapsed="false">
      <c r="A43" s="169"/>
      <c r="B43" s="185"/>
      <c r="C43" s="171"/>
      <c r="D43" s="169"/>
      <c r="E43" s="171"/>
      <c r="F43" s="172"/>
      <c r="G43" s="169"/>
      <c r="H43" s="173"/>
      <c r="I43" s="169"/>
      <c r="J43" s="169"/>
      <c r="K43" s="169"/>
      <c r="L43" s="169"/>
      <c r="M43" s="174"/>
      <c r="N43" s="169"/>
      <c r="O43" s="169"/>
      <c r="P43" s="300"/>
      <c r="Q43" s="300"/>
      <c r="R43" s="225"/>
      <c r="S43" s="169"/>
      <c r="T43" s="169"/>
      <c r="U43" s="169" t="n">
        <f aca="false">M43-N43-O43-P43-Q43+S43+T43</f>
        <v>0</v>
      </c>
      <c r="V43" s="171"/>
      <c r="W43" s="171"/>
      <c r="X43" s="169"/>
      <c r="Y43" s="169"/>
      <c r="Z43" s="169"/>
      <c r="AA43" s="169" t="n">
        <f aca="false">N43+O43+U43+X43+Y43</f>
        <v>0</v>
      </c>
      <c r="AB43" s="169"/>
      <c r="AC43" s="169"/>
      <c r="AD43" s="176"/>
      <c r="AE43" s="177"/>
      <c r="AF43" s="178"/>
      <c r="AG43" s="179"/>
      <c r="AH43" s="179"/>
      <c r="AI43" s="301"/>
      <c r="AJ43" s="357"/>
    </row>
    <row r="44" customFormat="false" ht="11.1" hidden="false" customHeight="true" outlineLevel="0" collapsed="false">
      <c r="A44" s="111" t="s">
        <v>54</v>
      </c>
      <c r="B44" s="163"/>
      <c r="C44" s="112"/>
      <c r="D44" s="112"/>
      <c r="E44" s="112"/>
      <c r="F44" s="164" t="n">
        <f aca="false">SUM(F12:F42)</f>
        <v>-11039.5765061759</v>
      </c>
      <c r="G44" s="112" t="n">
        <f aca="false">SUM(G12:G42)</f>
        <v>4681</v>
      </c>
      <c r="H44" s="112" t="n">
        <f aca="false">SUM(H12:H42)</f>
        <v>0.85</v>
      </c>
      <c r="I44" s="112" t="n">
        <f aca="false">SUM(I12:I42)</f>
        <v>4681.85</v>
      </c>
      <c r="J44" s="112" t="n">
        <f aca="false">SUM(J12:J42)</f>
        <v>119.793771111671</v>
      </c>
      <c r="K44" s="112" t="n">
        <f aca="false">SUM(K12:K42)</f>
        <v>4801.64377111167</v>
      </c>
      <c r="L44" s="112" t="n">
        <f aca="false">SUM(L12:L42)</f>
        <v>-1559.16650617595</v>
      </c>
      <c r="M44" s="165" t="n">
        <f aca="false">SUM(M12:M43)</f>
        <v>5250</v>
      </c>
      <c r="N44" s="112" t="n">
        <f aca="false">SUM(N12:N42)</f>
        <v>22.62</v>
      </c>
      <c r="O44" s="112" t="n">
        <f aca="false">SUM(O12:O42)</f>
        <v>878.451</v>
      </c>
      <c r="P44" s="117" t="n">
        <f aca="false">SUM(P12:P42)</f>
        <v>68.61</v>
      </c>
      <c r="Q44" s="117" t="n">
        <f aca="false">SUM(Q12:Q42)</f>
        <v>125.85</v>
      </c>
      <c r="R44" s="377" t="n">
        <f aca="false">SUM(R12:R42)</f>
        <v>88.573</v>
      </c>
      <c r="S44" s="112" t="n">
        <f aca="false">SUM(S12:S42)</f>
        <v>3821</v>
      </c>
      <c r="T44" s="112" t="n">
        <f aca="false">SUM(T12:T42)</f>
        <v>2166</v>
      </c>
      <c r="U44" s="112" t="n">
        <f aca="false">SUM(U12:U43)</f>
        <v>10052.896</v>
      </c>
      <c r="V44" s="112"/>
      <c r="W44" s="112"/>
      <c r="X44" s="112" t="n">
        <f aca="false">SUM(X12:X42)</f>
        <v>2248.26</v>
      </c>
      <c r="Y44" s="112" t="n">
        <f aca="false">SUM(Y12:Y42)</f>
        <v>677</v>
      </c>
      <c r="Z44" s="112"/>
      <c r="AA44" s="112" t="n">
        <f aca="false">SUM(AA12:AA43)</f>
        <v>14162.26</v>
      </c>
      <c r="AB44" s="112" t="n">
        <f aca="false">SUM(AB12:AB42)</f>
        <v>1678.96027728762</v>
      </c>
      <c r="AC44" s="112" t="n">
        <f aca="false">SUM(AC12:AC42)</f>
        <v>15841.2202772876</v>
      </c>
      <c r="AD44" s="161" t="n">
        <f aca="false">SUM(AD12:AD42)</f>
        <v>0.84</v>
      </c>
      <c r="AE44" s="117" t="n">
        <f aca="false">AVERAGE(AE12:AE42)</f>
        <v>84.9677419354839</v>
      </c>
      <c r="AF44" s="167" t="n">
        <f aca="false">AVERAGE(AF12:AF42)</f>
        <v>55.7096774193548</v>
      </c>
      <c r="AG44" s="118" t="s">
        <v>84</v>
      </c>
      <c r="AH44" s="373"/>
      <c r="AI44" s="374" t="n">
        <f aca="false">SUM(AI12:AI42)</f>
        <v>135.070605990492</v>
      </c>
      <c r="AJ44" s="361" t="n">
        <f aca="false">SUM(AJ12:AJ42)</f>
        <v>65.6</v>
      </c>
    </row>
    <row r="45" customFormat="false" ht="11.1" hidden="false" customHeight="true" outlineLevel="0" collapsed="false">
      <c r="A45" s="111" t="s">
        <v>56</v>
      </c>
      <c r="B45" s="163"/>
      <c r="C45" s="112"/>
      <c r="D45" s="112" t="n">
        <f aca="false">SUM(D12:D42)</f>
        <v>-21897</v>
      </c>
      <c r="E45" s="112"/>
      <c r="F45" s="164" t="n">
        <f aca="false">F44*$D$2</f>
        <v>-21897</v>
      </c>
      <c r="G45" s="112" t="n">
        <f aca="false">G44*$D$2</f>
        <v>9284.7635</v>
      </c>
      <c r="H45" s="112" t="n">
        <f aca="false">H44*$D$2</f>
        <v>1.685975</v>
      </c>
      <c r="I45" s="112" t="n">
        <f aca="false">I44*$D$2</f>
        <v>9286.449475</v>
      </c>
      <c r="J45" s="112" t="n">
        <f aca="false">J44*$D$2</f>
        <v>237.610945</v>
      </c>
      <c r="K45" s="112" t="n">
        <f aca="false">K44*$D$2</f>
        <v>9524.06042</v>
      </c>
      <c r="L45" s="112" t="n">
        <f aca="false">L44*$D$2</f>
        <v>-3092.606765</v>
      </c>
      <c r="M45" s="165" t="n">
        <f aca="false">M44*$D$2</f>
        <v>10413.375</v>
      </c>
      <c r="N45" s="112" t="n">
        <f aca="false">N44*$D$2</f>
        <v>44.86677</v>
      </c>
      <c r="O45" s="112" t="n">
        <f aca="false">O44*$D$2</f>
        <v>1742.4075585</v>
      </c>
      <c r="P45" s="117" t="n">
        <f aca="false">P44*$D$2</f>
        <v>136.087935</v>
      </c>
      <c r="Q45" s="117" t="n">
        <f aca="false">Q44*$D$2</f>
        <v>249.623475</v>
      </c>
      <c r="R45" s="377" t="n">
        <f aca="false">R44*$D$2</f>
        <v>175.6845455</v>
      </c>
      <c r="S45" s="112" t="n">
        <f aca="false">S44*$D$2</f>
        <v>7578.9535</v>
      </c>
      <c r="T45" s="112" t="n">
        <f aca="false">T44*$D$2</f>
        <v>4296.261</v>
      </c>
      <c r="U45" s="112" t="n">
        <f aca="false">U44*$D$2</f>
        <v>19939.919216</v>
      </c>
      <c r="V45" s="112"/>
      <c r="W45" s="112"/>
      <c r="X45" s="112" t="n">
        <f aca="false">X44*$D$2</f>
        <v>4459.42371</v>
      </c>
      <c r="Y45" s="112" t="n">
        <f aca="false">Y44*$D$2</f>
        <v>1342.8295</v>
      </c>
      <c r="Z45" s="112"/>
      <c r="AA45" s="112" t="n">
        <f aca="false">AA44*$D$2</f>
        <v>28090.84271</v>
      </c>
      <c r="AB45" s="112" t="n">
        <f aca="false">AB44*$D$2</f>
        <v>3330.21771</v>
      </c>
      <c r="AC45" s="112" t="n">
        <f aca="false">AC44*$D$2</f>
        <v>31421.06042</v>
      </c>
      <c r="AD45" s="161"/>
      <c r="AE45" s="117" t="n">
        <f aca="false">MAX(AE12:AE42)</f>
        <v>92</v>
      </c>
      <c r="AF45" s="167" t="n">
        <f aca="false">MAX(AF12:AF42)</f>
        <v>60</v>
      </c>
      <c r="AG45" s="118" t="s">
        <v>57</v>
      </c>
      <c r="AH45" s="373"/>
      <c r="AI45" s="374" t="n">
        <f aca="false">AI44*$D$2</f>
        <v>267.91254698214</v>
      </c>
      <c r="AJ45" s="361" t="n">
        <f aca="false">AJ44*$D$2</f>
        <v>130.1176</v>
      </c>
    </row>
    <row r="46" customFormat="false" ht="3" hidden="false" customHeight="true" outlineLevel="0" collapsed="false">
      <c r="A46" s="169"/>
      <c r="B46" s="185"/>
      <c r="C46" s="171"/>
      <c r="D46" s="171"/>
      <c r="E46" s="171"/>
      <c r="F46" s="186"/>
      <c r="G46" s="171"/>
      <c r="H46" s="171"/>
      <c r="I46" s="171"/>
      <c r="J46" s="171"/>
      <c r="K46" s="171"/>
      <c r="L46" s="171"/>
      <c r="M46" s="187"/>
      <c r="N46" s="171"/>
      <c r="O46" s="171"/>
      <c r="P46" s="177"/>
      <c r="Q46" s="177"/>
      <c r="R46" s="378"/>
      <c r="S46" s="171"/>
      <c r="T46" s="171"/>
      <c r="U46" s="171"/>
      <c r="V46" s="171"/>
      <c r="W46" s="171"/>
      <c r="X46" s="171"/>
      <c r="Y46" s="171"/>
      <c r="Z46" s="169"/>
      <c r="AA46" s="171"/>
      <c r="AB46" s="171"/>
      <c r="AC46" s="171"/>
      <c r="AD46" s="189"/>
      <c r="AE46" s="171"/>
      <c r="AF46" s="186"/>
      <c r="AG46" s="171"/>
      <c r="AH46" s="379"/>
      <c r="AI46" s="300"/>
      <c r="AJ46" s="357"/>
    </row>
    <row r="47" customFormat="false" ht="11.1" hidden="false" customHeight="true" outlineLevel="0" collapsed="false">
      <c r="A47" s="111" t="s">
        <v>58</v>
      </c>
      <c r="B47" s="163"/>
      <c r="C47" s="112"/>
      <c r="D47" s="112"/>
      <c r="E47" s="112"/>
      <c r="F47" s="164" t="n">
        <f aca="false">F9+F44</f>
        <v>5374.33829089993</v>
      </c>
      <c r="G47" s="112" t="n">
        <f aca="false">G9+G44</f>
        <v>75013</v>
      </c>
      <c r="H47" s="112" t="n">
        <f aca="false">H9+H44</f>
        <v>1045.92</v>
      </c>
      <c r="I47" s="112" t="n">
        <f aca="false">I9+I44</f>
        <v>76058.92</v>
      </c>
      <c r="J47" s="112" t="n">
        <f aca="false">J9+J44</f>
        <v>5732.29479203428</v>
      </c>
      <c r="K47" s="112" t="n">
        <f aca="false">K9+K44</f>
        <v>81791.2147920343</v>
      </c>
      <c r="L47" s="112" t="n">
        <f aca="false">L9+L44</f>
        <v>64.7782908999275</v>
      </c>
      <c r="M47" s="165" t="n">
        <f aca="false">M9+M44</f>
        <v>26432.38</v>
      </c>
      <c r="N47" s="112" t="n">
        <f aca="false">N9+N44</f>
        <v>57.81</v>
      </c>
      <c r="O47" s="112" t="n">
        <f aca="false">O9+O44</f>
        <v>4583.476025</v>
      </c>
      <c r="P47" s="117"/>
      <c r="Q47" s="117"/>
      <c r="R47" s="377"/>
      <c r="S47" s="112" t="n">
        <f aca="false">S9+S44</f>
        <v>19078.8</v>
      </c>
      <c r="T47" s="112" t="n">
        <f aca="false">T9+T44</f>
        <v>8243.8</v>
      </c>
      <c r="U47" s="112" t="n">
        <f aca="false">U9+U44</f>
        <v>48762.308475</v>
      </c>
      <c r="V47" s="112" t="n">
        <f aca="false">V42</f>
        <v>1896.75752874624</v>
      </c>
      <c r="W47" s="112" t="n">
        <f aca="false">W42</f>
        <v>0</v>
      </c>
      <c r="X47" s="112" t="n">
        <f aca="false">X9+X44</f>
        <v>13295.36</v>
      </c>
      <c r="Y47" s="112" t="n">
        <f aca="false">Y9+Y44</f>
        <v>3769</v>
      </c>
      <c r="Z47" s="112" t="n">
        <f aca="false">Z42</f>
        <v>4472.49231157046</v>
      </c>
      <c r="AA47" s="112" t="n">
        <f aca="false">AA9+AA44</f>
        <v>70749.36</v>
      </c>
      <c r="AB47" s="112" t="n">
        <f aca="false">AB9+AB44</f>
        <v>5667.51650113436</v>
      </c>
      <c r="AC47" s="112" t="n">
        <f aca="false">AC9+AC44</f>
        <v>76416.8765011344</v>
      </c>
      <c r="AD47" s="161"/>
      <c r="AE47" s="117" t="n">
        <f aca="false">MIN(AE12:AE42)</f>
        <v>74</v>
      </c>
      <c r="AF47" s="167" t="n">
        <f aca="false">MIN(AF12:AF42)</f>
        <v>50</v>
      </c>
      <c r="AG47" s="118" t="s">
        <v>59</v>
      </c>
      <c r="AH47" s="373"/>
      <c r="AI47" s="352" t="n">
        <f aca="false">AI9+AI44</f>
        <v>1208.31619706931</v>
      </c>
      <c r="AJ47" s="361" t="n">
        <f aca="false">AJ9+AJ44</f>
        <v>596.53</v>
      </c>
    </row>
    <row r="48" customFormat="false" ht="11.1" hidden="false" customHeight="true" outlineLevel="0" collapsed="false">
      <c r="A48" s="111" t="s">
        <v>60</v>
      </c>
      <c r="B48" s="163"/>
      <c r="C48" s="112"/>
      <c r="D48" s="112"/>
      <c r="E48" s="112"/>
      <c r="F48" s="164" t="n">
        <f aca="false">F47*$D$2</f>
        <v>10660</v>
      </c>
      <c r="G48" s="112" t="n">
        <f aca="false">G47*$D$2</f>
        <v>148788.2855</v>
      </c>
      <c r="H48" s="112" t="n">
        <f aca="false">H47*$D$2</f>
        <v>2074.58232</v>
      </c>
      <c r="I48" s="112" t="n">
        <f aca="false">I47*$D$2</f>
        <v>150862.86782</v>
      </c>
      <c r="J48" s="112" t="n">
        <f aca="false">J47*$D$2</f>
        <v>11370.00672</v>
      </c>
      <c r="K48" s="112" t="n">
        <f aca="false">K47*$D$2</f>
        <v>162232.87454</v>
      </c>
      <c r="L48" s="112" t="n">
        <f aca="false">L47*$D$2</f>
        <v>128.487740000006</v>
      </c>
      <c r="M48" s="165" t="n">
        <f aca="false">M47*$D$2</f>
        <v>52428.62573</v>
      </c>
      <c r="N48" s="112" t="n">
        <f aca="false">N47*$D$2</f>
        <v>114.666135</v>
      </c>
      <c r="O48" s="112" t="n">
        <f aca="false">O47*$D$2</f>
        <v>9091.3246955875</v>
      </c>
      <c r="P48" s="117"/>
      <c r="Q48" s="117"/>
      <c r="R48" s="377"/>
      <c r="S48" s="112" t="n">
        <f aca="false">S47*$D$2</f>
        <v>37842.7998</v>
      </c>
      <c r="T48" s="112" t="n">
        <f aca="false">T47*$D$2</f>
        <v>16351.5773</v>
      </c>
      <c r="U48" s="112" t="n">
        <f aca="false">U47*$D$2</f>
        <v>96720.0388601625</v>
      </c>
      <c r="V48" s="112" t="n">
        <f aca="false">V47*$D$2</f>
        <v>3762.21855826816</v>
      </c>
      <c r="W48" s="112" t="n">
        <f aca="false">W47*$D$2</f>
        <v>0</v>
      </c>
      <c r="X48" s="112" t="n">
        <f aca="false">X47*$D$2</f>
        <v>26371.34656</v>
      </c>
      <c r="Y48" s="112" t="n">
        <f aca="false">Y47*$D$2</f>
        <v>7475.8115</v>
      </c>
      <c r="Z48" s="112" t="n">
        <f aca="false">Z47*$D$2</f>
        <v>8871.1885</v>
      </c>
      <c r="AA48" s="112" t="n">
        <f aca="false">AA47*$D$2</f>
        <v>140331.35556</v>
      </c>
      <c r="AB48" s="112" t="n">
        <f aca="false">AB47*$D$2</f>
        <v>11241.51898</v>
      </c>
      <c r="AC48" s="112" t="n">
        <f aca="false">AC47*$D$2</f>
        <v>151572.87454</v>
      </c>
      <c r="AD48" s="161"/>
      <c r="AE48" s="117"/>
      <c r="AF48" s="167"/>
      <c r="AG48" s="118"/>
      <c r="AH48" s="373"/>
      <c r="AI48" s="352" t="n">
        <f aca="false">AI47*$D$2</f>
        <v>2396.69517688697</v>
      </c>
      <c r="AJ48" s="361" t="n">
        <f aca="false">AJ47*$D$2</f>
        <v>1183.217255</v>
      </c>
    </row>
    <row r="49" customFormat="false" ht="3" hidden="false" customHeight="true" outlineLevel="0" collapsed="false">
      <c r="A49" s="169"/>
      <c r="B49" s="185"/>
      <c r="C49" s="171"/>
      <c r="D49" s="171"/>
      <c r="E49" s="171"/>
      <c r="F49" s="186"/>
      <c r="G49" s="171"/>
      <c r="H49" s="177"/>
      <c r="I49" s="171"/>
      <c r="J49" s="171"/>
      <c r="K49" s="171"/>
      <c r="L49" s="171"/>
      <c r="M49" s="187"/>
      <c r="N49" s="171"/>
      <c r="O49" s="171"/>
      <c r="P49" s="177"/>
      <c r="Q49" s="177"/>
      <c r="R49" s="378"/>
      <c r="S49" s="171"/>
      <c r="T49" s="171"/>
      <c r="U49" s="171"/>
      <c r="V49" s="171"/>
      <c r="W49" s="171"/>
      <c r="X49" s="171"/>
      <c r="Y49" s="171"/>
      <c r="Z49" s="171"/>
      <c r="AA49" s="171"/>
      <c r="AB49" s="171"/>
      <c r="AC49" s="171"/>
      <c r="AD49" s="176"/>
      <c r="AE49" s="190"/>
      <c r="AF49" s="191"/>
      <c r="AG49" s="190"/>
      <c r="AH49" s="380"/>
      <c r="AI49" s="229"/>
      <c r="AJ49" s="357"/>
    </row>
    <row r="50" customFormat="false" ht="11.1" hidden="false" customHeight="true" outlineLevel="0" collapsed="false">
      <c r="A50" s="111" t="s">
        <v>61</v>
      </c>
      <c r="B50" s="163"/>
      <c r="C50" s="112"/>
      <c r="D50" s="112"/>
      <c r="E50" s="112"/>
      <c r="F50" s="164" t="n">
        <f aca="false">F10+F44</f>
        <v>13651.6259137888</v>
      </c>
      <c r="G50" s="112" t="n">
        <f aca="false">G10+G44</f>
        <v>82567</v>
      </c>
      <c r="H50" s="117" t="n">
        <f aca="false">H10+H44</f>
        <v>1328.66</v>
      </c>
      <c r="I50" s="112" t="n">
        <f aca="false">I10+I44</f>
        <v>83895.66</v>
      </c>
      <c r="J50" s="112" t="n">
        <f aca="false">J10+J44</f>
        <v>10211.048563146</v>
      </c>
      <c r="K50" s="112" t="n">
        <f aca="false">K10+K44</f>
        <v>94106.7085631459</v>
      </c>
      <c r="L50" s="112" t="n">
        <f aca="false">L10+L44</f>
        <v>3909.01591378875</v>
      </c>
      <c r="M50" s="165" t="n">
        <f aca="false">M10+M44</f>
        <v>27389.2</v>
      </c>
      <c r="N50" s="112" t="n">
        <f aca="false">N10+N44</f>
        <v>57.81</v>
      </c>
      <c r="O50" s="112" t="n">
        <f aca="false">O10+O44</f>
        <v>4583.476025</v>
      </c>
      <c r="P50" s="117" t="n">
        <f aca="false">P10+P44</f>
        <v>68.61</v>
      </c>
      <c r="Q50" s="117" t="n">
        <f aca="false">Q10+Q44</f>
        <v>125.85</v>
      </c>
      <c r="R50" s="377" t="n">
        <f aca="false">R10+R44</f>
        <v>88.573</v>
      </c>
      <c r="S50" s="112" t="n">
        <f aca="false">S10+S44</f>
        <v>19140.8</v>
      </c>
      <c r="T50" s="112" t="n">
        <f aca="false">T10+T44</f>
        <v>8294.8</v>
      </c>
      <c r="U50" s="112" t="n">
        <f aca="false">U10+U44</f>
        <v>49900.480975</v>
      </c>
      <c r="V50" s="112"/>
      <c r="W50" s="112" t="n">
        <f aca="false">W47</f>
        <v>0</v>
      </c>
      <c r="X50" s="112" t="n">
        <f aca="false">X10+X44</f>
        <v>13295.36</v>
      </c>
      <c r="Y50" s="112" t="n">
        <f aca="false">Y10+Y44</f>
        <v>6032.89</v>
      </c>
      <c r="Z50" s="112" t="n">
        <f aca="false">Z42</f>
        <v>4472.49231157046</v>
      </c>
      <c r="AA50" s="112" t="n">
        <f aca="false">AA10+AA44</f>
        <v>74153.05</v>
      </c>
      <c r="AB50" s="112" t="n">
        <f aca="false">AB10+AB44</f>
        <v>6302.03264935719</v>
      </c>
      <c r="AC50" s="112" t="n">
        <f aca="false">AC10+AC44</f>
        <v>80455.0826493572</v>
      </c>
      <c r="AD50" s="161" t="n">
        <f aca="false">AD10+AD44</f>
        <v>9.17</v>
      </c>
      <c r="AE50" s="117"/>
      <c r="AF50" s="167"/>
      <c r="AG50" s="118"/>
      <c r="AH50" s="373"/>
      <c r="AI50" s="352" t="n">
        <f aca="false">AI10+AI44</f>
        <v>1208.31619706931</v>
      </c>
      <c r="AJ50" s="361"/>
    </row>
    <row r="51" customFormat="false" ht="11.1" hidden="false" customHeight="true" outlineLevel="0" collapsed="false">
      <c r="A51" s="111" t="s">
        <v>62</v>
      </c>
      <c r="B51" s="163"/>
      <c r="C51" s="112"/>
      <c r="D51" s="112" t="n">
        <f aca="false">D10+D45</f>
        <v>27078</v>
      </c>
      <c r="E51" s="112" t="n">
        <f aca="false">E42</f>
        <v>31645</v>
      </c>
      <c r="F51" s="164" t="n">
        <f aca="false">F50*$D$2</f>
        <v>27078</v>
      </c>
      <c r="G51" s="112" t="n">
        <f aca="false">G50*$D$2</f>
        <v>163771.6445</v>
      </c>
      <c r="H51" s="117" t="n">
        <f aca="false">H50*$D$2</f>
        <v>2635.39711</v>
      </c>
      <c r="I51" s="112" t="n">
        <f aca="false">I50*$D$2</f>
        <v>166407.04161</v>
      </c>
      <c r="J51" s="112" t="n">
        <f aca="false">J50*$D$2</f>
        <v>20253.614825</v>
      </c>
      <c r="K51" s="112" t="n">
        <f aca="false">K50*$D$2</f>
        <v>186660.656435</v>
      </c>
      <c r="L51" s="112" t="n">
        <f aca="false">L50*$D$2</f>
        <v>7753.53306499998</v>
      </c>
      <c r="M51" s="165" t="n">
        <f aca="false">M50*$D$2</f>
        <v>54326.4782</v>
      </c>
      <c r="N51" s="112" t="n">
        <f aca="false">N50*$D$2</f>
        <v>114.666135</v>
      </c>
      <c r="O51" s="112" t="n">
        <f aca="false">O50*$D$2</f>
        <v>9091.3246955875</v>
      </c>
      <c r="P51" s="117" t="n">
        <f aca="false">P50*$D$2</f>
        <v>136.087935</v>
      </c>
      <c r="Q51" s="117" t="n">
        <f aca="false">Q50*$D$2</f>
        <v>249.623475</v>
      </c>
      <c r="R51" s="381" t="n">
        <f aca="false">R50*$D$2</f>
        <v>175.6845455</v>
      </c>
      <c r="S51" s="112" t="n">
        <f aca="false">S50*$D$2</f>
        <v>37965.7768</v>
      </c>
      <c r="T51" s="112" t="n">
        <f aca="false">T50*$D$2</f>
        <v>16452.7358</v>
      </c>
      <c r="U51" s="112" t="n">
        <f aca="false">U50*$D$2</f>
        <v>98977.6040139125</v>
      </c>
      <c r="V51" s="112"/>
      <c r="W51" s="112" t="n">
        <f aca="false">W50*$D$2</f>
        <v>0</v>
      </c>
      <c r="X51" s="112" t="n">
        <f aca="false">X50*$D$2</f>
        <v>26371.34656</v>
      </c>
      <c r="Y51" s="112" t="n">
        <f aca="false">Y50*$D$2</f>
        <v>11966.237315</v>
      </c>
      <c r="Z51" s="112" t="n">
        <f aca="false">Z50*$D$2</f>
        <v>8871.1885</v>
      </c>
      <c r="AA51" s="112" t="n">
        <f aca="false">AA50*$D$2</f>
        <v>147082.574675</v>
      </c>
      <c r="AB51" s="112" t="n">
        <f aca="false">AB50*$D$2</f>
        <v>12500.08176</v>
      </c>
      <c r="AC51" s="112" t="n">
        <f aca="false">AC50*$D$2</f>
        <v>159582.656435</v>
      </c>
      <c r="AD51" s="161"/>
      <c r="AE51" s="117"/>
      <c r="AF51" s="167"/>
      <c r="AG51" s="118"/>
      <c r="AH51" s="373"/>
      <c r="AI51" s="352" t="n">
        <f aca="false">AI50*$D$2</f>
        <v>2396.69517688697</v>
      </c>
      <c r="AJ51" s="361"/>
    </row>
    <row r="52" customFormat="false" ht="3" hidden="false" customHeight="true" outlineLevel="0" collapsed="false">
      <c r="A52" s="169"/>
      <c r="B52" s="185"/>
      <c r="C52" s="171"/>
      <c r="D52" s="169"/>
      <c r="E52" s="171"/>
      <c r="F52" s="172"/>
      <c r="G52" s="169"/>
      <c r="H52" s="173"/>
      <c r="I52" s="169"/>
      <c r="J52" s="169"/>
      <c r="K52" s="303"/>
      <c r="L52" s="169"/>
      <c r="M52" s="174"/>
      <c r="N52" s="169"/>
      <c r="O52" s="169"/>
      <c r="P52" s="300"/>
      <c r="Q52" s="225"/>
      <c r="R52" s="300"/>
      <c r="S52" s="169"/>
      <c r="T52" s="169"/>
      <c r="U52" s="169"/>
      <c r="V52" s="171"/>
      <c r="W52" s="171"/>
      <c r="X52" s="169"/>
      <c r="Y52" s="169"/>
      <c r="Z52" s="171"/>
      <c r="AA52" s="169"/>
      <c r="AB52" s="169"/>
      <c r="AC52" s="169"/>
      <c r="AD52" s="185"/>
      <c r="AE52" s="169"/>
      <c r="AF52" s="172"/>
      <c r="AG52" s="169"/>
      <c r="AH52" s="382"/>
      <c r="AI52" s="300"/>
      <c r="AJ52" s="357"/>
    </row>
    <row r="53" customFormat="false" ht="11.1" hidden="false" customHeight="true" outlineLevel="0" collapsed="false">
      <c r="A53" s="383"/>
      <c r="B53" s="100"/>
      <c r="C53" s="7"/>
      <c r="D53" s="6"/>
      <c r="E53" s="7"/>
      <c r="F53" s="0"/>
      <c r="G53" s="0"/>
      <c r="H53" s="11"/>
      <c r="I53" s="6"/>
      <c r="J53" s="6"/>
      <c r="K53" s="332"/>
      <c r="L53" s="112"/>
      <c r="M53" s="6"/>
      <c r="N53" s="6"/>
      <c r="O53" s="6"/>
      <c r="P53" s="10"/>
      <c r="Q53" s="10"/>
      <c r="R53" s="10"/>
      <c r="S53" s="6"/>
      <c r="T53" s="6"/>
      <c r="U53" s="6"/>
      <c r="V53" s="333"/>
      <c r="W53" s="333"/>
      <c r="X53" s="6"/>
      <c r="Y53" s="6"/>
      <c r="Z53" s="7"/>
      <c r="AA53" s="7"/>
      <c r="AB53" s="111"/>
      <c r="AC53" s="111"/>
      <c r="AD53" s="115"/>
      <c r="AE53" s="117"/>
      <c r="AF53" s="117"/>
      <c r="AG53" s="118"/>
      <c r="AH53" s="203"/>
      <c r="AI53" s="384"/>
      <c r="AJ53" s="361"/>
    </row>
    <row r="54" customFormat="false" ht="11.1" hidden="false" customHeight="true" outlineLevel="0" collapsed="false">
      <c r="A54" s="111"/>
      <c r="B54" s="385" t="s">
        <v>107</v>
      </c>
      <c r="C54" s="7"/>
      <c r="D54" s="101"/>
      <c r="E54" s="307"/>
      <c r="F54" s="334"/>
      <c r="G54" s="0"/>
      <c r="H54" s="11"/>
      <c r="I54" s="8"/>
      <c r="J54" s="6"/>
      <c r="K54" s="102"/>
      <c r="L54" s="181"/>
      <c r="M54" s="6"/>
      <c r="N54" s="6" t="n">
        <f aca="false">N7-N48</f>
        <v>245.333865</v>
      </c>
      <c r="O54" s="6" t="n">
        <f aca="false">O7-O48</f>
        <v>3491.6753044125</v>
      </c>
      <c r="P54" s="10"/>
      <c r="Q54" s="245"/>
      <c r="R54" s="245"/>
      <c r="S54" s="335"/>
      <c r="T54" s="89"/>
      <c r="U54" s="67"/>
      <c r="V54" s="112"/>
      <c r="W54" s="155"/>
      <c r="X54" s="386" t="n">
        <f aca="false">X7-X48</f>
        <v>3688.65344</v>
      </c>
      <c r="Y54" s="6"/>
      <c r="Z54" s="7"/>
      <c r="AA54" s="7"/>
      <c r="AB54" s="111"/>
      <c r="AC54" s="115"/>
      <c r="AD54" s="117"/>
      <c r="AE54" s="117"/>
      <c r="AF54" s="117"/>
      <c r="AG54" s="387" t="s">
        <v>108</v>
      </c>
      <c r="AH54" s="203"/>
      <c r="AI54" s="384"/>
      <c r="AJ54" s="361"/>
    </row>
    <row r="55" customFormat="false" ht="11.1" hidden="false" customHeight="true" outlineLevel="0" collapsed="false">
      <c r="A55" s="183"/>
      <c r="B55" s="112"/>
      <c r="E55" s="307"/>
      <c r="F55" s="308"/>
      <c r="G55" s="0"/>
      <c r="H55" s="11"/>
      <c r="I55" s="101"/>
      <c r="J55" s="101"/>
      <c r="K55" s="336"/>
      <c r="L55" s="112"/>
      <c r="M55" s="87"/>
      <c r="N55" s="87"/>
      <c r="O55" s="307"/>
      <c r="P55" s="388"/>
      <c r="Q55" s="245"/>
      <c r="R55" s="245"/>
      <c r="S55" s="335"/>
      <c r="T55" s="89"/>
      <c r="U55" s="67"/>
      <c r="V55" s="112"/>
      <c r="W55" s="112"/>
      <c r="X55" s="112"/>
      <c r="Y55" s="7"/>
      <c r="Z55" s="335"/>
      <c r="AA55" s="335"/>
      <c r="AB55" s="183"/>
      <c r="AC55" s="115"/>
      <c r="AD55" s="117"/>
      <c r="AE55" s="117"/>
      <c r="AF55" s="118"/>
      <c r="AG55" s="213" t="s">
        <v>109</v>
      </c>
      <c r="AH55" s="389"/>
      <c r="AI55" s="108"/>
      <c r="AJ55" s="361"/>
    </row>
    <row r="56" customFormat="false" ht="11.1" hidden="false" customHeight="true" outlineLevel="0" collapsed="false">
      <c r="A56" s="183"/>
      <c r="B56" s="183"/>
      <c r="C56" s="112"/>
      <c r="D56" s="112"/>
      <c r="E56" s="307"/>
      <c r="F56" s="0"/>
      <c r="G56" s="0"/>
      <c r="H56" s="112"/>
      <c r="I56" s="0"/>
      <c r="J56" s="101"/>
      <c r="K56" s="336"/>
      <c r="L56" s="117"/>
      <c r="M56" s="87"/>
      <c r="N56" s="87"/>
      <c r="O56" s="117"/>
      <c r="P56" s="115"/>
      <c r="Q56" s="245"/>
      <c r="R56" s="245"/>
      <c r="S56" s="92"/>
      <c r="T56" s="92"/>
      <c r="U56" s="67"/>
      <c r="V56" s="117"/>
      <c r="W56" s="117"/>
      <c r="X56" s="112"/>
      <c r="Y56" s="7"/>
      <c r="Z56" s="112"/>
      <c r="AA56" s="112"/>
      <c r="AB56" s="183"/>
      <c r="AC56" s="228"/>
      <c r="AD56" s="117"/>
      <c r="AE56" s="117"/>
      <c r="AF56" s="118"/>
      <c r="AG56" s="213" t="s">
        <v>110</v>
      </c>
      <c r="AH56" s="389"/>
      <c r="AI56" s="108"/>
      <c r="AJ56" s="361"/>
    </row>
    <row r="57" customFormat="false" ht="11.1" hidden="false" customHeight="true" outlineLevel="0" collapsed="false">
      <c r="A57" s="183"/>
      <c r="B57" s="183"/>
      <c r="C57" s="112"/>
      <c r="D57" s="183"/>
      <c r="E57" s="112"/>
      <c r="F57" s="183"/>
      <c r="G57" s="194"/>
      <c r="H57" s="113"/>
      <c r="I57" s="183"/>
      <c r="J57" s="183"/>
      <c r="K57" s="183"/>
      <c r="L57" s="183"/>
      <c r="M57" s="181"/>
      <c r="N57" s="181"/>
      <c r="O57" s="181"/>
      <c r="P57" s="115"/>
      <c r="Q57" s="115"/>
      <c r="R57" s="115"/>
      <c r="S57" s="183"/>
      <c r="T57" s="183"/>
      <c r="U57" s="0"/>
      <c r="V57" s="112"/>
      <c r="W57" s="112"/>
      <c r="Y57" s="112"/>
      <c r="Z57" s="183"/>
      <c r="AA57" s="183"/>
      <c r="AB57" s="183"/>
      <c r="AC57" s="115"/>
      <c r="AD57" s="116"/>
      <c r="AE57" s="117"/>
      <c r="AF57" s="118"/>
      <c r="AG57" s="213" t="s">
        <v>111</v>
      </c>
      <c r="AH57" s="389"/>
      <c r="AI57" s="108"/>
      <c r="AJ57" s="361"/>
    </row>
    <row r="58" customFormat="false" ht="11.1" hidden="false" customHeight="true" outlineLevel="0" collapsed="false">
      <c r="P58" s="108"/>
      <c r="Q58" s="108"/>
      <c r="R58" s="108"/>
      <c r="S58" s="390"/>
      <c r="T58" s="104"/>
      <c r="U58" s="112"/>
      <c r="V58" s="112"/>
      <c r="W58" s="112"/>
      <c r="Y58" s="105"/>
      <c r="AA58" s="104"/>
      <c r="AB58" s="104"/>
      <c r="AC58" s="108"/>
      <c r="AD58" s="106"/>
      <c r="AE58" s="109"/>
      <c r="AF58" s="110"/>
      <c r="AG58" s="391" t="s">
        <v>112</v>
      </c>
      <c r="AH58" s="392"/>
      <c r="AI58" s="108"/>
      <c r="AJ58" s="361"/>
    </row>
    <row r="59" customFormat="false" ht="11.1" hidden="false" customHeight="true" outlineLevel="0" collapsed="false">
      <c r="P59" s="108"/>
      <c r="Q59" s="108"/>
      <c r="R59" s="108"/>
      <c r="S59" s="390"/>
      <c r="T59" s="104"/>
      <c r="U59" s="112"/>
      <c r="V59" s="112"/>
      <c r="W59" s="112"/>
      <c r="Y59" s="105"/>
      <c r="AA59" s="104"/>
      <c r="AB59" s="104"/>
      <c r="AC59" s="108"/>
      <c r="AD59" s="106"/>
      <c r="AE59" s="109"/>
      <c r="AF59" s="110"/>
      <c r="AG59" s="104"/>
      <c r="AH59" s="392"/>
      <c r="AI59" s="108"/>
      <c r="AJ59" s="361"/>
    </row>
    <row r="60" customFormat="false" ht="11.1" hidden="false" customHeight="true" outlineLevel="0" collapsed="false">
      <c r="T60" s="112"/>
      <c r="U60" s="112"/>
    </row>
  </sheetData>
  <mergeCells count="3">
    <mergeCell ref="K2:U2"/>
    <mergeCell ref="V2:W2"/>
    <mergeCell ref="M5:R5"/>
  </mergeCells>
  <printOptions headings="true" gridLines="true" gridLinesSet="true" horizontalCentered="true" verticalCentered="false"/>
  <pageMargins left="0" right="0" top="0" bottom="0" header="0.511811023622047" footer="0.511811023622047"/>
  <pageSetup paperSize="5"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J60"/>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pane xSplit="1" ySplit="11" topLeftCell="I18" activePane="bottomRight" state="frozen"/>
      <selection pane="topLeft" activeCell="A1" activeCellId="0" sqref="A1"/>
      <selection pane="topRight" activeCell="I1" activeCellId="0" sqref="I1"/>
      <selection pane="bottomLeft" activeCell="A18" activeCellId="0" sqref="A18"/>
      <selection pane="bottomRight" activeCell="AA37" activeCellId="0" sqref="AA13:AA42"/>
    </sheetView>
  </sheetViews>
  <sheetFormatPr defaultColWidth="9.3359375" defaultRowHeight="11.1" zeroHeight="false" outlineLevelRow="0" outlineLevelCol="0"/>
  <cols>
    <col collapsed="false" customWidth="true" hidden="false" outlineLevel="0" max="1" min="1" style="104" width="4.67"/>
    <col collapsed="false" customWidth="true" hidden="false" outlineLevel="0" max="2" min="2" style="104" width="6.99"/>
    <col collapsed="false" customWidth="true" hidden="false" outlineLevel="0" max="3" min="3" style="105" width="6.32"/>
    <col collapsed="false" customWidth="true" hidden="false" outlineLevel="0" max="4" min="4" style="104" width="6.99"/>
    <col collapsed="false" customWidth="true" hidden="false" outlineLevel="0" max="5" min="5" style="105" width="7.66"/>
    <col collapsed="false" customWidth="true" hidden="false" outlineLevel="0" max="6" min="6" style="104" width="7.16"/>
    <col collapsed="false" customWidth="true" hidden="false" outlineLevel="0" max="7" min="7" style="104" width="6.82"/>
    <col collapsed="false" customWidth="true" hidden="false" outlineLevel="0" max="8" min="8" style="363" width="5.67"/>
    <col collapsed="false" customWidth="true" hidden="false" outlineLevel="0" max="9" min="9" style="104" width="7.16"/>
    <col collapsed="false" customWidth="true" hidden="false" outlineLevel="0" max="10" min="10" style="104" width="6.66"/>
    <col collapsed="false" customWidth="true" hidden="false" outlineLevel="0" max="12" min="11" style="104" width="7.16"/>
    <col collapsed="false" customWidth="true" hidden="false" outlineLevel="0" max="13" min="13" style="107" width="6.16"/>
    <col collapsed="false" customWidth="true" hidden="false" outlineLevel="0" max="14" min="14" style="107" width="5.99"/>
    <col collapsed="false" customWidth="true" hidden="false" outlineLevel="0" max="15" min="15" style="107" width="6.49"/>
    <col collapsed="false" customWidth="true" hidden="false" outlineLevel="0" max="16" min="16" style="108" width="4.32"/>
    <col collapsed="false" customWidth="true" hidden="false" outlineLevel="0" max="18" min="17" style="108" width="4.82"/>
    <col collapsed="false" customWidth="true" hidden="false" outlineLevel="0" max="19" min="19" style="104" width="5.49"/>
    <col collapsed="false" customWidth="true" hidden="false" outlineLevel="0" max="20" min="20" style="105" width="5.49"/>
    <col collapsed="false" customWidth="true" hidden="false" outlineLevel="0" max="21" min="21" style="104" width="6.49"/>
    <col collapsed="false" customWidth="true" hidden="false" outlineLevel="0" max="22" min="22" style="104" width="5.82"/>
    <col collapsed="false" customWidth="true" hidden="false" outlineLevel="0" max="23" min="23" style="105" width="5.67"/>
    <col collapsed="false" customWidth="true" hidden="false" outlineLevel="0" max="24" min="24" style="104" width="5.67"/>
    <col collapsed="false" customWidth="true" hidden="false" outlineLevel="0" max="26" min="25" style="104" width="6.16"/>
    <col collapsed="false" customWidth="true" hidden="false" outlineLevel="0" max="27" min="27" style="108" width="7.16"/>
    <col collapsed="false" customWidth="true" hidden="false" outlineLevel="0" max="28" min="28" style="106" width="7.32"/>
    <col collapsed="false" customWidth="true" hidden="false" outlineLevel="0" max="29" min="29" style="109" width="7.82"/>
    <col collapsed="false" customWidth="true" hidden="false" outlineLevel="0" max="30" min="30" style="110" width="5.32"/>
    <col collapsed="false" customWidth="true" hidden="false" outlineLevel="0" max="31" min="31" style="104" width="3.82"/>
    <col collapsed="false" customWidth="true" hidden="false" outlineLevel="0" max="32" min="32" style="108" width="3.82"/>
    <col collapsed="false" customWidth="true" hidden="false" outlineLevel="0" max="33" min="33" style="104" width="5.99"/>
    <col collapsed="false" customWidth="true" hidden="false" outlineLevel="0" max="34" min="34" style="107" width="6.66"/>
    <col collapsed="false" customWidth="true" hidden="false" outlineLevel="0" max="35" min="35" style="107" width="6.82"/>
    <col collapsed="false" customWidth="true" hidden="false" outlineLevel="0" max="36" min="36" style="104" width="6.32"/>
    <col collapsed="false" customWidth="false" hidden="false" outlineLevel="0" max="257" min="37" style="104" width="9.32"/>
  </cols>
  <sheetData>
    <row r="1" customFormat="false" ht="14.1" hidden="false" customHeight="true" outlineLevel="0" collapsed="false">
      <c r="A1" s="111"/>
      <c r="B1" s="111"/>
      <c r="C1" s="112"/>
      <c r="D1" s="111"/>
      <c r="E1" s="112"/>
      <c r="F1" s="111"/>
      <c r="G1" s="111"/>
      <c r="H1" s="113"/>
      <c r="I1" s="111"/>
      <c r="J1" s="111"/>
      <c r="K1" s="114" t="s">
        <v>0</v>
      </c>
      <c r="L1" s="111"/>
      <c r="M1" s="111"/>
      <c r="N1" s="111"/>
      <c r="O1" s="111"/>
      <c r="P1" s="115"/>
      <c r="Q1" s="115"/>
      <c r="R1" s="115"/>
      <c r="S1" s="111"/>
      <c r="T1" s="111"/>
      <c r="U1" s="112"/>
      <c r="V1" s="111"/>
      <c r="W1" s="111"/>
      <c r="X1" s="111"/>
      <c r="Y1" s="112"/>
      <c r="Z1" s="111"/>
      <c r="AA1" s="111"/>
      <c r="AB1" s="111"/>
      <c r="AC1" s="115"/>
      <c r="AD1" s="116"/>
      <c r="AE1" s="117"/>
      <c r="AF1" s="118"/>
      <c r="AG1" s="197"/>
      <c r="AH1" s="214"/>
      <c r="AI1" s="231"/>
    </row>
    <row r="2" customFormat="false" ht="14.1" hidden="false" customHeight="true" outlineLevel="0" collapsed="false">
      <c r="A2" s="111" t="s">
        <v>1</v>
      </c>
      <c r="B2" s="111"/>
      <c r="C2" s="112"/>
      <c r="D2" s="119" t="n">
        <v>1.9835</v>
      </c>
      <c r="E2" s="112"/>
      <c r="F2" s="111"/>
      <c r="G2" s="111"/>
      <c r="H2" s="113"/>
      <c r="I2" s="111"/>
      <c r="J2" s="111"/>
      <c r="K2" s="120" t="s">
        <v>113</v>
      </c>
      <c r="L2" s="120"/>
      <c r="M2" s="120"/>
      <c r="N2" s="120"/>
      <c r="O2" s="120"/>
      <c r="P2" s="120"/>
      <c r="Q2" s="120"/>
      <c r="R2" s="120"/>
      <c r="S2" s="120"/>
      <c r="T2" s="120"/>
      <c r="U2" s="120"/>
      <c r="V2" s="120"/>
      <c r="W2" s="120"/>
      <c r="X2" s="111"/>
      <c r="Y2" s="112"/>
      <c r="Z2" s="111"/>
      <c r="AA2" s="111"/>
      <c r="AB2" s="111"/>
      <c r="AC2" s="115"/>
      <c r="AD2" s="116"/>
      <c r="AE2" s="117"/>
      <c r="AF2" s="118"/>
      <c r="AG2" s="197"/>
      <c r="AH2" s="214"/>
      <c r="AI2" s="231"/>
    </row>
    <row r="3" customFormat="false" ht="14.1" hidden="false" customHeight="true" outlineLevel="0" collapsed="false">
      <c r="A3" s="121"/>
      <c r="B3" s="121"/>
      <c r="C3" s="122"/>
      <c r="D3" s="123"/>
      <c r="E3" s="122"/>
      <c r="F3" s="121"/>
      <c r="G3" s="121"/>
      <c r="H3" s="124"/>
      <c r="I3" s="121"/>
      <c r="J3" s="121"/>
      <c r="K3" s="121"/>
      <c r="L3" s="121"/>
      <c r="M3" s="121"/>
      <c r="N3" s="121"/>
      <c r="O3" s="121"/>
      <c r="P3" s="125"/>
      <c r="Q3" s="125"/>
      <c r="R3" s="125"/>
      <c r="S3" s="121"/>
      <c r="T3" s="121"/>
      <c r="U3" s="122"/>
      <c r="V3" s="121"/>
      <c r="W3" s="121"/>
      <c r="X3" s="121"/>
      <c r="Y3" s="122"/>
      <c r="Z3" s="121"/>
      <c r="AA3" s="121"/>
      <c r="AB3" s="121"/>
      <c r="AC3" s="125"/>
      <c r="AD3" s="126"/>
      <c r="AE3" s="127"/>
      <c r="AF3" s="128"/>
      <c r="AG3" s="199"/>
      <c r="AH3" s="215"/>
      <c r="AI3" s="393"/>
      <c r="AJ3" s="394"/>
    </row>
    <row r="4" customFormat="false" ht="14.1" hidden="false" customHeight="true" outlineLevel="0" collapsed="false">
      <c r="A4" s="111"/>
      <c r="B4" s="130"/>
      <c r="C4" s="131"/>
      <c r="D4" s="200" t="s">
        <v>3</v>
      </c>
      <c r="E4" s="131"/>
      <c r="F4" s="133"/>
      <c r="G4" s="111"/>
      <c r="H4" s="113"/>
      <c r="I4" s="111"/>
      <c r="J4" s="111"/>
      <c r="K4" s="111"/>
      <c r="L4" s="111"/>
      <c r="M4" s="111"/>
      <c r="N4" s="111"/>
      <c r="O4" s="111"/>
      <c r="P4" s="115"/>
      <c r="Q4" s="115"/>
      <c r="R4" s="115"/>
      <c r="S4" s="134" t="s">
        <v>4</v>
      </c>
      <c r="T4" s="111"/>
      <c r="U4" s="112"/>
      <c r="V4" s="111"/>
      <c r="W4" s="111"/>
      <c r="X4" s="111"/>
      <c r="Y4" s="112"/>
      <c r="Z4" s="111"/>
      <c r="AA4" s="111"/>
      <c r="AB4" s="111"/>
      <c r="AC4" s="115"/>
      <c r="AD4" s="135"/>
      <c r="AE4" s="136" t="s">
        <v>5</v>
      </c>
      <c r="AF4" s="137"/>
      <c r="AG4" s="197"/>
      <c r="AH4" s="214"/>
      <c r="AI4" s="395" t="s">
        <v>93</v>
      </c>
    </row>
    <row r="5" customFormat="false" ht="11.1" hidden="false" customHeight="true" outlineLevel="0" collapsed="false">
      <c r="A5" s="138" t="s">
        <v>6</v>
      </c>
      <c r="B5" s="139" t="s">
        <v>7</v>
      </c>
      <c r="C5" s="140" t="s">
        <v>7</v>
      </c>
      <c r="D5" s="138" t="s">
        <v>8</v>
      </c>
      <c r="E5" s="140" t="s">
        <v>9</v>
      </c>
      <c r="F5" s="141" t="s">
        <v>10</v>
      </c>
      <c r="G5" s="138" t="s">
        <v>11</v>
      </c>
      <c r="H5" s="142" t="s">
        <v>12</v>
      </c>
      <c r="I5" s="138" t="s">
        <v>97</v>
      </c>
      <c r="J5" s="138" t="s">
        <v>14</v>
      </c>
      <c r="K5" s="138" t="s">
        <v>15</v>
      </c>
      <c r="L5" s="138" t="s">
        <v>14</v>
      </c>
      <c r="M5" s="143" t="s">
        <v>16</v>
      </c>
      <c r="N5" s="143"/>
      <c r="O5" s="143"/>
      <c r="P5" s="143"/>
      <c r="Q5" s="143"/>
      <c r="R5" s="143"/>
      <c r="S5" s="138" t="s">
        <v>17</v>
      </c>
      <c r="T5" s="138" t="s">
        <v>18</v>
      </c>
      <c r="U5" s="138" t="s">
        <v>15</v>
      </c>
      <c r="V5" s="140" t="s">
        <v>19</v>
      </c>
      <c r="W5" s="140" t="s">
        <v>65</v>
      </c>
      <c r="X5" s="138" t="s">
        <v>20</v>
      </c>
      <c r="Y5" s="138" t="s">
        <v>21</v>
      </c>
      <c r="Z5" s="140" t="s">
        <v>98</v>
      </c>
      <c r="AA5" s="138" t="s">
        <v>97</v>
      </c>
      <c r="AB5" s="138" t="s">
        <v>14</v>
      </c>
      <c r="AC5" s="138" t="s">
        <v>15</v>
      </c>
      <c r="AD5" s="144" t="s">
        <v>23</v>
      </c>
      <c r="AE5" s="145" t="s">
        <v>24</v>
      </c>
      <c r="AF5" s="146" t="s">
        <v>25</v>
      </c>
      <c r="AG5" s="145" t="s">
        <v>64</v>
      </c>
      <c r="AH5" s="396" t="s">
        <v>19</v>
      </c>
      <c r="AI5" s="397" t="s">
        <v>19</v>
      </c>
      <c r="AJ5" s="203" t="s">
        <v>99</v>
      </c>
    </row>
    <row r="6" customFormat="false" ht="11.1" hidden="false" customHeight="true" outlineLevel="0" collapsed="false">
      <c r="A6" s="148" t="s">
        <v>114</v>
      </c>
      <c r="B6" s="139" t="s">
        <v>28</v>
      </c>
      <c r="C6" s="140" t="s">
        <v>8</v>
      </c>
      <c r="D6" s="138" t="s">
        <v>29</v>
      </c>
      <c r="E6" s="140" t="s">
        <v>30</v>
      </c>
      <c r="F6" s="141" t="s">
        <v>31</v>
      </c>
      <c r="G6" s="138" t="s">
        <v>32</v>
      </c>
      <c r="H6" s="142" t="s">
        <v>101</v>
      </c>
      <c r="I6" s="138" t="s">
        <v>34</v>
      </c>
      <c r="J6" s="138" t="s">
        <v>34</v>
      </c>
      <c r="K6" s="138" t="s">
        <v>34</v>
      </c>
      <c r="L6" s="138" t="s">
        <v>35</v>
      </c>
      <c r="M6" s="149" t="s">
        <v>36</v>
      </c>
      <c r="N6" s="138" t="s">
        <v>37</v>
      </c>
      <c r="O6" s="138" t="s">
        <v>38</v>
      </c>
      <c r="P6" s="369" t="s">
        <v>102</v>
      </c>
      <c r="Q6" s="369" t="s">
        <v>103</v>
      </c>
      <c r="R6" s="218" t="s">
        <v>103</v>
      </c>
      <c r="S6" s="138" t="s">
        <v>40</v>
      </c>
      <c r="T6" s="138" t="s">
        <v>41</v>
      </c>
      <c r="U6" s="138" t="s">
        <v>19</v>
      </c>
      <c r="V6" s="140" t="s">
        <v>80</v>
      </c>
      <c r="W6" s="140" t="s">
        <v>104</v>
      </c>
      <c r="X6" s="138" t="s">
        <v>43</v>
      </c>
      <c r="Y6" s="138" t="s">
        <v>44</v>
      </c>
      <c r="Z6" s="140" t="s">
        <v>105</v>
      </c>
      <c r="AA6" s="138" t="s">
        <v>46</v>
      </c>
      <c r="AB6" s="138" t="s">
        <v>46</v>
      </c>
      <c r="AC6" s="138" t="s">
        <v>46</v>
      </c>
      <c r="AD6" s="151"/>
      <c r="AE6" s="145" t="s">
        <v>47</v>
      </c>
      <c r="AF6" s="146" t="s">
        <v>47</v>
      </c>
      <c r="AG6" s="152" t="s">
        <v>42</v>
      </c>
      <c r="AH6" s="396" t="s">
        <v>42</v>
      </c>
      <c r="AI6" s="397" t="s">
        <v>42</v>
      </c>
      <c r="AJ6" s="203" t="s">
        <v>90</v>
      </c>
    </row>
    <row r="7" customFormat="false" ht="11.1" hidden="false" customHeight="true" outlineLevel="0" collapsed="false">
      <c r="A7" s="153"/>
      <c r="B7" s="154"/>
      <c r="C7" s="398"/>
      <c r="D7" s="153"/>
      <c r="E7" s="156" t="s">
        <v>48</v>
      </c>
      <c r="F7" s="157"/>
      <c r="G7" s="153"/>
      <c r="H7" s="158"/>
      <c r="I7" s="153"/>
      <c r="J7" s="153"/>
      <c r="K7" s="153"/>
      <c r="L7" s="153"/>
      <c r="M7" s="159"/>
      <c r="N7" s="153" t="n">
        <v>360</v>
      </c>
      <c r="O7" s="155" t="n">
        <v>12583</v>
      </c>
      <c r="P7" s="295"/>
      <c r="Q7" s="295"/>
      <c r="R7" s="371" t="s">
        <v>104</v>
      </c>
      <c r="S7" s="153"/>
      <c r="T7" s="153"/>
      <c r="U7" s="153"/>
      <c r="V7" s="156" t="s">
        <v>81</v>
      </c>
      <c r="W7" s="370" t="n">
        <v>6577</v>
      </c>
      <c r="X7" s="155" t="n">
        <v>30060</v>
      </c>
      <c r="Y7" s="153"/>
      <c r="Z7" s="155"/>
      <c r="AA7" s="153"/>
      <c r="AB7" s="153"/>
      <c r="AC7" s="153"/>
      <c r="AD7" s="161"/>
      <c r="AE7" s="152" t="s">
        <v>115</v>
      </c>
      <c r="AF7" s="162"/>
      <c r="AG7" s="118"/>
      <c r="AH7" s="399" t="s">
        <v>51</v>
      </c>
      <c r="AI7" s="400" t="s">
        <v>83</v>
      </c>
      <c r="AJ7" s="207" t="s">
        <v>106</v>
      </c>
    </row>
    <row r="8" customFormat="false" ht="11.1" hidden="false" customHeight="true" outlineLevel="0" collapsed="false">
      <c r="A8" s="153"/>
      <c r="B8" s="154"/>
      <c r="C8" s="398"/>
      <c r="D8" s="153"/>
      <c r="E8" s="155"/>
      <c r="F8" s="157"/>
      <c r="G8" s="153"/>
      <c r="H8" s="158"/>
      <c r="I8" s="153"/>
      <c r="J8" s="153"/>
      <c r="K8" s="153"/>
      <c r="L8" s="153"/>
      <c r="M8" s="159"/>
      <c r="N8" s="153"/>
      <c r="O8" s="153"/>
      <c r="P8" s="295"/>
      <c r="Q8" s="295"/>
      <c r="R8" s="221"/>
      <c r="S8" s="153"/>
      <c r="T8" s="153"/>
      <c r="U8" s="153"/>
      <c r="V8" s="155"/>
      <c r="W8" s="155" t="n">
        <f aca="false">W7/1.9835</f>
        <v>3315.8558104361</v>
      </c>
      <c r="X8" s="153"/>
      <c r="Y8" s="153"/>
      <c r="Z8" s="155"/>
      <c r="AA8" s="153"/>
      <c r="AB8" s="153"/>
      <c r="AC8" s="153"/>
      <c r="AD8" s="161"/>
      <c r="AE8" s="152"/>
      <c r="AF8" s="162"/>
      <c r="AG8" s="118"/>
      <c r="AH8" s="399"/>
      <c r="AI8" s="359"/>
      <c r="AJ8" s="373"/>
    </row>
    <row r="9" customFormat="false" ht="11.1" hidden="false" customHeight="true" outlineLevel="0" collapsed="false">
      <c r="A9" s="111" t="s">
        <v>52</v>
      </c>
      <c r="B9" s="163"/>
      <c r="C9" s="401"/>
      <c r="D9" s="112"/>
      <c r="E9" s="112"/>
      <c r="F9" s="164" t="n">
        <f aca="false">AUG!F47</f>
        <v>5374.33829089993</v>
      </c>
      <c r="G9" s="112" t="n">
        <f aca="false">AUG!G47</f>
        <v>75013</v>
      </c>
      <c r="H9" s="112" t="n">
        <f aca="false">AUG!H47</f>
        <v>1045.92</v>
      </c>
      <c r="I9" s="112" t="n">
        <f aca="false">AUG!I47</f>
        <v>76058.92</v>
      </c>
      <c r="J9" s="112" t="n">
        <f aca="false">AUG!J47</f>
        <v>5732.29479203428</v>
      </c>
      <c r="K9" s="112" t="n">
        <f aca="false">AUG!K47</f>
        <v>81791.2147920343</v>
      </c>
      <c r="L9" s="112" t="n">
        <f aca="false">AUG!L47</f>
        <v>64.7782908999275</v>
      </c>
      <c r="M9" s="165" t="n">
        <f aca="false">AUG!M47</f>
        <v>26432.38</v>
      </c>
      <c r="N9" s="112" t="n">
        <f aca="false">AUG!N47</f>
        <v>57.81</v>
      </c>
      <c r="O9" s="112" t="n">
        <f aca="false">AUG!O47</f>
        <v>4583.476025</v>
      </c>
      <c r="P9" s="115"/>
      <c r="Q9" s="115"/>
      <c r="R9" s="223"/>
      <c r="S9" s="112" t="n">
        <f aca="false">AUG!S47</f>
        <v>19078.8</v>
      </c>
      <c r="T9" s="112" t="n">
        <f aca="false">AUG!T47</f>
        <v>8243.8</v>
      </c>
      <c r="U9" s="112" t="n">
        <f aca="false">AUG!U47</f>
        <v>48762.308475</v>
      </c>
      <c r="V9" s="112" t="n">
        <f aca="false">AUG!V47</f>
        <v>1896.75752874624</v>
      </c>
      <c r="W9" s="112"/>
      <c r="X9" s="112" t="n">
        <f aca="false">AUG!X47</f>
        <v>13295.36</v>
      </c>
      <c r="Y9" s="112" t="n">
        <f aca="false">AUG!Y47</f>
        <v>3769</v>
      </c>
      <c r="Z9" s="112"/>
      <c r="AA9" s="112" t="n">
        <f aca="false">AUG!AA47</f>
        <v>70749.36</v>
      </c>
      <c r="AB9" s="112" t="n">
        <f aca="false">AUG!AB47</f>
        <v>5667.51650113436</v>
      </c>
      <c r="AC9" s="112" t="n">
        <f aca="false">AUG!AC47</f>
        <v>76416.8765011344</v>
      </c>
      <c r="AD9" s="161"/>
      <c r="AE9" s="117"/>
      <c r="AF9" s="167"/>
      <c r="AG9" s="118"/>
      <c r="AH9" s="352"/>
      <c r="AI9" s="359" t="n">
        <f aca="false">AUG!AI47</f>
        <v>1208.31619706931</v>
      </c>
      <c r="AJ9" s="298" t="n">
        <f aca="false">AUG!AJ47</f>
        <v>596.53</v>
      </c>
    </row>
    <row r="10" s="105" customFormat="true" ht="11.1" hidden="false" customHeight="true" outlineLevel="0" collapsed="false">
      <c r="A10" s="112" t="s">
        <v>53</v>
      </c>
      <c r="B10" s="168" t="n">
        <f aca="false">AUG!B42</f>
        <v>6868.42</v>
      </c>
      <c r="C10" s="112" t="n">
        <f aca="false">AUG!C42</f>
        <v>183645</v>
      </c>
      <c r="D10" s="112" t="n">
        <f aca="false">AUG!D51</f>
        <v>27078</v>
      </c>
      <c r="E10" s="112" t="n">
        <f aca="false">AUG!E51</f>
        <v>31645</v>
      </c>
      <c r="F10" s="164" t="n">
        <f aca="false">AUG!F50</f>
        <v>13651.6259137888</v>
      </c>
      <c r="G10" s="112" t="n">
        <f aca="false">AUG!G50</f>
        <v>82567</v>
      </c>
      <c r="H10" s="112" t="n">
        <f aca="false">AUG!H50</f>
        <v>1328.66</v>
      </c>
      <c r="I10" s="112" t="n">
        <f aca="false">AUG!I50</f>
        <v>83895.66</v>
      </c>
      <c r="J10" s="112" t="n">
        <f aca="false">AUG!J50</f>
        <v>10211.048563146</v>
      </c>
      <c r="K10" s="112" t="n">
        <f aca="false">AUG!K50</f>
        <v>94106.7085631459</v>
      </c>
      <c r="L10" s="112" t="n">
        <f aca="false">AUG!L50</f>
        <v>3909.01591378875</v>
      </c>
      <c r="M10" s="165" t="n">
        <f aca="false">AUG!M50</f>
        <v>27389.2</v>
      </c>
      <c r="N10" s="112" t="n">
        <f aca="false">AUG!N50</f>
        <v>57.81</v>
      </c>
      <c r="O10" s="112" t="n">
        <f aca="false">AUG!O50</f>
        <v>4583.476025</v>
      </c>
      <c r="P10" s="117" t="n">
        <f aca="false">AUG!P50</f>
        <v>68.61</v>
      </c>
      <c r="Q10" s="117" t="n">
        <f aca="false">AUG!Q50</f>
        <v>125.85</v>
      </c>
      <c r="R10" s="377" t="n">
        <f aca="false">AUG!R50</f>
        <v>88.573</v>
      </c>
      <c r="S10" s="112" t="n">
        <f aca="false">AUG!S50</f>
        <v>19140.8</v>
      </c>
      <c r="T10" s="112" t="n">
        <f aca="false">AUG!T50</f>
        <v>8294.8</v>
      </c>
      <c r="U10" s="112" t="n">
        <f aca="false">AUG!U50</f>
        <v>49900.480975</v>
      </c>
      <c r="V10" s="112"/>
      <c r="W10" s="112"/>
      <c r="X10" s="112" t="n">
        <f aca="false">AUG!X50</f>
        <v>13295.36</v>
      </c>
      <c r="Y10" s="112" t="n">
        <f aca="false">AUG!Y50</f>
        <v>6032.89</v>
      </c>
      <c r="Z10" s="112" t="n">
        <f aca="false">AUG!Z50</f>
        <v>4472.49231157046</v>
      </c>
      <c r="AA10" s="112" t="n">
        <f aca="false">AUG!AA50</f>
        <v>74153.05</v>
      </c>
      <c r="AB10" s="112" t="n">
        <f aca="false">AUG!AB50</f>
        <v>6302.03264935719</v>
      </c>
      <c r="AC10" s="112" t="n">
        <f aca="false">AUG!AC50</f>
        <v>80455.0826493572</v>
      </c>
      <c r="AD10" s="161" t="n">
        <f aca="false">AUG!AD50</f>
        <v>9.17</v>
      </c>
      <c r="AE10" s="117"/>
      <c r="AF10" s="167"/>
      <c r="AG10" s="118"/>
      <c r="AH10" s="352"/>
      <c r="AI10" s="359" t="n">
        <f aca="false">AUG!AI50</f>
        <v>1208.31619706931</v>
      </c>
      <c r="AJ10" s="211"/>
    </row>
    <row r="11" customFormat="false" ht="3" hidden="false" customHeight="true" outlineLevel="0" collapsed="false">
      <c r="A11" s="169"/>
      <c r="B11" s="170"/>
      <c r="C11" s="171"/>
      <c r="D11" s="169"/>
      <c r="E11" s="171"/>
      <c r="F11" s="172"/>
      <c r="G11" s="169"/>
      <c r="H11" s="173"/>
      <c r="I11" s="169"/>
      <c r="J11" s="169"/>
      <c r="K11" s="169"/>
      <c r="L11" s="169"/>
      <c r="M11" s="174"/>
      <c r="N11" s="169"/>
      <c r="O11" s="169"/>
      <c r="P11" s="300"/>
      <c r="Q11" s="300"/>
      <c r="R11" s="225"/>
      <c r="S11" s="169"/>
      <c r="T11" s="169"/>
      <c r="U11" s="169"/>
      <c r="V11" s="171"/>
      <c r="W11" s="171"/>
      <c r="X11" s="169"/>
      <c r="Y11" s="169"/>
      <c r="Z11" s="171"/>
      <c r="AA11" s="169"/>
      <c r="AB11" s="169"/>
      <c r="AC11" s="169"/>
      <c r="AD11" s="176"/>
      <c r="AE11" s="177" t="n">
        <v>0</v>
      </c>
      <c r="AF11" s="178"/>
      <c r="AG11" s="179"/>
      <c r="AH11" s="226"/>
      <c r="AI11" s="226" t="s">
        <v>116</v>
      </c>
      <c r="AJ11" s="301" t="s">
        <v>116</v>
      </c>
    </row>
    <row r="12" customFormat="false" ht="11.1" hidden="false" customHeight="true" outlineLevel="0" collapsed="false">
      <c r="A12" s="118" t="n">
        <v>1</v>
      </c>
      <c r="B12" s="168" t="n">
        <v>6868.19</v>
      </c>
      <c r="C12" s="112" t="n">
        <v>183046</v>
      </c>
      <c r="D12" s="117" t="n">
        <f aca="false">C12-C10</f>
        <v>-599</v>
      </c>
      <c r="E12" s="112" t="n">
        <f aca="false">C12-152000</f>
        <v>31046</v>
      </c>
      <c r="F12" s="180" t="n">
        <f aca="false">D12/$D$2</f>
        <v>-301.991429291656</v>
      </c>
      <c r="G12" s="111" t="n">
        <v>218</v>
      </c>
      <c r="H12" s="113" t="n">
        <v>0</v>
      </c>
      <c r="I12" s="111" t="n">
        <f aca="false">G12+H12</f>
        <v>218</v>
      </c>
      <c r="J12" s="181" t="n">
        <f aca="false">IF(L12&gt;0,L12,0)</f>
        <v>0</v>
      </c>
      <c r="K12" s="111" t="n">
        <f aca="false">I12+J12</f>
        <v>218</v>
      </c>
      <c r="L12" s="111" t="n">
        <f aca="false">F12-(I12-AA12)</f>
        <v>-107.701429291656</v>
      </c>
      <c r="M12" s="182" t="n">
        <v>163</v>
      </c>
      <c r="N12" s="89" t="n">
        <v>0</v>
      </c>
      <c r="O12" s="111" t="n">
        <f aca="false">19.06*1.05</f>
        <v>20.013</v>
      </c>
      <c r="P12" s="115" t="n">
        <v>2.42</v>
      </c>
      <c r="Q12" s="245" t="n">
        <v>4.2</v>
      </c>
      <c r="R12" s="227" t="n">
        <v>2.93</v>
      </c>
      <c r="S12" s="111" t="n">
        <v>114</v>
      </c>
      <c r="T12" s="111" t="n">
        <v>66</v>
      </c>
      <c r="U12" s="111" t="n">
        <f aca="false">M12-N12-O12-P12-Q12-R12+S12+T12</f>
        <v>313.437</v>
      </c>
      <c r="V12" s="112" t="n">
        <f aca="false">V9+AH12-(AI12/1.9835)</f>
        <v>1793.50204802648</v>
      </c>
      <c r="W12" s="112"/>
      <c r="X12" s="111" t="n">
        <v>51.29</v>
      </c>
      <c r="Y12" s="111" t="n">
        <v>18</v>
      </c>
      <c r="Z12" s="112" t="n">
        <f aca="false">Z10-Y12</f>
        <v>4454.49231157046</v>
      </c>
      <c r="AA12" s="6" t="n">
        <f aca="false">M12+S12+T12+X12+Y12</f>
        <v>412.29</v>
      </c>
      <c r="AB12" s="111" t="n">
        <f aca="false">IF(L12&lt;0,L12*-1,0)</f>
        <v>107.701429291656</v>
      </c>
      <c r="AC12" s="111" t="n">
        <f aca="false">AA12+AB12</f>
        <v>519.991429291656</v>
      </c>
      <c r="AD12" s="161" t="n">
        <v>0</v>
      </c>
      <c r="AE12" s="117" t="n">
        <v>88</v>
      </c>
      <c r="AF12" s="167" t="n">
        <v>49</v>
      </c>
      <c r="AG12" s="118" t="n">
        <v>0</v>
      </c>
      <c r="AH12" s="352" t="n">
        <f aca="false">(I12-P12-Q12)-(U12)</f>
        <v>-102.057</v>
      </c>
      <c r="AI12" s="359" t="n">
        <f aca="false">23.5*(V9*1.9835-U12*1.9835)/E12</f>
        <v>2.3771865076355</v>
      </c>
      <c r="AJ12" s="211"/>
    </row>
    <row r="13" customFormat="false" ht="11.1" hidden="false" customHeight="true" outlineLevel="0" collapsed="false">
      <c r="A13" s="118" t="n">
        <v>2</v>
      </c>
      <c r="B13" s="168" t="n">
        <v>6867.96</v>
      </c>
      <c r="C13" s="112" t="n">
        <v>182447</v>
      </c>
      <c r="D13" s="117" t="n">
        <f aca="false">C13-C12</f>
        <v>-599</v>
      </c>
      <c r="E13" s="112" t="n">
        <f aca="false">C13-152000</f>
        <v>30447</v>
      </c>
      <c r="F13" s="180" t="n">
        <f aca="false">D13/$D$2</f>
        <v>-301.991429291656</v>
      </c>
      <c r="G13" s="111" t="n">
        <v>184</v>
      </c>
      <c r="H13" s="113" t="n">
        <v>0</v>
      </c>
      <c r="I13" s="111" t="n">
        <f aca="false">G13+H13</f>
        <v>184</v>
      </c>
      <c r="J13" s="181" t="n">
        <f aca="false">IF(L13&gt;0,L13,0)</f>
        <v>0</v>
      </c>
      <c r="K13" s="111" t="n">
        <f aca="false">I13+J13</f>
        <v>184</v>
      </c>
      <c r="L13" s="111" t="n">
        <f aca="false">F13-(I13-AA13)</f>
        <v>-36.0614292916562</v>
      </c>
      <c r="M13" s="182" t="n">
        <v>188</v>
      </c>
      <c r="N13" s="89" t="n">
        <v>0</v>
      </c>
      <c r="O13" s="111" t="n">
        <f aca="false">27.77*1.05</f>
        <v>29.1585</v>
      </c>
      <c r="P13" s="115" t="n">
        <v>2.77</v>
      </c>
      <c r="Q13" s="245" t="n">
        <v>4.2</v>
      </c>
      <c r="R13" s="227" t="n">
        <v>2.82</v>
      </c>
      <c r="S13" s="111" t="n">
        <v>110</v>
      </c>
      <c r="T13" s="111" t="n">
        <v>66</v>
      </c>
      <c r="U13" s="111" t="n">
        <f aca="false">M13-N13-O13-P13-Q13-R13+S13+T13</f>
        <v>325.0515</v>
      </c>
      <c r="V13" s="112" t="n">
        <f aca="false">V12+AH13-(AI13/1.9835)</f>
        <v>1644.34714940334</v>
      </c>
      <c r="W13" s="112"/>
      <c r="X13" s="111" t="n">
        <v>69.93</v>
      </c>
      <c r="Y13" s="111" t="n">
        <v>16</v>
      </c>
      <c r="Z13" s="112" t="n">
        <f aca="false">Z12-Y13</f>
        <v>4438.49231157046</v>
      </c>
      <c r="AA13" s="6" t="n">
        <f aca="false">M13+S13+T13+X13+Y13</f>
        <v>449.93</v>
      </c>
      <c r="AB13" s="111" t="n">
        <f aca="false">IF(L13&lt;0,L13*-1,0)</f>
        <v>36.0614292916562</v>
      </c>
      <c r="AC13" s="111" t="n">
        <f aca="false">AA13+AB13</f>
        <v>485.991429291656</v>
      </c>
      <c r="AD13" s="161" t="n">
        <v>0</v>
      </c>
      <c r="AE13" s="117" t="n">
        <v>85</v>
      </c>
      <c r="AF13" s="167" t="n">
        <v>52</v>
      </c>
      <c r="AG13" s="118" t="n">
        <v>0</v>
      </c>
      <c r="AH13" s="352" t="n">
        <f aca="false">(I13-P13-Q13)-(U13)</f>
        <v>-148.0215</v>
      </c>
      <c r="AI13" s="359" t="n">
        <f aca="false">23.5*(V12*1.9835-U13*1.9835)/E13</f>
        <v>2.24809616899029</v>
      </c>
      <c r="AJ13" s="211"/>
    </row>
    <row r="14" customFormat="false" ht="11.1" hidden="false" customHeight="true" outlineLevel="0" collapsed="false">
      <c r="A14" s="118" t="n">
        <v>3</v>
      </c>
      <c r="B14" s="168" t="n">
        <v>6867.79</v>
      </c>
      <c r="C14" s="112" t="n">
        <v>182010</v>
      </c>
      <c r="D14" s="117" t="n">
        <f aca="false">C14-C13</f>
        <v>-437</v>
      </c>
      <c r="E14" s="112" t="n">
        <f aca="false">C14-152000</f>
        <v>30010</v>
      </c>
      <c r="F14" s="180" t="n">
        <f aca="false">D14/$D$2</f>
        <v>-220.317620368036</v>
      </c>
      <c r="G14" s="111" t="n">
        <v>171</v>
      </c>
      <c r="H14" s="113" t="n">
        <v>0</v>
      </c>
      <c r="I14" s="111" t="n">
        <f aca="false">G14+H14</f>
        <v>171</v>
      </c>
      <c r="J14" s="181" t="n">
        <f aca="false">IF(L14&gt;0,L14,0)</f>
        <v>43.9223796319637</v>
      </c>
      <c r="K14" s="111" t="n">
        <f aca="false">I14+J14</f>
        <v>214.922379631964</v>
      </c>
      <c r="L14" s="111" t="n">
        <f aca="false">F14-(I14-AA14)</f>
        <v>43.9223796319637</v>
      </c>
      <c r="M14" s="182" t="n">
        <v>197</v>
      </c>
      <c r="N14" s="89" t="n">
        <v>0</v>
      </c>
      <c r="O14" s="111" t="n">
        <f aca="false">31.55*1.05</f>
        <v>33.1275</v>
      </c>
      <c r="P14" s="115" t="n">
        <v>2.38</v>
      </c>
      <c r="Q14" s="245" t="n">
        <v>4.2</v>
      </c>
      <c r="R14" s="227" t="n">
        <v>3.6</v>
      </c>
      <c r="S14" s="111" t="n">
        <v>108</v>
      </c>
      <c r="T14" s="111" t="n">
        <v>66</v>
      </c>
      <c r="U14" s="111" t="n">
        <f aca="false">M14-N14-O14-P14-Q14-R14+S14+T14</f>
        <v>327.6925</v>
      </c>
      <c r="V14" s="112" t="n">
        <f aca="false">V13+AH14-(AI14/1.9835)</f>
        <v>1480.04361360658</v>
      </c>
      <c r="W14" s="112"/>
      <c r="X14" s="111" t="n">
        <v>45.24</v>
      </c>
      <c r="Y14" s="111" t="n">
        <v>19</v>
      </c>
      <c r="Z14" s="112" t="n">
        <f aca="false">Z13-Y14</f>
        <v>4419.49231157046</v>
      </c>
      <c r="AA14" s="6" t="n">
        <f aca="false">M14+S14+T14+X14+Y14</f>
        <v>435.24</v>
      </c>
      <c r="AB14" s="111" t="n">
        <f aca="false">IF(L14&lt;0,L14*-1,0)</f>
        <v>0</v>
      </c>
      <c r="AC14" s="111" t="n">
        <f aca="false">AA14+AB14</f>
        <v>435.24</v>
      </c>
      <c r="AD14" s="161" t="n">
        <v>0</v>
      </c>
      <c r="AE14" s="117" t="n">
        <v>79</v>
      </c>
      <c r="AF14" s="167" t="n">
        <v>57</v>
      </c>
      <c r="AG14" s="118" t="n">
        <v>0</v>
      </c>
      <c r="AH14" s="352" t="n">
        <f aca="false">(I14-P14-Q14)-(U14)</f>
        <v>-163.2725</v>
      </c>
      <c r="AI14" s="359" t="n">
        <f aca="false">23.5*(V13*1.9835-U14*1.9835)/E14</f>
        <v>2.0450595028874</v>
      </c>
      <c r="AJ14" s="211"/>
    </row>
    <row r="15" customFormat="false" ht="11.1" hidden="false" customHeight="true" outlineLevel="0" collapsed="false">
      <c r="A15" s="118" t="n">
        <v>4</v>
      </c>
      <c r="B15" s="168" t="n">
        <v>6867.54</v>
      </c>
      <c r="C15" s="112" t="n">
        <v>181367</v>
      </c>
      <c r="D15" s="117" t="n">
        <f aca="false">C15-C14</f>
        <v>-643</v>
      </c>
      <c r="E15" s="112" t="n">
        <f aca="false">C15-152000</f>
        <v>29367</v>
      </c>
      <c r="F15" s="180" t="n">
        <f aca="false">D15/$D$2</f>
        <v>-324.174439122763</v>
      </c>
      <c r="G15" s="111" t="n">
        <v>158</v>
      </c>
      <c r="H15" s="113" t="n">
        <v>0</v>
      </c>
      <c r="I15" s="111" t="n">
        <f aca="false">G15+H15</f>
        <v>158</v>
      </c>
      <c r="J15" s="181" t="n">
        <f aca="false">IF(L15&gt;0,L15,0)</f>
        <v>0</v>
      </c>
      <c r="K15" s="111" t="n">
        <f aca="false">I15+J15</f>
        <v>158</v>
      </c>
      <c r="L15" s="111" t="n">
        <f aca="false">F15-(I15-AA15)</f>
        <v>-36.0044391227628</v>
      </c>
      <c r="M15" s="182" t="n">
        <v>196</v>
      </c>
      <c r="N15" s="89" t="n">
        <v>0</v>
      </c>
      <c r="O15" s="111" t="n">
        <f aca="false">35.13*1.05</f>
        <v>36.8865</v>
      </c>
      <c r="P15" s="115" t="n">
        <v>2.39</v>
      </c>
      <c r="Q15" s="245" t="n">
        <v>4.2</v>
      </c>
      <c r="R15" s="227" t="n">
        <v>4.56</v>
      </c>
      <c r="S15" s="111" t="n">
        <v>107</v>
      </c>
      <c r="T15" s="111" t="n">
        <v>66</v>
      </c>
      <c r="U15" s="111" t="n">
        <f aca="false">M15-N15-O15-P15-Q15-R15+S15+T15</f>
        <v>320.9635</v>
      </c>
      <c r="V15" s="112" t="n">
        <f aca="false">V14+AH15-(AI15/1.9835)</f>
        <v>1309.5625969154</v>
      </c>
      <c r="W15" s="112"/>
      <c r="X15" s="111" t="n">
        <v>58.17</v>
      </c>
      <c r="Y15" s="111" t="n">
        <v>19</v>
      </c>
      <c r="Z15" s="112" t="n">
        <f aca="false">Z14-Y15</f>
        <v>4400.49231157046</v>
      </c>
      <c r="AA15" s="6" t="n">
        <f aca="false">M15+S15+T15+X15+Y15</f>
        <v>446.17</v>
      </c>
      <c r="AB15" s="111" t="n">
        <f aca="false">IF(L15&lt;0,L15*-1,0)</f>
        <v>36.0044391227628</v>
      </c>
      <c r="AC15" s="111" t="n">
        <f aca="false">AA15+AB15</f>
        <v>482.174439122763</v>
      </c>
      <c r="AD15" s="161" t="n">
        <v>0</v>
      </c>
      <c r="AE15" s="117" t="n">
        <v>78</v>
      </c>
      <c r="AF15" s="167" t="n">
        <v>54</v>
      </c>
      <c r="AG15" s="118" t="n">
        <v>0</v>
      </c>
      <c r="AH15" s="352" t="n">
        <f aca="false">(I15-P15-Q15)-(U15)</f>
        <v>-169.5535</v>
      </c>
      <c r="AI15" s="359" t="n">
        <f aca="false">23.5*(V14*1.9835-U15*1.9835)/E15</f>
        <v>1.83972935694685</v>
      </c>
      <c r="AJ15" s="211"/>
    </row>
    <row r="16" customFormat="false" ht="11.1" hidden="false" customHeight="true" outlineLevel="0" collapsed="false">
      <c r="A16" s="118" t="n">
        <v>5</v>
      </c>
      <c r="B16" s="168" t="n">
        <v>6867.26</v>
      </c>
      <c r="C16" s="112" t="n">
        <v>180647</v>
      </c>
      <c r="D16" s="117" t="n">
        <f aca="false">C16-C15</f>
        <v>-720</v>
      </c>
      <c r="E16" s="112" t="n">
        <f aca="false">C16-152000</f>
        <v>28647</v>
      </c>
      <c r="F16" s="180" t="n">
        <f aca="false">D16/$D$2</f>
        <v>-362.994706327199</v>
      </c>
      <c r="G16" s="111" t="n">
        <v>168</v>
      </c>
      <c r="H16" s="113" t="n">
        <v>0</v>
      </c>
      <c r="I16" s="111" t="n">
        <f aca="false">G16+H16</f>
        <v>168</v>
      </c>
      <c r="J16" s="181" t="n">
        <f aca="false">IF(L16&gt;0,L16,0)</f>
        <v>0</v>
      </c>
      <c r="K16" s="111" t="n">
        <f aca="false">I16+J16</f>
        <v>168</v>
      </c>
      <c r="L16" s="111" t="n">
        <f aca="false">F16-(I16-AA16)</f>
        <v>-113.194706327199</v>
      </c>
      <c r="M16" s="182" t="n">
        <v>186</v>
      </c>
      <c r="N16" s="89" t="n">
        <v>0</v>
      </c>
      <c r="O16" s="111" t="n">
        <f aca="false">33.86*1.05</f>
        <v>35.553</v>
      </c>
      <c r="P16" s="115" t="n">
        <v>2.83</v>
      </c>
      <c r="Q16" s="245" t="n">
        <v>4.2</v>
      </c>
      <c r="R16" s="227" t="n">
        <v>5.25</v>
      </c>
      <c r="S16" s="111" t="n">
        <v>106</v>
      </c>
      <c r="T16" s="111" t="n">
        <v>66</v>
      </c>
      <c r="U16" s="111" t="n">
        <f aca="false">M16-N16-O16-P16-Q16-R16+S16+T16</f>
        <v>310.167</v>
      </c>
      <c r="V16" s="112" t="n">
        <f aca="false">V15+AH16-(AI16/1.9835)</f>
        <v>1159.54576249897</v>
      </c>
      <c r="W16" s="112"/>
      <c r="X16" s="111" t="n">
        <v>40.8</v>
      </c>
      <c r="Y16" s="111" t="n">
        <v>19</v>
      </c>
      <c r="Z16" s="112" t="n">
        <f aca="false">Z15-Y16</f>
        <v>4381.49231157046</v>
      </c>
      <c r="AA16" s="6" t="n">
        <f aca="false">M16+S16+T16+X16+Y16</f>
        <v>417.8</v>
      </c>
      <c r="AB16" s="111" t="n">
        <f aca="false">IF(L16&lt;0,L16*-1,0)</f>
        <v>113.194706327199</v>
      </c>
      <c r="AC16" s="111" t="n">
        <f aca="false">AA16+AB16</f>
        <v>530.994706327199</v>
      </c>
      <c r="AD16" s="161" t="n">
        <v>0</v>
      </c>
      <c r="AE16" s="117" t="n">
        <v>77</v>
      </c>
      <c r="AF16" s="167" t="n">
        <v>52</v>
      </c>
      <c r="AG16" s="118" t="n">
        <v>0</v>
      </c>
      <c r="AH16" s="352" t="n">
        <f aca="false">(I16-P16-Q16)-(U16)</f>
        <v>-149.197</v>
      </c>
      <c r="AI16" s="359" t="n">
        <f aca="false">23.5*(V15*1.9835-U16*1.9835)/E16</f>
        <v>1.62614156499179</v>
      </c>
      <c r="AJ16" s="211"/>
    </row>
    <row r="17" customFormat="false" ht="11.1" hidden="false" customHeight="true" outlineLevel="0" collapsed="false">
      <c r="A17" s="118" t="n">
        <v>6</v>
      </c>
      <c r="B17" s="168" t="n">
        <v>6867.02</v>
      </c>
      <c r="C17" s="112" t="n">
        <v>180030</v>
      </c>
      <c r="D17" s="117" t="n">
        <f aca="false">C17-C16</f>
        <v>-617</v>
      </c>
      <c r="E17" s="112" t="n">
        <f aca="false">C17-152000</f>
        <v>28030</v>
      </c>
      <c r="F17" s="180" t="n">
        <f aca="false">D17/$D$2</f>
        <v>-311.066296949836</v>
      </c>
      <c r="G17" s="111" t="n">
        <v>185</v>
      </c>
      <c r="H17" s="113" t="n">
        <v>0</v>
      </c>
      <c r="I17" s="111" t="n">
        <f aca="false">G17+H17</f>
        <v>185</v>
      </c>
      <c r="J17" s="181" t="n">
        <f aca="false">IF(L17&gt;0,L17,0)</f>
        <v>0</v>
      </c>
      <c r="K17" s="111" t="n">
        <f aca="false">I17+J17</f>
        <v>185</v>
      </c>
      <c r="L17" s="111" t="n">
        <f aca="false">F17-(I17-AA17)</f>
        <v>-55.8162969498362</v>
      </c>
      <c r="M17" s="182" t="n">
        <v>188</v>
      </c>
      <c r="N17" s="89" t="n">
        <v>0</v>
      </c>
      <c r="O17" s="111" t="n">
        <f aca="false">31.34*1.05</f>
        <v>32.907</v>
      </c>
      <c r="P17" s="115" t="n">
        <v>2.52</v>
      </c>
      <c r="Q17" s="245" t="n">
        <v>4.2</v>
      </c>
      <c r="R17" s="227" t="n">
        <v>5.16</v>
      </c>
      <c r="S17" s="111" t="n">
        <v>105</v>
      </c>
      <c r="T17" s="111" t="n">
        <v>67</v>
      </c>
      <c r="U17" s="111" t="n">
        <f aca="false">M17-N17-O17-P17-Q17-R17+S17+T17</f>
        <v>315.213</v>
      </c>
      <c r="V17" s="112" t="n">
        <f aca="false">V16+AH17-(AI17/1.9835)</f>
        <v>1021.904884514</v>
      </c>
      <c r="W17" s="112"/>
      <c r="X17" s="111" t="n">
        <v>60.25</v>
      </c>
      <c r="Y17" s="111" t="n">
        <v>20</v>
      </c>
      <c r="Z17" s="112" t="n">
        <f aca="false">Z16-Y17</f>
        <v>4361.49231157046</v>
      </c>
      <c r="AA17" s="6" t="n">
        <f aca="false">M17+S17+T17+X17+Y17</f>
        <v>440.25</v>
      </c>
      <c r="AB17" s="111" t="n">
        <f aca="false">IF(L17&lt;0,L17*-1,0)</f>
        <v>55.8162969498362</v>
      </c>
      <c r="AC17" s="111" t="n">
        <f aca="false">AA17+AB17</f>
        <v>496.066296949836</v>
      </c>
      <c r="AD17" s="161" t="n">
        <v>0.03</v>
      </c>
      <c r="AE17" s="117" t="n">
        <v>70</v>
      </c>
      <c r="AF17" s="167" t="n">
        <v>49</v>
      </c>
      <c r="AG17" s="118" t="n">
        <v>0</v>
      </c>
      <c r="AH17" s="352" t="n">
        <f aca="false">(I17-P17-Q17)-(U17)</f>
        <v>-136.933</v>
      </c>
      <c r="AI17" s="359" t="n">
        <f aca="false">23.5*(V16*1.9835-U17*1.9835)/E17</f>
        <v>1.40407598318918</v>
      </c>
      <c r="AJ17" s="211"/>
    </row>
    <row r="18" customFormat="false" ht="11.1" hidden="false" customHeight="true" outlineLevel="0" collapsed="false">
      <c r="A18" s="118" t="n">
        <v>7</v>
      </c>
      <c r="B18" s="168" t="n">
        <v>6866.86</v>
      </c>
      <c r="C18" s="112" t="n">
        <v>179624</v>
      </c>
      <c r="D18" s="117" t="n">
        <f aca="false">C18-C17</f>
        <v>-406</v>
      </c>
      <c r="E18" s="112" t="n">
        <f aca="false">C18-152000</f>
        <v>27624</v>
      </c>
      <c r="F18" s="180" t="n">
        <f aca="false">D18/$D$2</f>
        <v>-204.688681623393</v>
      </c>
      <c r="G18" s="111" t="n">
        <v>242</v>
      </c>
      <c r="H18" s="113" t="n">
        <v>0</v>
      </c>
      <c r="I18" s="111" t="n">
        <f aca="false">G18+H18</f>
        <v>242</v>
      </c>
      <c r="J18" s="181" t="n">
        <f aca="false">IF(L18&gt;0,L18,0)</f>
        <v>3.55131837660701</v>
      </c>
      <c r="K18" s="111" t="n">
        <f aca="false">I18+J18</f>
        <v>245.551318376607</v>
      </c>
      <c r="L18" s="111" t="n">
        <f aca="false">F18-(I18-AA18)</f>
        <v>3.55131837660701</v>
      </c>
      <c r="M18" s="182" t="n">
        <v>160</v>
      </c>
      <c r="N18" s="89" t="n">
        <v>0</v>
      </c>
      <c r="O18" s="111" t="n">
        <f aca="false">20.13*1.05</f>
        <v>21.1365</v>
      </c>
      <c r="P18" s="115" t="n">
        <v>2.56</v>
      </c>
      <c r="Q18" s="245" t="n">
        <v>4.2</v>
      </c>
      <c r="R18" s="227" t="n">
        <v>5.58</v>
      </c>
      <c r="S18" s="111" t="n">
        <v>106</v>
      </c>
      <c r="T18" s="111" t="n">
        <v>68</v>
      </c>
      <c r="U18" s="111" t="n">
        <f aca="false">M18-N18-O18-P18-Q18-R18+S18+T18</f>
        <v>300.5235</v>
      </c>
      <c r="V18" s="112" t="n">
        <f aca="false">V17+AH18-(AI18/1.9835)</f>
        <v>956.007698496909</v>
      </c>
      <c r="W18" s="112"/>
      <c r="X18" s="111" t="n">
        <v>97.24</v>
      </c>
      <c r="Y18" s="111" t="n">
        <v>19</v>
      </c>
      <c r="Z18" s="112" t="n">
        <f aca="false">Z17-Y18</f>
        <v>4342.49231157046</v>
      </c>
      <c r="AA18" s="6" t="n">
        <f aca="false">M18+S18+T18+X18+Y18</f>
        <v>450.24</v>
      </c>
      <c r="AB18" s="111" t="n">
        <f aca="false">IF(L18&lt;0,L18*-1,0)</f>
        <v>0</v>
      </c>
      <c r="AC18" s="111" t="n">
        <f aca="false">AA18+AB18</f>
        <v>450.24</v>
      </c>
      <c r="AD18" s="161" t="n">
        <v>0</v>
      </c>
      <c r="AE18" s="117" t="n">
        <v>75</v>
      </c>
      <c r="AF18" s="167" t="n">
        <v>45</v>
      </c>
      <c r="AG18" s="118" t="n">
        <v>0</v>
      </c>
      <c r="AH18" s="352" t="n">
        <f aca="false">(I18-P18-Q18)-(U18)</f>
        <v>-65.2835</v>
      </c>
      <c r="AI18" s="359" t="n">
        <f aca="false">23.5*(V17*1.9835-U18*1.9835)/E18</f>
        <v>1.21724621489692</v>
      </c>
      <c r="AJ18" s="211"/>
    </row>
    <row r="19" customFormat="false" ht="11.1" hidden="false" customHeight="true" outlineLevel="0" collapsed="false">
      <c r="A19" s="118" t="n">
        <v>8</v>
      </c>
      <c r="B19" s="168" t="n">
        <v>6866.63</v>
      </c>
      <c r="C19" s="112" t="n">
        <v>179041</v>
      </c>
      <c r="D19" s="117" t="n">
        <f aca="false">C19-C18</f>
        <v>-583</v>
      </c>
      <c r="E19" s="112" t="n">
        <f aca="false">C19-152000</f>
        <v>27041</v>
      </c>
      <c r="F19" s="180" t="n">
        <f aca="false">D19/$D$2</f>
        <v>-293.924880262163</v>
      </c>
      <c r="G19" s="111" t="n">
        <v>203</v>
      </c>
      <c r="H19" s="113" t="n">
        <v>0</v>
      </c>
      <c r="I19" s="111" t="n">
        <f aca="false">G19+H19</f>
        <v>203</v>
      </c>
      <c r="J19" s="181" t="n">
        <f aca="false">IF(L19&gt;0,L19,0)</f>
        <v>0</v>
      </c>
      <c r="K19" s="111" t="n">
        <f aca="false">I19+J19</f>
        <v>203</v>
      </c>
      <c r="L19" s="111" t="n">
        <f aca="false">F19-(I19-AA19)</f>
        <v>-88.5848802621628</v>
      </c>
      <c r="M19" s="182" t="n">
        <v>170</v>
      </c>
      <c r="N19" s="89" t="n">
        <v>0</v>
      </c>
      <c r="O19" s="111" t="n">
        <f aca="false">23.23*1.05</f>
        <v>24.3915</v>
      </c>
      <c r="P19" s="115" t="n">
        <v>2.73</v>
      </c>
      <c r="Q19" s="245" t="n">
        <v>4.2</v>
      </c>
      <c r="R19" s="227" t="n">
        <v>6.07</v>
      </c>
      <c r="S19" s="111" t="n">
        <v>104</v>
      </c>
      <c r="T19" s="111" t="n">
        <v>67</v>
      </c>
      <c r="U19" s="111" t="n">
        <f aca="false">M19-N19-O19-P19-Q19-R19+S19+T19</f>
        <v>303.6085</v>
      </c>
      <c r="V19" s="112" t="n">
        <f aca="false">V18+AH19-(AI19/1.9835)</f>
        <v>847.902230516262</v>
      </c>
      <c r="W19" s="112"/>
      <c r="X19" s="111" t="n">
        <v>48.34</v>
      </c>
      <c r="Y19" s="111" t="n">
        <v>19</v>
      </c>
      <c r="Z19" s="112" t="n">
        <f aca="false">Z18-Y19</f>
        <v>4323.49231157046</v>
      </c>
      <c r="AA19" s="6" t="n">
        <f aca="false">M19+S19+T19+X19+Y19</f>
        <v>408.34</v>
      </c>
      <c r="AB19" s="111" t="n">
        <f aca="false">IF(L19&lt;0,L19*-1,0)</f>
        <v>88.5848802621628</v>
      </c>
      <c r="AC19" s="111" t="n">
        <f aca="false">AA19+AB19</f>
        <v>496.924880262163</v>
      </c>
      <c r="AD19" s="161" t="n">
        <v>0</v>
      </c>
      <c r="AE19" s="117" t="n">
        <v>76</v>
      </c>
      <c r="AF19" s="167" t="n">
        <v>48</v>
      </c>
      <c r="AG19" s="118" t="n">
        <v>0</v>
      </c>
      <c r="AH19" s="352" t="n">
        <f aca="false">(I19-P19-Q19)-(U19)</f>
        <v>-107.5385</v>
      </c>
      <c r="AI19" s="359" t="n">
        <f aca="false">23.5*(V18*1.9835-U19*1.9835)/E19</f>
        <v>1.12458098961346</v>
      </c>
      <c r="AJ19" s="211"/>
    </row>
    <row r="20" customFormat="false" ht="11.1" hidden="false" customHeight="true" outlineLevel="0" collapsed="false">
      <c r="A20" s="118" t="n">
        <v>9</v>
      </c>
      <c r="B20" s="168" t="n">
        <v>6866.76</v>
      </c>
      <c r="C20" s="112" t="n">
        <v>179371</v>
      </c>
      <c r="D20" s="117" t="n">
        <f aca="false">C20-C19</f>
        <v>330</v>
      </c>
      <c r="E20" s="112" t="n">
        <f aca="false">C20-152000</f>
        <v>27371</v>
      </c>
      <c r="F20" s="180" t="n">
        <f aca="false">D20/$D$2</f>
        <v>166.3725737333</v>
      </c>
      <c r="G20" s="111" t="n">
        <v>254</v>
      </c>
      <c r="H20" s="113" t="n">
        <v>0.8</v>
      </c>
      <c r="I20" s="111" t="n">
        <f aca="false">G20+H20</f>
        <v>254.8</v>
      </c>
      <c r="J20" s="181" t="n">
        <f aca="false">IF(L20&gt;0,L20,0)</f>
        <v>158.5325737333</v>
      </c>
      <c r="K20" s="111" t="n">
        <f aca="false">I20+J20</f>
        <v>413.3325737333</v>
      </c>
      <c r="L20" s="111" t="n">
        <f aca="false">F20-(I20-AA20)</f>
        <v>158.5325737333</v>
      </c>
      <c r="M20" s="182" t="n">
        <v>99</v>
      </c>
      <c r="N20" s="111" t="n">
        <v>0</v>
      </c>
      <c r="O20" s="111" t="n">
        <f aca="false">11.14*1.05</f>
        <v>11.697</v>
      </c>
      <c r="P20" s="115" t="n">
        <v>2.22</v>
      </c>
      <c r="Q20" s="245" t="n">
        <v>4.2</v>
      </c>
      <c r="R20" s="227" t="n">
        <v>6.62</v>
      </c>
      <c r="S20" s="111" t="n">
        <v>70</v>
      </c>
      <c r="T20" s="111" t="n">
        <v>48</v>
      </c>
      <c r="U20" s="111" t="n">
        <f aca="false">M20-N20-O20-P20-Q20-R20+S20+T20</f>
        <v>192.263</v>
      </c>
      <c r="V20" s="112" t="n">
        <f aca="false">V19-(AI20/1.9835)</f>
        <v>847.174244603539</v>
      </c>
      <c r="W20" s="112"/>
      <c r="X20" s="111" t="n">
        <v>9.96</v>
      </c>
      <c r="Y20" s="111" t="n">
        <v>20</v>
      </c>
      <c r="Z20" s="112" t="n">
        <f aca="false">Z19-Y20</f>
        <v>4303.49231157046</v>
      </c>
      <c r="AA20" s="6" t="n">
        <f aca="false">M20+S20+T20+X20+Y20</f>
        <v>246.96</v>
      </c>
      <c r="AB20" s="111" t="n">
        <f aca="false">IF(L20&lt;0,L20*-1,0)</f>
        <v>0</v>
      </c>
      <c r="AC20" s="111" t="n">
        <f aca="false">AA20+AB20</f>
        <v>246.96</v>
      </c>
      <c r="AD20" s="161" t="n">
        <v>1.54</v>
      </c>
      <c r="AE20" s="117" t="n">
        <v>64</v>
      </c>
      <c r="AF20" s="167" t="n">
        <v>46</v>
      </c>
      <c r="AG20" s="118" t="n">
        <v>0</v>
      </c>
      <c r="AH20" s="352" t="n">
        <v>0</v>
      </c>
      <c r="AI20" s="359" t="n">
        <f aca="false">23.5*(V19*1.9835)/E20</f>
        <v>1.44396005788541</v>
      </c>
      <c r="AJ20" s="211"/>
    </row>
    <row r="21" customFormat="false" ht="11.1" hidden="false" customHeight="true" outlineLevel="0" collapsed="false">
      <c r="A21" s="118" t="n">
        <v>10</v>
      </c>
      <c r="B21" s="168" t="n">
        <v>6867.46</v>
      </c>
      <c r="C21" s="112" t="n">
        <v>181162</v>
      </c>
      <c r="D21" s="117" t="n">
        <f aca="false">C21-C20</f>
        <v>1791</v>
      </c>
      <c r="E21" s="112" t="n">
        <f aca="false">C21-152000</f>
        <v>29162</v>
      </c>
      <c r="F21" s="180" t="n">
        <f aca="false">D21/$D$2</f>
        <v>902.949331988908</v>
      </c>
      <c r="G21" s="111" t="n">
        <v>1210</v>
      </c>
      <c r="H21" s="113" t="n">
        <v>0.04</v>
      </c>
      <c r="I21" s="111" t="n">
        <f aca="false">G21+H21</f>
        <v>1210.04</v>
      </c>
      <c r="J21" s="181" t="n">
        <f aca="false">IF(L21&gt;0,L21,0)</f>
        <v>26.9093319889085</v>
      </c>
      <c r="K21" s="111" t="n">
        <f aca="false">I21+J21</f>
        <v>1236.94933198891</v>
      </c>
      <c r="L21" s="111" t="n">
        <f aca="false">F21-(I21-AA21)</f>
        <v>26.9093319889085</v>
      </c>
      <c r="M21" s="182" t="n">
        <v>50</v>
      </c>
      <c r="N21" s="111" t="n">
        <v>0.5</v>
      </c>
      <c r="O21" s="111" t="n">
        <v>0</v>
      </c>
      <c r="P21" s="115" t="n">
        <v>2.29</v>
      </c>
      <c r="Q21" s="245" t="n">
        <v>4.2</v>
      </c>
      <c r="R21" s="227" t="n">
        <v>4.21</v>
      </c>
      <c r="S21" s="111" t="n">
        <v>223</v>
      </c>
      <c r="T21" s="111" t="n">
        <v>41</v>
      </c>
      <c r="U21" s="111" t="n">
        <f aca="false">M21-N21-O21-P21-Q21-R21+S21+T21</f>
        <v>302.8</v>
      </c>
      <c r="V21" s="112" t="n">
        <f aca="false">V20-(AI21/1.9835)</f>
        <v>846.491554981834</v>
      </c>
      <c r="W21" s="112"/>
      <c r="X21" s="111" t="n">
        <v>0</v>
      </c>
      <c r="Y21" s="111" t="n">
        <v>20</v>
      </c>
      <c r="Z21" s="112" t="n">
        <f aca="false">Z20-Y21</f>
        <v>4283.49231157046</v>
      </c>
      <c r="AA21" s="6" t="n">
        <f aca="false">M21+S21+T21+X21+Y21</f>
        <v>334</v>
      </c>
      <c r="AB21" s="111" t="n">
        <f aca="false">IF(L21&lt;0,L21*-1,0)</f>
        <v>0</v>
      </c>
      <c r="AC21" s="111" t="n">
        <f aca="false">AA21+AB21</f>
        <v>334</v>
      </c>
      <c r="AD21" s="161" t="n">
        <v>0</v>
      </c>
      <c r="AE21" s="117" t="n">
        <v>63</v>
      </c>
      <c r="AF21" s="167" t="n">
        <v>45</v>
      </c>
      <c r="AG21" s="118" t="n">
        <v>117.93</v>
      </c>
      <c r="AH21" s="352" t="n">
        <v>0</v>
      </c>
      <c r="AI21" s="359" t="n">
        <f aca="false">23.5*(V20*1.9835)/E21</f>
        <v>1.35411486465336</v>
      </c>
      <c r="AJ21" s="211"/>
    </row>
    <row r="22" customFormat="false" ht="11.1" hidden="false" customHeight="true" outlineLevel="0" collapsed="false">
      <c r="A22" s="118" t="n">
        <v>11</v>
      </c>
      <c r="B22" s="168" t="n">
        <v>6867.74</v>
      </c>
      <c r="C22" s="112" t="n">
        <v>181881</v>
      </c>
      <c r="D22" s="117" t="n">
        <f aca="false">C22-C21</f>
        <v>719</v>
      </c>
      <c r="E22" s="112" t="n">
        <f aca="false">C22-152000</f>
        <v>29881</v>
      </c>
      <c r="F22" s="180" t="n">
        <f aca="false">D22/$D$2</f>
        <v>362.490547012856</v>
      </c>
      <c r="G22" s="111" t="n">
        <v>800</v>
      </c>
      <c r="H22" s="113" t="n">
        <v>0</v>
      </c>
      <c r="I22" s="111" t="n">
        <f aca="false">G22+H22</f>
        <v>800</v>
      </c>
      <c r="J22" s="181" t="n">
        <f aca="false">IF(L22&gt;0,L22,0)</f>
        <v>0</v>
      </c>
      <c r="K22" s="111" t="n">
        <f aca="false">I22+J22</f>
        <v>800</v>
      </c>
      <c r="L22" s="111" t="n">
        <f aca="false">F22-(I22-AA22)</f>
        <v>-60.509452987144</v>
      </c>
      <c r="M22" s="182" t="n">
        <v>85</v>
      </c>
      <c r="N22" s="111" t="n">
        <v>0</v>
      </c>
      <c r="O22" s="111" t="n">
        <v>0</v>
      </c>
      <c r="P22" s="115" t="n">
        <v>2.38</v>
      </c>
      <c r="Q22" s="245" t="n">
        <v>4.2</v>
      </c>
      <c r="R22" s="227" t="n">
        <v>3.39</v>
      </c>
      <c r="S22" s="111" t="n">
        <v>222</v>
      </c>
      <c r="T22" s="111" t="n">
        <v>50</v>
      </c>
      <c r="U22" s="111" t="n">
        <f aca="false">M22-N22-O22-P22-Q22-R22+S22+T22</f>
        <v>347.03</v>
      </c>
      <c r="V22" s="112" t="n">
        <f aca="false">V21-(AI22/1.9835)</f>
        <v>845.825829218236</v>
      </c>
      <c r="W22" s="112"/>
      <c r="X22" s="111" t="n">
        <v>0</v>
      </c>
      <c r="Y22" s="111" t="n">
        <v>20</v>
      </c>
      <c r="Z22" s="112" t="n">
        <f aca="false">Z21-Y22</f>
        <v>4263.49231157046</v>
      </c>
      <c r="AA22" s="6" t="n">
        <f aca="false">M22+S22+T22+X22+Y22</f>
        <v>377</v>
      </c>
      <c r="AB22" s="111" t="n">
        <f aca="false">IF(L22&lt;0,L22*-1,0)</f>
        <v>60.509452987144</v>
      </c>
      <c r="AC22" s="111" t="n">
        <f aca="false">AA22+AB22</f>
        <v>437.509452987144</v>
      </c>
      <c r="AD22" s="161" t="n">
        <v>0</v>
      </c>
      <c r="AE22" s="117" t="n">
        <v>64</v>
      </c>
      <c r="AF22" s="167" t="n">
        <v>38</v>
      </c>
      <c r="AG22" s="118" t="n">
        <v>143.7</v>
      </c>
      <c r="AH22" s="352" t="n">
        <v>0</v>
      </c>
      <c r="AI22" s="359" t="n">
        <f aca="false">23.5*(V21*1.9835)/E22</f>
        <v>1.32046705209672</v>
      </c>
      <c r="AJ22" s="211"/>
    </row>
    <row r="23" customFormat="false" ht="11.1" hidden="false" customHeight="true" outlineLevel="0" collapsed="false">
      <c r="A23" s="118" t="n">
        <v>12</v>
      </c>
      <c r="B23" s="168" t="n">
        <v>6867.96</v>
      </c>
      <c r="C23" s="112" t="n">
        <v>182447</v>
      </c>
      <c r="D23" s="117" t="n">
        <f aca="false">C23-C22</f>
        <v>566</v>
      </c>
      <c r="E23" s="112" t="n">
        <f aca="false">C23-152000</f>
        <v>30447</v>
      </c>
      <c r="F23" s="180" t="n">
        <f aca="false">D23/$D$2</f>
        <v>285.354171918326</v>
      </c>
      <c r="G23" s="111" t="n">
        <v>594</v>
      </c>
      <c r="H23" s="113" t="n">
        <v>0</v>
      </c>
      <c r="I23" s="111" t="n">
        <f aca="false">G23+H23</f>
        <v>594</v>
      </c>
      <c r="J23" s="181" t="n">
        <f aca="false">IF(L23&gt;0,L23,0)</f>
        <v>0</v>
      </c>
      <c r="K23" s="111" t="n">
        <f aca="false">I23+J23</f>
        <v>594</v>
      </c>
      <c r="L23" s="111" t="n">
        <f aca="false">F23-(I23-AA23)</f>
        <v>-130.645828081674</v>
      </c>
      <c r="M23" s="182" t="n">
        <v>83</v>
      </c>
      <c r="N23" s="111" t="n">
        <v>0</v>
      </c>
      <c r="O23" s="111" t="n">
        <v>0</v>
      </c>
      <c r="P23" s="115" t="n">
        <v>2.2</v>
      </c>
      <c r="Q23" s="245" t="n">
        <v>4.2</v>
      </c>
      <c r="R23" s="227" t="n">
        <v>3.46</v>
      </c>
      <c r="S23" s="111" t="n">
        <v>22</v>
      </c>
      <c r="T23" s="111" t="n">
        <v>53</v>
      </c>
      <c r="U23" s="111" t="n">
        <f aca="false">M23-N23-O23-P23-Q23-R23+S23+T23</f>
        <v>148.14</v>
      </c>
      <c r="V23" s="112" t="n">
        <f aca="false">V22-(AI23/1.9835)</f>
        <v>845.172992912963</v>
      </c>
      <c r="W23" s="112"/>
      <c r="X23" s="111" t="n">
        <v>0</v>
      </c>
      <c r="Y23" s="111" t="n">
        <v>20</v>
      </c>
      <c r="Z23" s="112" t="n">
        <f aca="false">Z22-Y23</f>
        <v>4243.49231157046</v>
      </c>
      <c r="AA23" s="6" t="n">
        <f aca="false">M23+S23+T23+X23+Y23</f>
        <v>178</v>
      </c>
      <c r="AB23" s="111" t="n">
        <f aca="false">IF(L23&lt;0,L23*-1,0)</f>
        <v>130.645828081674</v>
      </c>
      <c r="AC23" s="111" t="n">
        <f aca="false">AA23+AB23</f>
        <v>308.645828081674</v>
      </c>
      <c r="AD23" s="161" t="n">
        <v>0</v>
      </c>
      <c r="AE23" s="117" t="n">
        <v>71</v>
      </c>
      <c r="AF23" s="167" t="n">
        <v>41</v>
      </c>
      <c r="AG23" s="118" t="n">
        <v>0</v>
      </c>
      <c r="AH23" s="352" t="n">
        <v>0</v>
      </c>
      <c r="AI23" s="359" t="n">
        <f aca="false">23.5*(V22*1.9835)/E23</f>
        <v>1.29490081150779</v>
      </c>
      <c r="AJ23" s="211"/>
    </row>
    <row r="24" customFormat="false" ht="11.1" hidden="false" customHeight="true" outlineLevel="0" collapsed="false">
      <c r="A24" s="118" t="n">
        <v>13</v>
      </c>
      <c r="B24" s="168" t="n">
        <v>6868.24</v>
      </c>
      <c r="C24" s="112" t="n">
        <v>183176</v>
      </c>
      <c r="D24" s="117" t="n">
        <f aca="false">C24-C23</f>
        <v>729</v>
      </c>
      <c r="E24" s="112" t="n">
        <f aca="false">C24-152000</f>
        <v>31176</v>
      </c>
      <c r="F24" s="180" t="n">
        <f aca="false">D24/$D$2</f>
        <v>367.532140156289</v>
      </c>
      <c r="G24" s="111" t="n">
        <v>523</v>
      </c>
      <c r="H24" s="113" t="n">
        <v>0</v>
      </c>
      <c r="I24" s="111" t="n">
        <f aca="false">G24+H24</f>
        <v>523</v>
      </c>
      <c r="J24" s="181" t="n">
        <f aca="false">IF(L24&gt;0,L24,0)</f>
        <v>0</v>
      </c>
      <c r="K24" s="111" t="n">
        <f aca="false">I24+J24</f>
        <v>523</v>
      </c>
      <c r="L24" s="111" t="n">
        <f aca="false">F24-(I24-AA24)</f>
        <v>-10.4678598437106</v>
      </c>
      <c r="M24" s="182" t="n">
        <v>72</v>
      </c>
      <c r="N24" s="111" t="n">
        <v>0</v>
      </c>
      <c r="O24" s="111" t="n">
        <v>0</v>
      </c>
      <c r="P24" s="115" t="n">
        <v>1.86</v>
      </c>
      <c r="Q24" s="245" t="n">
        <v>4.2</v>
      </c>
      <c r="R24" s="227" t="n">
        <v>2.95</v>
      </c>
      <c r="S24" s="111" t="n">
        <v>0</v>
      </c>
      <c r="T24" s="111" t="n">
        <v>53</v>
      </c>
      <c r="U24" s="111" t="n">
        <f aca="false">M24-N24-O24-P24-Q24-R24+S24+T24</f>
        <v>115.99</v>
      </c>
      <c r="V24" s="112" t="n">
        <f aca="false">V23-(AI24/1.9835)</f>
        <v>844.535914219948</v>
      </c>
      <c r="W24" s="112"/>
      <c r="X24" s="111" t="n">
        <v>0</v>
      </c>
      <c r="Y24" s="111" t="n">
        <v>20</v>
      </c>
      <c r="Z24" s="112" t="n">
        <f aca="false">Z23-Y24</f>
        <v>4223.49231157046</v>
      </c>
      <c r="AA24" s="6" t="n">
        <f aca="false">M24+S24+T24+X24+Y24</f>
        <v>145</v>
      </c>
      <c r="AB24" s="111" t="n">
        <f aca="false">IF(L24&lt;0,L24*-1,0)</f>
        <v>10.4678598437106</v>
      </c>
      <c r="AC24" s="111" t="n">
        <f aca="false">AA24+AB24</f>
        <v>155.467859843711</v>
      </c>
      <c r="AD24" s="161" t="n">
        <v>0</v>
      </c>
      <c r="AE24" s="117" t="n">
        <v>69</v>
      </c>
      <c r="AF24" s="167" t="n">
        <v>44</v>
      </c>
      <c r="AG24" s="118" t="n">
        <v>0</v>
      </c>
      <c r="AH24" s="352" t="n">
        <v>0</v>
      </c>
      <c r="AI24" s="359" t="n">
        <f aca="false">23.5*(V23*1.9835)/E24</f>
        <v>1.26364558759646</v>
      </c>
      <c r="AJ24" s="211"/>
    </row>
    <row r="25" customFormat="false" ht="11.1" hidden="false" customHeight="true" outlineLevel="0" collapsed="false">
      <c r="A25" s="118" t="n">
        <v>14</v>
      </c>
      <c r="B25" s="168" t="n">
        <v>6868.37</v>
      </c>
      <c r="C25" s="112" t="n">
        <v>183515</v>
      </c>
      <c r="D25" s="117" t="n">
        <f aca="false">C25-C24</f>
        <v>339</v>
      </c>
      <c r="E25" s="112" t="n">
        <f aca="false">C25-152000</f>
        <v>31515</v>
      </c>
      <c r="F25" s="180" t="n">
        <f aca="false">D25/$D$2</f>
        <v>170.91000756239</v>
      </c>
      <c r="G25" s="111" t="n">
        <v>449</v>
      </c>
      <c r="H25" s="113" t="n">
        <v>0</v>
      </c>
      <c r="I25" s="111" t="n">
        <f aca="false">G25+H25</f>
        <v>449</v>
      </c>
      <c r="J25" s="181" t="n">
        <f aca="false">IF(L25&gt;0,L25,0)</f>
        <v>0</v>
      </c>
      <c r="K25" s="111" t="n">
        <f aca="false">I25+J25</f>
        <v>449</v>
      </c>
      <c r="L25" s="111" t="n">
        <f aca="false">F25-(I25-AA25)</f>
        <v>-114.08999243761</v>
      </c>
      <c r="M25" s="182" t="n">
        <v>87</v>
      </c>
      <c r="N25" s="111" t="n">
        <v>0</v>
      </c>
      <c r="O25" s="111" t="n">
        <f aca="false">10.06*1.05</f>
        <v>10.563</v>
      </c>
      <c r="P25" s="115" t="n">
        <v>2.14</v>
      </c>
      <c r="Q25" s="245" t="n">
        <v>4.2</v>
      </c>
      <c r="R25" s="227" t="n">
        <v>3.25</v>
      </c>
      <c r="S25" s="111" t="n">
        <v>0</v>
      </c>
      <c r="T25" s="111" t="n">
        <v>57</v>
      </c>
      <c r="U25" s="111" t="n">
        <f aca="false">M25-N25-O25-P25-Q25-R25+S25+T25</f>
        <v>123.847</v>
      </c>
      <c r="V25" s="112" t="n">
        <f aca="false">V24-(AI25/1.9835)</f>
        <v>843.906163498571</v>
      </c>
      <c r="W25" s="112"/>
      <c r="X25" s="111" t="n">
        <v>0</v>
      </c>
      <c r="Y25" s="111" t="n">
        <v>20</v>
      </c>
      <c r="Z25" s="112" t="n">
        <f aca="false">Z24-Y25</f>
        <v>4203.49231157046</v>
      </c>
      <c r="AA25" s="6" t="n">
        <f aca="false">M25+S25+T25+X25+Y25</f>
        <v>164</v>
      </c>
      <c r="AB25" s="111" t="n">
        <f aca="false">IF(L25&lt;0,L25*-1,0)</f>
        <v>114.08999243761</v>
      </c>
      <c r="AC25" s="111" t="n">
        <f aca="false">AA25+AB25</f>
        <v>278.08999243761</v>
      </c>
      <c r="AD25" s="161" t="n">
        <v>0</v>
      </c>
      <c r="AE25" s="117" t="n">
        <v>70</v>
      </c>
      <c r="AF25" s="167" t="n">
        <v>38</v>
      </c>
      <c r="AG25" s="118" t="n">
        <v>0</v>
      </c>
      <c r="AH25" s="352" t="n">
        <v>0</v>
      </c>
      <c r="AI25" s="359" t="n">
        <f aca="false">23.5*(V24*1.9835)/E25</f>
        <v>1.24911055584956</v>
      </c>
      <c r="AJ25" s="211"/>
    </row>
    <row r="26" customFormat="false" ht="11.1" hidden="false" customHeight="true" outlineLevel="0" collapsed="false">
      <c r="A26" s="118" t="n">
        <v>15</v>
      </c>
      <c r="B26" s="168" t="n">
        <v>6868.43</v>
      </c>
      <c r="C26" s="112" t="n">
        <v>183671</v>
      </c>
      <c r="D26" s="117" t="n">
        <f aca="false">C26-C25</f>
        <v>156</v>
      </c>
      <c r="E26" s="112" t="n">
        <f aca="false">C26-152000</f>
        <v>31671</v>
      </c>
      <c r="F26" s="180" t="n">
        <f aca="false">D26/$D$2</f>
        <v>78.6488530375599</v>
      </c>
      <c r="G26" s="111" t="n">
        <v>372</v>
      </c>
      <c r="H26" s="113" t="n">
        <v>0</v>
      </c>
      <c r="I26" s="111" t="n">
        <f aca="false">G26+H26</f>
        <v>372</v>
      </c>
      <c r="J26" s="181" t="n">
        <f aca="false">IF(L26&gt;0,L26,0)</f>
        <v>0</v>
      </c>
      <c r="K26" s="111" t="n">
        <f aca="false">I26+J26</f>
        <v>372</v>
      </c>
      <c r="L26" s="111" t="n">
        <f aca="false">F26-(I26-AA26)</f>
        <v>-82.4511469624401</v>
      </c>
      <c r="M26" s="182" t="n">
        <v>107</v>
      </c>
      <c r="N26" s="111" t="n">
        <v>0</v>
      </c>
      <c r="O26" s="111" t="n">
        <f aca="false">22.03*1.05</f>
        <v>23.1315</v>
      </c>
      <c r="P26" s="115" t="n">
        <v>2.02</v>
      </c>
      <c r="Q26" s="245" t="n">
        <v>4.2</v>
      </c>
      <c r="R26" s="227" t="n">
        <v>2.37</v>
      </c>
      <c r="S26" s="111" t="n">
        <v>0</v>
      </c>
      <c r="T26" s="111" t="n">
        <v>57</v>
      </c>
      <c r="U26" s="111" t="n">
        <f aca="false">M26-N26-O26-P26-Q26-R26+S26+T26</f>
        <v>132.2785</v>
      </c>
      <c r="V26" s="112" t="n">
        <f aca="false">V25-(AI26/1.9835)</f>
        <v>843.279981981025</v>
      </c>
      <c r="W26" s="112"/>
      <c r="X26" s="111" t="n">
        <v>26.9</v>
      </c>
      <c r="Y26" s="111" t="n">
        <v>20</v>
      </c>
      <c r="Z26" s="112" t="n">
        <f aca="false">Z25-Y26</f>
        <v>4183.49231157046</v>
      </c>
      <c r="AA26" s="6" t="n">
        <f aca="false">M26+S26+T26+X26+Y26</f>
        <v>210.9</v>
      </c>
      <c r="AB26" s="111" t="n">
        <f aca="false">IF(L26&lt;0,L26*-1,0)</f>
        <v>82.4511469624401</v>
      </c>
      <c r="AC26" s="111" t="n">
        <f aca="false">AA26+AB26</f>
        <v>293.35114696244</v>
      </c>
      <c r="AD26" s="161" t="n">
        <v>0</v>
      </c>
      <c r="AE26" s="117" t="n">
        <v>72</v>
      </c>
      <c r="AF26" s="167" t="n">
        <v>40</v>
      </c>
      <c r="AG26" s="118" t="n">
        <v>0</v>
      </c>
      <c r="AH26" s="352" t="n">
        <v>0</v>
      </c>
      <c r="AI26" s="359" t="n">
        <f aca="false">23.5*(V25*1.9835)/E26</f>
        <v>1.24203104005356</v>
      </c>
      <c r="AJ26" s="211"/>
    </row>
    <row r="27" customFormat="false" ht="11.1" hidden="false" customHeight="true" outlineLevel="0" collapsed="false">
      <c r="A27" s="118" t="n">
        <v>16</v>
      </c>
      <c r="B27" s="168" t="n">
        <v>6868.49</v>
      </c>
      <c r="C27" s="112" t="n">
        <v>183823</v>
      </c>
      <c r="D27" s="117" t="n">
        <f aca="false">C27-C26</f>
        <v>152</v>
      </c>
      <c r="E27" s="112" t="n">
        <f aca="false">C27-152000</f>
        <v>31823</v>
      </c>
      <c r="F27" s="180" t="n">
        <f aca="false">D27/$D$2</f>
        <v>76.6322157801865</v>
      </c>
      <c r="G27" s="111" t="n">
        <v>316</v>
      </c>
      <c r="H27" s="113" t="n">
        <v>0</v>
      </c>
      <c r="I27" s="111" t="n">
        <f aca="false">G27+H27</f>
        <v>316</v>
      </c>
      <c r="J27" s="181" t="n">
        <f aca="false">IF(L27&gt;0,L27,0)</f>
        <v>0</v>
      </c>
      <c r="K27" s="111" t="n">
        <f aca="false">I27+J27</f>
        <v>316</v>
      </c>
      <c r="L27" s="111" t="n">
        <f aca="false">F27-(I27-AA27)</f>
        <v>-49.9777842198135</v>
      </c>
      <c r="M27" s="182" t="n">
        <v>75</v>
      </c>
      <c r="N27" s="111" t="n">
        <v>0</v>
      </c>
      <c r="O27" s="111" t="n">
        <f aca="false">21.51*1.05</f>
        <v>22.5855</v>
      </c>
      <c r="P27" s="115" t="n">
        <v>1.98</v>
      </c>
      <c r="Q27" s="245" t="n">
        <v>4.2</v>
      </c>
      <c r="R27" s="227" t="n">
        <v>1.7</v>
      </c>
      <c r="S27" s="111" t="n">
        <v>0</v>
      </c>
      <c r="T27" s="111" t="n">
        <v>50</v>
      </c>
      <c r="U27" s="111" t="n">
        <f aca="false">M27-N27-O27-P27-Q27-R27+S27+T27</f>
        <v>94.5345</v>
      </c>
      <c r="V27" s="112" t="n">
        <f aca="false">V26-(AI27/1.9835)</f>
        <v>842.657253778889</v>
      </c>
      <c r="W27" s="112"/>
      <c r="X27" s="111" t="n">
        <v>44.39</v>
      </c>
      <c r="Y27" s="111" t="n">
        <v>20</v>
      </c>
      <c r="Z27" s="112" t="n">
        <f aca="false">Z26-Y27</f>
        <v>4163.49231157046</v>
      </c>
      <c r="AA27" s="6" t="n">
        <f aca="false">M27+S27+T27+X27+Y27</f>
        <v>189.39</v>
      </c>
      <c r="AB27" s="111" t="n">
        <f aca="false">IF(L27&lt;0,L27*-1,0)</f>
        <v>49.9777842198135</v>
      </c>
      <c r="AC27" s="111" t="n">
        <f aca="false">AA27+AB27</f>
        <v>239.367784219813</v>
      </c>
      <c r="AD27" s="161" t="n">
        <v>0</v>
      </c>
      <c r="AE27" s="117" t="n">
        <v>78</v>
      </c>
      <c r="AF27" s="167" t="n">
        <v>46</v>
      </c>
      <c r="AG27" s="118" t="n">
        <v>0</v>
      </c>
      <c r="AH27" s="352" t="n">
        <v>0</v>
      </c>
      <c r="AI27" s="359" t="n">
        <f aca="false">23.5*(V26*1.9835)/E27</f>
        <v>1.23518138893552</v>
      </c>
      <c r="AJ27" s="211"/>
    </row>
    <row r="28" customFormat="false" ht="11.1" hidden="false" customHeight="true" outlineLevel="0" collapsed="false">
      <c r="A28" s="118" t="n">
        <v>17</v>
      </c>
      <c r="B28" s="168" t="n">
        <v>6868.56</v>
      </c>
      <c r="C28" s="112" t="n">
        <v>184011</v>
      </c>
      <c r="D28" s="117" t="n">
        <f aca="false">C28-C27</f>
        <v>188</v>
      </c>
      <c r="E28" s="112" t="n">
        <f aca="false">C28-152000</f>
        <v>32011</v>
      </c>
      <c r="F28" s="180" t="n">
        <f aca="false">D28/$D$2</f>
        <v>94.7819510965465</v>
      </c>
      <c r="G28" s="111" t="n">
        <v>270</v>
      </c>
      <c r="H28" s="113" t="n">
        <v>0</v>
      </c>
      <c r="I28" s="111" t="n">
        <f aca="false">G28+H28</f>
        <v>270</v>
      </c>
      <c r="J28" s="181" t="n">
        <f aca="false">IF(L28&gt;0,L28,0)</f>
        <v>0</v>
      </c>
      <c r="K28" s="111" t="n">
        <f aca="false">I28+J28</f>
        <v>270</v>
      </c>
      <c r="L28" s="111" t="n">
        <f aca="false">F28-(I28-AA28)</f>
        <v>-28.3180489034535</v>
      </c>
      <c r="M28" s="182" t="n">
        <v>67</v>
      </c>
      <c r="N28" s="111" t="n">
        <v>0.5</v>
      </c>
      <c r="O28" s="111" t="n">
        <f aca="false">31.57*1.05</f>
        <v>33.1485</v>
      </c>
      <c r="P28" s="115" t="n">
        <v>1.73</v>
      </c>
      <c r="Q28" s="245" t="n">
        <v>4.2</v>
      </c>
      <c r="R28" s="227" t="n">
        <v>1.9</v>
      </c>
      <c r="S28" s="111" t="n">
        <v>0</v>
      </c>
      <c r="T28" s="111" t="n">
        <v>45</v>
      </c>
      <c r="U28" s="111" t="n">
        <f aca="false">M28-N28-O28-P28-Q28-R28+S28+T28</f>
        <v>70.5215</v>
      </c>
      <c r="V28" s="112" t="n">
        <f aca="false">V27-(AI28/1.9835)</f>
        <v>842.090411436763</v>
      </c>
      <c r="W28" s="112"/>
      <c r="X28" s="111" t="n">
        <v>14.9</v>
      </c>
      <c r="Y28" s="111" t="n">
        <v>20</v>
      </c>
      <c r="Z28" s="112" t="n">
        <f aca="false">Z27-Y28</f>
        <v>4143.49231157046</v>
      </c>
      <c r="AA28" s="6" t="n">
        <f aca="false">M28+S28+T28+X28+Y28</f>
        <v>146.9</v>
      </c>
      <c r="AB28" s="111" t="n">
        <f aca="false">IF(L28&lt;0,L28*-1,0)</f>
        <v>28.3180489034535</v>
      </c>
      <c r="AC28" s="111" t="n">
        <f aca="false">AA28+AB28</f>
        <v>175.218048903454</v>
      </c>
      <c r="AD28" s="161" t="n">
        <v>0</v>
      </c>
      <c r="AE28" s="117" t="n">
        <v>77</v>
      </c>
      <c r="AF28" s="167" t="n">
        <v>48</v>
      </c>
      <c r="AG28" s="118" t="n">
        <v>0</v>
      </c>
      <c r="AH28" s="352" t="n">
        <v>0</v>
      </c>
      <c r="AI28" s="359" t="n">
        <f aca="false">23.5*(V27*1.9835-U28*1.9835)/E28</f>
        <v>1.12433178560745</v>
      </c>
      <c r="AJ28" s="211"/>
    </row>
    <row r="29" customFormat="false" ht="11.1" hidden="false" customHeight="true" outlineLevel="0" collapsed="false">
      <c r="A29" s="118" t="n">
        <v>18</v>
      </c>
      <c r="B29" s="168" t="n">
        <v>6868.54</v>
      </c>
      <c r="C29" s="112" t="n">
        <v>183958</v>
      </c>
      <c r="D29" s="117" t="n">
        <f aca="false">C29-C28</f>
        <v>-53</v>
      </c>
      <c r="E29" s="112" t="n">
        <f aca="false">C29-152000</f>
        <v>31958</v>
      </c>
      <c r="F29" s="180" t="n">
        <f aca="false">D29/$D$2</f>
        <v>-26.7204436601966</v>
      </c>
      <c r="G29" s="111" t="n">
        <v>236</v>
      </c>
      <c r="H29" s="113" t="n">
        <v>0</v>
      </c>
      <c r="I29" s="111" t="n">
        <f aca="false">G29+H29</f>
        <v>236</v>
      </c>
      <c r="J29" s="181" t="n">
        <f aca="false">IF(L29&gt;0,L29,0)</f>
        <v>0</v>
      </c>
      <c r="K29" s="111" t="n">
        <f aca="false">I29+J29</f>
        <v>236</v>
      </c>
      <c r="L29" s="111" t="n">
        <f aca="false">F29-(I29-AA29)</f>
        <v>-46.3804436601966</v>
      </c>
      <c r="M29" s="182" t="n">
        <v>98</v>
      </c>
      <c r="N29" s="111" t="n">
        <v>0</v>
      </c>
      <c r="O29" s="111" t="n">
        <f aca="false">34.09*1.05</f>
        <v>35.7945</v>
      </c>
      <c r="P29" s="115" t="n">
        <v>2.08</v>
      </c>
      <c r="Q29" s="245" t="n">
        <v>4.2</v>
      </c>
      <c r="R29" s="227" t="n">
        <v>2.62</v>
      </c>
      <c r="S29" s="111" t="n">
        <v>47</v>
      </c>
      <c r="T29" s="111" t="n">
        <v>48</v>
      </c>
      <c r="U29" s="111" t="n">
        <f aca="false">M29-N29-O29-P29-Q29-R29+S29+T29</f>
        <v>148.3055</v>
      </c>
      <c r="V29" s="112" t="n">
        <f aca="false">V28-(AI29/1.9835)</f>
        <v>841.580243547072</v>
      </c>
      <c r="W29" s="112"/>
      <c r="X29" s="111" t="n">
        <v>3.34</v>
      </c>
      <c r="Y29" s="111" t="n">
        <v>20</v>
      </c>
      <c r="Z29" s="112" t="n">
        <f aca="false">Z28-Y29</f>
        <v>4123.49231157046</v>
      </c>
      <c r="AA29" s="6" t="n">
        <f aca="false">M29+S29+T29+X29+Y29</f>
        <v>216.34</v>
      </c>
      <c r="AB29" s="111" t="n">
        <f aca="false">IF(L29&lt;0,L29*-1,0)</f>
        <v>46.3804436601966</v>
      </c>
      <c r="AC29" s="111" t="n">
        <f aca="false">AA29+AB29</f>
        <v>262.720443660197</v>
      </c>
      <c r="AD29" s="161" t="n">
        <v>0</v>
      </c>
      <c r="AE29" s="117" t="n">
        <v>74</v>
      </c>
      <c r="AF29" s="167" t="n">
        <v>39</v>
      </c>
      <c r="AG29" s="118" t="n">
        <v>0</v>
      </c>
      <c r="AH29" s="352" t="n">
        <v>0</v>
      </c>
      <c r="AI29" s="359" t="n">
        <f aca="false">23.5*(V28*1.9835-U29*1.9835)/E29</f>
        <v>1.01191800920328</v>
      </c>
      <c r="AJ29" s="211"/>
    </row>
    <row r="30" customFormat="false" ht="11.1" hidden="false" customHeight="true" outlineLevel="0" collapsed="false">
      <c r="A30" s="118" t="n">
        <v>19</v>
      </c>
      <c r="B30" s="168" t="n">
        <v>6868.44</v>
      </c>
      <c r="C30" s="112" t="n">
        <v>183698</v>
      </c>
      <c r="D30" s="117" t="n">
        <f aca="false">C30-C29</f>
        <v>-260</v>
      </c>
      <c r="E30" s="112" t="n">
        <f aca="false">C30-152000</f>
        <v>31698</v>
      </c>
      <c r="F30" s="180" t="n">
        <f aca="false">D30/$D$2</f>
        <v>-131.081421729266</v>
      </c>
      <c r="G30" s="111" t="n">
        <v>209</v>
      </c>
      <c r="H30" s="113" t="n">
        <v>0</v>
      </c>
      <c r="I30" s="111" t="n">
        <f aca="false">G30+H30</f>
        <v>209</v>
      </c>
      <c r="J30" s="181" t="n">
        <f aca="false">IF(L30&gt;0,L30,0)</f>
        <v>0</v>
      </c>
      <c r="K30" s="111" t="n">
        <f aca="false">I30+J30</f>
        <v>209</v>
      </c>
      <c r="L30" s="111" t="n">
        <f aca="false">F30-(I30-AA30)</f>
        <v>-53.2914217292664</v>
      </c>
      <c r="M30" s="182" t="n">
        <v>125</v>
      </c>
      <c r="N30" s="111" t="n">
        <v>0</v>
      </c>
      <c r="O30" s="111" t="n">
        <f aca="false">41.39*1.05</f>
        <v>43.4595</v>
      </c>
      <c r="P30" s="115" t="n">
        <v>2.18</v>
      </c>
      <c r="Q30" s="245" t="n">
        <v>4.2</v>
      </c>
      <c r="R30" s="227" t="n">
        <v>4.31</v>
      </c>
      <c r="S30" s="111" t="n">
        <v>63</v>
      </c>
      <c r="T30" s="111" t="n">
        <v>48</v>
      </c>
      <c r="U30" s="111" t="n">
        <f aca="false">M30-N30-O30-P30-Q30-R30+S30+T30</f>
        <v>181.8505</v>
      </c>
      <c r="V30" s="112" t="n">
        <f aca="false">V29-(AI30/1.9835)</f>
        <v>841.091138588609</v>
      </c>
      <c r="W30" s="112"/>
      <c r="X30" s="111" t="n">
        <v>29.79</v>
      </c>
      <c r="Y30" s="111" t="n">
        <v>21</v>
      </c>
      <c r="Z30" s="112" t="n">
        <f aca="false">Z29-Y30</f>
        <v>4102.49231157046</v>
      </c>
      <c r="AA30" s="6" t="n">
        <f aca="false">M30+S30+T30+X30+Y30</f>
        <v>286.79</v>
      </c>
      <c r="AB30" s="111" t="n">
        <f aca="false">IF(L30&lt;0,L30*-1,0)</f>
        <v>53.2914217292664</v>
      </c>
      <c r="AC30" s="111" t="n">
        <f aca="false">AA30+AB30</f>
        <v>340.081421729266</v>
      </c>
      <c r="AD30" s="161" t="n">
        <v>0</v>
      </c>
      <c r="AE30" s="117" t="n">
        <v>71</v>
      </c>
      <c r="AF30" s="167" t="n">
        <v>36</v>
      </c>
      <c r="AG30" s="118" t="n">
        <v>0</v>
      </c>
      <c r="AH30" s="352" t="n">
        <v>0</v>
      </c>
      <c r="AI30" s="359" t="n">
        <f aca="false">23.5*(V29*1.9835-U30*1.9835)/E30</f>
        <v>0.970139685111111</v>
      </c>
      <c r="AJ30" s="211"/>
    </row>
    <row r="31" customFormat="false" ht="11.1" hidden="false" customHeight="true" outlineLevel="0" collapsed="false">
      <c r="A31" s="118" t="n">
        <v>20</v>
      </c>
      <c r="B31" s="168" t="n">
        <v>6868.36</v>
      </c>
      <c r="C31" s="112" t="n">
        <v>183489</v>
      </c>
      <c r="D31" s="117" t="n">
        <f aca="false">C31-C30</f>
        <v>-209</v>
      </c>
      <c r="E31" s="112" t="n">
        <f aca="false">C31-152000</f>
        <v>31489</v>
      </c>
      <c r="F31" s="180" t="n">
        <f aca="false">D31/$D$2</f>
        <v>-105.369296697756</v>
      </c>
      <c r="G31" s="111" t="n">
        <v>186</v>
      </c>
      <c r="H31" s="113" t="n">
        <v>0</v>
      </c>
      <c r="I31" s="111" t="n">
        <f aca="false">G31+H31</f>
        <v>186</v>
      </c>
      <c r="J31" s="181" t="n">
        <f aca="false">IF(L31&gt;0,L31,0)</f>
        <v>0</v>
      </c>
      <c r="K31" s="111" t="n">
        <f aca="false">I31+J31</f>
        <v>186</v>
      </c>
      <c r="L31" s="111" t="n">
        <f aca="false">F31-(I31-AA31)</f>
        <v>-10.3592966977565</v>
      </c>
      <c r="M31" s="182" t="n">
        <v>124</v>
      </c>
      <c r="N31" s="111" t="n">
        <v>0</v>
      </c>
      <c r="O31" s="111" t="n">
        <f aca="false">43.05*1.05</f>
        <v>45.2025</v>
      </c>
      <c r="P31" s="115" t="n">
        <v>2.08</v>
      </c>
      <c r="Q31" s="245" t="n">
        <v>4.2</v>
      </c>
      <c r="R31" s="227" t="n">
        <v>5.36</v>
      </c>
      <c r="S31" s="111" t="n">
        <v>66</v>
      </c>
      <c r="T31" s="111" t="n">
        <v>47</v>
      </c>
      <c r="U31" s="111" t="n">
        <f aca="false">M31-N31-O31-P31-Q31-R31+S31+T31</f>
        <v>180.1575</v>
      </c>
      <c r="V31" s="112" t="n">
        <f aca="false">V30-(AI31/1.9835)</f>
        <v>840.597888866266</v>
      </c>
      <c r="W31" s="112"/>
      <c r="X31" s="111" t="n">
        <v>23.01</v>
      </c>
      <c r="Y31" s="111" t="n">
        <v>21</v>
      </c>
      <c r="Z31" s="112" t="n">
        <f aca="false">Z30-Y31</f>
        <v>4081.49231157046</v>
      </c>
      <c r="AA31" s="6" t="n">
        <f aca="false">M31+S31+T31+X31+Y31</f>
        <v>281.01</v>
      </c>
      <c r="AB31" s="111" t="n">
        <f aca="false">IF(L31&lt;0,L31*-1,0)</f>
        <v>10.3592966977565</v>
      </c>
      <c r="AC31" s="111" t="n">
        <f aca="false">AA31+AB31</f>
        <v>291.369296697756</v>
      </c>
      <c r="AD31" s="161" t="n">
        <v>0</v>
      </c>
      <c r="AE31" s="117" t="n">
        <v>75</v>
      </c>
      <c r="AF31" s="167" t="n">
        <v>42</v>
      </c>
      <c r="AG31" s="118" t="n">
        <v>0</v>
      </c>
      <c r="AH31" s="352" t="n">
        <v>0</v>
      </c>
      <c r="AI31" s="359" t="n">
        <f aca="false">23.5*(V30*1.9835-U31*1.9835)/E31</f>
        <v>0.978360824265676</v>
      </c>
      <c r="AJ31" s="211"/>
    </row>
    <row r="32" customFormat="false" ht="11.1" hidden="false" customHeight="true" outlineLevel="0" collapsed="false">
      <c r="A32" s="118" t="n">
        <v>21</v>
      </c>
      <c r="B32" s="168" t="n">
        <v>6868.22</v>
      </c>
      <c r="C32" s="112" t="n">
        <v>183124</v>
      </c>
      <c r="D32" s="117" t="n">
        <f aca="false">C32-C31</f>
        <v>-365</v>
      </c>
      <c r="E32" s="112" t="n">
        <f aca="false">C32-152000</f>
        <v>31124</v>
      </c>
      <c r="F32" s="180" t="n">
        <f aca="false">D32/$D$2</f>
        <v>-184.018149735316</v>
      </c>
      <c r="G32" s="111" t="n">
        <v>169</v>
      </c>
      <c r="H32" s="113" t="n">
        <v>0</v>
      </c>
      <c r="I32" s="111" t="n">
        <f aca="false">G32+H32</f>
        <v>169</v>
      </c>
      <c r="J32" s="181" t="n">
        <f aca="false">IF(L32&gt;0,L32,0)</f>
        <v>0</v>
      </c>
      <c r="K32" s="111" t="n">
        <f aca="false">I32+J32</f>
        <v>169</v>
      </c>
      <c r="L32" s="111" t="n">
        <f aca="false">F32-(I32-AA32)</f>
        <v>-72.8381497353163</v>
      </c>
      <c r="M32" s="182" t="n">
        <v>133</v>
      </c>
      <c r="N32" s="111" t="n">
        <v>0</v>
      </c>
      <c r="O32" s="111" t="n">
        <f aca="false">48.02*1.05</f>
        <v>50.421</v>
      </c>
      <c r="P32" s="115" t="n">
        <v>2.05</v>
      </c>
      <c r="Q32" s="245" t="n">
        <v>4.2</v>
      </c>
      <c r="R32" s="227" t="n">
        <v>5.38</v>
      </c>
      <c r="S32" s="111" t="n">
        <v>71</v>
      </c>
      <c r="T32" s="111" t="n">
        <v>46</v>
      </c>
      <c r="U32" s="111" t="n">
        <f aca="false">M32-N32-O32-P32-Q32-R32+S32+T32</f>
        <v>187.949</v>
      </c>
      <c r="V32" s="112" t="n">
        <f aca="false">V31+AH32-(AI32/1.9835)</f>
        <v>814.906110017521</v>
      </c>
      <c r="W32" s="112"/>
      <c r="X32" s="111" t="n">
        <v>9.18</v>
      </c>
      <c r="Y32" s="111" t="n">
        <v>21</v>
      </c>
      <c r="Z32" s="112" t="n">
        <f aca="false">Z31-Y32</f>
        <v>4060.49231157046</v>
      </c>
      <c r="AA32" s="6" t="n">
        <f aca="false">M32+S32+T32+X32+Y32</f>
        <v>280.18</v>
      </c>
      <c r="AB32" s="111" t="n">
        <f aca="false">IF(L32&lt;0,L32*-1,0)</f>
        <v>72.8381497353163</v>
      </c>
      <c r="AC32" s="111" t="n">
        <f aca="false">AA32+AB32</f>
        <v>353.018149735316</v>
      </c>
      <c r="AD32" s="161" t="n">
        <v>0</v>
      </c>
      <c r="AE32" s="117" t="n">
        <v>75</v>
      </c>
      <c r="AF32" s="167" t="n">
        <v>41</v>
      </c>
      <c r="AG32" s="118" t="n">
        <v>0</v>
      </c>
      <c r="AH32" s="352" t="n">
        <f aca="false">(I32-P32-Q32)-(U32)</f>
        <v>-25.199</v>
      </c>
      <c r="AI32" s="359" t="n">
        <f aca="false">23.5*(V31*1.9835-U32*1.9835)/E32</f>
        <v>0.977426846486847</v>
      </c>
      <c r="AJ32" s="211"/>
    </row>
    <row r="33" customFormat="false" ht="11.1" hidden="false" customHeight="true" outlineLevel="0" collapsed="false">
      <c r="A33" s="118" t="n">
        <v>22</v>
      </c>
      <c r="B33" s="168" t="n">
        <v>6868.13</v>
      </c>
      <c r="C33" s="112" t="n">
        <v>182889</v>
      </c>
      <c r="D33" s="117" t="n">
        <f aca="false">C33-C32</f>
        <v>-235</v>
      </c>
      <c r="E33" s="112" t="n">
        <f aca="false">C33-152000</f>
        <v>30889</v>
      </c>
      <c r="F33" s="180" t="n">
        <f aca="false">D33/$D$2</f>
        <v>-118.477438870683</v>
      </c>
      <c r="G33" s="111" t="n">
        <v>155</v>
      </c>
      <c r="H33" s="113" t="n">
        <v>0</v>
      </c>
      <c r="I33" s="111" t="n">
        <f aca="false">G33+H33</f>
        <v>155</v>
      </c>
      <c r="J33" s="181" t="n">
        <f aca="false">IF(L33&gt;0,L33,0)</f>
        <v>0.722561129316858</v>
      </c>
      <c r="K33" s="111" t="n">
        <f aca="false">I33+J33</f>
        <v>155.722561129317</v>
      </c>
      <c r="L33" s="111" t="n">
        <f aca="false">F33-(I33-AA33)</f>
        <v>0.722561129316858</v>
      </c>
      <c r="M33" s="182" t="n">
        <v>126</v>
      </c>
      <c r="N33" s="111" t="n">
        <v>0</v>
      </c>
      <c r="O33" s="111" t="n">
        <f aca="false">43.66*1.05</f>
        <v>45.843</v>
      </c>
      <c r="P33" s="115" t="n">
        <v>2.1</v>
      </c>
      <c r="Q33" s="245" t="n">
        <v>4.2</v>
      </c>
      <c r="R33" s="227" t="n">
        <v>5.51</v>
      </c>
      <c r="S33" s="111" t="n">
        <v>71</v>
      </c>
      <c r="T33" s="111" t="n">
        <v>46</v>
      </c>
      <c r="U33" s="111" t="n">
        <f aca="false">M33-N33-O33-P33-Q33-R33+S33+T33</f>
        <v>185.347</v>
      </c>
      <c r="V33" s="112" t="n">
        <f aca="false">V32+AH33-(AI33/1.9835)</f>
        <v>777.780148604545</v>
      </c>
      <c r="W33" s="112"/>
      <c r="X33" s="111" t="n">
        <v>10.2</v>
      </c>
      <c r="Y33" s="111" t="n">
        <v>21</v>
      </c>
      <c r="Z33" s="112" t="n">
        <f aca="false">Z32-Y33</f>
        <v>4039.49231157046</v>
      </c>
      <c r="AA33" s="6" t="n">
        <f aca="false">M33+S33+T33+X33+Y33</f>
        <v>274.2</v>
      </c>
      <c r="AB33" s="111" t="n">
        <f aca="false">IF(L33&lt;0,L33*-1,0)</f>
        <v>0</v>
      </c>
      <c r="AC33" s="111" t="n">
        <f aca="false">AA33+AB33</f>
        <v>274.2</v>
      </c>
      <c r="AD33" s="161" t="n">
        <v>0</v>
      </c>
      <c r="AE33" s="117" t="n">
        <v>78</v>
      </c>
      <c r="AF33" s="167" t="n">
        <v>42</v>
      </c>
      <c r="AG33" s="118" t="n">
        <v>0</v>
      </c>
      <c r="AH33" s="352" t="n">
        <f aca="false">(I33-P33-Q33)-(U33)</f>
        <v>-36.647</v>
      </c>
      <c r="AI33" s="359" t="n">
        <f aca="false">23.5*(V32*1.9835-U33*1.9835)/E33</f>
        <v>0.950019962637644</v>
      </c>
      <c r="AJ33" s="211"/>
    </row>
    <row r="34" customFormat="false" ht="11.1" hidden="false" customHeight="true" outlineLevel="0" collapsed="false">
      <c r="A34" s="118" t="n">
        <v>23</v>
      </c>
      <c r="B34" s="168" t="n">
        <v>6867.99</v>
      </c>
      <c r="C34" s="112" t="n">
        <v>182514</v>
      </c>
      <c r="D34" s="117" t="n">
        <f aca="false">C34-C33</f>
        <v>-375</v>
      </c>
      <c r="E34" s="112" t="n">
        <f aca="false">C34-152000</f>
        <v>30514</v>
      </c>
      <c r="F34" s="180" t="n">
        <f aca="false">D34/$D$2</f>
        <v>-189.05974287875</v>
      </c>
      <c r="G34" s="111" t="n">
        <v>139</v>
      </c>
      <c r="H34" s="113" t="n">
        <v>0</v>
      </c>
      <c r="I34" s="111" t="n">
        <f aca="false">G34+H34</f>
        <v>139</v>
      </c>
      <c r="J34" s="181" t="n">
        <f aca="false">IF(L34&gt;0,L34,0)</f>
        <v>0</v>
      </c>
      <c r="K34" s="111" t="n">
        <f aca="false">I34+J34</f>
        <v>139</v>
      </c>
      <c r="L34" s="111" t="n">
        <f aca="false">F34-(I34-AA34)</f>
        <v>-49.3597428787497</v>
      </c>
      <c r="M34" s="182" t="n">
        <v>126</v>
      </c>
      <c r="N34" s="111" t="n">
        <v>0</v>
      </c>
      <c r="O34" s="111" t="n">
        <f aca="false">38.63*1.05</f>
        <v>40.5615</v>
      </c>
      <c r="P34" s="115" t="n">
        <v>2</v>
      </c>
      <c r="Q34" s="245" t="n">
        <v>4.2</v>
      </c>
      <c r="R34" s="227" t="n">
        <v>5.49</v>
      </c>
      <c r="S34" s="111" t="n">
        <v>76</v>
      </c>
      <c r="T34" s="111" t="n">
        <v>45</v>
      </c>
      <c r="U34" s="111" t="n">
        <f aca="false">M34-N34-O34-P34-Q34-R34+S34+T34</f>
        <v>194.7485</v>
      </c>
      <c r="V34" s="112" t="n">
        <f aca="false">V33+AH34-(AI34/1.9835)</f>
        <v>715.382633603489</v>
      </c>
      <c r="W34" s="112"/>
      <c r="X34" s="111" t="n">
        <v>11.7</v>
      </c>
      <c r="Y34" s="111" t="n">
        <v>20</v>
      </c>
      <c r="Z34" s="112" t="n">
        <f aca="false">Z33-Y34</f>
        <v>4019.49231157046</v>
      </c>
      <c r="AA34" s="6" t="n">
        <f aca="false">M34+S34+T34+X34+Y34</f>
        <v>278.7</v>
      </c>
      <c r="AB34" s="111" t="n">
        <f aca="false">IF(L34&lt;0,L34*-1,0)</f>
        <v>49.3597428787497</v>
      </c>
      <c r="AC34" s="111" t="n">
        <f aca="false">AA34+AB34</f>
        <v>328.05974287875</v>
      </c>
      <c r="AD34" s="161" t="n">
        <v>0</v>
      </c>
      <c r="AE34" s="117" t="n">
        <v>79</v>
      </c>
      <c r="AF34" s="167" t="n">
        <v>45</v>
      </c>
      <c r="AG34" s="118" t="n">
        <v>0</v>
      </c>
      <c r="AH34" s="352" t="n">
        <f aca="false">(I34-P34-Q34)-(U34)</f>
        <v>-61.9485</v>
      </c>
      <c r="AI34" s="359" t="n">
        <f aca="false">23.5*(V33*1.9835-U34*1.9835)/E34</f>
        <v>0.890621254593537</v>
      </c>
      <c r="AJ34" s="211"/>
    </row>
    <row r="35" customFormat="false" ht="11.1" hidden="false" customHeight="true" outlineLevel="0" collapsed="false">
      <c r="A35" s="118" t="n">
        <v>24</v>
      </c>
      <c r="B35" s="168" t="n">
        <v>6867.81</v>
      </c>
      <c r="C35" s="112" t="n">
        <v>182061</v>
      </c>
      <c r="D35" s="117" t="n">
        <f aca="false">C35-C34</f>
        <v>-453</v>
      </c>
      <c r="E35" s="112" t="n">
        <f aca="false">C35-152000</f>
        <v>30061</v>
      </c>
      <c r="F35" s="180" t="n">
        <f aca="false">D35/$D$2</f>
        <v>-228.38416939753</v>
      </c>
      <c r="G35" s="111" t="n">
        <v>129</v>
      </c>
      <c r="H35" s="113" t="n">
        <v>0</v>
      </c>
      <c r="I35" s="111" t="n">
        <f aca="false">G35+H35</f>
        <v>129</v>
      </c>
      <c r="J35" s="181" t="n">
        <f aca="false">IF(L35&gt;0,L35,0)</f>
        <v>0</v>
      </c>
      <c r="K35" s="111" t="n">
        <f aca="false">I35+J35</f>
        <v>129</v>
      </c>
      <c r="L35" s="111" t="n">
        <f aca="false">F35-(I35-AA35)</f>
        <v>-30.7241693975296</v>
      </c>
      <c r="M35" s="182" t="n">
        <v>151</v>
      </c>
      <c r="N35" s="111" t="n">
        <v>2</v>
      </c>
      <c r="O35" s="111" t="n">
        <f aca="false">53.32*1.05</f>
        <v>55.986</v>
      </c>
      <c r="P35" s="115" t="n">
        <v>1.95</v>
      </c>
      <c r="Q35" s="245" t="n">
        <v>4.2</v>
      </c>
      <c r="R35" s="227" t="n">
        <v>5.17</v>
      </c>
      <c r="S35" s="111" t="n">
        <v>85</v>
      </c>
      <c r="T35" s="111" t="n">
        <v>48</v>
      </c>
      <c r="U35" s="111" t="n">
        <f aca="false">M35-N35-O35-P35-Q35-R35+S35+T35</f>
        <v>214.694</v>
      </c>
      <c r="V35" s="112" t="n">
        <f aca="false">V34+AH35-(AI35/1.9835)</f>
        <v>623.147223374632</v>
      </c>
      <c r="W35" s="112"/>
      <c r="X35" s="111" t="n">
        <v>22.66</v>
      </c>
      <c r="Y35" s="111" t="n">
        <v>20</v>
      </c>
      <c r="Z35" s="112" t="n">
        <f aca="false">Z34-Y35</f>
        <v>3999.49231157046</v>
      </c>
      <c r="AA35" s="6" t="n">
        <f aca="false">M35+S35+T35+X35+Y35</f>
        <v>326.66</v>
      </c>
      <c r="AB35" s="111" t="n">
        <f aca="false">IF(L35&lt;0,L35*-1,0)</f>
        <v>30.7241693975296</v>
      </c>
      <c r="AC35" s="111" t="n">
        <f aca="false">AA35+AB35</f>
        <v>357.38416939753</v>
      </c>
      <c r="AD35" s="161" t="n">
        <v>0</v>
      </c>
      <c r="AE35" s="117" t="n">
        <v>80</v>
      </c>
      <c r="AF35" s="167" t="n">
        <v>45</v>
      </c>
      <c r="AG35" s="118" t="n">
        <v>0</v>
      </c>
      <c r="AH35" s="352" t="n">
        <f aca="false">(I35-P35-Q35)-(U35)</f>
        <v>-91.844</v>
      </c>
      <c r="AI35" s="359" t="n">
        <f aca="false">23.5*(V34*1.9835-U35*1.9835)/E35</f>
        <v>0.776362188938633</v>
      </c>
      <c r="AJ35" s="211"/>
    </row>
    <row r="36" customFormat="false" ht="11.1" hidden="false" customHeight="true" outlineLevel="0" collapsed="false">
      <c r="A36" s="118" t="n">
        <v>25</v>
      </c>
      <c r="B36" s="168" t="n">
        <v>6867.63</v>
      </c>
      <c r="C36" s="112" t="n">
        <v>181599</v>
      </c>
      <c r="D36" s="117" t="n">
        <f aca="false">C36-C35</f>
        <v>-462</v>
      </c>
      <c r="E36" s="112" t="n">
        <f aca="false">C36-152000</f>
        <v>29599</v>
      </c>
      <c r="F36" s="180" t="n">
        <f aca="false">D36/$D$2</f>
        <v>-232.92160322662</v>
      </c>
      <c r="G36" s="111" t="n">
        <v>119</v>
      </c>
      <c r="H36" s="113" t="n">
        <v>0</v>
      </c>
      <c r="I36" s="111" t="n">
        <f aca="false">G36+H36</f>
        <v>119</v>
      </c>
      <c r="J36" s="181" t="n">
        <f aca="false">IF(L36&gt;0,L36,0)</f>
        <v>16.1883967733804</v>
      </c>
      <c r="K36" s="111" t="n">
        <f aca="false">I36+J36</f>
        <v>135.18839677338</v>
      </c>
      <c r="L36" s="111" t="n">
        <f aca="false">F36-(I36-AA36)</f>
        <v>16.1883967733804</v>
      </c>
      <c r="M36" s="182" t="n">
        <v>170</v>
      </c>
      <c r="N36" s="111" t="n">
        <v>0</v>
      </c>
      <c r="O36" s="111" t="n">
        <f aca="false">65.49*1.05</f>
        <v>68.7645</v>
      </c>
      <c r="P36" s="115" t="n">
        <v>2.06</v>
      </c>
      <c r="Q36" s="245" t="n">
        <v>4.2</v>
      </c>
      <c r="R36" s="227" t="n">
        <v>4.64</v>
      </c>
      <c r="S36" s="111" t="n">
        <v>90</v>
      </c>
      <c r="T36" s="111" t="n">
        <v>50</v>
      </c>
      <c r="U36" s="111" t="n">
        <f aca="false">M36-N36-O36-P36-Q36-R36+S36+T36</f>
        <v>230.3355</v>
      </c>
      <c r="V36" s="112" t="n">
        <f aca="false">V35+AH36-(AI36/1.9835)</f>
        <v>505.239852179683</v>
      </c>
      <c r="W36" s="112"/>
      <c r="X36" s="111" t="n">
        <v>37.11</v>
      </c>
      <c r="Y36" s="111" t="n">
        <v>21</v>
      </c>
      <c r="Z36" s="112" t="n">
        <f aca="false">Z35-Y36</f>
        <v>3978.49231157046</v>
      </c>
      <c r="AA36" s="6" t="n">
        <f aca="false">M36+S36+T36+X36+Y36</f>
        <v>368.11</v>
      </c>
      <c r="AB36" s="111" t="n">
        <f aca="false">IF(L36&lt;0,L36*-1,0)</f>
        <v>0</v>
      </c>
      <c r="AC36" s="111" t="n">
        <f aca="false">AA36+AB36</f>
        <v>368.11</v>
      </c>
      <c r="AD36" s="161" t="n">
        <v>0</v>
      </c>
      <c r="AE36" s="117" t="n">
        <v>81</v>
      </c>
      <c r="AF36" s="167" t="n">
        <v>47</v>
      </c>
      <c r="AG36" s="118" t="n">
        <v>0</v>
      </c>
      <c r="AH36" s="352" t="n">
        <f aca="false">(I36-P36-Q36)-(U36)</f>
        <v>-117.5955</v>
      </c>
      <c r="AI36" s="359" t="n">
        <f aca="false">23.5*(V35*1.9835-U36*1.9835)/E36</f>
        <v>0.618596515181905</v>
      </c>
      <c r="AJ36" s="211"/>
    </row>
    <row r="37" customFormat="false" ht="11.1" hidden="false" customHeight="true" outlineLevel="0" collapsed="false">
      <c r="A37" s="118" t="n">
        <v>26</v>
      </c>
      <c r="B37" s="168" t="n">
        <v>6867.41</v>
      </c>
      <c r="C37" s="112" t="n">
        <v>181033</v>
      </c>
      <c r="D37" s="117" t="n">
        <f aca="false">C37-C36</f>
        <v>-566</v>
      </c>
      <c r="E37" s="112" t="n">
        <f aca="false">C37-152000</f>
        <v>29033</v>
      </c>
      <c r="F37" s="180" t="n">
        <f aca="false">D37/$D$2</f>
        <v>-285.354171918326</v>
      </c>
      <c r="G37" s="111" t="n">
        <v>110</v>
      </c>
      <c r="H37" s="113" t="n">
        <v>0</v>
      </c>
      <c r="I37" s="111" t="n">
        <f aca="false">G37+H37</f>
        <v>110</v>
      </c>
      <c r="J37" s="181" t="n">
        <f aca="false">IF(L37&gt;0,L37,0)</f>
        <v>0</v>
      </c>
      <c r="K37" s="111" t="n">
        <f aca="false">I37+J37</f>
        <v>110</v>
      </c>
      <c r="L37" s="111" t="n">
        <f aca="false">F37-(I37-AA37)</f>
        <v>-36.7841719183262</v>
      </c>
      <c r="M37" s="182" t="n">
        <v>162</v>
      </c>
      <c r="N37" s="111" t="n">
        <v>0</v>
      </c>
      <c r="O37" s="111" t="n">
        <f aca="false">65*1.05</f>
        <v>68.25</v>
      </c>
      <c r="P37" s="115" t="n">
        <v>2.28</v>
      </c>
      <c r="Q37" s="245" t="n">
        <v>4.2</v>
      </c>
      <c r="R37" s="227" t="n">
        <v>5.39</v>
      </c>
      <c r="S37" s="111" t="n">
        <v>94</v>
      </c>
      <c r="T37" s="111" t="n">
        <v>52</v>
      </c>
      <c r="U37" s="111" t="n">
        <f aca="false">M37-N37-O37-P37-Q37-R37+S37+T37</f>
        <v>227.88</v>
      </c>
      <c r="V37" s="112" t="n">
        <f aca="false">V36+AH37-(AI37/1.9835)</f>
        <v>380.655350525488</v>
      </c>
      <c r="W37" s="112"/>
      <c r="X37" s="111" t="n">
        <v>29.57</v>
      </c>
      <c r="Y37" s="111" t="n">
        <v>21</v>
      </c>
      <c r="Z37" s="112" t="n">
        <f aca="false">Z36-Y37</f>
        <v>3957.49231157046</v>
      </c>
      <c r="AA37" s="6" t="n">
        <f aca="false">M37+S37+T37+X37+Y37</f>
        <v>358.57</v>
      </c>
      <c r="AB37" s="111" t="n">
        <f aca="false">IF(L37&lt;0,L37*-1,0)</f>
        <v>36.7841719183262</v>
      </c>
      <c r="AC37" s="111" t="n">
        <f aca="false">AA37+AB37</f>
        <v>395.354171918326</v>
      </c>
      <c r="AD37" s="161" t="n">
        <v>0</v>
      </c>
      <c r="AE37" s="117" t="n">
        <v>82</v>
      </c>
      <c r="AF37" s="167" t="n">
        <v>45</v>
      </c>
      <c r="AG37" s="118" t="n">
        <v>0</v>
      </c>
      <c r="AH37" s="352" t="n">
        <f aca="false">(I37-P37-Q37)-(U37)</f>
        <v>-124.36</v>
      </c>
      <c r="AI37" s="359" t="n">
        <f aca="false">23.5*(V36*1.9835-U37*1.9835)/E37</f>
        <v>0.445299031094355</v>
      </c>
      <c r="AJ37" s="211"/>
    </row>
    <row r="38" customFormat="false" ht="11.1" hidden="false" customHeight="true" outlineLevel="0" collapsed="false">
      <c r="A38" s="118" t="n">
        <v>27</v>
      </c>
      <c r="B38" s="168" t="n">
        <v>6867.21</v>
      </c>
      <c r="C38" s="112" t="n">
        <v>180519</v>
      </c>
      <c r="D38" s="117" t="n">
        <f aca="false">C38-C37</f>
        <v>-514</v>
      </c>
      <c r="E38" s="112" t="n">
        <f aca="false">C38-152000</f>
        <v>28519</v>
      </c>
      <c r="F38" s="180" t="n">
        <f aca="false">D38/$D$2</f>
        <v>-259.137887572473</v>
      </c>
      <c r="G38" s="111" t="n">
        <v>103</v>
      </c>
      <c r="H38" s="113" t="n">
        <v>0</v>
      </c>
      <c r="I38" s="111" t="n">
        <f aca="false">G38+H38</f>
        <v>103</v>
      </c>
      <c r="J38" s="181" t="n">
        <f aca="false">IF(L38&gt;0,L38,0)</f>
        <v>0</v>
      </c>
      <c r="K38" s="111" t="n">
        <f aca="false">I38+J38</f>
        <v>103</v>
      </c>
      <c r="L38" s="111" t="n">
        <f aca="false">F38-(I38-AA38)</f>
        <v>-39.1378875724729</v>
      </c>
      <c r="M38" s="182" t="n">
        <v>154</v>
      </c>
      <c r="N38" s="111" t="n">
        <v>0</v>
      </c>
      <c r="O38" s="111" t="n">
        <f aca="false">63.21*1.05</f>
        <v>66.3705</v>
      </c>
      <c r="P38" s="115" t="n">
        <v>2.08</v>
      </c>
      <c r="Q38" s="245" t="n">
        <v>4.2</v>
      </c>
      <c r="R38" s="227" t="n">
        <v>5.81</v>
      </c>
      <c r="S38" s="111" t="n">
        <v>96</v>
      </c>
      <c r="T38" s="111" t="n">
        <v>53</v>
      </c>
      <c r="U38" s="111" t="n">
        <f aca="false">M38-N38-O38-P38-Q38-R38+S38+T38</f>
        <v>224.5395</v>
      </c>
      <c r="V38" s="112" t="n">
        <f aca="false">V37+AH38-(AI38/1.9835)</f>
        <v>252.707209181565</v>
      </c>
      <c r="W38" s="112"/>
      <c r="X38" s="111" t="n">
        <v>0</v>
      </c>
      <c r="Y38" s="111" t="n">
        <v>20</v>
      </c>
      <c r="Z38" s="112" t="n">
        <f aca="false">Z37-Y38</f>
        <v>3937.49231157046</v>
      </c>
      <c r="AA38" s="6" t="n">
        <f aca="false">M38+S38+T38+X38+Y38</f>
        <v>323</v>
      </c>
      <c r="AB38" s="111" t="n">
        <f aca="false">IF(L38&lt;0,L38*-1,0)</f>
        <v>39.1378875724729</v>
      </c>
      <c r="AC38" s="111" t="n">
        <f aca="false">AA38+AB38</f>
        <v>362.137887572473</v>
      </c>
      <c r="AD38" s="161" t="n">
        <v>0</v>
      </c>
      <c r="AE38" s="117" t="n">
        <v>83</v>
      </c>
      <c r="AF38" s="167" t="n">
        <v>47</v>
      </c>
      <c r="AG38" s="118" t="n">
        <v>0</v>
      </c>
      <c r="AH38" s="352" t="n">
        <f aca="false">(I38-P38-Q38)-(U38)</f>
        <v>-127.8195</v>
      </c>
      <c r="AI38" s="359" t="n">
        <f aca="false">23.5*(V37*1.9835-U38*1.9835)/E38</f>
        <v>0.255160105671892</v>
      </c>
      <c r="AJ38" s="211"/>
    </row>
    <row r="39" customFormat="false" ht="11.1" hidden="false" customHeight="true" outlineLevel="0" collapsed="false">
      <c r="A39" s="118" t="n">
        <v>28</v>
      </c>
      <c r="B39" s="168" t="n">
        <v>6867</v>
      </c>
      <c r="C39" s="112" t="n">
        <v>179979</v>
      </c>
      <c r="D39" s="117" t="n">
        <f aca="false">C39-C38</f>
        <v>-540</v>
      </c>
      <c r="E39" s="112" t="n">
        <f aca="false">C39-152000</f>
        <v>27979</v>
      </c>
      <c r="F39" s="180" t="n">
        <f aca="false">D39/$D$2</f>
        <v>-272.2460297454</v>
      </c>
      <c r="G39" s="111" t="n">
        <v>96</v>
      </c>
      <c r="H39" s="113" t="n">
        <v>0</v>
      </c>
      <c r="I39" s="111" t="n">
        <f aca="false">G39+H39</f>
        <v>96</v>
      </c>
      <c r="J39" s="181" t="n">
        <f aca="false">IF(L39&gt;0,L39,0)</f>
        <v>0</v>
      </c>
      <c r="K39" s="111" t="n">
        <f aca="false">I39+J39</f>
        <v>96</v>
      </c>
      <c r="L39" s="111" t="n">
        <f aca="false">F39-(I39-AA39)</f>
        <v>-40.0760297453995</v>
      </c>
      <c r="M39" s="182" t="n">
        <v>145</v>
      </c>
      <c r="N39" s="111" t="n">
        <v>0</v>
      </c>
      <c r="O39" s="111" t="n">
        <f aca="false">56.18*1.05</f>
        <v>58.989</v>
      </c>
      <c r="P39" s="115" t="n">
        <v>2.14</v>
      </c>
      <c r="Q39" s="245" t="n">
        <v>4.2</v>
      </c>
      <c r="R39" s="227" t="n">
        <v>5.18</v>
      </c>
      <c r="S39" s="111" t="n">
        <v>95</v>
      </c>
      <c r="T39" s="111" t="n">
        <v>53</v>
      </c>
      <c r="U39" s="111" t="n">
        <f aca="false">M39-N39-O39-P39-Q39-R39+S39+T39</f>
        <v>222.491</v>
      </c>
      <c r="V39" s="112" t="n">
        <f aca="false">V38+AH39-(AI39/1.9835)</f>
        <v>119.850830114559</v>
      </c>
      <c r="W39" s="112"/>
      <c r="X39" s="111" t="n">
        <v>15.17</v>
      </c>
      <c r="Y39" s="111" t="n">
        <v>20</v>
      </c>
      <c r="Z39" s="112" t="n">
        <f aca="false">Z38-Y39</f>
        <v>3917.49231157046</v>
      </c>
      <c r="AA39" s="6" t="n">
        <f aca="false">M39+S39+T39+X39+Y39</f>
        <v>328.17</v>
      </c>
      <c r="AB39" s="111" t="n">
        <f aca="false">IF(L39&lt;0,L39*-1,0)</f>
        <v>40.0760297453995</v>
      </c>
      <c r="AC39" s="111" t="n">
        <f aca="false">AA39+AB39</f>
        <v>368.2460297454</v>
      </c>
      <c r="AD39" s="161" t="n">
        <v>0</v>
      </c>
      <c r="AE39" s="117" t="n">
        <v>81</v>
      </c>
      <c r="AF39" s="167" t="n">
        <v>47</v>
      </c>
      <c r="AG39" s="118" t="n">
        <v>0</v>
      </c>
      <c r="AH39" s="352" t="n">
        <f aca="false">(I39-P39-Q39)-(U39)</f>
        <v>-132.831</v>
      </c>
      <c r="AI39" s="359" t="n">
        <f aca="false">23.5*(V38*1.9835-U39*1.9835)/E39</f>
        <v>0.0503393794068198</v>
      </c>
      <c r="AJ39" s="211"/>
    </row>
    <row r="40" customFormat="false" ht="11.1" hidden="false" customHeight="true" outlineLevel="0" collapsed="false">
      <c r="A40" s="118" t="n">
        <v>29</v>
      </c>
      <c r="B40" s="168" t="n">
        <v>6866.81</v>
      </c>
      <c r="C40" s="112" t="n">
        <v>179497</v>
      </c>
      <c r="D40" s="117" t="n">
        <f aca="false">C40-C39</f>
        <v>-482</v>
      </c>
      <c r="E40" s="112" t="n">
        <f aca="false">C40-152000</f>
        <v>27497</v>
      </c>
      <c r="F40" s="180" t="n">
        <f aca="false">D40/$D$2</f>
        <v>-243.004789513486</v>
      </c>
      <c r="G40" s="111" t="n">
        <v>87</v>
      </c>
      <c r="H40" s="113" t="n">
        <v>0</v>
      </c>
      <c r="I40" s="111" t="n">
        <f aca="false">G40+H40</f>
        <v>87</v>
      </c>
      <c r="J40" s="181" t="n">
        <f aca="false">IF(L40&gt;0,L40,0)</f>
        <v>13.2352104865138</v>
      </c>
      <c r="K40" s="111" t="n">
        <f aca="false">I40+J40</f>
        <v>100.235210486514</v>
      </c>
      <c r="L40" s="111" t="n">
        <f aca="false">F40-(I40-AA40)</f>
        <v>13.2352104865138</v>
      </c>
      <c r="M40" s="182" t="n">
        <v>152</v>
      </c>
      <c r="N40" s="111" t="n">
        <v>0</v>
      </c>
      <c r="O40" s="111" t="n">
        <f aca="false">51.87*1.05</f>
        <v>54.4635</v>
      </c>
      <c r="P40" s="115" t="n">
        <v>1.92</v>
      </c>
      <c r="Q40" s="245" t="n">
        <v>4.2</v>
      </c>
      <c r="R40" s="227" t="n">
        <v>4.05</v>
      </c>
      <c r="S40" s="111" t="n">
        <v>102</v>
      </c>
      <c r="T40" s="111" t="n">
        <v>55</v>
      </c>
      <c r="U40" s="111" t="n">
        <f aca="false">M40-N40-O40-P40-Q40-R40+S40+T40</f>
        <v>244.3665</v>
      </c>
      <c r="V40" s="112" t="n">
        <f aca="false">V39+AH40-(AI40/1.9835)</f>
        <v>-43.6356698854411</v>
      </c>
      <c r="W40" s="112" t="n">
        <f aca="false">W8+AH40-44</f>
        <v>3108.3693104361</v>
      </c>
      <c r="X40" s="111" t="n">
        <v>14.24</v>
      </c>
      <c r="Y40" s="111" t="n">
        <v>20</v>
      </c>
      <c r="Z40" s="112" t="n">
        <f aca="false">Z39-Y40</f>
        <v>3897.49231157046</v>
      </c>
      <c r="AA40" s="6" t="n">
        <f aca="false">M40+S40+T40+X40+Y40</f>
        <v>343.24</v>
      </c>
      <c r="AB40" s="111" t="n">
        <f aca="false">IF(L40&lt;0,L40*-1,0)</f>
        <v>0</v>
      </c>
      <c r="AC40" s="111" t="n">
        <f aca="false">AA40+AB40</f>
        <v>343.24</v>
      </c>
      <c r="AD40" s="161" t="n">
        <v>0</v>
      </c>
      <c r="AE40" s="117" t="n">
        <v>79</v>
      </c>
      <c r="AF40" s="167" t="n">
        <v>46</v>
      </c>
      <c r="AG40" s="118" t="n">
        <v>0</v>
      </c>
      <c r="AH40" s="352" t="n">
        <f aca="false">(I40-P40-Q40)-(U40)</f>
        <v>-163.4865</v>
      </c>
      <c r="AI40" s="359" t="n">
        <v>0</v>
      </c>
      <c r="AJ40" s="211"/>
    </row>
    <row r="41" customFormat="false" ht="11.1" hidden="false" customHeight="true" outlineLevel="0" collapsed="false">
      <c r="A41" s="118" t="n">
        <v>30</v>
      </c>
      <c r="B41" s="168" t="n">
        <v>6866.55</v>
      </c>
      <c r="C41" s="112" t="n">
        <v>178839</v>
      </c>
      <c r="D41" s="117" t="n">
        <f aca="false">C41-C40</f>
        <v>-658</v>
      </c>
      <c r="E41" s="112" t="n">
        <f aca="false">C41-152000</f>
        <v>26839</v>
      </c>
      <c r="F41" s="180" t="n">
        <f aca="false">D41/$D$2</f>
        <v>-331.736828837913</v>
      </c>
      <c r="G41" s="111" t="n">
        <v>78</v>
      </c>
      <c r="H41" s="113" t="n">
        <v>0</v>
      </c>
      <c r="I41" s="111" t="n">
        <f aca="false">G41+H41</f>
        <v>78</v>
      </c>
      <c r="J41" s="181" t="n">
        <f aca="false">IF(L41&gt;0,L41,0)</f>
        <v>0</v>
      </c>
      <c r="K41" s="111" t="n">
        <f aca="false">I41+J41</f>
        <v>78</v>
      </c>
      <c r="L41" s="111" t="n">
        <f aca="false">F41-(I41-AA41)</f>
        <v>-26.4268288379127</v>
      </c>
      <c r="M41" s="182" t="n">
        <v>177</v>
      </c>
      <c r="N41" s="111" t="n">
        <v>0</v>
      </c>
      <c r="O41" s="111" t="n">
        <f aca="false">57.56*1.05</f>
        <v>60.438</v>
      </c>
      <c r="P41" s="115" t="n">
        <v>1.89</v>
      </c>
      <c r="Q41" s="245" t="n">
        <v>4.2</v>
      </c>
      <c r="R41" s="227" t="n">
        <v>3.76</v>
      </c>
      <c r="S41" s="111" t="n">
        <v>114</v>
      </c>
      <c r="T41" s="111" t="n">
        <v>57</v>
      </c>
      <c r="U41" s="111" t="n">
        <f aca="false">M41-N41-O41-P41-Q41-R41+S41+T41</f>
        <v>277.712</v>
      </c>
      <c r="V41" s="112" t="n">
        <v>0</v>
      </c>
      <c r="W41" s="112" t="n">
        <f aca="false">W40+AH41</f>
        <v>2902.5673104361</v>
      </c>
      <c r="X41" s="111" t="n">
        <v>15.31</v>
      </c>
      <c r="Y41" s="111" t="n">
        <v>20</v>
      </c>
      <c r="Z41" s="112" t="n">
        <f aca="false">Z40-Y41</f>
        <v>3877.49231157046</v>
      </c>
      <c r="AA41" s="6" t="n">
        <f aca="false">M41+S41+T41+X41+Y41</f>
        <v>383.31</v>
      </c>
      <c r="AB41" s="111" t="n">
        <f aca="false">IF(L41&lt;0,L41*-1,0)</f>
        <v>26.4268288379127</v>
      </c>
      <c r="AC41" s="111" t="n">
        <f aca="false">AA41+AB41</f>
        <v>409.736828837913</v>
      </c>
      <c r="AD41" s="161" t="n">
        <v>0</v>
      </c>
      <c r="AE41" s="117" t="n">
        <v>78</v>
      </c>
      <c r="AF41" s="167" t="n">
        <v>44</v>
      </c>
      <c r="AG41" s="118" t="n">
        <v>0</v>
      </c>
      <c r="AH41" s="352" t="n">
        <f aca="false">(I41-P41-Q41)-(U41)</f>
        <v>-205.802</v>
      </c>
      <c r="AI41" s="359" t="n">
        <v>0</v>
      </c>
      <c r="AJ41" s="211"/>
    </row>
    <row r="42" customFormat="false" ht="3" hidden="false" customHeight="true" outlineLevel="0" collapsed="false">
      <c r="A42" s="169"/>
      <c r="B42" s="185"/>
      <c r="C42" s="171"/>
      <c r="D42" s="169"/>
      <c r="E42" s="171"/>
      <c r="F42" s="172"/>
      <c r="G42" s="169"/>
      <c r="H42" s="173"/>
      <c r="I42" s="169"/>
      <c r="J42" s="169"/>
      <c r="K42" s="169"/>
      <c r="L42" s="169"/>
      <c r="M42" s="174"/>
      <c r="N42" s="169"/>
      <c r="O42" s="169"/>
      <c r="P42" s="300"/>
      <c r="Q42" s="300"/>
      <c r="R42" s="225"/>
      <c r="S42" s="169"/>
      <c r="T42" s="169"/>
      <c r="U42" s="169"/>
      <c r="V42" s="171"/>
      <c r="W42" s="171"/>
      <c r="X42" s="169"/>
      <c r="Y42" s="169"/>
      <c r="Z42" s="169"/>
      <c r="AA42" s="169"/>
      <c r="AB42" s="169"/>
      <c r="AC42" s="169"/>
      <c r="AD42" s="176"/>
      <c r="AE42" s="177"/>
      <c r="AF42" s="178"/>
      <c r="AG42" s="179"/>
      <c r="AH42" s="226"/>
      <c r="AI42" s="226"/>
      <c r="AJ42" s="301"/>
    </row>
    <row r="43" customFormat="false" ht="11.1" hidden="false" customHeight="true" outlineLevel="0" collapsed="false">
      <c r="A43" s="111" t="s">
        <v>54</v>
      </c>
      <c r="B43" s="163"/>
      <c r="C43" s="112"/>
      <c r="D43" s="112"/>
      <c r="E43" s="112"/>
      <c r="F43" s="164" t="n">
        <f aca="false">SUM(F12:F41)</f>
        <v>-2422.98966473405</v>
      </c>
      <c r="G43" s="112" t="n">
        <f aca="false">SUM(G12:G41)</f>
        <v>8133</v>
      </c>
      <c r="H43" s="112" t="n">
        <f aca="false">SUM(H12:H41)</f>
        <v>0.84</v>
      </c>
      <c r="I43" s="112" t="n">
        <f aca="false">SUM(I12:I41)</f>
        <v>8133.84</v>
      </c>
      <c r="J43" s="112" t="n">
        <f aca="false">SUM(J12:J41)</f>
        <v>263.06177211999</v>
      </c>
      <c r="K43" s="112" t="n">
        <f aca="false">SUM(K12:K41)</f>
        <v>8396.90177211999</v>
      </c>
      <c r="L43" s="112" t="n">
        <f aca="false">SUM(L12:L41)</f>
        <v>-1056.13966473405</v>
      </c>
      <c r="M43" s="165" t="n">
        <f aca="false">SUM(M12:M41)</f>
        <v>4016</v>
      </c>
      <c r="N43" s="112" t="n">
        <f aca="false">SUM(N12:N41)</f>
        <v>3</v>
      </c>
      <c r="O43" s="112" t="n">
        <f aca="false">SUM(O12:O41)</f>
        <v>1028.8425</v>
      </c>
      <c r="P43" s="117" t="n">
        <f aca="false">SUM(P12:P41)</f>
        <v>66.23</v>
      </c>
      <c r="Q43" s="117" t="n">
        <f aca="false">SUM(Q12:Q41)</f>
        <v>126</v>
      </c>
      <c r="R43" s="377" t="n">
        <f aca="false">SUM(R12:R41)</f>
        <v>128.49</v>
      </c>
      <c r="S43" s="112" t="n">
        <f aca="false">SUM(S12:S41)</f>
        <v>2467</v>
      </c>
      <c r="T43" s="112" t="n">
        <f aca="false">SUM(T12:T41)</f>
        <v>1634</v>
      </c>
      <c r="U43" s="112" t="n">
        <f aca="false">SUM(U12:U41)</f>
        <v>6764.4375</v>
      </c>
      <c r="V43" s="112"/>
      <c r="W43" s="112"/>
      <c r="X43" s="112" t="n">
        <f aca="false">SUM(X12:X41)</f>
        <v>788.69</v>
      </c>
      <c r="Y43" s="112" t="n">
        <f aca="false">SUM(Y12:Y42)</f>
        <v>595</v>
      </c>
      <c r="Z43" s="112"/>
      <c r="AA43" s="112" t="n">
        <f aca="false">SUM(AA12:AA41)</f>
        <v>9500.69</v>
      </c>
      <c r="AB43" s="112" t="n">
        <f aca="false">SUM(AB12:AB41)</f>
        <v>1319.20143685405</v>
      </c>
      <c r="AC43" s="112" t="n">
        <f aca="false">SUM(AC12:AC41)</f>
        <v>10819.891436854</v>
      </c>
      <c r="AD43" s="161" t="n">
        <f aca="false">SUM(AD12:AD41)</f>
        <v>1.57</v>
      </c>
      <c r="AE43" s="117" t="n">
        <f aca="false">AVERAGE(AE12:AE41)</f>
        <v>75.7333333333333</v>
      </c>
      <c r="AF43" s="167" t="n">
        <f aca="false">AVERAGE(AF12:AF41)</f>
        <v>45.2666666666667</v>
      </c>
      <c r="AG43" s="118" t="n">
        <f aca="false">SUM(AG12:AG41)</f>
        <v>261.63</v>
      </c>
      <c r="AH43" s="352"/>
      <c r="AI43" s="359" t="n">
        <f aca="false">SUM(AI12:AI41)</f>
        <v>33.3341032359289</v>
      </c>
      <c r="AJ43" s="211" t="n">
        <f aca="false">SUM(AJ12:AJ41)</f>
        <v>0</v>
      </c>
    </row>
    <row r="44" customFormat="false" ht="11.1" hidden="false" customHeight="true" outlineLevel="0" collapsed="false">
      <c r="A44" s="111" t="s">
        <v>56</v>
      </c>
      <c r="B44" s="163"/>
      <c r="C44" s="112"/>
      <c r="D44" s="112" t="n">
        <f aca="false">SUM(D12:D42)</f>
        <v>-4806</v>
      </c>
      <c r="E44" s="112"/>
      <c r="F44" s="164" t="n">
        <f aca="false">F43*$D$2</f>
        <v>-4806</v>
      </c>
      <c r="G44" s="112" t="n">
        <f aca="false">G43*$D$2</f>
        <v>16131.8055</v>
      </c>
      <c r="H44" s="112" t="n">
        <f aca="false">H43*$D$2</f>
        <v>1.66614</v>
      </c>
      <c r="I44" s="112" t="n">
        <f aca="false">I43*$D$2</f>
        <v>16133.47164</v>
      </c>
      <c r="J44" s="112" t="n">
        <f aca="false">J43*$D$2</f>
        <v>521.783025000001</v>
      </c>
      <c r="K44" s="112" t="n">
        <f aca="false">K43*$D$2</f>
        <v>16655.254665</v>
      </c>
      <c r="L44" s="112" t="n">
        <f aca="false">L43*$D$2</f>
        <v>-2094.853025</v>
      </c>
      <c r="M44" s="165" t="n">
        <f aca="false">M43*$D$2</f>
        <v>7965.736</v>
      </c>
      <c r="N44" s="112" t="n">
        <f aca="false">N43*$D$2</f>
        <v>5.9505</v>
      </c>
      <c r="O44" s="112" t="n">
        <f aca="false">O43*$D$2</f>
        <v>2040.70909875</v>
      </c>
      <c r="P44" s="117" t="n">
        <f aca="false">P43*$D$2</f>
        <v>131.367205</v>
      </c>
      <c r="Q44" s="117" t="n">
        <f aca="false">Q43*$D$2</f>
        <v>249.921</v>
      </c>
      <c r="R44" s="377" t="n">
        <f aca="false">R43*$D$2</f>
        <v>254.859915</v>
      </c>
      <c r="S44" s="112" t="n">
        <f aca="false">S43*$D$2</f>
        <v>4893.2945</v>
      </c>
      <c r="T44" s="112" t="n">
        <f aca="false">T43*$D$2</f>
        <v>3241.039</v>
      </c>
      <c r="U44" s="112" t="n">
        <f aca="false">U43*$D$2</f>
        <v>13417.26178125</v>
      </c>
      <c r="V44" s="112"/>
      <c r="W44" s="112"/>
      <c r="X44" s="112" t="n">
        <f aca="false">X43*$D$2</f>
        <v>1564.366615</v>
      </c>
      <c r="Y44" s="112" t="n">
        <f aca="false">Y43*$D$2</f>
        <v>1180.1825</v>
      </c>
      <c r="Z44" s="112"/>
      <c r="AA44" s="112" t="n">
        <f aca="false">AA43*$D$2</f>
        <v>18844.618615</v>
      </c>
      <c r="AB44" s="112" t="n">
        <f aca="false">AB43*$D$2</f>
        <v>2616.63605</v>
      </c>
      <c r="AC44" s="112" t="n">
        <f aca="false">AC43*$D$2</f>
        <v>21461.254665</v>
      </c>
      <c r="AD44" s="161"/>
      <c r="AE44" s="117" t="n">
        <f aca="false">MAX(AE12:AE41)</f>
        <v>88</v>
      </c>
      <c r="AF44" s="167" t="n">
        <f aca="false">MAX(AF12:AF41)</f>
        <v>57</v>
      </c>
      <c r="AG44" s="118" t="n">
        <f aca="false">AG43*$D$2</f>
        <v>518.943105</v>
      </c>
      <c r="AH44" s="352"/>
      <c r="AI44" s="359" t="n">
        <f aca="false">AI43*$D$2</f>
        <v>66.118193768465</v>
      </c>
      <c r="AJ44" s="210" t="n">
        <f aca="false">AJ43*$D$2</f>
        <v>0</v>
      </c>
    </row>
    <row r="45" customFormat="false" ht="3" hidden="false" customHeight="true" outlineLevel="0" collapsed="false">
      <c r="A45" s="169"/>
      <c r="B45" s="185"/>
      <c r="C45" s="171"/>
      <c r="D45" s="171"/>
      <c r="E45" s="171"/>
      <c r="F45" s="186"/>
      <c r="G45" s="171"/>
      <c r="H45" s="171"/>
      <c r="I45" s="171"/>
      <c r="J45" s="171"/>
      <c r="K45" s="171"/>
      <c r="L45" s="171"/>
      <c r="M45" s="187"/>
      <c r="N45" s="171"/>
      <c r="O45" s="171"/>
      <c r="P45" s="177"/>
      <c r="Q45" s="177"/>
      <c r="R45" s="378"/>
      <c r="S45" s="171"/>
      <c r="T45" s="171"/>
      <c r="U45" s="171"/>
      <c r="V45" s="171"/>
      <c r="W45" s="171"/>
      <c r="X45" s="171"/>
      <c r="Y45" s="171"/>
      <c r="Z45" s="169"/>
      <c r="AA45" s="171"/>
      <c r="AB45" s="171"/>
      <c r="AC45" s="171"/>
      <c r="AD45" s="189"/>
      <c r="AE45" s="171"/>
      <c r="AF45" s="186"/>
      <c r="AG45" s="171"/>
      <c r="AH45" s="229"/>
      <c r="AI45" s="226"/>
      <c r="AJ45" s="301"/>
    </row>
    <row r="46" customFormat="false" ht="11.1" hidden="false" customHeight="true" outlineLevel="0" collapsed="false">
      <c r="A46" s="111" t="s">
        <v>58</v>
      </c>
      <c r="B46" s="163"/>
      <c r="C46" s="112"/>
      <c r="D46" s="112"/>
      <c r="E46" s="112"/>
      <c r="F46" s="164" t="n">
        <f aca="false">F9+F43</f>
        <v>2951.34862616588</v>
      </c>
      <c r="G46" s="112" t="n">
        <f aca="false">G9+G43</f>
        <v>83146</v>
      </c>
      <c r="H46" s="112" t="n">
        <f aca="false">H9+H43</f>
        <v>1046.76</v>
      </c>
      <c r="I46" s="112" t="n">
        <f aca="false">I9+I43</f>
        <v>84192.76</v>
      </c>
      <c r="J46" s="112" t="n">
        <f aca="false">J9+J43</f>
        <v>5995.35656415427</v>
      </c>
      <c r="K46" s="112" t="n">
        <f aca="false">K9+K43</f>
        <v>90188.1165641543</v>
      </c>
      <c r="L46" s="112" t="n">
        <f aca="false">L9+L43</f>
        <v>-991.361373834127</v>
      </c>
      <c r="M46" s="165" t="n">
        <f aca="false">M9+M43</f>
        <v>30448.38</v>
      </c>
      <c r="N46" s="112" t="n">
        <f aca="false">N9+N43</f>
        <v>60.81</v>
      </c>
      <c r="O46" s="112" t="n">
        <f aca="false">O9+O43</f>
        <v>5612.318525</v>
      </c>
      <c r="P46" s="117"/>
      <c r="Q46" s="117"/>
      <c r="R46" s="377"/>
      <c r="S46" s="112" t="n">
        <f aca="false">S9+S43</f>
        <v>21545.8</v>
      </c>
      <c r="T46" s="112" t="n">
        <f aca="false">T9+T43</f>
        <v>9877.8</v>
      </c>
      <c r="U46" s="112" t="n">
        <f aca="false">U9+U43</f>
        <v>55526.745975</v>
      </c>
      <c r="V46" s="112" t="n">
        <f aca="false">V41</f>
        <v>0</v>
      </c>
      <c r="W46" s="112" t="n">
        <f aca="false">W41</f>
        <v>2902.5673104361</v>
      </c>
      <c r="X46" s="112" t="n">
        <f aca="false">X9+X43</f>
        <v>14084.05</v>
      </c>
      <c r="Y46" s="112" t="n">
        <f aca="false">Y9+Y43</f>
        <v>4364</v>
      </c>
      <c r="Z46" s="112" t="n">
        <f aca="false">Z41</f>
        <v>3877.49231157046</v>
      </c>
      <c r="AA46" s="112" t="n">
        <f aca="false">AA9+AA43</f>
        <v>80250.05</v>
      </c>
      <c r="AB46" s="112" t="n">
        <f aca="false">AB9+AB43</f>
        <v>6986.71793798841</v>
      </c>
      <c r="AC46" s="112" t="n">
        <f aca="false">AC9+AC43</f>
        <v>87236.7679379884</v>
      </c>
      <c r="AD46" s="161"/>
      <c r="AE46" s="117" t="n">
        <f aca="false">MIN(AE12:AE41)</f>
        <v>63</v>
      </c>
      <c r="AF46" s="167" t="n">
        <f aca="false">MIN(AF12:AF41)</f>
        <v>36</v>
      </c>
      <c r="AG46" s="118"/>
      <c r="AH46" s="352"/>
      <c r="AI46" s="359" t="n">
        <f aca="false">AI9+AI43</f>
        <v>1241.65030030524</v>
      </c>
      <c r="AJ46" s="374" t="n">
        <f aca="false">AJ9+AJ44</f>
        <v>596.53</v>
      </c>
    </row>
    <row r="47" customFormat="false" ht="11.1" hidden="false" customHeight="true" outlineLevel="0" collapsed="false">
      <c r="A47" s="111" t="s">
        <v>60</v>
      </c>
      <c r="B47" s="163"/>
      <c r="C47" s="112"/>
      <c r="D47" s="112"/>
      <c r="E47" s="112"/>
      <c r="F47" s="164" t="n">
        <f aca="false">F46*$D$2</f>
        <v>5854.00000000002</v>
      </c>
      <c r="G47" s="112" t="n">
        <f aca="false">G46*$D$2</f>
        <v>164920.091</v>
      </c>
      <c r="H47" s="112" t="n">
        <f aca="false">H46*$D$2</f>
        <v>2076.24846</v>
      </c>
      <c r="I47" s="112" t="n">
        <f aca="false">I46*$D$2</f>
        <v>166996.33946</v>
      </c>
      <c r="J47" s="112" t="n">
        <f aca="false">J46*$D$2</f>
        <v>11891.789745</v>
      </c>
      <c r="K47" s="112" t="n">
        <f aca="false">K46*$D$2</f>
        <v>178888.129205</v>
      </c>
      <c r="L47" s="112" t="n">
        <f aca="false">L46*$D$2</f>
        <v>-1966.36528499999</v>
      </c>
      <c r="M47" s="165" t="n">
        <f aca="false">M46*$D$2</f>
        <v>60394.36173</v>
      </c>
      <c r="N47" s="112" t="n">
        <f aca="false">N46*$D$2</f>
        <v>120.616635</v>
      </c>
      <c r="O47" s="112" t="n">
        <f aca="false">O46*$D$2</f>
        <v>11132.0337943375</v>
      </c>
      <c r="P47" s="117"/>
      <c r="Q47" s="117"/>
      <c r="R47" s="377"/>
      <c r="S47" s="112" t="n">
        <f aca="false">S46*$D$2</f>
        <v>42736.0943</v>
      </c>
      <c r="T47" s="112" t="n">
        <f aca="false">T46*$D$2</f>
        <v>19592.6163</v>
      </c>
      <c r="U47" s="112" t="n">
        <f aca="false">U46*$D$2</f>
        <v>110137.300641413</v>
      </c>
      <c r="V47" s="112" t="n">
        <f aca="false">V46*$D$2</f>
        <v>0</v>
      </c>
      <c r="W47" s="112" t="n">
        <f aca="false">W46*$D$2</f>
        <v>5757.24226025</v>
      </c>
      <c r="X47" s="112" t="n">
        <f aca="false">X46*$D$2</f>
        <v>27935.713175</v>
      </c>
      <c r="Y47" s="112" t="n">
        <f aca="false">Y46*$D$2</f>
        <v>8655.994</v>
      </c>
      <c r="Z47" s="112" t="n">
        <f aca="false">Z46*$D$2</f>
        <v>7691.006</v>
      </c>
      <c r="AA47" s="112" t="n">
        <f aca="false">AA46*$D$2</f>
        <v>159175.974175</v>
      </c>
      <c r="AB47" s="112" t="n">
        <f aca="false">AB46*$D$2</f>
        <v>13858.15503</v>
      </c>
      <c r="AC47" s="112" t="n">
        <f aca="false">AC46*$D$2</f>
        <v>173034.129205</v>
      </c>
      <c r="AD47" s="161"/>
      <c r="AE47" s="117"/>
      <c r="AF47" s="167"/>
      <c r="AG47" s="118"/>
      <c r="AH47" s="352"/>
      <c r="AI47" s="359" t="n">
        <f aca="false">AI46*$D$2</f>
        <v>2462.81337065544</v>
      </c>
      <c r="AJ47" s="352" t="n">
        <f aca="false">AJ46*$D$2</f>
        <v>1183.217255</v>
      </c>
    </row>
    <row r="48" customFormat="false" ht="3" hidden="false" customHeight="true" outlineLevel="0" collapsed="false">
      <c r="A48" s="169"/>
      <c r="B48" s="185"/>
      <c r="C48" s="171"/>
      <c r="D48" s="171"/>
      <c r="E48" s="171"/>
      <c r="F48" s="186"/>
      <c r="G48" s="171"/>
      <c r="H48" s="177"/>
      <c r="I48" s="171"/>
      <c r="J48" s="171"/>
      <c r="K48" s="171"/>
      <c r="L48" s="171"/>
      <c r="M48" s="187"/>
      <c r="N48" s="171"/>
      <c r="O48" s="171"/>
      <c r="P48" s="177"/>
      <c r="Q48" s="177"/>
      <c r="R48" s="378"/>
      <c r="S48" s="171"/>
      <c r="T48" s="171"/>
      <c r="U48" s="171"/>
      <c r="V48" s="171"/>
      <c r="W48" s="171"/>
      <c r="X48" s="171"/>
      <c r="Y48" s="171"/>
      <c r="Z48" s="171"/>
      <c r="AA48" s="171"/>
      <c r="AB48" s="171"/>
      <c r="AC48" s="171"/>
      <c r="AD48" s="176"/>
      <c r="AE48" s="190"/>
      <c r="AF48" s="191"/>
      <c r="AG48" s="190"/>
      <c r="AH48" s="229"/>
      <c r="AI48" s="226"/>
      <c r="AJ48" s="301"/>
    </row>
    <row r="49" customFormat="false" ht="11.1" hidden="false" customHeight="true" outlineLevel="0" collapsed="false">
      <c r="A49" s="111" t="s">
        <v>61</v>
      </c>
      <c r="B49" s="163"/>
      <c r="C49" s="112"/>
      <c r="D49" s="112"/>
      <c r="E49" s="112"/>
      <c r="F49" s="164" t="n">
        <f aca="false">F10+F43</f>
        <v>11228.6362490547</v>
      </c>
      <c r="G49" s="112" t="n">
        <f aca="false">G10+G43</f>
        <v>90700</v>
      </c>
      <c r="H49" s="117" t="n">
        <f aca="false">H10+H43</f>
        <v>1329.5</v>
      </c>
      <c r="I49" s="112" t="n">
        <f aca="false">I10+I43</f>
        <v>92029.5</v>
      </c>
      <c r="J49" s="112" t="n">
        <f aca="false">J10+J43</f>
        <v>10474.1103352659</v>
      </c>
      <c r="K49" s="112" t="n">
        <f aca="false">K10+K43</f>
        <v>102503.610335266</v>
      </c>
      <c r="L49" s="112" t="n">
        <f aca="false">L10+L43</f>
        <v>2852.87624905469</v>
      </c>
      <c r="M49" s="165" t="n">
        <f aca="false">M10+M43</f>
        <v>31405.2</v>
      </c>
      <c r="N49" s="112" t="n">
        <f aca="false">N10+N43</f>
        <v>60.81</v>
      </c>
      <c r="O49" s="112" t="n">
        <f aca="false">O10+O43</f>
        <v>5612.318525</v>
      </c>
      <c r="P49" s="117" t="n">
        <f aca="false">P10+P43</f>
        <v>134.84</v>
      </c>
      <c r="Q49" s="117" t="n">
        <f aca="false">Q10+Q43</f>
        <v>251.85</v>
      </c>
      <c r="R49" s="377" t="n">
        <f aca="false">R10+R43</f>
        <v>217.063</v>
      </c>
      <c r="S49" s="112" t="n">
        <f aca="false">S10+S43</f>
        <v>21607.8</v>
      </c>
      <c r="T49" s="112" t="n">
        <f aca="false">T10+T43</f>
        <v>9928.8</v>
      </c>
      <c r="U49" s="112" t="n">
        <f aca="false">U10+U43</f>
        <v>56664.918475</v>
      </c>
      <c r="V49" s="112"/>
      <c r="W49" s="112" t="n">
        <f aca="false">W46</f>
        <v>2902.5673104361</v>
      </c>
      <c r="X49" s="112" t="n">
        <f aca="false">X10+X43</f>
        <v>14084.05</v>
      </c>
      <c r="Y49" s="112" t="n">
        <f aca="false">Y10+Y43</f>
        <v>6627.89</v>
      </c>
      <c r="Z49" s="112" t="n">
        <f aca="false">Z41</f>
        <v>3877.49231157046</v>
      </c>
      <c r="AA49" s="112" t="n">
        <f aca="false">AA10+AA43</f>
        <v>83653.74</v>
      </c>
      <c r="AB49" s="112" t="n">
        <f aca="false">AB10+AB43</f>
        <v>7621.23408621124</v>
      </c>
      <c r="AC49" s="112" t="n">
        <f aca="false">AC10+AC43</f>
        <v>91274.9740862113</v>
      </c>
      <c r="AD49" s="161" t="n">
        <f aca="false">AD10+AD43</f>
        <v>10.74</v>
      </c>
      <c r="AE49" s="117"/>
      <c r="AF49" s="167"/>
      <c r="AG49" s="118"/>
      <c r="AH49" s="352"/>
      <c r="AI49" s="359" t="n">
        <f aca="false">AI10+AI43</f>
        <v>1241.65030030524</v>
      </c>
      <c r="AJ49" s="210"/>
    </row>
    <row r="50" customFormat="false" ht="11.1" hidden="false" customHeight="true" outlineLevel="0" collapsed="false">
      <c r="A50" s="111" t="s">
        <v>62</v>
      </c>
      <c r="B50" s="163"/>
      <c r="C50" s="112"/>
      <c r="D50" s="112" t="n">
        <f aca="false">D10+D44</f>
        <v>22272</v>
      </c>
      <c r="E50" s="112" t="n">
        <f aca="false">E41</f>
        <v>26839</v>
      </c>
      <c r="F50" s="164" t="n">
        <f aca="false">F49*$D$2</f>
        <v>22272.0000000001</v>
      </c>
      <c r="G50" s="112" t="n">
        <f aca="false">G49*$D$2</f>
        <v>179903.45</v>
      </c>
      <c r="H50" s="117" t="n">
        <f aca="false">H49*$D$2</f>
        <v>2637.06325</v>
      </c>
      <c r="I50" s="112" t="n">
        <f aca="false">I49*$D$2</f>
        <v>182540.51325</v>
      </c>
      <c r="J50" s="112" t="n">
        <f aca="false">J49*$D$2</f>
        <v>20775.39785</v>
      </c>
      <c r="K50" s="112" t="n">
        <f aca="false">K49*$D$2</f>
        <v>203315.9111</v>
      </c>
      <c r="L50" s="112" t="n">
        <f aca="false">L49*$D$2</f>
        <v>5658.68003999998</v>
      </c>
      <c r="M50" s="165" t="n">
        <f aca="false">M49*$D$2</f>
        <v>62292.2142</v>
      </c>
      <c r="N50" s="112" t="n">
        <f aca="false">N49*$D$2</f>
        <v>120.616635</v>
      </c>
      <c r="O50" s="112" t="n">
        <f aca="false">O49*$D$2</f>
        <v>11132.0337943375</v>
      </c>
      <c r="P50" s="117" t="n">
        <f aca="false">P49*$D$2</f>
        <v>267.45514</v>
      </c>
      <c r="Q50" s="117" t="n">
        <f aca="false">Q49*$D$2</f>
        <v>499.544475</v>
      </c>
      <c r="R50" s="377" t="n">
        <f aca="false">R49*$D$2</f>
        <v>430.5444605</v>
      </c>
      <c r="S50" s="112" t="n">
        <f aca="false">S49*$D$2</f>
        <v>42859.0713</v>
      </c>
      <c r="T50" s="112" t="n">
        <f aca="false">T49*$D$2</f>
        <v>19693.7748</v>
      </c>
      <c r="U50" s="112" t="n">
        <f aca="false">U49*$D$2</f>
        <v>112394.865795163</v>
      </c>
      <c r="V50" s="112"/>
      <c r="W50" s="112" t="n">
        <f aca="false">W49*$D$2</f>
        <v>5757.24226025</v>
      </c>
      <c r="X50" s="112" t="n">
        <f aca="false">X49*$D$2</f>
        <v>27935.713175</v>
      </c>
      <c r="Y50" s="112" t="n">
        <f aca="false">Y49*$D$2</f>
        <v>13146.419815</v>
      </c>
      <c r="Z50" s="112" t="n">
        <f aca="false">Z49*$D$2</f>
        <v>7691.006</v>
      </c>
      <c r="AA50" s="112" t="n">
        <f aca="false">AA49*$D$2</f>
        <v>165927.19329</v>
      </c>
      <c r="AB50" s="112" t="n">
        <f aca="false">AB49*$D$2</f>
        <v>15116.71781</v>
      </c>
      <c r="AC50" s="112" t="n">
        <f aca="false">AC49*$D$2</f>
        <v>181043.9111</v>
      </c>
      <c r="AD50" s="161"/>
      <c r="AE50" s="117"/>
      <c r="AF50" s="167"/>
      <c r="AG50" s="118"/>
      <c r="AH50" s="352"/>
      <c r="AI50" s="359" t="n">
        <f aca="false">AI49*$D$2</f>
        <v>2462.81337065544</v>
      </c>
      <c r="AJ50" s="210"/>
    </row>
    <row r="51" customFormat="false" ht="3" hidden="false" customHeight="true" outlineLevel="0" collapsed="false">
      <c r="A51" s="169"/>
      <c r="B51" s="185"/>
      <c r="C51" s="171"/>
      <c r="D51" s="169"/>
      <c r="E51" s="171"/>
      <c r="F51" s="172"/>
      <c r="G51" s="169"/>
      <c r="H51" s="173"/>
      <c r="I51" s="169"/>
      <c r="J51" s="169"/>
      <c r="K51" s="169"/>
      <c r="L51" s="169"/>
      <c r="M51" s="174"/>
      <c r="N51" s="169"/>
      <c r="O51" s="169"/>
      <c r="P51" s="300"/>
      <c r="Q51" s="300"/>
      <c r="R51" s="225"/>
      <c r="S51" s="169"/>
      <c r="T51" s="169"/>
      <c r="U51" s="169"/>
      <c r="V51" s="171"/>
      <c r="W51" s="171"/>
      <c r="X51" s="169"/>
      <c r="Y51" s="169"/>
      <c r="Z51" s="171"/>
      <c r="AA51" s="169"/>
      <c r="AB51" s="169"/>
      <c r="AC51" s="169"/>
      <c r="AD51" s="185"/>
      <c r="AE51" s="169"/>
      <c r="AF51" s="172"/>
      <c r="AG51" s="169"/>
      <c r="AH51" s="229"/>
      <c r="AI51" s="226"/>
      <c r="AJ51" s="301"/>
    </row>
    <row r="52" customFormat="false" ht="11.1" hidden="false" customHeight="true" outlineLevel="0" collapsed="false">
      <c r="A52" s="183"/>
      <c r="B52" s="183"/>
      <c r="C52" s="112"/>
      <c r="D52" s="183"/>
      <c r="E52" s="112"/>
      <c r="F52" s="183"/>
      <c r="G52" s="113"/>
      <c r="I52" s="102"/>
      <c r="J52" s="183"/>
      <c r="K52" s="183"/>
      <c r="L52" s="183"/>
      <c r="M52" s="181"/>
      <c r="N52" s="7"/>
      <c r="O52" s="181"/>
      <c r="P52" s="115"/>
      <c r="Q52" s="115"/>
      <c r="R52" s="115"/>
      <c r="S52" s="183"/>
      <c r="T52" s="183"/>
      <c r="U52" s="0"/>
      <c r="V52" s="112"/>
      <c r="W52" s="112"/>
      <c r="X52" s="107"/>
      <c r="Y52" s="112"/>
      <c r="Z52" s="183"/>
      <c r="AA52" s="183"/>
      <c r="AB52" s="183"/>
      <c r="AC52" s="115"/>
      <c r="AD52" s="116"/>
      <c r="AE52" s="117"/>
      <c r="AF52" s="118"/>
      <c r="AG52" s="213"/>
      <c r="AH52" s="214"/>
      <c r="AI52" s="231"/>
    </row>
    <row r="53" customFormat="false" ht="11.1" hidden="false" customHeight="true" outlineLevel="0" collapsed="false">
      <c r="A53" s="111"/>
      <c r="B53" s="385" t="s">
        <v>107</v>
      </c>
      <c r="C53" s="7"/>
      <c r="D53" s="101"/>
      <c r="E53" s="307"/>
      <c r="F53" s="334"/>
      <c r="G53" s="0"/>
      <c r="H53" s="11"/>
      <c r="I53" s="8"/>
      <c r="J53" s="6"/>
      <c r="K53" s="102"/>
      <c r="L53" s="181"/>
      <c r="M53" s="6"/>
      <c r="N53" s="6" t="n">
        <f aca="false">N7-N50</f>
        <v>239.383365</v>
      </c>
      <c r="O53" s="6" t="n">
        <f aca="false">O7-O47</f>
        <v>1450.9662056625</v>
      </c>
      <c r="P53" s="10"/>
      <c r="Q53" s="245"/>
      <c r="R53" s="245"/>
      <c r="S53" s="335"/>
      <c r="T53" s="89"/>
      <c r="U53" s="67"/>
      <c r="V53" s="112"/>
      <c r="W53" s="155"/>
      <c r="X53" s="402" t="n">
        <f aca="false">X7-X47</f>
        <v>2124.286825</v>
      </c>
      <c r="Y53" s="6"/>
      <c r="Z53" s="7"/>
      <c r="AA53" s="7"/>
      <c r="AB53" s="111"/>
      <c r="AC53" s="115"/>
      <c r="AD53" s="117"/>
      <c r="AE53" s="117"/>
      <c r="AF53" s="117"/>
      <c r="AG53" s="387" t="s">
        <v>108</v>
      </c>
      <c r="AH53" s="214"/>
      <c r="AI53" s="214"/>
      <c r="AJ53" s="231"/>
    </row>
    <row r="54" customFormat="false" ht="11.1" hidden="false" customHeight="true" outlineLevel="0" collapsed="false">
      <c r="A54" s="183"/>
      <c r="B54" s="112"/>
      <c r="E54" s="307"/>
      <c r="F54" s="308"/>
      <c r="G54" s="0"/>
      <c r="H54" s="11"/>
      <c r="I54" s="101"/>
      <c r="J54" s="101"/>
      <c r="K54" s="336"/>
      <c r="L54" s="112"/>
      <c r="M54" s="87"/>
      <c r="N54" s="87"/>
      <c r="O54" s="307"/>
      <c r="P54" s="388"/>
      <c r="Q54" s="245"/>
      <c r="R54" s="245"/>
      <c r="S54" s="335"/>
      <c r="T54" s="89"/>
      <c r="U54" s="67"/>
      <c r="V54" s="112"/>
      <c r="W54" s="112"/>
      <c r="X54" s="112"/>
      <c r="Y54" s="7"/>
      <c r="Z54" s="335"/>
      <c r="AA54" s="335"/>
      <c r="AB54" s="183"/>
      <c r="AC54" s="115"/>
      <c r="AD54" s="117"/>
      <c r="AE54" s="117"/>
      <c r="AF54" s="118"/>
      <c r="AG54" s="213" t="s">
        <v>109</v>
      </c>
      <c r="AH54" s="214"/>
      <c r="AJ54" s="231"/>
    </row>
    <row r="55" customFormat="false" ht="11.1" hidden="false" customHeight="true" outlineLevel="0" collapsed="false">
      <c r="A55" s="183"/>
      <c r="B55" s="183"/>
      <c r="C55" s="112"/>
      <c r="D55" s="112"/>
      <c r="E55" s="307"/>
      <c r="F55" s="0"/>
      <c r="G55" s="0"/>
      <c r="H55" s="112"/>
      <c r="I55" s="0"/>
      <c r="J55" s="101"/>
      <c r="K55" s="336"/>
      <c r="L55" s="117"/>
      <c r="M55" s="87"/>
      <c r="N55" s="87"/>
      <c r="O55" s="117"/>
      <c r="P55" s="115"/>
      <c r="Q55" s="245"/>
      <c r="R55" s="245"/>
      <c r="S55" s="92"/>
      <c r="T55" s="92"/>
      <c r="U55" s="67"/>
      <c r="V55" s="117"/>
      <c r="W55" s="117"/>
      <c r="X55" s="112"/>
      <c r="Y55" s="7"/>
      <c r="Z55" s="112"/>
      <c r="AA55" s="112"/>
      <c r="AB55" s="183"/>
      <c r="AC55" s="228"/>
      <c r="AD55" s="117"/>
      <c r="AE55" s="117"/>
      <c r="AF55" s="118"/>
      <c r="AG55" s="213" t="s">
        <v>110</v>
      </c>
      <c r="AH55" s="214"/>
      <c r="AJ55" s="231"/>
    </row>
    <row r="56" customFormat="false" ht="11.1" hidden="false" customHeight="true" outlineLevel="0" collapsed="false">
      <c r="A56" s="183"/>
      <c r="B56" s="183"/>
      <c r="C56" s="112"/>
      <c r="D56" s="183"/>
      <c r="E56" s="112"/>
      <c r="F56" s="183"/>
      <c r="G56" s="194"/>
      <c r="H56" s="113"/>
      <c r="I56" s="183"/>
      <c r="J56" s="183"/>
      <c r="K56" s="183"/>
      <c r="L56" s="183"/>
      <c r="M56" s="181"/>
      <c r="N56" s="181"/>
      <c r="O56" s="181"/>
      <c r="P56" s="115"/>
      <c r="Q56" s="115"/>
      <c r="R56" s="115"/>
      <c r="S56" s="183"/>
      <c r="T56" s="183"/>
      <c r="U56" s="0"/>
      <c r="V56" s="112"/>
      <c r="W56" s="112"/>
      <c r="Y56" s="112"/>
      <c r="Z56" s="183"/>
      <c r="AA56" s="183"/>
      <c r="AB56" s="183"/>
      <c r="AC56" s="115"/>
      <c r="AD56" s="116"/>
      <c r="AE56" s="117"/>
      <c r="AF56" s="118"/>
      <c r="AG56" s="213" t="s">
        <v>111</v>
      </c>
      <c r="AH56" s="214"/>
      <c r="AJ56" s="231"/>
    </row>
    <row r="57" customFormat="false" ht="11.1" hidden="false" customHeight="true" outlineLevel="0" collapsed="false">
      <c r="S57" s="390"/>
      <c r="T57" s="104"/>
      <c r="U57" s="112"/>
      <c r="V57" s="112"/>
      <c r="W57" s="112"/>
      <c r="Y57" s="105"/>
      <c r="AA57" s="104"/>
      <c r="AB57" s="104"/>
      <c r="AC57" s="108"/>
      <c r="AD57" s="106"/>
      <c r="AE57" s="109"/>
      <c r="AF57" s="110"/>
      <c r="AG57" s="391" t="s">
        <v>117</v>
      </c>
      <c r="AJ57" s="231"/>
    </row>
    <row r="58" customFormat="false" ht="11.1" hidden="false" customHeight="true" outlineLevel="0" collapsed="false">
      <c r="T58" s="104"/>
      <c r="U58" s="105"/>
      <c r="W58" s="104"/>
      <c r="Y58" s="105"/>
      <c r="AA58" s="104"/>
      <c r="AB58" s="104"/>
      <c r="AC58" s="108"/>
      <c r="AD58" s="106"/>
      <c r="AE58" s="109"/>
      <c r="AF58" s="110"/>
      <c r="AI58" s="231"/>
    </row>
    <row r="59" customFormat="false" ht="11.1" hidden="false" customHeight="true" outlineLevel="0" collapsed="false">
      <c r="Q59" s="403"/>
      <c r="R59" s="403"/>
    </row>
    <row r="60" customFormat="false" ht="11.1" hidden="false" customHeight="true" outlineLevel="0" collapsed="false">
      <c r="Q60" s="403"/>
      <c r="R60" s="403"/>
    </row>
  </sheetData>
  <mergeCells count="2">
    <mergeCell ref="K2:W2"/>
    <mergeCell ref="M5:R5"/>
  </mergeCells>
  <printOptions headings="true" gridLines="true" gridLinesSet="true" horizontalCentered="true" verticalCentered="false"/>
  <pageMargins left="0" right="0" top="0" bottom="0" header="0.511811023622047" footer="0.511811023622047"/>
  <pageSetup paperSize="5"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AK59"/>
  <sheetViews>
    <sheetView showFormulas="false" showGridLines="true" showRowColHeaders="true" showZeros="true" rightToLeft="false" tabSelected="true" showOutlineSymbols="true" defaultGridColor="true" view="normal" topLeftCell="A1" colorId="64" zoomScale="120" zoomScaleNormal="120" zoomScalePageLayoutView="100" workbookViewId="0">
      <pane xSplit="1" ySplit="11" topLeftCell="G12" activePane="bottomRight" state="frozen"/>
      <selection pane="topLeft" activeCell="A1" activeCellId="0" sqref="A1"/>
      <selection pane="topRight" activeCell="G1" activeCellId="0" sqref="G1"/>
      <selection pane="bottomLeft" activeCell="A12" activeCellId="0" sqref="A12"/>
      <selection pane="bottomRight" activeCell="AA13" activeCellId="0" sqref="AA13:AA42"/>
    </sheetView>
  </sheetViews>
  <sheetFormatPr defaultColWidth="9.3359375" defaultRowHeight="11.1" zeroHeight="false" outlineLevelRow="0" outlineLevelCol="0"/>
  <cols>
    <col collapsed="false" customWidth="true" hidden="false" outlineLevel="0" max="1" min="1" style="104" width="4.67"/>
    <col collapsed="false" customWidth="true" hidden="false" outlineLevel="0" max="2" min="2" style="104" width="6.99"/>
    <col collapsed="false" customWidth="true" hidden="false" outlineLevel="0" max="3" min="3" style="105" width="6.32"/>
    <col collapsed="false" customWidth="true" hidden="false" outlineLevel="0" max="4" min="4" style="104" width="6.99"/>
    <col collapsed="false" customWidth="true" hidden="false" outlineLevel="0" max="5" min="5" style="105" width="7.66"/>
    <col collapsed="false" customWidth="true" hidden="false" outlineLevel="0" max="6" min="6" style="104" width="7.16"/>
    <col collapsed="false" customWidth="true" hidden="false" outlineLevel="0" max="7" min="7" style="104" width="6.82"/>
    <col collapsed="false" customWidth="true" hidden="false" outlineLevel="0" max="8" min="8" style="404" width="5.67"/>
    <col collapsed="false" customWidth="true" hidden="false" outlineLevel="0" max="9" min="9" style="104" width="7.16"/>
    <col collapsed="false" customWidth="true" hidden="false" outlineLevel="0" max="10" min="10" style="104" width="6.66"/>
    <col collapsed="false" customWidth="true" hidden="false" outlineLevel="0" max="12" min="11" style="104" width="7.16"/>
    <col collapsed="false" customWidth="true" hidden="false" outlineLevel="0" max="13" min="13" style="107" width="6.16"/>
    <col collapsed="false" customWidth="true" hidden="false" outlineLevel="0" max="14" min="14" style="107" width="5.99"/>
    <col collapsed="false" customWidth="true" hidden="false" outlineLevel="0" max="15" min="15" style="107" width="6.49"/>
    <col collapsed="false" customWidth="true" hidden="false" outlineLevel="0" max="16" min="16" style="104" width="4.32"/>
    <col collapsed="false" customWidth="true" hidden="false" outlineLevel="0" max="18" min="17" style="104" width="4.82"/>
    <col collapsed="false" customWidth="true" hidden="false" outlineLevel="0" max="19" min="19" style="104" width="5.49"/>
    <col collapsed="false" customWidth="true" hidden="false" outlineLevel="0" max="20" min="20" style="105" width="5.49"/>
    <col collapsed="false" customWidth="true" hidden="false" outlineLevel="0" max="21" min="21" style="104" width="6.49"/>
    <col collapsed="false" customWidth="true" hidden="false" outlineLevel="0" max="22" min="22" style="104" width="5.82"/>
    <col collapsed="false" customWidth="true" hidden="false" outlineLevel="0" max="23" min="23" style="105" width="5.67"/>
    <col collapsed="false" customWidth="true" hidden="false" outlineLevel="0" max="24" min="24" style="104" width="5.67"/>
    <col collapsed="false" customWidth="true" hidden="false" outlineLevel="0" max="26" min="25" style="104" width="6.16"/>
    <col collapsed="false" customWidth="true" hidden="false" outlineLevel="0" max="27" min="27" style="108" width="7.16"/>
    <col collapsed="false" customWidth="true" hidden="false" outlineLevel="0" max="28" min="28" style="109" width="7.32"/>
    <col collapsed="false" customWidth="true" hidden="false" outlineLevel="0" max="29" min="29" style="109" width="7.82"/>
    <col collapsed="false" customWidth="true" hidden="false" outlineLevel="0" max="30" min="30" style="110" width="5.32"/>
    <col collapsed="false" customWidth="true" hidden="false" outlineLevel="0" max="31" min="31" style="104" width="3.82"/>
    <col collapsed="false" customWidth="true" hidden="false" outlineLevel="0" max="32" min="32" style="108" width="3.82"/>
    <col collapsed="false" customWidth="true" hidden="false" outlineLevel="0" max="33" min="33" style="104" width="5.99"/>
    <col collapsed="false" customWidth="true" hidden="false" outlineLevel="0" max="34" min="34" style="107" width="6.66"/>
    <col collapsed="false" customWidth="true" hidden="false" outlineLevel="0" max="35" min="35" style="107" width="6.82"/>
    <col collapsed="false" customWidth="true" hidden="false" outlineLevel="0" max="36" min="36" style="104" width="6.32"/>
    <col collapsed="false" customWidth="false" hidden="false" outlineLevel="0" max="257" min="37" style="104" width="9.32"/>
  </cols>
  <sheetData>
    <row r="1" customFormat="false" ht="14.1" hidden="false" customHeight="true" outlineLevel="0" collapsed="false">
      <c r="A1" s="111"/>
      <c r="B1" s="111"/>
      <c r="C1" s="112"/>
      <c r="D1" s="111"/>
      <c r="E1" s="112"/>
      <c r="F1" s="111"/>
      <c r="G1" s="111"/>
      <c r="H1" s="405"/>
      <c r="I1" s="111"/>
      <c r="J1" s="111"/>
      <c r="K1" s="114" t="s">
        <v>0</v>
      </c>
      <c r="L1" s="111"/>
      <c r="M1" s="111"/>
      <c r="N1" s="111"/>
      <c r="O1" s="111"/>
      <c r="P1" s="111"/>
      <c r="Q1" s="111"/>
      <c r="R1" s="111"/>
      <c r="S1" s="111"/>
      <c r="T1" s="111"/>
      <c r="U1" s="112"/>
      <c r="V1" s="111"/>
      <c r="W1" s="111"/>
      <c r="X1" s="111"/>
      <c r="Y1" s="112"/>
      <c r="Z1" s="111"/>
      <c r="AA1" s="111"/>
      <c r="AB1" s="111"/>
      <c r="AC1" s="115"/>
      <c r="AD1" s="117"/>
      <c r="AE1" s="117"/>
      <c r="AF1" s="118"/>
      <c r="AG1" s="197"/>
      <c r="AH1" s="214"/>
    </row>
    <row r="2" customFormat="false" ht="14.1" hidden="false" customHeight="true" outlineLevel="0" collapsed="false">
      <c r="A2" s="111" t="s">
        <v>1</v>
      </c>
      <c r="B2" s="111"/>
      <c r="C2" s="112"/>
      <c r="D2" s="119" t="n">
        <v>1.9835</v>
      </c>
      <c r="E2" s="112"/>
      <c r="F2" s="111"/>
      <c r="G2" s="111"/>
      <c r="H2" s="405"/>
      <c r="I2" s="111"/>
      <c r="J2" s="111"/>
      <c r="K2" s="120" t="s">
        <v>118</v>
      </c>
      <c r="L2" s="120"/>
      <c r="M2" s="120"/>
      <c r="N2" s="120"/>
      <c r="O2" s="120"/>
      <c r="P2" s="120"/>
      <c r="Q2" s="120"/>
      <c r="R2" s="120"/>
      <c r="S2" s="120"/>
      <c r="T2" s="120"/>
      <c r="U2" s="120"/>
      <c r="V2" s="120"/>
      <c r="W2" s="120"/>
      <c r="X2" s="111"/>
      <c r="Y2" s="112"/>
      <c r="Z2" s="111"/>
      <c r="AA2" s="111"/>
      <c r="AB2" s="111"/>
      <c r="AC2" s="115"/>
      <c r="AD2" s="117"/>
      <c r="AE2" s="117"/>
      <c r="AF2" s="118"/>
      <c r="AG2" s="197"/>
      <c r="AH2" s="214"/>
    </row>
    <row r="3" customFormat="false" ht="14.1" hidden="false" customHeight="true" outlineLevel="0" collapsed="false">
      <c r="A3" s="121"/>
      <c r="B3" s="121"/>
      <c r="C3" s="122"/>
      <c r="D3" s="123"/>
      <c r="E3" s="122"/>
      <c r="F3" s="121"/>
      <c r="G3" s="121"/>
      <c r="H3" s="406"/>
      <c r="I3" s="121"/>
      <c r="J3" s="121"/>
      <c r="K3" s="121"/>
      <c r="L3" s="121"/>
      <c r="M3" s="121"/>
      <c r="N3" s="121"/>
      <c r="O3" s="121"/>
      <c r="P3" s="121"/>
      <c r="Q3" s="121"/>
      <c r="R3" s="121"/>
      <c r="S3" s="121"/>
      <c r="T3" s="121"/>
      <c r="U3" s="122"/>
      <c r="V3" s="121"/>
      <c r="W3" s="121"/>
      <c r="X3" s="121"/>
      <c r="Y3" s="122"/>
      <c r="Z3" s="121"/>
      <c r="AA3" s="121"/>
      <c r="AB3" s="121"/>
      <c r="AC3" s="125"/>
      <c r="AD3" s="127"/>
      <c r="AE3" s="127"/>
      <c r="AF3" s="128"/>
      <c r="AG3" s="199"/>
      <c r="AH3" s="215"/>
      <c r="AI3" s="407"/>
      <c r="AJ3" s="129"/>
    </row>
    <row r="4" customFormat="false" ht="14.1" hidden="false" customHeight="true" outlineLevel="0" collapsed="false">
      <c r="A4" s="111"/>
      <c r="B4" s="130"/>
      <c r="C4" s="131"/>
      <c r="D4" s="200" t="s">
        <v>3</v>
      </c>
      <c r="E4" s="131"/>
      <c r="F4" s="133"/>
      <c r="G4" s="111"/>
      <c r="H4" s="405"/>
      <c r="I4" s="111"/>
      <c r="J4" s="111"/>
      <c r="K4" s="111"/>
      <c r="L4" s="111"/>
      <c r="M4" s="111"/>
      <c r="N4" s="111"/>
      <c r="O4" s="111"/>
      <c r="P4" s="111"/>
      <c r="Q4" s="111"/>
      <c r="R4" s="111"/>
      <c r="S4" s="134" t="s">
        <v>4</v>
      </c>
      <c r="T4" s="111"/>
      <c r="U4" s="112"/>
      <c r="V4" s="111"/>
      <c r="W4" s="111"/>
      <c r="X4" s="111"/>
      <c r="Y4" s="112"/>
      <c r="Z4" s="111"/>
      <c r="AA4" s="111"/>
      <c r="AB4" s="111"/>
      <c r="AC4" s="115"/>
      <c r="AD4" s="408"/>
      <c r="AE4" s="136" t="s">
        <v>5</v>
      </c>
      <c r="AF4" s="137"/>
      <c r="AG4" s="197"/>
      <c r="AH4" s="214"/>
      <c r="AI4" s="395" t="s">
        <v>93</v>
      </c>
    </row>
    <row r="5" customFormat="false" ht="11.1" hidden="false" customHeight="true" outlineLevel="0" collapsed="false">
      <c r="A5" s="138" t="s">
        <v>6</v>
      </c>
      <c r="B5" s="139" t="s">
        <v>7</v>
      </c>
      <c r="C5" s="140" t="s">
        <v>7</v>
      </c>
      <c r="D5" s="138" t="s">
        <v>8</v>
      </c>
      <c r="E5" s="140" t="s">
        <v>9</v>
      </c>
      <c r="F5" s="141" t="s">
        <v>10</v>
      </c>
      <c r="G5" s="138" t="s">
        <v>11</v>
      </c>
      <c r="H5" s="409" t="s">
        <v>12</v>
      </c>
      <c r="I5" s="138" t="s">
        <v>97</v>
      </c>
      <c r="J5" s="138" t="s">
        <v>14</v>
      </c>
      <c r="K5" s="138" t="s">
        <v>15</v>
      </c>
      <c r="L5" s="138" t="s">
        <v>14</v>
      </c>
      <c r="M5" s="143" t="s">
        <v>16</v>
      </c>
      <c r="N5" s="143"/>
      <c r="O5" s="143"/>
      <c r="P5" s="143"/>
      <c r="Q5" s="143"/>
      <c r="R5" s="143"/>
      <c r="S5" s="138" t="s">
        <v>17</v>
      </c>
      <c r="T5" s="138" t="s">
        <v>18</v>
      </c>
      <c r="U5" s="138" t="s">
        <v>15</v>
      </c>
      <c r="V5" s="156" t="s">
        <v>19</v>
      </c>
      <c r="W5" s="156" t="s">
        <v>19</v>
      </c>
      <c r="X5" s="138" t="s">
        <v>20</v>
      </c>
      <c r="Y5" s="138" t="s">
        <v>21</v>
      </c>
      <c r="Z5" s="140" t="s">
        <v>98</v>
      </c>
      <c r="AA5" s="138" t="s">
        <v>97</v>
      </c>
      <c r="AB5" s="138" t="s">
        <v>14</v>
      </c>
      <c r="AC5" s="138" t="s">
        <v>15</v>
      </c>
      <c r="AD5" s="345" t="s">
        <v>23</v>
      </c>
      <c r="AE5" s="145" t="s">
        <v>24</v>
      </c>
      <c r="AF5" s="146" t="s">
        <v>25</v>
      </c>
      <c r="AG5" s="145" t="s">
        <v>64</v>
      </c>
      <c r="AH5" s="396" t="s">
        <v>19</v>
      </c>
      <c r="AI5" s="397" t="s">
        <v>19</v>
      </c>
      <c r="AJ5" s="203" t="s">
        <v>99</v>
      </c>
    </row>
    <row r="6" customFormat="false" ht="11.1" hidden="false" customHeight="true" outlineLevel="0" collapsed="false">
      <c r="A6" s="148" t="s">
        <v>119</v>
      </c>
      <c r="B6" s="139" t="s">
        <v>28</v>
      </c>
      <c r="C6" s="140" t="s">
        <v>8</v>
      </c>
      <c r="D6" s="138" t="s">
        <v>29</v>
      </c>
      <c r="E6" s="140" t="s">
        <v>30</v>
      </c>
      <c r="F6" s="141" t="s">
        <v>31</v>
      </c>
      <c r="G6" s="138" t="s">
        <v>32</v>
      </c>
      <c r="H6" s="409" t="s">
        <v>101</v>
      </c>
      <c r="I6" s="138" t="s">
        <v>34</v>
      </c>
      <c r="J6" s="138" t="s">
        <v>34</v>
      </c>
      <c r="K6" s="138" t="s">
        <v>34</v>
      </c>
      <c r="L6" s="138" t="s">
        <v>35</v>
      </c>
      <c r="M6" s="149" t="s">
        <v>36</v>
      </c>
      <c r="N6" s="138" t="s">
        <v>37</v>
      </c>
      <c r="O6" s="138" t="s">
        <v>38</v>
      </c>
      <c r="P6" s="138" t="s">
        <v>102</v>
      </c>
      <c r="Q6" s="138" t="s">
        <v>103</v>
      </c>
      <c r="R6" s="150" t="s">
        <v>103</v>
      </c>
      <c r="S6" s="138" t="s">
        <v>40</v>
      </c>
      <c r="T6" s="138" t="s">
        <v>41</v>
      </c>
      <c r="U6" s="138" t="s">
        <v>19</v>
      </c>
      <c r="V6" s="156" t="s">
        <v>80</v>
      </c>
      <c r="W6" s="156" t="s">
        <v>104</v>
      </c>
      <c r="X6" s="138" t="s">
        <v>43</v>
      </c>
      <c r="Y6" s="138" t="s">
        <v>44</v>
      </c>
      <c r="Z6" s="140" t="s">
        <v>105</v>
      </c>
      <c r="AA6" s="138" t="s">
        <v>46</v>
      </c>
      <c r="AB6" s="138" t="s">
        <v>46</v>
      </c>
      <c r="AC6" s="138" t="s">
        <v>46</v>
      </c>
      <c r="AD6" s="348"/>
      <c r="AE6" s="145" t="s">
        <v>47</v>
      </c>
      <c r="AF6" s="146" t="s">
        <v>47</v>
      </c>
      <c r="AG6" s="152" t="s">
        <v>42</v>
      </c>
      <c r="AH6" s="396" t="s">
        <v>42</v>
      </c>
      <c r="AI6" s="397" t="s">
        <v>42</v>
      </c>
      <c r="AJ6" s="203" t="s">
        <v>90</v>
      </c>
    </row>
    <row r="7" customFormat="false" ht="11.1" hidden="false" customHeight="true" outlineLevel="0" collapsed="false">
      <c r="A7" s="153"/>
      <c r="B7" s="154"/>
      <c r="C7" s="155"/>
      <c r="D7" s="153"/>
      <c r="E7" s="156" t="s">
        <v>48</v>
      </c>
      <c r="F7" s="157"/>
      <c r="G7" s="153"/>
      <c r="H7" s="405"/>
      <c r="I7" s="153"/>
      <c r="J7" s="153"/>
      <c r="K7" s="153"/>
      <c r="L7" s="153"/>
      <c r="M7" s="159"/>
      <c r="N7" s="153" t="n">
        <v>360</v>
      </c>
      <c r="O7" s="155" t="n">
        <f aca="false">11896+687</f>
        <v>12583</v>
      </c>
      <c r="P7" s="153"/>
      <c r="Q7" s="153"/>
      <c r="R7" s="410" t="s">
        <v>104</v>
      </c>
      <c r="S7" s="153"/>
      <c r="T7" s="153"/>
      <c r="U7" s="153"/>
      <c r="V7" s="156" t="s">
        <v>120</v>
      </c>
      <c r="W7" s="370" t="n">
        <f aca="false">6517+60</f>
        <v>6577</v>
      </c>
      <c r="X7" s="155" t="n">
        <f aca="false">30120-60</f>
        <v>30060</v>
      </c>
      <c r="Y7" s="153"/>
      <c r="Z7" s="155"/>
      <c r="AA7" s="153"/>
      <c r="AB7" s="153"/>
      <c r="AC7" s="153"/>
      <c r="AD7" s="350"/>
      <c r="AE7" s="152" t="s">
        <v>50</v>
      </c>
      <c r="AF7" s="162"/>
      <c r="AG7" s="118"/>
      <c r="AH7" s="399" t="s">
        <v>51</v>
      </c>
      <c r="AI7" s="400" t="s">
        <v>83</v>
      </c>
      <c r="AJ7" s="207" t="s">
        <v>106</v>
      </c>
    </row>
    <row r="8" customFormat="false" ht="11.1" hidden="false" customHeight="true" outlineLevel="0" collapsed="false">
      <c r="A8" s="153"/>
      <c r="B8" s="154"/>
      <c r="C8" s="155"/>
      <c r="D8" s="153"/>
      <c r="E8" s="155"/>
      <c r="F8" s="157"/>
      <c r="G8" s="153"/>
      <c r="H8" s="405"/>
      <c r="I8" s="153"/>
      <c r="J8" s="153"/>
      <c r="K8" s="153"/>
      <c r="L8" s="153"/>
      <c r="M8" s="159"/>
      <c r="N8" s="153"/>
      <c r="O8" s="153"/>
      <c r="P8" s="153"/>
      <c r="Q8" s="153"/>
      <c r="R8" s="160"/>
      <c r="S8" s="153"/>
      <c r="T8" s="153"/>
      <c r="U8" s="153"/>
      <c r="V8" s="155"/>
      <c r="W8" s="155" t="n">
        <f aca="false">W7/1.9835</f>
        <v>3315.8558104361</v>
      </c>
      <c r="X8" s="153"/>
      <c r="Y8" s="153"/>
      <c r="Z8" s="155"/>
      <c r="AA8" s="153"/>
      <c r="AB8" s="153"/>
      <c r="AC8" s="153"/>
      <c r="AD8" s="350"/>
      <c r="AE8" s="118"/>
      <c r="AF8" s="162"/>
      <c r="AG8" s="118"/>
      <c r="AH8" s="352"/>
      <c r="AI8" s="352"/>
      <c r="AJ8" s="210"/>
    </row>
    <row r="9" customFormat="false" ht="11.1" hidden="false" customHeight="true" outlineLevel="0" collapsed="false">
      <c r="A9" s="111" t="s">
        <v>52</v>
      </c>
      <c r="B9" s="163"/>
      <c r="C9" s="112"/>
      <c r="D9" s="112"/>
      <c r="E9" s="112"/>
      <c r="F9" s="164" t="n">
        <f aca="false">SEP!F46</f>
        <v>2951.34862616588</v>
      </c>
      <c r="G9" s="112" t="n">
        <f aca="false">SEP!G46</f>
        <v>83146</v>
      </c>
      <c r="H9" s="411" t="n">
        <f aca="false">SEP!H46</f>
        <v>1046.76</v>
      </c>
      <c r="I9" s="112" t="n">
        <f aca="false">SEP!I46</f>
        <v>84192.76</v>
      </c>
      <c r="J9" s="112" t="n">
        <f aca="false">SEP!J46</f>
        <v>5995.35656415427</v>
      </c>
      <c r="K9" s="112" t="n">
        <f aca="false">SEP!K46</f>
        <v>90188.1165641543</v>
      </c>
      <c r="L9" s="112" t="n">
        <f aca="false">SEP!L46</f>
        <v>-991.361373834127</v>
      </c>
      <c r="M9" s="165" t="n">
        <f aca="false">SEP!M46</f>
        <v>30448.38</v>
      </c>
      <c r="N9" s="112" t="n">
        <f aca="false">SEP!N46</f>
        <v>60.81</v>
      </c>
      <c r="O9" s="112" t="n">
        <f aca="false">SEP!O46</f>
        <v>5612.318525</v>
      </c>
      <c r="P9" s="112"/>
      <c r="Q9" s="112"/>
      <c r="R9" s="166"/>
      <c r="S9" s="112" t="n">
        <f aca="false">SEP!S46</f>
        <v>21545.8</v>
      </c>
      <c r="T9" s="112" t="n">
        <f aca="false">SEP!T46</f>
        <v>9877.8</v>
      </c>
      <c r="U9" s="112" t="n">
        <f aca="false">SEP!U46</f>
        <v>55526.745975</v>
      </c>
      <c r="V9" s="112" t="n">
        <f aca="false">SEP!V46</f>
        <v>0</v>
      </c>
      <c r="W9" s="112" t="n">
        <f aca="false">SEP!W46</f>
        <v>2902.5673104361</v>
      </c>
      <c r="X9" s="112" t="n">
        <f aca="false">SEP!X46</f>
        <v>14084.05</v>
      </c>
      <c r="Y9" s="112" t="n">
        <f aca="false">SEP!Y46</f>
        <v>4364</v>
      </c>
      <c r="Z9" s="112"/>
      <c r="AA9" s="112" t="n">
        <f aca="false">SEP!AA46</f>
        <v>80250.05</v>
      </c>
      <c r="AB9" s="112" t="n">
        <f aca="false">SEP!AB46</f>
        <v>6986.71793798841</v>
      </c>
      <c r="AC9" s="112" t="n">
        <f aca="false">SEP!AC46</f>
        <v>87236.7679379884</v>
      </c>
      <c r="AD9" s="350"/>
      <c r="AE9" s="117"/>
      <c r="AF9" s="167"/>
      <c r="AG9" s="118"/>
      <c r="AH9" s="352"/>
      <c r="AI9" s="352" t="n">
        <f aca="false">SEP!AI46</f>
        <v>1241.65030030524</v>
      </c>
      <c r="AJ9" s="374" t="n">
        <f aca="false">SEP!AJ46</f>
        <v>596.53</v>
      </c>
    </row>
    <row r="10" s="105" customFormat="true" ht="11.1" hidden="false" customHeight="true" outlineLevel="0" collapsed="false">
      <c r="A10" s="112" t="s">
        <v>53</v>
      </c>
      <c r="B10" s="168" t="n">
        <f aca="false">SEP!B41</f>
        <v>6866.55</v>
      </c>
      <c r="C10" s="112" t="n">
        <f aca="false">SEP!C41</f>
        <v>178839</v>
      </c>
      <c r="D10" s="112" t="n">
        <f aca="false">SEP!D50</f>
        <v>22272</v>
      </c>
      <c r="E10" s="112" t="n">
        <f aca="false">SEP!E50</f>
        <v>26839</v>
      </c>
      <c r="F10" s="164" t="n">
        <f aca="false">SEP!F49</f>
        <v>11228.6362490547</v>
      </c>
      <c r="G10" s="112" t="n">
        <f aca="false">SEP!G49</f>
        <v>90700</v>
      </c>
      <c r="H10" s="411" t="n">
        <f aca="false">SEP!H49</f>
        <v>1329.5</v>
      </c>
      <c r="I10" s="112" t="n">
        <f aca="false">SEP!I49</f>
        <v>92029.5</v>
      </c>
      <c r="J10" s="112" t="n">
        <f aca="false">SEP!J49</f>
        <v>10474.1103352659</v>
      </c>
      <c r="K10" s="112" t="n">
        <f aca="false">SEP!K49</f>
        <v>102503.610335266</v>
      </c>
      <c r="L10" s="112" t="n">
        <f aca="false">SEP!L49</f>
        <v>2852.87624905469</v>
      </c>
      <c r="M10" s="165" t="n">
        <f aca="false">SEP!M49</f>
        <v>31405.2</v>
      </c>
      <c r="N10" s="112" t="n">
        <f aca="false">SEP!N49</f>
        <v>60.81</v>
      </c>
      <c r="O10" s="112" t="n">
        <f aca="false">SEP!O49</f>
        <v>5612.318525</v>
      </c>
      <c r="P10" s="112" t="n">
        <f aca="false">SEP!P49</f>
        <v>134.84</v>
      </c>
      <c r="Q10" s="112" t="n">
        <f aca="false">SEP!Q49</f>
        <v>251.85</v>
      </c>
      <c r="R10" s="166" t="n">
        <f aca="false">SEP!R49</f>
        <v>217.063</v>
      </c>
      <c r="S10" s="112" t="n">
        <f aca="false">SEP!S49</f>
        <v>21607.8</v>
      </c>
      <c r="T10" s="112" t="n">
        <f aca="false">SEP!T49</f>
        <v>9928.8</v>
      </c>
      <c r="U10" s="112" t="n">
        <f aca="false">SEP!U49</f>
        <v>56664.918475</v>
      </c>
      <c r="V10" s="112"/>
      <c r="W10" s="112" t="n">
        <f aca="false">SEP!W49</f>
        <v>2902.5673104361</v>
      </c>
      <c r="X10" s="112" t="n">
        <f aca="false">SEP!X49</f>
        <v>14084.05</v>
      </c>
      <c r="Y10" s="112" t="n">
        <f aca="false">SEP!Y49</f>
        <v>6627.89</v>
      </c>
      <c r="Z10" s="112" t="n">
        <f aca="false">SEP!Z49</f>
        <v>3877.49231157046</v>
      </c>
      <c r="AA10" s="112" t="n">
        <f aca="false">SEP!AA49</f>
        <v>83653.74</v>
      </c>
      <c r="AB10" s="112" t="n">
        <f aca="false">SEP!AB49</f>
        <v>7621.23408621124</v>
      </c>
      <c r="AC10" s="112" t="n">
        <f aca="false">SEP!AC49</f>
        <v>91274.9740862113</v>
      </c>
      <c r="AD10" s="354" t="n">
        <f aca="false">SEP!AD49</f>
        <v>10.74</v>
      </c>
      <c r="AE10" s="117"/>
      <c r="AF10" s="167"/>
      <c r="AG10" s="118"/>
      <c r="AH10" s="352"/>
      <c r="AI10" s="352" t="n">
        <f aca="false">SEP!AI49</f>
        <v>1241.65030030524</v>
      </c>
      <c r="AJ10" s="210"/>
    </row>
    <row r="11" customFormat="false" ht="3" hidden="false" customHeight="true" outlineLevel="0" collapsed="false">
      <c r="A11" s="169"/>
      <c r="B11" s="170"/>
      <c r="C11" s="171"/>
      <c r="D11" s="169"/>
      <c r="E11" s="171"/>
      <c r="F11" s="172"/>
      <c r="G11" s="169"/>
      <c r="H11" s="412"/>
      <c r="I11" s="169"/>
      <c r="J11" s="169"/>
      <c r="K11" s="169"/>
      <c r="L11" s="169"/>
      <c r="M11" s="174"/>
      <c r="N11" s="169"/>
      <c r="O11" s="169"/>
      <c r="P11" s="169"/>
      <c r="Q11" s="169"/>
      <c r="R11" s="175"/>
      <c r="S11" s="169"/>
      <c r="T11" s="169"/>
      <c r="U11" s="169"/>
      <c r="V11" s="171"/>
      <c r="W11" s="171"/>
      <c r="X11" s="169"/>
      <c r="Y11" s="169"/>
      <c r="Z11" s="171"/>
      <c r="AA11" s="169"/>
      <c r="AB11" s="169"/>
      <c r="AC11" s="169"/>
      <c r="AD11" s="355"/>
      <c r="AE11" s="177"/>
      <c r="AF11" s="178"/>
      <c r="AG11" s="179"/>
      <c r="AH11" s="226"/>
      <c r="AI11" s="226"/>
      <c r="AJ11" s="301"/>
    </row>
    <row r="12" customFormat="false" ht="11.1" hidden="false" customHeight="true" outlineLevel="0" collapsed="false">
      <c r="A12" s="118" t="n">
        <v>1</v>
      </c>
      <c r="B12" s="168" t="n">
        <v>6866.23</v>
      </c>
      <c r="C12" s="112" t="n">
        <v>178028</v>
      </c>
      <c r="D12" s="117" t="n">
        <f aca="false">C12-C10</f>
        <v>-811</v>
      </c>
      <c r="E12" s="112" t="n">
        <f aca="false">C12-152000</f>
        <v>26028</v>
      </c>
      <c r="F12" s="180" t="n">
        <f aca="false">D12/$D$2</f>
        <v>-408.873203932443</v>
      </c>
      <c r="G12" s="111" t="n">
        <v>74</v>
      </c>
      <c r="H12" s="405" t="n">
        <v>0</v>
      </c>
      <c r="I12" s="111" t="n">
        <f aca="false">G12+H12</f>
        <v>74</v>
      </c>
      <c r="J12" s="181" t="n">
        <f aca="false">IF(L12&gt;0,L12,0)</f>
        <v>0</v>
      </c>
      <c r="K12" s="111" t="n">
        <f aca="false">I12+J12</f>
        <v>74</v>
      </c>
      <c r="L12" s="111" t="n">
        <f aca="false">F12-(I12-AA12)</f>
        <v>-106.033203932443</v>
      </c>
      <c r="M12" s="182" t="n">
        <v>172</v>
      </c>
      <c r="N12" s="111" t="n">
        <v>1</v>
      </c>
      <c r="O12" s="111" t="n">
        <f aca="false">52.42*1.05</f>
        <v>55.041</v>
      </c>
      <c r="P12" s="193" t="n">
        <v>1.88</v>
      </c>
      <c r="Q12" s="413" t="n">
        <v>4.2</v>
      </c>
      <c r="R12" s="414" t="n">
        <v>4.12</v>
      </c>
      <c r="S12" s="111" t="n">
        <v>119</v>
      </c>
      <c r="T12" s="111" t="n">
        <v>57</v>
      </c>
      <c r="U12" s="111" t="n">
        <f aca="false">M12-N12-O12-P12-Q12-R12+S12+T12</f>
        <v>281.759</v>
      </c>
      <c r="V12" s="112" t="n">
        <v>0</v>
      </c>
      <c r="W12" s="112" t="n">
        <f aca="false">W9+AH12</f>
        <v>2688.7283104361</v>
      </c>
      <c r="X12" s="111" t="n">
        <v>8.84</v>
      </c>
      <c r="Y12" s="111" t="n">
        <v>20</v>
      </c>
      <c r="Z12" s="112" t="n">
        <f aca="false">Z10-Y12</f>
        <v>3857.49231157046</v>
      </c>
      <c r="AA12" s="6" t="n">
        <f aca="false">M12+S12+T12+X12+Y12</f>
        <v>376.84</v>
      </c>
      <c r="AB12" s="111" t="n">
        <f aca="false">IF(L12&lt;0,L12*-1,0)</f>
        <v>106.033203932443</v>
      </c>
      <c r="AC12" s="111" t="n">
        <f aca="false">AA12+AB12</f>
        <v>482.873203932443</v>
      </c>
      <c r="AD12" s="350" t="n">
        <v>0</v>
      </c>
      <c r="AE12" s="117" t="n">
        <v>81</v>
      </c>
      <c r="AF12" s="167" t="n">
        <v>48</v>
      </c>
      <c r="AG12" s="118" t="n">
        <v>0</v>
      </c>
      <c r="AH12" s="352" t="n">
        <f aca="false">(I12-P12-Q12)-U12</f>
        <v>-213.839</v>
      </c>
      <c r="AI12" s="352" t="n">
        <v>0</v>
      </c>
      <c r="AJ12" s="211"/>
    </row>
    <row r="13" customFormat="false" ht="11.1" hidden="false" customHeight="true" outlineLevel="0" collapsed="false">
      <c r="A13" s="118" t="n">
        <f aca="false">A12+1</f>
        <v>2</v>
      </c>
      <c r="B13" s="168" t="n">
        <v>6866.11</v>
      </c>
      <c r="C13" s="112" t="n">
        <v>177724</v>
      </c>
      <c r="D13" s="117" t="n">
        <f aca="false">C13-C12</f>
        <v>-304</v>
      </c>
      <c r="E13" s="112" t="n">
        <f aca="false">C13-152000</f>
        <v>25724</v>
      </c>
      <c r="F13" s="180" t="n">
        <f aca="false">D13/$D$2</f>
        <v>-153.264431560373</v>
      </c>
      <c r="G13" s="111" t="n">
        <v>80</v>
      </c>
      <c r="H13" s="405" t="n">
        <v>0</v>
      </c>
      <c r="I13" s="111" t="n">
        <f aca="false">G13+H13</f>
        <v>80</v>
      </c>
      <c r="J13" s="181" t="n">
        <f aca="false">IF(L13&gt;0,L13,0)</f>
        <v>121.735568439627</v>
      </c>
      <c r="K13" s="111" t="n">
        <f aca="false">I13+J13</f>
        <v>201.735568439627</v>
      </c>
      <c r="L13" s="111" t="n">
        <f aca="false">F13-(I13-AA13)</f>
        <v>121.735568439627</v>
      </c>
      <c r="M13" s="182" t="n">
        <v>160</v>
      </c>
      <c r="N13" s="111" t="n">
        <v>0</v>
      </c>
      <c r="O13" s="111" t="n">
        <f aca="false">66.17*1.05</f>
        <v>69.4785</v>
      </c>
      <c r="P13" s="193" t="n">
        <v>1.87</v>
      </c>
      <c r="Q13" s="413" t="n">
        <v>4.2</v>
      </c>
      <c r="R13" s="414" t="n">
        <v>4.83</v>
      </c>
      <c r="S13" s="111" t="n">
        <v>118</v>
      </c>
      <c r="T13" s="111" t="n">
        <v>57</v>
      </c>
      <c r="U13" s="111" t="n">
        <f aca="false">M13-N13-O13-P13-Q13-R13+S13+T13</f>
        <v>254.6215</v>
      </c>
      <c r="V13" s="112" t="n">
        <v>0</v>
      </c>
      <c r="W13" s="112" t="n">
        <f aca="false">W12+AH13</f>
        <v>2508.0368104361</v>
      </c>
      <c r="X13" s="111" t="n">
        <v>0</v>
      </c>
      <c r="Y13" s="111" t="n">
        <v>20</v>
      </c>
      <c r="Z13" s="112" t="n">
        <f aca="false">Z12-Y13</f>
        <v>3837.49231157046</v>
      </c>
      <c r="AA13" s="6" t="n">
        <f aca="false">M13+S13+T13+X13+Y13</f>
        <v>355</v>
      </c>
      <c r="AB13" s="111" t="n">
        <f aca="false">IF(L13&lt;0,L13*-1,0)</f>
        <v>0</v>
      </c>
      <c r="AC13" s="111" t="n">
        <f aca="false">AA13+AB13</f>
        <v>355</v>
      </c>
      <c r="AD13" s="350" t="n">
        <v>0.25</v>
      </c>
      <c r="AE13" s="117" t="n">
        <v>62</v>
      </c>
      <c r="AF13" s="167" t="n">
        <v>47</v>
      </c>
      <c r="AG13" s="118" t="n">
        <v>0</v>
      </c>
      <c r="AH13" s="352" t="n">
        <f aca="false">(I13-P13-Q13)-U13</f>
        <v>-180.6915</v>
      </c>
      <c r="AI13" s="352" t="n">
        <v>0</v>
      </c>
      <c r="AJ13" s="211"/>
    </row>
    <row r="14" customFormat="false" ht="11.1" hidden="false" customHeight="true" outlineLevel="0" collapsed="false">
      <c r="A14" s="118" t="n">
        <f aca="false">A13+1</f>
        <v>3</v>
      </c>
      <c r="B14" s="168" t="n">
        <v>6866.01</v>
      </c>
      <c r="C14" s="112" t="n">
        <v>177471</v>
      </c>
      <c r="D14" s="117" t="n">
        <f aca="false">C14-C13</f>
        <v>-253</v>
      </c>
      <c r="E14" s="112" t="n">
        <f aca="false">C14-152000</f>
        <v>25471</v>
      </c>
      <c r="F14" s="180" t="n">
        <f aca="false">D14/$D$2</f>
        <v>-127.552306528863</v>
      </c>
      <c r="G14" s="111" t="n">
        <v>142</v>
      </c>
      <c r="H14" s="405" t="n">
        <v>0</v>
      </c>
      <c r="I14" s="111" t="n">
        <f aca="false">G14+H14</f>
        <v>142</v>
      </c>
      <c r="J14" s="181" t="n">
        <f aca="false">IF(L14&gt;0,L14,0)</f>
        <v>38.447693471137</v>
      </c>
      <c r="K14" s="111" t="n">
        <f aca="false">I14+J14</f>
        <v>180.447693471137</v>
      </c>
      <c r="L14" s="111" t="n">
        <f aca="false">F14-(I14-AA14)</f>
        <v>38.447693471137</v>
      </c>
      <c r="M14" s="182" t="n">
        <v>118</v>
      </c>
      <c r="N14" s="111" t="n">
        <v>0</v>
      </c>
      <c r="O14" s="111" t="n">
        <f aca="false">33.5*1.05</f>
        <v>35.175</v>
      </c>
      <c r="P14" s="193" t="n">
        <v>1.69</v>
      </c>
      <c r="Q14" s="413" t="n">
        <v>4.2</v>
      </c>
      <c r="R14" s="414" t="n">
        <v>4.32</v>
      </c>
      <c r="S14" s="111" t="n">
        <v>113</v>
      </c>
      <c r="T14" s="111" t="n">
        <v>57</v>
      </c>
      <c r="U14" s="111" t="n">
        <f aca="false">M14-N14-O14-P14-Q14-R14+S14+T14</f>
        <v>242.615</v>
      </c>
      <c r="V14" s="112" t="n">
        <v>0</v>
      </c>
      <c r="W14" s="112" t="n">
        <f aca="false">W13+AH14</f>
        <v>2401.5318104361</v>
      </c>
      <c r="X14" s="111" t="n">
        <v>0</v>
      </c>
      <c r="Y14" s="111" t="n">
        <v>20</v>
      </c>
      <c r="Z14" s="112" t="n">
        <f aca="false">Z13-Y14</f>
        <v>3817.49231157046</v>
      </c>
      <c r="AA14" s="6" t="n">
        <f aca="false">M14+S14+T14+X14+Y14</f>
        <v>308</v>
      </c>
      <c r="AB14" s="111" t="n">
        <f aca="false">IF(L14&lt;0,L14*-1,0)</f>
        <v>0</v>
      </c>
      <c r="AC14" s="111" t="n">
        <f aca="false">AA14+AB14</f>
        <v>308</v>
      </c>
      <c r="AD14" s="350" t="n">
        <v>0.04</v>
      </c>
      <c r="AE14" s="117" t="n">
        <v>57</v>
      </c>
      <c r="AF14" s="167" t="n">
        <v>44</v>
      </c>
      <c r="AG14" s="118" t="n">
        <v>0</v>
      </c>
      <c r="AH14" s="352" t="n">
        <f aca="false">(I14-P14-Q14)-U14</f>
        <v>-106.505</v>
      </c>
      <c r="AI14" s="352" t="n">
        <v>0</v>
      </c>
      <c r="AJ14" s="211"/>
    </row>
    <row r="15" customFormat="false" ht="11.1" hidden="false" customHeight="true" outlineLevel="0" collapsed="false">
      <c r="A15" s="118" t="n">
        <f aca="false">A14+1</f>
        <v>4</v>
      </c>
      <c r="B15" s="168" t="n">
        <v>6865.9</v>
      </c>
      <c r="C15" s="112" t="n">
        <v>177196</v>
      </c>
      <c r="D15" s="117" t="n">
        <f aca="false">C15-C14</f>
        <v>-275</v>
      </c>
      <c r="E15" s="112" t="n">
        <f aca="false">C15-152000</f>
        <v>25196</v>
      </c>
      <c r="F15" s="180" t="n">
        <f aca="false">D15/$D$2</f>
        <v>-138.643811444416</v>
      </c>
      <c r="G15" s="111" t="n">
        <v>135</v>
      </c>
      <c r="H15" s="405" t="n">
        <v>0</v>
      </c>
      <c r="I15" s="111" t="n">
        <f aca="false">G15+H15</f>
        <v>135</v>
      </c>
      <c r="J15" s="181" t="n">
        <f aca="false">IF(L15&gt;0,L15,0)</f>
        <v>0</v>
      </c>
      <c r="K15" s="111" t="n">
        <f aca="false">I15+J15</f>
        <v>135</v>
      </c>
      <c r="L15" s="111" t="n">
        <f aca="false">F15-(I15-AA15)</f>
        <v>-3.643811444416</v>
      </c>
      <c r="M15" s="182" t="n">
        <v>88</v>
      </c>
      <c r="N15" s="111" t="n">
        <v>0</v>
      </c>
      <c r="O15" s="111" t="n">
        <f aca="false">9.46*1.05</f>
        <v>9.933</v>
      </c>
      <c r="P15" s="193" t="n">
        <v>1.7</v>
      </c>
      <c r="Q15" s="413" t="n">
        <v>4.2</v>
      </c>
      <c r="R15" s="414" t="n">
        <v>4.16</v>
      </c>
      <c r="S15" s="111" t="n">
        <v>107</v>
      </c>
      <c r="T15" s="111" t="n">
        <v>55</v>
      </c>
      <c r="U15" s="111" t="n">
        <f aca="false">M15-N15-O15-P15-Q15-R15+S15+T15</f>
        <v>230.007</v>
      </c>
      <c r="V15" s="112" t="n">
        <v>0</v>
      </c>
      <c r="W15" s="112" t="n">
        <f aca="false">W14+AH15</f>
        <v>2300.6248104361</v>
      </c>
      <c r="X15" s="111" t="n">
        <v>0</v>
      </c>
      <c r="Y15" s="111" t="n">
        <v>20</v>
      </c>
      <c r="Z15" s="112" t="n">
        <f aca="false">Z14-Y15</f>
        <v>3797.49231157046</v>
      </c>
      <c r="AA15" s="6" t="n">
        <f aca="false">M15+S15+T15+X15+Y15</f>
        <v>270</v>
      </c>
      <c r="AB15" s="111" t="n">
        <f aca="false">IF(L15&lt;0,L15*-1,0)</f>
        <v>3.643811444416</v>
      </c>
      <c r="AC15" s="111" t="n">
        <f aca="false">AA15+AB15</f>
        <v>273.643811444416</v>
      </c>
      <c r="AD15" s="350" t="n">
        <v>0.01</v>
      </c>
      <c r="AE15" s="117" t="n">
        <v>62</v>
      </c>
      <c r="AF15" s="167" t="n">
        <v>44</v>
      </c>
      <c r="AG15" s="118" t="n">
        <v>0</v>
      </c>
      <c r="AH15" s="352" t="n">
        <f aca="false">(I15-P15-Q15)-U15</f>
        <v>-100.907</v>
      </c>
      <c r="AI15" s="352" t="n">
        <v>0</v>
      </c>
      <c r="AJ15" s="211"/>
    </row>
    <row r="16" customFormat="false" ht="11.1" hidden="false" customHeight="true" outlineLevel="0" collapsed="false">
      <c r="A16" s="118" t="n">
        <f aca="false">A15+1</f>
        <v>5</v>
      </c>
      <c r="B16" s="168" t="n">
        <v>6865.85</v>
      </c>
      <c r="C16" s="112" t="n">
        <v>177071</v>
      </c>
      <c r="D16" s="117" t="n">
        <f aca="false">C16-C15</f>
        <v>-125</v>
      </c>
      <c r="E16" s="112" t="n">
        <f aca="false">C16-152000</f>
        <v>25071</v>
      </c>
      <c r="F16" s="180" t="n">
        <f aca="false">D16/$D$2</f>
        <v>-63.0199142929166</v>
      </c>
      <c r="G16" s="111" t="n">
        <v>130</v>
      </c>
      <c r="H16" s="405" t="n">
        <v>0</v>
      </c>
      <c r="I16" s="111" t="n">
        <f aca="false">G16+H16</f>
        <v>130</v>
      </c>
      <c r="J16" s="181" t="n">
        <f aca="false">IF(L16&gt;0,L16,0)</f>
        <v>61.9800857070834</v>
      </c>
      <c r="K16" s="111" t="n">
        <f aca="false">I16+J16</f>
        <v>191.980085707083</v>
      </c>
      <c r="L16" s="111" t="n">
        <f aca="false">F16-(I16-AA16)</f>
        <v>61.9800857070834</v>
      </c>
      <c r="M16" s="182" t="n">
        <v>79</v>
      </c>
      <c r="N16" s="111" t="n">
        <v>0</v>
      </c>
      <c r="O16" s="111" t="n">
        <f aca="false">6.76*1.05</f>
        <v>7.098</v>
      </c>
      <c r="P16" s="193" t="n">
        <v>1.89</v>
      </c>
      <c r="Q16" s="413" t="n">
        <v>4.2</v>
      </c>
      <c r="R16" s="414" t="n">
        <v>3.21</v>
      </c>
      <c r="S16" s="111" t="n">
        <v>106</v>
      </c>
      <c r="T16" s="111" t="n">
        <v>50</v>
      </c>
      <c r="U16" s="111" t="n">
        <f aca="false">M16-N16-O16-P16-Q16-R16+S16+T16</f>
        <v>218.602</v>
      </c>
      <c r="V16" s="112" t="n">
        <v>0</v>
      </c>
      <c r="W16" s="112" t="n">
        <f aca="false">W15+AH16</f>
        <v>2205.9328104361</v>
      </c>
      <c r="X16" s="111" t="n">
        <v>0</v>
      </c>
      <c r="Y16" s="111" t="n">
        <v>20</v>
      </c>
      <c r="Z16" s="112" t="n">
        <f aca="false">Z15-Y16</f>
        <v>3777.49231157046</v>
      </c>
      <c r="AA16" s="6" t="n">
        <f aca="false">M16+S16+T16+X16+Y16</f>
        <v>255</v>
      </c>
      <c r="AB16" s="111" t="n">
        <f aca="false">IF(L16&lt;0,L16*-1,0)</f>
        <v>0</v>
      </c>
      <c r="AC16" s="111" t="n">
        <f aca="false">AA16+AB16</f>
        <v>255</v>
      </c>
      <c r="AD16" s="350" t="n">
        <v>0</v>
      </c>
      <c r="AE16" s="117" t="n">
        <v>67</v>
      </c>
      <c r="AF16" s="167" t="n">
        <v>41</v>
      </c>
      <c r="AG16" s="118" t="n">
        <v>0</v>
      </c>
      <c r="AH16" s="352" t="n">
        <f aca="false">(I16-P16-Q16)-U16</f>
        <v>-94.692</v>
      </c>
      <c r="AI16" s="352" t="n">
        <v>0</v>
      </c>
      <c r="AJ16" s="211"/>
    </row>
    <row r="17" customFormat="false" ht="11.1" hidden="false" customHeight="true" outlineLevel="0" collapsed="false">
      <c r="A17" s="118" t="n">
        <f aca="false">A16+1</f>
        <v>6</v>
      </c>
      <c r="B17" s="168" t="n">
        <v>6865.7</v>
      </c>
      <c r="C17" s="112" t="n">
        <v>176697</v>
      </c>
      <c r="D17" s="117" t="n">
        <f aca="false">C17-C16</f>
        <v>-374</v>
      </c>
      <c r="E17" s="112" t="n">
        <f aca="false">C17-152000</f>
        <v>24697</v>
      </c>
      <c r="F17" s="180" t="n">
        <f aca="false">D17/$D$2</f>
        <v>-188.555583564406</v>
      </c>
      <c r="G17" s="111" t="n">
        <v>112</v>
      </c>
      <c r="H17" s="405" t="n">
        <v>0</v>
      </c>
      <c r="I17" s="111" t="n">
        <f aca="false">G17+H17</f>
        <v>112</v>
      </c>
      <c r="J17" s="181" t="n">
        <f aca="false">IF(L17&gt;0,L17,0)</f>
        <v>0</v>
      </c>
      <c r="K17" s="111" t="n">
        <f aca="false">I17+J17</f>
        <v>112</v>
      </c>
      <c r="L17" s="111" t="n">
        <f aca="false">F17-(I17-AA17)</f>
        <v>-38.555583564406</v>
      </c>
      <c r="M17" s="182" t="n">
        <v>97</v>
      </c>
      <c r="N17" s="111" t="n">
        <v>0</v>
      </c>
      <c r="O17" s="111" t="n">
        <f aca="false">12.93*1.05</f>
        <v>13.5765</v>
      </c>
      <c r="P17" s="193" t="n">
        <v>1.82</v>
      </c>
      <c r="Q17" s="413" t="n">
        <v>4.2</v>
      </c>
      <c r="R17" s="414" t="n">
        <v>3.07</v>
      </c>
      <c r="S17" s="111" t="n">
        <v>99</v>
      </c>
      <c r="T17" s="111" t="n">
        <v>46</v>
      </c>
      <c r="U17" s="111" t="n">
        <f aca="false">M17-N17-O17-P17-Q17-R17+S17+T17</f>
        <v>219.3335</v>
      </c>
      <c r="V17" s="112" t="n">
        <v>0</v>
      </c>
      <c r="W17" s="112" t="n">
        <f aca="false">W16+AH17</f>
        <v>2092.5793104361</v>
      </c>
      <c r="X17" s="111" t="n">
        <v>0</v>
      </c>
      <c r="Y17" s="111" t="n">
        <v>20</v>
      </c>
      <c r="Z17" s="112" t="n">
        <f aca="false">Z16-Y17</f>
        <v>3757.49231157046</v>
      </c>
      <c r="AA17" s="6" t="n">
        <f aca="false">M17+S17+T17+X17+Y17</f>
        <v>262</v>
      </c>
      <c r="AB17" s="111" t="n">
        <f aca="false">IF(L17&lt;0,L17*-1,0)</f>
        <v>38.555583564406</v>
      </c>
      <c r="AC17" s="111" t="n">
        <f aca="false">AA17+AB17</f>
        <v>300.555583564406</v>
      </c>
      <c r="AD17" s="350" t="n">
        <v>0</v>
      </c>
      <c r="AE17" s="117" t="n">
        <v>70</v>
      </c>
      <c r="AF17" s="167" t="n">
        <v>42</v>
      </c>
      <c r="AG17" s="118" t="n">
        <v>0</v>
      </c>
      <c r="AH17" s="352" t="n">
        <f aca="false">(I17-P17-Q17)-U17</f>
        <v>-113.3535</v>
      </c>
      <c r="AI17" s="352" t="n">
        <v>0</v>
      </c>
      <c r="AJ17" s="211"/>
    </row>
    <row r="18" customFormat="false" ht="11.1" hidden="false" customHeight="true" outlineLevel="0" collapsed="false">
      <c r="A18" s="118" t="n">
        <f aca="false">A17+1</f>
        <v>7</v>
      </c>
      <c r="B18" s="168" t="n">
        <v>6865.57</v>
      </c>
      <c r="C18" s="112" t="n">
        <v>176372</v>
      </c>
      <c r="D18" s="117" t="n">
        <f aca="false">C18-C17</f>
        <v>-325</v>
      </c>
      <c r="E18" s="112" t="n">
        <f aca="false">C18-152000</f>
        <v>24372</v>
      </c>
      <c r="F18" s="180" t="n">
        <f aca="false">D18/$D$2</f>
        <v>-163.851777161583</v>
      </c>
      <c r="G18" s="111" t="n">
        <v>105</v>
      </c>
      <c r="H18" s="405" t="n">
        <v>0</v>
      </c>
      <c r="I18" s="111" t="n">
        <f aca="false">G18+H18</f>
        <v>105</v>
      </c>
      <c r="J18" s="181" t="n">
        <f aca="false">IF(L18&gt;0,L18,0)</f>
        <v>15.148222838417</v>
      </c>
      <c r="K18" s="111" t="n">
        <f aca="false">I18+J18</f>
        <v>120.148222838417</v>
      </c>
      <c r="L18" s="111" t="n">
        <f aca="false">F18-(I18-AA18)</f>
        <v>15.148222838417</v>
      </c>
      <c r="M18" s="182" t="n">
        <v>134</v>
      </c>
      <c r="N18" s="111" t="n">
        <v>0</v>
      </c>
      <c r="O18" s="111" t="n">
        <f aca="false">31.7*1.05</f>
        <v>33.285</v>
      </c>
      <c r="P18" s="193" t="n">
        <v>1.74</v>
      </c>
      <c r="Q18" s="413" t="n">
        <v>4.2</v>
      </c>
      <c r="R18" s="414" t="n">
        <v>3.05</v>
      </c>
      <c r="S18" s="111" t="n">
        <v>88</v>
      </c>
      <c r="T18" s="111" t="n">
        <v>42</v>
      </c>
      <c r="U18" s="111" t="n">
        <f aca="false">M18-N18-O18-P18-Q18-R18+S18+T18</f>
        <v>221.725</v>
      </c>
      <c r="V18" s="112" t="n">
        <v>0</v>
      </c>
      <c r="W18" s="112" t="n">
        <f aca="false">W17+AH18</f>
        <v>1969.9143104361</v>
      </c>
      <c r="X18" s="111" t="n">
        <v>0</v>
      </c>
      <c r="Y18" s="111" t="n">
        <v>20</v>
      </c>
      <c r="Z18" s="112" t="n">
        <f aca="false">Z17-Y18</f>
        <v>3737.49231157046</v>
      </c>
      <c r="AA18" s="6" t="n">
        <f aca="false">M18+S18+T18+X18+Y18</f>
        <v>284</v>
      </c>
      <c r="AB18" s="111" t="n">
        <f aca="false">IF(L18&lt;0,L18*-1,0)</f>
        <v>0</v>
      </c>
      <c r="AC18" s="111" t="n">
        <f aca="false">AA18+AB18</f>
        <v>284</v>
      </c>
      <c r="AD18" s="350" t="n">
        <v>0</v>
      </c>
      <c r="AE18" s="117" t="n">
        <v>71</v>
      </c>
      <c r="AF18" s="167" t="n">
        <v>41</v>
      </c>
      <c r="AG18" s="118" t="n">
        <v>0</v>
      </c>
      <c r="AH18" s="352" t="n">
        <f aca="false">(I18-P18-Q18)-U18</f>
        <v>-122.665</v>
      </c>
      <c r="AI18" s="352" t="n">
        <v>0</v>
      </c>
      <c r="AJ18" s="211"/>
    </row>
    <row r="19" customFormat="false" ht="11.1" hidden="false" customHeight="true" outlineLevel="0" collapsed="false">
      <c r="A19" s="118" t="n">
        <f aca="false">A18+1</f>
        <v>8</v>
      </c>
      <c r="B19" s="168" t="n">
        <v>6865.43</v>
      </c>
      <c r="C19" s="112" t="n">
        <v>176023</v>
      </c>
      <c r="D19" s="117" t="n">
        <f aca="false">C19-C18</f>
        <v>-349</v>
      </c>
      <c r="E19" s="112" t="n">
        <f aca="false">C19-152000</f>
        <v>24023</v>
      </c>
      <c r="F19" s="180" t="n">
        <f aca="false">D19/$D$2</f>
        <v>-175.951600705823</v>
      </c>
      <c r="G19" s="111" t="n">
        <v>98</v>
      </c>
      <c r="H19" s="405" t="n">
        <v>0</v>
      </c>
      <c r="I19" s="111" t="n">
        <f aca="false">G19+H19</f>
        <v>98</v>
      </c>
      <c r="J19" s="181" t="n">
        <f aca="false">IF(L19&gt;0,L19,0)</f>
        <v>0</v>
      </c>
      <c r="K19" s="111" t="n">
        <f aca="false">I19+J19</f>
        <v>98</v>
      </c>
      <c r="L19" s="111" t="n">
        <f aca="false">F19-(I19-AA19)</f>
        <v>-4.95160070582301</v>
      </c>
      <c r="M19" s="182" t="n">
        <v>122</v>
      </c>
      <c r="N19" s="111" t="n">
        <v>8.57</v>
      </c>
      <c r="O19" s="111" t="n">
        <f aca="false">43.68*1.05</f>
        <v>45.864</v>
      </c>
      <c r="P19" s="193" t="n">
        <v>1.74</v>
      </c>
      <c r="Q19" s="413" t="n">
        <v>4.2</v>
      </c>
      <c r="R19" s="414" t="n">
        <v>3.13</v>
      </c>
      <c r="S19" s="111" t="n">
        <v>86</v>
      </c>
      <c r="T19" s="111" t="n">
        <v>40</v>
      </c>
      <c r="U19" s="111" t="n">
        <f aca="false">M19-N19-O19-P19-Q19-R19+S19+T19</f>
        <v>184.496</v>
      </c>
      <c r="V19" s="112" t="n">
        <v>0</v>
      </c>
      <c r="W19" s="112" t="n">
        <f aca="false">W18+AH19</f>
        <v>1877.4783104361</v>
      </c>
      <c r="X19" s="111" t="n">
        <v>0</v>
      </c>
      <c r="Y19" s="111" t="n">
        <v>21</v>
      </c>
      <c r="Z19" s="112" t="n">
        <f aca="false">Z18-Y19</f>
        <v>3716.49231157046</v>
      </c>
      <c r="AA19" s="6" t="n">
        <f aca="false">M19+S19+T19+X19+Y19</f>
        <v>269</v>
      </c>
      <c r="AB19" s="111" t="n">
        <f aca="false">IF(L19&lt;0,L19*-1,0)</f>
        <v>4.95160070582301</v>
      </c>
      <c r="AC19" s="111" t="n">
        <f aca="false">AA19+AB19</f>
        <v>273.951600705823</v>
      </c>
      <c r="AD19" s="350" t="n">
        <v>0</v>
      </c>
      <c r="AE19" s="117" t="n">
        <v>72</v>
      </c>
      <c r="AF19" s="167" t="n">
        <v>41</v>
      </c>
      <c r="AG19" s="118" t="n">
        <v>0</v>
      </c>
      <c r="AH19" s="352" t="n">
        <f aca="false">(I19-P19-Q19)-U19</f>
        <v>-92.436</v>
      </c>
      <c r="AI19" s="352" t="n">
        <v>0</v>
      </c>
      <c r="AJ19" s="211"/>
    </row>
    <row r="20" customFormat="false" ht="11.1" hidden="false" customHeight="true" outlineLevel="0" collapsed="false">
      <c r="A20" s="118" t="n">
        <f aca="false">A19+1</f>
        <v>9</v>
      </c>
      <c r="B20" s="168" t="n">
        <v>6865.25</v>
      </c>
      <c r="C20" s="112" t="n">
        <v>175574</v>
      </c>
      <c r="D20" s="117" t="n">
        <f aca="false">C20-C19</f>
        <v>-449</v>
      </c>
      <c r="E20" s="112" t="n">
        <f aca="false">C20-152000</f>
        <v>23574</v>
      </c>
      <c r="F20" s="180" t="n">
        <f aca="false">D20/$D$2</f>
        <v>-226.367532140156</v>
      </c>
      <c r="G20" s="111" t="n">
        <v>89</v>
      </c>
      <c r="H20" s="405" t="n">
        <v>0</v>
      </c>
      <c r="I20" s="111" t="n">
        <f aca="false">G20+H20</f>
        <v>89</v>
      </c>
      <c r="J20" s="181" t="n">
        <f aca="false">IF(L20&gt;0,L20,0)</f>
        <v>0</v>
      </c>
      <c r="K20" s="111" t="n">
        <f aca="false">I20+J20</f>
        <v>89</v>
      </c>
      <c r="L20" s="111" t="n">
        <f aca="false">F20-(I20-AA20)</f>
        <v>-49.367532140156</v>
      </c>
      <c r="M20" s="182" t="n">
        <v>119</v>
      </c>
      <c r="N20" s="111" t="n">
        <v>0</v>
      </c>
      <c r="O20" s="111" t="n">
        <f aca="false">37.78*1.05</f>
        <v>39.669</v>
      </c>
      <c r="P20" s="193" t="n">
        <v>1.78</v>
      </c>
      <c r="Q20" s="413" t="n">
        <v>4.2</v>
      </c>
      <c r="R20" s="414" t="n">
        <v>3.22</v>
      </c>
      <c r="S20" s="111" t="n">
        <v>85</v>
      </c>
      <c r="T20" s="111" t="n">
        <v>41</v>
      </c>
      <c r="U20" s="111" t="n">
        <f aca="false">M20-N20-O20-P20-Q20-R20+S20+T20</f>
        <v>196.131</v>
      </c>
      <c r="V20" s="112" t="n">
        <v>0</v>
      </c>
      <c r="W20" s="112" t="n">
        <f aca="false">W19+AH20</f>
        <v>1764.3673104361</v>
      </c>
      <c r="X20" s="111" t="n">
        <v>0</v>
      </c>
      <c r="Y20" s="111" t="n">
        <v>21</v>
      </c>
      <c r="Z20" s="112" t="n">
        <f aca="false">Z19-Y20</f>
        <v>3695.49231157046</v>
      </c>
      <c r="AA20" s="6" t="n">
        <f aca="false">M20+S20+T20+X20+Y20</f>
        <v>266</v>
      </c>
      <c r="AB20" s="111" t="n">
        <f aca="false">IF(L20&lt;0,L20*-1,0)</f>
        <v>49.367532140156</v>
      </c>
      <c r="AC20" s="111" t="n">
        <f aca="false">AA20+AB20</f>
        <v>315.367532140156</v>
      </c>
      <c r="AD20" s="350" t="n">
        <v>0</v>
      </c>
      <c r="AE20" s="183" t="n">
        <v>75</v>
      </c>
      <c r="AF20" s="167" t="n">
        <v>43</v>
      </c>
      <c r="AG20" s="118" t="n">
        <v>0</v>
      </c>
      <c r="AH20" s="352" t="n">
        <f aca="false">(I20-P20-Q20)-U20</f>
        <v>-113.111</v>
      </c>
      <c r="AI20" s="352" t="n">
        <v>0</v>
      </c>
      <c r="AJ20" s="211"/>
    </row>
    <row r="21" customFormat="false" ht="11.1" hidden="false" customHeight="true" outlineLevel="0" collapsed="false">
      <c r="A21" s="118" t="n">
        <f aca="false">A20+1</f>
        <v>10</v>
      </c>
      <c r="B21" s="168" t="n">
        <v>6865.15</v>
      </c>
      <c r="C21" s="112" t="n">
        <v>175324</v>
      </c>
      <c r="D21" s="117" t="n">
        <f aca="false">C21-C20</f>
        <v>-250</v>
      </c>
      <c r="E21" s="112" t="n">
        <f aca="false">C21-152000</f>
        <v>23324</v>
      </c>
      <c r="F21" s="180" t="n">
        <f aca="false">D21/$D$2</f>
        <v>-126.039828585833</v>
      </c>
      <c r="G21" s="111" t="n">
        <v>87</v>
      </c>
      <c r="H21" s="405" t="n">
        <v>0</v>
      </c>
      <c r="I21" s="111" t="n">
        <f aca="false">G21+H21</f>
        <v>87</v>
      </c>
      <c r="J21" s="181" t="n">
        <f aca="false">IF(L21&gt;0,L21,0)</f>
        <v>32.960171414167</v>
      </c>
      <c r="K21" s="111" t="n">
        <f aca="false">I21+J21</f>
        <v>119.960171414167</v>
      </c>
      <c r="L21" s="111" t="n">
        <f aca="false">F21-(I21-AA21)</f>
        <v>32.960171414167</v>
      </c>
      <c r="M21" s="182" t="n">
        <v>105</v>
      </c>
      <c r="N21" s="111" t="n">
        <v>0</v>
      </c>
      <c r="O21" s="111" t="n">
        <f aca="false">22.45*1.05</f>
        <v>23.5725</v>
      </c>
      <c r="P21" s="193" t="n">
        <v>1.78</v>
      </c>
      <c r="Q21" s="413" t="n">
        <v>4.2</v>
      </c>
      <c r="R21" s="414" t="n">
        <v>2.88</v>
      </c>
      <c r="S21" s="111" t="n">
        <v>76</v>
      </c>
      <c r="T21" s="111" t="n">
        <v>44</v>
      </c>
      <c r="U21" s="111" t="n">
        <f aca="false">M21-N21-O21-P21-Q21-R21+S21+T21</f>
        <v>192.5675</v>
      </c>
      <c r="V21" s="112" t="n">
        <v>0</v>
      </c>
      <c r="W21" s="112" t="n">
        <f aca="false">W20+AH21</f>
        <v>1652.8198104361</v>
      </c>
      <c r="X21" s="111" t="n">
        <v>0</v>
      </c>
      <c r="Y21" s="111" t="n">
        <v>21</v>
      </c>
      <c r="Z21" s="112" t="n">
        <f aca="false">Z20-Y21</f>
        <v>3674.49231157046</v>
      </c>
      <c r="AA21" s="6" t="n">
        <f aca="false">M21+S21+T21+X21+Y21</f>
        <v>246</v>
      </c>
      <c r="AB21" s="111" t="n">
        <f aca="false">IF(L21&lt;0,L21*-1,0)</f>
        <v>0</v>
      </c>
      <c r="AC21" s="111" t="n">
        <f aca="false">AA21+AB21</f>
        <v>246</v>
      </c>
      <c r="AD21" s="350" t="n">
        <v>0</v>
      </c>
      <c r="AE21" s="117" t="n">
        <v>68</v>
      </c>
      <c r="AF21" s="167" t="n">
        <v>49</v>
      </c>
      <c r="AG21" s="118" t="n">
        <v>0</v>
      </c>
      <c r="AH21" s="352" t="n">
        <f aca="false">(I21-P21-Q21)-U21</f>
        <v>-111.5475</v>
      </c>
      <c r="AI21" s="352" t="n">
        <v>0</v>
      </c>
      <c r="AJ21" s="211"/>
    </row>
    <row r="22" customFormat="false" ht="11.1" hidden="false" customHeight="true" outlineLevel="0" collapsed="false">
      <c r="A22" s="118" t="n">
        <f aca="false">A21+1</f>
        <v>11</v>
      </c>
      <c r="B22" s="168" t="n">
        <v>6865.0417505</v>
      </c>
      <c r="C22" s="112" t="n">
        <v>175050</v>
      </c>
      <c r="D22" s="117" t="n">
        <f aca="false">C22-C21</f>
        <v>-274</v>
      </c>
      <c r="E22" s="112" t="n">
        <f aca="false">C22-152000</f>
        <v>23050</v>
      </c>
      <c r="F22" s="180" t="n">
        <f aca="false">D22/$D$2</f>
        <v>-138.139652130073</v>
      </c>
      <c r="G22" s="111" t="n">
        <v>93</v>
      </c>
      <c r="H22" s="405" t="n">
        <v>0</v>
      </c>
      <c r="I22" s="111" t="n">
        <f aca="false">G22+H22</f>
        <v>93</v>
      </c>
      <c r="J22" s="181" t="n">
        <f aca="false">IF(L22&gt;0,L22,0)</f>
        <v>0</v>
      </c>
      <c r="K22" s="111" t="n">
        <f aca="false">I22+J22</f>
        <v>93</v>
      </c>
      <c r="L22" s="111" t="n">
        <f aca="false">F22-(I22-AA22)</f>
        <v>-7.13965213007299</v>
      </c>
      <c r="M22" s="182" t="n">
        <v>89</v>
      </c>
      <c r="N22" s="111" t="n">
        <v>0</v>
      </c>
      <c r="O22" s="111" t="n">
        <f aca="false">15.24*1.05</f>
        <v>16.002</v>
      </c>
      <c r="P22" s="193" t="n">
        <v>1.73</v>
      </c>
      <c r="Q22" s="413" t="n">
        <v>4.2</v>
      </c>
      <c r="R22" s="414" t="n">
        <v>2.47</v>
      </c>
      <c r="S22" s="111" t="n">
        <v>70</v>
      </c>
      <c r="T22" s="111" t="n">
        <v>44</v>
      </c>
      <c r="U22" s="111" t="n">
        <f aca="false">M22-N22-O22-P22-Q22-R22+S22+T22</f>
        <v>178.598</v>
      </c>
      <c r="V22" s="112" t="n">
        <v>0</v>
      </c>
      <c r="W22" s="112" t="n">
        <f aca="false">W21+AH22</f>
        <v>1561.2918104361</v>
      </c>
      <c r="X22" s="111" t="n">
        <v>0</v>
      </c>
      <c r="Y22" s="111" t="n">
        <v>21</v>
      </c>
      <c r="Z22" s="112" t="n">
        <f aca="false">Z21-Y22</f>
        <v>3653.49231157046</v>
      </c>
      <c r="AA22" s="6" t="n">
        <f aca="false">M22+S22+T22+X22+Y22</f>
        <v>224</v>
      </c>
      <c r="AB22" s="111" t="n">
        <f aca="false">IF(L22&lt;0,L22*-1,0)</f>
        <v>7.13965213007299</v>
      </c>
      <c r="AC22" s="111" t="n">
        <f aca="false">AA22+AB22</f>
        <v>231.139652130073</v>
      </c>
      <c r="AD22" s="350" t="n">
        <v>0</v>
      </c>
      <c r="AE22" s="117" t="n">
        <v>70</v>
      </c>
      <c r="AF22" s="167" t="n">
        <v>40</v>
      </c>
      <c r="AG22" s="118" t="n">
        <v>0</v>
      </c>
      <c r="AH22" s="352" t="n">
        <f aca="false">(I22-P22-Q22)-U22</f>
        <v>-91.528</v>
      </c>
      <c r="AI22" s="352" t="n">
        <v>0</v>
      </c>
      <c r="AJ22" s="211"/>
      <c r="AK22" s="415"/>
    </row>
    <row r="23" customFormat="false" ht="11.1" hidden="false" customHeight="true" outlineLevel="0" collapsed="false">
      <c r="A23" s="118" t="n">
        <f aca="false">A22+1</f>
        <v>12</v>
      </c>
      <c r="B23" s="168" t="n">
        <v>6864.92</v>
      </c>
      <c r="C23" s="112" t="n">
        <v>174753</v>
      </c>
      <c r="D23" s="117" t="n">
        <f aca="false">C23-C22</f>
        <v>-297</v>
      </c>
      <c r="E23" s="112" t="n">
        <f aca="false">C23-152000</f>
        <v>22753</v>
      </c>
      <c r="F23" s="180" t="n">
        <f aca="false">D23/$D$2</f>
        <v>-149.73531635997</v>
      </c>
      <c r="G23" s="111" t="n">
        <v>90</v>
      </c>
      <c r="H23" s="405" t="n">
        <v>0</v>
      </c>
      <c r="I23" s="111" t="n">
        <f aca="false">G23+H23</f>
        <v>90</v>
      </c>
      <c r="J23" s="181" t="n">
        <f aca="false">IF(L23&gt;0,L23,0)</f>
        <v>0</v>
      </c>
      <c r="K23" s="111" t="n">
        <f aca="false">I23+J23</f>
        <v>90</v>
      </c>
      <c r="L23" s="111" t="n">
        <f aca="false">F23-(I23-AA23)</f>
        <v>-29.73531635997</v>
      </c>
      <c r="M23" s="182" t="n">
        <v>76</v>
      </c>
      <c r="N23" s="111" t="n">
        <v>0</v>
      </c>
      <c r="O23" s="111" t="n">
        <f aca="false">5.35*1.05</f>
        <v>5.6175</v>
      </c>
      <c r="P23" s="193" t="n">
        <v>1.86</v>
      </c>
      <c r="Q23" s="413" t="n">
        <v>4.2</v>
      </c>
      <c r="R23" s="414" t="n">
        <v>3.05</v>
      </c>
      <c r="S23" s="111" t="n">
        <v>69</v>
      </c>
      <c r="T23" s="111" t="n">
        <v>44</v>
      </c>
      <c r="U23" s="111" t="n">
        <f aca="false">M23-N23-O23-P23-Q23-R23+S23+T23</f>
        <v>174.2725</v>
      </c>
      <c r="V23" s="112" t="n">
        <v>0</v>
      </c>
      <c r="W23" s="112" t="n">
        <f aca="false">W22+AH23</f>
        <v>1470.9593104361</v>
      </c>
      <c r="X23" s="111" t="n">
        <v>0</v>
      </c>
      <c r="Y23" s="111" t="n">
        <v>21</v>
      </c>
      <c r="Z23" s="112" t="n">
        <f aca="false">Z22-Y23</f>
        <v>3632.49231157046</v>
      </c>
      <c r="AA23" s="6" t="n">
        <f aca="false">M23+S23+T23+X23+Y23</f>
        <v>210</v>
      </c>
      <c r="AB23" s="111" t="n">
        <f aca="false">IF(L23&lt;0,L23*-1,0)</f>
        <v>29.73531635997</v>
      </c>
      <c r="AC23" s="111" t="n">
        <f aca="false">AA23+AB23</f>
        <v>239.73531635997</v>
      </c>
      <c r="AD23" s="350" t="n">
        <v>0</v>
      </c>
      <c r="AE23" s="117" t="n">
        <v>70</v>
      </c>
      <c r="AF23" s="167" t="n">
        <v>38</v>
      </c>
      <c r="AG23" s="118" t="n">
        <v>0</v>
      </c>
      <c r="AH23" s="352" t="n">
        <f aca="false">(I23-P23-Q23)-U23</f>
        <v>-90.3325</v>
      </c>
      <c r="AI23" s="352" t="n">
        <v>0</v>
      </c>
      <c r="AJ23" s="211"/>
    </row>
    <row r="24" customFormat="false" ht="11.1" hidden="false" customHeight="true" outlineLevel="0" collapsed="false">
      <c r="A24" s="118" t="n">
        <f aca="false">A23+1</f>
        <v>13</v>
      </c>
      <c r="B24" s="168" t="n">
        <v>6864.82</v>
      </c>
      <c r="C24" s="112" t="n">
        <v>174508</v>
      </c>
      <c r="D24" s="117" t="n">
        <f aca="false">C24-C23</f>
        <v>-245</v>
      </c>
      <c r="E24" s="112" t="n">
        <f aca="false">C24-152000</f>
        <v>22508</v>
      </c>
      <c r="F24" s="180" t="n">
        <f aca="false">D24/$D$2</f>
        <v>-123.519032014116</v>
      </c>
      <c r="G24" s="111" t="n">
        <v>78</v>
      </c>
      <c r="H24" s="405" t="n">
        <v>0</v>
      </c>
      <c r="I24" s="111" t="n">
        <f aca="false">G24+H24</f>
        <v>78</v>
      </c>
      <c r="J24" s="181" t="n">
        <f aca="false">IF(L24&gt;0,L24,0)</f>
        <v>5.48096798588401</v>
      </c>
      <c r="K24" s="111" t="n">
        <f aca="false">I24+J24</f>
        <v>83.480967985884</v>
      </c>
      <c r="L24" s="111" t="n">
        <f aca="false">F24-(I24-AA24)</f>
        <v>5.48096798588401</v>
      </c>
      <c r="M24" s="182" t="n">
        <v>73</v>
      </c>
      <c r="N24" s="111" t="n">
        <v>0</v>
      </c>
      <c r="O24" s="111" t="n">
        <v>0</v>
      </c>
      <c r="P24" s="193" t="n">
        <v>1.96</v>
      </c>
      <c r="Q24" s="413" t="n">
        <v>4.2</v>
      </c>
      <c r="R24" s="414" t="n">
        <v>3.39</v>
      </c>
      <c r="S24" s="111" t="n">
        <v>69</v>
      </c>
      <c r="T24" s="111" t="n">
        <v>44</v>
      </c>
      <c r="U24" s="111" t="n">
        <f aca="false">M24-N24-O24-P24-Q24-R24+S24+T24</f>
        <v>176.45</v>
      </c>
      <c r="V24" s="112" t="n">
        <v>0</v>
      </c>
      <c r="W24" s="112" t="n">
        <f aca="false">W23+AH24</f>
        <v>1366.3493104361</v>
      </c>
      <c r="X24" s="111" t="n">
        <v>0</v>
      </c>
      <c r="Y24" s="111" t="n">
        <v>21</v>
      </c>
      <c r="Z24" s="112" t="n">
        <f aca="false">Z23-Y24</f>
        <v>3611.49231157046</v>
      </c>
      <c r="AA24" s="6" t="n">
        <f aca="false">M24+S24+T24+X24+Y24</f>
        <v>207</v>
      </c>
      <c r="AB24" s="111" t="n">
        <f aca="false">IF(L24&lt;0,L24*-1,0)</f>
        <v>0</v>
      </c>
      <c r="AC24" s="111" t="n">
        <f aca="false">AA24+AB24</f>
        <v>207</v>
      </c>
      <c r="AD24" s="350" t="n">
        <v>0</v>
      </c>
      <c r="AE24" s="117" t="n">
        <v>62</v>
      </c>
      <c r="AF24" s="167" t="n">
        <v>33</v>
      </c>
      <c r="AG24" s="118" t="n">
        <v>0</v>
      </c>
      <c r="AH24" s="352" t="n">
        <f aca="false">(I24-P24-Q24)-U24</f>
        <v>-104.61</v>
      </c>
      <c r="AI24" s="352" t="n">
        <v>0</v>
      </c>
      <c r="AJ24" s="211"/>
    </row>
    <row r="25" customFormat="false" ht="11.1" hidden="false" customHeight="true" outlineLevel="0" collapsed="false">
      <c r="A25" s="118" t="n">
        <f aca="false">A24+1</f>
        <v>14</v>
      </c>
      <c r="B25" s="168" t="n">
        <v>6864.65</v>
      </c>
      <c r="C25" s="112" t="n">
        <v>174090</v>
      </c>
      <c r="D25" s="117" t="n">
        <f aca="false">C25-C24</f>
        <v>-418</v>
      </c>
      <c r="E25" s="112" t="n">
        <f aca="false">C25-152000</f>
        <v>22090</v>
      </c>
      <c r="F25" s="180" t="n">
        <f aca="false">D25/$D$2</f>
        <v>-210.738593395513</v>
      </c>
      <c r="G25" s="111" t="n">
        <v>73</v>
      </c>
      <c r="H25" s="405" t="n">
        <v>0</v>
      </c>
      <c r="I25" s="111" t="n">
        <f aca="false">G25+H25</f>
        <v>73</v>
      </c>
      <c r="J25" s="181" t="n">
        <f aca="false">IF(L25&gt;0,L25,0)</f>
        <v>0</v>
      </c>
      <c r="K25" s="111" t="n">
        <f aca="false">I25+J25</f>
        <v>73</v>
      </c>
      <c r="L25" s="111" t="n">
        <f aca="false">F25-(I25-AA25)</f>
        <v>-40.738593395513</v>
      </c>
      <c r="M25" s="182" t="n">
        <v>107</v>
      </c>
      <c r="N25" s="111" t="n">
        <v>0</v>
      </c>
      <c r="O25" s="111" t="n">
        <f aca="false">21.07*1.05</f>
        <v>22.1235</v>
      </c>
      <c r="P25" s="193" t="n">
        <v>1.89</v>
      </c>
      <c r="Q25" s="413" t="n">
        <v>4.2</v>
      </c>
      <c r="R25" s="414" t="n">
        <v>3.86</v>
      </c>
      <c r="S25" s="111" t="n">
        <v>71</v>
      </c>
      <c r="T25" s="111" t="n">
        <v>44</v>
      </c>
      <c r="U25" s="111" t="n">
        <f aca="false">M25-N25-O25-P25-Q25-R25+S25+T25</f>
        <v>189.9265</v>
      </c>
      <c r="V25" s="112" t="n">
        <v>0</v>
      </c>
      <c r="W25" s="112" t="n">
        <f aca="false">W24+AH25</f>
        <v>1243.3328104361</v>
      </c>
      <c r="X25" s="111" t="n">
        <v>0</v>
      </c>
      <c r="Y25" s="111" t="n">
        <v>21</v>
      </c>
      <c r="Z25" s="112" t="n">
        <f aca="false">Z24-Y25</f>
        <v>3590.49231157046</v>
      </c>
      <c r="AA25" s="6" t="n">
        <f aca="false">M25+S25+T25+X25+Y25</f>
        <v>243</v>
      </c>
      <c r="AB25" s="111" t="n">
        <f aca="false">IF(L25&lt;0,L25*-1,0)</f>
        <v>40.738593395513</v>
      </c>
      <c r="AC25" s="111" t="n">
        <f aca="false">AA25+AB25</f>
        <v>283.738593395513</v>
      </c>
      <c r="AD25" s="350" t="n">
        <v>0</v>
      </c>
      <c r="AE25" s="183" t="n">
        <v>65</v>
      </c>
      <c r="AF25" s="167" t="n">
        <v>32</v>
      </c>
      <c r="AG25" s="118" t="n">
        <v>0</v>
      </c>
      <c r="AH25" s="352" t="n">
        <f aca="false">(I25-P25-Q25)-U25</f>
        <v>-123.0165</v>
      </c>
      <c r="AI25" s="352" t="n">
        <v>0</v>
      </c>
      <c r="AJ25" s="211"/>
    </row>
    <row r="26" customFormat="false" ht="11.1" hidden="false" customHeight="true" outlineLevel="0" collapsed="false">
      <c r="A26" s="118" t="n">
        <f aca="false">A25+1</f>
        <v>15</v>
      </c>
      <c r="B26" s="168" t="n">
        <v>6864.54</v>
      </c>
      <c r="C26" s="112" t="n">
        <v>173820</v>
      </c>
      <c r="D26" s="117" t="n">
        <f aca="false">C26-C25</f>
        <v>-270</v>
      </c>
      <c r="E26" s="112" t="n">
        <f aca="false">C26-152000</f>
        <v>21820</v>
      </c>
      <c r="F26" s="180" t="n">
        <f aca="false">D26/$D$2</f>
        <v>-136.1230148727</v>
      </c>
      <c r="G26" s="111" t="n">
        <v>71</v>
      </c>
      <c r="H26" s="405" t="n">
        <v>0</v>
      </c>
      <c r="I26" s="111" t="n">
        <f aca="false">G26+H26</f>
        <v>71</v>
      </c>
      <c r="J26" s="181" t="n">
        <f aca="false">IF(L26&gt;0,L26,0)</f>
        <v>41.8769851273</v>
      </c>
      <c r="K26" s="111" t="n">
        <f aca="false">I26+J26</f>
        <v>112.8769851273</v>
      </c>
      <c r="L26" s="111" t="n">
        <f aca="false">F26-(I26-AA26)</f>
        <v>41.8769851273</v>
      </c>
      <c r="M26" s="182" t="n">
        <v>121</v>
      </c>
      <c r="N26" s="111" t="n">
        <v>6</v>
      </c>
      <c r="O26" s="111" t="n">
        <f aca="false">44.89*1.05</f>
        <v>47.1345</v>
      </c>
      <c r="P26" s="193" t="n">
        <v>1.94</v>
      </c>
      <c r="Q26" s="413" t="n">
        <v>4.2</v>
      </c>
      <c r="R26" s="414" t="n">
        <v>3.65</v>
      </c>
      <c r="S26" s="111" t="n">
        <v>65</v>
      </c>
      <c r="T26" s="111" t="n">
        <v>42</v>
      </c>
      <c r="U26" s="111" t="n">
        <f aca="false">M26-N26-O26-P26-Q26-R26+S26+T26</f>
        <v>165.0755</v>
      </c>
      <c r="V26" s="112" t="n">
        <v>0</v>
      </c>
      <c r="W26" s="112" t="n">
        <f aca="false">W25+AH26</f>
        <v>1143.1173104361</v>
      </c>
      <c r="X26" s="111" t="n">
        <v>0</v>
      </c>
      <c r="Y26" s="111" t="n">
        <v>21</v>
      </c>
      <c r="Z26" s="112" t="n">
        <f aca="false">Z25-Y26</f>
        <v>3569.49231157046</v>
      </c>
      <c r="AA26" s="6" t="n">
        <f aca="false">M26+S26+T26+X26+Y26</f>
        <v>249</v>
      </c>
      <c r="AB26" s="111" t="n">
        <f aca="false">IF(L26&lt;0,L26*-1,0)</f>
        <v>0</v>
      </c>
      <c r="AC26" s="111" t="n">
        <f aca="false">AA26+AB26</f>
        <v>249</v>
      </c>
      <c r="AD26" s="350" t="n">
        <v>0</v>
      </c>
      <c r="AE26" s="183" t="n">
        <v>68</v>
      </c>
      <c r="AF26" s="167" t="n">
        <v>34</v>
      </c>
      <c r="AG26" s="118" t="n">
        <v>0</v>
      </c>
      <c r="AH26" s="352" t="n">
        <f aca="false">(I26-P26-Q26)-U26</f>
        <v>-100.2155</v>
      </c>
      <c r="AI26" s="352" t="n">
        <v>0</v>
      </c>
      <c r="AJ26" s="211"/>
    </row>
    <row r="27" customFormat="false" ht="11.1" hidden="false" customHeight="true" outlineLevel="0" collapsed="false">
      <c r="A27" s="118" t="n">
        <f aca="false">A26+1</f>
        <v>16</v>
      </c>
      <c r="B27" s="168" t="n">
        <v>6864.54</v>
      </c>
      <c r="C27" s="112" t="n">
        <v>173820</v>
      </c>
      <c r="D27" s="117" t="n">
        <f aca="false">C27-C26</f>
        <v>0</v>
      </c>
      <c r="E27" s="112" t="n">
        <f aca="false">C27-152000</f>
        <v>21820</v>
      </c>
      <c r="F27" s="180" t="n">
        <f aca="false">D27/$D$2</f>
        <v>0</v>
      </c>
      <c r="G27" s="111" t="n">
        <v>70</v>
      </c>
      <c r="H27" s="405" t="n">
        <v>0</v>
      </c>
      <c r="I27" s="111" t="n">
        <f aca="false">G27+H27</f>
        <v>70</v>
      </c>
      <c r="J27" s="181" t="n">
        <f aca="false">IF(L27&gt;0,L27,0)</f>
        <v>21</v>
      </c>
      <c r="K27" s="111" t="n">
        <f aca="false">I27+J27</f>
        <v>91</v>
      </c>
      <c r="L27" s="111" t="n">
        <f aca="false">F27-(I27-AA27)</f>
        <v>21</v>
      </c>
      <c r="M27" s="182" t="n">
        <v>70</v>
      </c>
      <c r="N27" s="111" t="n">
        <v>0</v>
      </c>
      <c r="O27" s="111" t="n">
        <f aca="false">48.74*1.05</f>
        <v>51.177</v>
      </c>
      <c r="P27" s="193" t="n">
        <v>1.96</v>
      </c>
      <c r="Q27" s="413" t="n">
        <v>4.2</v>
      </c>
      <c r="R27" s="414" t="n">
        <v>3.55</v>
      </c>
      <c r="S27" s="111" t="n">
        <v>0</v>
      </c>
      <c r="T27" s="111" t="n">
        <v>0</v>
      </c>
      <c r="U27" s="111" t="n">
        <f aca="false">M27-N27-O27-P27-Q27-R27+S27+T27</f>
        <v>9.11299999999999</v>
      </c>
      <c r="V27" s="112" t="n">
        <v>0</v>
      </c>
      <c r="W27" s="112"/>
      <c r="X27" s="111" t="n">
        <v>0</v>
      </c>
      <c r="Y27" s="111" t="n">
        <v>21</v>
      </c>
      <c r="Z27" s="112" t="n">
        <f aca="false">Z26-Y27</f>
        <v>3548.49231157046</v>
      </c>
      <c r="AA27" s="6" t="n">
        <f aca="false">M27+S27+T27+X27+Y27</f>
        <v>91</v>
      </c>
      <c r="AB27" s="111" t="n">
        <f aca="false">IF(L27&lt;0,L27*-1,0)</f>
        <v>0</v>
      </c>
      <c r="AC27" s="111" t="n">
        <f aca="false">AA27+AB27</f>
        <v>91</v>
      </c>
      <c r="AD27" s="350" t="n">
        <v>0</v>
      </c>
      <c r="AE27" s="183" t="n">
        <v>71</v>
      </c>
      <c r="AF27" s="167" t="n">
        <v>38</v>
      </c>
      <c r="AG27" s="118" t="n">
        <v>0</v>
      </c>
      <c r="AH27" s="352" t="n">
        <v>0</v>
      </c>
      <c r="AI27" s="352" t="n">
        <v>0</v>
      </c>
      <c r="AJ27" s="211"/>
    </row>
    <row r="28" customFormat="false" ht="11.1" hidden="false" customHeight="true" outlineLevel="0" collapsed="false">
      <c r="A28" s="118" t="n">
        <f aca="false">A27+1</f>
        <v>17</v>
      </c>
      <c r="B28" s="168" t="n">
        <v>6864.54</v>
      </c>
      <c r="C28" s="112" t="n">
        <v>173820</v>
      </c>
      <c r="D28" s="117" t="n">
        <f aca="false">C28-C27</f>
        <v>0</v>
      </c>
      <c r="E28" s="112" t="n">
        <f aca="false">C28-152000</f>
        <v>21820</v>
      </c>
      <c r="F28" s="180" t="n">
        <f aca="false">D28/$D$2</f>
        <v>0</v>
      </c>
      <c r="G28" s="111" t="n">
        <v>69</v>
      </c>
      <c r="H28" s="405" t="n">
        <v>0</v>
      </c>
      <c r="I28" s="111" t="n">
        <f aca="false">G28+H28</f>
        <v>69</v>
      </c>
      <c r="J28" s="181" t="n">
        <f aca="false">IF(L28&gt;0,L28,0)</f>
        <v>0</v>
      </c>
      <c r="K28" s="111" t="n">
        <f aca="false">I28+J28</f>
        <v>69</v>
      </c>
      <c r="L28" s="111" t="n">
        <f aca="false">F28-(I28-AA28)</f>
        <v>-22</v>
      </c>
      <c r="M28" s="182" t="n">
        <v>26</v>
      </c>
      <c r="N28" s="111" t="n">
        <v>0</v>
      </c>
      <c r="O28" s="111" t="n">
        <f aca="false">24.02*1.05</f>
        <v>25.221</v>
      </c>
      <c r="P28" s="193" t="n">
        <v>1.8</v>
      </c>
      <c r="Q28" s="413" t="n">
        <v>4.2</v>
      </c>
      <c r="R28" s="414" t="n">
        <v>3.15</v>
      </c>
      <c r="S28" s="111" t="n">
        <v>0</v>
      </c>
      <c r="T28" s="111" t="n">
        <v>0</v>
      </c>
      <c r="U28" s="111" t="n">
        <f aca="false">M28-N28-O28-P28-Q28-R28+S28+T28</f>
        <v>-8.371</v>
      </c>
      <c r="V28" s="112" t="n">
        <v>0</v>
      </c>
      <c r="W28" s="112"/>
      <c r="X28" s="111" t="n">
        <v>0</v>
      </c>
      <c r="Y28" s="111" t="n">
        <v>21</v>
      </c>
      <c r="Z28" s="112" t="n">
        <f aca="false">Z27-Y28</f>
        <v>3527.49231157046</v>
      </c>
      <c r="AA28" s="6" t="n">
        <f aca="false">M28+S28+T28+X28+Y28</f>
        <v>47</v>
      </c>
      <c r="AB28" s="111" t="n">
        <f aca="false">IF(L28&lt;0,L28*-1,0)</f>
        <v>22</v>
      </c>
      <c r="AC28" s="111" t="n">
        <f aca="false">AA28+AB28</f>
        <v>69</v>
      </c>
      <c r="AD28" s="350" t="n">
        <v>0</v>
      </c>
      <c r="AE28" s="183" t="n">
        <v>75</v>
      </c>
      <c r="AF28" s="167" t="n">
        <v>41</v>
      </c>
      <c r="AG28" s="118" t="n">
        <v>0</v>
      </c>
      <c r="AH28" s="352" t="n">
        <v>0</v>
      </c>
      <c r="AI28" s="352" t="n">
        <v>0</v>
      </c>
      <c r="AJ28" s="211"/>
    </row>
    <row r="29" customFormat="false" ht="11.1" hidden="false" customHeight="true" outlineLevel="0" collapsed="false">
      <c r="A29" s="118" t="n">
        <f aca="false">A28+1</f>
        <v>18</v>
      </c>
      <c r="B29" s="168" t="n">
        <v>6864.54</v>
      </c>
      <c r="C29" s="112" t="n">
        <v>173820</v>
      </c>
      <c r="D29" s="117" t="n">
        <f aca="false">C29-C28</f>
        <v>0</v>
      </c>
      <c r="E29" s="112" t="n">
        <f aca="false">C29-152000</f>
        <v>21820</v>
      </c>
      <c r="F29" s="180" t="n">
        <f aca="false">D29/$D$2</f>
        <v>0</v>
      </c>
      <c r="G29" s="111" t="n">
        <v>67</v>
      </c>
      <c r="H29" s="405" t="n">
        <v>0</v>
      </c>
      <c r="I29" s="111" t="n">
        <f aca="false">G29+H29</f>
        <v>67</v>
      </c>
      <c r="J29" s="181" t="n">
        <f aca="false">IF(L29&gt;0,L29,0)</f>
        <v>0</v>
      </c>
      <c r="K29" s="111" t="n">
        <f aca="false">I29+J29</f>
        <v>67</v>
      </c>
      <c r="L29" s="111" t="n">
        <f aca="false">F29-(I29-AA29)</f>
        <v>-38.7</v>
      </c>
      <c r="M29" s="182" t="n">
        <v>6.3</v>
      </c>
      <c r="N29" s="111" t="n">
        <v>0</v>
      </c>
      <c r="O29" s="111" t="n">
        <v>0</v>
      </c>
      <c r="P29" s="193" t="n">
        <v>1.83</v>
      </c>
      <c r="Q29" s="413" t="n">
        <v>4.2</v>
      </c>
      <c r="R29" s="414" t="n">
        <v>3.15</v>
      </c>
      <c r="S29" s="111" t="n">
        <v>0</v>
      </c>
      <c r="T29" s="111" t="n">
        <v>0</v>
      </c>
      <c r="U29" s="111" t="n">
        <f aca="false">M29-N29-O29-P29-Q29-R29+S29+T29</f>
        <v>-2.88</v>
      </c>
      <c r="V29" s="112" t="n">
        <v>0</v>
      </c>
      <c r="W29" s="112"/>
      <c r="X29" s="111" t="n">
        <v>0</v>
      </c>
      <c r="Y29" s="111" t="n">
        <v>22</v>
      </c>
      <c r="Z29" s="112" t="n">
        <f aca="false">Z28-Y29</f>
        <v>3505.49231157046</v>
      </c>
      <c r="AA29" s="6" t="n">
        <f aca="false">M29+S29+T29+X29+Y29</f>
        <v>28.3</v>
      </c>
      <c r="AB29" s="111" t="n">
        <f aca="false">IF(L29&lt;0,L29*-1,0)</f>
        <v>38.7</v>
      </c>
      <c r="AC29" s="111" t="n">
        <f aca="false">AA29+AB29</f>
        <v>67</v>
      </c>
      <c r="AD29" s="350" t="n">
        <v>0</v>
      </c>
      <c r="AE29" s="183" t="n">
        <v>77</v>
      </c>
      <c r="AF29" s="167" t="n">
        <v>41</v>
      </c>
      <c r="AG29" s="118" t="n">
        <v>0</v>
      </c>
      <c r="AH29" s="352" t="n">
        <v>0</v>
      </c>
      <c r="AI29" s="352" t="n">
        <v>0</v>
      </c>
      <c r="AJ29" s="211"/>
    </row>
    <row r="30" customFormat="false" ht="11.1" hidden="false" customHeight="true" outlineLevel="0" collapsed="false">
      <c r="A30" s="118" t="n">
        <f aca="false">A29+1</f>
        <v>19</v>
      </c>
      <c r="B30" s="168" t="n">
        <v>6864.55</v>
      </c>
      <c r="C30" s="228" t="n">
        <v>173845</v>
      </c>
      <c r="D30" s="117" t="n">
        <f aca="false">C30-C29</f>
        <v>25</v>
      </c>
      <c r="E30" s="112" t="n">
        <f aca="false">C30-152000</f>
        <v>21845</v>
      </c>
      <c r="F30" s="180" t="n">
        <f aca="false">D30/$D$2</f>
        <v>12.6039828585833</v>
      </c>
      <c r="G30" s="111" t="n">
        <v>66</v>
      </c>
      <c r="H30" s="405" t="n">
        <v>0</v>
      </c>
      <c r="I30" s="111" t="n">
        <f aca="false">G30+H30</f>
        <v>66</v>
      </c>
      <c r="J30" s="181" t="n">
        <f aca="false">IF(L30&gt;0,L30,0)</f>
        <v>0</v>
      </c>
      <c r="K30" s="111" t="n">
        <f aca="false">I30+J30</f>
        <v>66</v>
      </c>
      <c r="L30" s="111" t="n">
        <f aca="false">F30-(I30-AA30)</f>
        <v>-25.0960171414167</v>
      </c>
      <c r="M30" s="182" t="n">
        <v>6.3</v>
      </c>
      <c r="N30" s="111" t="n">
        <v>0</v>
      </c>
      <c r="O30" s="111" t="n">
        <v>0</v>
      </c>
      <c r="P30" s="193" t="n">
        <v>1.93</v>
      </c>
      <c r="Q30" s="413" t="n">
        <v>4.2</v>
      </c>
      <c r="R30" s="414" t="n">
        <v>3.43</v>
      </c>
      <c r="S30" s="111" t="n">
        <v>0</v>
      </c>
      <c r="T30" s="111" t="n">
        <v>0</v>
      </c>
      <c r="U30" s="111" t="n">
        <f aca="false">M30-N30-O30-P30-Q30-R30+S30+T30</f>
        <v>-3.26</v>
      </c>
      <c r="V30" s="112" t="n">
        <v>0</v>
      </c>
      <c r="W30" s="112"/>
      <c r="X30" s="111" t="n">
        <v>0</v>
      </c>
      <c r="Y30" s="111" t="n">
        <v>22</v>
      </c>
      <c r="Z30" s="112" t="n">
        <f aca="false">Z29-Y30</f>
        <v>3483.49231157046</v>
      </c>
      <c r="AA30" s="6" t="n">
        <f aca="false">M30+S30+T30+X30+Y30</f>
        <v>28.3</v>
      </c>
      <c r="AB30" s="111" t="n">
        <f aca="false">IF(L30&lt;0,L30*-1,0)</f>
        <v>25.0960171414167</v>
      </c>
      <c r="AC30" s="111" t="n">
        <f aca="false">AA30+AB30</f>
        <v>53.3960171414167</v>
      </c>
      <c r="AD30" s="350" t="n">
        <v>0</v>
      </c>
      <c r="AE30" s="183" t="n">
        <v>76</v>
      </c>
      <c r="AF30" s="167" t="n">
        <v>42</v>
      </c>
      <c r="AG30" s="118" t="n">
        <v>0</v>
      </c>
      <c r="AH30" s="352" t="n">
        <v>0</v>
      </c>
      <c r="AI30" s="352" t="n">
        <v>0</v>
      </c>
      <c r="AJ30" s="211"/>
    </row>
    <row r="31" customFormat="false" ht="11.1" hidden="false" customHeight="true" outlineLevel="0" collapsed="false">
      <c r="A31" s="118" t="n">
        <f aca="false">A30+1</f>
        <v>20</v>
      </c>
      <c r="B31" s="168" t="n">
        <v>6864.55</v>
      </c>
      <c r="C31" s="112" t="n">
        <v>173845</v>
      </c>
      <c r="D31" s="117" t="n">
        <f aca="false">C31-C30</f>
        <v>0</v>
      </c>
      <c r="E31" s="112" t="n">
        <f aca="false">C31-152000</f>
        <v>21845</v>
      </c>
      <c r="F31" s="180" t="n">
        <f aca="false">D31/$D$2</f>
        <v>0</v>
      </c>
      <c r="G31" s="111" t="n">
        <v>65</v>
      </c>
      <c r="H31" s="405" t="n">
        <v>0</v>
      </c>
      <c r="I31" s="111" t="n">
        <f aca="false">G31+H31</f>
        <v>65</v>
      </c>
      <c r="J31" s="181" t="n">
        <f aca="false">IF(L31&gt;0,L31,0)</f>
        <v>0</v>
      </c>
      <c r="K31" s="111" t="n">
        <f aca="false">I31+J31</f>
        <v>65</v>
      </c>
      <c r="L31" s="111" t="n">
        <f aca="false">F31-(I31-AA31)</f>
        <v>-5</v>
      </c>
      <c r="M31" s="182" t="n">
        <v>38</v>
      </c>
      <c r="N31" s="111" t="n">
        <v>0</v>
      </c>
      <c r="O31" s="111" t="n">
        <f aca="false">27.12*1.05</f>
        <v>28.476</v>
      </c>
      <c r="P31" s="193" t="n">
        <v>2.1</v>
      </c>
      <c r="Q31" s="413" t="n">
        <v>4.2</v>
      </c>
      <c r="R31" s="414" t="n">
        <v>3.88</v>
      </c>
      <c r="S31" s="111" t="n">
        <v>0</v>
      </c>
      <c r="T31" s="111" t="n">
        <v>0</v>
      </c>
      <c r="U31" s="111" t="n">
        <f aca="false">M31-N31-O31-P31-Q31-R31+S31+T31</f>
        <v>-0.656000000000002</v>
      </c>
      <c r="V31" s="112" t="n">
        <v>0</v>
      </c>
      <c r="W31" s="112"/>
      <c r="X31" s="111" t="n">
        <v>0</v>
      </c>
      <c r="Y31" s="111" t="n">
        <v>22</v>
      </c>
      <c r="Z31" s="112" t="n">
        <f aca="false">Z30-Y31</f>
        <v>3461.49231157046</v>
      </c>
      <c r="AA31" s="6" t="n">
        <f aca="false">M31+S31+T31+X31+Y31</f>
        <v>60</v>
      </c>
      <c r="AB31" s="111" t="n">
        <f aca="false">IF(L31&lt;0,L31*-1,0)</f>
        <v>5</v>
      </c>
      <c r="AC31" s="111" t="n">
        <f aca="false">AA31+AB31</f>
        <v>65</v>
      </c>
      <c r="AD31" s="350" t="n">
        <v>0</v>
      </c>
      <c r="AE31" s="183" t="n">
        <v>77</v>
      </c>
      <c r="AF31" s="167" t="n">
        <v>41</v>
      </c>
      <c r="AG31" s="118" t="n">
        <v>0</v>
      </c>
      <c r="AH31" s="352" t="n">
        <v>0</v>
      </c>
      <c r="AI31" s="352" t="n">
        <v>0</v>
      </c>
      <c r="AJ31" s="211"/>
    </row>
    <row r="32" customFormat="false" ht="11.1" hidden="false" customHeight="true" outlineLevel="0" collapsed="false">
      <c r="A32" s="118" t="n">
        <f aca="false">A31+1</f>
        <v>21</v>
      </c>
      <c r="B32" s="168" t="n">
        <v>6864.55</v>
      </c>
      <c r="C32" s="112" t="n">
        <v>173845</v>
      </c>
      <c r="D32" s="117" t="n">
        <f aca="false">C32-C31</f>
        <v>0</v>
      </c>
      <c r="E32" s="112" t="n">
        <f aca="false">C32-152000</f>
        <v>21845</v>
      </c>
      <c r="F32" s="180" t="n">
        <f aca="false">D32/$D$2</f>
        <v>0</v>
      </c>
      <c r="G32" s="111" t="n">
        <v>65</v>
      </c>
      <c r="H32" s="405" t="n">
        <v>0</v>
      </c>
      <c r="I32" s="111" t="n">
        <f aca="false">G32+H32</f>
        <v>65</v>
      </c>
      <c r="J32" s="181" t="n">
        <f aca="false">IF(L32&gt;0,L32,0)</f>
        <v>7</v>
      </c>
      <c r="K32" s="111" t="n">
        <f aca="false">I32+J32</f>
        <v>72</v>
      </c>
      <c r="L32" s="111" t="n">
        <f aca="false">F32-(I32-AA32)</f>
        <v>7</v>
      </c>
      <c r="M32" s="182" t="n">
        <v>50</v>
      </c>
      <c r="N32" s="111" t="n">
        <v>0</v>
      </c>
      <c r="O32" s="111" t="n">
        <f aca="false">45.93*1.05</f>
        <v>48.2265</v>
      </c>
      <c r="P32" s="193" t="n">
        <v>1.89</v>
      </c>
      <c r="Q32" s="413" t="n">
        <v>4.2</v>
      </c>
      <c r="R32" s="414" t="n">
        <v>4.07</v>
      </c>
      <c r="S32" s="111" t="n">
        <v>0</v>
      </c>
      <c r="T32" s="111" t="n">
        <v>0</v>
      </c>
      <c r="U32" s="111" t="n">
        <f aca="false">M32-N32-O32-P32-Q32-R32+S32+T32</f>
        <v>-8.3865</v>
      </c>
      <c r="V32" s="112" t="n">
        <v>0</v>
      </c>
      <c r="W32" s="112"/>
      <c r="X32" s="111" t="n">
        <v>0</v>
      </c>
      <c r="Y32" s="111" t="n">
        <v>22</v>
      </c>
      <c r="Z32" s="112" t="n">
        <f aca="false">Z31-Y32</f>
        <v>3439.49231157046</v>
      </c>
      <c r="AA32" s="6" t="n">
        <f aca="false">M32+S32+T32+X32+Y32</f>
        <v>72</v>
      </c>
      <c r="AB32" s="111" t="n">
        <f aca="false">IF(L32&lt;0,L32*-1,0)</f>
        <v>0</v>
      </c>
      <c r="AC32" s="111" t="n">
        <f aca="false">AA32+AB32</f>
        <v>72</v>
      </c>
      <c r="AD32" s="350" t="n">
        <v>0</v>
      </c>
      <c r="AE32" s="117" t="n">
        <v>78</v>
      </c>
      <c r="AF32" s="167" t="n">
        <v>41</v>
      </c>
      <c r="AG32" s="118" t="n">
        <v>0</v>
      </c>
      <c r="AH32" s="352" t="n">
        <v>0</v>
      </c>
      <c r="AI32" s="352" t="n">
        <v>0</v>
      </c>
      <c r="AJ32" s="211"/>
    </row>
    <row r="33" customFormat="false" ht="11.1" hidden="false" customHeight="true" outlineLevel="0" collapsed="false">
      <c r="A33" s="118" t="n">
        <f aca="false">A32+1</f>
        <v>22</v>
      </c>
      <c r="B33" s="168" t="n">
        <v>6864.55</v>
      </c>
      <c r="C33" s="112" t="n">
        <v>173845</v>
      </c>
      <c r="D33" s="117" t="n">
        <f aca="false">C33-C32</f>
        <v>0</v>
      </c>
      <c r="E33" s="112" t="n">
        <f aca="false">C33-152000</f>
        <v>21845</v>
      </c>
      <c r="F33" s="180" t="n">
        <f aca="false">D33/$D$2</f>
        <v>0</v>
      </c>
      <c r="G33" s="111" t="n">
        <v>63</v>
      </c>
      <c r="H33" s="405" t="n">
        <v>0</v>
      </c>
      <c r="I33" s="111" t="n">
        <f aca="false">G33+H33</f>
        <v>63</v>
      </c>
      <c r="J33" s="181" t="n">
        <f aca="false">IF(L33&gt;0,L33,0)</f>
        <v>6</v>
      </c>
      <c r="K33" s="111" t="n">
        <f aca="false">I33+J33</f>
        <v>69</v>
      </c>
      <c r="L33" s="111" t="n">
        <f aca="false">F33-(I33-AA33)</f>
        <v>6</v>
      </c>
      <c r="M33" s="182" t="n">
        <v>47</v>
      </c>
      <c r="N33" s="111" t="n">
        <v>0</v>
      </c>
      <c r="O33" s="111" t="n">
        <f aca="false">45.27*1.05</f>
        <v>47.5335</v>
      </c>
      <c r="P33" s="193" t="n">
        <v>1.86</v>
      </c>
      <c r="Q33" s="413" t="n">
        <v>4.2</v>
      </c>
      <c r="R33" s="414" t="n">
        <v>3.62</v>
      </c>
      <c r="S33" s="111" t="n">
        <v>0</v>
      </c>
      <c r="T33" s="111" t="n">
        <v>0</v>
      </c>
      <c r="U33" s="111" t="n">
        <f aca="false">M33-N33-O33-P33-Q33-R33+S33+T33</f>
        <v>-10.2135</v>
      </c>
      <c r="V33" s="112" t="n">
        <v>0</v>
      </c>
      <c r="W33" s="112"/>
      <c r="X33" s="111" t="n">
        <v>0</v>
      </c>
      <c r="Y33" s="111" t="n">
        <v>22</v>
      </c>
      <c r="Z33" s="112" t="n">
        <f aca="false">Z32-Y33</f>
        <v>3417.49231157046</v>
      </c>
      <c r="AA33" s="6" t="n">
        <f aca="false">M33+S33+T33+X33+Y33</f>
        <v>69</v>
      </c>
      <c r="AB33" s="111" t="n">
        <f aca="false">IF(L33&lt;0,L33*-1,0)</f>
        <v>0</v>
      </c>
      <c r="AC33" s="111" t="n">
        <f aca="false">AA33+AB33</f>
        <v>69</v>
      </c>
      <c r="AD33" s="350" t="n">
        <v>0</v>
      </c>
      <c r="AE33" s="117" t="n">
        <v>78</v>
      </c>
      <c r="AF33" s="167" t="n">
        <v>43</v>
      </c>
      <c r="AG33" s="118" t="n">
        <v>0</v>
      </c>
      <c r="AH33" s="352" t="n">
        <v>0</v>
      </c>
      <c r="AI33" s="352" t="n">
        <v>0</v>
      </c>
      <c r="AJ33" s="211"/>
      <c r="AK33" s="415"/>
    </row>
    <row r="34" customFormat="false" ht="11.1" hidden="false" customHeight="true" outlineLevel="0" collapsed="false">
      <c r="A34" s="118" t="n">
        <f aca="false">A33+1</f>
        <v>23</v>
      </c>
      <c r="B34" s="168" t="n">
        <v>6864.55</v>
      </c>
      <c r="C34" s="112" t="n">
        <v>173845</v>
      </c>
      <c r="D34" s="117" t="n">
        <f aca="false">C34-C33</f>
        <v>0</v>
      </c>
      <c r="E34" s="112" t="n">
        <f aca="false">C34-152000</f>
        <v>21845</v>
      </c>
      <c r="F34" s="180" t="n">
        <f aca="false">D34/$D$2</f>
        <v>0</v>
      </c>
      <c r="G34" s="111" t="n">
        <v>62</v>
      </c>
      <c r="H34" s="405" t="n">
        <v>0</v>
      </c>
      <c r="I34" s="111" t="n">
        <f aca="false">G34+H34</f>
        <v>62</v>
      </c>
      <c r="J34" s="181" t="n">
        <f aca="false">IF(L34&gt;0,L34,0)</f>
        <v>0</v>
      </c>
      <c r="K34" s="111" t="n">
        <f aca="false">I34+J34</f>
        <v>62</v>
      </c>
      <c r="L34" s="111" t="n">
        <f aca="false">F34-(I34-AA34)</f>
        <v>-19</v>
      </c>
      <c r="M34" s="182" t="n">
        <v>21</v>
      </c>
      <c r="N34" s="111" t="n">
        <v>0</v>
      </c>
      <c r="O34" s="111" t="n">
        <f aca="false">41.92*1.05</f>
        <v>44.016</v>
      </c>
      <c r="P34" s="193" t="n">
        <v>1.79</v>
      </c>
      <c r="Q34" s="413" t="n">
        <v>4.2</v>
      </c>
      <c r="R34" s="414" t="n">
        <v>3.68</v>
      </c>
      <c r="S34" s="111" t="n">
        <v>0</v>
      </c>
      <c r="T34" s="111" t="n">
        <v>0</v>
      </c>
      <c r="U34" s="111" t="n">
        <f aca="false">M34-N34-O34-P34-Q34-R34+S34+T34</f>
        <v>-32.686</v>
      </c>
      <c r="V34" s="112" t="n">
        <v>0</v>
      </c>
      <c r="W34" s="112"/>
      <c r="X34" s="111" t="n">
        <v>0</v>
      </c>
      <c r="Y34" s="111" t="n">
        <v>22</v>
      </c>
      <c r="Z34" s="112" t="n">
        <f aca="false">Z33-Y34</f>
        <v>3395.49231157046</v>
      </c>
      <c r="AA34" s="6" t="n">
        <f aca="false">M34+S34+T34+X34+Y34</f>
        <v>43</v>
      </c>
      <c r="AB34" s="111" t="n">
        <f aca="false">IF(L34&lt;0,L34*-1,0)</f>
        <v>19</v>
      </c>
      <c r="AC34" s="111" t="n">
        <f aca="false">AA34+AB34</f>
        <v>62</v>
      </c>
      <c r="AD34" s="350" t="n">
        <v>0</v>
      </c>
      <c r="AE34" s="117" t="n">
        <v>74</v>
      </c>
      <c r="AF34" s="184" t="n">
        <v>41</v>
      </c>
      <c r="AG34" s="118" t="n">
        <v>0</v>
      </c>
      <c r="AH34" s="352" t="n">
        <v>0</v>
      </c>
      <c r="AI34" s="352" t="n">
        <v>0</v>
      </c>
      <c r="AJ34" s="211"/>
      <c r="AK34" s="390"/>
    </row>
    <row r="35" customFormat="false" ht="11.1" hidden="false" customHeight="true" outlineLevel="0" collapsed="false">
      <c r="A35" s="118" t="n">
        <f aca="false">A34+1</f>
        <v>24</v>
      </c>
      <c r="B35" s="168" t="n">
        <v>6864.55</v>
      </c>
      <c r="C35" s="112" t="n">
        <v>173845</v>
      </c>
      <c r="D35" s="117" t="n">
        <f aca="false">C35-C34</f>
        <v>0</v>
      </c>
      <c r="E35" s="112" t="n">
        <f aca="false">C35-152000</f>
        <v>21845</v>
      </c>
      <c r="F35" s="180" t="n">
        <f aca="false">D35/$D$2</f>
        <v>0</v>
      </c>
      <c r="G35" s="111" t="n">
        <v>62</v>
      </c>
      <c r="H35" s="405" t="n">
        <v>0</v>
      </c>
      <c r="I35" s="111" t="n">
        <f aca="false">G35+H35</f>
        <v>62</v>
      </c>
      <c r="J35" s="181" t="n">
        <f aca="false">IF(L35&gt;0,L35,0)</f>
        <v>0</v>
      </c>
      <c r="K35" s="111" t="n">
        <f aca="false">I35+J35</f>
        <v>62</v>
      </c>
      <c r="L35" s="111" t="n">
        <f aca="false">F35-(I35-AA35)</f>
        <v>-34.1</v>
      </c>
      <c r="M35" s="182" t="n">
        <v>5.9</v>
      </c>
      <c r="N35" s="111" t="n">
        <v>0</v>
      </c>
      <c r="O35" s="111" t="n">
        <f aca="false">12.13*1.05</f>
        <v>12.7365</v>
      </c>
      <c r="P35" s="193" t="n">
        <v>1.76</v>
      </c>
      <c r="Q35" s="413" t="n">
        <v>4.2</v>
      </c>
      <c r="R35" s="414" t="n">
        <v>3.43</v>
      </c>
      <c r="S35" s="111" t="n">
        <v>0</v>
      </c>
      <c r="T35" s="111" t="n">
        <v>0</v>
      </c>
      <c r="U35" s="111" t="n">
        <f aca="false">M35-N35-O35-P35-Q35-R35+S35+T35</f>
        <v>-16.2265</v>
      </c>
      <c r="V35" s="112" t="n">
        <v>0</v>
      </c>
      <c r="W35" s="112"/>
      <c r="X35" s="111" t="n">
        <v>0</v>
      </c>
      <c r="Y35" s="111" t="n">
        <v>22</v>
      </c>
      <c r="Z35" s="112" t="n">
        <f aca="false">Z34-Y35</f>
        <v>3373.49231157046</v>
      </c>
      <c r="AA35" s="6" t="n">
        <f aca="false">M35+S35+T35+X35+Y35</f>
        <v>27.9</v>
      </c>
      <c r="AB35" s="111" t="n">
        <f aca="false">IF(L35&lt;0,L35*-1,0)</f>
        <v>34.1</v>
      </c>
      <c r="AC35" s="111" t="n">
        <f aca="false">AA35+AB35</f>
        <v>62</v>
      </c>
      <c r="AD35" s="350" t="n">
        <v>0</v>
      </c>
      <c r="AE35" s="117" t="n">
        <v>74</v>
      </c>
      <c r="AF35" s="184" t="n">
        <v>40</v>
      </c>
      <c r="AG35" s="118" t="n">
        <v>0</v>
      </c>
      <c r="AH35" s="352" t="n">
        <v>0</v>
      </c>
      <c r="AI35" s="352" t="n">
        <v>0</v>
      </c>
      <c r="AJ35" s="211"/>
    </row>
    <row r="36" customFormat="false" ht="11.1" hidden="false" customHeight="true" outlineLevel="0" collapsed="false">
      <c r="A36" s="118" t="n">
        <v>25</v>
      </c>
      <c r="B36" s="168" t="n">
        <v>6864.56</v>
      </c>
      <c r="C36" s="112" t="n">
        <v>173869</v>
      </c>
      <c r="D36" s="117" t="n">
        <f aca="false">C36-C35</f>
        <v>24</v>
      </c>
      <c r="E36" s="112" t="n">
        <f aca="false">C36-152000</f>
        <v>21869</v>
      </c>
      <c r="F36" s="180" t="n">
        <f aca="false">D36/$D$2</f>
        <v>12.09982354424</v>
      </c>
      <c r="G36" s="111" t="n">
        <v>60</v>
      </c>
      <c r="H36" s="405" t="n">
        <v>0</v>
      </c>
      <c r="I36" s="111" t="n">
        <f aca="false">G36+H36</f>
        <v>60</v>
      </c>
      <c r="J36" s="181" t="n">
        <f aca="false">IF(L36&gt;0,L36,0)</f>
        <v>0</v>
      </c>
      <c r="K36" s="111" t="n">
        <f aca="false">I36+J36</f>
        <v>60</v>
      </c>
      <c r="L36" s="111" t="n">
        <f aca="false">F36-(I36-AA36)</f>
        <v>-20.00017645576</v>
      </c>
      <c r="M36" s="182" t="n">
        <v>5.9</v>
      </c>
      <c r="N36" s="111" t="n">
        <v>0</v>
      </c>
      <c r="O36" s="111" t="n">
        <v>0</v>
      </c>
      <c r="P36" s="193" t="n">
        <v>1.56</v>
      </c>
      <c r="Q36" s="413" t="n">
        <v>4.2</v>
      </c>
      <c r="R36" s="414" t="n">
        <v>3.93</v>
      </c>
      <c r="S36" s="111" t="n">
        <v>0</v>
      </c>
      <c r="T36" s="111" t="n">
        <v>0</v>
      </c>
      <c r="U36" s="111" t="n">
        <f aca="false">M36-N36-O36-P36-Q36-R36+S36+T36</f>
        <v>-3.79</v>
      </c>
      <c r="V36" s="112" t="n">
        <v>0</v>
      </c>
      <c r="W36" s="112"/>
      <c r="X36" s="111" t="n">
        <v>0</v>
      </c>
      <c r="Y36" s="111" t="n">
        <v>22</v>
      </c>
      <c r="Z36" s="112" t="n">
        <f aca="false">Z35-Y36</f>
        <v>3351.49231157046</v>
      </c>
      <c r="AA36" s="6" t="n">
        <f aca="false">M36+S36+T36+X36+Y36</f>
        <v>27.9</v>
      </c>
      <c r="AB36" s="111" t="n">
        <f aca="false">IF(L36&lt;0,L36*-1,0)</f>
        <v>20.00017645576</v>
      </c>
      <c r="AC36" s="111" t="n">
        <f aca="false">AA36+AB36</f>
        <v>47.90017645576</v>
      </c>
      <c r="AD36" s="350" t="n">
        <v>0</v>
      </c>
      <c r="AE36" s="117" t="n">
        <v>52</v>
      </c>
      <c r="AF36" s="184" t="n">
        <v>35</v>
      </c>
      <c r="AG36" s="118" t="n">
        <v>0</v>
      </c>
      <c r="AH36" s="352" t="n">
        <v>0</v>
      </c>
      <c r="AI36" s="352" t="n">
        <v>0</v>
      </c>
      <c r="AJ36" s="211"/>
    </row>
    <row r="37" customFormat="false" ht="11.1" hidden="false" customHeight="true" outlineLevel="0" collapsed="false">
      <c r="A37" s="118" t="n">
        <v>26</v>
      </c>
      <c r="B37" s="168" t="n">
        <v>6864.56</v>
      </c>
      <c r="C37" s="112" t="n">
        <v>173869</v>
      </c>
      <c r="D37" s="117" t="n">
        <f aca="false">C37-C36</f>
        <v>0</v>
      </c>
      <c r="E37" s="112" t="n">
        <f aca="false">C37-152000</f>
        <v>21869</v>
      </c>
      <c r="F37" s="180" t="n">
        <f aca="false">D37/$D$2</f>
        <v>0</v>
      </c>
      <c r="G37" s="111" t="n">
        <v>57</v>
      </c>
      <c r="H37" s="405" t="n">
        <v>0</v>
      </c>
      <c r="I37" s="111" t="n">
        <f aca="false">G37+H37</f>
        <v>57</v>
      </c>
      <c r="J37" s="181" t="n">
        <f aca="false">IF(L37&gt;0,L37,0)</f>
        <v>0</v>
      </c>
      <c r="K37" s="111" t="n">
        <f aca="false">I37+J37</f>
        <v>57</v>
      </c>
      <c r="L37" s="111" t="n">
        <f aca="false">F37-(I37-AA37)</f>
        <v>-29.3</v>
      </c>
      <c r="M37" s="182" t="n">
        <v>5.7</v>
      </c>
      <c r="N37" s="111" t="n">
        <v>0</v>
      </c>
      <c r="O37" s="111" t="n">
        <v>0</v>
      </c>
      <c r="P37" s="193" t="n">
        <v>1.23</v>
      </c>
      <c r="Q37" s="413" t="n">
        <v>4.2</v>
      </c>
      <c r="R37" s="414" t="n">
        <v>4.45</v>
      </c>
      <c r="S37" s="111" t="n">
        <v>0</v>
      </c>
      <c r="T37" s="111" t="n">
        <v>0</v>
      </c>
      <c r="U37" s="111" t="n">
        <f aca="false">M37-N37-O37-P37-Q37-R37+S37+T37</f>
        <v>-4.18</v>
      </c>
      <c r="V37" s="112" t="n">
        <v>0</v>
      </c>
      <c r="W37" s="112"/>
      <c r="X37" s="111" t="n">
        <v>0</v>
      </c>
      <c r="Y37" s="111" t="n">
        <v>22</v>
      </c>
      <c r="Z37" s="112" t="n">
        <f aca="false">Z36-Y37</f>
        <v>3329.49231157046</v>
      </c>
      <c r="AA37" s="6" t="n">
        <f aca="false">M37+S37+T37+X37+Y37</f>
        <v>27.7</v>
      </c>
      <c r="AB37" s="111" t="n">
        <f aca="false">IF(L37&lt;0,L37*-1,0)</f>
        <v>29.3</v>
      </c>
      <c r="AC37" s="111" t="n">
        <f aca="false">AA37+AB37</f>
        <v>57</v>
      </c>
      <c r="AD37" s="350" t="n">
        <v>0</v>
      </c>
      <c r="AE37" s="117" t="n">
        <v>59</v>
      </c>
      <c r="AF37" s="184" t="n">
        <v>26</v>
      </c>
      <c r="AG37" s="118" t="n">
        <v>0</v>
      </c>
      <c r="AH37" s="352" t="n">
        <v>0</v>
      </c>
      <c r="AI37" s="352" t="n">
        <v>0</v>
      </c>
      <c r="AJ37" s="211"/>
    </row>
    <row r="38" customFormat="false" ht="11.1" hidden="false" customHeight="true" outlineLevel="0" collapsed="false">
      <c r="A38" s="118" t="n">
        <v>27</v>
      </c>
      <c r="B38" s="168" t="n">
        <v>6864.57</v>
      </c>
      <c r="C38" s="112" t="n">
        <v>173894</v>
      </c>
      <c r="D38" s="117" t="n">
        <f aca="false">C38-C37</f>
        <v>25</v>
      </c>
      <c r="E38" s="112" t="n">
        <f aca="false">C38-152000</f>
        <v>21894</v>
      </c>
      <c r="F38" s="180" t="n">
        <f aca="false">D38/$D$2</f>
        <v>12.6039828585833</v>
      </c>
      <c r="G38" s="111" t="n">
        <v>53</v>
      </c>
      <c r="H38" s="405" t="n">
        <v>0</v>
      </c>
      <c r="I38" s="111" t="n">
        <f aca="false">G38+H38</f>
        <v>53</v>
      </c>
      <c r="J38" s="181" t="n">
        <f aca="false">IF(L38&gt;0,L38,0)</f>
        <v>3.6039828585833</v>
      </c>
      <c r="K38" s="111" t="n">
        <f aca="false">I38+J38</f>
        <v>56.6039828585833</v>
      </c>
      <c r="L38" s="111" t="n">
        <f aca="false">F38-(I38-AA38)</f>
        <v>3.6039828585833</v>
      </c>
      <c r="M38" s="182" t="n">
        <v>22</v>
      </c>
      <c r="N38" s="111" t="n">
        <v>0</v>
      </c>
      <c r="O38" s="111" t="n">
        <f aca="false">9.84*1.05</f>
        <v>10.332</v>
      </c>
      <c r="P38" s="193" t="n">
        <v>1.28</v>
      </c>
      <c r="Q38" s="413" t="n">
        <v>4.2</v>
      </c>
      <c r="R38" s="414" t="n">
        <v>4.3</v>
      </c>
      <c r="S38" s="111" t="n">
        <v>0</v>
      </c>
      <c r="T38" s="111" t="n">
        <v>0</v>
      </c>
      <c r="U38" s="111" t="n">
        <f aca="false">M38-N38-O38-P38-Q38-R38+S38+T38</f>
        <v>1.888</v>
      </c>
      <c r="V38" s="112" t="n">
        <v>0</v>
      </c>
      <c r="W38" s="112"/>
      <c r="X38" s="111" t="n">
        <v>0</v>
      </c>
      <c r="Y38" s="111" t="n">
        <v>22</v>
      </c>
      <c r="Z38" s="112" t="n">
        <f aca="false">Z37-Y38</f>
        <v>3307.49231157046</v>
      </c>
      <c r="AA38" s="6" t="n">
        <f aca="false">M38+S38+T38+X38+Y38</f>
        <v>44</v>
      </c>
      <c r="AB38" s="111" t="n">
        <f aca="false">IF(L38&lt;0,L38*-1,0)</f>
        <v>0</v>
      </c>
      <c r="AC38" s="111" t="n">
        <f aca="false">AA38+AB38</f>
        <v>44</v>
      </c>
      <c r="AD38" s="350" t="n">
        <v>0</v>
      </c>
      <c r="AE38" s="117" t="n">
        <v>65</v>
      </c>
      <c r="AF38" s="184" t="n">
        <v>30</v>
      </c>
      <c r="AG38" s="118" t="n">
        <v>0</v>
      </c>
      <c r="AH38" s="352" t="n">
        <v>0</v>
      </c>
      <c r="AI38" s="352" t="n">
        <v>0</v>
      </c>
      <c r="AJ38" s="211"/>
    </row>
    <row r="39" customFormat="false" ht="11.1" hidden="false" customHeight="true" outlineLevel="0" collapsed="false">
      <c r="A39" s="118" t="n">
        <v>28</v>
      </c>
      <c r="B39" s="168" t="n">
        <v>6864.57</v>
      </c>
      <c r="C39" s="112" t="n">
        <v>173894</v>
      </c>
      <c r="D39" s="117" t="n">
        <f aca="false">C39-C38</f>
        <v>0</v>
      </c>
      <c r="E39" s="112" t="n">
        <f aca="false">C39-152000</f>
        <v>21894</v>
      </c>
      <c r="F39" s="180" t="n">
        <f aca="false">D39/$D$2</f>
        <v>0</v>
      </c>
      <c r="G39" s="111" t="n">
        <v>59</v>
      </c>
      <c r="H39" s="405" t="n">
        <v>0</v>
      </c>
      <c r="I39" s="111" t="n">
        <f aca="false">G39+H39</f>
        <v>59</v>
      </c>
      <c r="J39" s="181" t="n">
        <f aca="false">IF(L39&gt;0,L39,0)</f>
        <v>0</v>
      </c>
      <c r="K39" s="111" t="n">
        <f aca="false">I39+J39</f>
        <v>59</v>
      </c>
      <c r="L39" s="111" t="n">
        <f aca="false">F39-(I39-AA39)</f>
        <v>-19</v>
      </c>
      <c r="M39" s="182" t="n">
        <v>18</v>
      </c>
      <c r="N39" s="111" t="n">
        <v>0</v>
      </c>
      <c r="O39" s="111" t="n">
        <f aca="false">12.78*1.05</f>
        <v>13.419</v>
      </c>
      <c r="P39" s="193" t="n">
        <v>1.54</v>
      </c>
      <c r="Q39" s="413" t="n">
        <v>4.2</v>
      </c>
      <c r="R39" s="414" t="n">
        <v>3.73</v>
      </c>
      <c r="S39" s="111" t="n">
        <v>0</v>
      </c>
      <c r="T39" s="111" t="n">
        <v>0</v>
      </c>
      <c r="U39" s="111" t="n">
        <f aca="false">M39-N39-O39-P39-Q39-R39+S39+T39</f>
        <v>-4.889</v>
      </c>
      <c r="V39" s="112" t="n">
        <v>0</v>
      </c>
      <c r="W39" s="112"/>
      <c r="X39" s="111" t="n">
        <v>0</v>
      </c>
      <c r="Y39" s="111" t="n">
        <v>22</v>
      </c>
      <c r="Z39" s="112" t="n">
        <f aca="false">Z38-Y39</f>
        <v>3285.49231157046</v>
      </c>
      <c r="AA39" s="6" t="n">
        <f aca="false">M39+S39+T39+X39+Y39</f>
        <v>40</v>
      </c>
      <c r="AB39" s="111" t="n">
        <f aca="false">IF(L39&lt;0,L39*-1,0)</f>
        <v>19</v>
      </c>
      <c r="AC39" s="111" t="n">
        <f aca="false">AA39+AB39</f>
        <v>59</v>
      </c>
      <c r="AD39" s="350" t="n">
        <v>0</v>
      </c>
      <c r="AE39" s="117" t="n">
        <v>65</v>
      </c>
      <c r="AF39" s="184" t="n">
        <v>39</v>
      </c>
      <c r="AG39" s="118" t="n">
        <v>0</v>
      </c>
      <c r="AH39" s="352" t="n">
        <v>0</v>
      </c>
      <c r="AI39" s="352" t="n">
        <v>0</v>
      </c>
      <c r="AJ39" s="211"/>
    </row>
    <row r="40" customFormat="false" ht="11.1" hidden="false" customHeight="true" outlineLevel="0" collapsed="false">
      <c r="A40" s="118" t="n">
        <v>29</v>
      </c>
      <c r="B40" s="168" t="n">
        <v>6864.58</v>
      </c>
      <c r="C40" s="112" t="n">
        <v>173918</v>
      </c>
      <c r="D40" s="117" t="n">
        <f aca="false">C40-C39</f>
        <v>24</v>
      </c>
      <c r="E40" s="112" t="n">
        <f aca="false">C40-152000</f>
        <v>21918</v>
      </c>
      <c r="F40" s="180" t="n">
        <f aca="false">D40/$D$2</f>
        <v>12.09982354424</v>
      </c>
      <c r="G40" s="111" t="n">
        <v>59</v>
      </c>
      <c r="H40" s="405" t="n">
        <v>0</v>
      </c>
      <c r="I40" s="111" t="n">
        <f aca="false">G40+H40</f>
        <v>59</v>
      </c>
      <c r="J40" s="181" t="n">
        <f aca="false">IF(L40&gt;0,L40,0)</f>
        <v>0</v>
      </c>
      <c r="K40" s="111" t="n">
        <f aca="false">I40+J40</f>
        <v>59</v>
      </c>
      <c r="L40" s="111" t="n">
        <f aca="false">F40-(I40-AA40)</f>
        <v>-19.00017645576</v>
      </c>
      <c r="M40" s="182" t="n">
        <v>5.9</v>
      </c>
      <c r="N40" s="111" t="n">
        <v>0</v>
      </c>
      <c r="O40" s="111" t="n">
        <f aca="false">9.99*1.05</f>
        <v>10.4895</v>
      </c>
      <c r="P40" s="193" t="n">
        <v>2.04</v>
      </c>
      <c r="Q40" s="413" t="n">
        <v>4.2</v>
      </c>
      <c r="R40" s="414" t="n">
        <v>2.64</v>
      </c>
      <c r="S40" s="111" t="n">
        <v>0</v>
      </c>
      <c r="T40" s="111" t="n">
        <v>0</v>
      </c>
      <c r="U40" s="111" t="n">
        <f aca="false">M40-N40-O40-P40-Q40-R40+S40+T40</f>
        <v>-13.4695</v>
      </c>
      <c r="V40" s="112" t="n">
        <v>0</v>
      </c>
      <c r="W40" s="112"/>
      <c r="X40" s="111" t="n">
        <v>0</v>
      </c>
      <c r="Y40" s="111" t="n">
        <v>22</v>
      </c>
      <c r="Z40" s="112" t="n">
        <f aca="false">Z39-Y40</f>
        <v>3263.49231157046</v>
      </c>
      <c r="AA40" s="6" t="n">
        <f aca="false">M40+S40+T40+X40+Y40</f>
        <v>27.9</v>
      </c>
      <c r="AB40" s="111" t="n">
        <f aca="false">IF(L40&lt;0,L40*-1,0)</f>
        <v>19.00017645576</v>
      </c>
      <c r="AC40" s="111" t="n">
        <f aca="false">AA40+AB40</f>
        <v>46.90017645576</v>
      </c>
      <c r="AD40" s="350" t="n">
        <v>0</v>
      </c>
      <c r="AE40" s="117" t="n">
        <v>67</v>
      </c>
      <c r="AF40" s="184" t="n">
        <v>36</v>
      </c>
      <c r="AG40" s="118" t="n">
        <v>0</v>
      </c>
      <c r="AH40" s="352" t="n">
        <v>0</v>
      </c>
      <c r="AI40" s="352" t="n">
        <v>0</v>
      </c>
      <c r="AJ40" s="211"/>
    </row>
    <row r="41" customFormat="false" ht="11.1" hidden="false" customHeight="true" outlineLevel="0" collapsed="false">
      <c r="A41" s="118" t="n">
        <v>30</v>
      </c>
      <c r="B41" s="168" t="n">
        <v>6864.58</v>
      </c>
      <c r="C41" s="112" t="n">
        <v>173918</v>
      </c>
      <c r="D41" s="117" t="n">
        <f aca="false">C41-C40</f>
        <v>0</v>
      </c>
      <c r="E41" s="112" t="n">
        <f aca="false">C41-152000</f>
        <v>21918</v>
      </c>
      <c r="F41" s="180" t="n">
        <f aca="false">D41/$D$2</f>
        <v>0</v>
      </c>
      <c r="G41" s="111" t="n">
        <v>58</v>
      </c>
      <c r="H41" s="405" t="n">
        <v>0</v>
      </c>
      <c r="I41" s="111" t="n">
        <f aca="false">G41+H41</f>
        <v>58</v>
      </c>
      <c r="J41" s="181" t="n">
        <f aca="false">IF(L41&gt;0,L41,0)</f>
        <v>0</v>
      </c>
      <c r="K41" s="111" t="n">
        <f aca="false">I41+J41</f>
        <v>58</v>
      </c>
      <c r="L41" s="111" t="n">
        <f aca="false">F41-(I41-AA41)</f>
        <v>-25</v>
      </c>
      <c r="M41" s="182" t="n">
        <v>11</v>
      </c>
      <c r="N41" s="111" t="n">
        <v>0</v>
      </c>
      <c r="O41" s="111" t="n">
        <f aca="false">7.36*1.05</f>
        <v>7.728</v>
      </c>
      <c r="P41" s="193" t="n">
        <v>1.95</v>
      </c>
      <c r="Q41" s="413" t="n">
        <v>4.2</v>
      </c>
      <c r="R41" s="414" t="n">
        <v>2.54</v>
      </c>
      <c r="S41" s="111" t="n">
        <v>0</v>
      </c>
      <c r="T41" s="111" t="n">
        <v>0</v>
      </c>
      <c r="U41" s="111" t="n">
        <f aca="false">M41-N41-O41-P41-Q41-R41+S41+T41</f>
        <v>-5.418</v>
      </c>
      <c r="V41" s="112" t="n">
        <v>0</v>
      </c>
      <c r="W41" s="112"/>
      <c r="X41" s="111" t="n">
        <v>0</v>
      </c>
      <c r="Y41" s="111" t="n">
        <v>22</v>
      </c>
      <c r="Z41" s="112" t="n">
        <f aca="false">Z40-Y41</f>
        <v>3241.49231157046</v>
      </c>
      <c r="AA41" s="6" t="n">
        <f aca="false">M41+S41+T41+X41+Y41</f>
        <v>33</v>
      </c>
      <c r="AB41" s="111" t="n">
        <f aca="false">IF(L41&lt;0,L41*-1,0)</f>
        <v>25</v>
      </c>
      <c r="AC41" s="111" t="n">
        <f aca="false">AA41+AB41</f>
        <v>58</v>
      </c>
      <c r="AD41" s="350" t="n">
        <v>0</v>
      </c>
      <c r="AE41" s="117" t="n">
        <v>61</v>
      </c>
      <c r="AF41" s="184" t="n">
        <v>41</v>
      </c>
      <c r="AG41" s="118" t="n">
        <v>0</v>
      </c>
      <c r="AH41" s="352" t="n">
        <v>0</v>
      </c>
      <c r="AI41" s="352" t="n">
        <v>0</v>
      </c>
      <c r="AJ41" s="211"/>
    </row>
    <row r="42" customFormat="false" ht="11.1" hidden="false" customHeight="true" outlineLevel="0" collapsed="false">
      <c r="A42" s="118" t="n">
        <v>31</v>
      </c>
      <c r="B42" s="168" t="n">
        <v>6864.59</v>
      </c>
      <c r="C42" s="112" t="n">
        <v>173943</v>
      </c>
      <c r="D42" s="117" t="n">
        <f aca="false">C42-C41</f>
        <v>25</v>
      </c>
      <c r="E42" s="112" t="n">
        <f aca="false">C42-152000</f>
        <v>21943</v>
      </c>
      <c r="F42" s="180" t="n">
        <f aca="false">D42/$D$2</f>
        <v>12.6039828585833</v>
      </c>
      <c r="G42" s="111" t="n">
        <v>57</v>
      </c>
      <c r="H42" s="405" t="n">
        <v>0</v>
      </c>
      <c r="I42" s="111" t="n">
        <f aca="false">G42+H42</f>
        <v>57</v>
      </c>
      <c r="J42" s="181" t="n">
        <f aca="false">IF(L42&gt;0,L42,0)</f>
        <v>0</v>
      </c>
      <c r="K42" s="111" t="n">
        <f aca="false">I42+J42</f>
        <v>57</v>
      </c>
      <c r="L42" s="111" t="n">
        <f aca="false">F42-(I42-AA42)</f>
        <v>-16.3960171414167</v>
      </c>
      <c r="M42" s="182" t="n">
        <v>6</v>
      </c>
      <c r="N42" s="111" t="n">
        <v>0</v>
      </c>
      <c r="O42" s="111" t="n">
        <f aca="false">10.7*1.05</f>
        <v>11.235</v>
      </c>
      <c r="P42" s="193" t="n">
        <v>1.97</v>
      </c>
      <c r="Q42" s="413" t="n">
        <v>4.2</v>
      </c>
      <c r="R42" s="414" t="n">
        <v>2.74</v>
      </c>
      <c r="S42" s="111" t="n">
        <v>0</v>
      </c>
      <c r="T42" s="111" t="n">
        <v>0</v>
      </c>
      <c r="U42" s="111" t="n">
        <f aca="false">M42-N42-O42-P42-Q42-R42+S42+T42</f>
        <v>-14.145</v>
      </c>
      <c r="V42" s="112" t="n">
        <v>0</v>
      </c>
      <c r="W42" s="112"/>
      <c r="X42" s="111" t="n">
        <v>0</v>
      </c>
      <c r="Y42" s="111" t="n">
        <v>22</v>
      </c>
      <c r="Z42" s="112" t="n">
        <f aca="false">Z41-Y42</f>
        <v>3219.49231157046</v>
      </c>
      <c r="AA42" s="6" t="n">
        <f aca="false">M42+S42+T42+X42+Y42</f>
        <v>28</v>
      </c>
      <c r="AB42" s="111" t="n">
        <f aca="false">IF(L42&lt;0,L42*-1,0)</f>
        <v>16.3960171414167</v>
      </c>
      <c r="AC42" s="111" t="n">
        <f aca="false">AA42+AB42</f>
        <v>44.3960171414167</v>
      </c>
      <c r="AD42" s="350" t="n">
        <v>0</v>
      </c>
      <c r="AE42" s="117" t="n">
        <v>60</v>
      </c>
      <c r="AF42" s="184" t="n">
        <v>39</v>
      </c>
      <c r="AG42" s="118" t="n">
        <v>0</v>
      </c>
      <c r="AH42" s="352" t="n">
        <v>0</v>
      </c>
      <c r="AI42" s="352" t="n">
        <v>0</v>
      </c>
      <c r="AJ42" s="211"/>
    </row>
    <row r="43" customFormat="false" ht="3" hidden="false" customHeight="true" outlineLevel="0" collapsed="false">
      <c r="A43" s="169"/>
      <c r="B43" s="185"/>
      <c r="C43" s="171"/>
      <c r="D43" s="169"/>
      <c r="E43" s="171"/>
      <c r="F43" s="172"/>
      <c r="G43" s="169"/>
      <c r="H43" s="412" t="n">
        <v>0</v>
      </c>
      <c r="I43" s="169"/>
      <c r="J43" s="169"/>
      <c r="K43" s="169"/>
      <c r="L43" s="169"/>
      <c r="M43" s="174" t="n">
        <v>0</v>
      </c>
      <c r="N43" s="169"/>
      <c r="O43" s="169"/>
      <c r="P43" s="169"/>
      <c r="Q43" s="169"/>
      <c r="R43" s="175"/>
      <c r="S43" s="169"/>
      <c r="T43" s="169" t="n">
        <v>0</v>
      </c>
      <c r="U43" s="169"/>
      <c r="V43" s="171"/>
      <c r="W43" s="171"/>
      <c r="X43" s="169"/>
      <c r="Y43" s="169" t="n">
        <v>0</v>
      </c>
      <c r="Z43" s="169"/>
      <c r="AA43" s="169"/>
      <c r="AB43" s="169"/>
      <c r="AC43" s="169"/>
      <c r="AD43" s="355"/>
      <c r="AE43" s="177"/>
      <c r="AF43" s="178"/>
      <c r="AG43" s="179"/>
      <c r="AH43" s="226"/>
      <c r="AI43" s="226"/>
      <c r="AJ43" s="179"/>
    </row>
    <row r="44" customFormat="false" ht="11.1" hidden="false" customHeight="true" outlineLevel="0" collapsed="false">
      <c r="A44" s="111" t="s">
        <v>54</v>
      </c>
      <c r="B44" s="163"/>
      <c r="C44" s="112"/>
      <c r="D44" s="112"/>
      <c r="E44" s="112"/>
      <c r="F44" s="164" t="n">
        <f aca="false">SUM(F12:F42)</f>
        <v>-2468.36400302496</v>
      </c>
      <c r="G44" s="112" t="n">
        <f aca="false">SUM(G12:G42)</f>
        <v>2449</v>
      </c>
      <c r="H44" s="405" t="n">
        <f aca="false">SUM(H12:H42)</f>
        <v>0</v>
      </c>
      <c r="I44" s="112" t="n">
        <f aca="false">SUM(I12:I42)</f>
        <v>2449</v>
      </c>
      <c r="J44" s="112" t="n">
        <f aca="false">SUM(J12:J42)</f>
        <v>355.233677842199</v>
      </c>
      <c r="K44" s="112" t="n">
        <f aca="false">SUM(K12:K42)</f>
        <v>2804.2336778422</v>
      </c>
      <c r="L44" s="112" t="n">
        <f aca="false">SUM(L12:L42)</f>
        <v>-197.524003024955</v>
      </c>
      <c r="M44" s="165" t="n">
        <f aca="false">SUM(M12:M42)</f>
        <v>2005</v>
      </c>
      <c r="N44" s="112" t="n">
        <f aca="false">SUM(N12:N42)</f>
        <v>15.57</v>
      </c>
      <c r="O44" s="112" t="n">
        <f aca="false">SUM(O12:O42)</f>
        <v>734.16</v>
      </c>
      <c r="P44" s="112" t="n">
        <f aca="false">SUM(P12:P42)</f>
        <v>55.76</v>
      </c>
      <c r="Q44" s="112" t="n">
        <f aca="false">SUM(Q12:Q42)</f>
        <v>130.2</v>
      </c>
      <c r="R44" s="166" t="n">
        <f aca="false">SUM(R12:R42)</f>
        <v>108.7</v>
      </c>
      <c r="S44" s="112" t="n">
        <f aca="false">SUM(S12:S42)</f>
        <v>1341</v>
      </c>
      <c r="T44" s="112" t="n">
        <f aca="false">SUM(T12:T42)</f>
        <v>707</v>
      </c>
      <c r="U44" s="112" t="n">
        <f aca="false">SUM(U12:U42)</f>
        <v>3008.61</v>
      </c>
      <c r="V44" s="112"/>
      <c r="W44" s="112"/>
      <c r="X44" s="112" t="n">
        <f aca="false">SUM(X12:X42)</f>
        <v>8.84</v>
      </c>
      <c r="Y44" s="112" t="n">
        <f aca="false">SUM(Y12:Y42)</f>
        <v>658</v>
      </c>
      <c r="Z44" s="112"/>
      <c r="AA44" s="112" t="n">
        <f aca="false">SUM(AA12:AA42)</f>
        <v>4719.84</v>
      </c>
      <c r="AB44" s="112" t="n">
        <f aca="false">SUM(AB12:AB42)</f>
        <v>552.757680867154</v>
      </c>
      <c r="AC44" s="112" t="n">
        <f aca="false">SUM(AC12:AC42)</f>
        <v>5272.59768086715</v>
      </c>
      <c r="AD44" s="350" t="n">
        <f aca="false">SUM(AD12:AD43)</f>
        <v>0.3</v>
      </c>
      <c r="AE44" s="117" t="n">
        <f aca="false">AVERAGE(AE12:AE42)</f>
        <v>68.6774193548387</v>
      </c>
      <c r="AF44" s="167" t="n">
        <f aca="false">AVERAGE(AF12:AF42)</f>
        <v>39.7096774193548</v>
      </c>
      <c r="AG44" s="118" t="s">
        <v>84</v>
      </c>
      <c r="AH44" s="352"/>
      <c r="AI44" s="352" t="n">
        <f aca="false">SUM(AI12:AI42)</f>
        <v>0</v>
      </c>
      <c r="AJ44" s="211" t="n">
        <f aca="false">SUM(AJ12:AJ42)</f>
        <v>0</v>
      </c>
    </row>
    <row r="45" customFormat="false" ht="11.1" hidden="false" customHeight="true" outlineLevel="0" collapsed="false">
      <c r="A45" s="111" t="s">
        <v>56</v>
      </c>
      <c r="B45" s="163"/>
      <c r="C45" s="112"/>
      <c r="D45" s="112" t="n">
        <f aca="false">SUM(D12:D42)</f>
        <v>-4896</v>
      </c>
      <c r="E45" s="112"/>
      <c r="F45" s="164" t="n">
        <f aca="false">F44*$D$2</f>
        <v>-4896</v>
      </c>
      <c r="G45" s="112" t="n">
        <f aca="false">G44*$D$2</f>
        <v>4857.5915</v>
      </c>
      <c r="H45" s="405" t="n">
        <f aca="false">H44*$D$2</f>
        <v>0</v>
      </c>
      <c r="I45" s="112" t="n">
        <f aca="false">I44*$D$2</f>
        <v>4857.5915</v>
      </c>
      <c r="J45" s="112" t="n">
        <f aca="false">J44*$D$2</f>
        <v>704.606000000001</v>
      </c>
      <c r="K45" s="112" t="n">
        <f aca="false">K44*$D$2</f>
        <v>5562.1975</v>
      </c>
      <c r="L45" s="112" t="n">
        <f aca="false">L44*$D$2</f>
        <v>-391.788859999998</v>
      </c>
      <c r="M45" s="165" t="n">
        <f aca="false">M44*$D$2</f>
        <v>3976.9175</v>
      </c>
      <c r="N45" s="112" t="n">
        <f aca="false">N44*$D$2</f>
        <v>30.883095</v>
      </c>
      <c r="O45" s="112" t="n">
        <f aca="false">O44*$D$2</f>
        <v>1456.20636</v>
      </c>
      <c r="P45" s="112" t="n">
        <f aca="false">P44*$D$2</f>
        <v>110.59996</v>
      </c>
      <c r="Q45" s="112" t="n">
        <f aca="false">Q44*$D$2</f>
        <v>258.2517</v>
      </c>
      <c r="R45" s="166" t="n">
        <f aca="false">R44*$D$2</f>
        <v>215.60645</v>
      </c>
      <c r="S45" s="112" t="n">
        <f aca="false">S44*$D$2</f>
        <v>2659.8735</v>
      </c>
      <c r="T45" s="112" t="n">
        <f aca="false">T44*$D$2</f>
        <v>1402.3345</v>
      </c>
      <c r="U45" s="112" t="n">
        <f aca="false">U44*$D$2</f>
        <v>5967.577935</v>
      </c>
      <c r="V45" s="112"/>
      <c r="W45" s="112"/>
      <c r="X45" s="112" t="n">
        <f aca="false">X44*$D$2</f>
        <v>17.53414</v>
      </c>
      <c r="Y45" s="112" t="n">
        <f aca="false">Y44*$D$2</f>
        <v>1305.143</v>
      </c>
      <c r="Z45" s="112"/>
      <c r="AA45" s="112" t="n">
        <f aca="false">AA44*$D$2</f>
        <v>9361.80264</v>
      </c>
      <c r="AB45" s="112" t="n">
        <f aca="false">AB44*$D$2</f>
        <v>1096.39486</v>
      </c>
      <c r="AC45" s="112" t="n">
        <f aca="false">AC44*$D$2</f>
        <v>10458.1975</v>
      </c>
      <c r="AD45" s="350"/>
      <c r="AE45" s="117" t="n">
        <f aca="false">MAX(AE12:AE42)</f>
        <v>81</v>
      </c>
      <c r="AF45" s="167" t="n">
        <f aca="false">MAX(AF12:AF42)</f>
        <v>49</v>
      </c>
      <c r="AG45" s="118" t="s">
        <v>57</v>
      </c>
      <c r="AH45" s="352"/>
      <c r="AI45" s="352" t="n">
        <f aca="false">AI44*$D$2</f>
        <v>0</v>
      </c>
      <c r="AJ45" s="210" t="n">
        <f aca="false">AJ44*$D$2</f>
        <v>0</v>
      </c>
    </row>
    <row r="46" customFormat="false" ht="3" hidden="false" customHeight="true" outlineLevel="0" collapsed="false">
      <c r="A46" s="169"/>
      <c r="B46" s="185"/>
      <c r="C46" s="171"/>
      <c r="D46" s="171"/>
      <c r="E46" s="171"/>
      <c r="F46" s="186"/>
      <c r="G46" s="171"/>
      <c r="H46" s="412"/>
      <c r="I46" s="171"/>
      <c r="J46" s="171"/>
      <c r="K46" s="171"/>
      <c r="L46" s="171"/>
      <c r="M46" s="187"/>
      <c r="N46" s="171"/>
      <c r="O46" s="171"/>
      <c r="P46" s="171"/>
      <c r="Q46" s="171"/>
      <c r="R46" s="188"/>
      <c r="S46" s="171"/>
      <c r="T46" s="171"/>
      <c r="U46" s="171"/>
      <c r="V46" s="171"/>
      <c r="W46" s="171"/>
      <c r="X46" s="171"/>
      <c r="Y46" s="171"/>
      <c r="Z46" s="169"/>
      <c r="AA46" s="171"/>
      <c r="AB46" s="171"/>
      <c r="AC46" s="171"/>
      <c r="AD46" s="189"/>
      <c r="AE46" s="171"/>
      <c r="AF46" s="186"/>
      <c r="AG46" s="171"/>
      <c r="AH46" s="229"/>
      <c r="AI46" s="229"/>
      <c r="AJ46" s="171"/>
    </row>
    <row r="47" customFormat="false" ht="11.1" hidden="false" customHeight="true" outlineLevel="0" collapsed="false">
      <c r="A47" s="111" t="s">
        <v>58</v>
      </c>
      <c r="B47" s="163"/>
      <c r="C47" s="112"/>
      <c r="D47" s="112"/>
      <c r="E47" s="112"/>
      <c r="F47" s="164" t="n">
        <f aca="false">F9+F44</f>
        <v>482.984623140919</v>
      </c>
      <c r="G47" s="112" t="n">
        <f aca="false">G9+G44</f>
        <v>85595</v>
      </c>
      <c r="H47" s="411" t="n">
        <f aca="false">H9+H44</f>
        <v>1046.76</v>
      </c>
      <c r="I47" s="112" t="n">
        <f aca="false">I9+I44</f>
        <v>86641.76</v>
      </c>
      <c r="J47" s="112" t="n">
        <f aca="false">J9+J44</f>
        <v>6350.59024199647</v>
      </c>
      <c r="K47" s="112" t="n">
        <f aca="false">K9+K44</f>
        <v>92992.3502419965</v>
      </c>
      <c r="L47" s="112" t="n">
        <f aca="false">L9+L44</f>
        <v>-1188.88537685908</v>
      </c>
      <c r="M47" s="165" t="n">
        <f aca="false">M9+M44</f>
        <v>32453.38</v>
      </c>
      <c r="N47" s="112" t="n">
        <f aca="false">N9+N44</f>
        <v>76.38</v>
      </c>
      <c r="O47" s="112" t="n">
        <f aca="false">O9+O44</f>
        <v>6346.478525</v>
      </c>
      <c r="P47" s="112"/>
      <c r="Q47" s="112"/>
      <c r="R47" s="166"/>
      <c r="S47" s="112" t="n">
        <f aca="false">S9+S44</f>
        <v>22886.8</v>
      </c>
      <c r="T47" s="112" t="n">
        <f aca="false">T9+T44</f>
        <v>10584.8</v>
      </c>
      <c r="U47" s="112" t="n">
        <f aca="false">U9+U44</f>
        <v>58535.355975</v>
      </c>
      <c r="V47" s="112" t="n">
        <f aca="false">V26</f>
        <v>0</v>
      </c>
      <c r="W47" s="112" t="n">
        <f aca="false">W26</f>
        <v>1143.1173104361</v>
      </c>
      <c r="X47" s="112" t="n">
        <f aca="false">X9+X44</f>
        <v>14092.89</v>
      </c>
      <c r="Y47" s="112" t="n">
        <f aca="false">Y9+Y44</f>
        <v>5022</v>
      </c>
      <c r="Z47" s="112" t="n">
        <f aca="false">Z42</f>
        <v>3219.49231157046</v>
      </c>
      <c r="AA47" s="112" t="n">
        <f aca="false">AA9+AA44</f>
        <v>84969.89</v>
      </c>
      <c r="AB47" s="112" t="n">
        <f aca="false">AB9+AB44</f>
        <v>7539.47561885556</v>
      </c>
      <c r="AC47" s="112" t="n">
        <f aca="false">AC9+AC44</f>
        <v>92509.3656188555</v>
      </c>
      <c r="AD47" s="350"/>
      <c r="AE47" s="117" t="n">
        <f aca="false">MIN(AE12:AE42)</f>
        <v>52</v>
      </c>
      <c r="AF47" s="167" t="n">
        <f aca="false">MIN(AF12:AF42)</f>
        <v>26</v>
      </c>
      <c r="AG47" s="118" t="s">
        <v>59</v>
      </c>
      <c r="AH47" s="352"/>
      <c r="AI47" s="352" t="n">
        <f aca="false">AI9+AI44</f>
        <v>1241.65030030524</v>
      </c>
      <c r="AJ47" s="374" t="n">
        <f aca="false">AJ9+AJ44</f>
        <v>596.53</v>
      </c>
    </row>
    <row r="48" customFormat="false" ht="11.1" hidden="false" customHeight="true" outlineLevel="0" collapsed="false">
      <c r="A48" s="111" t="s">
        <v>60</v>
      </c>
      <c r="B48" s="163"/>
      <c r="C48" s="112"/>
      <c r="D48" s="112"/>
      <c r="E48" s="112"/>
      <c r="F48" s="164" t="n">
        <f aca="false">F47*$D$2</f>
        <v>958.000000000013</v>
      </c>
      <c r="G48" s="112" t="n">
        <f aca="false">G47*$D$2</f>
        <v>169777.6825</v>
      </c>
      <c r="H48" s="411" t="n">
        <f aca="false">H47*$D$2</f>
        <v>2076.24846</v>
      </c>
      <c r="I48" s="112" t="n">
        <f aca="false">I47*$D$2</f>
        <v>171853.93096</v>
      </c>
      <c r="J48" s="112" t="n">
        <f aca="false">J47*$D$2</f>
        <v>12596.395745</v>
      </c>
      <c r="K48" s="112" t="n">
        <f aca="false">K47*$D$2</f>
        <v>184450.326705</v>
      </c>
      <c r="L48" s="112" t="n">
        <f aca="false">L47*$D$2</f>
        <v>-2358.15414499999</v>
      </c>
      <c r="M48" s="165" t="n">
        <f aca="false">M47*$D$2</f>
        <v>64371.27923</v>
      </c>
      <c r="N48" s="112" t="n">
        <f aca="false">N47*$D$2</f>
        <v>151.49973</v>
      </c>
      <c r="O48" s="112" t="n">
        <f aca="false">O47*$D$2</f>
        <v>12588.2401543375</v>
      </c>
      <c r="P48" s="112"/>
      <c r="Q48" s="112"/>
      <c r="R48" s="166"/>
      <c r="S48" s="112" t="n">
        <f aca="false">S47*$D$2</f>
        <v>45395.9678</v>
      </c>
      <c r="T48" s="112" t="n">
        <f aca="false">T47*$D$2</f>
        <v>20994.9508</v>
      </c>
      <c r="U48" s="112" t="n">
        <f aca="false">U47*$D$2</f>
        <v>116104.878576413</v>
      </c>
      <c r="V48" s="112" t="n">
        <f aca="false">V47*$D$2</f>
        <v>0</v>
      </c>
      <c r="W48" s="112" t="n">
        <f aca="false">W47*$D$2</f>
        <v>2267.37318525</v>
      </c>
      <c r="X48" s="112" t="n">
        <f aca="false">X47*$D$2</f>
        <v>27953.247315</v>
      </c>
      <c r="Y48" s="112" t="n">
        <f aca="false">Y47*$D$2</f>
        <v>9961.137</v>
      </c>
      <c r="Z48" s="112" t="n">
        <f aca="false">Z47*$D$2</f>
        <v>6385.863</v>
      </c>
      <c r="AA48" s="112" t="n">
        <f aca="false">AA47*$D$2</f>
        <v>168537.776815</v>
      </c>
      <c r="AB48" s="112" t="n">
        <f aca="false">AB47*$D$2</f>
        <v>14954.54989</v>
      </c>
      <c r="AC48" s="112" t="n">
        <f aca="false">AC47*$D$2</f>
        <v>183492.326705</v>
      </c>
      <c r="AD48" s="350"/>
      <c r="AE48" s="117"/>
      <c r="AF48" s="167"/>
      <c r="AG48" s="118"/>
      <c r="AI48" s="352" t="n">
        <f aca="false">AI47*$D$2</f>
        <v>2462.81337065544</v>
      </c>
      <c r="AJ48" s="352" t="n">
        <f aca="false">AJ47*$D$2</f>
        <v>1183.217255</v>
      </c>
    </row>
    <row r="49" customFormat="false" ht="3" hidden="false" customHeight="true" outlineLevel="0" collapsed="false">
      <c r="A49" s="169"/>
      <c r="B49" s="185"/>
      <c r="C49" s="171"/>
      <c r="D49" s="171"/>
      <c r="E49" s="171"/>
      <c r="F49" s="186"/>
      <c r="G49" s="171"/>
      <c r="H49" s="416"/>
      <c r="I49" s="171"/>
      <c r="J49" s="171"/>
      <c r="K49" s="171"/>
      <c r="L49" s="171"/>
      <c r="M49" s="187"/>
      <c r="N49" s="171"/>
      <c r="O49" s="171"/>
      <c r="P49" s="171"/>
      <c r="Q49" s="171"/>
      <c r="R49" s="188"/>
      <c r="S49" s="171"/>
      <c r="T49" s="171"/>
      <c r="U49" s="171"/>
      <c r="V49" s="171"/>
      <c r="W49" s="171"/>
      <c r="X49" s="171"/>
      <c r="Y49" s="171"/>
      <c r="Z49" s="171"/>
      <c r="AA49" s="171"/>
      <c r="AB49" s="171"/>
      <c r="AC49" s="171"/>
      <c r="AD49" s="355"/>
      <c r="AE49" s="300"/>
      <c r="AF49" s="417"/>
      <c r="AG49" s="300"/>
      <c r="AH49" s="229"/>
      <c r="AI49" s="229"/>
      <c r="AJ49" s="300"/>
    </row>
    <row r="50" customFormat="false" ht="11.1" hidden="false" customHeight="true" outlineLevel="0" collapsed="false">
      <c r="A50" s="111" t="s">
        <v>61</v>
      </c>
      <c r="B50" s="163"/>
      <c r="C50" s="112"/>
      <c r="D50" s="112"/>
      <c r="E50" s="112"/>
      <c r="F50" s="164" t="n">
        <f aca="false">F10+F44</f>
        <v>8760.27224602977</v>
      </c>
      <c r="G50" s="112" t="n">
        <f aca="false">G10+G44</f>
        <v>93149</v>
      </c>
      <c r="H50" s="411" t="n">
        <f aca="false">H10+H44</f>
        <v>1329.5</v>
      </c>
      <c r="I50" s="112" t="n">
        <f aca="false">I10+I44</f>
        <v>94478.5</v>
      </c>
      <c r="J50" s="112" t="n">
        <f aca="false">J10+J44</f>
        <v>10829.3440131081</v>
      </c>
      <c r="K50" s="112" t="n">
        <f aca="false">K10+K44</f>
        <v>105307.844013108</v>
      </c>
      <c r="L50" s="112" t="n">
        <f aca="false">L10+L44</f>
        <v>2655.35224602974</v>
      </c>
      <c r="M50" s="165" t="n">
        <f aca="false">M10+M44</f>
        <v>33410.2</v>
      </c>
      <c r="N50" s="112" t="n">
        <f aca="false">N10+N44</f>
        <v>76.38</v>
      </c>
      <c r="O50" s="112" t="n">
        <f aca="false">O10+O44</f>
        <v>6346.478525</v>
      </c>
      <c r="P50" s="112" t="n">
        <f aca="false">P10+P44</f>
        <v>190.6</v>
      </c>
      <c r="Q50" s="112" t="n">
        <f aca="false">Q10+Q44</f>
        <v>382.05</v>
      </c>
      <c r="R50" s="166" t="n">
        <f aca="false">R10+R44</f>
        <v>325.763</v>
      </c>
      <c r="S50" s="112" t="n">
        <f aca="false">S10+S44</f>
        <v>22948.8</v>
      </c>
      <c r="T50" s="112" t="n">
        <f aca="false">T10+T44</f>
        <v>10635.8</v>
      </c>
      <c r="U50" s="112" t="n">
        <f aca="false">U10+U44</f>
        <v>59673.528475</v>
      </c>
      <c r="V50" s="112"/>
      <c r="W50" s="112"/>
      <c r="X50" s="112" t="n">
        <f aca="false">X10+X44</f>
        <v>14092.89</v>
      </c>
      <c r="Y50" s="112" t="n">
        <f aca="false">Y10+Y44</f>
        <v>7285.89</v>
      </c>
      <c r="Z50" s="112" t="n">
        <f aca="false">Z42</f>
        <v>3219.49231157046</v>
      </c>
      <c r="AA50" s="112" t="n">
        <f aca="false">AA10+AA44</f>
        <v>88373.58</v>
      </c>
      <c r="AB50" s="112" t="n">
        <f aca="false">AB10+AB44</f>
        <v>8173.99176707839</v>
      </c>
      <c r="AC50" s="112" t="n">
        <f aca="false">AC10+AC44</f>
        <v>96547.5717670784</v>
      </c>
      <c r="AD50" s="350" t="n">
        <f aca="false">AD10+AD44</f>
        <v>11.04</v>
      </c>
      <c r="AE50" s="117"/>
      <c r="AF50" s="167"/>
      <c r="AG50" s="118"/>
      <c r="AH50" s="352"/>
      <c r="AI50" s="352" t="n">
        <f aca="false">AI10+AI44</f>
        <v>1241.65030030524</v>
      </c>
      <c r="AJ50" s="210"/>
    </row>
    <row r="51" customFormat="false" ht="11.1" hidden="false" customHeight="true" outlineLevel="0" collapsed="false">
      <c r="A51" s="111" t="s">
        <v>62</v>
      </c>
      <c r="B51" s="163"/>
      <c r="C51" s="112"/>
      <c r="D51" s="112" t="n">
        <f aca="false">D10+D45</f>
        <v>17376</v>
      </c>
      <c r="E51" s="112" t="n">
        <f aca="false">E42</f>
        <v>21943</v>
      </c>
      <c r="F51" s="164" t="n">
        <f aca="false">F50*$D$2</f>
        <v>17376.0000000001</v>
      </c>
      <c r="G51" s="112" t="n">
        <f aca="false">G50*$D$2</f>
        <v>184761.0415</v>
      </c>
      <c r="H51" s="411" t="n">
        <f aca="false">H50*$D$2</f>
        <v>2637.06325</v>
      </c>
      <c r="I51" s="112" t="n">
        <f aca="false">I50*$D$2</f>
        <v>187398.10475</v>
      </c>
      <c r="J51" s="112" t="n">
        <f aca="false">J50*$D$2</f>
        <v>21480.00385</v>
      </c>
      <c r="K51" s="112" t="n">
        <f aca="false">K50*$D$2</f>
        <v>208878.1086</v>
      </c>
      <c r="L51" s="112" t="n">
        <f aca="false">L50*$D$2</f>
        <v>5266.89117999998</v>
      </c>
      <c r="M51" s="165" t="n">
        <f aca="false">M50*$D$2</f>
        <v>66269.1317</v>
      </c>
      <c r="N51" s="112" t="n">
        <f aca="false">N50*$D$2</f>
        <v>151.49973</v>
      </c>
      <c r="O51" s="112" t="n">
        <f aca="false">O50*$D$2</f>
        <v>12588.2401543375</v>
      </c>
      <c r="P51" s="112" t="n">
        <f aca="false">P50*$D$2</f>
        <v>378.0551</v>
      </c>
      <c r="Q51" s="112" t="n">
        <f aca="false">Q50*$D$2</f>
        <v>757.796175</v>
      </c>
      <c r="R51" s="418" t="n">
        <f aca="false">R50*$D$2</f>
        <v>646.1509105</v>
      </c>
      <c r="S51" s="112" t="n">
        <f aca="false">S50*$D$2</f>
        <v>45518.9448</v>
      </c>
      <c r="T51" s="112" t="n">
        <f aca="false">T50*$D$2</f>
        <v>21096.1093</v>
      </c>
      <c r="U51" s="112" t="n">
        <f aca="false">U50*$D$2</f>
        <v>118362.443730163</v>
      </c>
      <c r="V51" s="112"/>
      <c r="W51" s="112"/>
      <c r="X51" s="112" t="n">
        <f aca="false">X50*$D$2</f>
        <v>27953.247315</v>
      </c>
      <c r="Y51" s="112" t="n">
        <f aca="false">Y50*$D$2</f>
        <v>14451.562815</v>
      </c>
      <c r="Z51" s="112" t="n">
        <f aca="false">Z50*$D$2</f>
        <v>6385.863</v>
      </c>
      <c r="AA51" s="112" t="n">
        <f aca="false">AA50*$D$2</f>
        <v>175288.99593</v>
      </c>
      <c r="AB51" s="112" t="n">
        <f aca="false">AB50*$D$2</f>
        <v>16213.11267</v>
      </c>
      <c r="AC51" s="112" t="n">
        <f aca="false">AC50*$D$2</f>
        <v>191502.1086</v>
      </c>
      <c r="AD51" s="350"/>
      <c r="AE51" s="117"/>
      <c r="AF51" s="167"/>
      <c r="AG51" s="118"/>
      <c r="AI51" s="352" t="n">
        <f aca="false">AI50*$D$2</f>
        <v>2462.81337065544</v>
      </c>
      <c r="AJ51" s="210"/>
    </row>
    <row r="52" customFormat="false" ht="3" hidden="false" customHeight="true" outlineLevel="0" collapsed="false">
      <c r="A52" s="169"/>
      <c r="B52" s="185"/>
      <c r="C52" s="171"/>
      <c r="D52" s="169"/>
      <c r="E52" s="171"/>
      <c r="F52" s="172"/>
      <c r="G52" s="169"/>
      <c r="H52" s="412"/>
      <c r="I52" s="169"/>
      <c r="J52" s="169"/>
      <c r="K52" s="169"/>
      <c r="L52" s="169"/>
      <c r="M52" s="174"/>
      <c r="N52" s="169"/>
      <c r="O52" s="169"/>
      <c r="P52" s="169"/>
      <c r="Q52" s="175"/>
      <c r="R52" s="169"/>
      <c r="S52" s="169"/>
      <c r="T52" s="169"/>
      <c r="U52" s="169"/>
      <c r="V52" s="171"/>
      <c r="W52" s="171"/>
      <c r="X52" s="169"/>
      <c r="Y52" s="169"/>
      <c r="Z52" s="171"/>
      <c r="AA52" s="169"/>
      <c r="AB52" s="169"/>
      <c r="AC52" s="169"/>
      <c r="AD52" s="185"/>
      <c r="AE52" s="169"/>
      <c r="AF52" s="172"/>
      <c r="AG52" s="169"/>
      <c r="AH52" s="229"/>
      <c r="AI52" s="229"/>
      <c r="AJ52" s="169"/>
    </row>
    <row r="53" customFormat="false" ht="11.1" hidden="false" customHeight="true" outlineLevel="0" collapsed="false">
      <c r="A53" s="183"/>
      <c r="B53" s="183"/>
      <c r="C53" s="112"/>
      <c r="D53" s="183"/>
      <c r="E53" s="112"/>
      <c r="F53" s="183"/>
      <c r="G53" s="113"/>
      <c r="H53" s="419"/>
      <c r="I53" s="102"/>
      <c r="J53" s="183"/>
      <c r="K53" s="183"/>
      <c r="L53" s="183"/>
      <c r="M53" s="181"/>
      <c r="N53" s="7"/>
      <c r="O53" s="181"/>
      <c r="P53" s="181"/>
      <c r="Q53" s="183"/>
      <c r="R53" s="183"/>
      <c r="S53" s="183"/>
      <c r="T53" s="183"/>
      <c r="U53" s="0"/>
      <c r="V53" s="112"/>
      <c r="W53" s="112"/>
      <c r="X53" s="107"/>
      <c r="Y53" s="112"/>
      <c r="Z53" s="183"/>
      <c r="AA53" s="183"/>
      <c r="AB53" s="183"/>
      <c r="AC53" s="115"/>
      <c r="AD53" s="116"/>
      <c r="AE53" s="117"/>
      <c r="AF53" s="118"/>
      <c r="AG53" s="213"/>
      <c r="AH53" s="214"/>
      <c r="AI53" s="231"/>
    </row>
    <row r="54" customFormat="false" ht="11.1" hidden="false" customHeight="true" outlineLevel="0" collapsed="false">
      <c r="A54" s="111"/>
      <c r="B54" s="385" t="s">
        <v>107</v>
      </c>
      <c r="C54" s="7"/>
      <c r="D54" s="101"/>
      <c r="E54" s="307"/>
      <c r="F54" s="334"/>
      <c r="G54" s="0"/>
      <c r="H54" s="420"/>
      <c r="I54" s="8"/>
      <c r="J54" s="6"/>
      <c r="K54" s="102"/>
      <c r="L54" s="181"/>
      <c r="M54" s="6"/>
      <c r="N54" s="6"/>
      <c r="O54" s="6" t="n">
        <f aca="false">O7-O48</f>
        <v>-5.24015433749992</v>
      </c>
      <c r="P54" s="10"/>
      <c r="Q54" s="245"/>
      <c r="R54" s="245"/>
      <c r="S54" s="335"/>
      <c r="T54" s="89"/>
      <c r="U54" s="67"/>
      <c r="V54" s="112"/>
      <c r="W54" s="155"/>
      <c r="X54" s="386" t="n">
        <f aca="false">X7-X48</f>
        <v>2106.752685</v>
      </c>
      <c r="Y54" s="6"/>
      <c r="Z54" s="7"/>
      <c r="AA54" s="7"/>
      <c r="AB54" s="111"/>
      <c r="AC54" s="115"/>
      <c r="AD54" s="117"/>
      <c r="AE54" s="117"/>
      <c r="AF54" s="117"/>
      <c r="AG54" s="387" t="s">
        <v>108</v>
      </c>
      <c r="AH54" s="214"/>
      <c r="AI54" s="214"/>
      <c r="AJ54" s="231"/>
    </row>
    <row r="55" customFormat="false" ht="11.1" hidden="false" customHeight="true" outlineLevel="0" collapsed="false">
      <c r="A55" s="183"/>
      <c r="B55" s="112"/>
      <c r="E55" s="307"/>
      <c r="F55" s="308"/>
      <c r="G55" s="0"/>
      <c r="H55" s="420"/>
      <c r="I55" s="101"/>
      <c r="J55" s="101"/>
      <c r="K55" s="336"/>
      <c r="L55" s="112"/>
      <c r="M55" s="87"/>
      <c r="N55" s="87"/>
      <c r="O55" s="307"/>
      <c r="P55" s="388"/>
      <c r="Q55" s="245"/>
      <c r="R55" s="245"/>
      <c r="S55" s="335"/>
      <c r="T55" s="89"/>
      <c r="U55" s="67"/>
      <c r="V55" s="112"/>
      <c r="W55" s="112"/>
      <c r="X55" s="112"/>
      <c r="Y55" s="7"/>
      <c r="Z55" s="335"/>
      <c r="AA55" s="335"/>
      <c r="AB55" s="183"/>
      <c r="AC55" s="115"/>
      <c r="AD55" s="117"/>
      <c r="AE55" s="117"/>
      <c r="AF55" s="118"/>
      <c r="AG55" s="213" t="s">
        <v>109</v>
      </c>
      <c r="AH55" s="214"/>
      <c r="AJ55" s="231"/>
    </row>
    <row r="56" customFormat="false" ht="11.1" hidden="false" customHeight="true" outlineLevel="0" collapsed="false">
      <c r="A56" s="183"/>
      <c r="B56" s="183"/>
      <c r="C56" s="112"/>
      <c r="D56" s="112"/>
      <c r="E56" s="307"/>
      <c r="F56" s="0"/>
      <c r="G56" s="0"/>
      <c r="H56" s="155"/>
      <c r="I56" s="0"/>
      <c r="J56" s="101"/>
      <c r="K56" s="336"/>
      <c r="L56" s="117"/>
      <c r="M56" s="87"/>
      <c r="N56" s="87"/>
      <c r="O56" s="117"/>
      <c r="P56" s="115"/>
      <c r="Q56" s="245"/>
      <c r="R56" s="245"/>
      <c r="S56" s="92"/>
      <c r="T56" s="92"/>
      <c r="U56" s="67"/>
      <c r="V56" s="117"/>
      <c r="W56" s="117"/>
      <c r="X56" s="112"/>
      <c r="Y56" s="7"/>
      <c r="Z56" s="112"/>
      <c r="AA56" s="112"/>
      <c r="AB56" s="183"/>
      <c r="AC56" s="228"/>
      <c r="AD56" s="117"/>
      <c r="AE56" s="117"/>
      <c r="AF56" s="118"/>
      <c r="AG56" s="213" t="s">
        <v>110</v>
      </c>
      <c r="AH56" s="214"/>
      <c r="AJ56" s="231"/>
    </row>
    <row r="57" customFormat="false" ht="11.1" hidden="false" customHeight="true" outlineLevel="0" collapsed="false">
      <c r="A57" s="183"/>
      <c r="B57" s="183"/>
      <c r="C57" s="112"/>
      <c r="D57" s="183"/>
      <c r="E57" s="112"/>
      <c r="F57" s="183"/>
      <c r="G57" s="194"/>
      <c r="H57" s="158"/>
      <c r="I57" s="183"/>
      <c r="J57" s="183"/>
      <c r="K57" s="183"/>
      <c r="L57" s="183"/>
      <c r="M57" s="181"/>
      <c r="N57" s="181"/>
      <c r="O57" s="181"/>
      <c r="P57" s="115"/>
      <c r="Q57" s="115"/>
      <c r="R57" s="115"/>
      <c r="S57" s="183"/>
      <c r="T57" s="183"/>
      <c r="U57" s="0"/>
      <c r="V57" s="112"/>
      <c r="W57" s="112"/>
      <c r="Y57" s="112"/>
      <c r="Z57" s="183"/>
      <c r="AA57" s="183"/>
      <c r="AB57" s="183"/>
      <c r="AC57" s="115"/>
      <c r="AD57" s="116"/>
      <c r="AE57" s="117"/>
      <c r="AF57" s="118"/>
      <c r="AG57" s="213" t="s">
        <v>111</v>
      </c>
      <c r="AH57" s="214"/>
      <c r="AJ57" s="231"/>
    </row>
    <row r="58" customFormat="false" ht="11.1" hidden="false" customHeight="true" outlineLevel="0" collapsed="false">
      <c r="H58" s="419"/>
      <c r="P58" s="108"/>
      <c r="Q58" s="108"/>
      <c r="R58" s="108"/>
      <c r="S58" s="390"/>
      <c r="T58" s="104"/>
      <c r="U58" s="112"/>
      <c r="V58" s="112"/>
      <c r="W58" s="112"/>
      <c r="Y58" s="105"/>
      <c r="AA58" s="104"/>
      <c r="AB58" s="104"/>
      <c r="AC58" s="108"/>
      <c r="AD58" s="106"/>
      <c r="AE58" s="109"/>
      <c r="AF58" s="110"/>
      <c r="AG58" s="391" t="s">
        <v>117</v>
      </c>
      <c r="AJ58" s="231"/>
    </row>
    <row r="59" customFormat="false" ht="11.1" hidden="false" customHeight="true" outlineLevel="0" collapsed="false">
      <c r="H59" s="419"/>
      <c r="P59" s="107"/>
      <c r="T59" s="104"/>
      <c r="U59" s="105"/>
      <c r="W59" s="104"/>
      <c r="Y59" s="105"/>
      <c r="AA59" s="104"/>
      <c r="AB59" s="104"/>
      <c r="AC59" s="108"/>
      <c r="AD59" s="106"/>
      <c r="AE59" s="109"/>
      <c r="AF59" s="110"/>
      <c r="AI59" s="231"/>
    </row>
  </sheetData>
  <mergeCells count="2">
    <mergeCell ref="K2:W2"/>
    <mergeCell ref="M5:R5"/>
  </mergeCells>
  <printOptions headings="true" gridLines="true" gridLinesSet="true" horizontalCentered="true" verticalCentered="false"/>
  <pageMargins left="0" right="0" top="0" bottom="0" header="0.511811023622047" footer="0.511811023622047"/>
  <pageSetup paperSize="5"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212</TotalTime>
  <Application>LibreOffice/7.3.7.2$Linux_AARCH64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1997-11-03T15:03:40Z</dcterms:created>
  <dc:creator>JOHN PORTER</dc:creator>
  <dc:description/>
  <dc:language>en-US</dc:language>
  <cp:lastModifiedBy/>
  <cp:lastPrinted>2012-12-02T13:17:14Z</cp:lastPrinted>
  <dcterms:modified xsi:type="dcterms:W3CDTF">2025-11-28T03:05:48Z</dcterms:modified>
  <cp:revision>25</cp:revision>
  <dc:subject>MCPHEE IN/OUT FLOW</dc:subject>
  <dc:title>RIVER</dc:title>
</cp:coreProperties>
</file>

<file path=docProps/custom.xml><?xml version="1.0" encoding="utf-8"?>
<Properties xmlns="http://schemas.openxmlformats.org/officeDocument/2006/custom-properties" xmlns:vt="http://schemas.openxmlformats.org/officeDocument/2006/docPropsVTypes"/>
</file>