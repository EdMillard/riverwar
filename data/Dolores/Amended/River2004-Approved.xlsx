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APR!$A$1:$AK$57</definedName>
    <definedName function="false" hidden="false" localSheetId="9" name="_xlnm.Print_Area" vbProcedure="false">AUG!$A$1:$AK$59</definedName>
    <definedName function="false" hidden="false" localSheetId="1" name="_xlnm.Print_Area" vbProcedure="false">DEC!$A$1:$AK$54</definedName>
    <definedName function="false" hidden="false" localSheetId="3" name="_xlnm.Print_Area" vbProcedure="false">FEB!$A$1:$AK$55</definedName>
    <definedName function="false" hidden="false" localSheetId="2" name="_xlnm.Print_Area" vbProcedure="false">JAN!$A$1:$AK$57</definedName>
    <definedName function="false" hidden="false" localSheetId="8" name="_xlnm.Print_Area" vbProcedure="false">JUL!$A$1:$AK$57</definedName>
    <definedName function="false" hidden="false" localSheetId="7" name="_xlnm.Print_Area" vbProcedure="false">JUN!$A$1:$AK$57</definedName>
    <definedName function="false" hidden="false" localSheetId="4" name="_xlnm.Print_Area" vbProcedure="false">MAR!$A$1:$AK$57</definedName>
    <definedName function="false" hidden="false" localSheetId="6" name="_xlnm.Print_Area" vbProcedure="false">MAY!$A$1:$AK$57</definedName>
    <definedName function="false" hidden="false" localSheetId="0" name="_xlnm.Print_Area" vbProcedure="false">NOV!$A$1:$AK$56</definedName>
    <definedName function="false" hidden="false" localSheetId="11" name="_xlnm.Print_Area" vbProcedure="false">OCT!$A$1:$AK$59</definedName>
    <definedName function="false" hidden="false" localSheetId="10" name="_xlnm.Print_Area" vbProcedure="false">SEP!$A$1:$AK$58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5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Gage is froze.</t>
        </r>
      </text>
    </comment>
    <comment ref="M19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On 2/5/04 Scott with Div of water resources measured the flow and found that the low winter flows were recording 2.48 cfs high, so I started substracting 2.48+/- 5% off the old reading on 11/8/03.</t>
        </r>
      </text>
    </comment>
    <comment ref="O17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This water that is going to the Utes is leftover MVIC Stock water that would have wasted over the wasteway otherwise. Will not be charged against the Utes.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4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thawed by gage.
</t>
        </r>
      </text>
    </comment>
    <comment ref="AH40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U-lateral,East &amp; West laterals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I12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Added the 3400 af for the totten exchange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V32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Added 12.6 cfs due to MH2O Using more water than orinigally  noted on sheet for first 21 days of May.</t>
        </r>
      </text>
    </comment>
    <comment ref="V33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ADDED 54 CFS DUE TO CITY OF CORTEZ USING MORE WATER THAN FIRST USED IN CHART</t>
        </r>
      </text>
    </comment>
  </commentList>
</comments>
</file>

<file path=xl/sharedStrings.xml><?xml version="1.0" encoding="utf-8"?>
<sst xmlns="http://schemas.openxmlformats.org/spreadsheetml/2006/main" count="1185" uniqueCount="117">
  <si>
    <t xml:space="preserve">MCPHEE  RESERVOIR  INFLOW/OUTFLOW  TABULATION</t>
  </si>
  <si>
    <t xml:space="preserve">AF/cfs  CONVERT FACTOR</t>
  </si>
  <si>
    <t xml:space="preserve">           NOVEMBER  "2003"</t>
  </si>
  <si>
    <t xml:space="preserve">RESERVOIR</t>
  </si>
  <si>
    <t xml:space="preserve">INFLOW/OUTFLOW (CFS)</t>
  </si>
  <si>
    <t xml:space="preserve">WEATHER</t>
  </si>
  <si>
    <t xml:space="preserve">ADJUSTMENTS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</si>
  <si>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</si>
  <si>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</si>
  <si>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</si>
  <si>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</si>
  <si>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</si>
  <si>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</si>
  <si>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</si>
  <si>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</si>
  <si>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</si>
  <si>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</si>
  <si>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</si>
  <si>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</si>
  <si>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</si>
  <si>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</si>
  <si>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</si>
  <si>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</si>
  <si>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FISH</t>
  </si>
  <si>
    <t xml:space="preserve">RAIN</t>
  </si>
  <si>
    <t xml:space="preserve">MAX</t>
  </si>
  <si>
    <t xml:space="preserve">MIN</t>
  </si>
  <si>
    <t xml:space="preserve">NAR.</t>
  </si>
  <si>
    <t xml:space="preserve">U/S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</si>
  <si>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</si>
  <si>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</si>
  <si>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</si>
  <si>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</si>
  <si>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</si>
  <si>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</si>
  <si>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</si>
  <si>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</si>
  <si>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</si>
  <si>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</si>
  <si>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</si>
  <si>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</si>
  <si>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MWC</t>
  </si>
  <si>
    <t xml:space="preserve">CTZ</t>
  </si>
  <si>
    <t xml:space="preserve">CTZ &amp;</t>
  </si>
  <si>
    <t xml:space="preserve">PINE</t>
  </si>
  <si>
    <t xml:space="preserve">LAT</t>
  </si>
  <si>
    <t xml:space="preserve">CALL + </t>
  </si>
  <si>
    <t xml:space="preserve">PROJ </t>
  </si>
  <si>
    <t xml:space="preserve">CANAL</t>
  </si>
  <si>
    <t xml:space="preserve">MCP</t>
  </si>
  <si>
    <t xml:space="preserve">LEFT</t>
  </si>
  <si>
    <t xml:space="preserve">OTF</t>
  </si>
  <si>
    <t xml:space="preserve">TMP</t>
  </si>
  <si>
    <t xml:space="preserve">CALL</t>
  </si>
  <si>
    <t xml:space="preserve">STOCK</t>
  </si>
  <si>
    <t xml:space="preserve">STORED</t>
  </si>
  <si>
    <t xml:space="preserve">USERS</t>
  </si>
  <si>
    <t xml:space="preserve">AC FT</t>
  </si>
  <si>
    <t xml:space="preserve">LAND</t>
  </si>
  <si>
    <t xml:space="preserve">F&amp;R</t>
  </si>
  <si>
    <t xml:space="preserve">TO EX</t>
  </si>
  <si>
    <t xml:space="preserve">AC.FT.</t>
  </si>
  <si>
    <t xml:space="preserve">Apr-Jun</t>
  </si>
  <si>
    <t xml:space="preserve">EVAP </t>
  </si>
  <si>
    <t xml:space="preserve">EXCH</t>
  </si>
  <si>
    <t xml:space="preserve">PROJ</t>
  </si>
  <si>
    <t xml:space="preserve">AC.FT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</si>
  <si>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</si>
  <si>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</si>
  <si>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</si>
  <si>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</si>
  <si>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</si>
  <si>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</si>
  <si>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</si>
  <si>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</si>
  <si>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</si>
  <si>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</si>
  <si>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</si>
  <si>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"2003"</t>
  </si>
  <si>
    <t xml:space="preserve">NAR</t>
  </si>
  <si>
    <t xml:space="preserve">MVI </t>
  </si>
  <si>
    <t xml:space="preserve">DEC</t>
  </si>
  <si>
    <t xml:space="preserve">UTE </t>
  </si>
  <si>
    <t xml:space="preserve">CALL +</t>
  </si>
  <si>
    <t xml:space="preserve">EVAP</t>
  </si>
  <si>
    <t xml:space="preserve"> </t>
  </si>
  <si>
    <t xml:space="preserve">JANUARY  "2004"</t>
  </si>
  <si>
    <t xml:space="preserve">JAN</t>
  </si>
  <si>
    <t xml:space="preserve">AVE</t>
  </si>
  <si>
    <t xml:space="preserve">FEBRUARY  "2004"</t>
  </si>
  <si>
    <t xml:space="preserve">FEB</t>
  </si>
  <si>
    <t xml:space="preserve">MARCH  "2004"</t>
  </si>
  <si>
    <t xml:space="preserve">MAR</t>
  </si>
  <si>
    <t xml:space="preserve">CTX &amp;</t>
  </si>
  <si>
    <t xml:space="preserve">MCPHEE  RESERVOIR  INFLOW/OUTFLOW TABULATION</t>
  </si>
  <si>
    <t xml:space="preserve">                               APRIL  "2004"</t>
  </si>
  <si>
    <t xml:space="preserve">APR</t>
  </si>
  <si>
    <t xml:space="preserve">Apr - Jun</t>
  </si>
  <si>
    <t xml:space="preserve">AVG</t>
  </si>
  <si>
    <t xml:space="preserve">MAY  "2004"</t>
  </si>
  <si>
    <t xml:space="preserve">FISH </t>
  </si>
  <si>
    <t xml:space="preserve">MAY</t>
  </si>
  <si>
    <t xml:space="preserve">JUNE  "2004"</t>
  </si>
  <si>
    <t xml:space="preserve">JUN</t>
  </si>
  <si>
    <t xml:space="preserve">JULY  "2004"</t>
  </si>
  <si>
    <t xml:space="preserve">JUL</t>
  </si>
  <si>
    <t xml:space="preserve">AUGUST  "2004"</t>
  </si>
  <si>
    <t xml:space="preserve">AUG</t>
  </si>
  <si>
    <t xml:space="preserve">Utes left</t>
  </si>
  <si>
    <t xml:space="preserve">SEPTEMBER  "2004"</t>
  </si>
  <si>
    <t xml:space="preserve">"SEP"</t>
  </si>
  <si>
    <t xml:space="preserve">c</t>
  </si>
  <si>
    <t xml:space="preserve">OCTOBER  "2004"</t>
  </si>
  <si>
    <t xml:space="preserve">OCT</t>
  </si>
  <si>
    <t xml:space="preserve">WETLAND LEFT</t>
  </si>
  <si>
    <t xml:space="preserve">UTE F&amp;R LEFT **</t>
  </si>
  <si>
    <t xml:space="preserve">** AT RESERVOIR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</si>
</sst>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0.00"/>
    <numFmt numFmtId="170" formatCode="#,##0.0"/>
    <numFmt numFmtId="171" formatCode="##0.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0_);\(0\)"/>
    <numFmt numFmtId="179" formatCode="[$-409]mmm\-yy"/>
    <numFmt numFmtId="180" formatCode="General"/>
    <numFmt numFmtId="181" formatCode="#,##0.0000"/>
    <numFmt numFmtId="182" formatCode="0.00_);[RED]\(0.00\)"/>
    <numFmt numFmtId="183" formatCode="0_);[RED]\(0\)"/>
  </numFmts>
  <fonts count="23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2"/>
    </font>
    <font>
      <sz val="8"/>
      <name val="Arial Narrow"/>
      <family val="2"/>
    </font>
    <font>
      <b val="true"/>
      <sz val="8"/>
      <name val="Arial Narrow"/>
      <family val="2"/>
    </font>
    <font>
      <sz val="6"/>
      <name val="Arial Narrow"/>
      <family val="0"/>
    </font>
    <font>
      <b val="true"/>
      <sz val="6"/>
      <name val="Arial Narrow"/>
      <family val="2"/>
    </font>
    <font>
      <b val="true"/>
      <sz val="6"/>
      <name val="Arial Narrow"/>
      <family val="0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LinePrinter"/>
      <family val="3"/>
    </font>
    <font>
      <sz val="6"/>
      <name val="Arial"/>
      <family val="0"/>
    </font>
    <font>
      <sz val="6"/>
      <name val="Arial"/>
      <family val="2"/>
    </font>
    <font>
      <sz val="8"/>
      <name val="Arial"/>
      <family val="0"/>
    </font>
    <font>
      <sz val="6"/>
      <name val="LinePrinter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7" fillId="2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7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30</xdr:row>
      <xdr:rowOff>0</xdr:rowOff>
    </xdr:from>
    <xdr:to>
      <xdr:col>7</xdr:col>
      <xdr:colOff>21600</xdr:colOff>
      <xdr:row>31</xdr:row>
      <xdr:rowOff>28440</xdr:rowOff>
    </xdr:to>
    <xdr:sp>
      <xdr:nvSpPr>
        <xdr:cNvPr id="0" name="Text 1"/>
        <xdr:cNvSpPr/>
      </xdr:nvSpPr>
      <xdr:spPr>
        <a:xfrm>
          <a:off x="2543760" y="4278600"/>
          <a:ext cx="4636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129240</xdr:colOff>
      <xdr:row>11</xdr:row>
      <xdr:rowOff>57240</xdr:rowOff>
    </xdr:from>
    <xdr:to>
      <xdr:col>26</xdr:col>
      <xdr:colOff>215640</xdr:colOff>
      <xdr:row>13</xdr:row>
      <xdr:rowOff>19440</xdr:rowOff>
    </xdr:to>
    <xdr:sp>
      <xdr:nvSpPr>
        <xdr:cNvPr id="1" name="Text 2"/>
        <xdr:cNvSpPr/>
      </xdr:nvSpPr>
      <xdr:spPr>
        <a:xfrm>
          <a:off x="9559080" y="1657440"/>
          <a:ext cx="44208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2" name="Rectangle 1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3" name="Rectangle 3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4" name="Rectangle 4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5" name="Rectangle 6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6" name="Rectangle 8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124200</xdr:rowOff>
    </xdr:from>
    <xdr:to>
      <xdr:col>14</xdr:col>
      <xdr:colOff>11160</xdr:colOff>
      <xdr:row>36</xdr:row>
      <xdr:rowOff>140760</xdr:rowOff>
    </xdr:to>
    <xdr:sp>
      <xdr:nvSpPr>
        <xdr:cNvPr id="7" name="Rectangle 10"/>
        <xdr:cNvSpPr/>
      </xdr:nvSpPr>
      <xdr:spPr>
        <a:xfrm>
          <a:off x="5690880" y="52488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36</xdr:row>
      <xdr:rowOff>0</xdr:rowOff>
    </xdr:from>
    <xdr:to>
      <xdr:col>15</xdr:col>
      <xdr:colOff>360</xdr:colOff>
      <xdr:row>36</xdr:row>
      <xdr:rowOff>140760</xdr:rowOff>
    </xdr:to>
    <xdr:sp>
      <xdr:nvSpPr>
        <xdr:cNvPr id="8" name="Rectangle 11"/>
        <xdr:cNvSpPr/>
      </xdr:nvSpPr>
      <xdr:spPr>
        <a:xfrm>
          <a:off x="5690880" y="5124600"/>
          <a:ext cx="3560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141120</xdr:rowOff>
    </xdr:to>
    <xdr:sp>
      <xdr:nvSpPr>
        <xdr:cNvPr id="9" name="Rectangle 12"/>
        <xdr:cNvSpPr/>
      </xdr:nvSpPr>
      <xdr:spPr>
        <a:xfrm>
          <a:off x="5690880" y="4278600"/>
          <a:ext cx="3560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30</xdr:row>
      <xdr:rowOff>0</xdr:rowOff>
    </xdr:from>
    <xdr:to>
      <xdr:col>15</xdr:col>
      <xdr:colOff>360</xdr:colOff>
      <xdr:row>30</xdr:row>
      <xdr:rowOff>141120</xdr:rowOff>
    </xdr:to>
    <xdr:sp>
      <xdr:nvSpPr>
        <xdr:cNvPr id="10" name="Rectangle 13"/>
        <xdr:cNvSpPr/>
      </xdr:nvSpPr>
      <xdr:spPr>
        <a:xfrm>
          <a:off x="5690880" y="4278600"/>
          <a:ext cx="3560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33" activePane="bottomRight" state="frozen"/>
      <selection pane="topLeft" activeCell="A1" activeCellId="0" sqref="A1"/>
      <selection pane="topRight" activeCell="K1" activeCellId="0" sqref="K1"/>
      <selection pane="bottomLeft" activeCell="A33" activeCellId="0" sqref="A33"/>
      <selection pane="bottomRight" activeCell="X13" activeCellId="0" sqref="X13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2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4" min="22" style="0" width="5.49"/>
    <col collapsed="false" customWidth="true" hidden="false" outlineLevel="0" max="25" min="25" style="1" width="5.49"/>
    <col collapsed="false" customWidth="true" hidden="false" outlineLevel="0" max="26" min="26" style="0" width="5.49"/>
    <col collapsed="false" customWidth="true" hidden="false" outlineLevel="0" max="27" min="27" style="0" width="6.32"/>
    <col collapsed="false" customWidth="true" hidden="false" outlineLevel="0" max="28" min="28" style="0" width="6.99"/>
    <col collapsed="false" customWidth="true" hidden="false" outlineLevel="0" max="29" min="29" style="2" width="6.99"/>
    <col collapsed="false" customWidth="true" hidden="false" outlineLevel="0" max="30" min="30" style="2" width="5.32"/>
    <col collapsed="false" customWidth="true" hidden="false" outlineLevel="0" max="31" min="31" style="4" width="3.82"/>
    <col collapsed="false" customWidth="true" hidden="false" outlineLevel="0" max="32" min="32" style="5" width="3.82"/>
    <col collapsed="false" customWidth="true" hidden="false" outlineLevel="0" max="33" min="33" style="0" width="5.49"/>
    <col collapsed="false" customWidth="true" hidden="false" outlineLevel="0" max="34" min="34" style="6" width="5.49"/>
    <col collapsed="false" customWidth="true" hidden="false" outlineLevel="0" max="35" min="35" style="0" width="6.32"/>
    <col collapsed="false" customWidth="true" hidden="false" outlineLevel="0" max="36" min="36" style="7" width="6.32"/>
    <col collapsed="false" customWidth="true" hidden="false" outlineLevel="0" max="37" min="37" style="0" width="6.32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8"/>
      <c r="G1" s="8"/>
      <c r="H1" s="10"/>
      <c r="I1" s="8"/>
      <c r="J1" s="8"/>
      <c r="K1" s="11" t="s">
        <v>0</v>
      </c>
      <c r="L1" s="8"/>
      <c r="M1" s="8"/>
      <c r="N1" s="8"/>
      <c r="O1" s="8"/>
      <c r="P1" s="8"/>
      <c r="Q1" s="8"/>
      <c r="R1" s="8"/>
      <c r="S1" s="8"/>
      <c r="T1" s="8"/>
      <c r="U1" s="9"/>
      <c r="V1" s="8"/>
      <c r="W1" s="8"/>
      <c r="X1" s="8"/>
      <c r="Y1" s="9"/>
      <c r="Z1" s="8"/>
      <c r="AA1" s="8"/>
      <c r="AB1" s="8"/>
      <c r="AC1" s="12"/>
      <c r="AD1" s="13"/>
      <c r="AE1" s="14"/>
      <c r="AF1" s="15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0"/>
      <c r="I2" s="8"/>
      <c r="J2" s="8"/>
      <c r="K2" s="8"/>
      <c r="L2" s="11" t="s">
        <v>2</v>
      </c>
      <c r="M2" s="8"/>
      <c r="N2" s="8"/>
      <c r="O2" s="8"/>
      <c r="P2" s="8"/>
      <c r="Q2" s="8"/>
      <c r="R2" s="8"/>
      <c r="S2" s="8"/>
      <c r="T2" s="8"/>
      <c r="U2" s="9"/>
      <c r="V2" s="8"/>
      <c r="W2" s="8"/>
      <c r="X2" s="8"/>
      <c r="Y2" s="9"/>
      <c r="Z2" s="8"/>
      <c r="AA2" s="8"/>
      <c r="AB2" s="8"/>
      <c r="AC2" s="12"/>
      <c r="AD2" s="13"/>
      <c r="AE2" s="14"/>
      <c r="AF2" s="15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21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18"/>
      <c r="W3" s="18"/>
      <c r="X3" s="18"/>
      <c r="Y3" s="19"/>
      <c r="Z3" s="18"/>
      <c r="AA3" s="18"/>
      <c r="AB3" s="18"/>
      <c r="AC3" s="22"/>
      <c r="AD3" s="23"/>
      <c r="AE3" s="24"/>
      <c r="AF3" s="25"/>
      <c r="AG3" s="26"/>
      <c r="AH3" s="27"/>
      <c r="AI3" s="26"/>
      <c r="AJ3" s="28"/>
      <c r="AK3" s="26"/>
    </row>
    <row r="4" s="41" customFormat="true" ht="14.1" hidden="false" customHeight="true" outlineLevel="0" collapsed="false">
      <c r="A4" s="29"/>
      <c r="B4" s="30"/>
      <c r="C4" s="31"/>
      <c r="D4" s="32" t="s">
        <v>3</v>
      </c>
      <c r="E4" s="31"/>
      <c r="F4" s="33"/>
      <c r="G4" s="29"/>
      <c r="H4" s="34"/>
      <c r="I4" s="29"/>
      <c r="J4" s="29"/>
      <c r="K4" s="29"/>
      <c r="L4" s="29"/>
      <c r="M4" s="29"/>
      <c r="N4" s="29"/>
      <c r="O4" s="29"/>
      <c r="P4" s="29"/>
      <c r="Q4" s="29"/>
      <c r="R4" s="29"/>
      <c r="S4" s="35" t="s">
        <v>4</v>
      </c>
      <c r="T4" s="29"/>
      <c r="U4" s="36"/>
      <c r="V4" s="29"/>
      <c r="W4" s="29"/>
      <c r="X4" s="29"/>
      <c r="Y4" s="36"/>
      <c r="Z4" s="29"/>
      <c r="AA4" s="29"/>
      <c r="AB4" s="29"/>
      <c r="AC4" s="37"/>
      <c r="AD4" s="38"/>
      <c r="AE4" s="39" t="s">
        <v>5</v>
      </c>
      <c r="AF4" s="40"/>
      <c r="AH4" s="37"/>
      <c r="AI4" s="42" t="s">
        <v>6</v>
      </c>
      <c r="AJ4" s="42"/>
    </row>
    <row r="5" customFormat="false" ht="11.1" hidden="false" customHeight="true" outlineLevel="0" collapsed="false">
      <c r="A5" s="43" t="s">
        <v>7</v>
      </c>
      <c r="B5" s="44" t="s">
        <v>8</v>
      </c>
      <c r="C5" s="45" t="s">
        <v>8</v>
      </c>
      <c r="D5" s="46" t="s">
        <v>9</v>
      </c>
      <c r="E5" s="45" t="s">
        <v>10</v>
      </c>
      <c r="F5" s="47" t="s">
        <v>11</v>
      </c>
      <c r="G5" s="43" t="s">
        <v>12</v>
      </c>
      <c r="H5" s="48" t="s">
        <v>13</v>
      </c>
      <c r="I5" s="43" t="s">
        <v>14</v>
      </c>
      <c r="J5" s="43" t="s">
        <v>15</v>
      </c>
      <c r="K5" s="43" t="s">
        <v>16</v>
      </c>
      <c r="L5" s="43" t="s">
        <v>15</v>
      </c>
      <c r="M5" s="49" t="s">
        <v>17</v>
      </c>
      <c r="N5" s="49"/>
      <c r="O5" s="49"/>
      <c r="P5" s="49"/>
      <c r="Q5" s="49"/>
      <c r="R5" s="49"/>
      <c r="S5" s="43" t="s">
        <v>18</v>
      </c>
      <c r="T5" s="43" t="s">
        <v>19</v>
      </c>
      <c r="U5" s="43" t="s">
        <v>16</v>
      </c>
      <c r="V5" s="50" t="s">
        <v>20</v>
      </c>
      <c r="W5" s="50" t="s">
        <v>20</v>
      </c>
      <c r="X5" s="43" t="s">
        <v>21</v>
      </c>
      <c r="Y5" s="43" t="s">
        <v>22</v>
      </c>
      <c r="Z5" s="50" t="s">
        <v>23</v>
      </c>
      <c r="AA5" s="43" t="s">
        <v>14</v>
      </c>
      <c r="AB5" s="43" t="s">
        <v>15</v>
      </c>
      <c r="AC5" s="43" t="s">
        <v>16</v>
      </c>
      <c r="AD5" s="51" t="s">
        <v>24</v>
      </c>
      <c r="AE5" s="52" t="s">
        <v>25</v>
      </c>
      <c r="AF5" s="53" t="s">
        <v>26</v>
      </c>
      <c r="AG5" s="54" t="s">
        <v>27</v>
      </c>
      <c r="AH5" s="55" t="s">
        <v>20</v>
      </c>
      <c r="AI5" s="54" t="s">
        <v>20</v>
      </c>
      <c r="AJ5" s="56" t="s">
        <v>20</v>
      </c>
      <c r="AK5" s="56" t="s">
        <v>28</v>
      </c>
    </row>
    <row r="6" customFormat="false" ht="11.1" hidden="false" customHeight="true" outlineLevel="0" collapsed="false">
      <c r="A6" s="57" t="s">
        <v>29</v>
      </c>
      <c r="B6" s="44" t="s">
        <v>30</v>
      </c>
      <c r="C6" s="45" t="s">
        <v>9</v>
      </c>
      <c r="D6" s="46" t="s">
        <v>31</v>
      </c>
      <c r="E6" s="45" t="s">
        <v>32</v>
      </c>
      <c r="F6" s="47" t="s">
        <v>33</v>
      </c>
      <c r="G6" s="43" t="s">
        <v>34</v>
      </c>
      <c r="H6" s="48" t="s">
        <v>35</v>
      </c>
      <c r="I6" s="43" t="s">
        <v>36</v>
      </c>
      <c r="J6" s="43" t="s">
        <v>36</v>
      </c>
      <c r="K6" s="43" t="s">
        <v>36</v>
      </c>
      <c r="L6" s="43" t="s">
        <v>37</v>
      </c>
      <c r="M6" s="58" t="s">
        <v>38</v>
      </c>
      <c r="N6" s="46" t="s">
        <v>39</v>
      </c>
      <c r="O6" s="46" t="s">
        <v>40</v>
      </c>
      <c r="P6" s="46" t="s">
        <v>41</v>
      </c>
      <c r="Q6" s="46" t="s">
        <v>42</v>
      </c>
      <c r="R6" s="59" t="s">
        <v>43</v>
      </c>
      <c r="S6" s="43" t="s">
        <v>44</v>
      </c>
      <c r="T6" s="43" t="s">
        <v>45</v>
      </c>
      <c r="U6" s="43" t="s">
        <v>20</v>
      </c>
      <c r="V6" s="50" t="s">
        <v>46</v>
      </c>
      <c r="W6" s="50" t="s">
        <v>47</v>
      </c>
      <c r="X6" s="43" t="s">
        <v>48</v>
      </c>
      <c r="Y6" s="43" t="s">
        <v>49</v>
      </c>
      <c r="Z6" s="50" t="s">
        <v>50</v>
      </c>
      <c r="AA6" s="43" t="s">
        <v>51</v>
      </c>
      <c r="AB6" s="43" t="s">
        <v>51</v>
      </c>
      <c r="AC6" s="43" t="s">
        <v>51</v>
      </c>
      <c r="AD6" s="60"/>
      <c r="AE6" s="52" t="s">
        <v>52</v>
      </c>
      <c r="AF6" s="53" t="s">
        <v>52</v>
      </c>
      <c r="AG6" s="61" t="s">
        <v>53</v>
      </c>
      <c r="AH6" s="62" t="s">
        <v>54</v>
      </c>
      <c r="AI6" s="61" t="s">
        <v>55</v>
      </c>
      <c r="AJ6" s="63" t="s">
        <v>55</v>
      </c>
      <c r="AK6" s="63" t="s">
        <v>56</v>
      </c>
    </row>
    <row r="7" customFormat="false" ht="11.1" hidden="false" customHeight="true" outlineLevel="0" collapsed="false">
      <c r="A7" s="64"/>
      <c r="B7" s="65"/>
      <c r="C7" s="66"/>
      <c r="D7" s="67"/>
      <c r="E7" s="68" t="s">
        <v>57</v>
      </c>
      <c r="F7" s="69"/>
      <c r="G7" s="64"/>
      <c r="H7" s="70"/>
      <c r="I7" s="64"/>
      <c r="J7" s="64"/>
      <c r="K7" s="64"/>
      <c r="L7" s="64"/>
      <c r="M7" s="71"/>
      <c r="N7" s="72" t="s">
        <v>58</v>
      </c>
      <c r="O7" s="72" t="s">
        <v>59</v>
      </c>
      <c r="P7" s="67"/>
      <c r="Q7" s="67"/>
      <c r="R7" s="59" t="s">
        <v>40</v>
      </c>
      <c r="S7" s="64"/>
      <c r="T7" s="64"/>
      <c r="U7" s="64"/>
      <c r="V7" s="73" t="s">
        <v>60</v>
      </c>
      <c r="W7" s="73"/>
      <c r="X7" s="64"/>
      <c r="Y7" s="64"/>
      <c r="Z7" s="74"/>
      <c r="AA7" s="64"/>
      <c r="AB7" s="64"/>
      <c r="AC7" s="64"/>
      <c r="AD7" s="75"/>
      <c r="AE7" s="76"/>
      <c r="AF7" s="77"/>
      <c r="AG7" s="61" t="s">
        <v>61</v>
      </c>
      <c r="AH7" s="62" t="s">
        <v>33</v>
      </c>
      <c r="AI7" s="78" t="s">
        <v>62</v>
      </c>
      <c r="AJ7" s="78" t="s">
        <v>63</v>
      </c>
      <c r="AK7" s="78" t="s">
        <v>64</v>
      </c>
    </row>
    <row r="8" customFormat="false" ht="11.1" hidden="false" customHeight="true" outlineLevel="0" collapsed="false">
      <c r="A8" s="64"/>
      <c r="B8" s="65"/>
      <c r="C8" s="66"/>
      <c r="D8" s="67"/>
      <c r="E8" s="66"/>
      <c r="F8" s="69"/>
      <c r="G8" s="64"/>
      <c r="H8" s="70"/>
      <c r="I8" s="64"/>
      <c r="J8" s="64"/>
      <c r="K8" s="64"/>
      <c r="L8" s="64"/>
      <c r="M8" s="71"/>
      <c r="N8" s="67"/>
      <c r="O8" s="67"/>
      <c r="P8" s="67"/>
      <c r="Q8" s="67"/>
      <c r="R8" s="59" t="s">
        <v>65</v>
      </c>
      <c r="S8" s="64"/>
      <c r="T8" s="64"/>
      <c r="U8" s="64"/>
      <c r="V8" s="79"/>
      <c r="W8" s="79"/>
      <c r="X8" s="64"/>
      <c r="Y8" s="64"/>
      <c r="Z8" s="74"/>
      <c r="AA8" s="64"/>
      <c r="AB8" s="64"/>
      <c r="AC8" s="64"/>
      <c r="AD8" s="75"/>
      <c r="AE8" s="80"/>
      <c r="AF8" s="77"/>
      <c r="AG8" s="15"/>
      <c r="AH8" s="81"/>
      <c r="AJ8" s="78" t="s">
        <v>66</v>
      </c>
    </row>
    <row r="9" customFormat="false" ht="11.1" hidden="false" customHeight="true" outlineLevel="0" collapsed="false">
      <c r="A9" s="16" t="s">
        <v>67</v>
      </c>
      <c r="B9" s="82"/>
      <c r="C9" s="83"/>
      <c r="D9" s="83"/>
      <c r="E9" s="83"/>
      <c r="F9" s="84"/>
      <c r="G9" s="9"/>
      <c r="H9" s="14"/>
      <c r="I9" s="9"/>
      <c r="J9" s="9"/>
      <c r="K9" s="9"/>
      <c r="L9" s="9"/>
      <c r="M9" s="85"/>
      <c r="N9" s="83"/>
      <c r="O9" s="83"/>
      <c r="P9" s="86"/>
      <c r="Q9" s="86"/>
      <c r="R9" s="87"/>
      <c r="S9" s="88"/>
      <c r="T9" s="88"/>
      <c r="U9" s="88"/>
      <c r="V9" s="88"/>
      <c r="W9" s="88"/>
      <c r="X9" s="88"/>
      <c r="Y9" s="88"/>
      <c r="Z9" s="74"/>
      <c r="AA9" s="88"/>
      <c r="AB9" s="88"/>
      <c r="AC9" s="88"/>
      <c r="AD9" s="89"/>
      <c r="AE9" s="90"/>
      <c r="AF9" s="91"/>
      <c r="AG9" s="92"/>
      <c r="AH9" s="93"/>
      <c r="AI9" s="94"/>
      <c r="AJ9" s="94"/>
      <c r="AK9" s="94"/>
    </row>
    <row r="10" s="1" customFormat="true" ht="11.1" hidden="false" customHeight="true" outlineLevel="0" collapsed="false">
      <c r="A10" s="95" t="s">
        <v>68</v>
      </c>
      <c r="B10" s="96" t="n">
        <v>6864.59</v>
      </c>
      <c r="C10" s="83" t="n">
        <v>173943</v>
      </c>
      <c r="D10" s="83"/>
      <c r="E10" s="83"/>
      <c r="F10" s="84"/>
      <c r="G10" s="9"/>
      <c r="H10" s="14"/>
      <c r="I10" s="9"/>
      <c r="J10" s="9"/>
      <c r="K10" s="9"/>
      <c r="L10" s="9"/>
      <c r="M10" s="85"/>
      <c r="N10" s="83"/>
      <c r="O10" s="83"/>
      <c r="P10" s="86"/>
      <c r="Q10" s="86"/>
      <c r="R10" s="87"/>
      <c r="S10" s="88"/>
      <c r="T10" s="88"/>
      <c r="U10" s="88"/>
      <c r="V10" s="88"/>
      <c r="W10" s="88"/>
      <c r="X10" s="88"/>
      <c r="Y10" s="88"/>
      <c r="Z10" s="88" t="n">
        <v>3219</v>
      </c>
      <c r="AA10" s="88"/>
      <c r="AB10" s="88"/>
      <c r="AC10" s="88"/>
      <c r="AD10" s="89"/>
      <c r="AE10" s="90"/>
      <c r="AF10" s="91"/>
      <c r="AG10" s="92"/>
      <c r="AH10" s="93"/>
      <c r="AI10" s="88"/>
      <c r="AJ10" s="88"/>
      <c r="AK10" s="88"/>
    </row>
    <row r="11" customFormat="false" ht="3" hidden="false" customHeight="true" outlineLevel="0" collapsed="false">
      <c r="A11" s="97"/>
      <c r="B11" s="98"/>
      <c r="C11" s="99"/>
      <c r="D11" s="97"/>
      <c r="E11" s="99"/>
      <c r="F11" s="100"/>
      <c r="G11" s="97"/>
      <c r="H11" s="101"/>
      <c r="I11" s="97"/>
      <c r="J11" s="97"/>
      <c r="K11" s="97"/>
      <c r="L11" s="97"/>
      <c r="M11" s="102"/>
      <c r="N11" s="97"/>
      <c r="O11" s="97"/>
      <c r="P11" s="103"/>
      <c r="Q11" s="103"/>
      <c r="R11" s="104"/>
      <c r="S11" s="103"/>
      <c r="T11" s="103"/>
      <c r="U11" s="103"/>
      <c r="V11" s="105"/>
      <c r="W11" s="105"/>
      <c r="X11" s="103"/>
      <c r="Y11" s="103"/>
      <c r="Z11" s="105"/>
      <c r="AA11" s="103"/>
      <c r="AB11" s="103"/>
      <c r="AC11" s="103"/>
      <c r="AD11" s="106"/>
      <c r="AE11" s="107"/>
      <c r="AF11" s="108"/>
      <c r="AG11" s="107"/>
      <c r="AH11" s="109"/>
      <c r="AI11" s="107"/>
      <c r="AJ11" s="107"/>
      <c r="AK11" s="107"/>
    </row>
    <row r="12" customFormat="false" ht="11.1" hidden="false" customHeight="true" outlineLevel="0" collapsed="false">
      <c r="A12" s="15" t="n">
        <v>1</v>
      </c>
      <c r="B12" s="96" t="n">
        <v>6864.59</v>
      </c>
      <c r="C12" s="83" t="n">
        <v>173943</v>
      </c>
      <c r="D12" s="110" t="n">
        <f aca="false">C12-C10</f>
        <v>0</v>
      </c>
      <c r="E12" s="83" t="n">
        <f aca="false">C12-152000</f>
        <v>21943</v>
      </c>
      <c r="F12" s="111" t="n">
        <f aca="false">D12/$D$2</f>
        <v>0</v>
      </c>
      <c r="G12" s="8" t="n">
        <v>56</v>
      </c>
      <c r="H12" s="10" t="n">
        <v>0</v>
      </c>
      <c r="I12" s="8" t="n">
        <f aca="false">G12+H12</f>
        <v>56</v>
      </c>
      <c r="J12" s="112" t="n">
        <f aca="false">IF(L12&gt;0,L12,0)</f>
        <v>0</v>
      </c>
      <c r="K12" s="8" t="n">
        <f aca="false">I12+J12</f>
        <v>56</v>
      </c>
      <c r="L12" s="8" t="n">
        <f aca="false">F12-(I12-AA12)</f>
        <v>-28.1</v>
      </c>
      <c r="M12" s="113" t="n">
        <v>5.9</v>
      </c>
      <c r="N12" s="114" t="n">
        <v>0</v>
      </c>
      <c r="O12" s="114" t="n">
        <v>0</v>
      </c>
      <c r="P12" s="115" t="n">
        <v>1.38</v>
      </c>
      <c r="Q12" s="115" t="n">
        <v>2.4</v>
      </c>
      <c r="R12" s="116" t="n">
        <v>0</v>
      </c>
      <c r="S12" s="117" t="n">
        <v>0</v>
      </c>
      <c r="T12" s="117" t="n">
        <v>0</v>
      </c>
      <c r="U12" s="117" t="n">
        <f aca="false">M12-N12-O12-P12-Q12-R12+S12+T12</f>
        <v>2.12</v>
      </c>
      <c r="V12" s="88"/>
      <c r="W12" s="88"/>
      <c r="X12" s="117" t="n">
        <v>0</v>
      </c>
      <c r="Y12" s="117" t="n">
        <v>22</v>
      </c>
      <c r="Z12" s="88" t="n">
        <f aca="false">Z10-Y12</f>
        <v>3197</v>
      </c>
      <c r="AA12" s="117" t="n">
        <f aca="false">N12+O12+P12+Q12+R12+U12+X12+Y12</f>
        <v>27.9</v>
      </c>
      <c r="AB12" s="117" t="n">
        <f aca="false">IF(L12&lt;0,L12*-1,0)</f>
        <v>28.1</v>
      </c>
      <c r="AC12" s="117" t="n">
        <f aca="false">AA12+AB12</f>
        <v>56</v>
      </c>
      <c r="AD12" s="89" t="n">
        <v>0</v>
      </c>
      <c r="AE12" s="90" t="n">
        <v>54</v>
      </c>
      <c r="AF12" s="91" t="n">
        <v>43</v>
      </c>
      <c r="AG12" s="92" t="n">
        <v>0</v>
      </c>
      <c r="AH12" s="92" t="n">
        <f aca="false">M12-P12-Q12+S12+T12</f>
        <v>2.12</v>
      </c>
      <c r="AI12" s="94"/>
      <c r="AJ12" s="94"/>
      <c r="AK12" s="94"/>
    </row>
    <row r="13" customFormat="false" ht="11.1" hidden="false" customHeight="true" outlineLevel="0" collapsed="false">
      <c r="A13" s="15" t="n">
        <f aca="false">A12+1</f>
        <v>2</v>
      </c>
      <c r="B13" s="118" t="n">
        <v>6864.62</v>
      </c>
      <c r="C13" s="83" t="n">
        <v>174017</v>
      </c>
      <c r="D13" s="110" t="n">
        <f aca="false">C13-C12</f>
        <v>74</v>
      </c>
      <c r="E13" s="83" t="n">
        <f aca="false">C13-152000</f>
        <v>22017</v>
      </c>
      <c r="F13" s="111" t="n">
        <f aca="false">D13/$D$2</f>
        <v>37.3077892614066</v>
      </c>
      <c r="G13" s="8" t="n">
        <v>61</v>
      </c>
      <c r="H13" s="10" t="n">
        <v>0</v>
      </c>
      <c r="I13" s="8" t="n">
        <f aca="false">G13+H13</f>
        <v>61</v>
      </c>
      <c r="J13" s="112" t="n">
        <f aca="false">IF(L13&gt;0,L13,0)</f>
        <v>4.2077892614066</v>
      </c>
      <c r="K13" s="8" t="n">
        <f aca="false">I13+J13</f>
        <v>65.2077892614066</v>
      </c>
      <c r="L13" s="8" t="n">
        <f aca="false">F13-(I13-AA13)</f>
        <v>4.2077892614066</v>
      </c>
      <c r="M13" s="113" t="n">
        <v>5.9</v>
      </c>
      <c r="N13" s="114" t="n">
        <v>0</v>
      </c>
      <c r="O13" s="114" t="n">
        <v>0</v>
      </c>
      <c r="P13" s="115" t="n">
        <v>1.38</v>
      </c>
      <c r="Q13" s="115" t="n">
        <v>2.4</v>
      </c>
      <c r="R13" s="116" t="n">
        <v>0</v>
      </c>
      <c r="S13" s="117" t="n">
        <v>0</v>
      </c>
      <c r="T13" s="117" t="n">
        <v>0</v>
      </c>
      <c r="U13" s="117" t="n">
        <f aca="false">M13-N13-O13-P13-Q13-R13+S13+T13</f>
        <v>2.12</v>
      </c>
      <c r="V13" s="88"/>
      <c r="W13" s="88"/>
      <c r="X13" s="117" t="n">
        <v>0</v>
      </c>
      <c r="Y13" s="117" t="n">
        <v>22</v>
      </c>
      <c r="Z13" s="88" t="n">
        <f aca="false">Z12-Y13</f>
        <v>3175</v>
      </c>
      <c r="AA13" s="117" t="n">
        <f aca="false">N13+O13+P13+Q13+R13+U13+X13+Y13</f>
        <v>27.9</v>
      </c>
      <c r="AB13" s="117" t="n">
        <f aca="false">IF(L13&lt;0,L13*-1,0)</f>
        <v>0</v>
      </c>
      <c r="AC13" s="117" t="n">
        <f aca="false">AA13+AB13</f>
        <v>27.9</v>
      </c>
      <c r="AD13" s="89" t="n">
        <v>0.19</v>
      </c>
      <c r="AE13" s="90" t="n">
        <v>51</v>
      </c>
      <c r="AF13" s="91" t="n">
        <v>42</v>
      </c>
      <c r="AG13" s="92" t="n">
        <v>0</v>
      </c>
      <c r="AH13" s="92" t="n">
        <f aca="false">M13-P13-Q13+S13+T13</f>
        <v>2.12</v>
      </c>
      <c r="AI13" s="94"/>
      <c r="AJ13" s="94"/>
      <c r="AK13" s="94"/>
    </row>
    <row r="14" customFormat="false" ht="11.1" hidden="false" customHeight="true" outlineLevel="0" collapsed="false">
      <c r="A14" s="15" t="n">
        <f aca="false">A13+1</f>
        <v>3</v>
      </c>
      <c r="B14" s="96" t="n">
        <v>6864.66</v>
      </c>
      <c r="C14" s="83" t="n">
        <v>174115</v>
      </c>
      <c r="D14" s="110" t="n">
        <f aca="false">C14-C13</f>
        <v>98</v>
      </c>
      <c r="E14" s="83" t="n">
        <f aca="false">C14-152000</f>
        <v>22115</v>
      </c>
      <c r="F14" s="111" t="n">
        <f aca="false">D14/$D$2</f>
        <v>49.4076128056466</v>
      </c>
      <c r="G14" s="8" t="n">
        <v>89</v>
      </c>
      <c r="H14" s="10" t="n">
        <v>0</v>
      </c>
      <c r="I14" s="8" t="n">
        <f aca="false">G14+H14</f>
        <v>89</v>
      </c>
      <c r="J14" s="112" t="n">
        <f aca="false">IF(L14&gt;0,L14,0)</f>
        <v>55.4076128056466</v>
      </c>
      <c r="K14" s="8" t="n">
        <f aca="false">I14+J14</f>
        <v>144.407612805647</v>
      </c>
      <c r="L14" s="8" t="n">
        <f aca="false">F14-(I14-AA14)</f>
        <v>55.4076128056466</v>
      </c>
      <c r="M14" s="113" t="n">
        <v>31</v>
      </c>
      <c r="N14" s="114" t="n">
        <v>0</v>
      </c>
      <c r="O14" s="114" t="n">
        <v>0</v>
      </c>
      <c r="P14" s="115" t="n">
        <v>1.38</v>
      </c>
      <c r="Q14" s="115" t="n">
        <v>2.4</v>
      </c>
      <c r="R14" s="116" t="n">
        <v>0</v>
      </c>
      <c r="S14" s="117" t="n">
        <v>25</v>
      </c>
      <c r="T14" s="117" t="n">
        <v>17</v>
      </c>
      <c r="U14" s="117" t="n">
        <f aca="false">M14-N14-O14-P14-Q14-R14+S14+T14</f>
        <v>69.22</v>
      </c>
      <c r="V14" s="88"/>
      <c r="W14" s="88"/>
      <c r="X14" s="117" t="n">
        <v>0</v>
      </c>
      <c r="Y14" s="117" t="n">
        <v>22</v>
      </c>
      <c r="Z14" s="88" t="n">
        <f aca="false">Z13-Y14</f>
        <v>3153</v>
      </c>
      <c r="AA14" s="117" t="n">
        <f aca="false">N14+O14+P14+Q14+R14+U14+X14+Y14</f>
        <v>95</v>
      </c>
      <c r="AB14" s="117" t="n">
        <f aca="false">IF(L14&lt;0,L14*-1,0)</f>
        <v>0</v>
      </c>
      <c r="AC14" s="117" t="n">
        <f aca="false">AA14+AB14</f>
        <v>95</v>
      </c>
      <c r="AD14" s="89" t="n">
        <v>0.13</v>
      </c>
      <c r="AE14" s="90" t="n">
        <v>47</v>
      </c>
      <c r="AF14" s="91" t="n">
        <v>27</v>
      </c>
      <c r="AG14" s="92" t="n">
        <v>0</v>
      </c>
      <c r="AH14" s="92" t="n">
        <f aca="false">M14-P14-Q14+S14+T14</f>
        <v>69.22</v>
      </c>
      <c r="AI14" s="94"/>
      <c r="AJ14" s="94"/>
      <c r="AK14" s="94"/>
    </row>
    <row r="15" customFormat="false" ht="11.1" hidden="false" customHeight="true" outlineLevel="0" collapsed="false">
      <c r="A15" s="15" t="n">
        <f aca="false">A14+1</f>
        <v>4</v>
      </c>
      <c r="B15" s="96" t="n">
        <v>6864.63</v>
      </c>
      <c r="C15" s="83" t="n">
        <v>174041</v>
      </c>
      <c r="D15" s="110" t="n">
        <f aca="false">C15-C14</f>
        <v>-74</v>
      </c>
      <c r="E15" s="83" t="n">
        <f aca="false">C15-152000</f>
        <v>22041</v>
      </c>
      <c r="F15" s="111" t="n">
        <f aca="false">D15/$D$2</f>
        <v>-37.3077892614066</v>
      </c>
      <c r="G15" s="8" t="n">
        <v>73</v>
      </c>
      <c r="H15" s="10" t="n">
        <v>0</v>
      </c>
      <c r="I15" s="8" t="n">
        <f aca="false">G15+H15</f>
        <v>73</v>
      </c>
      <c r="J15" s="112" t="n">
        <f aca="false">IF(L15&gt;0,L15,0)</f>
        <v>3.6922107385934</v>
      </c>
      <c r="K15" s="8" t="n">
        <f aca="false">I15+J15</f>
        <v>76.6922107385934</v>
      </c>
      <c r="L15" s="8" t="n">
        <f aca="false">F15-(I15-AA15)</f>
        <v>3.6922107385934</v>
      </c>
      <c r="M15" s="113" t="n">
        <v>31</v>
      </c>
      <c r="N15" s="114" t="n">
        <v>0</v>
      </c>
      <c r="O15" s="114" t="n">
        <v>0</v>
      </c>
      <c r="P15" s="115" t="n">
        <v>1.38</v>
      </c>
      <c r="Q15" s="115" t="n">
        <v>2.4</v>
      </c>
      <c r="R15" s="116" t="n">
        <v>0</v>
      </c>
      <c r="S15" s="117" t="n">
        <v>40</v>
      </c>
      <c r="T15" s="117" t="n">
        <v>21</v>
      </c>
      <c r="U15" s="117" t="n">
        <f aca="false">M15-N15-O15-P15-Q15-R15+S15+T15</f>
        <v>88.22</v>
      </c>
      <c r="V15" s="88"/>
      <c r="W15" s="88"/>
      <c r="X15" s="117" t="n">
        <v>0</v>
      </c>
      <c r="Y15" s="117" t="n">
        <v>22</v>
      </c>
      <c r="Z15" s="88" t="n">
        <f aca="false">Z14-Y15</f>
        <v>3131</v>
      </c>
      <c r="AA15" s="117" t="n">
        <f aca="false">N15+O15+P15+Q15+R15+U15+X15+Y15</f>
        <v>114</v>
      </c>
      <c r="AB15" s="117" t="n">
        <f aca="false">IF(L15&lt;0,L15*-1,0)</f>
        <v>0</v>
      </c>
      <c r="AC15" s="117" t="n">
        <f aca="false">AA15+AB15</f>
        <v>114</v>
      </c>
      <c r="AD15" s="89" t="n">
        <v>0</v>
      </c>
      <c r="AE15" s="90" t="n">
        <v>43</v>
      </c>
      <c r="AF15" s="91" t="n">
        <v>22</v>
      </c>
      <c r="AG15" s="92" t="n">
        <v>0</v>
      </c>
      <c r="AH15" s="92" t="n">
        <f aca="false">M15-P15-Q15+S15+T15</f>
        <v>88.22</v>
      </c>
      <c r="AI15" s="94"/>
      <c r="AJ15" s="94"/>
      <c r="AK15" s="94"/>
    </row>
    <row r="16" customFormat="false" ht="11.1" hidden="false" customHeight="true" outlineLevel="0" collapsed="false">
      <c r="A16" s="15" t="n">
        <f aca="false">A15+1</f>
        <v>5</v>
      </c>
      <c r="B16" s="96" t="n">
        <v>6864.6</v>
      </c>
      <c r="C16" s="83" t="n">
        <v>173967</v>
      </c>
      <c r="D16" s="110" t="n">
        <f aca="false">C16-C15</f>
        <v>-74</v>
      </c>
      <c r="E16" s="83" t="n">
        <f aca="false">C16-152000</f>
        <v>21967</v>
      </c>
      <c r="F16" s="111" t="n">
        <f aca="false">D16/$D$2</f>
        <v>-37.3077892614066</v>
      </c>
      <c r="G16" s="8" t="n">
        <v>58</v>
      </c>
      <c r="H16" s="10" t="n">
        <v>0</v>
      </c>
      <c r="I16" s="8" t="n">
        <f aca="false">G16+H16</f>
        <v>58</v>
      </c>
      <c r="J16" s="112" t="n">
        <f aca="false">IF(L16&gt;0,L16,0)</f>
        <v>10.6922107385934</v>
      </c>
      <c r="K16" s="8" t="n">
        <f aca="false">I16+J16</f>
        <v>68.6922107385934</v>
      </c>
      <c r="L16" s="8" t="n">
        <f aca="false">F16-(I16-AA16)</f>
        <v>10.6922107385934</v>
      </c>
      <c r="M16" s="113" t="n">
        <v>31</v>
      </c>
      <c r="N16" s="114" t="n">
        <v>0</v>
      </c>
      <c r="O16" s="114" t="n">
        <v>0</v>
      </c>
      <c r="P16" s="115" t="n">
        <v>1.38</v>
      </c>
      <c r="Q16" s="115" t="n">
        <v>2.4</v>
      </c>
      <c r="R16" s="116" t="n">
        <v>0</v>
      </c>
      <c r="S16" s="117" t="n">
        <v>32</v>
      </c>
      <c r="T16" s="117" t="n">
        <v>21</v>
      </c>
      <c r="U16" s="117" t="n">
        <f aca="false">M16-N16-O16-P16-Q16-R16+S16+T16</f>
        <v>80.22</v>
      </c>
      <c r="V16" s="88"/>
      <c r="W16" s="88"/>
      <c r="X16" s="117" t="n">
        <v>0</v>
      </c>
      <c r="Y16" s="117" t="n">
        <v>22</v>
      </c>
      <c r="Z16" s="88" t="n">
        <f aca="false">Z15-Y16</f>
        <v>3109</v>
      </c>
      <c r="AA16" s="117" t="n">
        <f aca="false">N16+O16+P16+Q16+R16+U16+X16+Y16</f>
        <v>106</v>
      </c>
      <c r="AB16" s="117" t="n">
        <f aca="false">IF(L16&lt;0,L16*-1,0)</f>
        <v>0</v>
      </c>
      <c r="AC16" s="117" t="n">
        <f aca="false">AA16+AB16</f>
        <v>106</v>
      </c>
      <c r="AD16" s="89" t="n">
        <v>0</v>
      </c>
      <c r="AE16" s="90" t="n">
        <v>46</v>
      </c>
      <c r="AF16" s="91" t="n">
        <v>23</v>
      </c>
      <c r="AG16" s="92" t="n">
        <v>0</v>
      </c>
      <c r="AH16" s="92" t="n">
        <f aca="false">M16-P16-Q16+S16+T16</f>
        <v>80.22</v>
      </c>
      <c r="AI16" s="94"/>
      <c r="AJ16" s="94"/>
      <c r="AK16" s="94"/>
    </row>
    <row r="17" customFormat="false" ht="11.1" hidden="false" customHeight="true" outlineLevel="0" collapsed="false">
      <c r="A17" s="15" t="n">
        <f aca="false">A16+1</f>
        <v>6</v>
      </c>
      <c r="B17" s="96" t="n">
        <v>6864.57</v>
      </c>
      <c r="C17" s="83" t="n">
        <v>173894</v>
      </c>
      <c r="D17" s="110" t="n">
        <f aca="false">C17-C16</f>
        <v>-73</v>
      </c>
      <c r="E17" s="83" t="n">
        <f aca="false">C17-152000</f>
        <v>21894</v>
      </c>
      <c r="F17" s="111" t="n">
        <f aca="false">D17/$D$2</f>
        <v>-36.8036299470633</v>
      </c>
      <c r="G17" s="8" t="n">
        <v>59</v>
      </c>
      <c r="H17" s="10" t="n">
        <v>0</v>
      </c>
      <c r="I17" s="8" t="n">
        <f aca="false">G17+H17</f>
        <v>59</v>
      </c>
      <c r="J17" s="112" t="n">
        <f aca="false">IF(L17&gt;0,L17,0)</f>
        <v>0</v>
      </c>
      <c r="K17" s="8" t="n">
        <f aca="false">I17+J17</f>
        <v>59</v>
      </c>
      <c r="L17" s="8" t="n">
        <f aca="false">F17-(I17-AA17)</f>
        <v>-1.80362994706327</v>
      </c>
      <c r="M17" s="113" t="n">
        <v>28</v>
      </c>
      <c r="N17" s="114" t="n">
        <v>0</v>
      </c>
      <c r="O17" s="114" t="n">
        <f aca="false">0.88*1.9835</f>
        <v>1.74548</v>
      </c>
      <c r="P17" s="115" t="n">
        <v>1.38</v>
      </c>
      <c r="Q17" s="115" t="n">
        <v>2.4</v>
      </c>
      <c r="R17" s="116" t="n">
        <v>0</v>
      </c>
      <c r="S17" s="117" t="n">
        <v>23</v>
      </c>
      <c r="T17" s="117" t="n">
        <v>21</v>
      </c>
      <c r="U17" s="117" t="n">
        <f aca="false">M17-N17-O17-P17-Q17-R17+S17+T17</f>
        <v>66.47452</v>
      </c>
      <c r="V17" s="88"/>
      <c r="W17" s="88"/>
      <c r="X17" s="117" t="n">
        <v>0</v>
      </c>
      <c r="Y17" s="117" t="n">
        <v>22</v>
      </c>
      <c r="Z17" s="88" t="n">
        <f aca="false">Z16-Y17</f>
        <v>3087</v>
      </c>
      <c r="AA17" s="117" t="n">
        <f aca="false">N17+O17+P17+Q17+R17+U17+X17+Y17</f>
        <v>94</v>
      </c>
      <c r="AB17" s="117" t="n">
        <f aca="false">IF(L17&lt;0,L17*-1,0)</f>
        <v>1.80362994706327</v>
      </c>
      <c r="AC17" s="117" t="n">
        <f aca="false">AA17+AB17</f>
        <v>95.8036299470633</v>
      </c>
      <c r="AD17" s="89" t="n">
        <v>0</v>
      </c>
      <c r="AE17" s="90" t="n">
        <v>48</v>
      </c>
      <c r="AF17" s="91" t="n">
        <v>26</v>
      </c>
      <c r="AG17" s="92" t="n">
        <v>0</v>
      </c>
      <c r="AH17" s="92" t="n">
        <f aca="false">M17-O17-P17-Q17+S17+T17</f>
        <v>66.47452</v>
      </c>
      <c r="AI17" s="94"/>
      <c r="AJ17" s="94"/>
      <c r="AK17" s="94"/>
    </row>
    <row r="18" customFormat="false" ht="11.1" hidden="false" customHeight="true" outlineLevel="0" collapsed="false">
      <c r="A18" s="15" t="n">
        <f aca="false">A17+1</f>
        <v>7</v>
      </c>
      <c r="B18" s="96" t="n">
        <v>6864.55</v>
      </c>
      <c r="C18" s="83" t="n">
        <v>173845</v>
      </c>
      <c r="D18" s="110" t="n">
        <f aca="false">C18-C17</f>
        <v>-49</v>
      </c>
      <c r="E18" s="83" t="n">
        <f aca="false">C18-152000</f>
        <v>21845</v>
      </c>
      <c r="F18" s="111" t="n">
        <f aca="false">D18/$D$2</f>
        <v>-24.7038064028233</v>
      </c>
      <c r="G18" s="8" t="n">
        <v>63</v>
      </c>
      <c r="H18" s="10" t="n">
        <v>0</v>
      </c>
      <c r="I18" s="8" t="n">
        <f aca="false">G18+H18</f>
        <v>63</v>
      </c>
      <c r="J18" s="112" t="n">
        <f aca="false">IF(L18&gt;0,L18,0)</f>
        <v>0.296193597176707</v>
      </c>
      <c r="K18" s="8" t="n">
        <f aca="false">I18+J18</f>
        <v>63.2961935971767</v>
      </c>
      <c r="L18" s="8" t="n">
        <f aca="false">F18-(I18-AA18)</f>
        <v>0.296193597176707</v>
      </c>
      <c r="M18" s="113" t="n">
        <v>19</v>
      </c>
      <c r="N18" s="114" t="n">
        <v>0</v>
      </c>
      <c r="O18" s="114" t="n">
        <f aca="false">0.37*1.9835</f>
        <v>0.733895</v>
      </c>
      <c r="P18" s="115" t="n">
        <v>1.38</v>
      </c>
      <c r="Q18" s="115" t="n">
        <v>2.4</v>
      </c>
      <c r="R18" s="116" t="n">
        <v>0</v>
      </c>
      <c r="S18" s="117" t="n">
        <v>32</v>
      </c>
      <c r="T18" s="117" t="n">
        <v>15</v>
      </c>
      <c r="U18" s="117" t="n">
        <f aca="false">M18-N18-O18-P18-Q18-R18+S18+T18</f>
        <v>61.486105</v>
      </c>
      <c r="V18" s="88"/>
      <c r="W18" s="88"/>
      <c r="X18" s="117" t="n">
        <v>0</v>
      </c>
      <c r="Y18" s="117" t="n">
        <v>22</v>
      </c>
      <c r="Z18" s="88" t="n">
        <f aca="false">Z17-Y18</f>
        <v>3065</v>
      </c>
      <c r="AA18" s="117" t="n">
        <f aca="false">N18+O18+P18+Q18+R18+U18+X18+Y18</f>
        <v>88</v>
      </c>
      <c r="AB18" s="117" t="n">
        <f aca="false">IF(L18&lt;0,L18*-1,0)</f>
        <v>0</v>
      </c>
      <c r="AC18" s="117" t="n">
        <f aca="false">AA18+AB18</f>
        <v>88</v>
      </c>
      <c r="AD18" s="89" t="n">
        <v>0</v>
      </c>
      <c r="AE18" s="90" t="n">
        <v>52</v>
      </c>
      <c r="AF18" s="91" t="n">
        <v>33</v>
      </c>
      <c r="AG18" s="92" t="n">
        <v>29.33</v>
      </c>
      <c r="AH18" s="92" t="n">
        <f aca="false">M18-O18-P18-Q18+S18+T18</f>
        <v>61.486105</v>
      </c>
      <c r="AI18" s="94"/>
      <c r="AJ18" s="94"/>
      <c r="AK18" s="94"/>
    </row>
    <row r="19" customFormat="false" ht="11.1" hidden="false" customHeight="true" outlineLevel="0" collapsed="false">
      <c r="A19" s="15" t="n">
        <f aca="false">A18+1</f>
        <v>8</v>
      </c>
      <c r="B19" s="96" t="n">
        <v>6864.55</v>
      </c>
      <c r="C19" s="83" t="n">
        <v>173845</v>
      </c>
      <c r="D19" s="110" t="n">
        <f aca="false">C19-C18</f>
        <v>0</v>
      </c>
      <c r="E19" s="83" t="n">
        <f aca="false">C19-152000</f>
        <v>21845</v>
      </c>
      <c r="F19" s="111" t="n">
        <f aca="false">D19/$D$2</f>
        <v>0</v>
      </c>
      <c r="G19" s="8" t="n">
        <v>61</v>
      </c>
      <c r="H19" s="10" t="n">
        <v>0</v>
      </c>
      <c r="I19" s="8" t="n">
        <f aca="false">G19+H19</f>
        <v>61</v>
      </c>
      <c r="J19" s="112" t="n">
        <f aca="false">IF(L19&gt;0,L19,0)</f>
        <v>11.8</v>
      </c>
      <c r="K19" s="8" t="n">
        <f aca="false">I19+J19</f>
        <v>72.8</v>
      </c>
      <c r="L19" s="8" t="n">
        <f aca="false">F19-(I19-AA19)</f>
        <v>11.8</v>
      </c>
      <c r="M19" s="113" t="n">
        <v>4.8</v>
      </c>
      <c r="N19" s="114" t="n">
        <v>0</v>
      </c>
      <c r="O19" s="114" t="n">
        <f aca="false">0.82*1.9835</f>
        <v>1.62647</v>
      </c>
      <c r="P19" s="115" t="n">
        <v>1.38</v>
      </c>
      <c r="Q19" s="115" t="n">
        <v>2.4</v>
      </c>
      <c r="R19" s="116" t="n">
        <v>0</v>
      </c>
      <c r="S19" s="117" t="n">
        <v>46</v>
      </c>
      <c r="T19" s="117" t="n">
        <v>0</v>
      </c>
      <c r="U19" s="117" t="n">
        <f aca="false">M19-N19-O19-P19-Q19-R19+S19+T19</f>
        <v>45.39353</v>
      </c>
      <c r="V19" s="88"/>
      <c r="W19" s="88"/>
      <c r="X19" s="117" t="n">
        <v>0</v>
      </c>
      <c r="Y19" s="117" t="n">
        <v>22</v>
      </c>
      <c r="Z19" s="88" t="n">
        <f aca="false">Z18-Y19</f>
        <v>3043</v>
      </c>
      <c r="AA19" s="117" t="n">
        <f aca="false">N19+O19+P19+Q19+R19+U19+X19+Y19</f>
        <v>72.8</v>
      </c>
      <c r="AB19" s="117" t="n">
        <f aca="false">IF(L19&lt;0,L19*-1,0)</f>
        <v>0</v>
      </c>
      <c r="AC19" s="117" t="n">
        <f aca="false">AA19+AB19</f>
        <v>72.8</v>
      </c>
      <c r="AD19" s="89" t="n">
        <v>0</v>
      </c>
      <c r="AE19" s="90" t="n">
        <v>54</v>
      </c>
      <c r="AF19" s="91" t="n">
        <v>31</v>
      </c>
      <c r="AG19" s="92" t="n">
        <f aca="false">AG18+(U19*1.9835)</f>
        <v>119.368066755</v>
      </c>
      <c r="AH19" s="92" t="n">
        <v>0</v>
      </c>
      <c r="AI19" s="94"/>
      <c r="AJ19" s="94"/>
      <c r="AK19" s="94"/>
    </row>
    <row r="20" customFormat="false" ht="11.1" hidden="false" customHeight="true" outlineLevel="0" collapsed="false">
      <c r="A20" s="15" t="n">
        <f aca="false">A19+1</f>
        <v>9</v>
      </c>
      <c r="B20" s="96" t="n">
        <v>6864.55</v>
      </c>
      <c r="C20" s="83" t="n">
        <v>173845</v>
      </c>
      <c r="D20" s="110" t="n">
        <f aca="false">C20-C19</f>
        <v>0</v>
      </c>
      <c r="E20" s="83" t="n">
        <f aca="false">C20-152000</f>
        <v>21845</v>
      </c>
      <c r="F20" s="111" t="n">
        <f aca="false">D20/$D$2</f>
        <v>0</v>
      </c>
      <c r="G20" s="8" t="n">
        <v>59</v>
      </c>
      <c r="H20" s="10" t="n">
        <v>0</v>
      </c>
      <c r="I20" s="8" t="n">
        <f aca="false">G20+H20</f>
        <v>59</v>
      </c>
      <c r="J20" s="112" t="n">
        <f aca="false">IF(L20&gt;0,L20,0)</f>
        <v>13.4</v>
      </c>
      <c r="K20" s="8" t="n">
        <f aca="false">I20+J20</f>
        <v>72.4</v>
      </c>
      <c r="L20" s="8" t="n">
        <f aca="false">F20-(I20-AA20)</f>
        <v>13.4</v>
      </c>
      <c r="M20" s="113" t="n">
        <v>3.4</v>
      </c>
      <c r="N20" s="114" t="n">
        <v>0</v>
      </c>
      <c r="O20" s="114" t="n">
        <f aca="false">0.99*1.9835</f>
        <v>1.963665</v>
      </c>
      <c r="P20" s="115" t="n">
        <v>1.38</v>
      </c>
      <c r="Q20" s="115" t="n">
        <v>2.4</v>
      </c>
      <c r="R20" s="116" t="n">
        <v>0</v>
      </c>
      <c r="S20" s="117" t="n">
        <v>47</v>
      </c>
      <c r="T20" s="117" t="n">
        <v>0</v>
      </c>
      <c r="U20" s="117" t="n">
        <f aca="false">M20-N20-O20-P20-Q20-R20+S20+T20</f>
        <v>44.656335</v>
      </c>
      <c r="V20" s="88"/>
      <c r="W20" s="88"/>
      <c r="X20" s="117" t="n">
        <v>0</v>
      </c>
      <c r="Y20" s="117" t="n">
        <v>22</v>
      </c>
      <c r="Z20" s="88" t="n">
        <f aca="false">Z19-Y20</f>
        <v>3021</v>
      </c>
      <c r="AA20" s="117" t="n">
        <f aca="false">N20+O20+P20+Q20+R20+U20+X20+Y20</f>
        <v>72.4</v>
      </c>
      <c r="AB20" s="117" t="n">
        <f aca="false">IF(L20&lt;0,L20*-1,0)</f>
        <v>0</v>
      </c>
      <c r="AC20" s="117" t="n">
        <f aca="false">AA20+AB20</f>
        <v>72.4</v>
      </c>
      <c r="AD20" s="89" t="n">
        <v>0</v>
      </c>
      <c r="AE20" s="119" t="n">
        <v>54</v>
      </c>
      <c r="AF20" s="91" t="n">
        <v>34</v>
      </c>
      <c r="AG20" s="92" t="n">
        <f aca="false">AG19+(U20*1.9835)</f>
        <v>207.9439072275</v>
      </c>
      <c r="AH20" s="92" t="n">
        <v>0</v>
      </c>
      <c r="AI20" s="94"/>
      <c r="AJ20" s="94"/>
      <c r="AK20" s="94"/>
    </row>
    <row r="21" customFormat="false" ht="11.1" hidden="false" customHeight="true" outlineLevel="0" collapsed="false">
      <c r="A21" s="15" t="n">
        <f aca="false">A20+1</f>
        <v>10</v>
      </c>
      <c r="B21" s="96" t="n">
        <v>6864.51</v>
      </c>
      <c r="C21" s="83" t="n">
        <v>173746</v>
      </c>
      <c r="D21" s="110" t="n">
        <f aca="false">C21-C20</f>
        <v>-99</v>
      </c>
      <c r="E21" s="83" t="n">
        <f aca="false">C21-152000</f>
        <v>21746</v>
      </c>
      <c r="F21" s="111" t="n">
        <f aca="false">D21/$D$2</f>
        <v>-49.9117721199899</v>
      </c>
      <c r="G21" s="8" t="n">
        <v>64</v>
      </c>
      <c r="H21" s="10" t="n">
        <v>0</v>
      </c>
      <c r="I21" s="8" t="n">
        <f aca="false">G21+H21</f>
        <v>64</v>
      </c>
      <c r="J21" s="112" t="n">
        <f aca="false">IF(L21&gt;0,L21,0)</f>
        <v>0</v>
      </c>
      <c r="K21" s="8" t="n">
        <f aca="false">I21+J21</f>
        <v>64</v>
      </c>
      <c r="L21" s="8" t="n">
        <f aca="false">F21-(I21-AA21)</f>
        <v>-6.51177211998991</v>
      </c>
      <c r="M21" s="113" t="n">
        <v>3.4</v>
      </c>
      <c r="N21" s="114" t="n">
        <v>0</v>
      </c>
      <c r="O21" s="114" t="n">
        <v>0</v>
      </c>
      <c r="P21" s="115" t="n">
        <v>1.38</v>
      </c>
      <c r="Q21" s="115" t="n">
        <v>2.4</v>
      </c>
      <c r="R21" s="116" t="n">
        <v>0</v>
      </c>
      <c r="S21" s="117" t="n">
        <v>83</v>
      </c>
      <c r="T21" s="117" t="n">
        <v>0</v>
      </c>
      <c r="U21" s="117" t="n">
        <f aca="false">M21-N21-O21-P21-Q21-R21+S21+T21</f>
        <v>82.62</v>
      </c>
      <c r="V21" s="88"/>
      <c r="W21" s="88"/>
      <c r="X21" s="117" t="n">
        <v>0</v>
      </c>
      <c r="Y21" s="117" t="n">
        <v>21</v>
      </c>
      <c r="Z21" s="88" t="n">
        <f aca="false">Z20-Y21</f>
        <v>3000</v>
      </c>
      <c r="AA21" s="117" t="n">
        <f aca="false">N21+O21+P21+Q21+R21+U21+X21+Y21</f>
        <v>107.4</v>
      </c>
      <c r="AB21" s="117" t="n">
        <f aca="false">IF(L21&lt;0,L21*-1,0)</f>
        <v>6.51177211998991</v>
      </c>
      <c r="AC21" s="117" t="n">
        <f aca="false">AA21+AB21</f>
        <v>113.91177211999</v>
      </c>
      <c r="AD21" s="89" t="n">
        <v>0.12</v>
      </c>
      <c r="AE21" s="90" t="n">
        <v>45</v>
      </c>
      <c r="AF21" s="91" t="n">
        <v>34</v>
      </c>
      <c r="AG21" s="92" t="n">
        <f aca="false">AG20+(U21*1.9835)</f>
        <v>371.8206772275</v>
      </c>
      <c r="AH21" s="92" t="n">
        <v>0</v>
      </c>
      <c r="AI21" s="94"/>
      <c r="AJ21" s="94"/>
      <c r="AK21" s="94"/>
    </row>
    <row r="22" customFormat="false" ht="11.1" hidden="false" customHeight="true" outlineLevel="0" collapsed="false">
      <c r="A22" s="15" t="n">
        <f aca="false">A21+1</f>
        <v>11</v>
      </c>
      <c r="B22" s="96" t="n">
        <v>6864.47</v>
      </c>
      <c r="C22" s="83" t="n">
        <v>173648</v>
      </c>
      <c r="D22" s="110" t="n">
        <f aca="false">C22-C21</f>
        <v>-98</v>
      </c>
      <c r="E22" s="83" t="n">
        <f aca="false">C22-152000</f>
        <v>21648</v>
      </c>
      <c r="F22" s="111" t="n">
        <f aca="false">D22/$D$2</f>
        <v>-49.4076128056466</v>
      </c>
      <c r="G22" s="8" t="n">
        <v>67</v>
      </c>
      <c r="H22" s="10" t="n">
        <v>0</v>
      </c>
      <c r="I22" s="8" t="n">
        <f aca="false">G22+H22</f>
        <v>67</v>
      </c>
      <c r="J22" s="112" t="n">
        <f aca="false">IF(L22&gt;0,L22,0)</f>
        <v>0</v>
      </c>
      <c r="K22" s="8" t="n">
        <f aca="false">I22+J22</f>
        <v>67</v>
      </c>
      <c r="L22" s="8" t="n">
        <f aca="false">F22-(I22-AA22)</f>
        <v>-3.00761280564658</v>
      </c>
      <c r="M22" s="113" t="n">
        <v>3.4</v>
      </c>
      <c r="N22" s="114" t="n">
        <v>0</v>
      </c>
      <c r="O22" s="114" t="n">
        <v>0</v>
      </c>
      <c r="P22" s="115" t="n">
        <v>1.38</v>
      </c>
      <c r="Q22" s="115" t="n">
        <v>2.4</v>
      </c>
      <c r="R22" s="116" t="n">
        <v>0</v>
      </c>
      <c r="S22" s="117" t="n">
        <v>88</v>
      </c>
      <c r="T22" s="117" t="n">
        <v>0</v>
      </c>
      <c r="U22" s="117" t="n">
        <f aca="false">M22-N22-O22-P22-Q22-R22+S22+T22</f>
        <v>87.62</v>
      </c>
      <c r="V22" s="88"/>
      <c r="W22" s="88"/>
      <c r="X22" s="117" t="n">
        <v>0</v>
      </c>
      <c r="Y22" s="117" t="n">
        <v>22</v>
      </c>
      <c r="Z22" s="88" t="n">
        <f aca="false">Z21-Y22</f>
        <v>2978</v>
      </c>
      <c r="AA22" s="117" t="n">
        <f aca="false">N22+O22+P22+Q22+R22+U22+X22+Y22</f>
        <v>113.4</v>
      </c>
      <c r="AB22" s="117" t="n">
        <f aca="false">IF(L22&lt;0,L22*-1,0)</f>
        <v>3.00761280564658</v>
      </c>
      <c r="AC22" s="117" t="n">
        <f aca="false">AA22+AB22</f>
        <v>116.407612805647</v>
      </c>
      <c r="AD22" s="89" t="n">
        <v>0</v>
      </c>
      <c r="AE22" s="90" t="n">
        <v>50</v>
      </c>
      <c r="AF22" s="91" t="n">
        <v>33</v>
      </c>
      <c r="AG22" s="92" t="n">
        <f aca="false">AG21+(U22*1.9835)</f>
        <v>545.6149472275</v>
      </c>
      <c r="AH22" s="92" t="n">
        <v>0</v>
      </c>
      <c r="AI22" s="94"/>
      <c r="AJ22" s="94"/>
      <c r="AK22" s="94"/>
    </row>
    <row r="23" customFormat="false" ht="11.1" hidden="false" customHeight="true" outlineLevel="0" collapsed="false">
      <c r="A23" s="15" t="n">
        <f aca="false">A22+1</f>
        <v>12</v>
      </c>
      <c r="B23" s="96" t="n">
        <v>6864.48</v>
      </c>
      <c r="C23" s="83" t="n">
        <v>173673</v>
      </c>
      <c r="D23" s="110" t="n">
        <f aca="false">C23-C22</f>
        <v>25</v>
      </c>
      <c r="E23" s="83" t="n">
        <f aca="false">C23-152000</f>
        <v>21673</v>
      </c>
      <c r="F23" s="111" t="n">
        <f aca="false">D23/$D$2</f>
        <v>12.6039828585833</v>
      </c>
      <c r="G23" s="8" t="n">
        <v>65</v>
      </c>
      <c r="H23" s="10" t="n">
        <v>0</v>
      </c>
      <c r="I23" s="8" t="n">
        <f aca="false">G23+H23</f>
        <v>65</v>
      </c>
      <c r="J23" s="112" t="n">
        <f aca="false">IF(L23&gt;0,L23,0)</f>
        <v>37.0039828585833</v>
      </c>
      <c r="K23" s="8" t="n">
        <f aca="false">I23+J23</f>
        <v>102.003982858583</v>
      </c>
      <c r="L23" s="8" t="n">
        <f aca="false">F23-(I23-AA23)</f>
        <v>37.0039828585833</v>
      </c>
      <c r="M23" s="113" t="n">
        <v>3.4</v>
      </c>
      <c r="N23" s="114" t="n">
        <v>0</v>
      </c>
      <c r="O23" s="114" t="n">
        <v>0</v>
      </c>
      <c r="P23" s="115" t="n">
        <v>1.38</v>
      </c>
      <c r="Q23" s="115" t="n">
        <v>2.4</v>
      </c>
      <c r="R23" s="116" t="n">
        <v>0</v>
      </c>
      <c r="S23" s="117" t="n">
        <v>64</v>
      </c>
      <c r="T23" s="117" t="n">
        <v>0</v>
      </c>
      <c r="U23" s="117" t="n">
        <f aca="false">M23-N23-O23-P23-Q23-R23+S23+T23</f>
        <v>63.62</v>
      </c>
      <c r="V23" s="88"/>
      <c r="W23" s="88"/>
      <c r="X23" s="117" t="n">
        <v>0</v>
      </c>
      <c r="Y23" s="117" t="n">
        <v>22</v>
      </c>
      <c r="Z23" s="88" t="n">
        <f aca="false">Z22-Y23</f>
        <v>2956</v>
      </c>
      <c r="AA23" s="117" t="n">
        <f aca="false">N23+O23+P23+Q23+R23+U23+X23+Y23</f>
        <v>89.4</v>
      </c>
      <c r="AB23" s="117" t="n">
        <f aca="false">IF(L23&lt;0,L23*-1,0)</f>
        <v>0</v>
      </c>
      <c r="AC23" s="117" t="n">
        <f aca="false">AA23+AB23</f>
        <v>89.4</v>
      </c>
      <c r="AD23" s="89" t="n">
        <v>0.14</v>
      </c>
      <c r="AE23" s="90" t="n">
        <v>47</v>
      </c>
      <c r="AF23" s="91" t="n">
        <v>32</v>
      </c>
      <c r="AG23" s="92" t="n">
        <f aca="false">AG22+(U23*1.9835)</f>
        <v>671.8052172275</v>
      </c>
      <c r="AH23" s="92" t="n">
        <v>0</v>
      </c>
      <c r="AI23" s="94"/>
      <c r="AJ23" s="94"/>
      <c r="AK23" s="94"/>
    </row>
    <row r="24" customFormat="false" ht="11.1" hidden="false" customHeight="true" outlineLevel="0" collapsed="false">
      <c r="A24" s="15" t="n">
        <f aca="false">A23+1</f>
        <v>13</v>
      </c>
      <c r="B24" s="96" t="n">
        <v>6864.46</v>
      </c>
      <c r="C24" s="83" t="n">
        <v>173623</v>
      </c>
      <c r="D24" s="110" t="n">
        <f aca="false">C24-C23</f>
        <v>-50</v>
      </c>
      <c r="E24" s="83" t="n">
        <f aca="false">C24-152000</f>
        <v>21623</v>
      </c>
      <c r="F24" s="111" t="n">
        <f aca="false">D24/$D$2</f>
        <v>-25.2079657171666</v>
      </c>
      <c r="G24" s="8" t="n">
        <v>72</v>
      </c>
      <c r="H24" s="10" t="n">
        <v>0</v>
      </c>
      <c r="I24" s="8" t="n">
        <f aca="false">G24+H24</f>
        <v>72</v>
      </c>
      <c r="J24" s="112" t="n">
        <f aca="false">IF(L24&gt;0,L24,0)</f>
        <v>0</v>
      </c>
      <c r="K24" s="8" t="n">
        <f aca="false">I24+J24</f>
        <v>72</v>
      </c>
      <c r="L24" s="8" t="n">
        <f aca="false">F24-(I24-AA24)</f>
        <v>-1.80796571716662</v>
      </c>
      <c r="M24" s="113" t="n">
        <v>3.4</v>
      </c>
      <c r="N24" s="114" t="n">
        <v>0</v>
      </c>
      <c r="O24" s="114" t="n">
        <v>0</v>
      </c>
      <c r="P24" s="115" t="n">
        <v>1.38</v>
      </c>
      <c r="Q24" s="115" t="n">
        <v>2.4</v>
      </c>
      <c r="R24" s="116" t="n">
        <v>0</v>
      </c>
      <c r="S24" s="117" t="n">
        <v>73</v>
      </c>
      <c r="T24" s="117" t="n">
        <v>0</v>
      </c>
      <c r="U24" s="117" t="n">
        <f aca="false">M24-N24-O24-P24-Q24-R24+S24+T24</f>
        <v>72.62</v>
      </c>
      <c r="V24" s="88"/>
      <c r="W24" s="88"/>
      <c r="X24" s="117" t="n">
        <v>0</v>
      </c>
      <c r="Y24" s="117" t="n">
        <v>19</v>
      </c>
      <c r="Z24" s="88" t="n">
        <f aca="false">Z23-Y24</f>
        <v>2937</v>
      </c>
      <c r="AA24" s="117" t="n">
        <f aca="false">N24+O24+P24+Q24+R24+U24+X24+Y24</f>
        <v>95.4</v>
      </c>
      <c r="AB24" s="117" t="n">
        <f aca="false">IF(L24&lt;0,L24*-1,0)</f>
        <v>1.80796571716662</v>
      </c>
      <c r="AC24" s="117" t="n">
        <f aca="false">AA24+AB24</f>
        <v>97.2079657171666</v>
      </c>
      <c r="AD24" s="89" t="n">
        <v>0.12</v>
      </c>
      <c r="AE24" s="90" t="n">
        <v>45</v>
      </c>
      <c r="AF24" s="91" t="n">
        <v>38</v>
      </c>
      <c r="AG24" s="92" t="n">
        <f aca="false">AG23+(U24*1.9835)</f>
        <v>815.8469872275</v>
      </c>
      <c r="AH24" s="92" t="n">
        <v>0</v>
      </c>
      <c r="AI24" s="94"/>
      <c r="AJ24" s="94"/>
      <c r="AK24" s="94"/>
    </row>
    <row r="25" customFormat="false" ht="11.1" hidden="false" customHeight="true" outlineLevel="0" collapsed="false">
      <c r="A25" s="15" t="n">
        <f aca="false">A24+1</f>
        <v>14</v>
      </c>
      <c r="B25" s="96" t="n">
        <v>6864.44</v>
      </c>
      <c r="C25" s="83" t="n">
        <v>173574</v>
      </c>
      <c r="D25" s="110" t="n">
        <f aca="false">C25-C24</f>
        <v>-49</v>
      </c>
      <c r="E25" s="83" t="n">
        <f aca="false">C25-152000</f>
        <v>21574</v>
      </c>
      <c r="F25" s="111" t="n">
        <f aca="false">D25/$D$2</f>
        <v>-24.7038064028233</v>
      </c>
      <c r="G25" s="8" t="n">
        <v>71</v>
      </c>
      <c r="H25" s="10" t="n">
        <v>0</v>
      </c>
      <c r="I25" s="8" t="n">
        <f aca="false">G25+H25</f>
        <v>71</v>
      </c>
      <c r="J25" s="112" t="n">
        <f aca="false">IF(L25&gt;0,L25,0)</f>
        <v>1.69619359717671</v>
      </c>
      <c r="K25" s="8" t="n">
        <f aca="false">I25+J25</f>
        <v>72.6961935971767</v>
      </c>
      <c r="L25" s="8" t="n">
        <f aca="false">F25-(I25-AA25)</f>
        <v>1.69619359717671</v>
      </c>
      <c r="M25" s="113" t="n">
        <v>3.4</v>
      </c>
      <c r="N25" s="114" t="n">
        <v>0</v>
      </c>
      <c r="O25" s="114" t="n">
        <v>0</v>
      </c>
      <c r="P25" s="115" t="n">
        <v>1.38</v>
      </c>
      <c r="Q25" s="115" t="n">
        <v>2.4</v>
      </c>
      <c r="R25" s="116" t="n">
        <v>0</v>
      </c>
      <c r="S25" s="117" t="n">
        <v>76</v>
      </c>
      <c r="T25" s="117" t="n">
        <v>0</v>
      </c>
      <c r="U25" s="117" t="n">
        <f aca="false">M25-N25-O25-P25-Q25-R25+S25+T25</f>
        <v>75.62</v>
      </c>
      <c r="V25" s="88"/>
      <c r="W25" s="88"/>
      <c r="X25" s="117" t="n">
        <v>0</v>
      </c>
      <c r="Y25" s="117" t="n">
        <v>18</v>
      </c>
      <c r="Z25" s="88" t="n">
        <f aca="false">Z24-Y25</f>
        <v>2919</v>
      </c>
      <c r="AA25" s="117" t="n">
        <f aca="false">N25+O25+P25+Q25+R25+U25+X25+Y25</f>
        <v>97.4</v>
      </c>
      <c r="AB25" s="117" t="n">
        <f aca="false">IF(L25&lt;0,L25*-1,0)</f>
        <v>0</v>
      </c>
      <c r="AC25" s="117" t="n">
        <f aca="false">AA25+AB25</f>
        <v>97.4</v>
      </c>
      <c r="AD25" s="89" t="n">
        <v>0</v>
      </c>
      <c r="AE25" s="119" t="n">
        <v>47</v>
      </c>
      <c r="AF25" s="91" t="n">
        <v>34</v>
      </c>
      <c r="AG25" s="92" t="n">
        <f aca="false">AG24+(U25*1.9835)</f>
        <v>965.8392572275</v>
      </c>
      <c r="AH25" s="92" t="n">
        <v>0</v>
      </c>
      <c r="AI25" s="94"/>
      <c r="AJ25" s="94"/>
      <c r="AK25" s="94"/>
    </row>
    <row r="26" customFormat="false" ht="11.1" hidden="false" customHeight="true" outlineLevel="0" collapsed="false">
      <c r="A26" s="15" t="n">
        <f aca="false">A25+1</f>
        <v>15</v>
      </c>
      <c r="B26" s="96" t="n">
        <v>6864.42</v>
      </c>
      <c r="C26" s="83" t="n">
        <v>173525</v>
      </c>
      <c r="D26" s="110" t="n">
        <f aca="false">C26-C25</f>
        <v>-49</v>
      </c>
      <c r="E26" s="83" t="n">
        <f aca="false">C26-152000</f>
        <v>21525</v>
      </c>
      <c r="F26" s="111" t="n">
        <f aca="false">D26/$D$2</f>
        <v>-24.7038064028233</v>
      </c>
      <c r="G26" s="8" t="n">
        <v>66</v>
      </c>
      <c r="H26" s="10" t="n">
        <v>0</v>
      </c>
      <c r="I26" s="8" t="n">
        <f aca="false">G26+H26</f>
        <v>66</v>
      </c>
      <c r="J26" s="112" t="n">
        <f aca="false">IF(L26&gt;0,L26,0)</f>
        <v>6.69619359717671</v>
      </c>
      <c r="K26" s="8" t="n">
        <f aca="false">I26+J26</f>
        <v>72.6961935971767</v>
      </c>
      <c r="L26" s="8" t="n">
        <f aca="false">F26-(I26-AA26)</f>
        <v>6.69619359717671</v>
      </c>
      <c r="M26" s="113" t="n">
        <v>3.4</v>
      </c>
      <c r="N26" s="114" t="n">
        <v>0</v>
      </c>
      <c r="O26" s="114" t="n">
        <v>0</v>
      </c>
      <c r="P26" s="115" t="n">
        <v>1.38</v>
      </c>
      <c r="Q26" s="115" t="n">
        <v>2.4</v>
      </c>
      <c r="R26" s="116" t="n">
        <v>0</v>
      </c>
      <c r="S26" s="117" t="n">
        <v>76</v>
      </c>
      <c r="T26" s="117" t="n">
        <v>0</v>
      </c>
      <c r="U26" s="117" t="n">
        <f aca="false">M26-N26-O26-P26-Q26-R26+S26+T26</f>
        <v>75.62</v>
      </c>
      <c r="V26" s="88"/>
      <c r="W26" s="88"/>
      <c r="X26" s="117" t="n">
        <v>0</v>
      </c>
      <c r="Y26" s="117" t="n">
        <v>18</v>
      </c>
      <c r="Z26" s="88" t="n">
        <f aca="false">Z25-Y26</f>
        <v>2901</v>
      </c>
      <c r="AA26" s="117" t="n">
        <f aca="false">N26+O26+P26+Q26+R26+U26+X26+Y26</f>
        <v>97.4</v>
      </c>
      <c r="AB26" s="117" t="n">
        <f aca="false">IF(L26&lt;0,L26*-1,0)</f>
        <v>0</v>
      </c>
      <c r="AC26" s="117" t="n">
        <f aca="false">AA26+AB26</f>
        <v>97.4</v>
      </c>
      <c r="AD26" s="89" t="n">
        <v>0</v>
      </c>
      <c r="AE26" s="119" t="n">
        <v>47</v>
      </c>
      <c r="AF26" s="91" t="n">
        <v>31</v>
      </c>
      <c r="AG26" s="92" t="n">
        <f aca="false">AG25+(U26*1.9835)</f>
        <v>1115.8315272275</v>
      </c>
      <c r="AH26" s="92" t="n">
        <v>0</v>
      </c>
      <c r="AI26" s="94"/>
      <c r="AJ26" s="94"/>
      <c r="AK26" s="94"/>
    </row>
    <row r="27" customFormat="false" ht="11.1" hidden="false" customHeight="true" outlineLevel="0" collapsed="false">
      <c r="A27" s="15" t="n">
        <f aca="false">A26+1</f>
        <v>16</v>
      </c>
      <c r="B27" s="96" t="n">
        <v>6864.4</v>
      </c>
      <c r="C27" s="83" t="n">
        <v>173476</v>
      </c>
      <c r="D27" s="110" t="n">
        <f aca="false">C27-C26</f>
        <v>-49</v>
      </c>
      <c r="E27" s="83" t="n">
        <f aca="false">C27-152000</f>
        <v>21476</v>
      </c>
      <c r="F27" s="111" t="n">
        <f aca="false">D27/$D$2</f>
        <v>-24.7038064028233</v>
      </c>
      <c r="G27" s="8" t="n">
        <v>61</v>
      </c>
      <c r="H27" s="10" t="n">
        <v>0</v>
      </c>
      <c r="I27" s="8" t="n">
        <f aca="false">G27+H27</f>
        <v>61</v>
      </c>
      <c r="J27" s="112" t="n">
        <f aca="false">IF(L27&gt;0,L27,0)</f>
        <v>11.6961935971767</v>
      </c>
      <c r="K27" s="8" t="n">
        <f aca="false">I27+J27</f>
        <v>72.6961935971767</v>
      </c>
      <c r="L27" s="8" t="n">
        <f aca="false">F27-(I27-AA27)</f>
        <v>11.6961935971767</v>
      </c>
      <c r="M27" s="113" t="n">
        <v>3.4</v>
      </c>
      <c r="N27" s="114" t="n">
        <v>0</v>
      </c>
      <c r="O27" s="114" t="n">
        <v>0</v>
      </c>
      <c r="P27" s="115" t="n">
        <v>1.38</v>
      </c>
      <c r="Q27" s="115" t="n">
        <v>2.4</v>
      </c>
      <c r="R27" s="116" t="n">
        <v>0</v>
      </c>
      <c r="S27" s="117" t="n">
        <v>76</v>
      </c>
      <c r="T27" s="117" t="n">
        <v>0</v>
      </c>
      <c r="U27" s="117" t="n">
        <f aca="false">M27-N27-O27-P27-Q27-R27+S27+T27</f>
        <v>75.62</v>
      </c>
      <c r="V27" s="88"/>
      <c r="W27" s="88"/>
      <c r="X27" s="117" t="n">
        <v>0</v>
      </c>
      <c r="Y27" s="117" t="n">
        <v>18</v>
      </c>
      <c r="Z27" s="88" t="n">
        <f aca="false">Z26-Y27</f>
        <v>2883</v>
      </c>
      <c r="AA27" s="117" t="n">
        <f aca="false">N27+O27+P27+Q27+R27+U27+X27+Y27</f>
        <v>97.4</v>
      </c>
      <c r="AB27" s="117" t="n">
        <f aca="false">IF(L27&lt;0,L27*-1,0)</f>
        <v>0</v>
      </c>
      <c r="AC27" s="117" t="n">
        <f aca="false">AA27+AB27</f>
        <v>97.4</v>
      </c>
      <c r="AD27" s="89" t="n">
        <v>0.13</v>
      </c>
      <c r="AE27" s="119" t="n">
        <v>43</v>
      </c>
      <c r="AF27" s="91" t="n">
        <v>30</v>
      </c>
      <c r="AG27" s="92" t="n">
        <f aca="false">AG26+(U27*1.9835)</f>
        <v>1265.8237972275</v>
      </c>
      <c r="AH27" s="92" t="n">
        <v>0</v>
      </c>
      <c r="AI27" s="94"/>
      <c r="AJ27" s="94"/>
      <c r="AK27" s="94"/>
    </row>
    <row r="28" customFormat="false" ht="11.1" hidden="false" customHeight="true" outlineLevel="0" collapsed="false">
      <c r="A28" s="15" t="n">
        <f aca="false">A27+1</f>
        <v>17</v>
      </c>
      <c r="B28" s="96" t="n">
        <v>6864.41</v>
      </c>
      <c r="C28" s="83" t="n">
        <v>173501</v>
      </c>
      <c r="D28" s="110" t="n">
        <f aca="false">C28-C27</f>
        <v>25</v>
      </c>
      <c r="E28" s="83" t="n">
        <f aca="false">C28-152000</f>
        <v>21501</v>
      </c>
      <c r="F28" s="111" t="n">
        <f aca="false">D28/$D$2</f>
        <v>12.6039828585833</v>
      </c>
      <c r="G28" s="8" t="n">
        <v>66</v>
      </c>
      <c r="H28" s="10" t="n">
        <v>0</v>
      </c>
      <c r="I28" s="8" t="n">
        <f aca="false">G28+H28</f>
        <v>66</v>
      </c>
      <c r="J28" s="112" t="n">
        <f aca="false">IF(L28&gt;0,L28,0)</f>
        <v>28.0039828585833</v>
      </c>
      <c r="K28" s="8" t="n">
        <f aca="false">I28+J28</f>
        <v>94.0039828585833</v>
      </c>
      <c r="L28" s="8" t="n">
        <f aca="false">F28-(I28-AA28)</f>
        <v>28.0039828585833</v>
      </c>
      <c r="M28" s="113" t="n">
        <v>3.4</v>
      </c>
      <c r="N28" s="114" t="n">
        <v>0</v>
      </c>
      <c r="O28" s="114" t="n">
        <v>0</v>
      </c>
      <c r="P28" s="115" t="n">
        <v>1.38</v>
      </c>
      <c r="Q28" s="115" t="n">
        <v>2.4</v>
      </c>
      <c r="R28" s="116" t="n">
        <v>0</v>
      </c>
      <c r="S28" s="117" t="n">
        <v>60</v>
      </c>
      <c r="T28" s="117" t="n">
        <v>0</v>
      </c>
      <c r="U28" s="117" t="n">
        <f aca="false">M28-N28-O28-P28-Q28-R28+S28+T28</f>
        <v>59.62</v>
      </c>
      <c r="V28" s="88"/>
      <c r="W28" s="88"/>
      <c r="X28" s="117" t="n">
        <v>0</v>
      </c>
      <c r="Y28" s="117" t="n">
        <v>18</v>
      </c>
      <c r="Z28" s="88" t="n">
        <f aca="false">Z27-Y28</f>
        <v>2865</v>
      </c>
      <c r="AA28" s="117" t="n">
        <f aca="false">N28+O28+P28+Q28+R28+U28+X28+Y28</f>
        <v>81.4</v>
      </c>
      <c r="AB28" s="117" t="n">
        <f aca="false">IF(L28&lt;0,L28*-1,0)</f>
        <v>0</v>
      </c>
      <c r="AC28" s="117" t="n">
        <f aca="false">AA28+AB28</f>
        <v>81.4</v>
      </c>
      <c r="AD28" s="89" t="n">
        <v>0.13</v>
      </c>
      <c r="AE28" s="119" t="n">
        <v>36</v>
      </c>
      <c r="AF28" s="91" t="n">
        <v>23</v>
      </c>
      <c r="AG28" s="92" t="n">
        <f aca="false">AG27+(U28*1.9835)</f>
        <v>1384.0800672275</v>
      </c>
      <c r="AH28" s="92" t="n">
        <v>0</v>
      </c>
      <c r="AI28" s="94"/>
      <c r="AJ28" s="94"/>
      <c r="AK28" s="94"/>
    </row>
    <row r="29" customFormat="false" ht="11.1" hidden="false" customHeight="true" outlineLevel="0" collapsed="false">
      <c r="A29" s="15" t="n">
        <f aca="false">A28+1</f>
        <v>18</v>
      </c>
      <c r="B29" s="96" t="n">
        <v>6864.4</v>
      </c>
      <c r="C29" s="83" t="n">
        <v>173476</v>
      </c>
      <c r="D29" s="110" t="n">
        <f aca="false">C29-C28</f>
        <v>-25</v>
      </c>
      <c r="E29" s="83" t="n">
        <f aca="false">C29-152000</f>
        <v>21476</v>
      </c>
      <c r="F29" s="111" t="n">
        <f aca="false">D29/$D$2</f>
        <v>-12.6039828585833</v>
      </c>
      <c r="G29" s="8" t="n">
        <v>59</v>
      </c>
      <c r="H29" s="10" t="n">
        <v>0</v>
      </c>
      <c r="I29" s="8" t="n">
        <f aca="false">G29+H29</f>
        <v>59</v>
      </c>
      <c r="J29" s="112" t="n">
        <f aca="false">IF(L29&gt;0,L29,0)</f>
        <v>0</v>
      </c>
      <c r="K29" s="8" t="n">
        <f aca="false">I29+J29</f>
        <v>59</v>
      </c>
      <c r="L29" s="8" t="n">
        <f aca="false">F29-(I29-AA29)</f>
        <v>-1.60398285858331</v>
      </c>
      <c r="M29" s="113" t="n">
        <v>3</v>
      </c>
      <c r="N29" s="114" t="n">
        <v>0</v>
      </c>
      <c r="O29" s="114" t="n">
        <v>0</v>
      </c>
      <c r="P29" s="115" t="n">
        <v>1.38</v>
      </c>
      <c r="Q29" s="115" t="n">
        <v>2.4</v>
      </c>
      <c r="R29" s="116" t="n">
        <v>0</v>
      </c>
      <c r="S29" s="117" t="n">
        <v>49</v>
      </c>
      <c r="T29" s="117" t="n">
        <v>0</v>
      </c>
      <c r="U29" s="117" t="n">
        <f aca="false">M29-N29-O29-P29-Q29-R29+S29+T29</f>
        <v>48.22</v>
      </c>
      <c r="V29" s="88"/>
      <c r="W29" s="88"/>
      <c r="X29" s="117" t="n">
        <v>0</v>
      </c>
      <c r="Y29" s="117" t="n">
        <v>18</v>
      </c>
      <c r="Z29" s="88" t="n">
        <f aca="false">Z28-Y29</f>
        <v>2847</v>
      </c>
      <c r="AA29" s="117" t="n">
        <f aca="false">N29+O29+P29+Q29+R29+U29+X29+Y29</f>
        <v>70</v>
      </c>
      <c r="AB29" s="117" t="n">
        <f aca="false">IF(L29&lt;0,L29*-1,0)</f>
        <v>1.60398285858331</v>
      </c>
      <c r="AC29" s="117" t="n">
        <f aca="false">AA29+AB29</f>
        <v>71.6039828585833</v>
      </c>
      <c r="AD29" s="89" t="n">
        <v>0</v>
      </c>
      <c r="AE29" s="119" t="n">
        <v>44</v>
      </c>
      <c r="AF29" s="91" t="n">
        <v>21</v>
      </c>
      <c r="AG29" s="92" t="n">
        <f aca="false">AG28+(U29*1.9835)</f>
        <v>1479.7244372275</v>
      </c>
      <c r="AH29" s="92" t="n">
        <v>0</v>
      </c>
      <c r="AI29" s="94"/>
      <c r="AJ29" s="94"/>
      <c r="AK29" s="94"/>
    </row>
    <row r="30" customFormat="false" ht="11.1" hidden="false" customHeight="true" outlineLevel="0" collapsed="false">
      <c r="A30" s="15" t="n">
        <f aca="false">A29+1</f>
        <v>19</v>
      </c>
      <c r="B30" s="96" t="n">
        <v>6864.38</v>
      </c>
      <c r="C30" s="83" t="n">
        <v>173427</v>
      </c>
      <c r="D30" s="110" t="n">
        <f aca="false">C30-C29</f>
        <v>-49</v>
      </c>
      <c r="E30" s="83" t="n">
        <f aca="false">C30-152000</f>
        <v>21427</v>
      </c>
      <c r="F30" s="111" t="n">
        <f aca="false">D30/$D$2</f>
        <v>-24.7038064028233</v>
      </c>
      <c r="G30" s="8" t="n">
        <v>57</v>
      </c>
      <c r="H30" s="10" t="n">
        <v>0</v>
      </c>
      <c r="I30" s="8" t="n">
        <f aca="false">G30+H30</f>
        <v>57</v>
      </c>
      <c r="J30" s="112" t="n">
        <f aca="false">IF(L30&gt;0,L30,0)</f>
        <v>0</v>
      </c>
      <c r="K30" s="8" t="n">
        <f aca="false">I30+J30</f>
        <v>57</v>
      </c>
      <c r="L30" s="8" t="n">
        <f aca="false">F30-(I30-AA30)</f>
        <v>-10.6038064028233</v>
      </c>
      <c r="M30" s="113" t="n">
        <v>3.1</v>
      </c>
      <c r="N30" s="114" t="n">
        <v>0</v>
      </c>
      <c r="O30" s="114" t="n">
        <v>0</v>
      </c>
      <c r="P30" s="115" t="n">
        <v>1.38</v>
      </c>
      <c r="Q30" s="115" t="n">
        <v>2.4</v>
      </c>
      <c r="R30" s="116" t="n">
        <v>0</v>
      </c>
      <c r="S30" s="117" t="n">
        <v>50</v>
      </c>
      <c r="T30" s="117" t="n">
        <v>0</v>
      </c>
      <c r="U30" s="117" t="n">
        <f aca="false">M30-N30-O30-P30-Q30-R30+S30+T30</f>
        <v>49.32</v>
      </c>
      <c r="V30" s="88"/>
      <c r="W30" s="88"/>
      <c r="X30" s="117" t="n">
        <v>0</v>
      </c>
      <c r="Y30" s="117" t="n">
        <v>18</v>
      </c>
      <c r="Z30" s="88" t="n">
        <f aca="false">Z29-Y30</f>
        <v>2829</v>
      </c>
      <c r="AA30" s="117" t="n">
        <f aca="false">N30+O30+P30+Q30+R30+U30+X30+Y30</f>
        <v>71.1</v>
      </c>
      <c r="AB30" s="117" t="n">
        <f aca="false">IF(L30&lt;0,L30*-1,0)</f>
        <v>10.6038064028233</v>
      </c>
      <c r="AC30" s="117" t="n">
        <f aca="false">AA30+AB30</f>
        <v>81.7038064028233</v>
      </c>
      <c r="AD30" s="89" t="n">
        <v>0</v>
      </c>
      <c r="AE30" s="119" t="n">
        <v>56</v>
      </c>
      <c r="AF30" s="91" t="n">
        <v>24</v>
      </c>
      <c r="AG30" s="92" t="n">
        <f aca="false">AG29+(U30*1.9835)</f>
        <v>1577.5506572275</v>
      </c>
      <c r="AH30" s="92" t="n">
        <v>0</v>
      </c>
      <c r="AI30" s="94"/>
      <c r="AJ30" s="94"/>
      <c r="AK30" s="94"/>
    </row>
    <row r="31" customFormat="false" ht="11.1" hidden="false" customHeight="true" outlineLevel="0" collapsed="false">
      <c r="A31" s="15" t="n">
        <f aca="false">A30+1</f>
        <v>20</v>
      </c>
      <c r="B31" s="96" t="n">
        <v>6864.36</v>
      </c>
      <c r="C31" s="83" t="n">
        <v>173378</v>
      </c>
      <c r="D31" s="110" t="n">
        <f aca="false">C31-C30</f>
        <v>-49</v>
      </c>
      <c r="E31" s="83" t="n">
        <f aca="false">C31-152000</f>
        <v>21378</v>
      </c>
      <c r="F31" s="111" t="n">
        <f aca="false">D31/$D$2</f>
        <v>-24.7038064028233</v>
      </c>
      <c r="G31" s="8" t="n">
        <v>62</v>
      </c>
      <c r="H31" s="10" t="n">
        <v>0</v>
      </c>
      <c r="I31" s="8" t="n">
        <f aca="false">G31+H31</f>
        <v>62</v>
      </c>
      <c r="J31" s="112" t="n">
        <f aca="false">IF(L31&gt;0,L31,0)</f>
        <v>0</v>
      </c>
      <c r="K31" s="8" t="n">
        <f aca="false">I31+J31</f>
        <v>62</v>
      </c>
      <c r="L31" s="8" t="n">
        <f aca="false">F31-(I31-AA31)</f>
        <v>-14.5038064028233</v>
      </c>
      <c r="M31" s="113" t="n">
        <v>3.2</v>
      </c>
      <c r="N31" s="114" t="n">
        <v>0</v>
      </c>
      <c r="O31" s="114" t="n">
        <v>0</v>
      </c>
      <c r="P31" s="115" t="n">
        <v>1.38</v>
      </c>
      <c r="Q31" s="115" t="n">
        <v>2.4</v>
      </c>
      <c r="R31" s="116" t="n">
        <v>0</v>
      </c>
      <c r="S31" s="117" t="n">
        <v>51</v>
      </c>
      <c r="T31" s="117" t="n">
        <v>0</v>
      </c>
      <c r="U31" s="117" t="n">
        <f aca="false">M31-N31-O31-P31-Q31-R31+S31+T31</f>
        <v>50.42</v>
      </c>
      <c r="V31" s="88"/>
      <c r="W31" s="88"/>
      <c r="X31" s="117" t="n">
        <v>0</v>
      </c>
      <c r="Y31" s="117" t="n">
        <v>18</v>
      </c>
      <c r="Z31" s="88" t="n">
        <f aca="false">Z30-Y31</f>
        <v>2811</v>
      </c>
      <c r="AA31" s="117" t="n">
        <f aca="false">N31+O31+P31+Q31+R31+U31+X31+Y31</f>
        <v>72.2</v>
      </c>
      <c r="AB31" s="117" t="n">
        <f aca="false">IF(L31&lt;0,L31*-1,0)</f>
        <v>14.5038064028233</v>
      </c>
      <c r="AC31" s="117" t="n">
        <f aca="false">AA31+AB31</f>
        <v>86.7038064028233</v>
      </c>
      <c r="AD31" s="89" t="n">
        <v>0</v>
      </c>
      <c r="AE31" s="119" t="n">
        <v>56</v>
      </c>
      <c r="AF31" s="91" t="n">
        <v>28</v>
      </c>
      <c r="AG31" s="92" t="n">
        <f aca="false">AG30+(U31*1.9835)</f>
        <v>1677.5587272275</v>
      </c>
      <c r="AH31" s="92" t="n">
        <v>0</v>
      </c>
      <c r="AI31" s="94"/>
      <c r="AJ31" s="94"/>
      <c r="AK31" s="94"/>
    </row>
    <row r="32" customFormat="false" ht="11.1" hidden="false" customHeight="true" outlineLevel="0" collapsed="false">
      <c r="A32" s="15" t="n">
        <f aca="false">A31+1</f>
        <v>21</v>
      </c>
      <c r="B32" s="96" t="n">
        <v>6864.34</v>
      </c>
      <c r="C32" s="83" t="n">
        <v>173329</v>
      </c>
      <c r="D32" s="110" t="n">
        <f aca="false">C32-C31</f>
        <v>-49</v>
      </c>
      <c r="E32" s="83" t="n">
        <f aca="false">C32-152000</f>
        <v>21329</v>
      </c>
      <c r="F32" s="111" t="n">
        <f aca="false">D32/$D$2</f>
        <v>-24.7038064028233</v>
      </c>
      <c r="G32" s="8" t="n">
        <v>66</v>
      </c>
      <c r="H32" s="10" t="n">
        <v>0</v>
      </c>
      <c r="I32" s="8" t="n">
        <f aca="false">G32+H32</f>
        <v>66</v>
      </c>
      <c r="J32" s="112" t="n">
        <f aca="false">IF(L32&gt;0,L32,0)</f>
        <v>0</v>
      </c>
      <c r="K32" s="8" t="n">
        <f aca="false">I32+J32</f>
        <v>66</v>
      </c>
      <c r="L32" s="8" t="n">
        <f aca="false">F32-(I32-AA32)</f>
        <v>-18.1038064028233</v>
      </c>
      <c r="M32" s="113" t="n">
        <v>3.6</v>
      </c>
      <c r="N32" s="114" t="n">
        <v>0</v>
      </c>
      <c r="O32" s="114" t="n">
        <v>0</v>
      </c>
      <c r="P32" s="115" t="n">
        <v>1.38</v>
      </c>
      <c r="Q32" s="115" t="n">
        <v>2.4</v>
      </c>
      <c r="R32" s="116" t="n">
        <v>0</v>
      </c>
      <c r="S32" s="117" t="n">
        <v>51</v>
      </c>
      <c r="T32" s="117" t="n">
        <v>0</v>
      </c>
      <c r="U32" s="117" t="n">
        <f aca="false">M32-N32-O32-P32-Q32-R32+S32+T32</f>
        <v>50.82</v>
      </c>
      <c r="V32" s="88"/>
      <c r="W32" s="88"/>
      <c r="X32" s="117" t="n">
        <v>0</v>
      </c>
      <c r="Y32" s="117" t="n">
        <v>18</v>
      </c>
      <c r="Z32" s="88" t="n">
        <f aca="false">Z31-Y32</f>
        <v>2793</v>
      </c>
      <c r="AA32" s="117" t="n">
        <f aca="false">N32+O32+P32+Q32+R32+U32+X32+Y32</f>
        <v>72.6</v>
      </c>
      <c r="AB32" s="117" t="n">
        <f aca="false">IF(L32&lt;0,L32*-1,0)</f>
        <v>18.1038064028233</v>
      </c>
      <c r="AC32" s="117" t="n">
        <f aca="false">AA32+AB32</f>
        <v>90.7038064028233</v>
      </c>
      <c r="AD32" s="89" t="n">
        <v>0</v>
      </c>
      <c r="AE32" s="90" t="n">
        <v>54</v>
      </c>
      <c r="AF32" s="91" t="n">
        <v>33</v>
      </c>
      <c r="AG32" s="92" t="n">
        <f aca="false">AG31+(U32*1.9835)</f>
        <v>1778.3601972275</v>
      </c>
      <c r="AH32" s="92" t="n">
        <v>0</v>
      </c>
      <c r="AI32" s="94"/>
      <c r="AJ32" s="94"/>
      <c r="AK32" s="94"/>
    </row>
    <row r="33" customFormat="false" ht="11.1" hidden="false" customHeight="true" outlineLevel="0" collapsed="false">
      <c r="A33" s="15" t="n">
        <f aca="false">A32+1</f>
        <v>22</v>
      </c>
      <c r="B33" s="96" t="n">
        <v>6864.31</v>
      </c>
      <c r="C33" s="83" t="n">
        <v>173255</v>
      </c>
      <c r="D33" s="110" t="n">
        <f aca="false">C33-C32</f>
        <v>-74</v>
      </c>
      <c r="E33" s="83" t="n">
        <f aca="false">C33-152000</f>
        <v>21255</v>
      </c>
      <c r="F33" s="111" t="n">
        <f aca="false">D33/$D$2</f>
        <v>-37.3077892614066</v>
      </c>
      <c r="G33" s="8" t="n">
        <v>71</v>
      </c>
      <c r="H33" s="10" t="n">
        <v>0</v>
      </c>
      <c r="I33" s="8" t="n">
        <f aca="false">G33+H33</f>
        <v>71</v>
      </c>
      <c r="J33" s="112" t="n">
        <f aca="false">IF(L33&gt;0,L33,0)</f>
        <v>0</v>
      </c>
      <c r="K33" s="8" t="n">
        <f aca="false">I33+J33</f>
        <v>71</v>
      </c>
      <c r="L33" s="8" t="n">
        <f aca="false">F33-(I33-AA33)</f>
        <v>-35.2077892614066</v>
      </c>
      <c r="M33" s="113" t="n">
        <v>4.1</v>
      </c>
      <c r="N33" s="114" t="n">
        <v>0</v>
      </c>
      <c r="O33" s="114" t="n">
        <v>0</v>
      </c>
      <c r="P33" s="115" t="n">
        <v>1.38</v>
      </c>
      <c r="Q33" s="115" t="n">
        <v>2.4</v>
      </c>
      <c r="R33" s="116" t="n">
        <v>0</v>
      </c>
      <c r="S33" s="117" t="n">
        <v>51</v>
      </c>
      <c r="T33" s="117" t="n">
        <v>0</v>
      </c>
      <c r="U33" s="117" t="n">
        <f aca="false">M33-N33-O33-P33-Q33-R33+S33+T33</f>
        <v>51.32</v>
      </c>
      <c r="V33" s="88"/>
      <c r="W33" s="88"/>
      <c r="X33" s="117" t="n">
        <v>0</v>
      </c>
      <c r="Y33" s="117" t="n">
        <v>18</v>
      </c>
      <c r="Z33" s="88" t="n">
        <f aca="false">Z32-Y33</f>
        <v>2775</v>
      </c>
      <c r="AA33" s="117" t="n">
        <f aca="false">N33+O33+P33+Q33+R33+U33+X33+Y33</f>
        <v>73.1</v>
      </c>
      <c r="AB33" s="117" t="n">
        <f aca="false">IF(L33&lt;0,L33*-1,0)</f>
        <v>35.2077892614066</v>
      </c>
      <c r="AC33" s="117" t="n">
        <f aca="false">AA33+AB33</f>
        <v>108.307789261407</v>
      </c>
      <c r="AD33" s="89" t="n">
        <v>0.02</v>
      </c>
      <c r="AE33" s="90" t="n">
        <v>43</v>
      </c>
      <c r="AF33" s="91" t="n">
        <v>12</v>
      </c>
      <c r="AG33" s="92" t="n">
        <f aca="false">AG32+(U33*1.9835)</f>
        <v>1880.1534172275</v>
      </c>
      <c r="AH33" s="92" t="n">
        <v>0</v>
      </c>
      <c r="AI33" s="94"/>
      <c r="AJ33" s="94"/>
      <c r="AK33" s="94"/>
    </row>
    <row r="34" customFormat="false" ht="11.1" hidden="false" customHeight="true" outlineLevel="0" collapsed="false">
      <c r="A34" s="15" t="n">
        <f aca="false">A33+1</f>
        <v>23</v>
      </c>
      <c r="B34" s="96" t="n">
        <v>6864.28</v>
      </c>
      <c r="C34" s="83" t="n">
        <v>173181</v>
      </c>
      <c r="D34" s="110" t="n">
        <f aca="false">C34-C33</f>
        <v>-74</v>
      </c>
      <c r="E34" s="83" t="n">
        <f aca="false">C34-152000</f>
        <v>21181</v>
      </c>
      <c r="F34" s="111" t="n">
        <f aca="false">D34/$D$2</f>
        <v>-37.3077892614066</v>
      </c>
      <c r="G34" s="8" t="n">
        <v>53</v>
      </c>
      <c r="H34" s="10" t="n">
        <v>0</v>
      </c>
      <c r="I34" s="8" t="n">
        <f aca="false">G34+H34</f>
        <v>53</v>
      </c>
      <c r="J34" s="112" t="n">
        <f aca="false">IF(L34&gt;0,L34,0)</f>
        <v>0</v>
      </c>
      <c r="K34" s="8" t="n">
        <f aca="false">I34+J34</f>
        <v>53</v>
      </c>
      <c r="L34" s="8" t="n">
        <f aca="false">F34-(I34-AA34)</f>
        <v>-17.4077892614066</v>
      </c>
      <c r="M34" s="113" t="n">
        <v>3.9</v>
      </c>
      <c r="N34" s="114" t="n">
        <v>0</v>
      </c>
      <c r="O34" s="114" t="n">
        <v>0</v>
      </c>
      <c r="P34" s="115" t="n">
        <v>1.38</v>
      </c>
      <c r="Q34" s="115" t="n">
        <v>2.4</v>
      </c>
      <c r="R34" s="116" t="n">
        <v>0</v>
      </c>
      <c r="S34" s="117" t="n">
        <v>51</v>
      </c>
      <c r="T34" s="117" t="n">
        <v>0</v>
      </c>
      <c r="U34" s="117" t="n">
        <f aca="false">M34-N34-O34-P34-Q34-R34+S34+T34</f>
        <v>51.12</v>
      </c>
      <c r="V34" s="88"/>
      <c r="W34" s="88"/>
      <c r="X34" s="117" t="n">
        <v>0</v>
      </c>
      <c r="Y34" s="117" t="n">
        <v>18</v>
      </c>
      <c r="Z34" s="88" t="n">
        <f aca="false">Z33-Y34</f>
        <v>2757</v>
      </c>
      <c r="AA34" s="117" t="n">
        <f aca="false">N34+O34+P34+Q34+R34+U34+X34+Y34</f>
        <v>72.9</v>
      </c>
      <c r="AB34" s="117" t="n">
        <f aca="false">IF(L34&lt;0,L34*-1,0)</f>
        <v>17.4077892614066</v>
      </c>
      <c r="AC34" s="117" t="n">
        <f aca="false">AA34+AB34</f>
        <v>90.3077892614066</v>
      </c>
      <c r="AD34" s="89" t="n">
        <v>0</v>
      </c>
      <c r="AE34" s="90" t="n">
        <v>27</v>
      </c>
      <c r="AF34" s="120" t="n">
        <v>5</v>
      </c>
      <c r="AG34" s="92" t="n">
        <f aca="false">AG33+(U34*1.9835)</f>
        <v>1981.5499372275</v>
      </c>
      <c r="AH34" s="92" t="n">
        <v>0</v>
      </c>
      <c r="AI34" s="94"/>
      <c r="AJ34" s="94"/>
      <c r="AK34" s="94"/>
    </row>
    <row r="35" customFormat="false" ht="11.1" hidden="false" customHeight="true" outlineLevel="0" collapsed="false">
      <c r="A35" s="15" t="n">
        <f aca="false">A34+1</f>
        <v>24</v>
      </c>
      <c r="B35" s="96" t="n">
        <v>6864.26</v>
      </c>
      <c r="C35" s="83" t="n">
        <v>173132</v>
      </c>
      <c r="D35" s="110" t="n">
        <f aca="false">C35-C34</f>
        <v>-49</v>
      </c>
      <c r="E35" s="83" t="n">
        <f aca="false">C35-152000</f>
        <v>21132</v>
      </c>
      <c r="F35" s="111" t="n">
        <f aca="false">D35/$D$2</f>
        <v>-24.7038064028233</v>
      </c>
      <c r="G35" s="8" t="n">
        <v>51</v>
      </c>
      <c r="H35" s="10" t="n">
        <v>0</v>
      </c>
      <c r="I35" s="8" t="n">
        <f aca="false">G35+H35</f>
        <v>51</v>
      </c>
      <c r="J35" s="112" t="n">
        <f aca="false">IF(L35&gt;0,L35,0)</f>
        <v>0.0961935971767183</v>
      </c>
      <c r="K35" s="8" t="n">
        <f aca="false">I35+J35</f>
        <v>51.0961935971767</v>
      </c>
      <c r="L35" s="8" t="n">
        <f aca="false">F35-(I35-AA35)</f>
        <v>0.0961935971767183</v>
      </c>
      <c r="M35" s="113" t="n">
        <v>3.8</v>
      </c>
      <c r="N35" s="114" t="n">
        <v>0</v>
      </c>
      <c r="O35" s="114" t="n">
        <v>0</v>
      </c>
      <c r="P35" s="115" t="n">
        <v>1.38</v>
      </c>
      <c r="Q35" s="115" t="n">
        <v>2.4</v>
      </c>
      <c r="R35" s="116" t="n">
        <v>0</v>
      </c>
      <c r="S35" s="117" t="n">
        <v>54</v>
      </c>
      <c r="T35" s="117" t="n">
        <v>0</v>
      </c>
      <c r="U35" s="117" t="n">
        <f aca="false">M35-N35-O35-P35-Q35-R35+S35+T35</f>
        <v>54.02</v>
      </c>
      <c r="V35" s="88"/>
      <c r="W35" s="88"/>
      <c r="X35" s="117" t="n">
        <v>0</v>
      </c>
      <c r="Y35" s="117" t="n">
        <v>18</v>
      </c>
      <c r="Z35" s="88" t="n">
        <f aca="false">Z34-Y35</f>
        <v>2739</v>
      </c>
      <c r="AA35" s="117" t="n">
        <f aca="false">N35+O35+P35+Q35+R35+U35+X35+Y35</f>
        <v>75.8</v>
      </c>
      <c r="AB35" s="117" t="n">
        <f aca="false">IF(L35&lt;0,L35*-1,0)</f>
        <v>0</v>
      </c>
      <c r="AC35" s="117" t="n">
        <f aca="false">AA35+AB35</f>
        <v>75.8</v>
      </c>
      <c r="AD35" s="89" t="n">
        <v>0</v>
      </c>
      <c r="AE35" s="90" t="n">
        <v>37</v>
      </c>
      <c r="AF35" s="120" t="n">
        <v>10</v>
      </c>
      <c r="AG35" s="92" t="n">
        <f aca="false">AG34+(U35*1.9835)</f>
        <v>2088.6986072275</v>
      </c>
      <c r="AH35" s="92" t="n">
        <v>0</v>
      </c>
      <c r="AI35" s="94"/>
      <c r="AJ35" s="94"/>
      <c r="AK35" s="94"/>
    </row>
    <row r="36" customFormat="false" ht="11.1" hidden="false" customHeight="true" outlineLevel="0" collapsed="false">
      <c r="A36" s="15" t="n">
        <f aca="false">A35+1</f>
        <v>25</v>
      </c>
      <c r="B36" s="96" t="n">
        <v>6864.24</v>
      </c>
      <c r="C36" s="83" t="n">
        <v>173083</v>
      </c>
      <c r="D36" s="110" t="n">
        <f aca="false">C36-C35</f>
        <v>-49</v>
      </c>
      <c r="E36" s="83" t="n">
        <f aca="false">C36-152000</f>
        <v>21083</v>
      </c>
      <c r="F36" s="111" t="n">
        <f aca="false">D36/$D$2</f>
        <v>-24.7038064028233</v>
      </c>
      <c r="G36" s="8" t="n">
        <v>69</v>
      </c>
      <c r="H36" s="10" t="n">
        <v>0</v>
      </c>
      <c r="I36" s="8" t="n">
        <f aca="false">G36+H36</f>
        <v>69</v>
      </c>
      <c r="J36" s="112" t="n">
        <f aca="false">IF(L36&gt;0,L36,0)</f>
        <v>0</v>
      </c>
      <c r="K36" s="8" t="n">
        <f aca="false">I36+J36</f>
        <v>69</v>
      </c>
      <c r="L36" s="8" t="n">
        <f aca="false">F36-(I36-AA36)</f>
        <v>-16.6038064028233</v>
      </c>
      <c r="M36" s="113" t="n">
        <v>4.1</v>
      </c>
      <c r="N36" s="114" t="n">
        <v>0</v>
      </c>
      <c r="O36" s="114" t="n">
        <v>0</v>
      </c>
      <c r="P36" s="115" t="n">
        <v>1.38</v>
      </c>
      <c r="Q36" s="115" t="n">
        <v>2.4</v>
      </c>
      <c r="R36" s="116" t="n">
        <v>0</v>
      </c>
      <c r="S36" s="117" t="n">
        <v>55</v>
      </c>
      <c r="T36" s="117" t="n">
        <v>0</v>
      </c>
      <c r="U36" s="117" t="n">
        <f aca="false">M36-N36-O36-P36-Q36-R36+S36+T36</f>
        <v>55.32</v>
      </c>
      <c r="V36" s="88"/>
      <c r="W36" s="88"/>
      <c r="X36" s="117" t="n">
        <v>0</v>
      </c>
      <c r="Y36" s="117" t="n">
        <v>18</v>
      </c>
      <c r="Z36" s="88" t="n">
        <f aca="false">Z35-Y36</f>
        <v>2721</v>
      </c>
      <c r="AA36" s="117" t="n">
        <f aca="false">N36+O36+P36+Q36+R36+U36+X36+Y36</f>
        <v>77.1</v>
      </c>
      <c r="AB36" s="117" t="n">
        <f aca="false">IF(L36&lt;0,L36*-1,0)</f>
        <v>16.6038064028233</v>
      </c>
      <c r="AC36" s="117" t="n">
        <f aca="false">AA36+AB36</f>
        <v>93.7038064028233</v>
      </c>
      <c r="AD36" s="89" t="n">
        <v>0</v>
      </c>
      <c r="AE36" s="90" t="n">
        <v>39</v>
      </c>
      <c r="AF36" s="120" t="n">
        <v>24</v>
      </c>
      <c r="AG36" s="92" t="n">
        <f aca="false">AG35+(U36*1.9835)</f>
        <v>2198.4258272275</v>
      </c>
      <c r="AH36" s="92" t="n">
        <v>0</v>
      </c>
      <c r="AI36" s="94"/>
      <c r="AJ36" s="94"/>
      <c r="AK36" s="94"/>
    </row>
    <row r="37" customFormat="false" ht="11.1" hidden="false" customHeight="true" outlineLevel="0" collapsed="false">
      <c r="A37" s="15" t="n">
        <f aca="false">A36+1</f>
        <v>26</v>
      </c>
      <c r="B37" s="96" t="n">
        <v>6864.22</v>
      </c>
      <c r="C37" s="83" t="n">
        <v>173034</v>
      </c>
      <c r="D37" s="110" t="n">
        <f aca="false">C37-C36</f>
        <v>-49</v>
      </c>
      <c r="E37" s="83" t="n">
        <f aca="false">C37-152000</f>
        <v>21034</v>
      </c>
      <c r="F37" s="111" t="n">
        <f aca="false">D37/$D$2</f>
        <v>-24.7038064028233</v>
      </c>
      <c r="G37" s="8" t="n">
        <v>71</v>
      </c>
      <c r="H37" s="10" t="n">
        <v>0</v>
      </c>
      <c r="I37" s="8" t="n">
        <f aca="false">G37+H37</f>
        <v>71</v>
      </c>
      <c r="J37" s="112" t="n">
        <f aca="false">IF(L37&gt;0,L37,0)</f>
        <v>0</v>
      </c>
      <c r="K37" s="8" t="n">
        <f aca="false">I37+J37</f>
        <v>71</v>
      </c>
      <c r="L37" s="8" t="n">
        <f aca="false">F37-(I37-AA37)</f>
        <v>-20.5038064028233</v>
      </c>
      <c r="M37" s="113" t="n">
        <v>4.2</v>
      </c>
      <c r="N37" s="114" t="n">
        <v>0</v>
      </c>
      <c r="O37" s="114" t="n">
        <v>0</v>
      </c>
      <c r="P37" s="115" t="n">
        <v>1.38</v>
      </c>
      <c r="Q37" s="115" t="n">
        <v>2.4</v>
      </c>
      <c r="R37" s="116" t="n">
        <v>0</v>
      </c>
      <c r="S37" s="117" t="n">
        <v>53</v>
      </c>
      <c r="T37" s="117" t="n">
        <v>0</v>
      </c>
      <c r="U37" s="117" t="n">
        <f aca="false">M37-N37-O37-P37-Q37-R37+S37+T37</f>
        <v>53.42</v>
      </c>
      <c r="V37" s="88"/>
      <c r="W37" s="88"/>
      <c r="X37" s="117" t="n">
        <v>0</v>
      </c>
      <c r="Y37" s="117" t="n">
        <v>18</v>
      </c>
      <c r="Z37" s="88" t="n">
        <f aca="false">Z36-Y37</f>
        <v>2703</v>
      </c>
      <c r="AA37" s="117" t="n">
        <f aca="false">N37+O37+P37+Q37+R37+U37+X37+Y37</f>
        <v>75.2</v>
      </c>
      <c r="AB37" s="117" t="n">
        <f aca="false">IF(L37&lt;0,L37*-1,0)</f>
        <v>20.5038064028233</v>
      </c>
      <c r="AC37" s="117" t="n">
        <f aca="false">AA37+AB37</f>
        <v>95.7038064028233</v>
      </c>
      <c r="AD37" s="89" t="n">
        <v>0</v>
      </c>
      <c r="AE37" s="90" t="n">
        <v>37</v>
      </c>
      <c r="AF37" s="91" t="n">
        <v>16</v>
      </c>
      <c r="AG37" s="92" t="n">
        <f aca="false">AG36+(U37*1.9835)</f>
        <v>2304.3843972275</v>
      </c>
      <c r="AH37" s="92" t="n">
        <v>0</v>
      </c>
      <c r="AI37" s="94"/>
      <c r="AJ37" s="94"/>
      <c r="AK37" s="94"/>
    </row>
    <row r="38" customFormat="false" ht="11.1" hidden="false" customHeight="true" outlineLevel="0" collapsed="false">
      <c r="A38" s="15" t="n">
        <f aca="false">A37+1</f>
        <v>27</v>
      </c>
      <c r="B38" s="96" t="n">
        <v>6864.2</v>
      </c>
      <c r="C38" s="83" t="n">
        <v>172985</v>
      </c>
      <c r="D38" s="110" t="n">
        <f aca="false">C38-C37</f>
        <v>-49</v>
      </c>
      <c r="E38" s="83" t="n">
        <f aca="false">C38-152000</f>
        <v>20985</v>
      </c>
      <c r="F38" s="111" t="n">
        <f aca="false">D38/$D$2</f>
        <v>-24.7038064028233</v>
      </c>
      <c r="G38" s="8" t="n">
        <v>56</v>
      </c>
      <c r="H38" s="10" t="n">
        <v>0</v>
      </c>
      <c r="I38" s="8" t="n">
        <f aca="false">G38+H38</f>
        <v>56</v>
      </c>
      <c r="J38" s="112" t="n">
        <f aca="false">IF(L38&gt;0,L38,0)</f>
        <v>0</v>
      </c>
      <c r="K38" s="8" t="n">
        <f aca="false">I38+J38</f>
        <v>56</v>
      </c>
      <c r="L38" s="8" t="n">
        <f aca="false">F38-(I38-AA38)</f>
        <v>-6.20380640282329</v>
      </c>
      <c r="M38" s="113" t="n">
        <v>4.5</v>
      </c>
      <c r="N38" s="114" t="n">
        <v>0</v>
      </c>
      <c r="O38" s="114" t="n">
        <v>0</v>
      </c>
      <c r="P38" s="115" t="n">
        <v>1.38</v>
      </c>
      <c r="Q38" s="115" t="n">
        <v>2.4</v>
      </c>
      <c r="R38" s="116" t="n">
        <v>0</v>
      </c>
      <c r="S38" s="117" t="n">
        <v>52</v>
      </c>
      <c r="T38" s="117" t="n">
        <v>0</v>
      </c>
      <c r="U38" s="117" t="n">
        <f aca="false">M38-N38-O38-P38-Q38-R38+S38+T38</f>
        <v>52.72</v>
      </c>
      <c r="V38" s="88"/>
      <c r="W38" s="88"/>
      <c r="X38" s="117" t="n">
        <v>0</v>
      </c>
      <c r="Y38" s="117" t="n">
        <v>18</v>
      </c>
      <c r="Z38" s="88" t="n">
        <f aca="false">Z37-Y38</f>
        <v>2685</v>
      </c>
      <c r="AA38" s="117" t="n">
        <f aca="false">N38+O38+P38+Q38+R38+U38+X38+Y38</f>
        <v>74.5</v>
      </c>
      <c r="AB38" s="117" t="n">
        <f aca="false">IF(L38&lt;0,L38*-1,0)</f>
        <v>6.20380640282329</v>
      </c>
      <c r="AC38" s="117" t="n">
        <f aca="false">AA38+AB38</f>
        <v>80.7038064028233</v>
      </c>
      <c r="AD38" s="89" t="n">
        <v>0</v>
      </c>
      <c r="AE38" s="90" t="n">
        <v>35</v>
      </c>
      <c r="AF38" s="91" t="n">
        <v>11</v>
      </c>
      <c r="AG38" s="92" t="n">
        <f aca="false">AG37+(U38*1.9835)</f>
        <v>2408.9545172275</v>
      </c>
      <c r="AH38" s="92" t="n">
        <v>0</v>
      </c>
      <c r="AI38" s="94"/>
      <c r="AJ38" s="94"/>
      <c r="AK38" s="94"/>
    </row>
    <row r="39" customFormat="false" ht="11.1" hidden="false" customHeight="true" outlineLevel="0" collapsed="false">
      <c r="A39" s="15" t="n">
        <f aca="false">A38+1</f>
        <v>28</v>
      </c>
      <c r="B39" s="96" t="n">
        <v>6864.18</v>
      </c>
      <c r="C39" s="83" t="n">
        <v>172936</v>
      </c>
      <c r="D39" s="110" t="n">
        <f aca="false">C39-C38</f>
        <v>-49</v>
      </c>
      <c r="E39" s="83" t="n">
        <f aca="false">C39-152000</f>
        <v>20936</v>
      </c>
      <c r="F39" s="111" t="n">
        <f aca="false">D39/$D$2</f>
        <v>-24.7038064028233</v>
      </c>
      <c r="G39" s="8" t="n">
        <v>47</v>
      </c>
      <c r="H39" s="10" t="n">
        <v>0</v>
      </c>
      <c r="I39" s="8" t="n">
        <f aca="false">G39+H39</f>
        <v>47</v>
      </c>
      <c r="J39" s="112" t="n">
        <f aca="false">IF(L39&gt;0,L39,0)</f>
        <v>2.79619359717671</v>
      </c>
      <c r="K39" s="8" t="n">
        <f aca="false">I39+J39</f>
        <v>49.7961935971767</v>
      </c>
      <c r="L39" s="8" t="n">
        <f aca="false">F39-(I39-AA39)</f>
        <v>2.79619359717671</v>
      </c>
      <c r="M39" s="113" t="n">
        <v>4.5</v>
      </c>
      <c r="N39" s="114" t="n">
        <v>0</v>
      </c>
      <c r="O39" s="114" t="n">
        <v>0</v>
      </c>
      <c r="P39" s="115" t="n">
        <v>1.38</v>
      </c>
      <c r="Q39" s="115" t="n">
        <v>2.4</v>
      </c>
      <c r="R39" s="116" t="n">
        <v>0</v>
      </c>
      <c r="S39" s="117" t="n">
        <v>52</v>
      </c>
      <c r="T39" s="117" t="n">
        <v>0</v>
      </c>
      <c r="U39" s="117" t="n">
        <f aca="false">M39-N39-O39-P39-Q39-R39+S39+T39</f>
        <v>52.72</v>
      </c>
      <c r="V39" s="88"/>
      <c r="W39" s="88"/>
      <c r="X39" s="117" t="n">
        <v>0</v>
      </c>
      <c r="Y39" s="117" t="n">
        <v>18</v>
      </c>
      <c r="Z39" s="88" t="n">
        <f aca="false">Z38-Y39</f>
        <v>2667</v>
      </c>
      <c r="AA39" s="117" t="n">
        <f aca="false">N39+O39+P39+Q39+R39+U39+X39+Y39</f>
        <v>74.5</v>
      </c>
      <c r="AB39" s="117" t="n">
        <f aca="false">IF(L39&lt;0,L39*-1,0)</f>
        <v>0</v>
      </c>
      <c r="AC39" s="117" t="n">
        <f aca="false">AA39+AB39</f>
        <v>74.5</v>
      </c>
      <c r="AD39" s="89" t="n">
        <v>0</v>
      </c>
      <c r="AE39" s="90" t="n">
        <v>39</v>
      </c>
      <c r="AF39" s="91" t="n">
        <v>15</v>
      </c>
      <c r="AG39" s="92" t="n">
        <f aca="false">AG38+(U39*1.9835)</f>
        <v>2513.5246372275</v>
      </c>
      <c r="AH39" s="92" t="n">
        <v>0</v>
      </c>
      <c r="AI39" s="94"/>
      <c r="AJ39" s="94"/>
      <c r="AK39" s="94"/>
    </row>
    <row r="40" customFormat="false" ht="11.1" hidden="false" customHeight="true" outlineLevel="0" collapsed="false">
      <c r="A40" s="15" t="n">
        <f aca="false">A39+1</f>
        <v>29</v>
      </c>
      <c r="B40" s="96" t="n">
        <v>6864.16</v>
      </c>
      <c r="C40" s="83" t="n">
        <v>172887</v>
      </c>
      <c r="D40" s="110" t="n">
        <f aca="false">C40-C39</f>
        <v>-49</v>
      </c>
      <c r="E40" s="83" t="n">
        <f aca="false">C40-152000</f>
        <v>20887</v>
      </c>
      <c r="F40" s="111" t="n">
        <f aca="false">D40/$D$2</f>
        <v>-24.7038064028233</v>
      </c>
      <c r="G40" s="8" t="n">
        <v>43</v>
      </c>
      <c r="H40" s="10" t="n">
        <v>0</v>
      </c>
      <c r="I40" s="8" t="n">
        <f aca="false">G40+H40</f>
        <v>43</v>
      </c>
      <c r="J40" s="112" t="n">
        <f aca="false">IF(L40&gt;0,L40,0)</f>
        <v>6.69619359717671</v>
      </c>
      <c r="K40" s="8" t="n">
        <f aca="false">I40+J40</f>
        <v>49.6961935971767</v>
      </c>
      <c r="L40" s="8" t="n">
        <f aca="false">F40-(I40-AA40)</f>
        <v>6.69619359717671</v>
      </c>
      <c r="M40" s="113" t="n">
        <v>4.4</v>
      </c>
      <c r="N40" s="114" t="n">
        <v>0</v>
      </c>
      <c r="O40" s="114" t="n">
        <v>0</v>
      </c>
      <c r="P40" s="115" t="n">
        <v>1.38</v>
      </c>
      <c r="Q40" s="115" t="n">
        <v>2.4</v>
      </c>
      <c r="R40" s="116" t="n">
        <v>0</v>
      </c>
      <c r="S40" s="117" t="n">
        <v>52</v>
      </c>
      <c r="T40" s="117" t="n">
        <v>0</v>
      </c>
      <c r="U40" s="117" t="n">
        <f aca="false">M40-N40-O40-P40-Q40-R40+S40+T40</f>
        <v>52.62</v>
      </c>
      <c r="V40" s="88"/>
      <c r="W40" s="88"/>
      <c r="X40" s="117" t="n">
        <v>0</v>
      </c>
      <c r="Y40" s="117" t="n">
        <v>18</v>
      </c>
      <c r="Z40" s="88" t="n">
        <f aca="false">Z39-Y40</f>
        <v>2649</v>
      </c>
      <c r="AA40" s="117" t="n">
        <f aca="false">N40+O40+P40+Q40+R40+U40+X40+Y40</f>
        <v>74.4</v>
      </c>
      <c r="AB40" s="117" t="n">
        <f aca="false">IF(L40&lt;0,L40*-1,0)</f>
        <v>0</v>
      </c>
      <c r="AC40" s="117" t="n">
        <f aca="false">AA40+AB40</f>
        <v>74.4</v>
      </c>
      <c r="AD40" s="89" t="n">
        <v>0</v>
      </c>
      <c r="AE40" s="119" t="n">
        <v>52</v>
      </c>
      <c r="AF40" s="91" t="n">
        <v>19</v>
      </c>
      <c r="AG40" s="92" t="n">
        <f aca="false">AG39+(U40*1.9835)</f>
        <v>2617.8964072275</v>
      </c>
      <c r="AH40" s="92" t="n">
        <v>0</v>
      </c>
      <c r="AI40" s="94"/>
      <c r="AJ40" s="94"/>
      <c r="AK40" s="94"/>
    </row>
    <row r="41" customFormat="false" ht="11.1" hidden="false" customHeight="true" outlineLevel="0" collapsed="false">
      <c r="A41" s="15" t="n">
        <v>30</v>
      </c>
      <c r="B41" s="96" t="n">
        <v>6864.15</v>
      </c>
      <c r="C41" s="83" t="n">
        <v>172862</v>
      </c>
      <c r="D41" s="110" t="n">
        <f aca="false">C41-C40</f>
        <v>-25</v>
      </c>
      <c r="E41" s="83" t="n">
        <f aca="false">C41-152000</f>
        <v>20862</v>
      </c>
      <c r="F41" s="111" t="n">
        <f aca="false">D41/$D$2</f>
        <v>-12.6039828585833</v>
      </c>
      <c r="G41" s="8" t="n">
        <v>45</v>
      </c>
      <c r="H41" s="10" t="n">
        <v>0</v>
      </c>
      <c r="I41" s="8" t="n">
        <f aca="false">G41+H41</f>
        <v>45</v>
      </c>
      <c r="J41" s="112" t="n">
        <f aca="false">IF(L41&gt;0,L41,0)</f>
        <v>16.7960171414167</v>
      </c>
      <c r="K41" s="8" t="n">
        <f aca="false">I41+J41</f>
        <v>61.7960171414167</v>
      </c>
      <c r="L41" s="8" t="n">
        <f aca="false">F41-(I41-AA41)</f>
        <v>16.7960171414167</v>
      </c>
      <c r="M41" s="113" t="n">
        <v>4.4</v>
      </c>
      <c r="N41" s="114" t="n">
        <v>0</v>
      </c>
      <c r="O41" s="114" t="n">
        <v>0</v>
      </c>
      <c r="P41" s="115" t="n">
        <v>1.38</v>
      </c>
      <c r="Q41" s="115" t="n">
        <v>2.4</v>
      </c>
      <c r="R41" s="116" t="n">
        <v>0</v>
      </c>
      <c r="S41" s="117" t="n">
        <v>52</v>
      </c>
      <c r="T41" s="117" t="n">
        <v>0</v>
      </c>
      <c r="U41" s="117" t="n">
        <f aca="false">M41-N41-O41-P41-Q41-R41+S41+T41</f>
        <v>52.62</v>
      </c>
      <c r="V41" s="88"/>
      <c r="W41" s="88"/>
      <c r="X41" s="117" t="n">
        <v>0</v>
      </c>
      <c r="Y41" s="117" t="n">
        <v>18</v>
      </c>
      <c r="Z41" s="88" t="n">
        <f aca="false">Z40-Y41</f>
        <v>2631</v>
      </c>
      <c r="AA41" s="117" t="n">
        <f aca="false">N41+O41+P41+Q41+R41+U41+X41+Y41</f>
        <v>74.4</v>
      </c>
      <c r="AB41" s="117" t="n">
        <f aca="false">IF(L41&lt;0,L41*-1,0)</f>
        <v>0</v>
      </c>
      <c r="AC41" s="117" t="n">
        <f aca="false">AA41+AB41</f>
        <v>74.4</v>
      </c>
      <c r="AD41" s="89" t="n">
        <v>0</v>
      </c>
      <c r="AE41" s="119" t="n">
        <v>55</v>
      </c>
      <c r="AF41" s="91" t="n">
        <v>26</v>
      </c>
      <c r="AG41" s="92" t="n">
        <f aca="false">AG40+(U41*1.9835)</f>
        <v>2722.2681772275</v>
      </c>
      <c r="AH41" s="92" t="n">
        <v>0</v>
      </c>
      <c r="AI41" s="94"/>
      <c r="AJ41" s="94"/>
      <c r="AK41" s="94"/>
    </row>
    <row r="42" customFormat="false" ht="3" hidden="false" customHeight="true" outlineLevel="0" collapsed="false">
      <c r="A42" s="97"/>
      <c r="B42" s="121"/>
      <c r="C42" s="99"/>
      <c r="D42" s="97"/>
      <c r="E42" s="99"/>
      <c r="F42" s="100"/>
      <c r="G42" s="97"/>
      <c r="H42" s="101"/>
      <c r="I42" s="97"/>
      <c r="J42" s="97"/>
      <c r="K42" s="97"/>
      <c r="L42" s="97"/>
      <c r="M42" s="102"/>
      <c r="N42" s="97"/>
      <c r="O42" s="97"/>
      <c r="P42" s="103"/>
      <c r="Q42" s="103"/>
      <c r="R42" s="104"/>
      <c r="S42" s="103"/>
      <c r="T42" s="103"/>
      <c r="U42" s="103"/>
      <c r="V42" s="105"/>
      <c r="W42" s="105"/>
      <c r="X42" s="103"/>
      <c r="Y42" s="103"/>
      <c r="Z42" s="103"/>
      <c r="AA42" s="103"/>
      <c r="AB42" s="103"/>
      <c r="AC42" s="103"/>
      <c r="AD42" s="106"/>
      <c r="AE42" s="107"/>
      <c r="AF42" s="108"/>
      <c r="AG42" s="107"/>
      <c r="AH42" s="107"/>
      <c r="AI42" s="107"/>
      <c r="AJ42" s="107"/>
      <c r="AK42" s="107"/>
    </row>
    <row r="43" customFormat="false" ht="11.1" hidden="false" customHeight="true" outlineLevel="0" collapsed="false">
      <c r="A43" s="16" t="s">
        <v>69</v>
      </c>
      <c r="B43" s="82"/>
      <c r="C43" s="83"/>
      <c r="D43" s="83"/>
      <c r="E43" s="83"/>
      <c r="F43" s="84" t="n">
        <f aca="false">SUM(F12:F41)</f>
        <v>-544.996218805142</v>
      </c>
      <c r="G43" s="9" t="n">
        <f aca="false">SUM(G12:G41)</f>
        <v>1861</v>
      </c>
      <c r="H43" s="9" t="n">
        <f aca="false">SUM(H12:H41)</f>
        <v>0</v>
      </c>
      <c r="I43" s="9" t="n">
        <f aca="false">SUM(I12:I41)</f>
        <v>1861</v>
      </c>
      <c r="J43" s="9" t="n">
        <f aca="false">SUM(J12:J41)</f>
        <v>210.97716158306</v>
      </c>
      <c r="K43" s="9" t="n">
        <f aca="false">SUM(K12:K41)</f>
        <v>2071.97716158306</v>
      </c>
      <c r="L43" s="9" t="n">
        <f aca="false">SUM(L12:L41)</f>
        <v>29.0037811948576</v>
      </c>
      <c r="M43" s="85" t="n">
        <f aca="false">SUM(M12:M41)</f>
        <v>238</v>
      </c>
      <c r="N43" s="83" t="n">
        <f aca="false">SUM(N12:N41)</f>
        <v>0</v>
      </c>
      <c r="O43" s="83" t="n">
        <f aca="false">SUM(O12:O41)</f>
        <v>6.06951</v>
      </c>
      <c r="P43" s="86" t="n">
        <f aca="false">SUM(P12:P41)</f>
        <v>41.4</v>
      </c>
      <c r="Q43" s="86" t="n">
        <f aca="false">SUM(Q12:Q41)</f>
        <v>72</v>
      </c>
      <c r="R43" s="86" t="n">
        <f aca="false">SUM(R12:R41)</f>
        <v>0</v>
      </c>
      <c r="S43" s="88" t="n">
        <f aca="false">SUM(S12:S41)</f>
        <v>1514</v>
      </c>
      <c r="T43" s="88" t="n">
        <f aca="false">SUM(T12:T41)</f>
        <v>95</v>
      </c>
      <c r="U43" s="88" t="n">
        <f aca="false">SUM(U12:U41)</f>
        <v>1727.53049</v>
      </c>
      <c r="V43" s="88"/>
      <c r="W43" s="88"/>
      <c r="X43" s="88"/>
      <c r="Y43" s="88" t="n">
        <f aca="false">SUM(Y12:Y41)</f>
        <v>588</v>
      </c>
      <c r="Z43" s="88"/>
      <c r="AA43" s="88" t="n">
        <f aca="false">SUM(AA12:AA41)</f>
        <v>2435</v>
      </c>
      <c r="AB43" s="88" t="n">
        <f aca="false">SUM(AB12:AB41)</f>
        <v>181.973380388203</v>
      </c>
      <c r="AC43" s="88" t="n">
        <f aca="false">SUM(AC12:AC41)</f>
        <v>2616.9733803882</v>
      </c>
      <c r="AD43" s="89" t="n">
        <f aca="false">SUM(AD12:AD41)</f>
        <v>0.98</v>
      </c>
      <c r="AE43" s="90" t="n">
        <f aca="false">AVERAGE(AE12:AE41)</f>
        <v>46.1</v>
      </c>
      <c r="AF43" s="91" t="n">
        <f aca="false">AVERAGE(AF12:AF42)</f>
        <v>26</v>
      </c>
      <c r="AG43" s="92" t="s">
        <v>70</v>
      </c>
      <c r="AH43" s="88" t="n">
        <f aca="false">SUM(AH12:AH41)</f>
        <v>369.860625</v>
      </c>
      <c r="AI43" s="94"/>
      <c r="AJ43" s="94"/>
      <c r="AK43" s="94"/>
    </row>
    <row r="44" customFormat="false" ht="11.1" hidden="false" customHeight="true" outlineLevel="0" collapsed="false">
      <c r="A44" s="16" t="s">
        <v>71</v>
      </c>
      <c r="B44" s="82"/>
      <c r="C44" s="83"/>
      <c r="D44" s="83" t="n">
        <f aca="false">SUM(D12:D41)</f>
        <v>-1081</v>
      </c>
      <c r="E44" s="83"/>
      <c r="F44" s="84" t="n">
        <f aca="false">F43*$D$2</f>
        <v>-1081</v>
      </c>
      <c r="G44" s="9" t="n">
        <f aca="false">G43*$D$2</f>
        <v>3691.2935</v>
      </c>
      <c r="H44" s="9" t="n">
        <f aca="false">H43*$D$2</f>
        <v>0</v>
      </c>
      <c r="I44" s="9" t="n">
        <f aca="false">I43*$D$2</f>
        <v>3691.2935</v>
      </c>
      <c r="J44" s="9" t="n">
        <f aca="false">J43*$D$2</f>
        <v>418.4732</v>
      </c>
      <c r="K44" s="9" t="n">
        <f aca="false">K43*$D$2</f>
        <v>4109.7667</v>
      </c>
      <c r="L44" s="9" t="n">
        <f aca="false">L43*$D$2</f>
        <v>57.5290000000001</v>
      </c>
      <c r="M44" s="85" t="n">
        <f aca="false">M43*$D$2</f>
        <v>472.073</v>
      </c>
      <c r="N44" s="83" t="n">
        <f aca="false">N43*$D$2</f>
        <v>0</v>
      </c>
      <c r="O44" s="83" t="n">
        <f aca="false">O43*$D$2</f>
        <v>12.038873085</v>
      </c>
      <c r="P44" s="86" t="n">
        <f aca="false">P43*$D$2</f>
        <v>82.1169</v>
      </c>
      <c r="Q44" s="86" t="n">
        <f aca="false">Q43*$D$2</f>
        <v>142.812</v>
      </c>
      <c r="R44" s="86" t="n">
        <f aca="false">R43*$D$2</f>
        <v>0</v>
      </c>
      <c r="S44" s="88" t="n">
        <f aca="false">S43*$D$2</f>
        <v>3003.019</v>
      </c>
      <c r="T44" s="88" t="n">
        <f aca="false">T43*$D$2</f>
        <v>188.4325</v>
      </c>
      <c r="U44" s="88" t="n">
        <f aca="false">U43*$D$2</f>
        <v>3426.556726915</v>
      </c>
      <c r="V44" s="88"/>
      <c r="W44" s="88"/>
      <c r="X44" s="88"/>
      <c r="Y44" s="88" t="n">
        <f aca="false">Y43*$D$2</f>
        <v>1166.298</v>
      </c>
      <c r="Z44" s="88"/>
      <c r="AA44" s="88" t="n">
        <f aca="false">AA43*$D$2</f>
        <v>4829.8225</v>
      </c>
      <c r="AB44" s="88" t="n">
        <f aca="false">AB43*$D$2</f>
        <v>360.9442</v>
      </c>
      <c r="AC44" s="88" t="n">
        <f aca="false">AC43*$D$2</f>
        <v>5190.7667</v>
      </c>
      <c r="AD44" s="89"/>
      <c r="AE44" s="90" t="n">
        <f aca="false">MAX(AE12:AE41)</f>
        <v>56</v>
      </c>
      <c r="AF44" s="91" t="n">
        <f aca="false">MAX(AF12:AF42)</f>
        <v>43</v>
      </c>
      <c r="AG44" s="92" t="s">
        <v>72</v>
      </c>
      <c r="AH44" s="88" t="n">
        <f aca="false">AH43*$D$2</f>
        <v>733.6185496875</v>
      </c>
      <c r="AI44" s="94"/>
      <c r="AJ44" s="94"/>
      <c r="AK44" s="94"/>
    </row>
    <row r="45" customFormat="false" ht="3" hidden="false" customHeight="true" outlineLevel="0" collapsed="false">
      <c r="A45" s="122"/>
      <c r="B45" s="121"/>
      <c r="C45" s="99"/>
      <c r="D45" s="99"/>
      <c r="E45" s="99"/>
      <c r="F45" s="123"/>
      <c r="G45" s="99"/>
      <c r="H45" s="99"/>
      <c r="I45" s="99"/>
      <c r="J45" s="99"/>
      <c r="K45" s="99"/>
      <c r="L45" s="99"/>
      <c r="M45" s="124"/>
      <c r="N45" s="99"/>
      <c r="O45" s="99"/>
      <c r="P45" s="105"/>
      <c r="Q45" s="105"/>
      <c r="R45" s="125"/>
      <c r="S45" s="105"/>
      <c r="T45" s="105"/>
      <c r="U45" s="105"/>
      <c r="V45" s="105"/>
      <c r="W45" s="105"/>
      <c r="X45" s="105"/>
      <c r="Y45" s="105"/>
      <c r="Z45" s="103"/>
      <c r="AA45" s="105"/>
      <c r="AB45" s="105"/>
      <c r="AC45" s="105"/>
      <c r="AD45" s="105"/>
      <c r="AE45" s="105"/>
      <c r="AF45" s="105"/>
      <c r="AG45" s="105"/>
      <c r="AH45" s="107"/>
      <c r="AI45" s="105"/>
      <c r="AJ45" s="105"/>
      <c r="AK45" s="105"/>
    </row>
    <row r="46" customFormat="false" ht="11.1" hidden="false" customHeight="true" outlineLevel="0" collapsed="false">
      <c r="A46" s="16" t="s">
        <v>73</v>
      </c>
      <c r="B46" s="82"/>
      <c r="C46" s="83"/>
      <c r="D46" s="83"/>
      <c r="E46" s="83"/>
      <c r="F46" s="84"/>
      <c r="G46" s="9"/>
      <c r="H46" s="14"/>
      <c r="I46" s="9"/>
      <c r="J46" s="9"/>
      <c r="K46" s="9"/>
      <c r="L46" s="9"/>
      <c r="M46" s="85"/>
      <c r="N46" s="83"/>
      <c r="O46" s="83"/>
      <c r="P46" s="86"/>
      <c r="Q46" s="86"/>
      <c r="R46" s="87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9"/>
      <c r="AE46" s="90" t="n">
        <f aca="false">MIN(AE12:AE41)</f>
        <v>27</v>
      </c>
      <c r="AF46" s="91" t="n">
        <f aca="false">MIN(AF12:AF42)</f>
        <v>5</v>
      </c>
      <c r="AG46" s="92" t="s">
        <v>74</v>
      </c>
      <c r="AH46" s="92"/>
      <c r="AI46" s="94"/>
      <c r="AJ46" s="94"/>
      <c r="AK46" s="94"/>
    </row>
    <row r="47" customFormat="false" ht="11.1" hidden="false" customHeight="true" outlineLevel="0" collapsed="false">
      <c r="A47" s="16" t="s">
        <v>75</v>
      </c>
      <c r="B47" s="82"/>
      <c r="C47" s="83"/>
      <c r="D47" s="83"/>
      <c r="E47" s="83"/>
      <c r="F47" s="84"/>
      <c r="G47" s="9"/>
      <c r="H47" s="14"/>
      <c r="I47" s="9"/>
      <c r="J47" s="9"/>
      <c r="K47" s="9"/>
      <c r="L47" s="9"/>
      <c r="M47" s="85"/>
      <c r="N47" s="83"/>
      <c r="O47" s="83"/>
      <c r="P47" s="86"/>
      <c r="Q47" s="86"/>
      <c r="R47" s="87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9"/>
      <c r="AE47" s="90"/>
      <c r="AF47" s="91"/>
      <c r="AG47" s="92"/>
      <c r="AH47" s="92"/>
      <c r="AI47" s="94"/>
      <c r="AJ47" s="94"/>
      <c r="AK47" s="94"/>
    </row>
    <row r="48" customFormat="false" ht="3" hidden="false" customHeight="true" outlineLevel="0" collapsed="false">
      <c r="A48" s="122"/>
      <c r="B48" s="121"/>
      <c r="C48" s="99"/>
      <c r="D48" s="99"/>
      <c r="E48" s="99"/>
      <c r="F48" s="123"/>
      <c r="G48" s="99"/>
      <c r="H48" s="126"/>
      <c r="I48" s="99"/>
      <c r="J48" s="99"/>
      <c r="K48" s="99"/>
      <c r="L48" s="99"/>
      <c r="M48" s="124"/>
      <c r="N48" s="99"/>
      <c r="O48" s="99"/>
      <c r="P48" s="105"/>
      <c r="Q48" s="105"/>
      <c r="R48" s="12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6"/>
      <c r="AE48" s="105"/>
      <c r="AF48" s="105"/>
      <c r="AG48" s="105"/>
      <c r="AH48" s="107"/>
      <c r="AI48" s="105"/>
      <c r="AJ48" s="105"/>
      <c r="AK48" s="105"/>
    </row>
    <row r="49" customFormat="false" ht="11.1" hidden="false" customHeight="true" outlineLevel="0" collapsed="false">
      <c r="A49" s="16" t="s">
        <v>76</v>
      </c>
      <c r="B49" s="82"/>
      <c r="C49" s="83"/>
      <c r="D49" s="83"/>
      <c r="E49" s="83"/>
      <c r="F49" s="84" t="n">
        <f aca="false">F10+F43</f>
        <v>-544.996218805142</v>
      </c>
      <c r="G49" s="9" t="n">
        <f aca="false">G10+G43</f>
        <v>1861</v>
      </c>
      <c r="H49" s="14" t="n">
        <f aca="false">H10+H43</f>
        <v>0</v>
      </c>
      <c r="I49" s="9" t="n">
        <f aca="false">I10+I43</f>
        <v>1861</v>
      </c>
      <c r="J49" s="9" t="n">
        <f aca="false">J10+J43</f>
        <v>210.97716158306</v>
      </c>
      <c r="K49" s="9" t="n">
        <f aca="false">K10+K43</f>
        <v>2071.97716158306</v>
      </c>
      <c r="L49" s="9" t="n">
        <f aca="false">L10+L43</f>
        <v>29.0037811948576</v>
      </c>
      <c r="M49" s="85" t="n">
        <f aca="false">M10+M43</f>
        <v>238</v>
      </c>
      <c r="N49" s="83" t="n">
        <f aca="false">N10+N43</f>
        <v>0</v>
      </c>
      <c r="O49" s="83" t="n">
        <v>0</v>
      </c>
      <c r="P49" s="86" t="n">
        <f aca="false">P10+P43</f>
        <v>41.4</v>
      </c>
      <c r="Q49" s="86" t="n">
        <f aca="false">Q10+Q43</f>
        <v>72</v>
      </c>
      <c r="R49" s="86" t="n">
        <f aca="false">R10+R43</f>
        <v>0</v>
      </c>
      <c r="S49" s="88" t="n">
        <f aca="false">S10+S43</f>
        <v>1514</v>
      </c>
      <c r="T49" s="88" t="n">
        <f aca="false">T10+T43</f>
        <v>95</v>
      </c>
      <c r="U49" s="88" t="n">
        <f aca="false">U10+U43</f>
        <v>1727.53049</v>
      </c>
      <c r="V49" s="88"/>
      <c r="W49" s="88"/>
      <c r="X49" s="88"/>
      <c r="Y49" s="88" t="n">
        <f aca="false">Y10+Y43</f>
        <v>588</v>
      </c>
      <c r="Z49" s="88" t="n">
        <f aca="false">Z41</f>
        <v>2631</v>
      </c>
      <c r="AA49" s="88" t="n">
        <f aca="false">AA10+AA43</f>
        <v>2435</v>
      </c>
      <c r="AB49" s="88" t="n">
        <f aca="false">AB10+AB43</f>
        <v>181.973380388203</v>
      </c>
      <c r="AC49" s="88" t="n">
        <f aca="false">AC10+AC43</f>
        <v>2616.9733803882</v>
      </c>
      <c r="AD49" s="89" t="n">
        <f aca="false">AD10+AD43</f>
        <v>0.98</v>
      </c>
      <c r="AE49" s="90"/>
      <c r="AF49" s="91"/>
      <c r="AG49" s="92"/>
      <c r="AH49" s="88" t="n">
        <f aca="false">AH10+AH43</f>
        <v>369.860625</v>
      </c>
      <c r="AI49" s="94"/>
      <c r="AJ49" s="94"/>
      <c r="AK49" s="94"/>
    </row>
    <row r="50" customFormat="false" ht="11.1" hidden="false" customHeight="true" outlineLevel="0" collapsed="false">
      <c r="A50" s="16" t="s">
        <v>77</v>
      </c>
      <c r="B50" s="82"/>
      <c r="C50" s="83"/>
      <c r="D50" s="83" t="n">
        <f aca="false">D10+D44</f>
        <v>-1081</v>
      </c>
      <c r="E50" s="83" t="n">
        <f aca="false">E41</f>
        <v>20862</v>
      </c>
      <c r="F50" s="84" t="n">
        <f aca="false">F49*$D$2</f>
        <v>-1081</v>
      </c>
      <c r="G50" s="9" t="n">
        <f aca="false">G49*$D$2</f>
        <v>3691.2935</v>
      </c>
      <c r="H50" s="14" t="n">
        <f aca="false">H49*$D$2</f>
        <v>0</v>
      </c>
      <c r="I50" s="9" t="n">
        <f aca="false">I49*$D$2</f>
        <v>3691.2935</v>
      </c>
      <c r="J50" s="9" t="n">
        <f aca="false">J49*$D$2</f>
        <v>418.4732</v>
      </c>
      <c r="K50" s="9" t="n">
        <f aca="false">K49*$D$2</f>
        <v>4109.7667</v>
      </c>
      <c r="L50" s="9" t="n">
        <f aca="false">L49*$D$2</f>
        <v>57.5290000000001</v>
      </c>
      <c r="M50" s="85" t="n">
        <f aca="false">M49*$D$2</f>
        <v>472.073</v>
      </c>
      <c r="N50" s="83" t="n">
        <f aca="false">N49*$D$2</f>
        <v>0</v>
      </c>
      <c r="O50" s="83" t="n">
        <f aca="false">O49*$D$2</f>
        <v>0</v>
      </c>
      <c r="P50" s="86" t="n">
        <f aca="false">P49*$D$2</f>
        <v>82.1169</v>
      </c>
      <c r="Q50" s="86" t="n">
        <f aca="false">Q49*$D$2</f>
        <v>142.812</v>
      </c>
      <c r="R50" s="86" t="n">
        <f aca="false">R49*$D$2</f>
        <v>0</v>
      </c>
      <c r="S50" s="88" t="n">
        <f aca="false">S49*$D$2</f>
        <v>3003.019</v>
      </c>
      <c r="T50" s="88" t="n">
        <f aca="false">T49*$D$2</f>
        <v>188.4325</v>
      </c>
      <c r="U50" s="88" t="n">
        <f aca="false">U49*$D$2</f>
        <v>3426.556726915</v>
      </c>
      <c r="V50" s="88"/>
      <c r="W50" s="88"/>
      <c r="X50" s="88"/>
      <c r="Y50" s="88" t="n">
        <f aca="false">Y49*$D$2</f>
        <v>1166.298</v>
      </c>
      <c r="Z50" s="88" t="n">
        <f aca="false">Z49*$D$2</f>
        <v>5218.5885</v>
      </c>
      <c r="AA50" s="88" t="n">
        <f aca="false">AA49*$D$2</f>
        <v>4829.8225</v>
      </c>
      <c r="AB50" s="88" t="n">
        <f aca="false">AB49*$D$2</f>
        <v>360.9442</v>
      </c>
      <c r="AC50" s="88" t="n">
        <f aca="false">AC49*$D$2</f>
        <v>5190.7667</v>
      </c>
      <c r="AD50" s="89"/>
      <c r="AE50" s="90"/>
      <c r="AF50" s="91"/>
      <c r="AG50" s="92" t="n">
        <f aca="false">AG41</f>
        <v>2722.2681772275</v>
      </c>
      <c r="AH50" s="88" t="n">
        <f aca="false">AH49*$D$2</f>
        <v>733.6185496875</v>
      </c>
      <c r="AI50" s="94"/>
      <c r="AJ50" s="94"/>
      <c r="AK50" s="94"/>
    </row>
    <row r="51" customFormat="false" ht="3" hidden="false" customHeight="true" outlineLevel="0" collapsed="false">
      <c r="A51" s="97"/>
      <c r="B51" s="121"/>
      <c r="C51" s="99"/>
      <c r="D51" s="97"/>
      <c r="E51" s="99"/>
      <c r="F51" s="100"/>
      <c r="G51" s="97"/>
      <c r="H51" s="101"/>
      <c r="I51" s="97"/>
      <c r="J51" s="97"/>
      <c r="K51" s="97"/>
      <c r="L51" s="97"/>
      <c r="M51" s="102"/>
      <c r="N51" s="97"/>
      <c r="O51" s="97"/>
      <c r="P51" s="97"/>
      <c r="Q51" s="97"/>
      <c r="R51" s="127"/>
      <c r="S51" s="97"/>
      <c r="T51" s="97"/>
      <c r="U51" s="97"/>
      <c r="V51" s="99"/>
      <c r="W51" s="99"/>
      <c r="X51" s="97"/>
      <c r="Y51" s="97"/>
      <c r="Z51" s="99"/>
      <c r="AA51" s="97"/>
      <c r="AB51" s="97"/>
      <c r="AC51" s="97"/>
      <c r="AD51" s="97"/>
      <c r="AE51" s="97"/>
      <c r="AF51" s="97"/>
      <c r="AG51" s="97"/>
      <c r="AH51" s="128"/>
      <c r="AI51" s="97"/>
      <c r="AJ51" s="129"/>
      <c r="AK51" s="130"/>
    </row>
    <row r="52" customFormat="false" ht="14.1" hidden="false" customHeight="true" outlineLevel="0" collapsed="false">
      <c r="A52" s="131"/>
      <c r="B52" s="132"/>
      <c r="C52" s="9"/>
      <c r="D52" s="8"/>
      <c r="E52" s="9"/>
      <c r="F52" s="8"/>
      <c r="G52" s="8"/>
      <c r="H52" s="1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9"/>
      <c r="X52" s="8"/>
      <c r="Y52" s="8"/>
      <c r="Z52" s="9"/>
      <c r="AA52" s="8"/>
      <c r="AB52" s="8"/>
      <c r="AC52" s="13"/>
      <c r="AD52" s="13"/>
      <c r="AE52" s="14"/>
      <c r="AF52" s="14"/>
      <c r="AG52" s="15"/>
      <c r="AH52" s="81"/>
    </row>
    <row r="53" customFormat="false" ht="11.1" hidden="false" customHeight="true" outlineLevel="0" collapsed="false">
      <c r="A53" s="8"/>
      <c r="B53" s="133"/>
      <c r="C53" s="9"/>
      <c r="D53" s="134"/>
      <c r="E53" s="9"/>
      <c r="F53" s="8"/>
      <c r="G53" s="8"/>
      <c r="H53" s="13"/>
      <c r="I53" s="10"/>
      <c r="J53" s="8"/>
      <c r="K53" s="135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9"/>
      <c r="X53" s="8"/>
      <c r="Y53" s="8"/>
      <c r="Z53" s="9"/>
      <c r="AA53" s="8"/>
      <c r="AB53" s="8"/>
      <c r="AC53" s="13"/>
      <c r="AD53" s="13"/>
      <c r="AE53" s="14"/>
      <c r="AF53" s="14"/>
      <c r="AG53" s="15"/>
      <c r="AH53" s="81"/>
    </row>
    <row r="54" customFormat="false" ht="11.1" hidden="false" customHeight="true" outlineLevel="0" collapsed="false">
      <c r="B54" s="134"/>
      <c r="C54" s="9"/>
      <c r="D54" s="9"/>
      <c r="E54" s="9"/>
      <c r="F54" s="134"/>
      <c r="G54" s="134"/>
      <c r="H54" s="13"/>
      <c r="I54" s="134"/>
      <c r="J54" s="134"/>
      <c r="K54" s="134"/>
      <c r="L54" s="134"/>
      <c r="M54" s="112"/>
      <c r="N54" s="112"/>
      <c r="O54" s="112"/>
      <c r="P54" s="112"/>
      <c r="Q54" s="112"/>
      <c r="R54" s="112"/>
      <c r="S54" s="134"/>
      <c r="T54" s="134"/>
      <c r="U54" s="134"/>
      <c r="V54" s="9"/>
      <c r="W54" s="9"/>
      <c r="X54" s="134"/>
      <c r="Y54" s="134"/>
      <c r="Z54" s="9"/>
      <c r="AA54" s="134"/>
      <c r="AB54" s="134"/>
      <c r="AC54" s="13"/>
      <c r="AD54" s="13"/>
      <c r="AE54" s="14"/>
      <c r="AF54" s="14"/>
      <c r="AG54" s="15"/>
      <c r="AH54" s="81"/>
    </row>
    <row r="55" customFormat="false" ht="11.1" hidden="false" customHeight="true" outlineLevel="0" collapsed="false">
      <c r="A55" s="134"/>
      <c r="B55" s="12"/>
      <c r="C55" s="9"/>
      <c r="D55" s="9"/>
      <c r="E55" s="9"/>
      <c r="F55" s="134"/>
      <c r="G55" s="134"/>
      <c r="H55" s="13"/>
      <c r="I55" s="134"/>
      <c r="J55" s="134"/>
      <c r="K55" s="134"/>
      <c r="L55" s="134"/>
      <c r="M55" s="112"/>
      <c r="N55" s="112"/>
      <c r="O55" s="112"/>
      <c r="P55" s="112"/>
      <c r="Q55" s="112"/>
      <c r="R55" s="112"/>
      <c r="S55" s="134"/>
      <c r="T55" s="134"/>
      <c r="U55" s="134"/>
      <c r="V55" s="9"/>
      <c r="W55" s="9"/>
      <c r="X55" s="134"/>
      <c r="Y55" s="134"/>
      <c r="Z55" s="9"/>
      <c r="AA55" s="134"/>
      <c r="AB55" s="134"/>
      <c r="AC55" s="13"/>
      <c r="AD55" s="13"/>
      <c r="AE55" s="14"/>
      <c r="AF55" s="14"/>
      <c r="AG55" s="15"/>
      <c r="AH55" s="81"/>
    </row>
    <row r="56" customFormat="false" ht="11.1" hidden="false" customHeight="true" outlineLevel="0" collapsed="false">
      <c r="A56" s="134"/>
      <c r="B56" s="134"/>
      <c r="C56" s="9"/>
      <c r="D56" s="134"/>
      <c r="E56" s="9"/>
      <c r="F56" s="134"/>
      <c r="G56" s="136"/>
      <c r="H56" s="13"/>
      <c r="I56" s="134"/>
      <c r="J56" s="134"/>
      <c r="K56" s="134"/>
      <c r="L56" s="134"/>
      <c r="M56" s="112"/>
      <c r="N56" s="112"/>
      <c r="O56" s="112"/>
      <c r="P56" s="112"/>
      <c r="Q56" s="112"/>
      <c r="R56" s="134"/>
      <c r="S56" s="134"/>
      <c r="T56" s="134"/>
      <c r="U56" s="9"/>
      <c r="V56" s="134"/>
      <c r="W56" s="134"/>
      <c r="X56" s="134"/>
      <c r="Y56" s="9"/>
      <c r="Z56" s="134"/>
      <c r="AA56" s="134"/>
      <c r="AB56" s="134"/>
      <c r="AC56" s="13"/>
      <c r="AD56" s="13"/>
      <c r="AE56" s="14"/>
      <c r="AF56" s="15"/>
    </row>
  </sheetData>
  <mergeCells count="1"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26" activePane="bottomRight" state="frozen"/>
      <selection pane="topLeft" activeCell="A1" activeCellId="0" sqref="A1"/>
      <selection pane="topRight" activeCell="K1" activeCellId="0" sqref="K1"/>
      <selection pane="bottomLeft" activeCell="A26" activeCellId="0" sqref="A26"/>
      <selection pane="bottomRight" activeCell="S43" activeCellId="0" sqref="S43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139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8" min="16" style="137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2" min="22" style="140" width="5.49"/>
    <col collapsed="false" customWidth="true" hidden="false" outlineLevel="0" max="24" min="23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39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4" min="33" style="137" width="5.49"/>
    <col collapsed="false" customWidth="true" hidden="false" outlineLevel="0" max="35" min="35" style="137" width="6.32"/>
    <col collapsed="false" customWidth="true" hidden="false" outlineLevel="0" max="37" min="36" style="144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47"/>
      <c r="I1" s="145"/>
      <c r="J1" s="145"/>
      <c r="K1" s="148" t="s">
        <v>0</v>
      </c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9"/>
      <c r="W1" s="145"/>
      <c r="X1" s="145"/>
      <c r="Y1" s="146"/>
      <c r="Z1" s="145"/>
      <c r="AA1" s="145"/>
      <c r="AB1" s="145"/>
      <c r="AC1" s="150"/>
      <c r="AD1" s="151"/>
      <c r="AE1" s="152"/>
      <c r="AF1" s="153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47"/>
      <c r="I2" s="145"/>
      <c r="J2" s="145"/>
      <c r="K2" s="156" t="s">
        <v>78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160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61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166"/>
      <c r="AH3" s="166"/>
      <c r="AI3" s="166"/>
      <c r="AJ3" s="167"/>
    </row>
    <row r="4" s="181" customFormat="true" ht="14.1" hidden="false" customHeight="true" outlineLevel="0" collapsed="false">
      <c r="A4" s="168"/>
      <c r="B4" s="169"/>
      <c r="C4" s="170"/>
      <c r="D4" s="171" t="s">
        <v>3</v>
      </c>
      <c r="E4" s="170"/>
      <c r="F4" s="172"/>
      <c r="G4" s="168"/>
      <c r="H4" s="173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74" t="s">
        <v>4</v>
      </c>
      <c r="T4" s="168"/>
      <c r="U4" s="175"/>
      <c r="V4" s="176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I4" s="182" t="s">
        <v>6</v>
      </c>
      <c r="AJ4" s="183"/>
      <c r="AK4" s="184"/>
    </row>
    <row r="5" customFormat="false" ht="11.1" hidden="false" customHeight="true" outlineLevel="0" collapsed="false">
      <c r="A5" s="185" t="s">
        <v>7</v>
      </c>
      <c r="B5" s="186" t="s">
        <v>8</v>
      </c>
      <c r="C5" s="187" t="s">
        <v>8</v>
      </c>
      <c r="D5" s="185" t="s">
        <v>9</v>
      </c>
      <c r="E5" s="187" t="s">
        <v>10</v>
      </c>
      <c r="F5" s="188" t="s">
        <v>11</v>
      </c>
      <c r="G5" s="185" t="s">
        <v>12</v>
      </c>
      <c r="H5" s="189" t="s">
        <v>13</v>
      </c>
      <c r="I5" s="185" t="s">
        <v>14</v>
      </c>
      <c r="J5" s="185" t="s">
        <v>15</v>
      </c>
      <c r="K5" s="185" t="s">
        <v>16</v>
      </c>
      <c r="L5" s="185" t="s">
        <v>15</v>
      </c>
      <c r="M5" s="190" t="s">
        <v>17</v>
      </c>
      <c r="N5" s="190"/>
      <c r="O5" s="190"/>
      <c r="P5" s="190"/>
      <c r="Q5" s="190"/>
      <c r="R5" s="190"/>
      <c r="S5" s="185" t="s">
        <v>18</v>
      </c>
      <c r="T5" s="185" t="s">
        <v>19</v>
      </c>
      <c r="U5" s="185" t="s">
        <v>16</v>
      </c>
      <c r="V5" s="191" t="s">
        <v>20</v>
      </c>
      <c r="W5" s="187" t="s">
        <v>20</v>
      </c>
      <c r="X5" s="185" t="s">
        <v>21</v>
      </c>
      <c r="Y5" s="185" t="s">
        <v>22</v>
      </c>
      <c r="Z5" s="187" t="s">
        <v>23</v>
      </c>
      <c r="AA5" s="185" t="s">
        <v>14</v>
      </c>
      <c r="AB5" s="185" t="s">
        <v>15</v>
      </c>
      <c r="AC5" s="185" t="s">
        <v>16</v>
      </c>
      <c r="AD5" s="192" t="s">
        <v>24</v>
      </c>
      <c r="AE5" s="193" t="s">
        <v>25</v>
      </c>
      <c r="AF5" s="194" t="s">
        <v>26</v>
      </c>
      <c r="AG5" s="193" t="s">
        <v>79</v>
      </c>
      <c r="AH5" s="193" t="s">
        <v>20</v>
      </c>
      <c r="AI5" s="195" t="s">
        <v>80</v>
      </c>
      <c r="AJ5" s="195" t="s">
        <v>20</v>
      </c>
      <c r="AK5" s="196" t="s">
        <v>28</v>
      </c>
    </row>
    <row r="6" customFormat="false" ht="11.1" hidden="false" customHeight="true" outlineLevel="0" collapsed="false">
      <c r="A6" s="197" t="s">
        <v>81</v>
      </c>
      <c r="B6" s="186" t="s">
        <v>30</v>
      </c>
      <c r="C6" s="187" t="s">
        <v>9</v>
      </c>
      <c r="D6" s="185" t="s">
        <v>31</v>
      </c>
      <c r="E6" s="187" t="s">
        <v>32</v>
      </c>
      <c r="F6" s="188" t="s">
        <v>33</v>
      </c>
      <c r="G6" s="185" t="s">
        <v>34</v>
      </c>
      <c r="H6" s="189" t="s">
        <v>35</v>
      </c>
      <c r="I6" s="185" t="s">
        <v>36</v>
      </c>
      <c r="J6" s="185" t="s">
        <v>36</v>
      </c>
      <c r="K6" s="185" t="s">
        <v>36</v>
      </c>
      <c r="L6" s="185" t="s">
        <v>37</v>
      </c>
      <c r="M6" s="198" t="s">
        <v>38</v>
      </c>
      <c r="N6" s="185" t="s">
        <v>39</v>
      </c>
      <c r="O6" s="185" t="s">
        <v>82</v>
      </c>
      <c r="P6" s="185" t="s">
        <v>41</v>
      </c>
      <c r="Q6" s="185" t="s">
        <v>42</v>
      </c>
      <c r="R6" s="199" t="s">
        <v>43</v>
      </c>
      <c r="S6" s="185" t="s">
        <v>44</v>
      </c>
      <c r="T6" s="185" t="s">
        <v>45</v>
      </c>
      <c r="U6" s="185" t="s">
        <v>20</v>
      </c>
      <c r="V6" s="191" t="s">
        <v>83</v>
      </c>
      <c r="W6" s="187" t="s">
        <v>47</v>
      </c>
      <c r="X6" s="185" t="s">
        <v>48</v>
      </c>
      <c r="Y6" s="185" t="s">
        <v>49</v>
      </c>
      <c r="Z6" s="187" t="s">
        <v>50</v>
      </c>
      <c r="AA6" s="185" t="s">
        <v>51</v>
      </c>
      <c r="AB6" s="185" t="s">
        <v>51</v>
      </c>
      <c r="AC6" s="185" t="s">
        <v>51</v>
      </c>
      <c r="AD6" s="200"/>
      <c r="AE6" s="193" t="s">
        <v>52</v>
      </c>
      <c r="AF6" s="194" t="s">
        <v>52</v>
      </c>
      <c r="AG6" s="201" t="s">
        <v>53</v>
      </c>
      <c r="AH6" s="201" t="s">
        <v>54</v>
      </c>
      <c r="AI6" s="195" t="s">
        <v>55</v>
      </c>
      <c r="AJ6" s="195" t="s">
        <v>55</v>
      </c>
      <c r="AK6" s="196" t="s">
        <v>56</v>
      </c>
    </row>
    <row r="7" customFormat="false" ht="11.1" hidden="false" customHeight="true" outlineLevel="0" collapsed="false">
      <c r="A7" s="202"/>
      <c r="B7" s="203"/>
      <c r="C7" s="204"/>
      <c r="D7" s="202"/>
      <c r="E7" s="205" t="s">
        <v>57</v>
      </c>
      <c r="F7" s="206"/>
      <c r="G7" s="202"/>
      <c r="H7" s="207"/>
      <c r="I7" s="202"/>
      <c r="J7" s="202"/>
      <c r="K7" s="202"/>
      <c r="L7" s="202"/>
      <c r="M7" s="208"/>
      <c r="N7" s="209" t="s">
        <v>58</v>
      </c>
      <c r="O7" s="209" t="s">
        <v>59</v>
      </c>
      <c r="P7" s="209"/>
      <c r="Q7" s="209"/>
      <c r="R7" s="210" t="s">
        <v>40</v>
      </c>
      <c r="S7" s="202"/>
      <c r="T7" s="202"/>
      <c r="U7" s="202"/>
      <c r="V7" s="211" t="s">
        <v>60</v>
      </c>
      <c r="W7" s="205"/>
      <c r="X7" s="202"/>
      <c r="Y7" s="202"/>
      <c r="Z7" s="204"/>
      <c r="AA7" s="202"/>
      <c r="AB7" s="202"/>
      <c r="AC7" s="202"/>
      <c r="AD7" s="212"/>
      <c r="AE7" s="201"/>
      <c r="AF7" s="213"/>
      <c r="AG7" s="201" t="s">
        <v>61</v>
      </c>
      <c r="AH7" s="201" t="s">
        <v>61</v>
      </c>
      <c r="AI7" s="195" t="s">
        <v>62</v>
      </c>
      <c r="AJ7" s="195" t="s">
        <v>84</v>
      </c>
      <c r="AK7" s="196" t="s">
        <v>64</v>
      </c>
    </row>
    <row r="8" customFormat="false" ht="11.1" hidden="false" customHeight="true" outlineLevel="0" collapsed="false">
      <c r="A8" s="202"/>
      <c r="B8" s="203"/>
      <c r="C8" s="204"/>
      <c r="D8" s="202"/>
      <c r="E8" s="204"/>
      <c r="F8" s="206"/>
      <c r="G8" s="202"/>
      <c r="H8" s="207"/>
      <c r="I8" s="202"/>
      <c r="J8" s="202"/>
      <c r="K8" s="202"/>
      <c r="L8" s="202"/>
      <c r="M8" s="208"/>
      <c r="N8" s="209"/>
      <c r="O8" s="209"/>
      <c r="P8" s="209"/>
      <c r="Q8" s="209"/>
      <c r="R8" s="210" t="s">
        <v>65</v>
      </c>
      <c r="S8" s="202"/>
      <c r="T8" s="202"/>
      <c r="U8" s="202"/>
      <c r="V8" s="214"/>
      <c r="W8" s="204"/>
      <c r="X8" s="202"/>
      <c r="Y8" s="202"/>
      <c r="Z8" s="204"/>
      <c r="AA8" s="202"/>
      <c r="AB8" s="202"/>
      <c r="AC8" s="202"/>
      <c r="AD8" s="212"/>
      <c r="AE8" s="153"/>
      <c r="AF8" s="213"/>
      <c r="AG8" s="153"/>
      <c r="AH8" s="153"/>
      <c r="AI8" s="195"/>
      <c r="AJ8" s="195" t="s">
        <v>61</v>
      </c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7"/>
      <c r="G9" s="216"/>
      <c r="H9" s="218"/>
      <c r="I9" s="216"/>
      <c r="J9" s="216"/>
      <c r="K9" s="216"/>
      <c r="L9" s="216"/>
      <c r="M9" s="219"/>
      <c r="N9" s="216"/>
      <c r="O9" s="216"/>
      <c r="P9" s="216"/>
      <c r="Q9" s="216"/>
      <c r="R9" s="220"/>
      <c r="S9" s="216"/>
      <c r="T9" s="216"/>
      <c r="U9" s="216"/>
      <c r="V9" s="221"/>
      <c r="W9" s="216"/>
      <c r="X9" s="216"/>
      <c r="Y9" s="216"/>
      <c r="Z9" s="216"/>
      <c r="AA9" s="216"/>
      <c r="AB9" s="216"/>
      <c r="AC9" s="216"/>
      <c r="AD9" s="222"/>
      <c r="AE9" s="218"/>
      <c r="AF9" s="223"/>
      <c r="AG9" s="218"/>
      <c r="AH9" s="218"/>
      <c r="AI9" s="224"/>
      <c r="AJ9" s="224"/>
      <c r="AK9" s="224"/>
    </row>
    <row r="10" s="138" customFormat="true" ht="11.1" hidden="false" customHeight="true" outlineLevel="0" collapsed="false">
      <c r="A10" s="225" t="s">
        <v>68</v>
      </c>
      <c r="B10" s="226" t="n">
        <f aca="false">NOV!B41</f>
        <v>6864.15</v>
      </c>
      <c r="C10" s="216" t="n">
        <f aca="false">NOV!C41</f>
        <v>172862</v>
      </c>
      <c r="D10" s="216" t="n">
        <f aca="false">NOV!D50</f>
        <v>-1081</v>
      </c>
      <c r="E10" s="216" t="n">
        <f aca="false">NOV!E50</f>
        <v>20862</v>
      </c>
      <c r="F10" s="217" t="n">
        <f aca="false">NOV!F49</f>
        <v>-544.996218805142</v>
      </c>
      <c r="G10" s="216" t="n">
        <f aca="false">NOV!G49</f>
        <v>1861</v>
      </c>
      <c r="H10" s="218" t="n">
        <f aca="false">NOV!H49</f>
        <v>0</v>
      </c>
      <c r="I10" s="216" t="n">
        <f aca="false">NOV!I49</f>
        <v>1861</v>
      </c>
      <c r="J10" s="216" t="n">
        <f aca="false">NOV!J49</f>
        <v>210.97716158306</v>
      </c>
      <c r="K10" s="216" t="n">
        <f aca="false">NOV!K49</f>
        <v>2071.97716158306</v>
      </c>
      <c r="L10" s="216" t="n">
        <f aca="false">NOV!L49</f>
        <v>29.0037811948576</v>
      </c>
      <c r="M10" s="219" t="n">
        <f aca="false">NOV!M49</f>
        <v>238</v>
      </c>
      <c r="N10" s="216" t="n">
        <f aca="false">NOV!N49</f>
        <v>0</v>
      </c>
      <c r="O10" s="216" t="n">
        <f aca="false">NOV!O49</f>
        <v>0</v>
      </c>
      <c r="P10" s="216" t="n">
        <f aca="false">NOV!P49</f>
        <v>41.4</v>
      </c>
      <c r="Q10" s="216" t="n">
        <f aca="false">NOV!Q49</f>
        <v>72</v>
      </c>
      <c r="R10" s="216" t="n">
        <f aca="false">NOV!R49</f>
        <v>0</v>
      </c>
      <c r="S10" s="216" t="n">
        <f aca="false">NOV!S49</f>
        <v>1514</v>
      </c>
      <c r="T10" s="216" t="n">
        <f aca="false">NOV!T49</f>
        <v>95</v>
      </c>
      <c r="U10" s="216" t="n">
        <f aca="false">NOV!U49</f>
        <v>1727.53049</v>
      </c>
      <c r="V10" s="221"/>
      <c r="W10" s="216"/>
      <c r="X10" s="216"/>
      <c r="Y10" s="216" t="n">
        <f aca="false">NOV!Y49</f>
        <v>588</v>
      </c>
      <c r="Z10" s="216" t="n">
        <f aca="false">NOV!Z49</f>
        <v>2631</v>
      </c>
      <c r="AA10" s="216" t="n">
        <f aca="false">NOV!AA49</f>
        <v>2435</v>
      </c>
      <c r="AB10" s="216" t="n">
        <f aca="false">NOV!AB49</f>
        <v>181.973380388203</v>
      </c>
      <c r="AC10" s="216" t="n">
        <f aca="false">NOV!AC49</f>
        <v>2616.9733803882</v>
      </c>
      <c r="AD10" s="222" t="n">
        <f aca="false">NOV!AD49</f>
        <v>0.98</v>
      </c>
      <c r="AE10" s="218"/>
      <c r="AF10" s="223"/>
      <c r="AG10" s="218" t="n">
        <f aca="false">NOV!AG50</f>
        <v>2722.2681772275</v>
      </c>
      <c r="AH10" s="218" t="n">
        <f aca="false">NOV!AH49</f>
        <v>369.860625</v>
      </c>
      <c r="AI10" s="216"/>
      <c r="AJ10" s="216"/>
      <c r="AK10" s="216"/>
    </row>
    <row r="11" customFormat="false" ht="3" hidden="false" customHeight="true" outlineLevel="0" collapsed="false">
      <c r="A11" s="227"/>
      <c r="B11" s="228"/>
      <c r="C11" s="229"/>
      <c r="D11" s="230"/>
      <c r="E11" s="229"/>
      <c r="F11" s="231"/>
      <c r="G11" s="230"/>
      <c r="H11" s="232"/>
      <c r="I11" s="230"/>
      <c r="J11" s="230"/>
      <c r="K11" s="230"/>
      <c r="L11" s="230"/>
      <c r="M11" s="233"/>
      <c r="N11" s="230"/>
      <c r="O11" s="230"/>
      <c r="P11" s="230"/>
      <c r="Q11" s="230"/>
      <c r="R11" s="234"/>
      <c r="S11" s="230"/>
      <c r="T11" s="230"/>
      <c r="U11" s="230"/>
      <c r="V11" s="235"/>
      <c r="W11" s="229"/>
      <c r="X11" s="230"/>
      <c r="Y11" s="230"/>
      <c r="Z11" s="229"/>
      <c r="AA11" s="230"/>
      <c r="AB11" s="230"/>
      <c r="AC11" s="230"/>
      <c r="AD11" s="236"/>
      <c r="AE11" s="237"/>
      <c r="AF11" s="238"/>
      <c r="AG11" s="237"/>
      <c r="AH11" s="237"/>
      <c r="AI11" s="237"/>
      <c r="AJ11" s="237"/>
      <c r="AK11" s="237"/>
    </row>
    <row r="12" customFormat="false" ht="11.1" hidden="false" customHeight="true" outlineLevel="0" collapsed="false">
      <c r="A12" s="153" t="n">
        <v>1</v>
      </c>
      <c r="B12" s="226" t="n">
        <v>6864.14</v>
      </c>
      <c r="C12" s="216" t="n">
        <v>172837</v>
      </c>
      <c r="D12" s="218" t="n">
        <f aca="false">C12-C10</f>
        <v>-25</v>
      </c>
      <c r="E12" s="216" t="n">
        <f aca="false">C12-152000</f>
        <v>20837</v>
      </c>
      <c r="F12" s="239" t="n">
        <f aca="false">D12/$D$2</f>
        <v>-12.6039828585833</v>
      </c>
      <c r="G12" s="240" t="n">
        <v>50</v>
      </c>
      <c r="H12" s="241" t="n">
        <v>0</v>
      </c>
      <c r="I12" s="240" t="n">
        <f aca="false">G12+H12</f>
        <v>50</v>
      </c>
      <c r="J12" s="221" t="n">
        <f aca="false">IF(L12&gt;0,L12,0)</f>
        <v>10.7960171414167</v>
      </c>
      <c r="K12" s="240" t="n">
        <f aca="false">I12+J12</f>
        <v>60.7960171414167</v>
      </c>
      <c r="L12" s="240" t="n">
        <f aca="false">F12-(I12-AA12)</f>
        <v>10.7960171414167</v>
      </c>
      <c r="M12" s="242" t="n">
        <v>4.4</v>
      </c>
      <c r="N12" s="240" t="n">
        <v>0</v>
      </c>
      <c r="O12" s="240" t="n">
        <v>0</v>
      </c>
      <c r="P12" s="115" t="n">
        <v>1.4</v>
      </c>
      <c r="Q12" s="115" t="n">
        <v>2.4</v>
      </c>
      <c r="R12" s="116" t="n">
        <v>0</v>
      </c>
      <c r="S12" s="240" t="n">
        <v>51</v>
      </c>
      <c r="T12" s="240" t="n">
        <v>0</v>
      </c>
      <c r="U12" s="221" t="n">
        <f aca="false">M12-N12-O12-P12-Q12-R12+S12+T12</f>
        <v>51.6</v>
      </c>
      <c r="V12" s="221"/>
      <c r="W12" s="216"/>
      <c r="X12" s="240" t="n">
        <v>0</v>
      </c>
      <c r="Y12" s="240" t="n">
        <v>18</v>
      </c>
      <c r="Z12" s="216" t="n">
        <f aca="false">Z10-Y12</f>
        <v>2613</v>
      </c>
      <c r="AA12" s="117" t="n">
        <f aca="false">N12+O12+P12+Q12+R12+U12+X12+Y12</f>
        <v>73.4</v>
      </c>
      <c r="AB12" s="240" t="n">
        <f aca="false">IF(L12&lt;0,L12*-1,0)</f>
        <v>0</v>
      </c>
      <c r="AC12" s="240" t="n">
        <f aca="false">AA12+AB12</f>
        <v>73.4</v>
      </c>
      <c r="AD12" s="222" t="n">
        <v>0</v>
      </c>
      <c r="AE12" s="218" t="n">
        <v>61</v>
      </c>
      <c r="AF12" s="223" t="n">
        <v>29</v>
      </c>
      <c r="AG12" s="218" t="n">
        <f aca="false">AG10+(U12*1.9835)</f>
        <v>2824.6167772275</v>
      </c>
      <c r="AH12" s="218" t="n">
        <v>0</v>
      </c>
      <c r="AI12" s="224"/>
      <c r="AJ12" s="224"/>
      <c r="AK12" s="224"/>
    </row>
    <row r="13" customFormat="false" ht="11.1" hidden="false" customHeight="true" outlineLevel="0" collapsed="false">
      <c r="A13" s="153" t="n">
        <f aca="false">A12+1</f>
        <v>2</v>
      </c>
      <c r="B13" s="226" t="n">
        <v>6864.13</v>
      </c>
      <c r="C13" s="216" t="n">
        <v>172813</v>
      </c>
      <c r="D13" s="218" t="n">
        <f aca="false">C13-C12</f>
        <v>-24</v>
      </c>
      <c r="E13" s="216" t="n">
        <f aca="false">C13-152000</f>
        <v>20813</v>
      </c>
      <c r="F13" s="239" t="n">
        <f aca="false">D13/$D$2</f>
        <v>-12.09982354424</v>
      </c>
      <c r="G13" s="240" t="n">
        <v>53</v>
      </c>
      <c r="H13" s="241" t="n">
        <v>0</v>
      </c>
      <c r="I13" s="240" t="n">
        <f aca="false">G13+H13</f>
        <v>53</v>
      </c>
      <c r="J13" s="221" t="n">
        <f aca="false">IF(L13&gt;0,L13,0)</f>
        <v>7.30017645576003</v>
      </c>
      <c r="K13" s="240" t="n">
        <f aca="false">I13+J13</f>
        <v>60.30017645576</v>
      </c>
      <c r="L13" s="240" t="n">
        <f aca="false">F13-(I13-AA13)</f>
        <v>7.30017645576003</v>
      </c>
      <c r="M13" s="242" t="n">
        <v>4.4</v>
      </c>
      <c r="N13" s="240" t="n">
        <v>0</v>
      </c>
      <c r="O13" s="240" t="n">
        <v>0</v>
      </c>
      <c r="P13" s="115" t="n">
        <v>1.4</v>
      </c>
      <c r="Q13" s="115" t="n">
        <v>2.4</v>
      </c>
      <c r="R13" s="116" t="n">
        <v>0</v>
      </c>
      <c r="S13" s="240" t="n">
        <v>50</v>
      </c>
      <c r="T13" s="240" t="n">
        <v>0</v>
      </c>
      <c r="U13" s="221" t="n">
        <f aca="false">M13-N13-O13-P13-Q13-R13+S13+T13</f>
        <v>50.6</v>
      </c>
      <c r="V13" s="221"/>
      <c r="W13" s="216"/>
      <c r="X13" s="240" t="n">
        <v>0</v>
      </c>
      <c r="Y13" s="240" t="n">
        <v>18</v>
      </c>
      <c r="Z13" s="216" t="n">
        <f aca="false">Z12-Y13</f>
        <v>2595</v>
      </c>
      <c r="AA13" s="117" t="n">
        <f aca="false">N13+O13+P13+Q13+R13+U13+X13+Y13</f>
        <v>72.4</v>
      </c>
      <c r="AB13" s="240" t="n">
        <f aca="false">IF(L13&lt;0,L13*-1,0)</f>
        <v>0</v>
      </c>
      <c r="AC13" s="240" t="n">
        <f aca="false">AA13+AB13</f>
        <v>72.4</v>
      </c>
      <c r="AD13" s="222" t="n">
        <v>0</v>
      </c>
      <c r="AE13" s="218" t="n">
        <v>53</v>
      </c>
      <c r="AF13" s="223" t="n">
        <v>27</v>
      </c>
      <c r="AG13" s="218" t="n">
        <f aca="false">AG12+(U13*1.9835)</f>
        <v>2924.9818772275</v>
      </c>
      <c r="AH13" s="218" t="n">
        <v>0</v>
      </c>
      <c r="AI13" s="224"/>
      <c r="AJ13" s="224"/>
      <c r="AK13" s="224"/>
    </row>
    <row r="14" customFormat="false" ht="11.1" hidden="false" customHeight="true" outlineLevel="0" collapsed="false">
      <c r="A14" s="153" t="n">
        <f aca="false">A13+1</f>
        <v>3</v>
      </c>
      <c r="B14" s="226" t="n">
        <v>6864.12</v>
      </c>
      <c r="C14" s="216" t="n">
        <v>172788</v>
      </c>
      <c r="D14" s="218" t="n">
        <f aca="false">C14-C13</f>
        <v>-25</v>
      </c>
      <c r="E14" s="216" t="n">
        <f aca="false">C14-152000</f>
        <v>20788</v>
      </c>
      <c r="F14" s="239" t="n">
        <f aca="false">D14/$D$2</f>
        <v>-12.6039828585833</v>
      </c>
      <c r="G14" s="240" t="n">
        <v>51</v>
      </c>
      <c r="H14" s="241" t="n">
        <v>0</v>
      </c>
      <c r="I14" s="240" t="n">
        <f aca="false">G14+H14</f>
        <v>51</v>
      </c>
      <c r="J14" s="221" t="n">
        <f aca="false">IF(L14&gt;0,L14,0)</f>
        <v>13.0060171414167</v>
      </c>
      <c r="K14" s="240" t="n">
        <f aca="false">I14+J14</f>
        <v>64.0060171414167</v>
      </c>
      <c r="L14" s="240" t="n">
        <f aca="false">F14-(I14-AA14)</f>
        <v>13.0060171414167</v>
      </c>
      <c r="M14" s="242" t="n">
        <v>4.2</v>
      </c>
      <c r="N14" s="240" t="n">
        <v>0</v>
      </c>
      <c r="O14" s="240" t="n">
        <v>4.41</v>
      </c>
      <c r="P14" s="115" t="n">
        <v>1.4</v>
      </c>
      <c r="Q14" s="115" t="n">
        <v>2.4</v>
      </c>
      <c r="R14" s="116" t="n">
        <v>0</v>
      </c>
      <c r="S14" s="240" t="n">
        <v>50</v>
      </c>
      <c r="T14" s="240" t="n">
        <v>0</v>
      </c>
      <c r="U14" s="221" t="n">
        <f aca="false">M14-N14-P14-Q14-R14+S14+T14</f>
        <v>50.4</v>
      </c>
      <c r="V14" s="221"/>
      <c r="W14" s="216"/>
      <c r="X14" s="240" t="n">
        <v>0</v>
      </c>
      <c r="Y14" s="240" t="n">
        <v>18</v>
      </c>
      <c r="Z14" s="216" t="n">
        <f aca="false">Z13-Y14</f>
        <v>2577</v>
      </c>
      <c r="AA14" s="117" t="n">
        <f aca="false">N14+O14+P14+Q14+R14+U14+X14+Y14</f>
        <v>76.61</v>
      </c>
      <c r="AB14" s="240" t="n">
        <f aca="false">IF(L14&lt;0,L14*-1,0)</f>
        <v>0</v>
      </c>
      <c r="AC14" s="240" t="n">
        <f aca="false">AA14+AB14</f>
        <v>76.61</v>
      </c>
      <c r="AD14" s="222" t="n">
        <v>0</v>
      </c>
      <c r="AE14" s="218" t="n">
        <v>52</v>
      </c>
      <c r="AF14" s="223" t="n">
        <v>24</v>
      </c>
      <c r="AG14" s="218" t="n">
        <f aca="false">AG13+(U14*1.9835)</f>
        <v>3024.9502772275</v>
      </c>
      <c r="AH14" s="218" t="n">
        <v>0</v>
      </c>
      <c r="AI14" s="224"/>
      <c r="AJ14" s="224"/>
      <c r="AK14" s="224"/>
    </row>
    <row r="15" customFormat="false" ht="11.1" hidden="false" customHeight="true" outlineLevel="0" collapsed="false">
      <c r="A15" s="153" t="n">
        <f aca="false">A14+1</f>
        <v>4</v>
      </c>
      <c r="B15" s="226" t="n">
        <v>6864.11</v>
      </c>
      <c r="C15" s="216" t="n">
        <v>172764</v>
      </c>
      <c r="D15" s="218" t="n">
        <f aca="false">C15-C14</f>
        <v>-24</v>
      </c>
      <c r="E15" s="216" t="n">
        <f aca="false">C15-152000</f>
        <v>20764</v>
      </c>
      <c r="F15" s="239" t="n">
        <f aca="false">D15/$D$2</f>
        <v>-12.09982354424</v>
      </c>
      <c r="G15" s="240" t="n">
        <v>48</v>
      </c>
      <c r="H15" s="241" t="n">
        <v>0</v>
      </c>
      <c r="I15" s="240" t="n">
        <f aca="false">G15+H15</f>
        <v>48</v>
      </c>
      <c r="J15" s="221" t="n">
        <f aca="false">IF(L15&gt;0,L15,0)</f>
        <v>20.30017645576</v>
      </c>
      <c r="K15" s="240" t="n">
        <f aca="false">I15+J15</f>
        <v>68.30017645576</v>
      </c>
      <c r="L15" s="240" t="n">
        <f aca="false">F15-(I15-AA15)</f>
        <v>20.30017645576</v>
      </c>
      <c r="M15" s="242" t="n">
        <v>4.1</v>
      </c>
      <c r="N15" s="240" t="n">
        <v>0</v>
      </c>
      <c r="O15" s="240" t="n">
        <v>8.3</v>
      </c>
      <c r="P15" s="115" t="n">
        <v>1.4</v>
      </c>
      <c r="Q15" s="115" t="n">
        <v>2.4</v>
      </c>
      <c r="R15" s="116" t="n">
        <v>0</v>
      </c>
      <c r="S15" s="240" t="n">
        <v>50</v>
      </c>
      <c r="T15" s="240" t="n">
        <v>0</v>
      </c>
      <c r="U15" s="221" t="n">
        <f aca="false">M15-N15-P15-Q15-R15+S15+T15</f>
        <v>50.3</v>
      </c>
      <c r="V15" s="221"/>
      <c r="W15" s="216"/>
      <c r="X15" s="240" t="n">
        <v>0</v>
      </c>
      <c r="Y15" s="240" t="n">
        <v>18</v>
      </c>
      <c r="Z15" s="216" t="n">
        <f aca="false">Z14-Y15</f>
        <v>2559</v>
      </c>
      <c r="AA15" s="117" t="n">
        <f aca="false">N15+O15+P15+Q15+R15+U15+X15+Y15</f>
        <v>80.4</v>
      </c>
      <c r="AB15" s="240" t="n">
        <f aca="false">IF(L15&lt;0,L15*-1,0)</f>
        <v>0</v>
      </c>
      <c r="AC15" s="240" t="n">
        <f aca="false">AA15+AB15</f>
        <v>80.4</v>
      </c>
      <c r="AD15" s="222" t="n">
        <v>0</v>
      </c>
      <c r="AE15" s="218" t="n">
        <v>52</v>
      </c>
      <c r="AF15" s="223" t="n">
        <v>23</v>
      </c>
      <c r="AG15" s="218" t="n">
        <f aca="false">AG14+(U15*1.9835)</f>
        <v>3124.7203272275</v>
      </c>
      <c r="AH15" s="218" t="n">
        <v>0</v>
      </c>
      <c r="AI15" s="224"/>
      <c r="AJ15" s="224"/>
      <c r="AK15" s="224"/>
    </row>
    <row r="16" customFormat="false" ht="11.1" hidden="false" customHeight="true" outlineLevel="0" collapsed="false">
      <c r="A16" s="153" t="n">
        <f aca="false">A15+1</f>
        <v>5</v>
      </c>
      <c r="B16" s="226" t="n">
        <v>6864.1</v>
      </c>
      <c r="C16" s="216" t="n">
        <v>172739</v>
      </c>
      <c r="D16" s="218" t="n">
        <f aca="false">C16-C15</f>
        <v>-25</v>
      </c>
      <c r="E16" s="216" t="n">
        <f aca="false">C16-152000</f>
        <v>20739</v>
      </c>
      <c r="F16" s="239" t="n">
        <f aca="false">D16/$D$2</f>
        <v>-12.6039828585833</v>
      </c>
      <c r="G16" s="240" t="n">
        <v>46</v>
      </c>
      <c r="H16" s="241" t="n">
        <v>0</v>
      </c>
      <c r="I16" s="240" t="n">
        <f aca="false">G16+H16</f>
        <v>46</v>
      </c>
      <c r="J16" s="221" t="n">
        <f aca="false">IF(L16&gt;0,L16,0)</f>
        <v>17.5760171414167</v>
      </c>
      <c r="K16" s="240" t="n">
        <f aca="false">I16+J16</f>
        <v>63.5760171414167</v>
      </c>
      <c r="L16" s="240" t="n">
        <f aca="false">F16-(I16-AA16)</f>
        <v>17.5760171414167</v>
      </c>
      <c r="M16" s="242" t="n">
        <v>4.1</v>
      </c>
      <c r="N16" s="240" t="n">
        <v>0</v>
      </c>
      <c r="O16" s="240" t="n">
        <v>4.08</v>
      </c>
      <c r="P16" s="115" t="n">
        <v>1.4</v>
      </c>
      <c r="Q16" s="115" t="n">
        <v>2.4</v>
      </c>
      <c r="R16" s="116" t="n">
        <v>0</v>
      </c>
      <c r="S16" s="240" t="n">
        <v>50</v>
      </c>
      <c r="T16" s="240" t="n">
        <v>0</v>
      </c>
      <c r="U16" s="221" t="n">
        <f aca="false">M16-N16-P16-Q16-R16+S16+T16</f>
        <v>50.3</v>
      </c>
      <c r="V16" s="221"/>
      <c r="W16" s="216"/>
      <c r="X16" s="240" t="n">
        <v>0</v>
      </c>
      <c r="Y16" s="240" t="n">
        <v>18</v>
      </c>
      <c r="Z16" s="216" t="n">
        <f aca="false">Z15-Y16</f>
        <v>2541</v>
      </c>
      <c r="AA16" s="117" t="n">
        <f aca="false">N16+O16+P16+Q16+R16+U16+X16+Y16</f>
        <v>76.18</v>
      </c>
      <c r="AB16" s="240" t="n">
        <f aca="false">IF(L16&lt;0,L16*-1,0)</f>
        <v>0</v>
      </c>
      <c r="AC16" s="240" t="n">
        <f aca="false">AA16+AB16</f>
        <v>76.18</v>
      </c>
      <c r="AD16" s="222" t="n">
        <v>0</v>
      </c>
      <c r="AE16" s="218" t="n">
        <v>48</v>
      </c>
      <c r="AF16" s="223" t="n">
        <v>25</v>
      </c>
      <c r="AG16" s="218" t="n">
        <f aca="false">AG15+(U16*1.9835)</f>
        <v>3224.4903772275</v>
      </c>
      <c r="AH16" s="218" t="n">
        <v>0</v>
      </c>
      <c r="AI16" s="224"/>
      <c r="AJ16" s="224"/>
      <c r="AK16" s="224"/>
    </row>
    <row r="17" customFormat="false" ht="11.1" hidden="false" customHeight="true" outlineLevel="0" collapsed="false">
      <c r="A17" s="153" t="n">
        <f aca="false">A16+1</f>
        <v>6</v>
      </c>
      <c r="B17" s="226" t="n">
        <v>6864.09</v>
      </c>
      <c r="C17" s="216" t="n">
        <v>172715</v>
      </c>
      <c r="D17" s="218" t="n">
        <f aca="false">C17-C16</f>
        <v>-24</v>
      </c>
      <c r="E17" s="216" t="n">
        <f aca="false">C17-152000</f>
        <v>20715</v>
      </c>
      <c r="F17" s="239" t="n">
        <f aca="false">D17/$D$2</f>
        <v>-12.09982354424</v>
      </c>
      <c r="G17" s="240" t="n">
        <v>46</v>
      </c>
      <c r="H17" s="241" t="n">
        <v>0</v>
      </c>
      <c r="I17" s="240" t="n">
        <f aca="false">G17+H17</f>
        <v>46</v>
      </c>
      <c r="J17" s="221" t="n">
        <f aca="false">IF(L17&gt;0,L17,0)</f>
        <v>14.00017645576</v>
      </c>
      <c r="K17" s="240" t="n">
        <f aca="false">I17+J17</f>
        <v>60.00017645576</v>
      </c>
      <c r="L17" s="240" t="n">
        <f aca="false">F17-(I17-AA17)</f>
        <v>14.00017645576</v>
      </c>
      <c r="M17" s="242" t="n">
        <v>4.1</v>
      </c>
      <c r="N17" s="240" t="n">
        <v>0</v>
      </c>
      <c r="O17" s="240" t="n">
        <v>0</v>
      </c>
      <c r="P17" s="115" t="n">
        <v>1.4</v>
      </c>
      <c r="Q17" s="115" t="n">
        <v>2.4</v>
      </c>
      <c r="R17" s="116" t="n">
        <v>0</v>
      </c>
      <c r="S17" s="240" t="n">
        <v>50</v>
      </c>
      <c r="T17" s="240" t="n">
        <v>0</v>
      </c>
      <c r="U17" s="221" t="n">
        <f aca="false">M17-N17-P17-Q17-R17+S17+T17</f>
        <v>50.3</v>
      </c>
      <c r="V17" s="221"/>
      <c r="W17" s="216"/>
      <c r="X17" s="240" t="n">
        <v>0</v>
      </c>
      <c r="Y17" s="240" t="n">
        <v>18</v>
      </c>
      <c r="Z17" s="216" t="n">
        <f aca="false">Z16-Y17</f>
        <v>2523</v>
      </c>
      <c r="AA17" s="117" t="n">
        <f aca="false">N17+O17+P17+Q17+R17+U17+X17+Y17</f>
        <v>72.1</v>
      </c>
      <c r="AB17" s="240" t="n">
        <f aca="false">IF(L17&lt;0,L17*-1,0)</f>
        <v>0</v>
      </c>
      <c r="AC17" s="240" t="n">
        <f aca="false">AA17+AB17</f>
        <v>72.1</v>
      </c>
      <c r="AD17" s="222" t="n">
        <v>0</v>
      </c>
      <c r="AE17" s="218" t="n">
        <v>55</v>
      </c>
      <c r="AF17" s="223" t="n">
        <v>32</v>
      </c>
      <c r="AG17" s="218" t="n">
        <f aca="false">AG16+(U17*1.9835)</f>
        <v>3324.2604272275</v>
      </c>
      <c r="AH17" s="218" t="n">
        <v>0</v>
      </c>
      <c r="AI17" s="224"/>
      <c r="AJ17" s="224"/>
      <c r="AK17" s="224"/>
    </row>
    <row r="18" customFormat="false" ht="11.1" hidden="false" customHeight="true" outlineLevel="0" collapsed="false">
      <c r="A18" s="153" t="n">
        <f aca="false">A17+1</f>
        <v>7</v>
      </c>
      <c r="B18" s="226" t="n">
        <v>6864.08</v>
      </c>
      <c r="C18" s="216" t="n">
        <v>172690</v>
      </c>
      <c r="D18" s="218" t="n">
        <f aca="false">C18-C17</f>
        <v>-25</v>
      </c>
      <c r="E18" s="216" t="n">
        <f aca="false">C18-152000</f>
        <v>20690</v>
      </c>
      <c r="F18" s="239" t="n">
        <f aca="false">D18/$D$2</f>
        <v>-12.6039828585833</v>
      </c>
      <c r="G18" s="240" t="n">
        <v>46</v>
      </c>
      <c r="H18" s="241" t="n">
        <v>0</v>
      </c>
      <c r="I18" s="240" t="n">
        <f aca="false">G18+H18</f>
        <v>46</v>
      </c>
      <c r="J18" s="221" t="n">
        <f aca="false">IF(L18&gt;0,L18,0)</f>
        <v>13.4960171414167</v>
      </c>
      <c r="K18" s="240" t="n">
        <f aca="false">I18+J18</f>
        <v>59.4960171414167</v>
      </c>
      <c r="L18" s="240" t="n">
        <f aca="false">F18-(I18-AA18)</f>
        <v>13.4960171414167</v>
      </c>
      <c r="M18" s="242" t="n">
        <v>4.1</v>
      </c>
      <c r="N18" s="240" t="n">
        <v>0</v>
      </c>
      <c r="O18" s="240" t="n">
        <v>0</v>
      </c>
      <c r="P18" s="115" t="n">
        <v>1.4</v>
      </c>
      <c r="Q18" s="115" t="n">
        <v>2.4</v>
      </c>
      <c r="R18" s="116" t="n">
        <v>0</v>
      </c>
      <c r="S18" s="240" t="n">
        <v>50</v>
      </c>
      <c r="T18" s="240" t="n">
        <v>0</v>
      </c>
      <c r="U18" s="221" t="n">
        <f aca="false">M18-N18-P18-Q18-R18+S18+T18</f>
        <v>50.3</v>
      </c>
      <c r="V18" s="221"/>
      <c r="W18" s="216"/>
      <c r="X18" s="240" t="n">
        <v>0</v>
      </c>
      <c r="Y18" s="240" t="n">
        <v>18</v>
      </c>
      <c r="Z18" s="216" t="n">
        <f aca="false">Z17-Y18</f>
        <v>2505</v>
      </c>
      <c r="AA18" s="117" t="n">
        <f aca="false">N18+O18+P18+Q18+R18+U18+X18+Y18</f>
        <v>72.1</v>
      </c>
      <c r="AB18" s="240" t="n">
        <f aca="false">IF(L18&lt;0,L18*-1,0)</f>
        <v>0</v>
      </c>
      <c r="AC18" s="240" t="n">
        <f aca="false">AA18+AB18</f>
        <v>72.1</v>
      </c>
      <c r="AD18" s="222" t="n">
        <v>0</v>
      </c>
      <c r="AE18" s="218" t="n">
        <v>48</v>
      </c>
      <c r="AF18" s="223" t="n">
        <v>33</v>
      </c>
      <c r="AG18" s="218" t="n">
        <f aca="false">AG17+(U18*1.9835)</f>
        <v>3424.0304772275</v>
      </c>
      <c r="AH18" s="218" t="n">
        <v>0</v>
      </c>
      <c r="AI18" s="224"/>
      <c r="AJ18" s="224"/>
      <c r="AK18" s="224"/>
    </row>
    <row r="19" customFormat="false" ht="11.1" hidden="false" customHeight="true" outlineLevel="0" collapsed="false">
      <c r="A19" s="153" t="n">
        <f aca="false">A18+1</f>
        <v>8</v>
      </c>
      <c r="B19" s="226" t="n">
        <v>6864.06</v>
      </c>
      <c r="C19" s="216" t="n">
        <v>172641</v>
      </c>
      <c r="D19" s="218" t="n">
        <f aca="false">C19-C18</f>
        <v>-49</v>
      </c>
      <c r="E19" s="216" t="n">
        <f aca="false">C19-152000</f>
        <v>20641</v>
      </c>
      <c r="F19" s="239" t="n">
        <f aca="false">D19/$D$2</f>
        <v>-24.7038064028233</v>
      </c>
      <c r="G19" s="240" t="n">
        <v>45</v>
      </c>
      <c r="H19" s="241" t="n">
        <v>0</v>
      </c>
      <c r="I19" s="240" t="n">
        <f aca="false">G19+H19</f>
        <v>45</v>
      </c>
      <c r="J19" s="221" t="n">
        <f aca="false">IF(L19&gt;0,L19,0)</f>
        <v>15.0861935971767</v>
      </c>
      <c r="K19" s="240" t="n">
        <f aca="false">I19+J19</f>
        <v>60.0861935971767</v>
      </c>
      <c r="L19" s="240" t="n">
        <f aca="false">F19-(I19-AA19)</f>
        <v>15.0861935971767</v>
      </c>
      <c r="M19" s="242" t="n">
        <v>4.1</v>
      </c>
      <c r="N19" s="240" t="n">
        <v>0</v>
      </c>
      <c r="O19" s="240" t="n">
        <v>6.69</v>
      </c>
      <c r="P19" s="115" t="n">
        <v>1.4</v>
      </c>
      <c r="Q19" s="115" t="n">
        <v>2.4</v>
      </c>
      <c r="R19" s="116" t="n">
        <v>0</v>
      </c>
      <c r="S19" s="240" t="n">
        <v>56</v>
      </c>
      <c r="T19" s="240" t="n">
        <v>0</v>
      </c>
      <c r="U19" s="221" t="n">
        <f aca="false">M19-N19-P19-Q19-R19+S19+T19</f>
        <v>56.3</v>
      </c>
      <c r="V19" s="221"/>
      <c r="W19" s="216"/>
      <c r="X19" s="240" t="n">
        <v>0</v>
      </c>
      <c r="Y19" s="240" t="n">
        <v>18</v>
      </c>
      <c r="Z19" s="216" t="n">
        <f aca="false">Z18-Y19</f>
        <v>2487</v>
      </c>
      <c r="AA19" s="117" t="n">
        <f aca="false">N19+O19+P19+Q19+R19+U19+X19+Y19</f>
        <v>84.79</v>
      </c>
      <c r="AB19" s="240" t="n">
        <f aca="false">IF(L19&lt;0,L19*-1,0)</f>
        <v>0</v>
      </c>
      <c r="AC19" s="240" t="n">
        <f aca="false">AA19+AB19</f>
        <v>84.79</v>
      </c>
      <c r="AD19" s="222" t="n">
        <v>0.14</v>
      </c>
      <c r="AE19" s="218" t="n">
        <v>42</v>
      </c>
      <c r="AF19" s="223" t="n">
        <v>24</v>
      </c>
      <c r="AG19" s="218" t="n">
        <f aca="false">AG18+(U19*1.9835)</f>
        <v>3535.7015272275</v>
      </c>
      <c r="AH19" s="218" t="n">
        <v>0</v>
      </c>
      <c r="AI19" s="224"/>
      <c r="AJ19" s="224"/>
      <c r="AK19" s="224"/>
    </row>
    <row r="20" customFormat="false" ht="11.1" hidden="false" customHeight="true" outlineLevel="0" collapsed="false">
      <c r="A20" s="153" t="n">
        <f aca="false">A19+1</f>
        <v>9</v>
      </c>
      <c r="B20" s="226" t="n">
        <v>6864.03</v>
      </c>
      <c r="C20" s="216" t="n">
        <v>172567</v>
      </c>
      <c r="D20" s="218" t="n">
        <f aca="false">C20-C19</f>
        <v>-74</v>
      </c>
      <c r="E20" s="216" t="n">
        <f aca="false">C20-152000</f>
        <v>20567</v>
      </c>
      <c r="F20" s="239" t="n">
        <f aca="false">D20/$D$2</f>
        <v>-37.3077892614066</v>
      </c>
      <c r="G20" s="240" t="n">
        <v>43</v>
      </c>
      <c r="H20" s="241" t="n">
        <v>0</v>
      </c>
      <c r="I20" s="240" t="n">
        <f aca="false">G20+H20</f>
        <v>43</v>
      </c>
      <c r="J20" s="221" t="n">
        <f aca="false">IF(L20&gt;0,L20,0)</f>
        <v>3.79221073859339</v>
      </c>
      <c r="K20" s="240" t="n">
        <f aca="false">I20+J20</f>
        <v>46.7922107385934</v>
      </c>
      <c r="L20" s="240" t="n">
        <f aca="false">F20-(I20-AA20)</f>
        <v>3.79221073859339</v>
      </c>
      <c r="M20" s="242" t="n">
        <v>4.1</v>
      </c>
      <c r="N20" s="240" t="n">
        <v>0</v>
      </c>
      <c r="O20" s="240" t="n">
        <v>0</v>
      </c>
      <c r="P20" s="115" t="n">
        <v>1.4</v>
      </c>
      <c r="Q20" s="115" t="n">
        <v>2.4</v>
      </c>
      <c r="R20" s="116" t="n">
        <v>0</v>
      </c>
      <c r="S20" s="240" t="n">
        <v>61</v>
      </c>
      <c r="T20" s="240" t="n">
        <v>0</v>
      </c>
      <c r="U20" s="221" t="n">
        <f aca="false">M20-N20-P20-Q20-R20+S20+T20</f>
        <v>61.3</v>
      </c>
      <c r="V20" s="221"/>
      <c r="W20" s="216"/>
      <c r="X20" s="240" t="n">
        <v>0</v>
      </c>
      <c r="Y20" s="240" t="n">
        <v>19</v>
      </c>
      <c r="Z20" s="216" t="n">
        <f aca="false">Z19-Y20</f>
        <v>2468</v>
      </c>
      <c r="AA20" s="117" t="n">
        <f aca="false">N20+O20+P20+Q20+R20+U20+X20+Y20</f>
        <v>84.1</v>
      </c>
      <c r="AB20" s="240" t="n">
        <f aca="false">IF(L20&lt;0,L20*-1,0)</f>
        <v>0</v>
      </c>
      <c r="AC20" s="240" t="n">
        <f aca="false">AA20+AB20</f>
        <v>84.1</v>
      </c>
      <c r="AD20" s="222" t="n">
        <v>0</v>
      </c>
      <c r="AE20" s="224" t="n">
        <v>39</v>
      </c>
      <c r="AF20" s="223" t="n">
        <v>16</v>
      </c>
      <c r="AG20" s="218" t="n">
        <f aca="false">AG19+(U20*1.9835)</f>
        <v>3657.2900772275</v>
      </c>
      <c r="AH20" s="218" t="n">
        <v>0</v>
      </c>
      <c r="AI20" s="224"/>
      <c r="AJ20" s="224"/>
      <c r="AK20" s="224"/>
    </row>
    <row r="21" customFormat="false" ht="11.1" hidden="false" customHeight="true" outlineLevel="0" collapsed="false">
      <c r="A21" s="153" t="n">
        <f aca="false">A20+1</f>
        <v>10</v>
      </c>
      <c r="B21" s="226" t="n">
        <v>6864</v>
      </c>
      <c r="C21" s="216" t="n">
        <v>172493</v>
      </c>
      <c r="D21" s="218" t="n">
        <f aca="false">C21-C20</f>
        <v>-74</v>
      </c>
      <c r="E21" s="216" t="n">
        <f aca="false">C21-152000</f>
        <v>20493</v>
      </c>
      <c r="F21" s="239" t="n">
        <f aca="false">D21/$D$2</f>
        <v>-37.3077892614066</v>
      </c>
      <c r="G21" s="240" t="n">
        <v>32</v>
      </c>
      <c r="H21" s="241" t="n">
        <v>0</v>
      </c>
      <c r="I21" s="240" t="n">
        <f aca="false">G21+H21</f>
        <v>32</v>
      </c>
      <c r="J21" s="221" t="n">
        <f aca="false">IF(L21&gt;0,L21,0)</f>
        <v>12.4822107385934</v>
      </c>
      <c r="K21" s="240" t="n">
        <f aca="false">I21+J21</f>
        <v>44.4822107385934</v>
      </c>
      <c r="L21" s="240" t="n">
        <f aca="false">F21-(I21-AA21)</f>
        <v>12.4822107385934</v>
      </c>
      <c r="M21" s="242" t="n">
        <v>4.1</v>
      </c>
      <c r="N21" s="240" t="n">
        <v>0</v>
      </c>
      <c r="O21" s="240" t="n">
        <v>1.69</v>
      </c>
      <c r="P21" s="115" t="n">
        <v>1.4</v>
      </c>
      <c r="Q21" s="115" t="n">
        <v>2.4</v>
      </c>
      <c r="R21" s="116" t="n">
        <v>0</v>
      </c>
      <c r="S21" s="240" t="n">
        <v>60</v>
      </c>
      <c r="T21" s="240" t="n">
        <v>0</v>
      </c>
      <c r="U21" s="221" t="n">
        <f aca="false">M21-N21-P21-Q21-R21+S21+T21</f>
        <v>60.3</v>
      </c>
      <c r="V21" s="221"/>
      <c r="W21" s="216"/>
      <c r="X21" s="240" t="n">
        <v>0</v>
      </c>
      <c r="Y21" s="240" t="n">
        <v>16</v>
      </c>
      <c r="Z21" s="216" t="n">
        <f aca="false">Z20-Y21</f>
        <v>2452</v>
      </c>
      <c r="AA21" s="117" t="n">
        <f aca="false">N21+O21+P21+Q21+R21+U21+X21+Y21</f>
        <v>81.79</v>
      </c>
      <c r="AB21" s="240" t="n">
        <f aca="false">IF(L21&lt;0,L21*-1,0)</f>
        <v>0</v>
      </c>
      <c r="AC21" s="240" t="n">
        <f aca="false">AA21+AB21</f>
        <v>81.79</v>
      </c>
      <c r="AD21" s="222" t="n">
        <v>0</v>
      </c>
      <c r="AE21" s="218" t="n">
        <v>39</v>
      </c>
      <c r="AF21" s="223" t="n">
        <v>14</v>
      </c>
      <c r="AG21" s="218" t="n">
        <f aca="false">AG20+(U21*1.9835)</f>
        <v>3776.8951272275</v>
      </c>
      <c r="AH21" s="218" t="n">
        <v>0</v>
      </c>
      <c r="AI21" s="224"/>
      <c r="AJ21" s="224"/>
      <c r="AK21" s="224"/>
    </row>
    <row r="22" customFormat="false" ht="11.1" hidden="false" customHeight="true" outlineLevel="0" collapsed="false">
      <c r="A22" s="153" t="n">
        <f aca="false">A21+1</f>
        <v>11</v>
      </c>
      <c r="B22" s="226" t="n">
        <v>6863.97</v>
      </c>
      <c r="C22" s="216" t="n">
        <v>172421</v>
      </c>
      <c r="D22" s="218" t="n">
        <f aca="false">C22-C21</f>
        <v>-72</v>
      </c>
      <c r="E22" s="216" t="n">
        <f aca="false">C22-152000</f>
        <v>20421</v>
      </c>
      <c r="F22" s="239" t="n">
        <f aca="false">D22/$D$2</f>
        <v>-36.2994706327199</v>
      </c>
      <c r="G22" s="240" t="n">
        <v>31</v>
      </c>
      <c r="H22" s="241" t="n">
        <v>0</v>
      </c>
      <c r="I22" s="240" t="n">
        <f aca="false">G22+H22</f>
        <v>31</v>
      </c>
      <c r="J22" s="221" t="n">
        <f aca="false">IF(L22&gt;0,L22,0)</f>
        <v>13.4255293672801</v>
      </c>
      <c r="K22" s="240" t="n">
        <f aca="false">I22+J22</f>
        <v>44.4255293672801</v>
      </c>
      <c r="L22" s="240" t="n">
        <f aca="false">F22-(I22-AA22)</f>
        <v>13.4255293672801</v>
      </c>
      <c r="M22" s="242" t="n">
        <v>4.1</v>
      </c>
      <c r="N22" s="240" t="n">
        <v>0</v>
      </c>
      <c r="O22" s="240" t="n">
        <v>1.625</v>
      </c>
      <c r="P22" s="115" t="n">
        <v>1.4</v>
      </c>
      <c r="Q22" s="115" t="n">
        <v>2.4</v>
      </c>
      <c r="R22" s="116" t="n">
        <v>0</v>
      </c>
      <c r="S22" s="240" t="n">
        <v>59</v>
      </c>
      <c r="T22" s="240" t="n">
        <v>0</v>
      </c>
      <c r="U22" s="221" t="n">
        <f aca="false">M22-N22-P22-Q22-R22+S22+T22</f>
        <v>59.3</v>
      </c>
      <c r="V22" s="221"/>
      <c r="W22" s="216"/>
      <c r="X22" s="240" t="n">
        <v>0</v>
      </c>
      <c r="Y22" s="240" t="n">
        <v>16</v>
      </c>
      <c r="Z22" s="216" t="n">
        <f aca="false">Z21-Y22</f>
        <v>2436</v>
      </c>
      <c r="AA22" s="117" t="n">
        <f aca="false">N22+O22+P22+Q22+R22+U22+X22+Y22</f>
        <v>80.725</v>
      </c>
      <c r="AB22" s="240" t="n">
        <f aca="false">IF(L22&lt;0,L22*-1,0)</f>
        <v>0</v>
      </c>
      <c r="AC22" s="240" t="n">
        <f aca="false">AA22+AB22</f>
        <v>80.725</v>
      </c>
      <c r="AD22" s="222" t="n">
        <v>0</v>
      </c>
      <c r="AE22" s="218" t="n">
        <v>40</v>
      </c>
      <c r="AF22" s="223" t="n">
        <v>20</v>
      </c>
      <c r="AG22" s="218" t="n">
        <f aca="false">AG21+(U22*1.9835)</f>
        <v>3894.5166772275</v>
      </c>
      <c r="AH22" s="218" t="n">
        <v>0</v>
      </c>
      <c r="AI22" s="224"/>
      <c r="AJ22" s="224"/>
      <c r="AK22" s="224"/>
    </row>
    <row r="23" customFormat="false" ht="11.1" hidden="false" customHeight="true" outlineLevel="0" collapsed="false">
      <c r="A23" s="153" t="n">
        <f aca="false">A22+1</f>
        <v>12</v>
      </c>
      <c r="B23" s="226" t="n">
        <v>6863.94</v>
      </c>
      <c r="C23" s="216" t="n">
        <v>172348</v>
      </c>
      <c r="D23" s="218" t="n">
        <f aca="false">C23-C22</f>
        <v>-73</v>
      </c>
      <c r="E23" s="216" t="n">
        <f aca="false">C23-152000</f>
        <v>20348</v>
      </c>
      <c r="F23" s="239" t="n">
        <f aca="false">D23/$D$2</f>
        <v>-36.8036299470633</v>
      </c>
      <c r="G23" s="240" t="n">
        <v>39</v>
      </c>
      <c r="H23" s="241" t="n">
        <v>0</v>
      </c>
      <c r="I23" s="240" t="n">
        <f aca="false">G23+H23</f>
        <v>39</v>
      </c>
      <c r="J23" s="221" t="n">
        <f aca="false">IF(L23&gt;0,L23,0)</f>
        <v>7.31637005293673</v>
      </c>
      <c r="K23" s="240" t="n">
        <f aca="false">I23+J23</f>
        <v>46.3163700529367</v>
      </c>
      <c r="L23" s="240" t="n">
        <f aca="false">F23-(I23-AA23)</f>
        <v>7.31637005293673</v>
      </c>
      <c r="M23" s="242" t="n">
        <v>4.1</v>
      </c>
      <c r="N23" s="240" t="n">
        <v>0</v>
      </c>
      <c r="O23" s="240" t="n">
        <v>1.02</v>
      </c>
      <c r="P23" s="115" t="n">
        <v>1.4</v>
      </c>
      <c r="Q23" s="115" t="n">
        <v>2.4</v>
      </c>
      <c r="R23" s="116" t="n">
        <v>0</v>
      </c>
      <c r="S23" s="240" t="n">
        <v>59</v>
      </c>
      <c r="T23" s="240" t="n">
        <v>0</v>
      </c>
      <c r="U23" s="221" t="n">
        <f aca="false">M23-N23-P23-Q23-R23+S23+T23</f>
        <v>59.3</v>
      </c>
      <c r="V23" s="221"/>
      <c r="W23" s="216"/>
      <c r="X23" s="240" t="n">
        <v>0</v>
      </c>
      <c r="Y23" s="240" t="n">
        <v>19</v>
      </c>
      <c r="Z23" s="216" t="n">
        <f aca="false">Z22-Y23</f>
        <v>2417</v>
      </c>
      <c r="AA23" s="117" t="n">
        <f aca="false">N23+O23+P23+Q23+R23+U23+X23+Y23</f>
        <v>83.12</v>
      </c>
      <c r="AB23" s="240" t="n">
        <f aca="false">IF(L23&lt;0,L23*-1,0)</f>
        <v>0</v>
      </c>
      <c r="AC23" s="240" t="n">
        <f aca="false">AA23+AB23</f>
        <v>83.12</v>
      </c>
      <c r="AD23" s="222" t="n">
        <v>0</v>
      </c>
      <c r="AE23" s="218" t="n">
        <v>37</v>
      </c>
      <c r="AF23" s="223" t="n">
        <v>18</v>
      </c>
      <c r="AG23" s="218" t="n">
        <f aca="false">AG22+(U23*1.9835)</f>
        <v>4012.1382272275</v>
      </c>
      <c r="AH23" s="218" t="n">
        <v>0</v>
      </c>
      <c r="AI23" s="224"/>
      <c r="AJ23" s="224"/>
      <c r="AK23" s="224"/>
    </row>
    <row r="24" customFormat="false" ht="11.1" hidden="false" customHeight="true" outlineLevel="0" collapsed="false">
      <c r="A24" s="153" t="n">
        <f aca="false">A23+1</f>
        <v>13</v>
      </c>
      <c r="B24" s="226" t="n">
        <v>6863.91</v>
      </c>
      <c r="C24" s="216" t="n">
        <v>172276</v>
      </c>
      <c r="D24" s="218" t="n">
        <f aca="false">C24-C23</f>
        <v>-72</v>
      </c>
      <c r="E24" s="216" t="n">
        <f aca="false">C24-152000</f>
        <v>20276</v>
      </c>
      <c r="F24" s="239" t="n">
        <f aca="false">D24/$D$2</f>
        <v>-36.2994706327199</v>
      </c>
      <c r="G24" s="240" t="n">
        <v>30</v>
      </c>
      <c r="H24" s="241" t="n">
        <v>0</v>
      </c>
      <c r="I24" s="240" t="n">
        <f aca="false">G24+H24</f>
        <v>30</v>
      </c>
      <c r="J24" s="221" t="n">
        <f aca="false">IF(L24&gt;0,L24,0)</f>
        <v>16.8305293672801</v>
      </c>
      <c r="K24" s="240" t="n">
        <f aca="false">I24+J24</f>
        <v>46.8305293672801</v>
      </c>
      <c r="L24" s="240" t="n">
        <f aca="false">F24-(I24-AA24)</f>
        <v>16.8305293672801</v>
      </c>
      <c r="M24" s="242" t="n">
        <v>4.1</v>
      </c>
      <c r="N24" s="240" t="n">
        <v>0</v>
      </c>
      <c r="O24" s="240" t="n">
        <v>1.03</v>
      </c>
      <c r="P24" s="115" t="n">
        <v>1.4</v>
      </c>
      <c r="Q24" s="115" t="n">
        <v>2.4</v>
      </c>
      <c r="R24" s="116" t="n">
        <v>0</v>
      </c>
      <c r="S24" s="240" t="n">
        <v>59</v>
      </c>
      <c r="T24" s="240" t="n">
        <v>0</v>
      </c>
      <c r="U24" s="221" t="n">
        <f aca="false">M24-N24-P24-Q24-R24+S24+T24</f>
        <v>59.3</v>
      </c>
      <c r="V24" s="221"/>
      <c r="W24" s="216"/>
      <c r="X24" s="240" t="n">
        <v>0</v>
      </c>
      <c r="Y24" s="240" t="n">
        <v>19</v>
      </c>
      <c r="Z24" s="216" t="n">
        <f aca="false">Z23-Y24</f>
        <v>2398</v>
      </c>
      <c r="AA24" s="117" t="n">
        <f aca="false">N24+O24+P24+Q24+R24+U24+X24+Y24</f>
        <v>83.13</v>
      </c>
      <c r="AB24" s="240" t="n">
        <f aca="false">IF(L24&lt;0,L24*-1,0)</f>
        <v>0</v>
      </c>
      <c r="AC24" s="240" t="n">
        <f aca="false">AA24+AB24</f>
        <v>83.13</v>
      </c>
      <c r="AD24" s="222" t="n">
        <v>0</v>
      </c>
      <c r="AE24" s="218" t="n">
        <v>41</v>
      </c>
      <c r="AF24" s="223" t="n">
        <v>17</v>
      </c>
      <c r="AG24" s="218" t="n">
        <f aca="false">AG23+(U24*1.9835)</f>
        <v>4129.7597772275</v>
      </c>
      <c r="AH24" s="218" t="n">
        <v>0</v>
      </c>
      <c r="AI24" s="224"/>
      <c r="AJ24" s="224"/>
      <c r="AK24" s="224"/>
    </row>
    <row r="25" customFormat="false" ht="11.1" hidden="false" customHeight="true" outlineLevel="0" collapsed="false">
      <c r="A25" s="153" t="n">
        <f aca="false">A24+1</f>
        <v>14</v>
      </c>
      <c r="B25" s="226" t="n">
        <v>6863.89</v>
      </c>
      <c r="C25" s="216" t="n">
        <v>172228</v>
      </c>
      <c r="D25" s="218" t="n">
        <f aca="false">C25-C24</f>
        <v>-48</v>
      </c>
      <c r="E25" s="216" t="n">
        <f aca="false">C25-152000</f>
        <v>20228</v>
      </c>
      <c r="F25" s="239" t="n">
        <f aca="false">D25/$D$2</f>
        <v>-24.19964708848</v>
      </c>
      <c r="G25" s="240" t="n">
        <v>32</v>
      </c>
      <c r="H25" s="241" t="n">
        <v>0</v>
      </c>
      <c r="I25" s="240" t="n">
        <f aca="false">G25+H25</f>
        <v>32</v>
      </c>
      <c r="J25" s="221" t="n">
        <f aca="false">IF(L25&gt;0,L25,0)</f>
        <v>27.48035291152</v>
      </c>
      <c r="K25" s="240" t="n">
        <f aca="false">I25+J25</f>
        <v>59.48035291152</v>
      </c>
      <c r="L25" s="240" t="n">
        <f aca="false">F25-(I25-AA25)</f>
        <v>27.48035291152</v>
      </c>
      <c r="M25" s="242" t="n">
        <v>4.1</v>
      </c>
      <c r="N25" s="240" t="n">
        <v>0</v>
      </c>
      <c r="O25" s="240" t="n">
        <v>1.58</v>
      </c>
      <c r="P25" s="115" t="n">
        <v>1.4</v>
      </c>
      <c r="Q25" s="115" t="n">
        <v>2.4</v>
      </c>
      <c r="R25" s="116" t="n">
        <v>0</v>
      </c>
      <c r="S25" s="240" t="n">
        <v>59</v>
      </c>
      <c r="T25" s="240" t="n">
        <v>0</v>
      </c>
      <c r="U25" s="221" t="n">
        <f aca="false">M25-N25-P25-Q25-R25+S25+T25</f>
        <v>59.3</v>
      </c>
      <c r="V25" s="221"/>
      <c r="W25" s="216"/>
      <c r="X25" s="240" t="n">
        <v>0</v>
      </c>
      <c r="Y25" s="240" t="n">
        <v>19</v>
      </c>
      <c r="Z25" s="216" t="n">
        <f aca="false">Z24-Y25</f>
        <v>2379</v>
      </c>
      <c r="AA25" s="117" t="n">
        <f aca="false">N25+O25+P25+Q25+R25+U25+X25+Y25</f>
        <v>83.68</v>
      </c>
      <c r="AB25" s="240" t="n">
        <f aca="false">IF(L25&lt;0,L25*-1,0)</f>
        <v>0</v>
      </c>
      <c r="AC25" s="240" t="n">
        <f aca="false">AA25+AB25</f>
        <v>83.68</v>
      </c>
      <c r="AD25" s="222" t="n">
        <v>0</v>
      </c>
      <c r="AE25" s="224" t="n">
        <v>46</v>
      </c>
      <c r="AF25" s="223" t="n">
        <v>23</v>
      </c>
      <c r="AG25" s="218" t="n">
        <f aca="false">AG24+(U25*1.9835)</f>
        <v>4247.3813272275</v>
      </c>
      <c r="AH25" s="218" t="n">
        <v>0</v>
      </c>
      <c r="AI25" s="224"/>
      <c r="AJ25" s="224"/>
      <c r="AK25" s="224"/>
    </row>
    <row r="26" customFormat="false" ht="11.1" hidden="false" customHeight="true" outlineLevel="0" collapsed="false">
      <c r="A26" s="153" t="n">
        <f aca="false">A25+1</f>
        <v>15</v>
      </c>
      <c r="B26" s="226" t="n">
        <v>6863.88</v>
      </c>
      <c r="C26" s="216" t="n">
        <v>172203</v>
      </c>
      <c r="D26" s="218" t="n">
        <f aca="false">C26-C25</f>
        <v>-25</v>
      </c>
      <c r="E26" s="216" t="n">
        <f aca="false">C26-152000</f>
        <v>20203</v>
      </c>
      <c r="F26" s="239" t="n">
        <f aca="false">D26/$D$2</f>
        <v>-12.6039828585833</v>
      </c>
      <c r="G26" s="240" t="n">
        <v>39</v>
      </c>
      <c r="H26" s="241" t="n">
        <v>0</v>
      </c>
      <c r="I26" s="240" t="n">
        <f aca="false">G26+H26</f>
        <v>39</v>
      </c>
      <c r="J26" s="221" t="n">
        <f aca="false">IF(L26&gt;0,L26,0)</f>
        <v>21.9260171414167</v>
      </c>
      <c r="K26" s="240" t="n">
        <f aca="false">I26+J26</f>
        <v>60.9260171414167</v>
      </c>
      <c r="L26" s="240" t="n">
        <f aca="false">F26-(I26-AA26)</f>
        <v>21.9260171414167</v>
      </c>
      <c r="M26" s="242" t="n">
        <v>4.1</v>
      </c>
      <c r="N26" s="240" t="n">
        <v>0</v>
      </c>
      <c r="O26" s="240" t="n">
        <v>1.43</v>
      </c>
      <c r="P26" s="115" t="n">
        <v>1.4</v>
      </c>
      <c r="Q26" s="115" t="n">
        <v>2.4</v>
      </c>
      <c r="R26" s="116" t="n">
        <v>0</v>
      </c>
      <c r="S26" s="240" t="n">
        <v>50</v>
      </c>
      <c r="T26" s="240" t="n">
        <v>0</v>
      </c>
      <c r="U26" s="221" t="n">
        <f aca="false">M26-N26-P26-Q26-R26+S26+T26</f>
        <v>50.3</v>
      </c>
      <c r="V26" s="221"/>
      <c r="W26" s="216"/>
      <c r="X26" s="240" t="n">
        <v>0</v>
      </c>
      <c r="Y26" s="240" t="n">
        <v>18</v>
      </c>
      <c r="Z26" s="216" t="n">
        <f aca="false">Z25-Y26</f>
        <v>2361</v>
      </c>
      <c r="AA26" s="117" t="n">
        <f aca="false">N26+O26+P26+Q26+R26+U26+X26+Y26</f>
        <v>73.53</v>
      </c>
      <c r="AB26" s="240" t="n">
        <f aca="false">IF(L26&lt;0,L26*-1,0)</f>
        <v>0</v>
      </c>
      <c r="AC26" s="240" t="n">
        <f aca="false">AA26+AB26</f>
        <v>73.53</v>
      </c>
      <c r="AD26" s="222" t="n">
        <v>0.01</v>
      </c>
      <c r="AE26" s="224" t="n">
        <v>32</v>
      </c>
      <c r="AF26" s="223" t="n">
        <v>15</v>
      </c>
      <c r="AG26" s="218" t="n">
        <f aca="false">AG25+(U26*1.9835)</f>
        <v>4347.1513772275</v>
      </c>
      <c r="AH26" s="218" t="n">
        <v>0</v>
      </c>
      <c r="AI26" s="224"/>
      <c r="AJ26" s="224"/>
      <c r="AK26" s="224"/>
    </row>
    <row r="27" customFormat="false" ht="11.1" hidden="false" customHeight="true" outlineLevel="0" collapsed="false">
      <c r="A27" s="153" t="n">
        <f aca="false">A26+1</f>
        <v>16</v>
      </c>
      <c r="B27" s="226" t="n">
        <v>6863.87</v>
      </c>
      <c r="C27" s="216" t="n">
        <v>172179</v>
      </c>
      <c r="D27" s="218" t="n">
        <f aca="false">C27-C26</f>
        <v>-24</v>
      </c>
      <c r="E27" s="216" t="n">
        <f aca="false">C27-152000</f>
        <v>20179</v>
      </c>
      <c r="F27" s="239" t="n">
        <f aca="false">D27/$D$2</f>
        <v>-12.09982354424</v>
      </c>
      <c r="G27" s="240" t="n">
        <v>30</v>
      </c>
      <c r="H27" s="241" t="n">
        <v>0</v>
      </c>
      <c r="I27" s="240" t="n">
        <f aca="false">G27+H27</f>
        <v>30</v>
      </c>
      <c r="J27" s="221" t="n">
        <f aca="false">IF(L27&gt;0,L27,0)</f>
        <v>22.00017645576</v>
      </c>
      <c r="K27" s="240" t="n">
        <f aca="false">I27+J27</f>
        <v>52.00017645576</v>
      </c>
      <c r="L27" s="240" t="n">
        <f aca="false">F27-(I27-AA27)</f>
        <v>22.00017645576</v>
      </c>
      <c r="M27" s="242" t="n">
        <v>4.1</v>
      </c>
      <c r="N27" s="240" t="n">
        <v>0</v>
      </c>
      <c r="O27" s="240" t="n">
        <v>0</v>
      </c>
      <c r="P27" s="115" t="n">
        <v>1.4</v>
      </c>
      <c r="Q27" s="115" t="n">
        <v>2.4</v>
      </c>
      <c r="R27" s="116" t="n">
        <v>0</v>
      </c>
      <c r="S27" s="240" t="n">
        <v>42</v>
      </c>
      <c r="T27" s="240" t="n">
        <v>0</v>
      </c>
      <c r="U27" s="221" t="n">
        <f aca="false">M27-N27-P27-Q27-R27+S27+T27</f>
        <v>42.3</v>
      </c>
      <c r="V27" s="221"/>
      <c r="W27" s="216"/>
      <c r="X27" s="240" t="n">
        <v>0</v>
      </c>
      <c r="Y27" s="240" t="n">
        <v>18</v>
      </c>
      <c r="Z27" s="216" t="n">
        <f aca="false">Z26-Y27</f>
        <v>2343</v>
      </c>
      <c r="AA27" s="117" t="n">
        <f aca="false">N27+O27+P27+Q27+R27+U27+X27+Y27</f>
        <v>64.1</v>
      </c>
      <c r="AB27" s="240" t="n">
        <f aca="false">IF(L27&lt;0,L27*-1,0)</f>
        <v>0</v>
      </c>
      <c r="AC27" s="240" t="n">
        <f aca="false">AA27+AB27</f>
        <v>64.1</v>
      </c>
      <c r="AD27" s="222" t="n">
        <v>0</v>
      </c>
      <c r="AE27" s="224" t="n">
        <v>30</v>
      </c>
      <c r="AF27" s="223" t="n">
        <v>-3</v>
      </c>
      <c r="AG27" s="218" t="n">
        <f aca="false">AG26+(U27*1.9835)</f>
        <v>4431.0534272275</v>
      </c>
      <c r="AH27" s="218" t="n">
        <v>0</v>
      </c>
      <c r="AI27" s="224"/>
      <c r="AJ27" s="224"/>
      <c r="AK27" s="224"/>
    </row>
    <row r="28" customFormat="false" ht="11.1" hidden="false" customHeight="true" outlineLevel="0" collapsed="false">
      <c r="A28" s="153" t="n">
        <f aca="false">A27+1</f>
        <v>17</v>
      </c>
      <c r="B28" s="226" t="n">
        <v>6863.86</v>
      </c>
      <c r="C28" s="216" t="n">
        <v>172155</v>
      </c>
      <c r="D28" s="218" t="n">
        <f aca="false">C28-C27</f>
        <v>-24</v>
      </c>
      <c r="E28" s="216" t="n">
        <f aca="false">C28-152000</f>
        <v>20155</v>
      </c>
      <c r="F28" s="239" t="n">
        <f aca="false">D28/$D$2</f>
        <v>-12.09982354424</v>
      </c>
      <c r="G28" s="240" t="n">
        <v>29</v>
      </c>
      <c r="H28" s="241" t="n">
        <v>0</v>
      </c>
      <c r="I28" s="240" t="n">
        <f aca="false">G28+H28</f>
        <v>29</v>
      </c>
      <c r="J28" s="221" t="n">
        <f aca="false">IF(L28&gt;0,L28,0)</f>
        <v>23.00017645576</v>
      </c>
      <c r="K28" s="240" t="n">
        <f aca="false">I28+J28</f>
        <v>52.00017645576</v>
      </c>
      <c r="L28" s="240" t="n">
        <f aca="false">F28-(I28-AA28)</f>
        <v>23.00017645576</v>
      </c>
      <c r="M28" s="242" t="n">
        <v>4.1</v>
      </c>
      <c r="N28" s="240" t="n">
        <v>0</v>
      </c>
      <c r="O28" s="240" t="n">
        <v>0</v>
      </c>
      <c r="P28" s="115" t="n">
        <v>1.4</v>
      </c>
      <c r="Q28" s="115" t="n">
        <v>2.4</v>
      </c>
      <c r="R28" s="116" t="n">
        <v>0</v>
      </c>
      <c r="S28" s="240" t="n">
        <v>42</v>
      </c>
      <c r="T28" s="240" t="n">
        <v>0</v>
      </c>
      <c r="U28" s="221" t="n">
        <f aca="false">M28-N28-P28-Q28-R28+S28+T28</f>
        <v>42.3</v>
      </c>
      <c r="V28" s="221"/>
      <c r="W28" s="216"/>
      <c r="X28" s="240" t="n">
        <v>0</v>
      </c>
      <c r="Y28" s="240" t="n">
        <v>18</v>
      </c>
      <c r="Z28" s="216" t="n">
        <f aca="false">Z27-Y28</f>
        <v>2325</v>
      </c>
      <c r="AA28" s="117" t="n">
        <f aca="false">N28+O28+P28+Q28+R28+U28+X28+Y28</f>
        <v>64.1</v>
      </c>
      <c r="AB28" s="240" t="n">
        <f aca="false">IF(L28&lt;0,L28*-1,0)</f>
        <v>0</v>
      </c>
      <c r="AC28" s="240" t="n">
        <f aca="false">AA28+AB28</f>
        <v>64.1</v>
      </c>
      <c r="AD28" s="222" t="n">
        <v>0</v>
      </c>
      <c r="AE28" s="224" t="n">
        <v>44</v>
      </c>
      <c r="AF28" s="223" t="n">
        <v>2</v>
      </c>
      <c r="AG28" s="218" t="n">
        <f aca="false">AG27+(U28*1.9835)</f>
        <v>4514.9554772275</v>
      </c>
      <c r="AH28" s="218" t="n">
        <v>0</v>
      </c>
      <c r="AI28" s="224"/>
      <c r="AJ28" s="224"/>
      <c r="AK28" s="224"/>
    </row>
    <row r="29" customFormat="false" ht="11.1" hidden="false" customHeight="true" outlineLevel="0" collapsed="false">
      <c r="A29" s="153" t="n">
        <f aca="false">A28+1</f>
        <v>18</v>
      </c>
      <c r="B29" s="226" t="n">
        <v>6863.84</v>
      </c>
      <c r="C29" s="216" t="n">
        <v>172107</v>
      </c>
      <c r="D29" s="218" t="n">
        <f aca="false">C29-C28</f>
        <v>-48</v>
      </c>
      <c r="E29" s="216" t="n">
        <f aca="false">C29-152000</f>
        <v>20107</v>
      </c>
      <c r="F29" s="239" t="n">
        <f aca="false">D29/$D$2</f>
        <v>-24.19964708848</v>
      </c>
      <c r="G29" s="240" t="n">
        <v>34</v>
      </c>
      <c r="H29" s="241" t="n">
        <v>0</v>
      </c>
      <c r="I29" s="240" t="n">
        <f aca="false">G29+H29</f>
        <v>34</v>
      </c>
      <c r="J29" s="221" t="n">
        <f aca="false">IF(L29&gt;0,L29,0)</f>
        <v>5.90035291152003</v>
      </c>
      <c r="K29" s="240" t="n">
        <f aca="false">I29+J29</f>
        <v>39.90035291152</v>
      </c>
      <c r="L29" s="240" t="n">
        <f aca="false">F29-(I29-AA29)</f>
        <v>5.90035291152003</v>
      </c>
      <c r="M29" s="242" t="n">
        <v>4.1</v>
      </c>
      <c r="N29" s="240" t="n">
        <v>0</v>
      </c>
      <c r="O29" s="240" t="n">
        <v>0</v>
      </c>
      <c r="P29" s="115" t="n">
        <v>1.4</v>
      </c>
      <c r="Q29" s="115" t="n">
        <v>2.4</v>
      </c>
      <c r="R29" s="116" t="n">
        <v>0</v>
      </c>
      <c r="S29" s="240" t="n">
        <v>42</v>
      </c>
      <c r="T29" s="240" t="n">
        <v>0</v>
      </c>
      <c r="U29" s="221" t="n">
        <f aca="false">M29-N29-P29-Q29-R29+S29+T29</f>
        <v>42.3</v>
      </c>
      <c r="V29" s="221"/>
      <c r="W29" s="216"/>
      <c r="X29" s="240" t="n">
        <v>0</v>
      </c>
      <c r="Y29" s="240" t="n">
        <v>18</v>
      </c>
      <c r="Z29" s="216" t="n">
        <f aca="false">Z28-Y29</f>
        <v>2307</v>
      </c>
      <c r="AA29" s="117" t="n">
        <f aca="false">N29+O29+P29+Q29+R29+U29+X29+Y29</f>
        <v>64.1</v>
      </c>
      <c r="AB29" s="240" t="n">
        <f aca="false">IF(L29&lt;0,L29*-1,0)</f>
        <v>0</v>
      </c>
      <c r="AC29" s="240" t="n">
        <f aca="false">AA29+AB29</f>
        <v>64.1</v>
      </c>
      <c r="AD29" s="222" t="n">
        <v>0</v>
      </c>
      <c r="AE29" s="224" t="n">
        <v>46</v>
      </c>
      <c r="AF29" s="223" t="n">
        <v>18</v>
      </c>
      <c r="AG29" s="218" t="n">
        <f aca="false">AG28+(U29*1.9835)</f>
        <v>4598.8575272275</v>
      </c>
      <c r="AH29" s="218" t="n">
        <v>0</v>
      </c>
      <c r="AI29" s="224"/>
      <c r="AJ29" s="224"/>
      <c r="AK29" s="224"/>
    </row>
    <row r="30" customFormat="false" ht="11.1" hidden="false" customHeight="true" outlineLevel="0" collapsed="false">
      <c r="A30" s="153" t="n">
        <f aca="false">A29+1</f>
        <v>19</v>
      </c>
      <c r="B30" s="226" t="n">
        <v>6863.82</v>
      </c>
      <c r="C30" s="216" t="n">
        <v>172058</v>
      </c>
      <c r="D30" s="218" t="n">
        <f aca="false">C30-C29</f>
        <v>-49</v>
      </c>
      <c r="E30" s="216" t="n">
        <f aca="false">C30-152000</f>
        <v>20058</v>
      </c>
      <c r="F30" s="239" t="n">
        <f aca="false">D30/$D$2</f>
        <v>-24.7038064028233</v>
      </c>
      <c r="G30" s="240" t="n">
        <v>37</v>
      </c>
      <c r="H30" s="241" t="n">
        <v>0</v>
      </c>
      <c r="I30" s="240" t="n">
        <f aca="false">G30+H30</f>
        <v>37</v>
      </c>
      <c r="J30" s="221" t="n">
        <f aca="false">IF(L30&gt;0,L30,0)</f>
        <v>2.3961935971767</v>
      </c>
      <c r="K30" s="240" t="n">
        <f aca="false">I30+J30</f>
        <v>39.3961935971767</v>
      </c>
      <c r="L30" s="240" t="n">
        <f aca="false">F30-(I30-AA30)</f>
        <v>2.3961935971767</v>
      </c>
      <c r="M30" s="242" t="n">
        <v>4.1</v>
      </c>
      <c r="N30" s="240" t="n">
        <v>0</v>
      </c>
      <c r="O30" s="240" t="n">
        <v>0</v>
      </c>
      <c r="P30" s="115" t="n">
        <v>1.4</v>
      </c>
      <c r="Q30" s="115" t="n">
        <v>2.4</v>
      </c>
      <c r="R30" s="116" t="n">
        <v>0</v>
      </c>
      <c r="S30" s="240" t="n">
        <v>42</v>
      </c>
      <c r="T30" s="240" t="n">
        <v>0</v>
      </c>
      <c r="U30" s="221" t="n">
        <f aca="false">M30-N30-P30-Q30-R30+S30+T30</f>
        <v>42.3</v>
      </c>
      <c r="V30" s="221"/>
      <c r="W30" s="216"/>
      <c r="X30" s="240" t="n">
        <v>0</v>
      </c>
      <c r="Y30" s="240" t="n">
        <v>18</v>
      </c>
      <c r="Z30" s="216" t="n">
        <f aca="false">Z29-Y30</f>
        <v>2289</v>
      </c>
      <c r="AA30" s="117" t="n">
        <f aca="false">N30+O30+P30+Q30+R30+U30+X30+Y30</f>
        <v>64.1</v>
      </c>
      <c r="AB30" s="240" t="n">
        <f aca="false">IF(L30&lt;0,L30*-1,0)</f>
        <v>0</v>
      </c>
      <c r="AC30" s="240" t="n">
        <f aca="false">AA30+AB30</f>
        <v>64.1</v>
      </c>
      <c r="AD30" s="222" t="n">
        <v>0</v>
      </c>
      <c r="AE30" s="224" t="n">
        <v>55</v>
      </c>
      <c r="AF30" s="223" t="n">
        <v>25</v>
      </c>
      <c r="AG30" s="218" t="n">
        <f aca="false">AG29+(U30*1.9835)</f>
        <v>4682.7595772275</v>
      </c>
      <c r="AH30" s="218" t="n">
        <v>0</v>
      </c>
      <c r="AI30" s="224"/>
      <c r="AJ30" s="224"/>
      <c r="AK30" s="224"/>
    </row>
    <row r="31" customFormat="false" ht="11.1" hidden="false" customHeight="true" outlineLevel="0" collapsed="false">
      <c r="A31" s="153" t="n">
        <f aca="false">A30+1</f>
        <v>20</v>
      </c>
      <c r="B31" s="226" t="n">
        <v>6863.8</v>
      </c>
      <c r="C31" s="216" t="n">
        <v>172010</v>
      </c>
      <c r="D31" s="218" t="n">
        <f aca="false">C31-C30</f>
        <v>-48</v>
      </c>
      <c r="E31" s="216" t="n">
        <f aca="false">C31-152000</f>
        <v>20010</v>
      </c>
      <c r="F31" s="239" t="n">
        <f aca="false">D31/$D$2</f>
        <v>-24.19964708848</v>
      </c>
      <c r="G31" s="240" t="n">
        <v>39</v>
      </c>
      <c r="H31" s="241" t="n">
        <v>0</v>
      </c>
      <c r="I31" s="240" t="n">
        <f aca="false">G31+H31</f>
        <v>39</v>
      </c>
      <c r="J31" s="221" t="n">
        <f aca="false">IF(L31&gt;0,L31,0)</f>
        <v>0.900352911520034</v>
      </c>
      <c r="K31" s="240" t="n">
        <f aca="false">I31+J31</f>
        <v>39.90035291152</v>
      </c>
      <c r="L31" s="240" t="n">
        <f aca="false">F31-(I31-AA31)</f>
        <v>0.900352911520034</v>
      </c>
      <c r="M31" s="242" t="n">
        <v>4.1</v>
      </c>
      <c r="N31" s="240" t="n">
        <v>0</v>
      </c>
      <c r="O31" s="240" t="n">
        <v>0</v>
      </c>
      <c r="P31" s="115" t="n">
        <v>1.4</v>
      </c>
      <c r="Q31" s="115" t="n">
        <v>2.4</v>
      </c>
      <c r="R31" s="116" t="n">
        <v>0</v>
      </c>
      <c r="S31" s="240" t="n">
        <v>42</v>
      </c>
      <c r="T31" s="240" t="n">
        <v>0</v>
      </c>
      <c r="U31" s="221" t="n">
        <f aca="false">M31-N31-P31-Q31-R31+S31+T31</f>
        <v>42.3</v>
      </c>
      <c r="V31" s="221"/>
      <c r="W31" s="216"/>
      <c r="X31" s="240" t="n">
        <v>0</v>
      </c>
      <c r="Y31" s="240" t="n">
        <v>18</v>
      </c>
      <c r="Z31" s="216" t="n">
        <f aca="false">Z30-Y31</f>
        <v>2271</v>
      </c>
      <c r="AA31" s="117" t="n">
        <f aca="false">N31+O31+P31+Q31+R31+U31+X31+Y31</f>
        <v>64.1</v>
      </c>
      <c r="AB31" s="240" t="n">
        <f aca="false">IF(L31&lt;0,L31*-1,0)</f>
        <v>0</v>
      </c>
      <c r="AC31" s="240" t="n">
        <f aca="false">AA31+AB31</f>
        <v>64.1</v>
      </c>
      <c r="AD31" s="222" t="n">
        <v>0</v>
      </c>
      <c r="AE31" s="224" t="n">
        <v>56</v>
      </c>
      <c r="AF31" s="223" t="n">
        <v>26</v>
      </c>
      <c r="AG31" s="218" t="n">
        <f aca="false">AG30+(U31*1.9835)</f>
        <v>4766.6616272275</v>
      </c>
      <c r="AH31" s="218" t="n">
        <v>0</v>
      </c>
      <c r="AI31" s="224"/>
      <c r="AJ31" s="224"/>
      <c r="AK31" s="224"/>
    </row>
    <row r="32" customFormat="false" ht="11.1" hidden="false" customHeight="true" outlineLevel="0" collapsed="false">
      <c r="A32" s="153" t="n">
        <f aca="false">A31+1</f>
        <v>21</v>
      </c>
      <c r="B32" s="226" t="n">
        <v>6863.79</v>
      </c>
      <c r="C32" s="216" t="n">
        <v>171986</v>
      </c>
      <c r="D32" s="218" t="n">
        <f aca="false">C32-C31</f>
        <v>-24</v>
      </c>
      <c r="E32" s="216" t="n">
        <f aca="false">C32-152000</f>
        <v>19986</v>
      </c>
      <c r="F32" s="239" t="n">
        <f aca="false">D32/$D$2</f>
        <v>-12.09982354424</v>
      </c>
      <c r="G32" s="240" t="n">
        <v>39</v>
      </c>
      <c r="H32" s="241" t="n">
        <v>0</v>
      </c>
      <c r="I32" s="240" t="n">
        <f aca="false">G32+H32</f>
        <v>39</v>
      </c>
      <c r="J32" s="221" t="n">
        <f aca="false">IF(L32&gt;0,L32,0)</f>
        <v>13.00017645576</v>
      </c>
      <c r="K32" s="240" t="n">
        <f aca="false">I32+J32</f>
        <v>52.00017645576</v>
      </c>
      <c r="L32" s="240" t="n">
        <f aca="false">F32-(I32-AA32)</f>
        <v>13.00017645576</v>
      </c>
      <c r="M32" s="242" t="n">
        <v>4.1</v>
      </c>
      <c r="N32" s="240" t="n">
        <v>0</v>
      </c>
      <c r="O32" s="240" t="n">
        <v>0</v>
      </c>
      <c r="P32" s="115" t="n">
        <v>1.4</v>
      </c>
      <c r="Q32" s="115" t="n">
        <v>2.4</v>
      </c>
      <c r="R32" s="116" t="n">
        <v>0</v>
      </c>
      <c r="S32" s="240" t="n">
        <v>42</v>
      </c>
      <c r="T32" s="240" t="n">
        <v>0</v>
      </c>
      <c r="U32" s="221" t="n">
        <f aca="false">M32-N32-P32-Q32-R32+S32+T32</f>
        <v>42.3</v>
      </c>
      <c r="V32" s="221"/>
      <c r="W32" s="216"/>
      <c r="X32" s="240" t="n">
        <v>0</v>
      </c>
      <c r="Y32" s="240" t="n">
        <v>18</v>
      </c>
      <c r="Z32" s="216" t="n">
        <f aca="false">Z31-Y32</f>
        <v>2253</v>
      </c>
      <c r="AA32" s="117" t="n">
        <f aca="false">N32+O32+P32+Q32+R32+U32+X32+Y32</f>
        <v>64.1</v>
      </c>
      <c r="AB32" s="240" t="n">
        <f aca="false">IF(L32&lt;0,L32*-1,0)</f>
        <v>0</v>
      </c>
      <c r="AC32" s="240" t="n">
        <f aca="false">AA32+AB32</f>
        <v>64.1</v>
      </c>
      <c r="AD32" s="222" t="n">
        <v>0.06</v>
      </c>
      <c r="AE32" s="218" t="n">
        <v>46</v>
      </c>
      <c r="AF32" s="223" t="n">
        <v>28</v>
      </c>
      <c r="AG32" s="218" t="n">
        <f aca="false">AG31+(U32*1.9835)</f>
        <v>4850.5636772275</v>
      </c>
      <c r="AH32" s="218" t="n">
        <v>0</v>
      </c>
      <c r="AI32" s="224"/>
      <c r="AJ32" s="224"/>
      <c r="AK32" s="224"/>
    </row>
    <row r="33" customFormat="false" ht="11.1" hidden="false" customHeight="true" outlineLevel="0" collapsed="false">
      <c r="A33" s="153" t="n">
        <f aca="false">A32+1</f>
        <v>22</v>
      </c>
      <c r="B33" s="226" t="n">
        <v>6863.79</v>
      </c>
      <c r="C33" s="216" t="n">
        <v>171986</v>
      </c>
      <c r="D33" s="218" t="n">
        <f aca="false">C33-C32</f>
        <v>0</v>
      </c>
      <c r="E33" s="216" t="n">
        <f aca="false">C33-152000</f>
        <v>19986</v>
      </c>
      <c r="F33" s="239" t="n">
        <f aca="false">D33/$D$2</f>
        <v>0</v>
      </c>
      <c r="G33" s="240" t="n">
        <v>40</v>
      </c>
      <c r="H33" s="241" t="n">
        <v>0</v>
      </c>
      <c r="I33" s="240" t="n">
        <f aca="false">G33+H33</f>
        <v>40</v>
      </c>
      <c r="J33" s="221" t="n">
        <f aca="false">IF(L33&gt;0,L33,0)</f>
        <v>22.1</v>
      </c>
      <c r="K33" s="240" t="n">
        <f aca="false">I33+J33</f>
        <v>62.1</v>
      </c>
      <c r="L33" s="240" t="n">
        <f aca="false">F33-(I33-AA33)</f>
        <v>22.1</v>
      </c>
      <c r="M33" s="242" t="n">
        <v>4.1</v>
      </c>
      <c r="N33" s="240" t="n">
        <v>0</v>
      </c>
      <c r="O33" s="240" t="n">
        <v>0</v>
      </c>
      <c r="P33" s="115" t="n">
        <v>1.4</v>
      </c>
      <c r="Q33" s="115" t="n">
        <v>2.4</v>
      </c>
      <c r="R33" s="116" t="n">
        <v>0</v>
      </c>
      <c r="S33" s="240" t="n">
        <v>40</v>
      </c>
      <c r="T33" s="240" t="n">
        <v>0</v>
      </c>
      <c r="U33" s="221" t="n">
        <f aca="false">M33-N33-O33-P33-Q33-R33+S33+T33</f>
        <v>40.3</v>
      </c>
      <c r="V33" s="221"/>
      <c r="W33" s="216"/>
      <c r="X33" s="240" t="n">
        <v>0</v>
      </c>
      <c r="Y33" s="240" t="n">
        <v>18</v>
      </c>
      <c r="Z33" s="216" t="n">
        <f aca="false">Z32-Y33</f>
        <v>2235</v>
      </c>
      <c r="AA33" s="117" t="n">
        <f aca="false">N33+O33+P33+Q33+R33+U33+X33+Y33</f>
        <v>62.1</v>
      </c>
      <c r="AB33" s="240" t="n">
        <f aca="false">IF(L33&lt;0,L33*-1,0)</f>
        <v>0</v>
      </c>
      <c r="AC33" s="240" t="n">
        <f aca="false">AA33+AB33</f>
        <v>62.1</v>
      </c>
      <c r="AD33" s="222" t="n">
        <v>0</v>
      </c>
      <c r="AE33" s="218" t="n">
        <v>41</v>
      </c>
      <c r="AF33" s="223" t="n">
        <v>25</v>
      </c>
      <c r="AG33" s="218" t="n">
        <f aca="false">AG32+(U33*1.9835)</f>
        <v>4930.4987272275</v>
      </c>
      <c r="AH33" s="218" t="n">
        <v>0</v>
      </c>
      <c r="AI33" s="224"/>
      <c r="AJ33" s="224"/>
      <c r="AK33" s="224"/>
    </row>
    <row r="34" customFormat="false" ht="11.1" hidden="false" customHeight="true" outlineLevel="0" collapsed="false">
      <c r="A34" s="153" t="n">
        <f aca="false">A33+1</f>
        <v>23</v>
      </c>
      <c r="B34" s="226" t="n">
        <v>6863.78</v>
      </c>
      <c r="C34" s="216" t="n">
        <v>171962</v>
      </c>
      <c r="D34" s="218" t="n">
        <f aca="false">C34-C33</f>
        <v>-24</v>
      </c>
      <c r="E34" s="216" t="n">
        <f aca="false">C34-152000</f>
        <v>19962</v>
      </c>
      <c r="F34" s="239" t="n">
        <f aca="false">D34/$D$2</f>
        <v>-12.09982354424</v>
      </c>
      <c r="G34" s="240" t="n">
        <v>37</v>
      </c>
      <c r="H34" s="241" t="n">
        <v>0</v>
      </c>
      <c r="I34" s="240" t="n">
        <f aca="false">G34+H34</f>
        <v>37</v>
      </c>
      <c r="J34" s="221" t="n">
        <f aca="false">IF(L34&gt;0,L34,0)</f>
        <v>12.00017645576</v>
      </c>
      <c r="K34" s="240" t="n">
        <f aca="false">I34+J34</f>
        <v>49.00017645576</v>
      </c>
      <c r="L34" s="240" t="n">
        <f aca="false">F34-(I34-AA34)</f>
        <v>12.00017645576</v>
      </c>
      <c r="M34" s="242" t="n">
        <v>4.1</v>
      </c>
      <c r="N34" s="240" t="n">
        <v>0</v>
      </c>
      <c r="O34" s="240" t="n">
        <v>0</v>
      </c>
      <c r="P34" s="115" t="n">
        <v>1.4</v>
      </c>
      <c r="Q34" s="115" t="n">
        <v>2.4</v>
      </c>
      <c r="R34" s="116" t="n">
        <v>0</v>
      </c>
      <c r="S34" s="240" t="n">
        <v>39</v>
      </c>
      <c r="T34" s="240" t="n">
        <v>0</v>
      </c>
      <c r="U34" s="221" t="n">
        <f aca="false">M34-N34-O34-P34-Q34-R34+S34+T34</f>
        <v>39.3</v>
      </c>
      <c r="V34" s="221"/>
      <c r="W34" s="216"/>
      <c r="X34" s="240" t="n">
        <v>0</v>
      </c>
      <c r="Y34" s="240" t="n">
        <v>18</v>
      </c>
      <c r="Z34" s="216" t="n">
        <f aca="false">Z33-Y34</f>
        <v>2217</v>
      </c>
      <c r="AA34" s="117" t="n">
        <f aca="false">N34+O34+P34+Q34+R34+U34+X34+Y34</f>
        <v>61.1</v>
      </c>
      <c r="AB34" s="240" t="n">
        <f aca="false">IF(L34&lt;0,L34*-1,0)</f>
        <v>0</v>
      </c>
      <c r="AC34" s="240" t="n">
        <f aca="false">AA34+AB34</f>
        <v>61.1</v>
      </c>
      <c r="AD34" s="222" t="n">
        <v>0</v>
      </c>
      <c r="AE34" s="218" t="n">
        <v>45</v>
      </c>
      <c r="AF34" s="243" t="n">
        <v>18</v>
      </c>
      <c r="AG34" s="218" t="n">
        <f aca="false">AG33+(U34*1.9835)</f>
        <v>5008.4502772275</v>
      </c>
      <c r="AH34" s="218" t="n">
        <v>0</v>
      </c>
      <c r="AI34" s="224"/>
      <c r="AJ34" s="224"/>
      <c r="AK34" s="224"/>
    </row>
    <row r="35" customFormat="false" ht="11.1" hidden="false" customHeight="true" outlineLevel="0" collapsed="false">
      <c r="A35" s="153" t="n">
        <f aca="false">A34+1</f>
        <v>24</v>
      </c>
      <c r="B35" s="226" t="n">
        <v>6863.78</v>
      </c>
      <c r="C35" s="216" t="n">
        <v>171962</v>
      </c>
      <c r="D35" s="218" t="n">
        <f aca="false">C35-C34</f>
        <v>0</v>
      </c>
      <c r="E35" s="216" t="n">
        <f aca="false">C35-152000</f>
        <v>19962</v>
      </c>
      <c r="F35" s="239" t="n">
        <f aca="false">D35/$D$2</f>
        <v>0</v>
      </c>
      <c r="G35" s="240" t="n">
        <v>34</v>
      </c>
      <c r="H35" s="241" t="n">
        <v>0</v>
      </c>
      <c r="I35" s="240" t="n">
        <f aca="false">G35+H35</f>
        <v>34</v>
      </c>
      <c r="J35" s="221" t="n">
        <f aca="false">IF(L35&gt;0,L35,0)</f>
        <v>27.1</v>
      </c>
      <c r="K35" s="240" t="n">
        <f aca="false">I35+J35</f>
        <v>61.1</v>
      </c>
      <c r="L35" s="240" t="n">
        <f aca="false">F35-(I35-AA35)</f>
        <v>27.1</v>
      </c>
      <c r="M35" s="242" t="n">
        <v>4.1</v>
      </c>
      <c r="N35" s="240" t="n">
        <v>0</v>
      </c>
      <c r="O35" s="240" t="n">
        <v>0</v>
      </c>
      <c r="P35" s="115" t="n">
        <v>1.4</v>
      </c>
      <c r="Q35" s="115" t="n">
        <v>2.4</v>
      </c>
      <c r="R35" s="116" t="n">
        <v>0</v>
      </c>
      <c r="S35" s="240" t="n">
        <v>39</v>
      </c>
      <c r="T35" s="240" t="n">
        <v>0</v>
      </c>
      <c r="U35" s="221" t="n">
        <f aca="false">M35-N35-O35-P35-Q35-R35+S35+T35</f>
        <v>39.3</v>
      </c>
      <c r="V35" s="221"/>
      <c r="W35" s="216"/>
      <c r="X35" s="240" t="n">
        <v>0</v>
      </c>
      <c r="Y35" s="240" t="n">
        <v>18</v>
      </c>
      <c r="Z35" s="216" t="n">
        <f aca="false">Z34-Y35</f>
        <v>2199</v>
      </c>
      <c r="AA35" s="117" t="n">
        <f aca="false">N35+O35+P35+Q35+R35+U35+X35+Y35</f>
        <v>61.1</v>
      </c>
      <c r="AB35" s="240" t="n">
        <f aca="false">IF(L35&lt;0,L35*-1,0)</f>
        <v>0</v>
      </c>
      <c r="AC35" s="240" t="n">
        <f aca="false">AA35+AB35</f>
        <v>61.1</v>
      </c>
      <c r="AD35" s="222" t="n">
        <v>0</v>
      </c>
      <c r="AE35" s="218" t="n">
        <v>44</v>
      </c>
      <c r="AF35" s="243" t="n">
        <v>21</v>
      </c>
      <c r="AG35" s="218" t="n">
        <f aca="false">AG34+(U35*1.9835)</f>
        <v>5086.4018272275</v>
      </c>
      <c r="AH35" s="218" t="n">
        <v>0</v>
      </c>
      <c r="AI35" s="224"/>
      <c r="AJ35" s="224"/>
      <c r="AK35" s="224"/>
    </row>
    <row r="36" customFormat="false" ht="11.1" hidden="false" customHeight="true" outlineLevel="0" collapsed="false">
      <c r="A36" s="153" t="n">
        <f aca="false">A35+1</f>
        <v>25</v>
      </c>
      <c r="B36" s="226" t="n">
        <v>6863.77</v>
      </c>
      <c r="C36" s="216" t="n">
        <v>171938</v>
      </c>
      <c r="D36" s="218" t="n">
        <f aca="false">C36-C35</f>
        <v>-24</v>
      </c>
      <c r="E36" s="216" t="n">
        <f aca="false">C36-152000</f>
        <v>19938</v>
      </c>
      <c r="F36" s="239" t="n">
        <f aca="false">D36/$D$2</f>
        <v>-12.09982354424</v>
      </c>
      <c r="G36" s="240" t="n">
        <v>38</v>
      </c>
      <c r="H36" s="241" t="n">
        <v>0</v>
      </c>
      <c r="I36" s="240" t="n">
        <f aca="false">G36+H36</f>
        <v>38</v>
      </c>
      <c r="J36" s="221" t="n">
        <f aca="false">IF(L36&gt;0,L36,0)</f>
        <v>12.00017645576</v>
      </c>
      <c r="K36" s="240" t="n">
        <f aca="false">I36+J36</f>
        <v>50.00017645576</v>
      </c>
      <c r="L36" s="240" t="n">
        <f aca="false">F36-(I36-AA36)</f>
        <v>12.00017645576</v>
      </c>
      <c r="M36" s="242" t="n">
        <v>4.1</v>
      </c>
      <c r="N36" s="240" t="n">
        <v>0</v>
      </c>
      <c r="O36" s="240" t="n">
        <v>0</v>
      </c>
      <c r="P36" s="115" t="n">
        <v>1.4</v>
      </c>
      <c r="Q36" s="115" t="n">
        <v>2.4</v>
      </c>
      <c r="R36" s="116" t="n">
        <v>0</v>
      </c>
      <c r="S36" s="240" t="n">
        <v>39</v>
      </c>
      <c r="T36" s="240" t="n">
        <v>0</v>
      </c>
      <c r="U36" s="221" t="n">
        <f aca="false">M36-N36-O36-P36-Q36-R36+S36+T36</f>
        <v>39.3</v>
      </c>
      <c r="V36" s="221"/>
      <c r="W36" s="216"/>
      <c r="X36" s="240" t="n">
        <v>0</v>
      </c>
      <c r="Y36" s="240" t="n">
        <v>19</v>
      </c>
      <c r="Z36" s="216" t="n">
        <f aca="false">Z35-Y36</f>
        <v>2180</v>
      </c>
      <c r="AA36" s="117" t="n">
        <f aca="false">N36+O36+P36+Q36+R36+U36+X36+Y36</f>
        <v>62.1</v>
      </c>
      <c r="AB36" s="240" t="n">
        <f aca="false">IF(L36&lt;0,L36*-1,0)</f>
        <v>0</v>
      </c>
      <c r="AC36" s="240" t="n">
        <f aca="false">AA36+AB36</f>
        <v>62.1</v>
      </c>
      <c r="AD36" s="222" t="n">
        <v>0.01</v>
      </c>
      <c r="AE36" s="218" t="n">
        <v>38</v>
      </c>
      <c r="AF36" s="243" t="n">
        <v>31</v>
      </c>
      <c r="AG36" s="218" t="n">
        <f aca="false">AG35+(U36*1.9835)</f>
        <v>5164.3533772275</v>
      </c>
      <c r="AH36" s="218" t="n">
        <v>0</v>
      </c>
      <c r="AI36" s="224"/>
      <c r="AJ36" s="224"/>
      <c r="AK36" s="224"/>
    </row>
    <row r="37" customFormat="false" ht="11.1" hidden="false" customHeight="true" outlineLevel="0" collapsed="false">
      <c r="A37" s="153" t="n">
        <f aca="false">A36+1</f>
        <v>26</v>
      </c>
      <c r="B37" s="226" t="n">
        <v>6863.77</v>
      </c>
      <c r="C37" s="216" t="n">
        <v>171938</v>
      </c>
      <c r="D37" s="218" t="n">
        <f aca="false">C37-C36</f>
        <v>0</v>
      </c>
      <c r="E37" s="216" t="n">
        <f aca="false">C37-152000</f>
        <v>19938</v>
      </c>
      <c r="F37" s="239" t="n">
        <f aca="false">D37/$D$2</f>
        <v>0</v>
      </c>
      <c r="G37" s="240" t="n">
        <v>38</v>
      </c>
      <c r="H37" s="241" t="n">
        <v>0</v>
      </c>
      <c r="I37" s="240" t="n">
        <f aca="false">G37+H37</f>
        <v>38</v>
      </c>
      <c r="J37" s="221" t="n">
        <f aca="false">IF(L37&gt;0,L37,0)</f>
        <v>23.1</v>
      </c>
      <c r="K37" s="240" t="n">
        <f aca="false">I37+J37</f>
        <v>61.1</v>
      </c>
      <c r="L37" s="240" t="n">
        <f aca="false">F37-(I37-AA37)</f>
        <v>23.1</v>
      </c>
      <c r="M37" s="242" t="n">
        <v>4.1</v>
      </c>
      <c r="N37" s="240" t="n">
        <v>0</v>
      </c>
      <c r="O37" s="240" t="n">
        <v>0</v>
      </c>
      <c r="P37" s="115" t="n">
        <v>1.4</v>
      </c>
      <c r="Q37" s="115" t="n">
        <v>2.4</v>
      </c>
      <c r="R37" s="116" t="n">
        <v>0</v>
      </c>
      <c r="S37" s="240" t="n">
        <v>39</v>
      </c>
      <c r="T37" s="240" t="n">
        <v>0</v>
      </c>
      <c r="U37" s="221" t="n">
        <f aca="false">M37-N37-O37-P37-Q37-R37+S37+T37</f>
        <v>39.3</v>
      </c>
      <c r="V37" s="221"/>
      <c r="W37" s="216"/>
      <c r="X37" s="240" t="n">
        <v>0</v>
      </c>
      <c r="Y37" s="240" t="n">
        <v>18</v>
      </c>
      <c r="Z37" s="216" t="n">
        <f aca="false">Z36-Y37</f>
        <v>2162</v>
      </c>
      <c r="AA37" s="117" t="n">
        <f aca="false">N37+O37+P37+Q37+R37+U37+X37+Y37</f>
        <v>61.1</v>
      </c>
      <c r="AB37" s="240" t="n">
        <f aca="false">IF(L37&lt;0,L37*-1,0)</f>
        <v>0</v>
      </c>
      <c r="AC37" s="240" t="n">
        <f aca="false">AA37+AB37</f>
        <v>61.1</v>
      </c>
      <c r="AD37" s="222" t="n">
        <v>0.27</v>
      </c>
      <c r="AE37" s="218" t="n">
        <v>40</v>
      </c>
      <c r="AF37" s="223" t="n">
        <v>22</v>
      </c>
      <c r="AG37" s="218" t="n">
        <f aca="false">AG36+(U37*1.9835)</f>
        <v>5242.3049272275</v>
      </c>
      <c r="AH37" s="218" t="n">
        <v>0</v>
      </c>
      <c r="AI37" s="224"/>
      <c r="AJ37" s="224"/>
      <c r="AK37" s="224"/>
    </row>
    <row r="38" customFormat="false" ht="11.1" hidden="false" customHeight="true" outlineLevel="0" collapsed="false">
      <c r="A38" s="153" t="n">
        <f aca="false">A37+1</f>
        <v>27</v>
      </c>
      <c r="B38" s="226" t="n">
        <v>6863.76</v>
      </c>
      <c r="C38" s="216" t="n">
        <v>171913</v>
      </c>
      <c r="D38" s="218" t="n">
        <f aca="false">C38-C37</f>
        <v>-25</v>
      </c>
      <c r="E38" s="216" t="n">
        <f aca="false">C38-152000</f>
        <v>19913</v>
      </c>
      <c r="F38" s="239" t="n">
        <f aca="false">D38/$D$2</f>
        <v>-12.6039828585833</v>
      </c>
      <c r="G38" s="240" t="n">
        <v>34</v>
      </c>
      <c r="H38" s="241" t="n">
        <v>0</v>
      </c>
      <c r="I38" s="240" t="n">
        <f aca="false">G38+H38</f>
        <v>34</v>
      </c>
      <c r="J38" s="221" t="n">
        <f aca="false">IF(L38&gt;0,L38,0)</f>
        <v>16.4960171414167</v>
      </c>
      <c r="K38" s="240" t="n">
        <f aca="false">I38+J38</f>
        <v>50.4960171414167</v>
      </c>
      <c r="L38" s="240" t="n">
        <f aca="false">F38-(I38-AA38)</f>
        <v>16.4960171414167</v>
      </c>
      <c r="M38" s="242" t="n">
        <v>4.1</v>
      </c>
      <c r="N38" s="240" t="n">
        <v>0</v>
      </c>
      <c r="O38" s="240" t="n">
        <v>0</v>
      </c>
      <c r="P38" s="115" t="n">
        <v>1.4</v>
      </c>
      <c r="Q38" s="115" t="n">
        <v>2.4</v>
      </c>
      <c r="R38" s="116" t="n">
        <v>0</v>
      </c>
      <c r="S38" s="240" t="n">
        <v>40</v>
      </c>
      <c r="T38" s="240" t="n">
        <v>0</v>
      </c>
      <c r="U38" s="221" t="n">
        <f aca="false">M38-N38-O38-P38-Q38-R38+S38+T38</f>
        <v>40.3</v>
      </c>
      <c r="V38" s="221"/>
      <c r="W38" s="216"/>
      <c r="X38" s="240" t="n">
        <v>0</v>
      </c>
      <c r="Y38" s="240" t="n">
        <v>19</v>
      </c>
      <c r="Z38" s="216" t="n">
        <f aca="false">Z37-Y38</f>
        <v>2143</v>
      </c>
      <c r="AA38" s="117" t="n">
        <f aca="false">N38+O38+P38+Q38+R38+U38+X38+Y38</f>
        <v>63.1</v>
      </c>
      <c r="AB38" s="240" t="n">
        <f aca="false">IF(L38&lt;0,L38*-1,0)</f>
        <v>0</v>
      </c>
      <c r="AC38" s="240" t="n">
        <f aca="false">AA38+AB38</f>
        <v>63.1</v>
      </c>
      <c r="AD38" s="222" t="n">
        <v>0.16</v>
      </c>
      <c r="AE38" s="218" t="n">
        <v>24</v>
      </c>
      <c r="AF38" s="223" t="n">
        <v>-5</v>
      </c>
      <c r="AG38" s="218" t="n">
        <f aca="false">AG37+(U38*1.9835)</f>
        <v>5322.2399772275</v>
      </c>
      <c r="AH38" s="218" t="n">
        <v>0</v>
      </c>
      <c r="AI38" s="224"/>
      <c r="AJ38" s="224"/>
      <c r="AK38" s="224"/>
    </row>
    <row r="39" customFormat="false" ht="11.1" hidden="false" customHeight="true" outlineLevel="0" collapsed="false">
      <c r="A39" s="153" t="n">
        <f aca="false">A38+1</f>
        <v>28</v>
      </c>
      <c r="B39" s="226" t="n">
        <v>6863.76</v>
      </c>
      <c r="C39" s="216" t="n">
        <v>171913</v>
      </c>
      <c r="D39" s="218" t="n">
        <f aca="false">C39-C38</f>
        <v>0</v>
      </c>
      <c r="E39" s="216" t="n">
        <f aca="false">C39-152000</f>
        <v>19913</v>
      </c>
      <c r="F39" s="239" t="n">
        <f aca="false">D39/$D$2</f>
        <v>0</v>
      </c>
      <c r="G39" s="240" t="n">
        <v>29</v>
      </c>
      <c r="H39" s="241" t="n">
        <v>0</v>
      </c>
      <c r="I39" s="240" t="n">
        <f aca="false">G39+H39</f>
        <v>29</v>
      </c>
      <c r="J39" s="221" t="n">
        <f aca="false">IF(L39&gt;0,L39,0)</f>
        <v>34.1</v>
      </c>
      <c r="K39" s="240" t="n">
        <f aca="false">I39+J39</f>
        <v>63.1</v>
      </c>
      <c r="L39" s="240" t="n">
        <f aca="false">F39-(I39-AA39)</f>
        <v>34.1</v>
      </c>
      <c r="M39" s="242" t="n">
        <v>4.1</v>
      </c>
      <c r="N39" s="240" t="n">
        <v>0</v>
      </c>
      <c r="O39" s="240" t="n">
        <v>0</v>
      </c>
      <c r="P39" s="115" t="n">
        <v>1.4</v>
      </c>
      <c r="Q39" s="115" t="n">
        <v>2.4</v>
      </c>
      <c r="R39" s="116" t="n">
        <v>0</v>
      </c>
      <c r="S39" s="240" t="n">
        <v>40</v>
      </c>
      <c r="T39" s="240" t="n">
        <v>0</v>
      </c>
      <c r="U39" s="221" t="n">
        <f aca="false">M39-N39-O39-P39-Q39-R39+S39+T39</f>
        <v>40.3</v>
      </c>
      <c r="V39" s="221"/>
      <c r="W39" s="216"/>
      <c r="X39" s="240" t="n">
        <v>0</v>
      </c>
      <c r="Y39" s="240" t="n">
        <v>19</v>
      </c>
      <c r="Z39" s="216" t="n">
        <f aca="false">Z38-Y39</f>
        <v>2124</v>
      </c>
      <c r="AA39" s="117" t="n">
        <f aca="false">N39+O39+P39+Q39+R39+U39+X39+Y39</f>
        <v>63.1</v>
      </c>
      <c r="AB39" s="240" t="n">
        <f aca="false">IF(L39&lt;0,L39*-1,0)</f>
        <v>0</v>
      </c>
      <c r="AC39" s="240" t="n">
        <f aca="false">AA39+AB39</f>
        <v>63.1</v>
      </c>
      <c r="AD39" s="222" t="n">
        <v>0</v>
      </c>
      <c r="AE39" s="218" t="n">
        <v>24</v>
      </c>
      <c r="AF39" s="223" t="n">
        <v>0</v>
      </c>
      <c r="AG39" s="218" t="n">
        <f aca="false">AG38+(U39*1.9835)</f>
        <v>5402.1750272275</v>
      </c>
      <c r="AH39" s="218" t="n">
        <v>0</v>
      </c>
      <c r="AI39" s="224"/>
      <c r="AJ39" s="224"/>
      <c r="AK39" s="224"/>
    </row>
    <row r="40" customFormat="false" ht="11.1" hidden="false" customHeight="true" outlineLevel="0" collapsed="false">
      <c r="A40" s="153" t="n">
        <f aca="false">A39+1</f>
        <v>29</v>
      </c>
      <c r="B40" s="226" t="n">
        <v>6863.74</v>
      </c>
      <c r="C40" s="216" t="n">
        <v>171865</v>
      </c>
      <c r="D40" s="218" t="n">
        <f aca="false">C40-C39</f>
        <v>-48</v>
      </c>
      <c r="E40" s="216" t="n">
        <f aca="false">C40-152000</f>
        <v>19865</v>
      </c>
      <c r="F40" s="239" t="n">
        <f aca="false">D40/$D$2</f>
        <v>-24.19964708848</v>
      </c>
      <c r="G40" s="240" t="n">
        <v>30</v>
      </c>
      <c r="H40" s="241" t="n">
        <v>0</v>
      </c>
      <c r="I40" s="240" t="n">
        <f aca="false">G40+H40</f>
        <v>30</v>
      </c>
      <c r="J40" s="221" t="n">
        <f aca="false">IF(L40&gt;0,L40,0)</f>
        <v>14.60035291152</v>
      </c>
      <c r="K40" s="240" t="n">
        <f aca="false">I40+J40</f>
        <v>44.60035291152</v>
      </c>
      <c r="L40" s="240" t="n">
        <f aca="false">F40-(I40-AA40)</f>
        <v>14.60035291152</v>
      </c>
      <c r="M40" s="242" t="n">
        <v>3.8</v>
      </c>
      <c r="N40" s="240" t="n">
        <v>0</v>
      </c>
      <c r="O40" s="240" t="n">
        <v>0</v>
      </c>
      <c r="P40" s="115" t="n">
        <v>1.4</v>
      </c>
      <c r="Q40" s="115" t="n">
        <v>2.4</v>
      </c>
      <c r="R40" s="116" t="n">
        <v>0</v>
      </c>
      <c r="S40" s="240" t="n">
        <v>47</v>
      </c>
      <c r="T40" s="240" t="n">
        <v>0</v>
      </c>
      <c r="U40" s="221" t="n">
        <f aca="false">M40-N40-O40-P40-Q40-R40+S40+T40</f>
        <v>47</v>
      </c>
      <c r="V40" s="221"/>
      <c r="W40" s="216"/>
      <c r="X40" s="240" t="n">
        <v>0</v>
      </c>
      <c r="Y40" s="240" t="n">
        <v>18</v>
      </c>
      <c r="Z40" s="216" t="n">
        <f aca="false">Z39-Y40</f>
        <v>2106</v>
      </c>
      <c r="AA40" s="117" t="n">
        <f aca="false">N40+O40+P40+Q40+R40+U40+X40+Y40</f>
        <v>68.8</v>
      </c>
      <c r="AB40" s="240" t="n">
        <f aca="false">IF(L40&lt;0,L40*-1,0)</f>
        <v>0</v>
      </c>
      <c r="AC40" s="240" t="n">
        <f aca="false">AA40+AB40</f>
        <v>68.8</v>
      </c>
      <c r="AD40" s="222" t="n">
        <v>0</v>
      </c>
      <c r="AE40" s="224" t="n">
        <v>28</v>
      </c>
      <c r="AF40" s="223" t="n">
        <v>3</v>
      </c>
      <c r="AG40" s="218" t="n">
        <f aca="false">AG39+(U40*1.9835)</f>
        <v>5495.3995272275</v>
      </c>
      <c r="AH40" s="218" t="n">
        <v>0</v>
      </c>
      <c r="AI40" s="224"/>
      <c r="AJ40" s="224"/>
      <c r="AK40" s="224"/>
    </row>
    <row r="41" customFormat="false" ht="11.1" hidden="false" customHeight="true" outlineLevel="0" collapsed="false">
      <c r="A41" s="153" t="n">
        <v>30</v>
      </c>
      <c r="B41" s="226" t="n">
        <v>6863.72</v>
      </c>
      <c r="C41" s="216" t="n">
        <v>171817</v>
      </c>
      <c r="D41" s="218" t="n">
        <f aca="false">C41-C40</f>
        <v>-48</v>
      </c>
      <c r="E41" s="216" t="n">
        <f aca="false">C41-152000</f>
        <v>19817</v>
      </c>
      <c r="F41" s="239" t="n">
        <f aca="false">D41/$D$2</f>
        <v>-24.19964708848</v>
      </c>
      <c r="G41" s="240" t="n">
        <v>34</v>
      </c>
      <c r="H41" s="241" t="n">
        <v>0</v>
      </c>
      <c r="I41" s="240" t="n">
        <f aca="false">G41+H41</f>
        <v>34</v>
      </c>
      <c r="J41" s="221" t="n">
        <f aca="false">IF(L41&gt;0,L41,0)</f>
        <v>16.60035291152</v>
      </c>
      <c r="K41" s="240" t="n">
        <f aca="false">I41+J41</f>
        <v>50.60035291152</v>
      </c>
      <c r="L41" s="240" t="n">
        <f aca="false">F41-(I41-AA41)</f>
        <v>16.60035291152</v>
      </c>
      <c r="M41" s="242" t="n">
        <v>3.8</v>
      </c>
      <c r="N41" s="240" t="n">
        <v>0</v>
      </c>
      <c r="O41" s="240" t="n">
        <v>0</v>
      </c>
      <c r="P41" s="115" t="n">
        <v>1.4</v>
      </c>
      <c r="Q41" s="115" t="n">
        <v>2.4</v>
      </c>
      <c r="R41" s="116" t="n">
        <v>0</v>
      </c>
      <c r="S41" s="240" t="n">
        <v>53</v>
      </c>
      <c r="T41" s="240" t="n">
        <v>0</v>
      </c>
      <c r="U41" s="221" t="n">
        <f aca="false">M41-N41-O41-P41-Q41-R41+S41+T41</f>
        <v>53</v>
      </c>
      <c r="V41" s="221"/>
      <c r="W41" s="216"/>
      <c r="X41" s="240" t="n">
        <v>0</v>
      </c>
      <c r="Y41" s="240" t="n">
        <v>18</v>
      </c>
      <c r="Z41" s="216" t="n">
        <f aca="false">Z40-Y41</f>
        <v>2088</v>
      </c>
      <c r="AA41" s="117" t="n">
        <f aca="false">N41+O41+P41+Q41+R41+U41+X41+Y41</f>
        <v>74.8</v>
      </c>
      <c r="AB41" s="240" t="n">
        <f aca="false">IF(L41&lt;0,L41*-1,0)</f>
        <v>0</v>
      </c>
      <c r="AC41" s="240" t="n">
        <f aca="false">AA41+AB41</f>
        <v>74.8</v>
      </c>
      <c r="AD41" s="222" t="n">
        <v>0</v>
      </c>
      <c r="AE41" s="224" t="n">
        <v>37</v>
      </c>
      <c r="AF41" s="223" t="n">
        <v>23</v>
      </c>
      <c r="AG41" s="218" t="n">
        <f aca="false">AG40+(U41*1.9835)</f>
        <v>5600.5250272275</v>
      </c>
      <c r="AH41" s="218" t="n">
        <v>0</v>
      </c>
      <c r="AI41" s="224"/>
      <c r="AJ41" s="224"/>
      <c r="AK41" s="224"/>
    </row>
    <row r="42" customFormat="false" ht="11.1" hidden="false" customHeight="true" outlineLevel="0" collapsed="false">
      <c r="A42" s="153" t="n">
        <v>31</v>
      </c>
      <c r="B42" s="226" t="n">
        <v>6863.7</v>
      </c>
      <c r="C42" s="216" t="n">
        <v>171768</v>
      </c>
      <c r="D42" s="218" t="n">
        <f aca="false">C42-C41</f>
        <v>-49</v>
      </c>
      <c r="E42" s="216" t="n">
        <f aca="false">C42-152000</f>
        <v>19768</v>
      </c>
      <c r="F42" s="239" t="n">
        <f aca="false">D42/$D$2</f>
        <v>-24.7038064028233</v>
      </c>
      <c r="G42" s="240" t="n">
        <v>37</v>
      </c>
      <c r="H42" s="241" t="n">
        <v>0</v>
      </c>
      <c r="I42" s="240" t="n">
        <f aca="false">G42+H42</f>
        <v>37</v>
      </c>
      <c r="J42" s="221" t="n">
        <f aca="false">IF(L42&gt;0,L42,0)</f>
        <v>13.9961935971767</v>
      </c>
      <c r="K42" s="240" t="n">
        <f aca="false">I42+J42</f>
        <v>50.9961935971767</v>
      </c>
      <c r="L42" s="240" t="n">
        <f aca="false">F42-(I42-AA42)</f>
        <v>13.9961935971767</v>
      </c>
      <c r="M42" s="242" t="n">
        <v>3.7</v>
      </c>
      <c r="N42" s="240" t="n">
        <v>0</v>
      </c>
      <c r="O42" s="240" t="n">
        <v>0</v>
      </c>
      <c r="P42" s="115" t="n">
        <v>1.4</v>
      </c>
      <c r="Q42" s="115" t="n">
        <v>2.4</v>
      </c>
      <c r="R42" s="116" t="n">
        <v>0</v>
      </c>
      <c r="S42" s="240" t="n">
        <v>54</v>
      </c>
      <c r="T42" s="240" t="n">
        <v>0</v>
      </c>
      <c r="U42" s="221" t="n">
        <f aca="false">M42-N42-O42-P42-Q42-R42+S42+T42</f>
        <v>53.9</v>
      </c>
      <c r="V42" s="221"/>
      <c r="W42" s="216"/>
      <c r="X42" s="240" t="n">
        <v>0</v>
      </c>
      <c r="Y42" s="240" t="n">
        <v>18</v>
      </c>
      <c r="Z42" s="216" t="n">
        <f aca="false">Z41-Y42</f>
        <v>2070</v>
      </c>
      <c r="AA42" s="117" t="n">
        <f aca="false">N42+O42+P42+Q42+R42+U42+X42+Y42</f>
        <v>75.7</v>
      </c>
      <c r="AB42" s="240" t="n">
        <f aca="false">IF(L42&lt;0,L42*-1,0)</f>
        <v>0</v>
      </c>
      <c r="AC42" s="240" t="n">
        <f aca="false">AA42+AB42</f>
        <v>75.7</v>
      </c>
      <c r="AD42" s="222" t="n">
        <v>0</v>
      </c>
      <c r="AE42" s="224" t="n">
        <v>43</v>
      </c>
      <c r="AF42" s="223" t="n">
        <v>20</v>
      </c>
      <c r="AG42" s="218" t="n">
        <f aca="false">AG41+(U42*1.9835)</f>
        <v>5707.4356772275</v>
      </c>
      <c r="AH42" s="218" t="n">
        <v>0</v>
      </c>
      <c r="AI42" s="224"/>
      <c r="AJ42" s="224"/>
      <c r="AK42" s="224"/>
    </row>
    <row r="43" customFormat="false" ht="3" hidden="false" customHeight="true" outlineLevel="0" collapsed="false">
      <c r="A43" s="227"/>
      <c r="B43" s="244"/>
      <c r="C43" s="229"/>
      <c r="D43" s="230"/>
      <c r="E43" s="229"/>
      <c r="F43" s="231"/>
      <c r="G43" s="230"/>
      <c r="H43" s="232"/>
      <c r="I43" s="230"/>
      <c r="J43" s="230"/>
      <c r="K43" s="230"/>
      <c r="L43" s="245"/>
      <c r="M43" s="246"/>
      <c r="N43" s="245"/>
      <c r="O43" s="230"/>
      <c r="P43" s="230"/>
      <c r="Q43" s="230"/>
      <c r="R43" s="234"/>
      <c r="S43" s="230"/>
      <c r="T43" s="230"/>
      <c r="U43" s="230"/>
      <c r="V43" s="235"/>
      <c r="W43" s="229"/>
      <c r="X43" s="230"/>
      <c r="Y43" s="245"/>
      <c r="Z43" s="230"/>
      <c r="AA43" s="230"/>
      <c r="AB43" s="230"/>
      <c r="AC43" s="230"/>
      <c r="AD43" s="236"/>
      <c r="AE43" s="237"/>
      <c r="AF43" s="238" t="s">
        <v>85</v>
      </c>
      <c r="AG43" s="237"/>
      <c r="AH43" s="237"/>
      <c r="AI43" s="237"/>
      <c r="AJ43" s="237"/>
      <c r="AK43" s="237"/>
    </row>
    <row r="44" customFormat="false" ht="11.1" hidden="false" customHeight="true" outlineLevel="0" collapsed="false">
      <c r="A44" s="154" t="s">
        <v>69</v>
      </c>
      <c r="B44" s="215"/>
      <c r="C44" s="216"/>
      <c r="D44" s="216"/>
      <c r="E44" s="216"/>
      <c r="F44" s="217" t="n">
        <f aca="false">SUM(F12:F42)</f>
        <v>-551.550289891606</v>
      </c>
      <c r="G44" s="216" t="n">
        <f aca="false">SUM(G12:G42)</f>
        <v>1190</v>
      </c>
      <c r="H44" s="216" t="n">
        <f aca="false">SUM(H12:H42)</f>
        <v>0</v>
      </c>
      <c r="I44" s="216" t="n">
        <f aca="false">SUM(I12:I42)</f>
        <v>1190</v>
      </c>
      <c r="J44" s="216" t="n">
        <f aca="false">SUM(J12:J42)</f>
        <v>474.104710108394</v>
      </c>
      <c r="K44" s="216" t="n">
        <f aca="false">SUM(K12:K42)</f>
        <v>1664.10471010839</v>
      </c>
      <c r="L44" s="216" t="n">
        <f aca="false">SUM(L12:L42)</f>
        <v>474.104710108394</v>
      </c>
      <c r="M44" s="219" t="n">
        <f aca="false">SUM(M12:M42)</f>
        <v>126.8</v>
      </c>
      <c r="N44" s="216" t="n">
        <f aca="false">SUM(N12:N42)</f>
        <v>0</v>
      </c>
      <c r="O44" s="216" t="n">
        <f aca="false">SUM(O12:O42)</f>
        <v>31.855</v>
      </c>
      <c r="P44" s="216" t="n">
        <f aca="false">SUM(P12:P42)</f>
        <v>43.4</v>
      </c>
      <c r="Q44" s="216" t="n">
        <f aca="false">SUM(Q12:Q42)</f>
        <v>74.4</v>
      </c>
      <c r="R44" s="220" t="n">
        <f aca="false">SUM(R12:R42)</f>
        <v>0</v>
      </c>
      <c r="S44" s="216" t="n">
        <f aca="false">SUM(S12:S42)</f>
        <v>1496</v>
      </c>
      <c r="T44" s="216" t="n">
        <f aca="false">SUM(T12:T42)</f>
        <v>0</v>
      </c>
      <c r="U44" s="216" t="n">
        <f aca="false">SUM(U12:U42)</f>
        <v>1505</v>
      </c>
      <c r="V44" s="221"/>
      <c r="W44" s="216"/>
      <c r="X44" s="216"/>
      <c r="Y44" s="216" t="n">
        <f aca="false">SUM(Y12:Y42)</f>
        <v>561</v>
      </c>
      <c r="Z44" s="216"/>
      <c r="AA44" s="216" t="n">
        <f aca="false">SUM(AA12:AA42)</f>
        <v>2215.655</v>
      </c>
      <c r="AB44" s="216" t="n">
        <f aca="false">SUM(AB12:AB42)</f>
        <v>0</v>
      </c>
      <c r="AC44" s="216" t="n">
        <f aca="false">SUM(AC12:AC42)</f>
        <v>2215.655</v>
      </c>
      <c r="AD44" s="222" t="n">
        <f aca="false">SUM(AD12:AD42)</f>
        <v>0.65</v>
      </c>
      <c r="AE44" s="218" t="n">
        <f aca="false">AVERAGE(AE12:AE42)</f>
        <v>42.7741935483871</v>
      </c>
      <c r="AF44" s="223" t="n">
        <f aca="false">AVERAGE(AF12:AF42)</f>
        <v>19.1612903225806</v>
      </c>
      <c r="AG44" s="218" t="s">
        <v>70</v>
      </c>
      <c r="AH44" s="216" t="n">
        <f aca="false">SUM(AH12:AH42)</f>
        <v>0</v>
      </c>
      <c r="AI44" s="224"/>
      <c r="AJ44" s="224"/>
      <c r="AK44" s="224"/>
    </row>
    <row r="45" customFormat="false" ht="11.1" hidden="false" customHeight="true" outlineLevel="0" collapsed="false">
      <c r="A45" s="154" t="s">
        <v>71</v>
      </c>
      <c r="B45" s="215"/>
      <c r="C45" s="216"/>
      <c r="D45" s="216" t="n">
        <f aca="false">SUM(D12:D42)</f>
        <v>-1094</v>
      </c>
      <c r="E45" s="216"/>
      <c r="F45" s="217" t="n">
        <f aca="false">F44*$D$2</f>
        <v>-1094</v>
      </c>
      <c r="G45" s="216" t="n">
        <f aca="false">G44*$D$2</f>
        <v>2360.365</v>
      </c>
      <c r="H45" s="216" t="n">
        <f aca="false">H44*$D$2</f>
        <v>0</v>
      </c>
      <c r="I45" s="216" t="n">
        <f aca="false">I44*$D$2</f>
        <v>2360.365</v>
      </c>
      <c r="J45" s="216" t="n">
        <f aca="false">J44*$D$2</f>
        <v>940.3866925</v>
      </c>
      <c r="K45" s="216" t="n">
        <f aca="false">K44*$D$2</f>
        <v>3300.7516925</v>
      </c>
      <c r="L45" s="216" t="n">
        <f aca="false">L44*$D$2</f>
        <v>940.3866925</v>
      </c>
      <c r="M45" s="219" t="n">
        <f aca="false">M44*$D$2</f>
        <v>251.5078</v>
      </c>
      <c r="N45" s="216" t="n">
        <f aca="false">N44*$D$2</f>
        <v>0</v>
      </c>
      <c r="O45" s="216" t="n">
        <f aca="false">O44*$D$2</f>
        <v>63.1843925</v>
      </c>
      <c r="P45" s="216" t="n">
        <f aca="false">P44*$D$2</f>
        <v>86.0839</v>
      </c>
      <c r="Q45" s="216" t="n">
        <f aca="false">Q44*$D$2</f>
        <v>147.5724</v>
      </c>
      <c r="R45" s="220" t="n">
        <f aca="false">R44*$D$2</f>
        <v>0</v>
      </c>
      <c r="S45" s="216" t="n">
        <f aca="false">S44*$D$2</f>
        <v>2967.316</v>
      </c>
      <c r="T45" s="216" t="n">
        <f aca="false">T44*$D$2</f>
        <v>0</v>
      </c>
      <c r="U45" s="216" t="n">
        <f aca="false">U44*$D$2</f>
        <v>2985.1675</v>
      </c>
      <c r="V45" s="221"/>
      <c r="W45" s="216"/>
      <c r="X45" s="216"/>
      <c r="Y45" s="216" t="n">
        <f aca="false">Y44*$D$2</f>
        <v>1112.7435</v>
      </c>
      <c r="Z45" s="216"/>
      <c r="AA45" s="216" t="n">
        <f aca="false">AA44*$D$2</f>
        <v>4394.7516925</v>
      </c>
      <c r="AB45" s="216" t="n">
        <f aca="false">AB44*$D$2</f>
        <v>0</v>
      </c>
      <c r="AC45" s="216" t="n">
        <f aca="false">AC44*$D$2</f>
        <v>4394.7516925</v>
      </c>
      <c r="AD45" s="222"/>
      <c r="AE45" s="218" t="n">
        <f aca="false">MAX(AE12:AE42)</f>
        <v>61</v>
      </c>
      <c r="AF45" s="223" t="n">
        <f aca="false">MAX(AF12:AF42)</f>
        <v>33</v>
      </c>
      <c r="AG45" s="218" t="s">
        <v>72</v>
      </c>
      <c r="AH45" s="216" t="n">
        <f aca="false">AH44*$D$2</f>
        <v>0</v>
      </c>
      <c r="AI45" s="224"/>
      <c r="AJ45" s="224"/>
      <c r="AK45" s="224"/>
    </row>
    <row r="46" customFormat="false" ht="3" hidden="false" customHeight="true" outlineLevel="0" collapsed="false">
      <c r="A46" s="247"/>
      <c r="B46" s="244"/>
      <c r="C46" s="229"/>
      <c r="D46" s="229"/>
      <c r="E46" s="229"/>
      <c r="F46" s="248"/>
      <c r="G46" s="229"/>
      <c r="H46" s="229"/>
      <c r="I46" s="229"/>
      <c r="J46" s="229"/>
      <c r="K46" s="229"/>
      <c r="L46" s="229"/>
      <c r="M46" s="249"/>
      <c r="N46" s="229"/>
      <c r="O46" s="229"/>
      <c r="P46" s="229"/>
      <c r="Q46" s="229"/>
      <c r="R46" s="250"/>
      <c r="S46" s="229"/>
      <c r="T46" s="229"/>
      <c r="U46" s="229"/>
      <c r="V46" s="235"/>
      <c r="W46" s="229"/>
      <c r="X46" s="229"/>
      <c r="Y46" s="229"/>
      <c r="Z46" s="230"/>
      <c r="AA46" s="229"/>
      <c r="AB46" s="229"/>
      <c r="AC46" s="229"/>
      <c r="AD46" s="251"/>
      <c r="AE46" s="229"/>
      <c r="AF46" s="248"/>
      <c r="AG46" s="229"/>
      <c r="AH46" s="229"/>
      <c r="AI46" s="229"/>
      <c r="AJ46" s="229"/>
      <c r="AK46" s="237"/>
    </row>
    <row r="47" customFormat="false" ht="11.1" hidden="false" customHeight="true" outlineLevel="0" collapsed="false">
      <c r="A47" s="154" t="s">
        <v>73</v>
      </c>
      <c r="B47" s="215"/>
      <c r="C47" s="216"/>
      <c r="D47" s="216"/>
      <c r="E47" s="216"/>
      <c r="F47" s="217"/>
      <c r="G47" s="216"/>
      <c r="H47" s="216"/>
      <c r="I47" s="216"/>
      <c r="J47" s="216"/>
      <c r="K47" s="216"/>
      <c r="L47" s="216"/>
      <c r="M47" s="219"/>
      <c r="N47" s="216"/>
      <c r="O47" s="216"/>
      <c r="P47" s="216"/>
      <c r="Q47" s="216"/>
      <c r="R47" s="220"/>
      <c r="S47" s="216"/>
      <c r="T47" s="216"/>
      <c r="U47" s="216"/>
      <c r="V47" s="221"/>
      <c r="W47" s="216"/>
      <c r="X47" s="216"/>
      <c r="Y47" s="216"/>
      <c r="Z47" s="216"/>
      <c r="AA47" s="216"/>
      <c r="AB47" s="216"/>
      <c r="AC47" s="216"/>
      <c r="AD47" s="222"/>
      <c r="AE47" s="218" t="n">
        <f aca="false">MIN(AE12:AE42)</f>
        <v>24</v>
      </c>
      <c r="AF47" s="223" t="n">
        <f aca="false">MIN(AF12:AF42)</f>
        <v>-5</v>
      </c>
      <c r="AG47" s="218" t="s">
        <v>74</v>
      </c>
      <c r="AH47" s="218"/>
      <c r="AI47" s="224"/>
      <c r="AJ47" s="224"/>
      <c r="AK47" s="224"/>
    </row>
    <row r="48" customFormat="false" ht="11.1" hidden="false" customHeight="true" outlineLevel="0" collapsed="false">
      <c r="A48" s="154" t="s">
        <v>75</v>
      </c>
      <c r="B48" s="215"/>
      <c r="C48" s="216"/>
      <c r="D48" s="216"/>
      <c r="E48" s="216"/>
      <c r="F48" s="217"/>
      <c r="G48" s="216"/>
      <c r="H48" s="216"/>
      <c r="I48" s="216"/>
      <c r="J48" s="216"/>
      <c r="K48" s="216"/>
      <c r="L48" s="216"/>
      <c r="M48" s="219"/>
      <c r="N48" s="216"/>
      <c r="O48" s="216"/>
      <c r="P48" s="216"/>
      <c r="Q48" s="216"/>
      <c r="R48" s="220"/>
      <c r="S48" s="216"/>
      <c r="T48" s="216"/>
      <c r="U48" s="216"/>
      <c r="V48" s="221"/>
      <c r="W48" s="216"/>
      <c r="X48" s="216"/>
      <c r="Y48" s="216"/>
      <c r="Z48" s="216"/>
      <c r="AA48" s="216"/>
      <c r="AB48" s="216"/>
      <c r="AC48" s="216"/>
      <c r="AD48" s="222"/>
      <c r="AE48" s="218"/>
      <c r="AF48" s="223"/>
      <c r="AG48" s="218"/>
      <c r="AH48" s="218"/>
      <c r="AI48" s="224"/>
      <c r="AJ48" s="224"/>
      <c r="AK48" s="224"/>
    </row>
    <row r="49" customFormat="false" ht="3" hidden="false" customHeight="true" outlineLevel="0" collapsed="false">
      <c r="A49" s="247"/>
      <c r="B49" s="244"/>
      <c r="C49" s="229"/>
      <c r="D49" s="229"/>
      <c r="E49" s="229"/>
      <c r="F49" s="248"/>
      <c r="G49" s="229"/>
      <c r="H49" s="237"/>
      <c r="I49" s="229"/>
      <c r="J49" s="229"/>
      <c r="K49" s="229"/>
      <c r="L49" s="229"/>
      <c r="M49" s="249"/>
      <c r="N49" s="229"/>
      <c r="O49" s="229"/>
      <c r="P49" s="229"/>
      <c r="Q49" s="229"/>
      <c r="R49" s="250"/>
      <c r="S49" s="229"/>
      <c r="T49" s="229"/>
      <c r="U49" s="229"/>
      <c r="V49" s="235"/>
      <c r="W49" s="229"/>
      <c r="X49" s="229"/>
      <c r="Y49" s="229"/>
      <c r="Z49" s="229"/>
      <c r="AA49" s="229"/>
      <c r="AB49" s="229"/>
      <c r="AC49" s="229"/>
      <c r="AD49" s="236"/>
      <c r="AE49" s="252"/>
      <c r="AF49" s="253"/>
      <c r="AG49" s="252"/>
      <c r="AH49" s="252"/>
      <c r="AI49" s="252"/>
      <c r="AJ49" s="252"/>
      <c r="AK49" s="237"/>
    </row>
    <row r="50" customFormat="false" ht="11.1" hidden="false" customHeight="true" outlineLevel="0" collapsed="false">
      <c r="A50" s="154" t="s">
        <v>76</v>
      </c>
      <c r="B50" s="215"/>
      <c r="C50" s="216"/>
      <c r="D50" s="216"/>
      <c r="E50" s="216"/>
      <c r="F50" s="217" t="n">
        <f aca="false">F10+F44</f>
        <v>-1096.54650869675</v>
      </c>
      <c r="G50" s="216" t="n">
        <f aca="false">G10+G44</f>
        <v>3051</v>
      </c>
      <c r="H50" s="218" t="n">
        <f aca="false">H10+H44</f>
        <v>0</v>
      </c>
      <c r="I50" s="216" t="n">
        <f aca="false">I10+I44</f>
        <v>3051</v>
      </c>
      <c r="J50" s="216" t="n">
        <f aca="false">J10+J44</f>
        <v>685.081871691455</v>
      </c>
      <c r="K50" s="216" t="n">
        <f aca="false">K10+K44</f>
        <v>3736.08187169145</v>
      </c>
      <c r="L50" s="216" t="n">
        <f aca="false">L10+L44</f>
        <v>503.108491303252</v>
      </c>
      <c r="M50" s="219" t="n">
        <f aca="false">M10+M44</f>
        <v>364.8</v>
      </c>
      <c r="N50" s="216" t="n">
        <f aca="false">N10+N44</f>
        <v>0</v>
      </c>
      <c r="O50" s="216" t="n">
        <v>0</v>
      </c>
      <c r="P50" s="216" t="n">
        <f aca="false">P10+P44</f>
        <v>84.8</v>
      </c>
      <c r="Q50" s="216" t="n">
        <f aca="false">Q10+Q44</f>
        <v>146.4</v>
      </c>
      <c r="R50" s="220" t="n">
        <f aca="false">R10+R44</f>
        <v>0</v>
      </c>
      <c r="S50" s="216" t="n">
        <f aca="false">S10+S44</f>
        <v>3010</v>
      </c>
      <c r="T50" s="216" t="n">
        <f aca="false">T10+T44</f>
        <v>95</v>
      </c>
      <c r="U50" s="216" t="n">
        <f aca="false">U10+U44</f>
        <v>3232.53049</v>
      </c>
      <c r="V50" s="221"/>
      <c r="W50" s="216"/>
      <c r="X50" s="216"/>
      <c r="Y50" s="216" t="n">
        <f aca="false">Y10+Y44</f>
        <v>1149</v>
      </c>
      <c r="Z50" s="216" t="n">
        <f aca="false">Z42</f>
        <v>2070</v>
      </c>
      <c r="AA50" s="216" t="n">
        <f aca="false">AA10+AA44</f>
        <v>4650.655</v>
      </c>
      <c r="AB50" s="216" t="n">
        <f aca="false">AB10+AB44</f>
        <v>181.973380388203</v>
      </c>
      <c r="AC50" s="216" t="n">
        <f aca="false">AC10+AC44</f>
        <v>4832.6283803882</v>
      </c>
      <c r="AD50" s="222" t="n">
        <f aca="false">AD10+AD44</f>
        <v>1.63</v>
      </c>
      <c r="AE50" s="218"/>
      <c r="AF50" s="223"/>
      <c r="AG50" s="218"/>
      <c r="AH50" s="216" t="n">
        <f aca="false">AH10+AH44</f>
        <v>369.860625</v>
      </c>
      <c r="AI50" s="224"/>
      <c r="AJ50" s="224"/>
      <c r="AK50" s="224"/>
    </row>
    <row r="51" customFormat="false" ht="11.1" hidden="false" customHeight="true" outlineLevel="0" collapsed="false">
      <c r="A51" s="154" t="s">
        <v>77</v>
      </c>
      <c r="B51" s="215"/>
      <c r="C51" s="216"/>
      <c r="D51" s="216" t="n">
        <f aca="false">D10+D45</f>
        <v>-2175</v>
      </c>
      <c r="E51" s="216" t="n">
        <f aca="false">E42</f>
        <v>19768</v>
      </c>
      <c r="F51" s="217" t="n">
        <f aca="false">F50*$D$2</f>
        <v>-2175</v>
      </c>
      <c r="G51" s="216" t="n">
        <f aca="false">G50*$D$2</f>
        <v>6051.6585</v>
      </c>
      <c r="H51" s="218" t="n">
        <f aca="false">H50*$D$2</f>
        <v>0</v>
      </c>
      <c r="I51" s="216" t="n">
        <f aca="false">I50*$D$2</f>
        <v>6051.6585</v>
      </c>
      <c r="J51" s="216" t="n">
        <f aca="false">J50*$D$2</f>
        <v>1358.8598925</v>
      </c>
      <c r="K51" s="216" t="n">
        <f aca="false">K50*$D$2</f>
        <v>7410.5183925</v>
      </c>
      <c r="L51" s="216" t="n">
        <f aca="false">L50*$D$2</f>
        <v>997.9156925</v>
      </c>
      <c r="M51" s="219" t="n">
        <f aca="false">M50*$D$2</f>
        <v>723.5808</v>
      </c>
      <c r="N51" s="216" t="n">
        <f aca="false">N50*$D$2</f>
        <v>0</v>
      </c>
      <c r="O51" s="216" t="n">
        <f aca="false">O50*$D$2</f>
        <v>0</v>
      </c>
      <c r="P51" s="216" t="n">
        <f aca="false">P50*$D$2</f>
        <v>168.2008</v>
      </c>
      <c r="Q51" s="216" t="n">
        <f aca="false">Q50*$D$2</f>
        <v>290.3844</v>
      </c>
      <c r="R51" s="254" t="n">
        <f aca="false">R50*$D$2</f>
        <v>0</v>
      </c>
      <c r="S51" s="216" t="n">
        <f aca="false">S50*$D$2</f>
        <v>5970.335</v>
      </c>
      <c r="T51" s="216" t="n">
        <f aca="false">T50*$D$2</f>
        <v>188.4325</v>
      </c>
      <c r="U51" s="216" t="n">
        <f aca="false">U50*$D$2</f>
        <v>6411.724226915</v>
      </c>
      <c r="V51" s="221"/>
      <c r="W51" s="216"/>
      <c r="X51" s="216"/>
      <c r="Y51" s="216" t="n">
        <f aca="false">Y50*$D$2</f>
        <v>2279.0415</v>
      </c>
      <c r="Z51" s="216" t="n">
        <f aca="false">Z50*$D$2</f>
        <v>4105.845</v>
      </c>
      <c r="AA51" s="216" t="n">
        <f aca="false">AA50*$D$2</f>
        <v>9224.5741925</v>
      </c>
      <c r="AB51" s="216" t="n">
        <f aca="false">AB50*$D$2</f>
        <v>360.9442</v>
      </c>
      <c r="AC51" s="216" t="n">
        <f aca="false">AC50*$D$2</f>
        <v>9585.5183925</v>
      </c>
      <c r="AD51" s="222"/>
      <c r="AE51" s="218"/>
      <c r="AF51" s="223"/>
      <c r="AG51" s="218" t="n">
        <f aca="false">AG42</f>
        <v>5707.4356772275</v>
      </c>
      <c r="AH51" s="216" t="n">
        <f aca="false">AH50*$D$2</f>
        <v>733.6185496875</v>
      </c>
      <c r="AI51" s="224"/>
      <c r="AJ51" s="224"/>
      <c r="AK51" s="224"/>
    </row>
    <row r="52" customFormat="false" ht="3" hidden="false" customHeight="true" outlineLevel="0" collapsed="false">
      <c r="A52" s="227"/>
      <c r="B52" s="244"/>
      <c r="C52" s="229"/>
      <c r="D52" s="230"/>
      <c r="E52" s="229"/>
      <c r="F52" s="231"/>
      <c r="G52" s="230"/>
      <c r="H52" s="232"/>
      <c r="I52" s="230"/>
      <c r="J52" s="230"/>
      <c r="K52" s="230"/>
      <c r="L52" s="230"/>
      <c r="M52" s="233"/>
      <c r="N52" s="230"/>
      <c r="O52" s="230"/>
      <c r="P52" s="234"/>
      <c r="Q52" s="230"/>
      <c r="R52" s="230"/>
      <c r="S52" s="230"/>
      <c r="T52" s="230"/>
      <c r="U52" s="230"/>
      <c r="V52" s="235"/>
      <c r="W52" s="229"/>
      <c r="X52" s="230"/>
      <c r="Y52" s="230"/>
      <c r="Z52" s="229"/>
      <c r="AA52" s="230"/>
      <c r="AB52" s="230"/>
      <c r="AC52" s="230"/>
      <c r="AD52" s="244"/>
      <c r="AE52" s="230"/>
      <c r="AF52" s="231"/>
      <c r="AG52" s="230"/>
      <c r="AH52" s="230"/>
      <c r="AI52" s="230"/>
      <c r="AJ52" s="230"/>
      <c r="AK52" s="237"/>
    </row>
    <row r="53" customFormat="false" ht="11.1" hidden="false" customHeight="true" outlineLevel="0" collapsed="false">
      <c r="A53" s="145"/>
      <c r="B53" s="255"/>
      <c r="C53" s="146"/>
      <c r="D53" s="145"/>
      <c r="E53" s="146"/>
      <c r="F53" s="145"/>
      <c r="G53" s="145"/>
      <c r="H53" s="151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9"/>
      <c r="W53" s="146"/>
      <c r="X53" s="145"/>
      <c r="Y53" s="145"/>
      <c r="Z53" s="146"/>
      <c r="AA53" s="145"/>
      <c r="AB53" s="145"/>
      <c r="AC53" s="145"/>
      <c r="AD53" s="151"/>
      <c r="AE53" s="152"/>
      <c r="AF53" s="152"/>
      <c r="AG53" s="153"/>
      <c r="AH53" s="153"/>
    </row>
    <row r="54" customFormat="false" ht="11.1" hidden="false" customHeight="true" outlineLevel="0" collapsed="false">
      <c r="A54" s="145"/>
      <c r="B54" s="256"/>
      <c r="C54" s="146"/>
      <c r="D54" s="257"/>
      <c r="E54" s="146"/>
      <c r="F54" s="145"/>
      <c r="G54" s="145"/>
      <c r="H54" s="151"/>
      <c r="I54" s="147"/>
      <c r="J54" s="145"/>
      <c r="K54" s="13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9"/>
      <c r="W54" s="146"/>
      <c r="X54" s="145"/>
      <c r="Y54" s="145"/>
      <c r="Z54" s="146"/>
      <c r="AA54" s="145"/>
      <c r="AB54" s="145"/>
      <c r="AC54" s="145"/>
      <c r="AD54" s="151"/>
      <c r="AE54" s="152"/>
      <c r="AF54" s="152"/>
      <c r="AG54" s="153"/>
      <c r="AH54" s="153"/>
    </row>
    <row r="55" customFormat="false" ht="11.1" hidden="false" customHeight="true" outlineLevel="0" collapsed="false">
      <c r="A55" s="257"/>
      <c r="B55" s="257"/>
      <c r="C55" s="146"/>
      <c r="D55" s="146"/>
      <c r="E55" s="146"/>
      <c r="F55" s="257"/>
      <c r="G55" s="257"/>
      <c r="H55" s="151"/>
      <c r="I55" s="257"/>
      <c r="J55" s="257"/>
      <c r="K55" s="257"/>
      <c r="L55" s="257"/>
      <c r="M55" s="149"/>
      <c r="N55" s="149"/>
      <c r="O55" s="149"/>
      <c r="P55" s="149"/>
      <c r="Q55" s="149"/>
      <c r="R55" s="149"/>
      <c r="S55" s="257"/>
      <c r="T55" s="257"/>
      <c r="U55" s="257"/>
      <c r="V55" s="149"/>
      <c r="W55" s="146"/>
      <c r="X55" s="257"/>
      <c r="Y55" s="257"/>
      <c r="Z55" s="146"/>
      <c r="AA55" s="257"/>
      <c r="AB55" s="257"/>
      <c r="AC55" s="257"/>
      <c r="AD55" s="151"/>
      <c r="AE55" s="152"/>
      <c r="AF55" s="152"/>
      <c r="AG55" s="153"/>
      <c r="AH55" s="153"/>
    </row>
    <row r="56" customFormat="false" ht="11.1" hidden="false" customHeight="true" outlineLevel="0" collapsed="false">
      <c r="A56" s="257"/>
      <c r="B56" s="150"/>
      <c r="C56" s="146"/>
      <c r="D56" s="146"/>
      <c r="E56" s="146"/>
      <c r="F56" s="257"/>
      <c r="G56" s="257"/>
      <c r="H56" s="151"/>
      <c r="I56" s="257"/>
      <c r="J56" s="257"/>
      <c r="K56" s="257"/>
      <c r="L56" s="257"/>
      <c r="M56" s="149"/>
      <c r="N56" s="149"/>
      <c r="O56" s="149"/>
      <c r="P56" s="257"/>
      <c r="Q56" s="257"/>
      <c r="R56" s="257"/>
      <c r="S56" s="257"/>
      <c r="T56" s="257"/>
      <c r="U56" s="146"/>
      <c r="V56" s="149"/>
      <c r="W56" s="257"/>
      <c r="X56" s="257"/>
      <c r="Y56" s="146"/>
      <c r="Z56" s="257"/>
      <c r="AA56" s="257"/>
      <c r="AB56" s="257"/>
      <c r="AC56" s="150"/>
      <c r="AD56" s="151"/>
      <c r="AE56" s="152"/>
      <c r="AF56" s="153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151"/>
      <c r="I57" s="257"/>
      <c r="J57" s="257"/>
      <c r="K57" s="257"/>
      <c r="L57" s="257"/>
      <c r="M57" s="149"/>
      <c r="N57" s="149"/>
      <c r="O57" s="149"/>
      <c r="P57" s="257"/>
      <c r="Q57" s="257"/>
      <c r="R57" s="257"/>
      <c r="S57" s="257"/>
      <c r="T57" s="257"/>
      <c r="U57" s="146"/>
      <c r="V57" s="149"/>
      <c r="W57" s="257"/>
      <c r="X57" s="257"/>
      <c r="Y57" s="146"/>
      <c r="Z57" s="257"/>
      <c r="AA57" s="257"/>
      <c r="AB57" s="257"/>
      <c r="AC57" s="150"/>
      <c r="AD57" s="151"/>
      <c r="AE57" s="152"/>
      <c r="AF57" s="153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26" activePane="bottomRight" state="frozen"/>
      <selection pane="topLeft" activeCell="A1" activeCellId="0" sqref="A1"/>
      <selection pane="topRight" activeCell="K1" activeCellId="0" sqref="K1"/>
      <selection pane="bottomLeft" activeCell="A26" activeCellId="0" sqref="A26"/>
      <selection pane="bottomRight" activeCell="S43" activeCellId="0" sqref="S43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139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259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7" min="16" style="140" width="4.32"/>
    <col collapsed="false" customWidth="true" hidden="false" outlineLevel="0" max="18" min="18" style="137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4" min="22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39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3" min="33" style="137" width="5.49"/>
    <col collapsed="false" customWidth="true" hidden="false" outlineLevel="0" max="34" min="34" style="144" width="5.49"/>
    <col collapsed="false" customWidth="true" hidden="false" outlineLevel="0" max="35" min="35" style="137" width="6.32"/>
    <col collapsed="false" customWidth="true" hidden="false" outlineLevel="0" max="37" min="36" style="144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51"/>
      <c r="I1" s="145"/>
      <c r="J1" s="145"/>
      <c r="K1" s="148" t="s">
        <v>0</v>
      </c>
      <c r="L1" s="145"/>
      <c r="M1" s="260"/>
      <c r="N1" s="145"/>
      <c r="O1" s="145"/>
      <c r="P1" s="145"/>
      <c r="Q1" s="145"/>
      <c r="R1" s="145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261"/>
      <c r="AH1" s="262"/>
      <c r="AI1" s="261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51"/>
      <c r="I2" s="145"/>
      <c r="J2" s="145"/>
      <c r="K2" s="156" t="s">
        <v>86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  <c r="AG2" s="261"/>
      <c r="AH2" s="262"/>
      <c r="AI2" s="261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163"/>
      <c r="I3" s="157"/>
      <c r="J3" s="157"/>
      <c r="K3" s="157"/>
      <c r="L3" s="157"/>
      <c r="M3" s="263"/>
      <c r="N3" s="157"/>
      <c r="O3" s="157"/>
      <c r="P3" s="157"/>
      <c r="Q3" s="157"/>
      <c r="R3" s="157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264"/>
      <c r="AH3" s="265"/>
      <c r="AI3" s="264"/>
      <c r="AJ3" s="167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267"/>
      <c r="I4" s="168"/>
      <c r="J4" s="168"/>
      <c r="K4" s="168"/>
      <c r="L4" s="168"/>
      <c r="M4" s="268"/>
      <c r="N4" s="168"/>
      <c r="O4" s="168"/>
      <c r="P4" s="168"/>
      <c r="Q4" s="168"/>
      <c r="R4" s="168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168"/>
      <c r="AH4" s="269"/>
      <c r="AI4" s="174" t="s">
        <v>6</v>
      </c>
      <c r="AJ4" s="183"/>
      <c r="AK4" s="184"/>
    </row>
    <row r="5" customFormat="false" ht="11.1" hidden="false" customHeight="true" outlineLevel="0" collapsed="false">
      <c r="A5" s="185" t="s">
        <v>7</v>
      </c>
      <c r="B5" s="186" t="s">
        <v>8</v>
      </c>
      <c r="C5" s="187" t="s">
        <v>8</v>
      </c>
      <c r="D5" s="185" t="s">
        <v>9</v>
      </c>
      <c r="E5" s="187" t="s">
        <v>10</v>
      </c>
      <c r="F5" s="188" t="s">
        <v>11</v>
      </c>
      <c r="G5" s="185" t="s">
        <v>12</v>
      </c>
      <c r="H5" s="270" t="s">
        <v>13</v>
      </c>
      <c r="I5" s="185" t="s">
        <v>14</v>
      </c>
      <c r="J5" s="185" t="s">
        <v>15</v>
      </c>
      <c r="K5" s="185" t="s">
        <v>16</v>
      </c>
      <c r="L5" s="185" t="s">
        <v>15</v>
      </c>
      <c r="M5" s="271" t="s">
        <v>17</v>
      </c>
      <c r="N5" s="271"/>
      <c r="O5" s="271"/>
      <c r="P5" s="271"/>
      <c r="Q5" s="271"/>
      <c r="R5" s="271"/>
      <c r="S5" s="185" t="s">
        <v>18</v>
      </c>
      <c r="T5" s="185" t="s">
        <v>19</v>
      </c>
      <c r="U5" s="185" t="s">
        <v>16</v>
      </c>
      <c r="V5" s="187" t="s">
        <v>20</v>
      </c>
      <c r="W5" s="187" t="s">
        <v>20</v>
      </c>
      <c r="X5" s="185" t="s">
        <v>21</v>
      </c>
      <c r="Y5" s="185" t="s">
        <v>22</v>
      </c>
      <c r="Z5" s="187" t="s">
        <v>23</v>
      </c>
      <c r="AA5" s="185" t="s">
        <v>14</v>
      </c>
      <c r="AB5" s="185" t="s">
        <v>15</v>
      </c>
      <c r="AC5" s="185" t="s">
        <v>16</v>
      </c>
      <c r="AD5" s="192" t="s">
        <v>24</v>
      </c>
      <c r="AE5" s="193" t="s">
        <v>25</v>
      </c>
      <c r="AF5" s="194" t="s">
        <v>26</v>
      </c>
      <c r="AG5" s="193" t="s">
        <v>79</v>
      </c>
      <c r="AH5" s="193" t="s">
        <v>20</v>
      </c>
      <c r="AI5" s="262" t="s">
        <v>20</v>
      </c>
      <c r="AJ5" s="262" t="s">
        <v>20</v>
      </c>
      <c r="AK5" s="196" t="s">
        <v>28</v>
      </c>
    </row>
    <row r="6" customFormat="false" ht="11.1" hidden="false" customHeight="true" outlineLevel="0" collapsed="false">
      <c r="A6" s="197" t="s">
        <v>87</v>
      </c>
      <c r="B6" s="186" t="s">
        <v>30</v>
      </c>
      <c r="C6" s="187" t="s">
        <v>9</v>
      </c>
      <c r="D6" s="185" t="s">
        <v>31</v>
      </c>
      <c r="E6" s="187" t="s">
        <v>32</v>
      </c>
      <c r="F6" s="188" t="s">
        <v>33</v>
      </c>
      <c r="G6" s="185" t="s">
        <v>34</v>
      </c>
      <c r="H6" s="270" t="s">
        <v>35</v>
      </c>
      <c r="I6" s="185" t="s">
        <v>36</v>
      </c>
      <c r="J6" s="185" t="s">
        <v>36</v>
      </c>
      <c r="K6" s="185" t="s">
        <v>36</v>
      </c>
      <c r="L6" s="185" t="s">
        <v>37</v>
      </c>
      <c r="M6" s="272" t="s">
        <v>38</v>
      </c>
      <c r="N6" s="185" t="s">
        <v>39</v>
      </c>
      <c r="O6" s="185" t="s">
        <v>40</v>
      </c>
      <c r="P6" s="185" t="s">
        <v>41</v>
      </c>
      <c r="Q6" s="185" t="s">
        <v>42</v>
      </c>
      <c r="R6" s="199" t="s">
        <v>43</v>
      </c>
      <c r="S6" s="185" t="s">
        <v>44</v>
      </c>
      <c r="T6" s="185" t="s">
        <v>45</v>
      </c>
      <c r="U6" s="185" t="s">
        <v>20</v>
      </c>
      <c r="V6" s="187" t="s">
        <v>46</v>
      </c>
      <c r="W6" s="187" t="s">
        <v>65</v>
      </c>
      <c r="X6" s="185" t="s">
        <v>48</v>
      </c>
      <c r="Y6" s="185" t="s">
        <v>49</v>
      </c>
      <c r="Z6" s="187" t="s">
        <v>50</v>
      </c>
      <c r="AA6" s="185" t="s">
        <v>51</v>
      </c>
      <c r="AB6" s="185" t="s">
        <v>51</v>
      </c>
      <c r="AC6" s="185" t="s">
        <v>51</v>
      </c>
      <c r="AD6" s="200"/>
      <c r="AE6" s="193" t="s">
        <v>52</v>
      </c>
      <c r="AF6" s="194" t="s">
        <v>52</v>
      </c>
      <c r="AG6" s="201" t="s">
        <v>53</v>
      </c>
      <c r="AH6" s="201" t="s">
        <v>54</v>
      </c>
      <c r="AI6" s="262" t="s">
        <v>55</v>
      </c>
      <c r="AJ6" s="262" t="s">
        <v>55</v>
      </c>
      <c r="AK6" s="196" t="s">
        <v>56</v>
      </c>
    </row>
    <row r="7" customFormat="false" ht="11.1" hidden="false" customHeight="true" outlineLevel="0" collapsed="false">
      <c r="A7" s="202"/>
      <c r="B7" s="203"/>
      <c r="C7" s="204"/>
      <c r="D7" s="202"/>
      <c r="E7" s="205" t="s">
        <v>57</v>
      </c>
      <c r="F7" s="206"/>
      <c r="G7" s="202"/>
      <c r="H7" s="273"/>
      <c r="I7" s="202"/>
      <c r="J7" s="202"/>
      <c r="K7" s="202"/>
      <c r="L7" s="202"/>
      <c r="M7" s="274"/>
      <c r="N7" s="209" t="s">
        <v>58</v>
      </c>
      <c r="O7" s="209" t="s">
        <v>59</v>
      </c>
      <c r="P7" s="202"/>
      <c r="Q7" s="202"/>
      <c r="R7" s="210" t="s">
        <v>40</v>
      </c>
      <c r="S7" s="202"/>
      <c r="T7" s="202"/>
      <c r="U7" s="202"/>
      <c r="V7" s="205" t="s">
        <v>60</v>
      </c>
      <c r="W7" s="205"/>
      <c r="X7" s="202"/>
      <c r="Y7" s="202"/>
      <c r="Z7" s="204"/>
      <c r="AA7" s="202"/>
      <c r="AB7" s="202"/>
      <c r="AC7" s="202"/>
      <c r="AD7" s="212"/>
      <c r="AE7" s="201"/>
      <c r="AF7" s="213"/>
      <c r="AG7" s="201" t="s">
        <v>61</v>
      </c>
      <c r="AH7" s="201" t="s">
        <v>61</v>
      </c>
      <c r="AI7" s="275" t="s">
        <v>62</v>
      </c>
      <c r="AJ7" s="275" t="s">
        <v>84</v>
      </c>
      <c r="AK7" s="196" t="s">
        <v>64</v>
      </c>
    </row>
    <row r="8" customFormat="false" ht="11.1" hidden="false" customHeight="true" outlineLevel="0" collapsed="false">
      <c r="A8" s="202"/>
      <c r="B8" s="203"/>
      <c r="C8" s="204"/>
      <c r="D8" s="202"/>
      <c r="E8" s="204"/>
      <c r="F8" s="206"/>
      <c r="G8" s="202"/>
      <c r="H8" s="273"/>
      <c r="I8" s="202"/>
      <c r="J8" s="202"/>
      <c r="K8" s="202"/>
      <c r="L8" s="202"/>
      <c r="M8" s="274"/>
      <c r="N8" s="202"/>
      <c r="O8" s="202"/>
      <c r="P8" s="202"/>
      <c r="Q8" s="202"/>
      <c r="R8" s="210" t="s">
        <v>65</v>
      </c>
      <c r="S8" s="202"/>
      <c r="T8" s="202"/>
      <c r="U8" s="202"/>
      <c r="V8" s="204"/>
      <c r="W8" s="204"/>
      <c r="X8" s="202"/>
      <c r="Y8" s="202"/>
      <c r="Z8" s="204"/>
      <c r="AA8" s="202"/>
      <c r="AB8" s="202"/>
      <c r="AC8" s="202"/>
      <c r="AD8" s="212"/>
      <c r="AE8" s="153"/>
      <c r="AF8" s="213"/>
      <c r="AG8" s="153"/>
      <c r="AH8" s="153"/>
      <c r="AI8" s="276"/>
      <c r="AJ8" s="275" t="s">
        <v>61</v>
      </c>
      <c r="AK8" s="277"/>
    </row>
    <row r="9" customFormat="false" ht="11.1" hidden="false" customHeight="true" outlineLevel="0" collapsed="false">
      <c r="A9" s="154" t="s">
        <v>67</v>
      </c>
      <c r="B9" s="278"/>
      <c r="C9" s="146"/>
      <c r="D9" s="146"/>
      <c r="E9" s="146"/>
      <c r="F9" s="279"/>
      <c r="G9" s="146"/>
      <c r="H9" s="151"/>
      <c r="I9" s="146"/>
      <c r="J9" s="146"/>
      <c r="K9" s="146"/>
      <c r="L9" s="146"/>
      <c r="M9" s="280"/>
      <c r="N9" s="146"/>
      <c r="O9" s="146"/>
      <c r="P9" s="146"/>
      <c r="Q9" s="146"/>
      <c r="R9" s="281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212"/>
      <c r="AE9" s="152"/>
      <c r="AF9" s="282"/>
      <c r="AG9" s="153"/>
      <c r="AH9" s="153"/>
      <c r="AI9" s="276"/>
      <c r="AJ9" s="277"/>
      <c r="AK9" s="277"/>
    </row>
    <row r="10" s="138" customFormat="true" ht="11.1" hidden="false" customHeight="true" outlineLevel="0" collapsed="false">
      <c r="A10" s="225" t="s">
        <v>68</v>
      </c>
      <c r="B10" s="283" t="n">
        <f aca="false">DEC!B42</f>
        <v>6863.7</v>
      </c>
      <c r="C10" s="146" t="n">
        <f aca="false">DEC!C42</f>
        <v>171768</v>
      </c>
      <c r="D10" s="146" t="n">
        <f aca="false">DEC!D51</f>
        <v>-2175</v>
      </c>
      <c r="E10" s="146" t="n">
        <f aca="false">DEC!E51</f>
        <v>19768</v>
      </c>
      <c r="F10" s="279" t="n">
        <f aca="false">DEC!F50</f>
        <v>-1096.54650869675</v>
      </c>
      <c r="G10" s="146" t="n">
        <f aca="false">DEC!G50</f>
        <v>3051</v>
      </c>
      <c r="H10" s="284" t="n">
        <f aca="false">DEC!H50</f>
        <v>0</v>
      </c>
      <c r="I10" s="146" t="n">
        <f aca="false">DEC!I50</f>
        <v>3051</v>
      </c>
      <c r="J10" s="146" t="n">
        <f aca="false">DEC!J50</f>
        <v>685.081871691455</v>
      </c>
      <c r="K10" s="146" t="n">
        <f aca="false">DEC!K50</f>
        <v>3736.08187169145</v>
      </c>
      <c r="L10" s="146" t="n">
        <f aca="false">DEC!L50</f>
        <v>503.108491303252</v>
      </c>
      <c r="M10" s="285" t="n">
        <f aca="false">DEC!M50</f>
        <v>364.8</v>
      </c>
      <c r="N10" s="146" t="n">
        <f aca="false">DEC!N50</f>
        <v>0</v>
      </c>
      <c r="O10" s="146" t="n">
        <f aca="false">DEC!O50</f>
        <v>0</v>
      </c>
      <c r="P10" s="146" t="n">
        <f aca="false">DEC!P50</f>
        <v>84.8</v>
      </c>
      <c r="Q10" s="146" t="n">
        <f aca="false">DEC!Q50</f>
        <v>146.4</v>
      </c>
      <c r="R10" s="146" t="n">
        <f aca="false">DEC!R50</f>
        <v>0</v>
      </c>
      <c r="S10" s="146" t="n">
        <f aca="false">DEC!S50</f>
        <v>3010</v>
      </c>
      <c r="T10" s="146" t="n">
        <f aca="false">DEC!T50</f>
        <v>95</v>
      </c>
      <c r="U10" s="146" t="n">
        <f aca="false">DEC!U50</f>
        <v>3232.53049</v>
      </c>
      <c r="V10" s="146"/>
      <c r="W10" s="146"/>
      <c r="X10" s="146"/>
      <c r="Y10" s="146" t="n">
        <f aca="false">DEC!Y50</f>
        <v>1149</v>
      </c>
      <c r="Z10" s="146" t="n">
        <f aca="false">DEC!Z50</f>
        <v>2070</v>
      </c>
      <c r="AA10" s="146" t="n">
        <f aca="false">DEC!AA50</f>
        <v>4650.655</v>
      </c>
      <c r="AB10" s="146" t="n">
        <f aca="false">DEC!AB50</f>
        <v>181.973380388203</v>
      </c>
      <c r="AC10" s="146" t="n">
        <f aca="false">DEC!AC50</f>
        <v>4832.6283803882</v>
      </c>
      <c r="AD10" s="212" t="n">
        <f aca="false">DEC!AD50</f>
        <v>1.63</v>
      </c>
      <c r="AE10" s="152"/>
      <c r="AF10" s="282"/>
      <c r="AG10" s="153" t="n">
        <f aca="false">DEC!AG51</f>
        <v>5707.4356772275</v>
      </c>
      <c r="AH10" s="153"/>
      <c r="AI10" s="286"/>
      <c r="AJ10" s="287"/>
      <c r="AK10" s="288"/>
    </row>
    <row r="11" customFormat="false" ht="3" hidden="false" customHeight="true" outlineLevel="0" collapsed="false">
      <c r="A11" s="227"/>
      <c r="B11" s="289"/>
      <c r="C11" s="290"/>
      <c r="D11" s="227"/>
      <c r="E11" s="290"/>
      <c r="F11" s="291"/>
      <c r="G11" s="227"/>
      <c r="H11" s="292"/>
      <c r="I11" s="227"/>
      <c r="J11" s="227"/>
      <c r="K11" s="227"/>
      <c r="L11" s="227"/>
      <c r="M11" s="293"/>
      <c r="N11" s="227"/>
      <c r="O11" s="227"/>
      <c r="P11" s="227"/>
      <c r="Q11" s="227"/>
      <c r="R11" s="294"/>
      <c r="S11" s="227"/>
      <c r="T11" s="227"/>
      <c r="U11" s="227"/>
      <c r="V11" s="290"/>
      <c r="W11" s="290"/>
      <c r="X11" s="227"/>
      <c r="Y11" s="227"/>
      <c r="Z11" s="290"/>
      <c r="AA11" s="227"/>
      <c r="AB11" s="227"/>
      <c r="AC11" s="227"/>
      <c r="AD11" s="295"/>
      <c r="AE11" s="296"/>
      <c r="AF11" s="297"/>
      <c r="AG11" s="298"/>
      <c r="AH11" s="298"/>
      <c r="AI11" s="298"/>
      <c r="AJ11" s="298"/>
      <c r="AK11" s="298"/>
    </row>
    <row r="12" customFormat="false" ht="11.1" hidden="false" customHeight="true" outlineLevel="0" collapsed="false">
      <c r="A12" s="153" t="n">
        <v>1</v>
      </c>
      <c r="B12" s="283" t="n">
        <v>6863.69</v>
      </c>
      <c r="C12" s="146" t="n">
        <v>171744</v>
      </c>
      <c r="D12" s="152" t="n">
        <f aca="false">C12-C10</f>
        <v>-24</v>
      </c>
      <c r="E12" s="146" t="n">
        <f aca="false">C12-152000</f>
        <v>19744</v>
      </c>
      <c r="F12" s="299" t="n">
        <f aca="false">D12/$D$2</f>
        <v>-12.09982354424</v>
      </c>
      <c r="G12" s="145" t="n">
        <v>37</v>
      </c>
      <c r="H12" s="151" t="n">
        <v>0</v>
      </c>
      <c r="I12" s="145" t="n">
        <f aca="false">G12+H12</f>
        <v>37</v>
      </c>
      <c r="J12" s="149" t="n">
        <f aca="false">IF(L12&gt;0,L12,0)</f>
        <v>26.70017645576</v>
      </c>
      <c r="K12" s="145" t="n">
        <f aca="false">I12+J12</f>
        <v>63.70017645576</v>
      </c>
      <c r="L12" s="145" t="n">
        <f aca="false">F12-(I12-AA12)</f>
        <v>26.70017645576</v>
      </c>
      <c r="M12" s="280" t="n">
        <v>3.8</v>
      </c>
      <c r="N12" s="145" t="n">
        <v>0</v>
      </c>
      <c r="O12" s="145" t="n">
        <v>0</v>
      </c>
      <c r="P12" s="256" t="n">
        <v>1.38</v>
      </c>
      <c r="Q12" s="256" t="n">
        <v>2.4</v>
      </c>
      <c r="R12" s="300" t="n">
        <v>0</v>
      </c>
      <c r="S12" s="145" t="n">
        <v>54</v>
      </c>
      <c r="T12" s="145" t="n">
        <v>0</v>
      </c>
      <c r="U12" s="145" t="n">
        <f aca="false">M12-N12-O12-P12-Q12-R12+S12+T12</f>
        <v>54.02</v>
      </c>
      <c r="V12" s="146"/>
      <c r="W12" s="146"/>
      <c r="X12" s="145" t="n">
        <v>0</v>
      </c>
      <c r="Y12" s="145" t="n">
        <v>18</v>
      </c>
      <c r="Z12" s="146" t="n">
        <f aca="false">Z10-Y12</f>
        <v>2052</v>
      </c>
      <c r="AA12" s="8" t="n">
        <f aca="false">N12+O12+P12+Q12+R12+U12+X12+Y12</f>
        <v>75.8</v>
      </c>
      <c r="AB12" s="145" t="n">
        <f aca="false">IF(L12&lt;0,L12*-1,0)</f>
        <v>0</v>
      </c>
      <c r="AC12" s="145" t="n">
        <f aca="false">AA12+AB12</f>
        <v>75.8</v>
      </c>
      <c r="AD12" s="212" t="n">
        <v>0.11</v>
      </c>
      <c r="AE12" s="152" t="n">
        <v>41</v>
      </c>
      <c r="AF12" s="282" t="n">
        <v>18</v>
      </c>
      <c r="AG12" s="153" t="n">
        <f aca="false">AG10+(U12*1.9835)</f>
        <v>5814.5843472275</v>
      </c>
      <c r="AH12" s="153" t="n">
        <v>0</v>
      </c>
      <c r="AI12" s="301"/>
      <c r="AJ12" s="288"/>
      <c r="AK12" s="277"/>
    </row>
    <row r="13" customFormat="false" ht="11.1" hidden="false" customHeight="true" outlineLevel="0" collapsed="false">
      <c r="A13" s="153" t="n">
        <f aca="false">A12+1</f>
        <v>2</v>
      </c>
      <c r="B13" s="283" t="n">
        <v>6863.74</v>
      </c>
      <c r="C13" s="146" t="n">
        <v>171865</v>
      </c>
      <c r="D13" s="152" t="n">
        <f aca="false">C13-C12</f>
        <v>121</v>
      </c>
      <c r="E13" s="146" t="n">
        <f aca="false">C13-152000</f>
        <v>19865</v>
      </c>
      <c r="F13" s="299" t="n">
        <f aca="false">D13/$D$2</f>
        <v>61.0032770355432</v>
      </c>
      <c r="G13" s="145" t="n">
        <v>34</v>
      </c>
      <c r="H13" s="151" t="n">
        <v>0</v>
      </c>
      <c r="I13" s="145" t="n">
        <f aca="false">G13+H13</f>
        <v>34</v>
      </c>
      <c r="J13" s="149" t="n">
        <f aca="false">IF(L13&gt;0,L13,0)</f>
        <v>102.903277035543</v>
      </c>
      <c r="K13" s="145" t="n">
        <f aca="false">I13+J13</f>
        <v>136.903277035543</v>
      </c>
      <c r="L13" s="145" t="n">
        <f aca="false">F13-(I13-AA13)</f>
        <v>102.903277035543</v>
      </c>
      <c r="M13" s="280" t="n">
        <v>3.9</v>
      </c>
      <c r="N13" s="145" t="n">
        <v>0</v>
      </c>
      <c r="O13" s="145" t="n">
        <v>0</v>
      </c>
      <c r="P13" s="256" t="n">
        <v>1.38</v>
      </c>
      <c r="Q13" s="256" t="n">
        <v>2.4</v>
      </c>
      <c r="R13" s="300" t="n">
        <v>0</v>
      </c>
      <c r="S13" s="145" t="n">
        <v>54</v>
      </c>
      <c r="T13" s="145" t="n">
        <v>0</v>
      </c>
      <c r="U13" s="145" t="n">
        <f aca="false">M13-N13-O13-P13-Q13-R13+S13+T13</f>
        <v>54.12</v>
      </c>
      <c r="V13" s="146"/>
      <c r="W13" s="146"/>
      <c r="X13" s="145" t="n">
        <v>0</v>
      </c>
      <c r="Y13" s="145" t="n">
        <v>18</v>
      </c>
      <c r="Z13" s="146" t="n">
        <f aca="false">Z12-Y13</f>
        <v>2034</v>
      </c>
      <c r="AA13" s="8" t="n">
        <f aca="false">N13+O13+P13+Q13+R13+U13+X13+Y13</f>
        <v>75.9</v>
      </c>
      <c r="AB13" s="145" t="n">
        <f aca="false">IF(L13&lt;0,L13*-1,0)</f>
        <v>0</v>
      </c>
      <c r="AC13" s="145" t="n">
        <f aca="false">AA13+AB13</f>
        <v>75.9</v>
      </c>
      <c r="AD13" s="212" t="n">
        <v>0.71</v>
      </c>
      <c r="AE13" s="152" t="n">
        <v>35</v>
      </c>
      <c r="AF13" s="282" t="n">
        <v>30</v>
      </c>
      <c r="AG13" s="153" t="n">
        <f aca="false">AG12+(U13*1.9835)</f>
        <v>5921.9313672275</v>
      </c>
      <c r="AH13" s="153" t="n">
        <v>0</v>
      </c>
      <c r="AI13" s="301"/>
      <c r="AJ13" s="288"/>
      <c r="AK13" s="277"/>
    </row>
    <row r="14" customFormat="false" ht="11.1" hidden="false" customHeight="true" outlineLevel="0" collapsed="false">
      <c r="A14" s="153" t="n">
        <f aca="false">A13+1</f>
        <v>3</v>
      </c>
      <c r="B14" s="283" t="n">
        <v>6863.77</v>
      </c>
      <c r="C14" s="146" t="n">
        <v>171938</v>
      </c>
      <c r="D14" s="152" t="n">
        <f aca="false">C14-C13</f>
        <v>73</v>
      </c>
      <c r="E14" s="146" t="n">
        <f aca="false">C14-152000</f>
        <v>19938</v>
      </c>
      <c r="F14" s="299" t="n">
        <f aca="false">D14/$D$2</f>
        <v>36.8036299470633</v>
      </c>
      <c r="G14" s="145" t="n">
        <v>30</v>
      </c>
      <c r="H14" s="151" t="n">
        <v>0</v>
      </c>
      <c r="I14" s="145" t="n">
        <f aca="false">G14+H14</f>
        <v>30</v>
      </c>
      <c r="J14" s="149" t="n">
        <f aca="false">IF(L14&gt;0,L14,0)</f>
        <v>82.5036299470633</v>
      </c>
      <c r="K14" s="145" t="n">
        <f aca="false">I14+J14</f>
        <v>112.503629947063</v>
      </c>
      <c r="L14" s="145" t="n">
        <f aca="false">F14-(I14-AA14)</f>
        <v>82.5036299470633</v>
      </c>
      <c r="M14" s="280" t="n">
        <v>3.7</v>
      </c>
      <c r="N14" s="145" t="n">
        <v>0</v>
      </c>
      <c r="O14" s="145" t="n">
        <v>0</v>
      </c>
      <c r="P14" s="256" t="n">
        <v>1.38</v>
      </c>
      <c r="Q14" s="256" t="n">
        <v>2.4</v>
      </c>
      <c r="R14" s="300" t="n">
        <v>0</v>
      </c>
      <c r="S14" s="145" t="n">
        <v>54</v>
      </c>
      <c r="T14" s="145" t="n">
        <v>0</v>
      </c>
      <c r="U14" s="145" t="n">
        <f aca="false">M14-N14-O14-P14-Q14-R14+S14+T14</f>
        <v>53.92</v>
      </c>
      <c r="V14" s="146"/>
      <c r="W14" s="146"/>
      <c r="X14" s="145" t="n">
        <v>0</v>
      </c>
      <c r="Y14" s="145" t="n">
        <v>18</v>
      </c>
      <c r="Z14" s="146" t="n">
        <f aca="false">Z13-Y14</f>
        <v>2016</v>
      </c>
      <c r="AA14" s="8" t="n">
        <f aca="false">N14+O14+P14+Q14+R14+U14+X14+Y14</f>
        <v>75.7</v>
      </c>
      <c r="AB14" s="145" t="n">
        <f aca="false">IF(L14&lt;0,L14*-1,0)</f>
        <v>0</v>
      </c>
      <c r="AC14" s="145" t="n">
        <f aca="false">AA14+AB14</f>
        <v>75.7</v>
      </c>
      <c r="AD14" s="212" t="n">
        <v>0.48</v>
      </c>
      <c r="AE14" s="152" t="n">
        <v>37</v>
      </c>
      <c r="AF14" s="282" t="n">
        <v>18</v>
      </c>
      <c r="AG14" s="153" t="n">
        <f aca="false">AG13+(U14*1.9835)</f>
        <v>6028.8816872275</v>
      </c>
      <c r="AH14" s="153" t="n">
        <v>0</v>
      </c>
      <c r="AI14" s="301"/>
      <c r="AJ14" s="288"/>
      <c r="AK14" s="277"/>
    </row>
    <row r="15" customFormat="false" ht="11.1" hidden="false" customHeight="true" outlineLevel="0" collapsed="false">
      <c r="A15" s="153" t="n">
        <f aca="false">A14+1</f>
        <v>4</v>
      </c>
      <c r="B15" s="283" t="n">
        <v>6863.77</v>
      </c>
      <c r="C15" s="146" t="n">
        <v>171938</v>
      </c>
      <c r="D15" s="152" t="n">
        <f aca="false">C15-C14</f>
        <v>0</v>
      </c>
      <c r="E15" s="146" t="n">
        <f aca="false">C15-152000</f>
        <v>19938</v>
      </c>
      <c r="F15" s="299" t="n">
        <f aca="false">D15/$D$2</f>
        <v>0</v>
      </c>
      <c r="G15" s="145" t="n">
        <v>28</v>
      </c>
      <c r="H15" s="151" t="n">
        <v>0</v>
      </c>
      <c r="I15" s="145" t="n">
        <f aca="false">G15+H15</f>
        <v>28</v>
      </c>
      <c r="J15" s="149" t="n">
        <f aca="false">IF(L15&gt;0,L15,0)</f>
        <v>47.7</v>
      </c>
      <c r="K15" s="145" t="n">
        <f aca="false">I15+J15</f>
        <v>75.7</v>
      </c>
      <c r="L15" s="145" t="n">
        <f aca="false">F15-(I15-AA15)</f>
        <v>47.7</v>
      </c>
      <c r="M15" s="280" t="n">
        <v>3.7</v>
      </c>
      <c r="N15" s="145" t="n">
        <v>0</v>
      </c>
      <c r="O15" s="145" t="n">
        <v>0</v>
      </c>
      <c r="P15" s="256" t="n">
        <v>1.38</v>
      </c>
      <c r="Q15" s="256" t="n">
        <v>2.4</v>
      </c>
      <c r="R15" s="300" t="n">
        <v>0</v>
      </c>
      <c r="S15" s="145" t="n">
        <v>54</v>
      </c>
      <c r="T15" s="145" t="n">
        <v>0</v>
      </c>
      <c r="U15" s="145" t="n">
        <f aca="false">M15-N15-O15-P15-Q15-R15+S15+T15</f>
        <v>53.92</v>
      </c>
      <c r="V15" s="146"/>
      <c r="W15" s="146"/>
      <c r="X15" s="145" t="n">
        <v>0</v>
      </c>
      <c r="Y15" s="145" t="n">
        <v>18</v>
      </c>
      <c r="Z15" s="146" t="n">
        <f aca="false">Z14-Y15</f>
        <v>1998</v>
      </c>
      <c r="AA15" s="8" t="n">
        <f aca="false">N15+O15+P15+Q15+R15+U15+X15+Y15</f>
        <v>75.7</v>
      </c>
      <c r="AB15" s="145" t="n">
        <f aca="false">IF(L15&lt;0,L15*-1,0)</f>
        <v>0</v>
      </c>
      <c r="AC15" s="145" t="n">
        <f aca="false">AA15+AB15</f>
        <v>75.7</v>
      </c>
      <c r="AD15" s="212" t="n">
        <v>0</v>
      </c>
      <c r="AE15" s="152" t="n">
        <v>28</v>
      </c>
      <c r="AF15" s="282" t="n">
        <v>-1</v>
      </c>
      <c r="AG15" s="153" t="n">
        <f aca="false">AG14+(U15*1.9835)</f>
        <v>6135.8320072275</v>
      </c>
      <c r="AH15" s="153" t="n">
        <v>0</v>
      </c>
      <c r="AI15" s="301"/>
      <c r="AJ15" s="288"/>
      <c r="AK15" s="277"/>
    </row>
    <row r="16" customFormat="false" ht="11.1" hidden="false" customHeight="true" outlineLevel="0" collapsed="false">
      <c r="A16" s="153" t="n">
        <f aca="false">A15+1</f>
        <v>5</v>
      </c>
      <c r="B16" s="283" t="n">
        <v>6863.73</v>
      </c>
      <c r="C16" s="146" t="n">
        <v>171841</v>
      </c>
      <c r="D16" s="152" t="n">
        <f aca="false">C16-C15</f>
        <v>-97</v>
      </c>
      <c r="E16" s="146" t="n">
        <f aca="false">C16-152000</f>
        <v>19841</v>
      </c>
      <c r="F16" s="299" t="n">
        <f aca="false">D16/$D$2</f>
        <v>-48.9034534913033</v>
      </c>
      <c r="G16" s="145" t="n">
        <v>25</v>
      </c>
      <c r="H16" s="151" t="n">
        <v>0</v>
      </c>
      <c r="I16" s="145" t="n">
        <f aca="false">G16+H16</f>
        <v>25</v>
      </c>
      <c r="J16" s="149" t="n">
        <f aca="false">IF(L16&gt;0,L16,0)</f>
        <v>4.79654650869675</v>
      </c>
      <c r="K16" s="145" t="n">
        <f aca="false">I16+J16</f>
        <v>29.7965465086967</v>
      </c>
      <c r="L16" s="145" t="n">
        <f aca="false">F16-(I16-AA16)</f>
        <v>4.79654650869675</v>
      </c>
      <c r="M16" s="280" t="n">
        <v>3.7</v>
      </c>
      <c r="N16" s="145" t="n">
        <v>0</v>
      </c>
      <c r="O16" s="145" t="n">
        <v>0</v>
      </c>
      <c r="P16" s="256" t="n">
        <v>1.38</v>
      </c>
      <c r="Q16" s="256" t="n">
        <v>2.4</v>
      </c>
      <c r="R16" s="300" t="n">
        <v>0</v>
      </c>
      <c r="S16" s="145" t="n">
        <v>57</v>
      </c>
      <c r="T16" s="145" t="n">
        <v>0</v>
      </c>
      <c r="U16" s="145" t="n">
        <f aca="false">M16-N16-O16-P16-Q16-R16+S16+T16</f>
        <v>56.92</v>
      </c>
      <c r="V16" s="146"/>
      <c r="W16" s="146"/>
      <c r="X16" s="145" t="n">
        <v>0</v>
      </c>
      <c r="Y16" s="145" t="n">
        <v>18</v>
      </c>
      <c r="Z16" s="146" t="n">
        <f aca="false">Z15-Y16</f>
        <v>1980</v>
      </c>
      <c r="AA16" s="8" t="n">
        <f aca="false">N16+O16+P16+Q16+R16+U16+X16+Y16</f>
        <v>78.7</v>
      </c>
      <c r="AB16" s="145" t="n">
        <f aca="false">IF(L16&lt;0,L16*-1,0)</f>
        <v>0</v>
      </c>
      <c r="AC16" s="145" t="n">
        <f aca="false">AA16+AB16</f>
        <v>78.7</v>
      </c>
      <c r="AD16" s="212" t="n">
        <v>0</v>
      </c>
      <c r="AE16" s="152" t="n">
        <v>27</v>
      </c>
      <c r="AF16" s="282" t="n">
        <v>-5</v>
      </c>
      <c r="AG16" s="153" t="n">
        <f aca="false">AG15+(U16*1.9835)</f>
        <v>6248.7328272275</v>
      </c>
      <c r="AH16" s="153" t="n">
        <v>0</v>
      </c>
      <c r="AI16" s="301"/>
      <c r="AJ16" s="288"/>
      <c r="AK16" s="277"/>
    </row>
    <row r="17" customFormat="false" ht="11.1" hidden="false" customHeight="true" outlineLevel="0" collapsed="false">
      <c r="A17" s="153" t="n">
        <f aca="false">A16+1</f>
        <v>6</v>
      </c>
      <c r="B17" s="283" t="n">
        <v>6863.69</v>
      </c>
      <c r="C17" s="146" t="n">
        <v>171744</v>
      </c>
      <c r="D17" s="152" t="n">
        <f aca="false">C17-C16</f>
        <v>-97</v>
      </c>
      <c r="E17" s="146" t="n">
        <f aca="false">C17-152000</f>
        <v>19744</v>
      </c>
      <c r="F17" s="299" t="n">
        <f aca="false">D17/$D$2</f>
        <v>-48.9034534913033</v>
      </c>
      <c r="G17" s="145" t="n">
        <v>25</v>
      </c>
      <c r="H17" s="151" t="n">
        <v>0</v>
      </c>
      <c r="I17" s="145" t="n">
        <f aca="false">G17+H17</f>
        <v>25</v>
      </c>
      <c r="J17" s="149" t="n">
        <f aca="false">IF(L17&gt;0,L17,0)</f>
        <v>7.89654650869676</v>
      </c>
      <c r="K17" s="145" t="n">
        <f aca="false">I17+J17</f>
        <v>32.8965465086968</v>
      </c>
      <c r="L17" s="145" t="n">
        <f aca="false">F17-(I17-AA17)</f>
        <v>7.89654650869676</v>
      </c>
      <c r="M17" s="280" t="n">
        <v>3.8</v>
      </c>
      <c r="N17" s="145" t="n">
        <v>0</v>
      </c>
      <c r="O17" s="145" t="n">
        <v>0</v>
      </c>
      <c r="P17" s="256" t="n">
        <v>1.38</v>
      </c>
      <c r="Q17" s="256" t="n">
        <v>2.4</v>
      </c>
      <c r="R17" s="300" t="n">
        <v>0</v>
      </c>
      <c r="S17" s="145" t="n">
        <v>60</v>
      </c>
      <c r="T17" s="145" t="n">
        <v>0</v>
      </c>
      <c r="U17" s="145" t="n">
        <f aca="false">M17-N17-O17-P17-Q17-R17+S17+T17</f>
        <v>60.02</v>
      </c>
      <c r="V17" s="146"/>
      <c r="W17" s="146"/>
      <c r="X17" s="145" t="n">
        <v>0</v>
      </c>
      <c r="Y17" s="145" t="n">
        <v>18</v>
      </c>
      <c r="Z17" s="146" t="n">
        <f aca="false">Z16-Y17</f>
        <v>1962</v>
      </c>
      <c r="AA17" s="8" t="n">
        <f aca="false">N17+O17+P17+Q17+R17+U17+X17+Y17</f>
        <v>81.8</v>
      </c>
      <c r="AB17" s="145" t="n">
        <f aca="false">IF(L17&lt;0,L17*-1,0)</f>
        <v>0</v>
      </c>
      <c r="AC17" s="145" t="n">
        <f aca="false">AA17+AB17</f>
        <v>81.8</v>
      </c>
      <c r="AD17" s="212" t="n">
        <v>0</v>
      </c>
      <c r="AE17" s="152" t="n">
        <v>38</v>
      </c>
      <c r="AF17" s="282" t="n">
        <v>1</v>
      </c>
      <c r="AG17" s="153" t="n">
        <f aca="false">AG16+(U17*1.9835)</f>
        <v>6367.7824972275</v>
      </c>
      <c r="AH17" s="153" t="n">
        <v>0</v>
      </c>
      <c r="AI17" s="276"/>
      <c r="AJ17" s="288"/>
      <c r="AK17" s="277"/>
    </row>
    <row r="18" customFormat="false" ht="11.1" hidden="false" customHeight="true" outlineLevel="0" collapsed="false">
      <c r="A18" s="153" t="n">
        <f aca="false">A17+1</f>
        <v>7</v>
      </c>
      <c r="B18" s="283" t="n">
        <v>6863.67</v>
      </c>
      <c r="C18" s="146" t="n">
        <v>171696</v>
      </c>
      <c r="D18" s="152" t="n">
        <f aca="false">C18-C17</f>
        <v>-48</v>
      </c>
      <c r="E18" s="146" t="n">
        <f aca="false">C18-152000</f>
        <v>19696</v>
      </c>
      <c r="F18" s="299" t="n">
        <f aca="false">D18/$D$2</f>
        <v>-24.19964708848</v>
      </c>
      <c r="G18" s="145" t="n">
        <v>31</v>
      </c>
      <c r="H18" s="151" t="n">
        <v>0</v>
      </c>
      <c r="I18" s="145" t="n">
        <f aca="false">G18+H18</f>
        <v>31</v>
      </c>
      <c r="J18" s="149" t="n">
        <f aca="false">IF(L18&gt;0,L18,0)</f>
        <v>15.90035291152</v>
      </c>
      <c r="K18" s="145" t="n">
        <f aca="false">I18+J18</f>
        <v>46.90035291152</v>
      </c>
      <c r="L18" s="145" t="n">
        <f aca="false">F18-(I18-AA18)</f>
        <v>15.90035291152</v>
      </c>
      <c r="M18" s="280" t="n">
        <v>4.1</v>
      </c>
      <c r="N18" s="145" t="n">
        <v>0</v>
      </c>
      <c r="O18" s="145" t="n">
        <v>0</v>
      </c>
      <c r="P18" s="256" t="n">
        <v>1.38</v>
      </c>
      <c r="Q18" s="256" t="n">
        <v>2.4</v>
      </c>
      <c r="R18" s="300" t="n">
        <v>0</v>
      </c>
      <c r="S18" s="145" t="n">
        <v>50</v>
      </c>
      <c r="T18" s="145" t="n">
        <v>0</v>
      </c>
      <c r="U18" s="145" t="n">
        <f aca="false">M18-N18-O18-P18-Q18-R18+S18+T18</f>
        <v>50.32</v>
      </c>
      <c r="V18" s="146"/>
      <c r="W18" s="146"/>
      <c r="X18" s="145" t="n">
        <v>0</v>
      </c>
      <c r="Y18" s="145" t="n">
        <v>17</v>
      </c>
      <c r="Z18" s="146" t="n">
        <f aca="false">Z17-Y18</f>
        <v>1945</v>
      </c>
      <c r="AA18" s="8" t="n">
        <f aca="false">N18+O18+P18+Q18+R18+U18+X18+Y18</f>
        <v>71.1</v>
      </c>
      <c r="AB18" s="145" t="n">
        <f aca="false">IF(L18&lt;0,L18*-1,0)</f>
        <v>0</v>
      </c>
      <c r="AC18" s="145" t="n">
        <f aca="false">AA18+AB18</f>
        <v>71.1</v>
      </c>
      <c r="AD18" s="212" t="n">
        <v>0</v>
      </c>
      <c r="AE18" s="152" t="n">
        <v>40</v>
      </c>
      <c r="AF18" s="282" t="n">
        <v>22</v>
      </c>
      <c r="AG18" s="153" t="n">
        <f aca="false">AG17+(U18*1.9835)</f>
        <v>6467.5922172275</v>
      </c>
      <c r="AH18" s="153" t="n">
        <v>0</v>
      </c>
      <c r="AI18" s="276"/>
      <c r="AJ18" s="288"/>
      <c r="AK18" s="277"/>
    </row>
    <row r="19" customFormat="false" ht="11.1" hidden="false" customHeight="true" outlineLevel="0" collapsed="false">
      <c r="A19" s="153" t="n">
        <f aca="false">A18+1</f>
        <v>8</v>
      </c>
      <c r="B19" s="283" t="n">
        <v>6863.66</v>
      </c>
      <c r="C19" s="146" t="n">
        <v>171672</v>
      </c>
      <c r="D19" s="152" t="n">
        <f aca="false">C19-C18</f>
        <v>-24</v>
      </c>
      <c r="E19" s="146" t="n">
        <f aca="false">C19-152000</f>
        <v>19672</v>
      </c>
      <c r="F19" s="299" t="n">
        <f aca="false">D19/$D$2</f>
        <v>-12.09982354424</v>
      </c>
      <c r="G19" s="145" t="n">
        <v>34</v>
      </c>
      <c r="H19" s="151" t="n">
        <v>0</v>
      </c>
      <c r="I19" s="145" t="n">
        <f aca="false">G19+H19</f>
        <v>34</v>
      </c>
      <c r="J19" s="149" t="n">
        <f aca="false">IF(L19&gt;0,L19,0)</f>
        <v>17.00017645576</v>
      </c>
      <c r="K19" s="145" t="n">
        <f aca="false">I19+J19</f>
        <v>51.00017645576</v>
      </c>
      <c r="L19" s="145" t="n">
        <f aca="false">F19-(I19-AA19)</f>
        <v>17.00017645576</v>
      </c>
      <c r="M19" s="280" t="n">
        <v>4.1</v>
      </c>
      <c r="N19" s="145" t="n">
        <v>0</v>
      </c>
      <c r="O19" s="145" t="n">
        <v>0</v>
      </c>
      <c r="P19" s="256" t="n">
        <v>1.38</v>
      </c>
      <c r="Q19" s="256" t="n">
        <v>2.4</v>
      </c>
      <c r="R19" s="300" t="n">
        <v>0</v>
      </c>
      <c r="S19" s="145" t="n">
        <v>42</v>
      </c>
      <c r="T19" s="145" t="n">
        <v>0</v>
      </c>
      <c r="U19" s="145" t="n">
        <f aca="false">M19-N19-O19-P19-Q19-R19+S19+T19</f>
        <v>42.32</v>
      </c>
      <c r="V19" s="146"/>
      <c r="W19" s="146"/>
      <c r="X19" s="145" t="n">
        <v>0</v>
      </c>
      <c r="Y19" s="145" t="n">
        <v>17</v>
      </c>
      <c r="Z19" s="146" t="n">
        <f aca="false">Z18-Y19</f>
        <v>1928</v>
      </c>
      <c r="AA19" s="8" t="n">
        <f aca="false">N19+O19+P19+Q19+R19+U19+X19+Y19</f>
        <v>63.1</v>
      </c>
      <c r="AB19" s="145" t="n">
        <f aca="false">IF(L19&lt;0,L19*-1,0)</f>
        <v>0</v>
      </c>
      <c r="AC19" s="145" t="n">
        <f aca="false">AA19+AB19</f>
        <v>63.1</v>
      </c>
      <c r="AD19" s="212" t="n">
        <v>0</v>
      </c>
      <c r="AE19" s="152" t="n">
        <v>42</v>
      </c>
      <c r="AF19" s="282" t="n">
        <v>13</v>
      </c>
      <c r="AG19" s="153" t="n">
        <f aca="false">AG18+(U19*1.9835)</f>
        <v>6551.5339372275</v>
      </c>
      <c r="AH19" s="153" t="n">
        <v>0</v>
      </c>
      <c r="AI19" s="276"/>
      <c r="AJ19" s="288"/>
      <c r="AK19" s="277"/>
    </row>
    <row r="20" customFormat="false" ht="11.1" hidden="false" customHeight="true" outlineLevel="0" collapsed="false">
      <c r="A20" s="153" t="n">
        <f aca="false">A19+1</f>
        <v>9</v>
      </c>
      <c r="B20" s="283" t="n">
        <v>6863.66</v>
      </c>
      <c r="C20" s="146" t="n">
        <v>171672</v>
      </c>
      <c r="D20" s="152" t="n">
        <f aca="false">C20-C19</f>
        <v>0</v>
      </c>
      <c r="E20" s="146" t="n">
        <f aca="false">C20-152000</f>
        <v>19672</v>
      </c>
      <c r="F20" s="299" t="n">
        <f aca="false">D20/$D$2</f>
        <v>0</v>
      </c>
      <c r="G20" s="145" t="n">
        <v>35</v>
      </c>
      <c r="H20" s="151" t="n">
        <v>0</v>
      </c>
      <c r="I20" s="145" t="n">
        <f aca="false">G20+H20</f>
        <v>35</v>
      </c>
      <c r="J20" s="149" t="n">
        <f aca="false">IF(L20&gt;0,L20,0)</f>
        <v>31.9</v>
      </c>
      <c r="K20" s="145" t="n">
        <f aca="false">I20+J20</f>
        <v>66.9</v>
      </c>
      <c r="L20" s="145" t="n">
        <f aca="false">F20-(I20-AA20)</f>
        <v>31.9</v>
      </c>
      <c r="M20" s="280" t="n">
        <v>3.9</v>
      </c>
      <c r="N20" s="145" t="n">
        <v>0</v>
      </c>
      <c r="O20" s="145" t="n">
        <v>0</v>
      </c>
      <c r="P20" s="256" t="n">
        <v>1.38</v>
      </c>
      <c r="Q20" s="256" t="n">
        <v>2.4</v>
      </c>
      <c r="R20" s="300" t="n">
        <v>0</v>
      </c>
      <c r="S20" s="145" t="n">
        <v>45</v>
      </c>
      <c r="T20" s="145" t="n">
        <v>0</v>
      </c>
      <c r="U20" s="145" t="n">
        <f aca="false">M20-N20-O20-P20-Q20-R20+S20+T20</f>
        <v>45.12</v>
      </c>
      <c r="V20" s="146"/>
      <c r="W20" s="146"/>
      <c r="X20" s="145" t="n">
        <v>0</v>
      </c>
      <c r="Y20" s="145" t="n">
        <v>18</v>
      </c>
      <c r="Z20" s="146" t="n">
        <f aca="false">Z19-Y20</f>
        <v>1910</v>
      </c>
      <c r="AA20" s="8" t="n">
        <f aca="false">N20+O20+P20+Q20+R20+U20+X20+Y20</f>
        <v>66.9</v>
      </c>
      <c r="AB20" s="145" t="n">
        <f aca="false">IF(L20&lt;0,L20*-1,0)</f>
        <v>0</v>
      </c>
      <c r="AC20" s="145" t="n">
        <f aca="false">AA20+AB20</f>
        <v>66.9</v>
      </c>
      <c r="AD20" s="212" t="n">
        <v>0</v>
      </c>
      <c r="AE20" s="257" t="n">
        <v>50</v>
      </c>
      <c r="AF20" s="282" t="n">
        <v>14</v>
      </c>
      <c r="AG20" s="153" t="n">
        <f aca="false">AG19+(U20*1.9835)</f>
        <v>6641.0294572275</v>
      </c>
      <c r="AH20" s="153" t="n">
        <v>0</v>
      </c>
      <c r="AI20" s="276"/>
      <c r="AJ20" s="288"/>
      <c r="AK20" s="277"/>
    </row>
    <row r="21" customFormat="false" ht="11.1" hidden="false" customHeight="true" outlineLevel="0" collapsed="false">
      <c r="A21" s="153" t="n">
        <f aca="false">A20+1</f>
        <v>10</v>
      </c>
      <c r="B21" s="283" t="n">
        <v>6863.65</v>
      </c>
      <c r="C21" s="146" t="n">
        <v>171647</v>
      </c>
      <c r="D21" s="152" t="n">
        <f aca="false">C21-C20</f>
        <v>-25</v>
      </c>
      <c r="E21" s="146" t="n">
        <f aca="false">C21-152000</f>
        <v>19647</v>
      </c>
      <c r="F21" s="299" t="n">
        <f aca="false">D21/$D$2</f>
        <v>-12.6039828585833</v>
      </c>
      <c r="G21" s="145" t="n">
        <v>36</v>
      </c>
      <c r="H21" s="151" t="n">
        <v>0</v>
      </c>
      <c r="I21" s="145" t="n">
        <f aca="false">G21+H21</f>
        <v>36</v>
      </c>
      <c r="J21" s="149" t="n">
        <f aca="false">IF(L21&gt;0,L21,0)</f>
        <v>17.0960171414167</v>
      </c>
      <c r="K21" s="145" t="n">
        <f aca="false">I21+J21</f>
        <v>53.0960171414167</v>
      </c>
      <c r="L21" s="145" t="n">
        <f aca="false">F21-(I21-AA21)</f>
        <v>17.0960171414167</v>
      </c>
      <c r="M21" s="280" t="n">
        <v>3.7</v>
      </c>
      <c r="N21" s="145" t="n">
        <v>0</v>
      </c>
      <c r="O21" s="145" t="n">
        <v>0</v>
      </c>
      <c r="P21" s="256" t="n">
        <v>1.38</v>
      </c>
      <c r="Q21" s="256" t="n">
        <v>2.4</v>
      </c>
      <c r="R21" s="300" t="n">
        <v>0</v>
      </c>
      <c r="S21" s="145" t="n">
        <v>45</v>
      </c>
      <c r="T21" s="145" t="n">
        <v>0</v>
      </c>
      <c r="U21" s="145" t="n">
        <f aca="false">M21-N21-O21-P21-Q21-R21+S21+T21</f>
        <v>44.92</v>
      </c>
      <c r="V21" s="146"/>
      <c r="W21" s="146"/>
      <c r="X21" s="145" t="n">
        <v>0</v>
      </c>
      <c r="Y21" s="145" t="n">
        <v>17</v>
      </c>
      <c r="Z21" s="146" t="n">
        <f aca="false">Z20-Y21</f>
        <v>1893</v>
      </c>
      <c r="AA21" s="8" t="n">
        <f aca="false">N21+O21+P21+Q21+R21+U21+X21+Y21</f>
        <v>65.7</v>
      </c>
      <c r="AB21" s="145" t="n">
        <f aca="false">IF(L21&lt;0,L21*-1,0)</f>
        <v>0</v>
      </c>
      <c r="AC21" s="145" t="n">
        <f aca="false">AA21+AB21</f>
        <v>65.7</v>
      </c>
      <c r="AD21" s="212" t="n">
        <v>0</v>
      </c>
      <c r="AE21" s="152" t="n">
        <v>54</v>
      </c>
      <c r="AF21" s="282" t="n">
        <v>18</v>
      </c>
      <c r="AG21" s="153" t="n">
        <f aca="false">AG20+(U21*1.9835)</f>
        <v>6730.1282772275</v>
      </c>
      <c r="AH21" s="153" t="n">
        <v>0</v>
      </c>
      <c r="AI21" s="276"/>
      <c r="AJ21" s="288"/>
      <c r="AK21" s="277"/>
    </row>
    <row r="22" customFormat="false" ht="11.1" hidden="false" customHeight="true" outlineLevel="0" collapsed="false">
      <c r="A22" s="153" t="n">
        <f aca="false">A21+1</f>
        <v>11</v>
      </c>
      <c r="B22" s="283" t="n">
        <v>6863.65</v>
      </c>
      <c r="C22" s="146" t="n">
        <v>171647</v>
      </c>
      <c r="D22" s="152" t="n">
        <f aca="false">C22-C21</f>
        <v>0</v>
      </c>
      <c r="E22" s="146" t="n">
        <f aca="false">C22-152000</f>
        <v>19647</v>
      </c>
      <c r="F22" s="299" t="n">
        <f aca="false">D22/$D$2</f>
        <v>0</v>
      </c>
      <c r="G22" s="145" t="n">
        <v>37</v>
      </c>
      <c r="H22" s="151" t="n">
        <v>0</v>
      </c>
      <c r="I22" s="145" t="n">
        <f aca="false">G22+H22</f>
        <v>37</v>
      </c>
      <c r="J22" s="149" t="n">
        <f aca="false">IF(L22&gt;0,L22,0)</f>
        <v>27.9</v>
      </c>
      <c r="K22" s="145" t="n">
        <f aca="false">I22+J22</f>
        <v>64.9</v>
      </c>
      <c r="L22" s="145" t="n">
        <f aca="false">F22-(I22-AA22)</f>
        <v>27.9</v>
      </c>
      <c r="M22" s="280" t="n">
        <v>3.9</v>
      </c>
      <c r="N22" s="145" t="n">
        <v>0</v>
      </c>
      <c r="O22" s="145" t="n">
        <v>0</v>
      </c>
      <c r="P22" s="256" t="n">
        <v>1.38</v>
      </c>
      <c r="Q22" s="256" t="n">
        <v>2.4</v>
      </c>
      <c r="R22" s="300" t="n">
        <v>0</v>
      </c>
      <c r="S22" s="145" t="n">
        <v>44</v>
      </c>
      <c r="T22" s="145" t="n">
        <v>0</v>
      </c>
      <c r="U22" s="145" t="n">
        <f aca="false">M22-N22-O22-P22-Q22-R22+S22+T22</f>
        <v>44.12</v>
      </c>
      <c r="V22" s="146"/>
      <c r="W22" s="146"/>
      <c r="X22" s="145" t="n">
        <v>0</v>
      </c>
      <c r="Y22" s="145" t="n">
        <v>17</v>
      </c>
      <c r="Z22" s="146" t="n">
        <f aca="false">Z21-Y22</f>
        <v>1876</v>
      </c>
      <c r="AA22" s="8" t="n">
        <f aca="false">N22+O22+P22+Q22+R22+U22+X22+Y22</f>
        <v>64.9</v>
      </c>
      <c r="AB22" s="145" t="n">
        <f aca="false">IF(L22&lt;0,L22*-1,0)</f>
        <v>0</v>
      </c>
      <c r="AC22" s="145" t="n">
        <f aca="false">AA22+AB22</f>
        <v>64.9</v>
      </c>
      <c r="AD22" s="212" t="n">
        <v>0</v>
      </c>
      <c r="AE22" s="152" t="n">
        <v>51</v>
      </c>
      <c r="AF22" s="282" t="n">
        <v>19</v>
      </c>
      <c r="AG22" s="153" t="n">
        <f aca="false">AG21+(U22*1.9835)</f>
        <v>6817.6402972275</v>
      </c>
      <c r="AH22" s="153" t="n">
        <v>0</v>
      </c>
      <c r="AI22" s="276"/>
      <c r="AJ22" s="288"/>
      <c r="AK22" s="277"/>
    </row>
    <row r="23" customFormat="false" ht="11.1" hidden="false" customHeight="true" outlineLevel="0" collapsed="false">
      <c r="A23" s="153" t="n">
        <f aca="false">A22+1</f>
        <v>12</v>
      </c>
      <c r="B23" s="283" t="n">
        <v>6863.63</v>
      </c>
      <c r="C23" s="146" t="n">
        <v>171599</v>
      </c>
      <c r="D23" s="152" t="n">
        <f aca="false">C23-C22</f>
        <v>-48</v>
      </c>
      <c r="E23" s="146" t="n">
        <f aca="false">C23-152000</f>
        <v>19599</v>
      </c>
      <c r="F23" s="299" t="n">
        <f aca="false">D23/$D$2</f>
        <v>-24.19964708848</v>
      </c>
      <c r="G23" s="145" t="n">
        <v>37</v>
      </c>
      <c r="H23" s="151" t="n">
        <v>0</v>
      </c>
      <c r="I23" s="145" t="n">
        <f aca="false">G23+H23</f>
        <v>37</v>
      </c>
      <c r="J23" s="149" t="n">
        <f aca="false">IF(L23&gt;0,L23,0)</f>
        <v>12.70035291152</v>
      </c>
      <c r="K23" s="145" t="n">
        <f aca="false">I23+J23</f>
        <v>49.70035291152</v>
      </c>
      <c r="L23" s="145" t="n">
        <f aca="false">F23-(I23-AA23)</f>
        <v>12.70035291152</v>
      </c>
      <c r="M23" s="280" t="n">
        <v>3.9</v>
      </c>
      <c r="N23" s="145" t="n">
        <v>0</v>
      </c>
      <c r="O23" s="145" t="n">
        <v>0</v>
      </c>
      <c r="P23" s="256" t="n">
        <v>1.38</v>
      </c>
      <c r="Q23" s="256" t="n">
        <v>2.4</v>
      </c>
      <c r="R23" s="300" t="n">
        <v>0</v>
      </c>
      <c r="S23" s="145" t="n">
        <v>53</v>
      </c>
      <c r="T23" s="145" t="n">
        <v>0</v>
      </c>
      <c r="U23" s="145" t="n">
        <f aca="false">M23-N23-O23-P23-Q23-R23+S23+T23</f>
        <v>53.12</v>
      </c>
      <c r="V23" s="146"/>
      <c r="W23" s="146"/>
      <c r="X23" s="145" t="n">
        <v>0</v>
      </c>
      <c r="Y23" s="145" t="n">
        <v>17</v>
      </c>
      <c r="Z23" s="146" t="n">
        <f aca="false">Z22-Y23</f>
        <v>1859</v>
      </c>
      <c r="AA23" s="8" t="n">
        <f aca="false">N23+O23+P23+Q23+R23+U23+X23+Y23</f>
        <v>73.9</v>
      </c>
      <c r="AB23" s="145" t="n">
        <f aca="false">IF(L23&lt;0,L23*-1,0)</f>
        <v>0</v>
      </c>
      <c r="AC23" s="145" t="n">
        <f aca="false">AA23+AB23</f>
        <v>73.9</v>
      </c>
      <c r="AD23" s="212" t="n">
        <v>0</v>
      </c>
      <c r="AE23" s="152" t="n">
        <v>46</v>
      </c>
      <c r="AF23" s="282" t="n">
        <v>18</v>
      </c>
      <c r="AG23" s="153" t="n">
        <f aca="false">AG22+(U23*1.9835)</f>
        <v>6923.0038172275</v>
      </c>
      <c r="AH23" s="153" t="n">
        <v>0</v>
      </c>
      <c r="AI23" s="276"/>
      <c r="AJ23" s="288"/>
      <c r="AK23" s="277"/>
    </row>
    <row r="24" customFormat="false" ht="11.1" hidden="false" customHeight="true" outlineLevel="0" collapsed="false">
      <c r="A24" s="153" t="n">
        <v>13</v>
      </c>
      <c r="B24" s="283" t="n">
        <v>6863.61</v>
      </c>
      <c r="C24" s="146" t="n">
        <v>171551</v>
      </c>
      <c r="D24" s="152" t="n">
        <f aca="false">C24-C23</f>
        <v>-48</v>
      </c>
      <c r="E24" s="146" t="n">
        <f aca="false">C24-152000</f>
        <v>19551</v>
      </c>
      <c r="F24" s="299" t="n">
        <f aca="false">D24/$D$2</f>
        <v>-24.19964708848</v>
      </c>
      <c r="G24" s="145" t="n">
        <v>36</v>
      </c>
      <c r="H24" s="151" t="n">
        <v>0</v>
      </c>
      <c r="I24" s="145" t="n">
        <f aca="false">G24+H24</f>
        <v>36</v>
      </c>
      <c r="J24" s="149" t="n">
        <f aca="false">IF(L24&gt;0,L24,0)</f>
        <v>17.50035291152</v>
      </c>
      <c r="K24" s="145" t="n">
        <f aca="false">I24+J24</f>
        <v>53.50035291152</v>
      </c>
      <c r="L24" s="145" t="n">
        <f aca="false">F24-(I24-AA24)</f>
        <v>17.50035291152</v>
      </c>
      <c r="M24" s="280" t="n">
        <v>3.7</v>
      </c>
      <c r="N24" s="145" t="n">
        <v>0</v>
      </c>
      <c r="O24" s="145" t="n">
        <v>0</v>
      </c>
      <c r="P24" s="256" t="n">
        <v>1.38</v>
      </c>
      <c r="Q24" s="256" t="n">
        <v>2.4</v>
      </c>
      <c r="R24" s="300" t="n">
        <v>0</v>
      </c>
      <c r="S24" s="145" t="n">
        <v>57</v>
      </c>
      <c r="T24" s="145" t="n">
        <v>0</v>
      </c>
      <c r="U24" s="145" t="n">
        <f aca="false">M24-N24-O24-P24-Q24-R24+S24+T24</f>
        <v>56.92</v>
      </c>
      <c r="V24" s="146"/>
      <c r="W24" s="146"/>
      <c r="X24" s="145" t="n">
        <v>0</v>
      </c>
      <c r="Y24" s="145" t="n">
        <v>17</v>
      </c>
      <c r="Z24" s="146" t="n">
        <f aca="false">Z23-Y24</f>
        <v>1842</v>
      </c>
      <c r="AA24" s="8" t="n">
        <f aca="false">N24+O24+P24+Q24+R24+U24+X24+Y24</f>
        <v>77.7</v>
      </c>
      <c r="AB24" s="145" t="n">
        <f aca="false">IF(L24&lt;0,L24*-1,0)</f>
        <v>0</v>
      </c>
      <c r="AC24" s="145" t="n">
        <f aca="false">AA24+AB24</f>
        <v>77.7</v>
      </c>
      <c r="AD24" s="212" t="n">
        <v>0</v>
      </c>
      <c r="AE24" s="152" t="n">
        <v>44</v>
      </c>
      <c r="AF24" s="282" t="n">
        <v>14</v>
      </c>
      <c r="AG24" s="153" t="n">
        <f aca="false">AG23+(U24*1.9835)</f>
        <v>7035.9046372275</v>
      </c>
      <c r="AH24" s="153" t="n">
        <v>0</v>
      </c>
      <c r="AI24" s="276"/>
      <c r="AJ24" s="288"/>
      <c r="AK24" s="277"/>
    </row>
    <row r="25" customFormat="false" ht="11.1" hidden="false" customHeight="true" outlineLevel="0" collapsed="false">
      <c r="A25" s="153" t="n">
        <f aca="false">A24+1</f>
        <v>14</v>
      </c>
      <c r="B25" s="283" t="n">
        <v>6863.58</v>
      </c>
      <c r="C25" s="146" t="n">
        <v>171478</v>
      </c>
      <c r="D25" s="152" t="n">
        <f aca="false">C25-C24</f>
        <v>-73</v>
      </c>
      <c r="E25" s="146" t="n">
        <f aca="false">C25-152000</f>
        <v>19478</v>
      </c>
      <c r="F25" s="299" t="n">
        <f aca="false">D25/$D$2</f>
        <v>-36.8036299470633</v>
      </c>
      <c r="G25" s="145" t="n">
        <v>35</v>
      </c>
      <c r="H25" s="151" t="n">
        <v>0</v>
      </c>
      <c r="I25" s="145" t="n">
        <f aca="false">G25+H25</f>
        <v>35</v>
      </c>
      <c r="J25" s="149" t="n">
        <f aca="false">IF(L25&gt;0,L25,0)</f>
        <v>2.79637005293672</v>
      </c>
      <c r="K25" s="145" t="n">
        <f aca="false">I25+J25</f>
        <v>37.7963700529367</v>
      </c>
      <c r="L25" s="145" t="n">
        <f aca="false">F25-(I25-AA25)</f>
        <v>2.79637005293672</v>
      </c>
      <c r="M25" s="280" t="n">
        <v>3.6</v>
      </c>
      <c r="N25" s="145" t="n">
        <v>0</v>
      </c>
      <c r="O25" s="145" t="n">
        <v>0</v>
      </c>
      <c r="P25" s="256" t="n">
        <v>1.38</v>
      </c>
      <c r="Q25" s="256" t="n">
        <v>2.4</v>
      </c>
      <c r="R25" s="300" t="n">
        <v>0</v>
      </c>
      <c r="S25" s="145" t="n">
        <v>54</v>
      </c>
      <c r="T25" s="145" t="n">
        <v>0</v>
      </c>
      <c r="U25" s="145" t="n">
        <f aca="false">M25-N25-O25-P25-Q25-R25+S25+T25</f>
        <v>53.82</v>
      </c>
      <c r="V25" s="146"/>
      <c r="W25" s="146"/>
      <c r="X25" s="145" t="n">
        <v>0</v>
      </c>
      <c r="Y25" s="145" t="n">
        <v>17</v>
      </c>
      <c r="Z25" s="146" t="n">
        <f aca="false">Z24-Y25</f>
        <v>1825</v>
      </c>
      <c r="AA25" s="8" t="n">
        <f aca="false">N25+O25+P25+Q25+R25+U25+X25+Y25</f>
        <v>74.6</v>
      </c>
      <c r="AB25" s="145" t="n">
        <f aca="false">IF(L25&lt;0,L25*-1,0)</f>
        <v>0</v>
      </c>
      <c r="AC25" s="145" t="n">
        <f aca="false">AA25+AB25</f>
        <v>74.6</v>
      </c>
      <c r="AD25" s="212" t="n">
        <v>0</v>
      </c>
      <c r="AE25" s="257" t="n">
        <v>50</v>
      </c>
      <c r="AF25" s="282" t="n">
        <v>15</v>
      </c>
      <c r="AG25" s="153" t="n">
        <f aca="false">AG24+(U25*1.9835)</f>
        <v>7142.6566072275</v>
      </c>
      <c r="AH25" s="153" t="n">
        <v>0</v>
      </c>
      <c r="AI25" s="276"/>
      <c r="AJ25" s="288"/>
      <c r="AK25" s="277"/>
    </row>
    <row r="26" customFormat="false" ht="11.1" hidden="false" customHeight="true" outlineLevel="0" collapsed="false">
      <c r="A26" s="153" t="n">
        <f aca="false">A25+1</f>
        <v>15</v>
      </c>
      <c r="B26" s="283" t="n">
        <v>6863.56</v>
      </c>
      <c r="C26" s="146" t="n">
        <v>171430</v>
      </c>
      <c r="D26" s="152" t="n">
        <f aca="false">C26-C25</f>
        <v>-48</v>
      </c>
      <c r="E26" s="146" t="n">
        <f aca="false">C26-152000</f>
        <v>19430</v>
      </c>
      <c r="F26" s="299" t="n">
        <f aca="false">D26/$D$2</f>
        <v>-24.19964708848</v>
      </c>
      <c r="G26" s="145" t="n">
        <v>39</v>
      </c>
      <c r="H26" s="151" t="n">
        <v>0</v>
      </c>
      <c r="I26" s="145" t="n">
        <f aca="false">G26+H26</f>
        <v>39</v>
      </c>
      <c r="J26" s="149" t="n">
        <f aca="false">IF(L26&gt;0,L26,0)</f>
        <v>12.30035291152</v>
      </c>
      <c r="K26" s="145" t="n">
        <f aca="false">I26+J26</f>
        <v>51.30035291152</v>
      </c>
      <c r="L26" s="145" t="n">
        <f aca="false">F26-(I26-AA26)</f>
        <v>12.30035291152</v>
      </c>
      <c r="M26" s="280" t="n">
        <v>3.5</v>
      </c>
      <c r="N26" s="145" t="n">
        <v>0</v>
      </c>
      <c r="O26" s="145" t="n">
        <v>0</v>
      </c>
      <c r="P26" s="256" t="n">
        <v>1.38</v>
      </c>
      <c r="Q26" s="256" t="n">
        <v>2.4</v>
      </c>
      <c r="R26" s="300" t="n">
        <v>0</v>
      </c>
      <c r="S26" s="145" t="n">
        <v>55</v>
      </c>
      <c r="T26" s="145" t="n">
        <v>0</v>
      </c>
      <c r="U26" s="145" t="n">
        <f aca="false">M26-N26-O26-P26-Q26-R26+S26+T26</f>
        <v>54.72</v>
      </c>
      <c r="V26" s="146"/>
      <c r="W26" s="146"/>
      <c r="X26" s="145" t="n">
        <v>0</v>
      </c>
      <c r="Y26" s="145" t="n">
        <v>17</v>
      </c>
      <c r="Z26" s="146" t="n">
        <f aca="false">Z25-Y26</f>
        <v>1808</v>
      </c>
      <c r="AA26" s="8" t="n">
        <f aca="false">N26+O26+P26+Q26+R26+U26+X26+Y26</f>
        <v>75.5</v>
      </c>
      <c r="AB26" s="145" t="n">
        <f aca="false">IF(L26&lt;0,L26*-1,0)</f>
        <v>0</v>
      </c>
      <c r="AC26" s="145" t="n">
        <f aca="false">AA26+AB26</f>
        <v>75.5</v>
      </c>
      <c r="AD26" s="212" t="n">
        <v>0.01</v>
      </c>
      <c r="AE26" s="257" t="n">
        <v>40</v>
      </c>
      <c r="AF26" s="282" t="n">
        <v>26</v>
      </c>
      <c r="AG26" s="153" t="n">
        <f aca="false">AG25+(U26*1.9835)</f>
        <v>7251.1937272275</v>
      </c>
      <c r="AH26" s="153" t="n">
        <v>0</v>
      </c>
      <c r="AI26" s="276"/>
      <c r="AJ26" s="288"/>
      <c r="AK26" s="277"/>
    </row>
    <row r="27" customFormat="false" ht="11.1" hidden="false" customHeight="true" outlineLevel="0" collapsed="false">
      <c r="A27" s="153" t="n">
        <f aca="false">A26+1</f>
        <v>16</v>
      </c>
      <c r="B27" s="283" t="n">
        <v>6863.55</v>
      </c>
      <c r="C27" s="146" t="n">
        <v>171406</v>
      </c>
      <c r="D27" s="152" t="n">
        <f aca="false">C27-C26</f>
        <v>-24</v>
      </c>
      <c r="E27" s="146" t="n">
        <f aca="false">C27-152000</f>
        <v>19406</v>
      </c>
      <c r="F27" s="299" t="n">
        <f aca="false">D27/$D$2</f>
        <v>-12.09982354424</v>
      </c>
      <c r="G27" s="145" t="n">
        <v>39</v>
      </c>
      <c r="H27" s="151" t="n">
        <v>0</v>
      </c>
      <c r="I27" s="145" t="n">
        <f aca="false">G27+H27</f>
        <v>39</v>
      </c>
      <c r="J27" s="149" t="n">
        <f aca="false">IF(L27&gt;0,L27,0)</f>
        <v>23.60017645576</v>
      </c>
      <c r="K27" s="145" t="n">
        <f aca="false">I27+J27</f>
        <v>62.60017645576</v>
      </c>
      <c r="L27" s="145" t="n">
        <f aca="false">F27-(I27-AA27)</f>
        <v>23.60017645576</v>
      </c>
      <c r="M27" s="280" t="n">
        <v>3.7</v>
      </c>
      <c r="N27" s="145" t="n">
        <v>0</v>
      </c>
      <c r="O27" s="145" t="n">
        <v>0</v>
      </c>
      <c r="P27" s="256" t="n">
        <v>1.38</v>
      </c>
      <c r="Q27" s="256" t="n">
        <v>2.4</v>
      </c>
      <c r="R27" s="300" t="n">
        <v>0</v>
      </c>
      <c r="S27" s="145" t="n">
        <v>54</v>
      </c>
      <c r="T27" s="145" t="n">
        <v>0</v>
      </c>
      <c r="U27" s="145" t="n">
        <f aca="false">M27-N27-O27-P27-Q27-R27+S27+T27</f>
        <v>53.92</v>
      </c>
      <c r="V27" s="146"/>
      <c r="W27" s="146"/>
      <c r="X27" s="145" t="n">
        <v>0</v>
      </c>
      <c r="Y27" s="145" t="n">
        <v>17</v>
      </c>
      <c r="Z27" s="146" t="n">
        <f aca="false">Z26-Y27</f>
        <v>1791</v>
      </c>
      <c r="AA27" s="8" t="n">
        <f aca="false">N27+O27+P27+Q27+R27+U27+X27+Y27</f>
        <v>74.7</v>
      </c>
      <c r="AB27" s="145" t="n">
        <f aca="false">IF(L27&lt;0,L27*-1,0)</f>
        <v>0</v>
      </c>
      <c r="AC27" s="145" t="n">
        <f aca="false">AA27+AB27</f>
        <v>74.7</v>
      </c>
      <c r="AD27" s="212" t="n">
        <v>0</v>
      </c>
      <c r="AE27" s="257" t="n">
        <v>38</v>
      </c>
      <c r="AF27" s="282" t="n">
        <v>23</v>
      </c>
      <c r="AG27" s="153" t="n">
        <f aca="false">AG26+(U27*1.9835)</f>
        <v>7358.1440472275</v>
      </c>
      <c r="AH27" s="153" t="n">
        <v>0</v>
      </c>
      <c r="AI27" s="276"/>
      <c r="AJ27" s="7"/>
      <c r="AK27" s="277"/>
    </row>
    <row r="28" customFormat="false" ht="11.1" hidden="false" customHeight="true" outlineLevel="0" collapsed="false">
      <c r="A28" s="153" t="n">
        <f aca="false">A27+1</f>
        <v>17</v>
      </c>
      <c r="B28" s="283" t="n">
        <v>6863.54</v>
      </c>
      <c r="C28" s="146" t="n">
        <v>171382</v>
      </c>
      <c r="D28" s="152" t="n">
        <f aca="false">C28-C27</f>
        <v>-24</v>
      </c>
      <c r="E28" s="146" t="n">
        <f aca="false">C28-152000</f>
        <v>19382</v>
      </c>
      <c r="F28" s="299" t="n">
        <f aca="false">D28/$D$2</f>
        <v>-12.09982354424</v>
      </c>
      <c r="G28" s="145" t="n">
        <v>39</v>
      </c>
      <c r="H28" s="151" t="n">
        <v>0</v>
      </c>
      <c r="I28" s="145" t="n">
        <f aca="false">G28+H28</f>
        <v>39</v>
      </c>
      <c r="J28" s="149" t="n">
        <f aca="false">IF(L28&gt;0,L28,0)</f>
        <v>23.60017645576</v>
      </c>
      <c r="K28" s="145" t="n">
        <f aca="false">I28+J28</f>
        <v>62.60017645576</v>
      </c>
      <c r="L28" s="145" t="n">
        <f aca="false">F28-(I28-AA28)</f>
        <v>23.60017645576</v>
      </c>
      <c r="M28" s="280" t="n">
        <v>3.7</v>
      </c>
      <c r="N28" s="145" t="n">
        <v>0</v>
      </c>
      <c r="O28" s="145" t="n">
        <v>0</v>
      </c>
      <c r="P28" s="256" t="n">
        <v>1.38</v>
      </c>
      <c r="Q28" s="256" t="n">
        <v>2.4</v>
      </c>
      <c r="R28" s="300" t="n">
        <v>0</v>
      </c>
      <c r="S28" s="145" t="n">
        <v>54</v>
      </c>
      <c r="T28" s="145" t="n">
        <v>0</v>
      </c>
      <c r="U28" s="145" t="n">
        <f aca="false">M28-N28-O28-P28-Q28-R28+S28+T28</f>
        <v>53.92</v>
      </c>
      <c r="V28" s="146"/>
      <c r="W28" s="146"/>
      <c r="X28" s="145" t="n">
        <v>0</v>
      </c>
      <c r="Y28" s="145" t="n">
        <v>17</v>
      </c>
      <c r="Z28" s="146" t="n">
        <f aca="false">Z27-Y28</f>
        <v>1774</v>
      </c>
      <c r="AA28" s="8" t="n">
        <f aca="false">N28+O28+P28+Q28+R28+U28+X28+Y28</f>
        <v>74.7</v>
      </c>
      <c r="AB28" s="145" t="n">
        <f aca="false">IF(L28&lt;0,L28*-1,0)</f>
        <v>0</v>
      </c>
      <c r="AC28" s="145" t="n">
        <f aca="false">AA28+AB28</f>
        <v>74.7</v>
      </c>
      <c r="AD28" s="212" t="n">
        <v>1</v>
      </c>
      <c r="AE28" s="257" t="n">
        <v>43</v>
      </c>
      <c r="AF28" s="282" t="n">
        <v>19</v>
      </c>
      <c r="AG28" s="153" t="n">
        <f aca="false">AG27+(U28*1.9835)</f>
        <v>7465.0943672275</v>
      </c>
      <c r="AH28" s="153" t="n">
        <v>0</v>
      </c>
      <c r="AI28" s="276"/>
      <c r="AJ28" s="288"/>
      <c r="AK28" s="277"/>
    </row>
    <row r="29" customFormat="false" ht="11.1" hidden="false" customHeight="true" outlineLevel="0" collapsed="false">
      <c r="A29" s="153" t="n">
        <f aca="false">A28+1</f>
        <v>18</v>
      </c>
      <c r="B29" s="283" t="n">
        <v>6863.52</v>
      </c>
      <c r="C29" s="146" t="n">
        <v>171333</v>
      </c>
      <c r="D29" s="152" t="n">
        <f aca="false">C29-C28</f>
        <v>-49</v>
      </c>
      <c r="E29" s="146" t="n">
        <f aca="false">C29-152000</f>
        <v>19333</v>
      </c>
      <c r="F29" s="299" t="n">
        <f aca="false">D29/$D$2</f>
        <v>-24.7038064028233</v>
      </c>
      <c r="G29" s="145" t="n">
        <v>38</v>
      </c>
      <c r="H29" s="151" t="n">
        <v>0</v>
      </c>
      <c r="I29" s="145" t="n">
        <f aca="false">G29+H29</f>
        <v>38</v>
      </c>
      <c r="J29" s="149" t="n">
        <f aca="false">IF(L29&gt;0,L29,0)</f>
        <v>11.8961935971767</v>
      </c>
      <c r="K29" s="145" t="n">
        <f aca="false">I29+J29</f>
        <v>49.8961935971767</v>
      </c>
      <c r="L29" s="145" t="n">
        <f aca="false">F29-(I29-AA29)</f>
        <v>11.8961935971767</v>
      </c>
      <c r="M29" s="280" t="n">
        <v>3.6</v>
      </c>
      <c r="N29" s="145" t="n">
        <v>0</v>
      </c>
      <c r="O29" s="145" t="n">
        <v>0</v>
      </c>
      <c r="P29" s="256" t="n">
        <v>1.38</v>
      </c>
      <c r="Q29" s="256" t="n">
        <v>2.4</v>
      </c>
      <c r="R29" s="300" t="n">
        <v>0</v>
      </c>
      <c r="S29" s="145" t="n">
        <v>54</v>
      </c>
      <c r="T29" s="145" t="n">
        <v>0</v>
      </c>
      <c r="U29" s="145" t="n">
        <f aca="false">M29-N29-O29-P29-Q29-R29+S29+T29</f>
        <v>53.82</v>
      </c>
      <c r="V29" s="146"/>
      <c r="W29" s="146"/>
      <c r="X29" s="145" t="n">
        <v>0</v>
      </c>
      <c r="Y29" s="145" t="n">
        <v>17</v>
      </c>
      <c r="Z29" s="146" t="n">
        <f aca="false">Z28-Y29</f>
        <v>1757</v>
      </c>
      <c r="AA29" s="8" t="n">
        <f aca="false">N29+O29+P29+Q29+R29+U29+X29+Y29</f>
        <v>74.6</v>
      </c>
      <c r="AB29" s="145" t="n">
        <f aca="false">IF(L29&lt;0,L29*-1,0)</f>
        <v>0</v>
      </c>
      <c r="AC29" s="145" t="n">
        <f aca="false">AA29+AB29</f>
        <v>74.6</v>
      </c>
      <c r="AD29" s="212" t="n">
        <v>0</v>
      </c>
      <c r="AE29" s="257" t="n">
        <v>41</v>
      </c>
      <c r="AF29" s="282" t="n">
        <v>16</v>
      </c>
      <c r="AG29" s="153" t="n">
        <f aca="false">AG28+(U29*1.9835)</f>
        <v>7571.8463372275</v>
      </c>
      <c r="AH29" s="153" t="n">
        <v>0</v>
      </c>
      <c r="AI29" s="276"/>
      <c r="AJ29" s="288"/>
      <c r="AK29" s="277"/>
    </row>
    <row r="30" customFormat="false" ht="11.1" hidden="false" customHeight="true" outlineLevel="0" collapsed="false">
      <c r="A30" s="153" t="n">
        <f aca="false">A29+1</f>
        <v>19</v>
      </c>
      <c r="B30" s="283" t="n">
        <v>6863.5</v>
      </c>
      <c r="C30" s="146" t="n">
        <v>171285</v>
      </c>
      <c r="D30" s="152" t="n">
        <f aca="false">C30-C29</f>
        <v>-48</v>
      </c>
      <c r="E30" s="146" t="n">
        <f aca="false">C30-152000</f>
        <v>19285</v>
      </c>
      <c r="F30" s="299" t="n">
        <f aca="false">D30/$D$2</f>
        <v>-24.19964708848</v>
      </c>
      <c r="G30" s="145" t="n">
        <v>37</v>
      </c>
      <c r="H30" s="151" t="n">
        <v>0</v>
      </c>
      <c r="I30" s="145" t="n">
        <f aca="false">G30+H30</f>
        <v>37</v>
      </c>
      <c r="J30" s="149" t="n">
        <f aca="false">IF(L30&gt;0,L30,0)</f>
        <v>13.50035291152</v>
      </c>
      <c r="K30" s="145" t="n">
        <f aca="false">I30+J30</f>
        <v>50.50035291152</v>
      </c>
      <c r="L30" s="145" t="n">
        <f aca="false">F30-(I30-AA30)</f>
        <v>13.50035291152</v>
      </c>
      <c r="M30" s="280" t="n">
        <v>3.7</v>
      </c>
      <c r="N30" s="145" t="n">
        <v>0</v>
      </c>
      <c r="O30" s="145" t="n">
        <v>0</v>
      </c>
      <c r="P30" s="256" t="n">
        <v>1.38</v>
      </c>
      <c r="Q30" s="256" t="n">
        <v>2.4</v>
      </c>
      <c r="R30" s="300" t="n">
        <v>0</v>
      </c>
      <c r="S30" s="145" t="n">
        <v>54</v>
      </c>
      <c r="T30" s="145" t="n">
        <v>0</v>
      </c>
      <c r="U30" s="145" t="n">
        <f aca="false">M30-N30-O30-P30-Q30-R30+S30+T30</f>
        <v>53.92</v>
      </c>
      <c r="V30" s="146"/>
      <c r="W30" s="146"/>
      <c r="X30" s="145" t="n">
        <v>0</v>
      </c>
      <c r="Y30" s="145" t="n">
        <v>17</v>
      </c>
      <c r="Z30" s="146" t="n">
        <f aca="false">Z29-Y30</f>
        <v>1740</v>
      </c>
      <c r="AA30" s="8" t="n">
        <f aca="false">N30+O30+P30+Q30+R30+U30+X30+Y30</f>
        <v>74.7</v>
      </c>
      <c r="AB30" s="145" t="n">
        <f aca="false">IF(L30&lt;0,L30*-1,0)</f>
        <v>0</v>
      </c>
      <c r="AC30" s="145" t="n">
        <f aca="false">AA30+AB30</f>
        <v>74.7</v>
      </c>
      <c r="AD30" s="212" t="n">
        <v>0.01</v>
      </c>
      <c r="AE30" s="257" t="n">
        <v>39</v>
      </c>
      <c r="AF30" s="282" t="n">
        <v>15</v>
      </c>
      <c r="AG30" s="153" t="n">
        <f aca="false">AG29+(U30*1.9835)</f>
        <v>7678.7966572275</v>
      </c>
      <c r="AH30" s="153" t="n">
        <v>0</v>
      </c>
      <c r="AI30" s="276"/>
      <c r="AJ30" s="288"/>
      <c r="AK30" s="277"/>
    </row>
    <row r="31" customFormat="false" ht="11.1" hidden="false" customHeight="true" outlineLevel="0" collapsed="false">
      <c r="A31" s="153" t="n">
        <f aca="false">A30+1</f>
        <v>20</v>
      </c>
      <c r="B31" s="283" t="n">
        <v>6863.48</v>
      </c>
      <c r="C31" s="146" t="n">
        <v>171237</v>
      </c>
      <c r="D31" s="152" t="n">
        <f aca="false">C31-C30</f>
        <v>-48</v>
      </c>
      <c r="E31" s="146" t="n">
        <f aca="false">C31-152000</f>
        <v>19237</v>
      </c>
      <c r="F31" s="299" t="n">
        <f aca="false">D31/$D$2</f>
        <v>-24.19964708848</v>
      </c>
      <c r="G31" s="145" t="n">
        <v>39</v>
      </c>
      <c r="H31" s="151" t="n">
        <v>0</v>
      </c>
      <c r="I31" s="145" t="n">
        <f aca="false">G31+H31</f>
        <v>39</v>
      </c>
      <c r="J31" s="149" t="n">
        <f aca="false">IF(L31&gt;0,L31,0)</f>
        <v>11.50035291152</v>
      </c>
      <c r="K31" s="145" t="n">
        <f aca="false">I31+J31</f>
        <v>50.50035291152</v>
      </c>
      <c r="L31" s="145" t="n">
        <f aca="false">F31-(I31-AA31)</f>
        <v>11.50035291152</v>
      </c>
      <c r="M31" s="280" t="n">
        <v>3.7</v>
      </c>
      <c r="N31" s="145" t="n">
        <v>0</v>
      </c>
      <c r="O31" s="145" t="n">
        <v>0</v>
      </c>
      <c r="P31" s="256" t="n">
        <v>1.38</v>
      </c>
      <c r="Q31" s="256" t="n">
        <v>2.4</v>
      </c>
      <c r="R31" s="300" t="n">
        <v>0</v>
      </c>
      <c r="S31" s="145" t="n">
        <v>54</v>
      </c>
      <c r="T31" s="145" t="n">
        <v>0</v>
      </c>
      <c r="U31" s="145" t="n">
        <f aca="false">M31-N31-O31-P31-Q31-R31+S31+T31</f>
        <v>53.92</v>
      </c>
      <c r="V31" s="146"/>
      <c r="W31" s="146"/>
      <c r="X31" s="145" t="n">
        <v>0</v>
      </c>
      <c r="Y31" s="145" t="n">
        <v>17</v>
      </c>
      <c r="Z31" s="146" t="n">
        <f aca="false">Z30-Y31</f>
        <v>1723</v>
      </c>
      <c r="AA31" s="8" t="n">
        <f aca="false">N31+O31+P31+Q31+R31+U31+X31+Y31</f>
        <v>74.7</v>
      </c>
      <c r="AB31" s="145" t="n">
        <f aca="false">IF(L31&lt;0,L31*-1,0)</f>
        <v>0</v>
      </c>
      <c r="AC31" s="145" t="n">
        <f aca="false">AA31+AB31</f>
        <v>74.7</v>
      </c>
      <c r="AD31" s="212" t="n">
        <v>0.05</v>
      </c>
      <c r="AE31" s="257" t="n">
        <v>40</v>
      </c>
      <c r="AF31" s="282" t="n">
        <v>16</v>
      </c>
      <c r="AG31" s="153" t="n">
        <f aca="false">AG30+(U31*1.9835)</f>
        <v>7785.7469772275</v>
      </c>
      <c r="AH31" s="153" t="n">
        <v>0</v>
      </c>
      <c r="AI31" s="276"/>
      <c r="AJ31" s="288"/>
      <c r="AK31" s="277"/>
    </row>
    <row r="32" customFormat="false" ht="11.1" hidden="false" customHeight="true" outlineLevel="0" collapsed="false">
      <c r="A32" s="153" t="n">
        <f aca="false">A31+1</f>
        <v>21</v>
      </c>
      <c r="B32" s="283" t="n">
        <v>6863.47</v>
      </c>
      <c r="C32" s="146" t="n">
        <v>171212</v>
      </c>
      <c r="D32" s="152" t="n">
        <f aca="false">C32-C31</f>
        <v>-25</v>
      </c>
      <c r="E32" s="146" t="n">
        <f aca="false">C32-152000</f>
        <v>19212</v>
      </c>
      <c r="F32" s="299" t="n">
        <f aca="false">D32/$D$2</f>
        <v>-12.6039828585833</v>
      </c>
      <c r="G32" s="145" t="n">
        <v>39</v>
      </c>
      <c r="H32" s="151" t="n">
        <v>0</v>
      </c>
      <c r="I32" s="145" t="n">
        <f aca="false">G32+H32</f>
        <v>39</v>
      </c>
      <c r="J32" s="149" t="n">
        <f aca="false">IF(L32&gt;0,L32,0)</f>
        <v>22.9960171414167</v>
      </c>
      <c r="K32" s="145" t="n">
        <f aca="false">I32+J32</f>
        <v>61.9960171414167</v>
      </c>
      <c r="L32" s="145" t="n">
        <f aca="false">F32-(I32-AA32)</f>
        <v>22.9960171414167</v>
      </c>
      <c r="M32" s="280" t="n">
        <v>3.6</v>
      </c>
      <c r="N32" s="145" t="n">
        <v>0</v>
      </c>
      <c r="O32" s="145" t="n">
        <v>0</v>
      </c>
      <c r="P32" s="256" t="n">
        <v>1.38</v>
      </c>
      <c r="Q32" s="256" t="n">
        <v>2.4</v>
      </c>
      <c r="R32" s="300" t="n">
        <v>0</v>
      </c>
      <c r="S32" s="145" t="n">
        <v>54</v>
      </c>
      <c r="T32" s="145" t="n">
        <v>0</v>
      </c>
      <c r="U32" s="145" t="n">
        <f aca="false">M32-N32-O32-P32-Q32-R32+S32+T32</f>
        <v>53.82</v>
      </c>
      <c r="V32" s="146"/>
      <c r="W32" s="146"/>
      <c r="X32" s="145" t="n">
        <v>0</v>
      </c>
      <c r="Y32" s="145" t="n">
        <v>17</v>
      </c>
      <c r="Z32" s="146" t="n">
        <f aca="false">Z31-Y32</f>
        <v>1706</v>
      </c>
      <c r="AA32" s="8" t="n">
        <f aca="false">N32+O32+P32+Q32+R32+U32+X32+Y32</f>
        <v>74.6</v>
      </c>
      <c r="AB32" s="145" t="n">
        <f aca="false">IF(L32&lt;0,L32*-1,0)</f>
        <v>0</v>
      </c>
      <c r="AC32" s="145" t="n">
        <f aca="false">AA32+AB32</f>
        <v>74.6</v>
      </c>
      <c r="AD32" s="212" t="n">
        <v>0</v>
      </c>
      <c r="AE32" s="152" t="n">
        <v>39</v>
      </c>
      <c r="AF32" s="282" t="n">
        <v>13</v>
      </c>
      <c r="AG32" s="153" t="n">
        <f aca="false">AG31+(U32*1.9835)</f>
        <v>7892.4989472275</v>
      </c>
      <c r="AH32" s="153" t="n">
        <v>0</v>
      </c>
      <c r="AI32" s="276"/>
      <c r="AJ32" s="288"/>
      <c r="AK32" s="277"/>
    </row>
    <row r="33" customFormat="false" ht="11.1" hidden="false" customHeight="true" outlineLevel="0" collapsed="false">
      <c r="A33" s="153" t="n">
        <f aca="false">A32+1</f>
        <v>22</v>
      </c>
      <c r="B33" s="283" t="n">
        <v>6863.46</v>
      </c>
      <c r="C33" s="146" t="n">
        <v>171188</v>
      </c>
      <c r="D33" s="152" t="n">
        <f aca="false">C33-C32</f>
        <v>-24</v>
      </c>
      <c r="E33" s="146" t="n">
        <f aca="false">C33-152000</f>
        <v>19188</v>
      </c>
      <c r="F33" s="299" t="n">
        <f aca="false">D33/$D$2</f>
        <v>-12.09982354424</v>
      </c>
      <c r="G33" s="145" t="n">
        <v>37</v>
      </c>
      <c r="H33" s="151" t="n">
        <v>0</v>
      </c>
      <c r="I33" s="145" t="n">
        <f aca="false">G33+H33</f>
        <v>37</v>
      </c>
      <c r="J33" s="149" t="n">
        <f aca="false">IF(L33&gt;0,L33,0)</f>
        <v>25.40017645576</v>
      </c>
      <c r="K33" s="145" t="n">
        <f aca="false">I33+J33</f>
        <v>62.40017645576</v>
      </c>
      <c r="L33" s="145" t="n">
        <f aca="false">F33-(I33-AA33)</f>
        <v>25.40017645576</v>
      </c>
      <c r="M33" s="280" t="n">
        <v>3.5</v>
      </c>
      <c r="N33" s="145" t="n">
        <v>0</v>
      </c>
      <c r="O33" s="145" t="n">
        <v>0</v>
      </c>
      <c r="P33" s="256" t="n">
        <v>1.38</v>
      </c>
      <c r="Q33" s="256" t="n">
        <v>2.4</v>
      </c>
      <c r="R33" s="300" t="n">
        <v>0</v>
      </c>
      <c r="S33" s="145" t="n">
        <v>54</v>
      </c>
      <c r="T33" s="145" t="n">
        <v>0</v>
      </c>
      <c r="U33" s="145" t="n">
        <f aca="false">M33-N33-O33-P33-Q33-R33+S33+T33</f>
        <v>53.72</v>
      </c>
      <c r="V33" s="146"/>
      <c r="W33" s="146"/>
      <c r="X33" s="145" t="n">
        <v>0</v>
      </c>
      <c r="Y33" s="145" t="n">
        <v>17</v>
      </c>
      <c r="Z33" s="146" t="n">
        <f aca="false">Z32-Y33</f>
        <v>1689</v>
      </c>
      <c r="AA33" s="8" t="n">
        <f aca="false">N33+O33+P33+Q33+R33+U33+X33+Y33</f>
        <v>74.5</v>
      </c>
      <c r="AB33" s="145" t="n">
        <f aca="false">IF(L33&lt;0,L33*-1,0)</f>
        <v>0</v>
      </c>
      <c r="AC33" s="145" t="n">
        <f aca="false">AA33+AB33</f>
        <v>74.5</v>
      </c>
      <c r="AD33" s="212" t="n">
        <v>0</v>
      </c>
      <c r="AE33" s="152" t="n">
        <v>40</v>
      </c>
      <c r="AF33" s="282" t="n">
        <v>8</v>
      </c>
      <c r="AG33" s="153" t="n">
        <f aca="false">AG32+(U33*1.9835)</f>
        <v>7999.0525672275</v>
      </c>
      <c r="AH33" s="153" t="n">
        <v>0</v>
      </c>
      <c r="AI33" s="276"/>
      <c r="AJ33" s="288"/>
      <c r="AK33" s="277"/>
    </row>
    <row r="34" customFormat="false" ht="11.1" hidden="false" customHeight="true" outlineLevel="0" collapsed="false">
      <c r="A34" s="153" t="n">
        <f aca="false">A33+1</f>
        <v>23</v>
      </c>
      <c r="B34" s="283" t="n">
        <v>6863.45</v>
      </c>
      <c r="C34" s="146" t="n">
        <v>171164</v>
      </c>
      <c r="D34" s="152" t="n">
        <f aca="false">C34-C33</f>
        <v>-24</v>
      </c>
      <c r="E34" s="146" t="n">
        <f aca="false">C34-152000</f>
        <v>19164</v>
      </c>
      <c r="F34" s="299" t="n">
        <f aca="false">D34/$D$2</f>
        <v>-12.09982354424</v>
      </c>
      <c r="G34" s="145" t="n">
        <v>35</v>
      </c>
      <c r="H34" s="151" t="n">
        <v>0</v>
      </c>
      <c r="I34" s="145" t="n">
        <f aca="false">G34+H34</f>
        <v>35</v>
      </c>
      <c r="J34" s="149" t="n">
        <f aca="false">IF(L34&gt;0,L34,0)</f>
        <v>27.60017645576</v>
      </c>
      <c r="K34" s="145" t="n">
        <f aca="false">I34+J34</f>
        <v>62.60017645576</v>
      </c>
      <c r="L34" s="145" t="n">
        <f aca="false">F34-(I34-AA34)</f>
        <v>27.60017645576</v>
      </c>
      <c r="M34" s="280" t="n">
        <v>3.7</v>
      </c>
      <c r="N34" s="145" t="n">
        <v>0</v>
      </c>
      <c r="O34" s="145" t="n">
        <v>0</v>
      </c>
      <c r="P34" s="256" t="n">
        <v>1.38</v>
      </c>
      <c r="Q34" s="256" t="n">
        <v>2.4</v>
      </c>
      <c r="R34" s="300" t="n">
        <v>0</v>
      </c>
      <c r="S34" s="145" t="n">
        <v>54</v>
      </c>
      <c r="T34" s="145" t="n">
        <v>0</v>
      </c>
      <c r="U34" s="145" t="n">
        <f aca="false">M34-N34-O34-P34-Q34-R34+S34+T34</f>
        <v>53.92</v>
      </c>
      <c r="V34" s="146"/>
      <c r="W34" s="146"/>
      <c r="X34" s="145" t="n">
        <v>0</v>
      </c>
      <c r="Y34" s="145" t="n">
        <v>17</v>
      </c>
      <c r="Z34" s="146" t="n">
        <f aca="false">Z33-Y34</f>
        <v>1672</v>
      </c>
      <c r="AA34" s="8" t="n">
        <f aca="false">N34+O34+P34+Q34+R34+U34+X34+Y34</f>
        <v>74.7</v>
      </c>
      <c r="AB34" s="145" t="n">
        <f aca="false">IF(L34&lt;0,L34*-1,0)</f>
        <v>0</v>
      </c>
      <c r="AC34" s="145" t="n">
        <f aca="false">AA34+AB34</f>
        <v>74.7</v>
      </c>
      <c r="AD34" s="212" t="n">
        <v>0</v>
      </c>
      <c r="AE34" s="152" t="n">
        <v>44</v>
      </c>
      <c r="AF34" s="302" t="n">
        <v>11</v>
      </c>
      <c r="AG34" s="153" t="n">
        <f aca="false">AG33+(U34*1.9835)</f>
        <v>8106.0028872275</v>
      </c>
      <c r="AH34" s="153" t="n">
        <v>0</v>
      </c>
      <c r="AI34" s="276"/>
      <c r="AJ34" s="288"/>
      <c r="AK34" s="277"/>
    </row>
    <row r="35" customFormat="false" ht="11.1" hidden="false" customHeight="true" outlineLevel="0" collapsed="false">
      <c r="A35" s="153" t="n">
        <f aca="false">A34+1</f>
        <v>24</v>
      </c>
      <c r="B35" s="283" t="n">
        <v>6863.43</v>
      </c>
      <c r="C35" s="146" t="n">
        <v>171116</v>
      </c>
      <c r="D35" s="152" t="n">
        <f aca="false">C35-C34</f>
        <v>-48</v>
      </c>
      <c r="E35" s="146" t="n">
        <f aca="false">C35-152000</f>
        <v>19116</v>
      </c>
      <c r="F35" s="299" t="n">
        <f aca="false">D35/$D$2</f>
        <v>-24.19964708848</v>
      </c>
      <c r="G35" s="145" t="n">
        <v>36</v>
      </c>
      <c r="H35" s="151" t="n">
        <v>0</v>
      </c>
      <c r="I35" s="145" t="n">
        <f aca="false">G35+H35</f>
        <v>36</v>
      </c>
      <c r="J35" s="149" t="n">
        <f aca="false">IF(L35&gt;0,L35,0)</f>
        <v>14.50035291152</v>
      </c>
      <c r="K35" s="145" t="n">
        <f aca="false">I35+J35</f>
        <v>50.50035291152</v>
      </c>
      <c r="L35" s="145" t="n">
        <f aca="false">F35-(I35-AA35)</f>
        <v>14.50035291152</v>
      </c>
      <c r="M35" s="280" t="n">
        <v>3.7</v>
      </c>
      <c r="N35" s="145" t="n">
        <v>0</v>
      </c>
      <c r="O35" s="145" t="n">
        <v>0</v>
      </c>
      <c r="P35" s="256" t="n">
        <v>1.38</v>
      </c>
      <c r="Q35" s="256" t="n">
        <v>2.4</v>
      </c>
      <c r="R35" s="300" t="n">
        <v>0</v>
      </c>
      <c r="S35" s="145" t="n">
        <v>54</v>
      </c>
      <c r="T35" s="145" t="n">
        <v>0</v>
      </c>
      <c r="U35" s="145" t="n">
        <f aca="false">M35-N35-O35-P35-Q35-R35+S35+T35</f>
        <v>53.92</v>
      </c>
      <c r="V35" s="146"/>
      <c r="W35" s="146"/>
      <c r="X35" s="145" t="n">
        <v>0</v>
      </c>
      <c r="Y35" s="145" t="n">
        <v>17</v>
      </c>
      <c r="Z35" s="146" t="n">
        <f aca="false">Z34-Y35</f>
        <v>1655</v>
      </c>
      <c r="AA35" s="8" t="n">
        <f aca="false">N35+O35+P35+Q35+R35+U35+X35+Y35</f>
        <v>74.7</v>
      </c>
      <c r="AB35" s="145" t="n">
        <f aca="false">IF(L35&lt;0,L35*-1,0)</f>
        <v>0</v>
      </c>
      <c r="AC35" s="145" t="n">
        <f aca="false">AA35+AB35</f>
        <v>74.7</v>
      </c>
      <c r="AD35" s="212" t="n">
        <v>0</v>
      </c>
      <c r="AE35" s="152" t="n">
        <v>42</v>
      </c>
      <c r="AF35" s="302" t="n">
        <v>12</v>
      </c>
      <c r="AG35" s="153" t="n">
        <f aca="false">AG34+(U35*1.9835)</f>
        <v>8212.9532072275</v>
      </c>
      <c r="AH35" s="153" t="n">
        <v>0</v>
      </c>
      <c r="AI35" s="276"/>
      <c r="AJ35" s="288"/>
      <c r="AK35" s="277"/>
    </row>
    <row r="36" customFormat="false" ht="11.1" hidden="false" customHeight="true" outlineLevel="0" collapsed="false">
      <c r="A36" s="153" t="n">
        <f aca="false">A35+1</f>
        <v>25</v>
      </c>
      <c r="B36" s="283" t="n">
        <v>6863.41</v>
      </c>
      <c r="C36" s="146" t="n">
        <v>171067</v>
      </c>
      <c r="D36" s="152" t="n">
        <f aca="false">C36-C35</f>
        <v>-49</v>
      </c>
      <c r="E36" s="146" t="n">
        <f aca="false">C36-152000</f>
        <v>19067</v>
      </c>
      <c r="F36" s="299" t="n">
        <f aca="false">D36/$D$2</f>
        <v>-24.7038064028233</v>
      </c>
      <c r="G36" s="145" t="n">
        <v>39</v>
      </c>
      <c r="H36" s="151" t="n">
        <v>0</v>
      </c>
      <c r="I36" s="145" t="n">
        <f aca="false">G36+H36</f>
        <v>39</v>
      </c>
      <c r="J36" s="149" t="n">
        <f aca="false">IF(L36&gt;0,L36,0)</f>
        <v>10.9961935971767</v>
      </c>
      <c r="K36" s="145" t="n">
        <f aca="false">I36+J36</f>
        <v>49.9961935971767</v>
      </c>
      <c r="L36" s="145" t="n">
        <f aca="false">F36-(I36-AA36)</f>
        <v>10.9961935971767</v>
      </c>
      <c r="M36" s="280" t="n">
        <v>3.7</v>
      </c>
      <c r="N36" s="145" t="n">
        <v>0</v>
      </c>
      <c r="O36" s="145" t="n">
        <v>0</v>
      </c>
      <c r="P36" s="256" t="n">
        <v>1.38</v>
      </c>
      <c r="Q36" s="256" t="n">
        <v>2.4</v>
      </c>
      <c r="R36" s="300" t="n">
        <v>0</v>
      </c>
      <c r="S36" s="145" t="n">
        <v>54</v>
      </c>
      <c r="T36" s="145" t="n">
        <v>0</v>
      </c>
      <c r="U36" s="145" t="n">
        <f aca="false">M36-N36-O36-P36-Q36-R36+S36+T36</f>
        <v>53.92</v>
      </c>
      <c r="V36" s="146"/>
      <c r="W36" s="146"/>
      <c r="X36" s="145" t="n">
        <v>0</v>
      </c>
      <c r="Y36" s="145" t="n">
        <v>17</v>
      </c>
      <c r="Z36" s="146" t="n">
        <f aca="false">Z35-Y36</f>
        <v>1638</v>
      </c>
      <c r="AA36" s="8" t="n">
        <f aca="false">N36+O36+P36+Q36+R36+U36+X36+Y36</f>
        <v>74.7</v>
      </c>
      <c r="AB36" s="145" t="n">
        <f aca="false">IF(L36&lt;0,L36*-1,0)</f>
        <v>0</v>
      </c>
      <c r="AC36" s="145" t="n">
        <f aca="false">AA36+AB36</f>
        <v>74.7</v>
      </c>
      <c r="AD36" s="212" t="n">
        <v>0.02</v>
      </c>
      <c r="AE36" s="152" t="n">
        <v>33</v>
      </c>
      <c r="AF36" s="302" t="n">
        <v>10</v>
      </c>
      <c r="AG36" s="153" t="n">
        <f aca="false">AG35+(U36*1.9835)</f>
        <v>8319.9035272275</v>
      </c>
      <c r="AH36" s="153" t="n">
        <v>0</v>
      </c>
      <c r="AI36" s="276"/>
      <c r="AJ36" s="288"/>
      <c r="AK36" s="277"/>
    </row>
    <row r="37" customFormat="false" ht="11.1" hidden="false" customHeight="true" outlineLevel="0" collapsed="false">
      <c r="A37" s="153" t="n">
        <f aca="false">A36+1</f>
        <v>26</v>
      </c>
      <c r="B37" s="283" t="n">
        <v>6863.37</v>
      </c>
      <c r="C37" s="146" t="n">
        <v>170971</v>
      </c>
      <c r="D37" s="152" t="n">
        <f aca="false">C37-C36</f>
        <v>-96</v>
      </c>
      <c r="E37" s="146" t="n">
        <f aca="false">C37-152000</f>
        <v>18971</v>
      </c>
      <c r="F37" s="299" t="n">
        <f aca="false">D37/$D$2</f>
        <v>-48.3992941769599</v>
      </c>
      <c r="G37" s="145" t="n">
        <v>40</v>
      </c>
      <c r="H37" s="151" t="n">
        <v>0</v>
      </c>
      <c r="I37" s="145" t="n">
        <f aca="false">G37+H37</f>
        <v>40</v>
      </c>
      <c r="J37" s="149" t="n">
        <f aca="false">IF(L37&gt;0,L37,0)</f>
        <v>0</v>
      </c>
      <c r="K37" s="145" t="n">
        <f aca="false">I37+J37</f>
        <v>40</v>
      </c>
      <c r="L37" s="145" t="n">
        <f aca="false">F37-(I37-AA37)</f>
        <v>-13.6992941769599</v>
      </c>
      <c r="M37" s="280" t="n">
        <v>3.7</v>
      </c>
      <c r="N37" s="145" t="n">
        <v>0</v>
      </c>
      <c r="O37" s="145" t="n">
        <v>0</v>
      </c>
      <c r="P37" s="256" t="n">
        <v>1.38</v>
      </c>
      <c r="Q37" s="256" t="n">
        <v>2.4</v>
      </c>
      <c r="R37" s="300" t="n">
        <v>0</v>
      </c>
      <c r="S37" s="145" t="n">
        <v>54</v>
      </c>
      <c r="T37" s="145" t="n">
        <v>0</v>
      </c>
      <c r="U37" s="145" t="n">
        <f aca="false">M37-N37-O37-P37-Q37-R37+S37+T37</f>
        <v>53.92</v>
      </c>
      <c r="V37" s="146"/>
      <c r="W37" s="146"/>
      <c r="X37" s="145" t="n">
        <v>0</v>
      </c>
      <c r="Y37" s="145" t="n">
        <v>17</v>
      </c>
      <c r="Z37" s="146" t="n">
        <f aca="false">Z36-Y37</f>
        <v>1621</v>
      </c>
      <c r="AA37" s="8" t="n">
        <f aca="false">N37+O37+P37+Q37+R37+U37+X37+Y37</f>
        <v>74.7</v>
      </c>
      <c r="AB37" s="145" t="n">
        <f aca="false">IF(L37&lt;0,L37*-1,0)</f>
        <v>13.6992941769599</v>
      </c>
      <c r="AC37" s="145" t="n">
        <f aca="false">AA37+AB37</f>
        <v>88.3992941769599</v>
      </c>
      <c r="AD37" s="212" t="n">
        <v>0</v>
      </c>
      <c r="AE37" s="152" t="n">
        <v>25</v>
      </c>
      <c r="AF37" s="282" t="n">
        <v>-3</v>
      </c>
      <c r="AG37" s="153" t="n">
        <f aca="false">AG36+(U37*1.9835)</f>
        <v>8426.8538472275</v>
      </c>
      <c r="AH37" s="153" t="n">
        <v>0</v>
      </c>
      <c r="AI37" s="276"/>
      <c r="AJ37" s="288"/>
      <c r="AK37" s="277"/>
    </row>
    <row r="38" customFormat="false" ht="11.1" hidden="false" customHeight="true" outlineLevel="0" collapsed="false">
      <c r="A38" s="153" t="n">
        <f aca="false">A37+1</f>
        <v>27</v>
      </c>
      <c r="B38" s="283" t="n">
        <v>6863.35</v>
      </c>
      <c r="C38" s="146" t="n">
        <v>170922</v>
      </c>
      <c r="D38" s="152" t="n">
        <f aca="false">C38-C37</f>
        <v>-49</v>
      </c>
      <c r="E38" s="146" t="n">
        <f aca="false">C38-152000</f>
        <v>18922</v>
      </c>
      <c r="F38" s="299" t="n">
        <f aca="false">D38/$D$2</f>
        <v>-24.7038064028233</v>
      </c>
      <c r="G38" s="145" t="n">
        <v>40</v>
      </c>
      <c r="H38" s="151" t="n">
        <v>0</v>
      </c>
      <c r="I38" s="145" t="n">
        <f aca="false">G38+H38</f>
        <v>40</v>
      </c>
      <c r="J38" s="149" t="n">
        <f aca="false">IF(L38&gt;0,L38,0)</f>
        <v>9.79619359717671</v>
      </c>
      <c r="K38" s="145" t="n">
        <f aca="false">I38+J38</f>
        <v>49.7961935971767</v>
      </c>
      <c r="L38" s="145" t="n">
        <f aca="false">F38-(I38-AA38)</f>
        <v>9.79619359717671</v>
      </c>
      <c r="M38" s="280" t="n">
        <v>3.5</v>
      </c>
      <c r="N38" s="145" t="n">
        <v>0</v>
      </c>
      <c r="O38" s="145" t="n">
        <v>0</v>
      </c>
      <c r="P38" s="256" t="n">
        <v>1.38</v>
      </c>
      <c r="Q38" s="256" t="n">
        <v>2.4</v>
      </c>
      <c r="R38" s="300" t="n">
        <v>0</v>
      </c>
      <c r="S38" s="145" t="n">
        <v>54</v>
      </c>
      <c r="T38" s="145" t="n">
        <v>0</v>
      </c>
      <c r="U38" s="145" t="n">
        <f aca="false">M38-N38-O38-P38-Q38-R38+S38+T38</f>
        <v>53.72</v>
      </c>
      <c r="V38" s="146"/>
      <c r="W38" s="146"/>
      <c r="X38" s="145" t="n">
        <v>0</v>
      </c>
      <c r="Y38" s="145" t="n">
        <v>17</v>
      </c>
      <c r="Z38" s="146" t="n">
        <f aca="false">Z37-Y38</f>
        <v>1604</v>
      </c>
      <c r="AA38" s="8" t="n">
        <f aca="false">N38+O38+P38+Q38+R38+U38+X38+Y38</f>
        <v>74.5</v>
      </c>
      <c r="AB38" s="145" t="n">
        <f aca="false">IF(L38&lt;0,L38*-1,0)</f>
        <v>0</v>
      </c>
      <c r="AC38" s="145" t="n">
        <f aca="false">AA38+AB38</f>
        <v>74.5</v>
      </c>
      <c r="AD38" s="212" t="n">
        <v>0</v>
      </c>
      <c r="AE38" s="152" t="n">
        <v>37</v>
      </c>
      <c r="AF38" s="282" t="n">
        <v>0</v>
      </c>
      <c r="AG38" s="153" t="n">
        <f aca="false">AG37+(U38*1.9835)</f>
        <v>8533.4074672275</v>
      </c>
      <c r="AH38" s="153" t="n">
        <v>0</v>
      </c>
      <c r="AI38" s="276"/>
      <c r="AJ38" s="288"/>
      <c r="AK38" s="277"/>
    </row>
    <row r="39" customFormat="false" ht="11.1" hidden="false" customHeight="true" outlineLevel="0" collapsed="false">
      <c r="A39" s="153" t="n">
        <f aca="false">A38+1</f>
        <v>28</v>
      </c>
      <c r="B39" s="283" t="n">
        <v>6863.34</v>
      </c>
      <c r="C39" s="146" t="n">
        <v>170898</v>
      </c>
      <c r="D39" s="152" t="n">
        <f aca="false">C39-C38</f>
        <v>-24</v>
      </c>
      <c r="E39" s="146" t="n">
        <f aca="false">C39-152000</f>
        <v>18898</v>
      </c>
      <c r="F39" s="299" t="n">
        <f aca="false">D39/$D$2</f>
        <v>-12.09982354424</v>
      </c>
      <c r="G39" s="145" t="n">
        <v>42</v>
      </c>
      <c r="H39" s="151" t="n">
        <v>0</v>
      </c>
      <c r="I39" s="145" t="n">
        <f aca="false">G39+H39</f>
        <v>42</v>
      </c>
      <c r="J39" s="149" t="n">
        <f aca="false">IF(L39&gt;0,L39,0)</f>
        <v>22.00017645576</v>
      </c>
      <c r="K39" s="145" t="n">
        <f aca="false">I39+J39</f>
        <v>64.00017645576</v>
      </c>
      <c r="L39" s="145" t="n">
        <f aca="false">F39-(I39-AA39)</f>
        <v>22.00017645576</v>
      </c>
      <c r="M39" s="280" t="n">
        <v>5.1</v>
      </c>
      <c r="N39" s="145" t="n">
        <v>0</v>
      </c>
      <c r="O39" s="145" t="n">
        <v>0</v>
      </c>
      <c r="P39" s="256" t="n">
        <v>2.98</v>
      </c>
      <c r="Q39" s="256" t="n">
        <v>2.4</v>
      </c>
      <c r="R39" s="300" t="n">
        <v>0</v>
      </c>
      <c r="S39" s="145" t="n">
        <v>51</v>
      </c>
      <c r="T39" s="145" t="n">
        <v>0</v>
      </c>
      <c r="U39" s="145" t="n">
        <f aca="false">M39-N39-O39-P39-Q39-R39+S39+T39</f>
        <v>50.72</v>
      </c>
      <c r="V39" s="146"/>
      <c r="W39" s="146"/>
      <c r="X39" s="145" t="n">
        <v>0</v>
      </c>
      <c r="Y39" s="145" t="n">
        <v>20</v>
      </c>
      <c r="Z39" s="146" t="n">
        <f aca="false">Z38-Y39</f>
        <v>1584</v>
      </c>
      <c r="AA39" s="8" t="n">
        <f aca="false">N39+O39+P39+Q39+R39+U39+X39+Y39</f>
        <v>76.1</v>
      </c>
      <c r="AB39" s="145" t="n">
        <f aca="false">IF(L39&lt;0,L39*-1,0)</f>
        <v>0</v>
      </c>
      <c r="AC39" s="145" t="n">
        <f aca="false">AA39+AB39</f>
        <v>76.1</v>
      </c>
      <c r="AD39" s="212" t="n">
        <v>0</v>
      </c>
      <c r="AE39" s="152" t="n">
        <v>38</v>
      </c>
      <c r="AF39" s="282" t="n">
        <v>10</v>
      </c>
      <c r="AG39" s="153" t="n">
        <f aca="false">AG38+(U39*1.9835)</f>
        <v>8634.0105872275</v>
      </c>
      <c r="AH39" s="153" t="n">
        <v>0</v>
      </c>
      <c r="AI39" s="276"/>
      <c r="AJ39" s="288"/>
      <c r="AK39" s="277"/>
    </row>
    <row r="40" customFormat="false" ht="11.1" hidden="false" customHeight="true" outlineLevel="0" collapsed="false">
      <c r="A40" s="153" t="n">
        <f aca="false">A39+1</f>
        <v>29</v>
      </c>
      <c r="B40" s="283" t="n">
        <v>6863.32</v>
      </c>
      <c r="C40" s="146" t="n">
        <v>170850</v>
      </c>
      <c r="D40" s="152" t="n">
        <f aca="false">C40-C39</f>
        <v>-48</v>
      </c>
      <c r="E40" s="146" t="n">
        <f aca="false">C40-152000</f>
        <v>18850</v>
      </c>
      <c r="F40" s="299" t="n">
        <f aca="false">D40/$D$2</f>
        <v>-24.19964708848</v>
      </c>
      <c r="G40" s="145" t="n">
        <v>43</v>
      </c>
      <c r="H40" s="151" t="n">
        <v>0</v>
      </c>
      <c r="I40" s="145" t="n">
        <f aca="false">G40+H40</f>
        <v>43</v>
      </c>
      <c r="J40" s="149" t="n">
        <f aca="false">IF(L40&gt;0,L40,0)</f>
        <v>7.10035291152004</v>
      </c>
      <c r="K40" s="145" t="n">
        <f aca="false">I40+J40</f>
        <v>50.10035291152</v>
      </c>
      <c r="L40" s="145" t="n">
        <f aca="false">F40-(I40-AA40)</f>
        <v>7.10035291152004</v>
      </c>
      <c r="M40" s="280" t="n">
        <v>4.3</v>
      </c>
      <c r="N40" s="145" t="n">
        <v>0</v>
      </c>
      <c r="O40" s="145" t="n">
        <v>0</v>
      </c>
      <c r="P40" s="256" t="n">
        <v>2.08</v>
      </c>
      <c r="Q40" s="256" t="n">
        <v>2.4</v>
      </c>
      <c r="R40" s="300" t="n">
        <v>0</v>
      </c>
      <c r="S40" s="145" t="n">
        <v>47</v>
      </c>
      <c r="T40" s="145" t="n">
        <v>0</v>
      </c>
      <c r="U40" s="145" t="n">
        <f aca="false">M40-N40-O40-P40-Q40-R40+S40+T40</f>
        <v>46.82</v>
      </c>
      <c r="V40" s="146"/>
      <c r="W40" s="146"/>
      <c r="X40" s="145" t="n">
        <v>0</v>
      </c>
      <c r="Y40" s="145" t="n">
        <v>23</v>
      </c>
      <c r="Z40" s="146" t="n">
        <f aca="false">Z39-Y40</f>
        <v>1561</v>
      </c>
      <c r="AA40" s="8" t="n">
        <f aca="false">N40+O40+P40+Q40+R40+U40+X40+Y40</f>
        <v>74.3</v>
      </c>
      <c r="AB40" s="145" t="n">
        <f aca="false">IF(L40&lt;0,L40*-1,0)</f>
        <v>0</v>
      </c>
      <c r="AC40" s="145" t="n">
        <f aca="false">AA40+AB40</f>
        <v>74.3</v>
      </c>
      <c r="AD40" s="212" t="n">
        <v>0</v>
      </c>
      <c r="AE40" s="257" t="n">
        <v>43</v>
      </c>
      <c r="AF40" s="282" t="n">
        <v>12</v>
      </c>
      <c r="AG40" s="153" t="n">
        <f aca="false">AG39+(U40*1.9835)</f>
        <v>8726.8780572275</v>
      </c>
      <c r="AH40" s="153" t="n">
        <v>0</v>
      </c>
      <c r="AI40" s="276"/>
      <c r="AJ40" s="288"/>
      <c r="AK40" s="277"/>
    </row>
    <row r="41" customFormat="false" ht="11.1" hidden="false" customHeight="true" outlineLevel="0" collapsed="false">
      <c r="A41" s="153" t="n">
        <v>30</v>
      </c>
      <c r="B41" s="283" t="n">
        <v>6863.31</v>
      </c>
      <c r="C41" s="146" t="n">
        <v>170826</v>
      </c>
      <c r="D41" s="152" t="n">
        <f aca="false">C41-C40</f>
        <v>-24</v>
      </c>
      <c r="E41" s="146" t="n">
        <f aca="false">C41-152000</f>
        <v>18826</v>
      </c>
      <c r="F41" s="299" t="n">
        <f aca="false">D41/$D$2</f>
        <v>-12.09982354424</v>
      </c>
      <c r="G41" s="145" t="n">
        <v>43</v>
      </c>
      <c r="H41" s="151" t="n">
        <v>0</v>
      </c>
      <c r="I41" s="145" t="n">
        <f aca="false">G41+H41</f>
        <v>43</v>
      </c>
      <c r="J41" s="149" t="n">
        <f aca="false">IF(L41&gt;0,L41,0)</f>
        <v>20.00017645576</v>
      </c>
      <c r="K41" s="145" t="n">
        <f aca="false">I41+J41</f>
        <v>63.00017645576</v>
      </c>
      <c r="L41" s="145" t="n">
        <f aca="false">F41-(I41-AA41)</f>
        <v>20.00017645576</v>
      </c>
      <c r="M41" s="280" t="n">
        <v>4.1</v>
      </c>
      <c r="N41" s="145" t="n">
        <v>0</v>
      </c>
      <c r="O41" s="145" t="n">
        <v>0</v>
      </c>
      <c r="P41" s="256" t="n">
        <v>1.78</v>
      </c>
      <c r="Q41" s="256" t="n">
        <v>2.4</v>
      </c>
      <c r="R41" s="300" t="n">
        <v>0</v>
      </c>
      <c r="S41" s="145" t="n">
        <v>48</v>
      </c>
      <c r="T41" s="145" t="n">
        <v>0</v>
      </c>
      <c r="U41" s="145" t="n">
        <f aca="false">M41-N41-O41-P41-Q41-R41+S41+T41</f>
        <v>47.92</v>
      </c>
      <c r="V41" s="146"/>
      <c r="W41" s="146"/>
      <c r="X41" s="145" t="n">
        <v>0</v>
      </c>
      <c r="Y41" s="145" t="n">
        <v>23</v>
      </c>
      <c r="Z41" s="146" t="n">
        <f aca="false">Z40-Y41</f>
        <v>1538</v>
      </c>
      <c r="AA41" s="8" t="n">
        <f aca="false">N41+O41+P41+Q41+R41+U41+X41+Y41</f>
        <v>75.1</v>
      </c>
      <c r="AB41" s="145" t="n">
        <f aca="false">IF(L41&lt;0,L41*-1,0)</f>
        <v>0</v>
      </c>
      <c r="AC41" s="145" t="n">
        <f aca="false">AA41+AB41</f>
        <v>75.1</v>
      </c>
      <c r="AD41" s="212" t="n">
        <v>0</v>
      </c>
      <c r="AE41" s="257" t="n">
        <v>45</v>
      </c>
      <c r="AF41" s="282" t="n">
        <v>13</v>
      </c>
      <c r="AG41" s="153" t="n">
        <f aca="false">AG40+(U41*1.9835)</f>
        <v>8821.9273772275</v>
      </c>
      <c r="AH41" s="153" t="n">
        <v>0</v>
      </c>
      <c r="AI41" s="276"/>
      <c r="AJ41" s="288"/>
      <c r="AK41" s="277"/>
    </row>
    <row r="42" customFormat="false" ht="11.1" hidden="false" customHeight="true" outlineLevel="0" collapsed="false">
      <c r="A42" s="153" t="n">
        <v>31</v>
      </c>
      <c r="B42" s="283" t="n">
        <v>6863.3</v>
      </c>
      <c r="C42" s="146" t="n">
        <v>170801</v>
      </c>
      <c r="D42" s="152" t="n">
        <f aca="false">C42-C41</f>
        <v>-25</v>
      </c>
      <c r="E42" s="146" t="n">
        <f aca="false">C42-152000</f>
        <v>18801</v>
      </c>
      <c r="F42" s="299" t="n">
        <f aca="false">D42/$D$2</f>
        <v>-12.6039828585833</v>
      </c>
      <c r="G42" s="145" t="n">
        <v>43</v>
      </c>
      <c r="H42" s="151" t="n">
        <v>0</v>
      </c>
      <c r="I42" s="145" t="n">
        <f aca="false">G42+H42</f>
        <v>43</v>
      </c>
      <c r="J42" s="149" t="n">
        <f aca="false">IF(L42&gt;0,L42,0)</f>
        <v>19.4960171414167</v>
      </c>
      <c r="K42" s="145" t="n">
        <f aca="false">I42+J42</f>
        <v>62.4960171414167</v>
      </c>
      <c r="L42" s="145" t="n">
        <f aca="false">F42-(I42-AA42)</f>
        <v>19.4960171414167</v>
      </c>
      <c r="M42" s="280" t="n">
        <v>4.1</v>
      </c>
      <c r="N42" s="145" t="n">
        <v>0</v>
      </c>
      <c r="O42" s="145" t="n">
        <v>0</v>
      </c>
      <c r="P42" s="256" t="n">
        <v>1.78</v>
      </c>
      <c r="Q42" s="256" t="n">
        <v>2.4</v>
      </c>
      <c r="R42" s="300" t="n">
        <v>0</v>
      </c>
      <c r="S42" s="145" t="n">
        <v>48</v>
      </c>
      <c r="T42" s="145" t="n">
        <v>0</v>
      </c>
      <c r="U42" s="145" t="n">
        <f aca="false">M42-N42-O42-P42-Q42-R42+S42+T42</f>
        <v>47.92</v>
      </c>
      <c r="V42" s="146"/>
      <c r="W42" s="146"/>
      <c r="X42" s="145" t="n">
        <v>0</v>
      </c>
      <c r="Y42" s="145" t="n">
        <v>23</v>
      </c>
      <c r="Z42" s="146" t="n">
        <f aca="false">Z41-Y42</f>
        <v>1515</v>
      </c>
      <c r="AA42" s="8" t="n">
        <f aca="false">N42+O42+P42+Q42+R42+U42+X42+Y42</f>
        <v>75.1</v>
      </c>
      <c r="AB42" s="145" t="n">
        <f aca="false">IF(L42&lt;0,L42*-1,0)</f>
        <v>0</v>
      </c>
      <c r="AC42" s="145" t="n">
        <f aca="false">AA42+AB42</f>
        <v>75.1</v>
      </c>
      <c r="AD42" s="212" t="n">
        <v>0.28</v>
      </c>
      <c r="AE42" s="257" t="n">
        <v>33</v>
      </c>
      <c r="AF42" s="282" t="n">
        <v>21</v>
      </c>
      <c r="AG42" s="153" t="n">
        <f aca="false">AG41+(U42*1.9835)</f>
        <v>8916.9766972275</v>
      </c>
      <c r="AH42" s="153" t="n">
        <v>0</v>
      </c>
      <c r="AI42" s="276"/>
      <c r="AJ42" s="287"/>
      <c r="AK42" s="277"/>
    </row>
    <row r="43" customFormat="false" ht="3" hidden="false" customHeight="true" outlineLevel="0" collapsed="false">
      <c r="A43" s="227"/>
      <c r="B43" s="303"/>
      <c r="C43" s="290"/>
      <c r="D43" s="227"/>
      <c r="E43" s="290"/>
      <c r="F43" s="291"/>
      <c r="G43" s="304"/>
      <c r="H43" s="292"/>
      <c r="I43" s="227"/>
      <c r="J43" s="227"/>
      <c r="K43" s="227"/>
      <c r="L43" s="227"/>
      <c r="M43" s="305"/>
      <c r="N43" s="304"/>
      <c r="O43" s="227"/>
      <c r="P43" s="227"/>
      <c r="Q43" s="227"/>
      <c r="R43" s="294"/>
      <c r="S43" s="227"/>
      <c r="T43" s="227"/>
      <c r="U43" s="227"/>
      <c r="V43" s="290"/>
      <c r="W43" s="290"/>
      <c r="X43" s="227"/>
      <c r="Y43" s="227"/>
      <c r="Z43" s="227"/>
      <c r="AA43" s="227"/>
      <c r="AB43" s="227"/>
      <c r="AC43" s="227"/>
      <c r="AD43" s="295"/>
      <c r="AE43" s="296"/>
      <c r="AF43" s="297"/>
      <c r="AG43" s="298"/>
      <c r="AH43" s="298"/>
      <c r="AI43" s="298"/>
      <c r="AJ43" s="298"/>
      <c r="AK43" s="298"/>
    </row>
    <row r="44" customFormat="false" ht="11.1" hidden="false" customHeight="true" outlineLevel="0" collapsed="false">
      <c r="A44" s="154" t="s">
        <v>69</v>
      </c>
      <c r="B44" s="278"/>
      <c r="C44" s="146"/>
      <c r="D44" s="146"/>
      <c r="E44" s="146"/>
      <c r="F44" s="279" t="n">
        <f aca="false">SUM(F12:F42)</f>
        <v>-487.522056970003</v>
      </c>
      <c r="G44" s="146" t="n">
        <f aca="false">SUM(G12:G42)</f>
        <v>1128</v>
      </c>
      <c r="H44" s="284" t="n">
        <f aca="false">SUM(H12:H42)</f>
        <v>0</v>
      </c>
      <c r="I44" s="146" t="n">
        <f aca="false">SUM(I12:I42)</f>
        <v>1128</v>
      </c>
      <c r="J44" s="146" t="n">
        <f aca="false">SUM(J12:J42)</f>
        <v>691.577237206957</v>
      </c>
      <c r="K44" s="146" t="n">
        <f aca="false">SUM(K12:K42)</f>
        <v>1819.57723720696</v>
      </c>
      <c r="L44" s="146" t="n">
        <f aca="false">SUM(L12:L42)</f>
        <v>677.877943029997</v>
      </c>
      <c r="M44" s="285" t="n">
        <f aca="false">SUM(M12:M42)</f>
        <v>118.4</v>
      </c>
      <c r="N44" s="146" t="n">
        <f aca="false">SUM(N12:N42)</f>
        <v>0</v>
      </c>
      <c r="O44" s="146" t="n">
        <f aca="false">SUM(O12:O42)</f>
        <v>0</v>
      </c>
      <c r="P44" s="146" t="n">
        <f aca="false">SUM(P12:P42)</f>
        <v>45.88</v>
      </c>
      <c r="Q44" s="146" t="n">
        <f aca="false">SUM(Q12:Q42)</f>
        <v>74.4</v>
      </c>
      <c r="R44" s="281" t="n">
        <f aca="false">SUM(R12:R42)</f>
        <v>0</v>
      </c>
      <c r="S44" s="146" t="n">
        <f aca="false">SUM(S12:S42)</f>
        <v>1620</v>
      </c>
      <c r="T44" s="146" t="n">
        <f aca="false">SUM(T12:T42)</f>
        <v>0</v>
      </c>
      <c r="U44" s="146" t="n">
        <f aca="false">SUM(U12:U42)</f>
        <v>1618.12</v>
      </c>
      <c r="V44" s="146"/>
      <c r="W44" s="146"/>
      <c r="X44" s="146"/>
      <c r="Y44" s="146" t="n">
        <f aca="false">SUM(Y12:Y42)</f>
        <v>555</v>
      </c>
      <c r="Z44" s="146"/>
      <c r="AA44" s="146" t="n">
        <f aca="false">SUM(AA12:AA42)</f>
        <v>2293.4</v>
      </c>
      <c r="AB44" s="146" t="n">
        <f aca="false">SUM(AB12:AB42)</f>
        <v>13.6992941769599</v>
      </c>
      <c r="AC44" s="146" t="n">
        <f aca="false">SUM(AC12:AC42)</f>
        <v>2307.09929417696</v>
      </c>
      <c r="AD44" s="212" t="n">
        <f aca="false">SUM(AD12:AD42)</f>
        <v>2.67</v>
      </c>
      <c r="AE44" s="152" t="n">
        <f aca="false">AVERAGE(AE12:AE42)</f>
        <v>40.0967741935484</v>
      </c>
      <c r="AF44" s="282" t="n">
        <f aca="false">AVERAGE(AF12:AF42)</f>
        <v>13.4193548387097</v>
      </c>
      <c r="AG44" s="153" t="s">
        <v>88</v>
      </c>
      <c r="AH44" s="204" t="n">
        <f aca="false">SUM(AH12:AH42)</f>
        <v>0</v>
      </c>
      <c r="AI44" s="276"/>
      <c r="AJ44" s="287"/>
      <c r="AK44" s="277"/>
    </row>
    <row r="45" customFormat="false" ht="11.1" hidden="false" customHeight="true" outlineLevel="0" collapsed="false">
      <c r="A45" s="154" t="s">
        <v>71</v>
      </c>
      <c r="B45" s="278"/>
      <c r="C45" s="146"/>
      <c r="D45" s="146" t="n">
        <f aca="false">SUM(D12:D42)</f>
        <v>-967</v>
      </c>
      <c r="E45" s="146"/>
      <c r="F45" s="279" t="n">
        <f aca="false">F44*$D$2</f>
        <v>-967</v>
      </c>
      <c r="G45" s="146" t="n">
        <f aca="false">G44*$D$2</f>
        <v>2237.388</v>
      </c>
      <c r="H45" s="284" t="n">
        <f aca="false">H44*$D$2</f>
        <v>0</v>
      </c>
      <c r="I45" s="146" t="n">
        <f aca="false">I44*$D$2</f>
        <v>2237.388</v>
      </c>
      <c r="J45" s="146" t="n">
        <f aca="false">J44*$D$2</f>
        <v>1371.74345</v>
      </c>
      <c r="K45" s="146" t="n">
        <f aca="false">K44*$D$2</f>
        <v>3609.13145</v>
      </c>
      <c r="L45" s="146" t="n">
        <f aca="false">L44*$D$2</f>
        <v>1344.5709</v>
      </c>
      <c r="M45" s="285" t="n">
        <f aca="false">M44*$D$2</f>
        <v>234.8464</v>
      </c>
      <c r="N45" s="146" t="n">
        <f aca="false">N44*$D$2</f>
        <v>0</v>
      </c>
      <c r="O45" s="146" t="n">
        <f aca="false">O44*$D$2</f>
        <v>0</v>
      </c>
      <c r="P45" s="146" t="n">
        <f aca="false">P44*$D$2</f>
        <v>91.00298</v>
      </c>
      <c r="Q45" s="146" t="n">
        <f aca="false">Q44*$D$2</f>
        <v>147.5724</v>
      </c>
      <c r="R45" s="281" t="n">
        <f aca="false">R44*$D$2</f>
        <v>0</v>
      </c>
      <c r="S45" s="146" t="n">
        <f aca="false">S44*$D$2</f>
        <v>3213.27</v>
      </c>
      <c r="T45" s="146" t="n">
        <f aca="false">T44*$D$2</f>
        <v>0</v>
      </c>
      <c r="U45" s="146" t="n">
        <f aca="false">U44*$D$2</f>
        <v>3209.54102</v>
      </c>
      <c r="V45" s="146"/>
      <c r="W45" s="146"/>
      <c r="X45" s="146"/>
      <c r="Y45" s="146" t="n">
        <f aca="false">Y44*$D$2</f>
        <v>1100.8425</v>
      </c>
      <c r="Z45" s="146"/>
      <c r="AA45" s="146" t="n">
        <f aca="false">AA44*$D$2</f>
        <v>4548.9589</v>
      </c>
      <c r="AB45" s="146" t="n">
        <f aca="false">AB44*$D$2</f>
        <v>27.17255</v>
      </c>
      <c r="AC45" s="146" t="n">
        <f aca="false">AC44*$D$2</f>
        <v>4576.13145</v>
      </c>
      <c r="AD45" s="212"/>
      <c r="AE45" s="152" t="n">
        <f aca="false">MAX(AE12:AE42)</f>
        <v>54</v>
      </c>
      <c r="AF45" s="282" t="n">
        <f aca="false">MAX(AF12:AF42)</f>
        <v>30</v>
      </c>
      <c r="AG45" s="153" t="s">
        <v>72</v>
      </c>
      <c r="AH45" s="204" t="n">
        <f aca="false">AH44*$D$2</f>
        <v>0</v>
      </c>
      <c r="AI45" s="276"/>
      <c r="AJ45" s="287"/>
      <c r="AK45" s="277"/>
    </row>
    <row r="46" customFormat="false" ht="3" hidden="false" customHeight="true" outlineLevel="0" collapsed="false">
      <c r="A46" s="247"/>
      <c r="B46" s="306"/>
      <c r="C46" s="290"/>
      <c r="D46" s="290"/>
      <c r="E46" s="290"/>
      <c r="F46" s="307"/>
      <c r="G46" s="290"/>
      <c r="H46" s="308"/>
      <c r="I46" s="290"/>
      <c r="J46" s="290"/>
      <c r="K46" s="290"/>
      <c r="L46" s="290"/>
      <c r="M46" s="309"/>
      <c r="N46" s="290"/>
      <c r="O46" s="290"/>
      <c r="P46" s="290"/>
      <c r="Q46" s="290"/>
      <c r="R46" s="310"/>
      <c r="S46" s="290"/>
      <c r="T46" s="290"/>
      <c r="U46" s="290"/>
      <c r="V46" s="290"/>
      <c r="W46" s="290"/>
      <c r="X46" s="290"/>
      <c r="Y46" s="290"/>
      <c r="Z46" s="227"/>
      <c r="AA46" s="290"/>
      <c r="AB46" s="290"/>
      <c r="AC46" s="290"/>
      <c r="AD46" s="311"/>
      <c r="AE46" s="290"/>
      <c r="AF46" s="307"/>
      <c r="AG46" s="290"/>
      <c r="AH46" s="312"/>
      <c r="AI46" s="290"/>
      <c r="AJ46" s="312"/>
      <c r="AK46" s="298"/>
    </row>
    <row r="47" customFormat="false" ht="11.1" hidden="false" customHeight="true" outlineLevel="0" collapsed="false">
      <c r="A47" s="154" t="s">
        <v>73</v>
      </c>
      <c r="B47" s="278"/>
      <c r="C47" s="146"/>
      <c r="D47" s="146"/>
      <c r="E47" s="146"/>
      <c r="F47" s="279"/>
      <c r="G47" s="146"/>
      <c r="H47" s="284"/>
      <c r="I47" s="146"/>
      <c r="J47" s="146"/>
      <c r="K47" s="146"/>
      <c r="L47" s="146"/>
      <c r="M47" s="285"/>
      <c r="N47" s="146"/>
      <c r="O47" s="146"/>
      <c r="P47" s="146"/>
      <c r="Q47" s="146"/>
      <c r="R47" s="281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212"/>
      <c r="AE47" s="152" t="n">
        <f aca="false">MIN(AE12:AE42)</f>
        <v>25</v>
      </c>
      <c r="AF47" s="282" t="n">
        <f aca="false">MIN(AF12:AF42)</f>
        <v>-5</v>
      </c>
      <c r="AG47" s="153" t="s">
        <v>74</v>
      </c>
      <c r="AH47" s="153"/>
      <c r="AI47" s="276"/>
      <c r="AJ47" s="287"/>
      <c r="AK47" s="277"/>
    </row>
    <row r="48" customFormat="false" ht="11.1" hidden="false" customHeight="true" outlineLevel="0" collapsed="false">
      <c r="A48" s="154" t="s">
        <v>75</v>
      </c>
      <c r="B48" s="278"/>
      <c r="C48" s="146"/>
      <c r="D48" s="146"/>
      <c r="E48" s="146"/>
      <c r="F48" s="279"/>
      <c r="G48" s="146"/>
      <c r="H48" s="284"/>
      <c r="I48" s="146"/>
      <c r="J48" s="146"/>
      <c r="K48" s="146"/>
      <c r="L48" s="146"/>
      <c r="M48" s="285"/>
      <c r="N48" s="146"/>
      <c r="O48" s="146"/>
      <c r="P48" s="146"/>
      <c r="Q48" s="146"/>
      <c r="R48" s="281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212"/>
      <c r="AE48" s="152"/>
      <c r="AF48" s="282"/>
      <c r="AG48" s="153"/>
      <c r="AH48" s="153"/>
      <c r="AI48" s="276"/>
      <c r="AJ48" s="287"/>
      <c r="AK48" s="277"/>
    </row>
    <row r="49" customFormat="false" ht="3" hidden="false" customHeight="true" outlineLevel="0" collapsed="false">
      <c r="A49" s="247"/>
      <c r="B49" s="306"/>
      <c r="C49" s="290"/>
      <c r="D49" s="290"/>
      <c r="E49" s="290"/>
      <c r="F49" s="307"/>
      <c r="G49" s="290"/>
      <c r="H49" s="308"/>
      <c r="I49" s="290"/>
      <c r="J49" s="290"/>
      <c r="K49" s="290"/>
      <c r="L49" s="290"/>
      <c r="M49" s="309"/>
      <c r="N49" s="290"/>
      <c r="O49" s="290"/>
      <c r="P49" s="290"/>
      <c r="Q49" s="290"/>
      <c r="R49" s="310"/>
      <c r="S49" s="290"/>
      <c r="T49" s="290"/>
      <c r="U49" s="290"/>
      <c r="V49" s="290"/>
      <c r="W49" s="290"/>
      <c r="X49" s="290"/>
      <c r="Y49" s="290"/>
      <c r="Z49" s="290"/>
      <c r="AA49" s="290"/>
      <c r="AB49" s="290"/>
      <c r="AC49" s="290"/>
      <c r="AD49" s="295"/>
      <c r="AE49" s="292"/>
      <c r="AF49" s="313"/>
      <c r="AG49" s="292"/>
      <c r="AH49" s="314"/>
      <c r="AI49" s="292"/>
      <c r="AJ49" s="314"/>
      <c r="AK49" s="298"/>
    </row>
    <row r="50" customFormat="false" ht="11.1" hidden="false" customHeight="true" outlineLevel="0" collapsed="false">
      <c r="A50" s="154" t="s">
        <v>76</v>
      </c>
      <c r="B50" s="278"/>
      <c r="C50" s="146"/>
      <c r="D50" s="146"/>
      <c r="E50" s="146"/>
      <c r="F50" s="279" t="n">
        <f aca="false">F10+F44</f>
        <v>-1584.06856566675</v>
      </c>
      <c r="G50" s="146" t="n">
        <f aca="false">G10+G44</f>
        <v>4179</v>
      </c>
      <c r="H50" s="284" t="n">
        <f aca="false">H10+H44</f>
        <v>0</v>
      </c>
      <c r="I50" s="146" t="n">
        <f aca="false">I10+I44</f>
        <v>4179</v>
      </c>
      <c r="J50" s="146" t="n">
        <f aca="false">J10+J44</f>
        <v>1376.65910889841</v>
      </c>
      <c r="K50" s="146" t="n">
        <f aca="false">K10+K44</f>
        <v>5555.65910889841</v>
      </c>
      <c r="L50" s="146" t="n">
        <f aca="false">L10+L44</f>
        <v>1180.98643433325</v>
      </c>
      <c r="M50" s="285" t="n">
        <f aca="false">M10+M44</f>
        <v>483.2</v>
      </c>
      <c r="N50" s="146" t="n">
        <f aca="false">N10+N44</f>
        <v>0</v>
      </c>
      <c r="O50" s="146" t="n">
        <f aca="false">O10+O44</f>
        <v>0</v>
      </c>
      <c r="P50" s="146" t="n">
        <f aca="false">P10+P44</f>
        <v>130.68</v>
      </c>
      <c r="Q50" s="146" t="n">
        <f aca="false">Q10+Q44</f>
        <v>220.8</v>
      </c>
      <c r="R50" s="281" t="n">
        <f aca="false">R10+R44</f>
        <v>0</v>
      </c>
      <c r="S50" s="146" t="n">
        <f aca="false">S10+S44</f>
        <v>4630</v>
      </c>
      <c r="T50" s="146" t="n">
        <f aca="false">T10+T44</f>
        <v>95</v>
      </c>
      <c r="U50" s="146" t="n">
        <f aca="false">U10+U44</f>
        <v>4850.65049</v>
      </c>
      <c r="V50" s="146"/>
      <c r="W50" s="146"/>
      <c r="X50" s="146"/>
      <c r="Y50" s="146" t="n">
        <f aca="false">Y10+Y44</f>
        <v>1704</v>
      </c>
      <c r="Z50" s="146" t="n">
        <f aca="false">Z42</f>
        <v>1515</v>
      </c>
      <c r="AA50" s="146" t="n">
        <f aca="false">AA10+AA44</f>
        <v>6944.055</v>
      </c>
      <c r="AB50" s="146" t="n">
        <f aca="false">AB10+AB44</f>
        <v>195.672674565163</v>
      </c>
      <c r="AC50" s="146" t="n">
        <f aca="false">AC10+AC44</f>
        <v>7139.72767456516</v>
      </c>
      <c r="AD50" s="212" t="n">
        <f aca="false">AD10+AD44</f>
        <v>4.3</v>
      </c>
      <c r="AE50" s="152"/>
      <c r="AF50" s="282"/>
      <c r="AG50" s="153"/>
      <c r="AH50" s="204" t="n">
        <f aca="false">AH10+AH44</f>
        <v>0</v>
      </c>
      <c r="AI50" s="276"/>
      <c r="AJ50" s="287"/>
      <c r="AK50" s="277"/>
    </row>
    <row r="51" customFormat="false" ht="11.1" hidden="false" customHeight="true" outlineLevel="0" collapsed="false">
      <c r="A51" s="154" t="s">
        <v>77</v>
      </c>
      <c r="B51" s="278"/>
      <c r="C51" s="146"/>
      <c r="D51" s="146" t="n">
        <f aca="false">D10+D45</f>
        <v>-3142</v>
      </c>
      <c r="E51" s="146" t="n">
        <f aca="false">E42</f>
        <v>18801</v>
      </c>
      <c r="F51" s="279" t="n">
        <f aca="false">F50*$D$2</f>
        <v>-3142</v>
      </c>
      <c r="G51" s="146" t="n">
        <f aca="false">G50*$D$2</f>
        <v>8289.0465</v>
      </c>
      <c r="H51" s="284" t="n">
        <f aca="false">H50*$D$2</f>
        <v>0</v>
      </c>
      <c r="I51" s="146" t="n">
        <f aca="false">I50*$D$2</f>
        <v>8289.0465</v>
      </c>
      <c r="J51" s="146" t="n">
        <f aca="false">J50*$D$2</f>
        <v>2730.6033425</v>
      </c>
      <c r="K51" s="146" t="n">
        <f aca="false">K50*$D$2</f>
        <v>11019.6498425</v>
      </c>
      <c r="L51" s="146" t="n">
        <f aca="false">L50*$D$2</f>
        <v>2342.4865925</v>
      </c>
      <c r="M51" s="285" t="n">
        <f aca="false">M50*$D$2</f>
        <v>958.4272</v>
      </c>
      <c r="N51" s="146" t="n">
        <f aca="false">N50*$D$2</f>
        <v>0</v>
      </c>
      <c r="O51" s="146" t="n">
        <f aca="false">O50*$D$2</f>
        <v>0</v>
      </c>
      <c r="P51" s="146" t="n">
        <f aca="false">P50*$D$2</f>
        <v>259.20378</v>
      </c>
      <c r="Q51" s="146" t="n">
        <f aca="false">Q50*$D$2</f>
        <v>437.9568</v>
      </c>
      <c r="R51" s="281" t="n">
        <f aca="false">R50*$D$2</f>
        <v>0</v>
      </c>
      <c r="S51" s="146" t="n">
        <f aca="false">S50*$D$2</f>
        <v>9183.605</v>
      </c>
      <c r="T51" s="146" t="n">
        <f aca="false">T50*$D$2</f>
        <v>188.4325</v>
      </c>
      <c r="U51" s="146" t="n">
        <f aca="false">U50*$D$2</f>
        <v>9621.265246915</v>
      </c>
      <c r="V51" s="146"/>
      <c r="W51" s="146"/>
      <c r="X51" s="146"/>
      <c r="Y51" s="146" t="n">
        <f aca="false">Y50*$D$2</f>
        <v>3379.884</v>
      </c>
      <c r="Z51" s="146" t="n">
        <f aca="false">Z50*$D$2</f>
        <v>3005.0025</v>
      </c>
      <c r="AA51" s="146" t="n">
        <f aca="false">AA50*$D$2</f>
        <v>13773.5330925</v>
      </c>
      <c r="AB51" s="146" t="n">
        <f aca="false">AB50*$D$2</f>
        <v>388.11675</v>
      </c>
      <c r="AC51" s="146" t="n">
        <f aca="false">AC50*$D$2</f>
        <v>14161.6498425</v>
      </c>
      <c r="AD51" s="212"/>
      <c r="AE51" s="152"/>
      <c r="AF51" s="282"/>
      <c r="AG51" s="153" t="n">
        <f aca="false">AG42</f>
        <v>8916.9766972275</v>
      </c>
      <c r="AH51" s="204" t="n">
        <f aca="false">AH50*$D$2</f>
        <v>0</v>
      </c>
      <c r="AI51" s="276"/>
      <c r="AJ51" s="287"/>
      <c r="AK51" s="277"/>
    </row>
    <row r="52" customFormat="false" ht="3" hidden="false" customHeight="true" outlineLevel="0" collapsed="false">
      <c r="A52" s="227"/>
      <c r="B52" s="306"/>
      <c r="C52" s="290"/>
      <c r="D52" s="227"/>
      <c r="E52" s="290"/>
      <c r="F52" s="291"/>
      <c r="G52" s="227"/>
      <c r="H52" s="292"/>
      <c r="I52" s="227"/>
      <c r="J52" s="227"/>
      <c r="K52" s="227"/>
      <c r="L52" s="227"/>
      <c r="M52" s="293"/>
      <c r="N52" s="227"/>
      <c r="O52" s="227"/>
      <c r="P52" s="227"/>
      <c r="Q52" s="227"/>
      <c r="R52" s="294"/>
      <c r="S52" s="227"/>
      <c r="T52" s="227"/>
      <c r="U52" s="227"/>
      <c r="V52" s="290"/>
      <c r="W52" s="290"/>
      <c r="X52" s="227"/>
      <c r="Y52" s="227"/>
      <c r="Z52" s="290"/>
      <c r="AA52" s="227"/>
      <c r="AB52" s="227"/>
      <c r="AC52" s="227"/>
      <c r="AD52" s="306"/>
      <c r="AE52" s="227"/>
      <c r="AF52" s="291"/>
      <c r="AG52" s="227"/>
      <c r="AH52" s="315"/>
      <c r="AI52" s="227"/>
      <c r="AJ52" s="315"/>
      <c r="AK52" s="298"/>
    </row>
    <row r="53" customFormat="false" ht="11.1" hidden="false" customHeight="true" outlineLevel="0" collapsed="false">
      <c r="A53" s="145"/>
      <c r="B53" s="255"/>
      <c r="C53" s="146"/>
      <c r="D53" s="145"/>
      <c r="E53" s="146"/>
      <c r="F53" s="145"/>
      <c r="G53" s="145"/>
      <c r="H53" s="151"/>
      <c r="I53" s="145"/>
      <c r="J53" s="145"/>
      <c r="K53" s="145"/>
      <c r="L53" s="145"/>
      <c r="M53" s="260"/>
      <c r="N53" s="145"/>
      <c r="O53" s="145"/>
      <c r="P53" s="145"/>
      <c r="Q53" s="145"/>
      <c r="R53" s="145"/>
      <c r="S53" s="145"/>
      <c r="T53" s="145"/>
      <c r="U53" s="145"/>
      <c r="V53" s="146"/>
      <c r="W53" s="146"/>
      <c r="X53" s="145"/>
      <c r="Y53" s="145"/>
      <c r="Z53" s="146"/>
      <c r="AA53" s="145"/>
      <c r="AB53" s="145"/>
      <c r="AC53" s="145"/>
      <c r="AD53" s="151"/>
      <c r="AE53" s="152"/>
      <c r="AF53" s="152"/>
      <c r="AG53" s="153"/>
      <c r="AH53" s="153"/>
      <c r="AI53" s="261"/>
      <c r="AJ53" s="262"/>
    </row>
    <row r="54" customFormat="false" ht="11.1" hidden="false" customHeight="true" outlineLevel="0" collapsed="false">
      <c r="A54" s="145"/>
      <c r="B54" s="256"/>
      <c r="C54" s="146"/>
      <c r="D54" s="257"/>
      <c r="E54" s="146"/>
      <c r="F54" s="145"/>
      <c r="G54" s="145"/>
      <c r="H54" s="151"/>
      <c r="I54" s="147"/>
      <c r="J54" s="145"/>
      <c r="K54" s="135"/>
      <c r="L54" s="145"/>
      <c r="M54" s="260"/>
      <c r="N54" s="145"/>
      <c r="O54" s="145"/>
      <c r="P54" s="145"/>
      <c r="Q54" s="145"/>
      <c r="R54" s="145"/>
      <c r="S54" s="145"/>
      <c r="T54" s="145"/>
      <c r="U54" s="145"/>
      <c r="V54" s="146"/>
      <c r="W54" s="146"/>
      <c r="X54" s="145"/>
      <c r="Y54" s="145"/>
      <c r="Z54" s="146"/>
      <c r="AA54" s="145"/>
      <c r="AB54" s="145"/>
      <c r="AC54" s="145"/>
      <c r="AD54" s="151"/>
      <c r="AE54" s="152"/>
      <c r="AF54" s="152"/>
      <c r="AG54" s="153"/>
      <c r="AH54" s="153"/>
      <c r="AI54" s="261"/>
      <c r="AJ54" s="262"/>
    </row>
    <row r="55" customFormat="false" ht="11.1" hidden="false" customHeight="true" outlineLevel="0" collapsed="false">
      <c r="A55" s="257"/>
      <c r="B55" s="257"/>
      <c r="C55" s="146"/>
      <c r="D55" s="146"/>
      <c r="E55" s="146"/>
      <c r="F55" s="257"/>
      <c r="G55" s="257"/>
      <c r="H55" s="151"/>
      <c r="I55" s="257"/>
      <c r="J55" s="257"/>
      <c r="K55" s="257"/>
      <c r="L55" s="257"/>
      <c r="M55" s="260"/>
      <c r="N55" s="149"/>
      <c r="O55" s="149"/>
      <c r="P55" s="149"/>
      <c r="Q55" s="149"/>
      <c r="R55" s="149"/>
      <c r="S55" s="257"/>
      <c r="T55" s="257"/>
      <c r="U55" s="257"/>
      <c r="V55" s="146"/>
      <c r="W55" s="146"/>
      <c r="X55" s="257"/>
      <c r="Y55" s="257"/>
      <c r="Z55" s="146"/>
      <c r="AA55" s="257"/>
      <c r="AB55" s="257"/>
      <c r="AC55" s="257"/>
      <c r="AD55" s="151"/>
      <c r="AE55" s="152"/>
      <c r="AF55" s="152"/>
      <c r="AG55" s="153"/>
      <c r="AH55" s="153"/>
      <c r="AI55" s="316"/>
      <c r="AJ55" s="317"/>
    </row>
    <row r="56" customFormat="false" ht="11.1" hidden="false" customHeight="true" outlineLevel="0" collapsed="false">
      <c r="A56" s="257"/>
      <c r="B56" s="150"/>
      <c r="C56" s="146"/>
      <c r="D56" s="146"/>
      <c r="E56" s="146"/>
      <c r="F56" s="257"/>
      <c r="G56" s="257"/>
      <c r="H56" s="151"/>
      <c r="I56" s="257"/>
      <c r="J56" s="257"/>
      <c r="K56" s="257"/>
      <c r="L56" s="257"/>
      <c r="M56" s="260"/>
      <c r="N56" s="149"/>
      <c r="O56" s="149"/>
      <c r="P56" s="149"/>
      <c r="Q56" s="149"/>
      <c r="R56" s="257"/>
      <c r="S56" s="257"/>
      <c r="T56" s="257"/>
      <c r="U56" s="146"/>
      <c r="V56" s="257"/>
      <c r="W56" s="257"/>
      <c r="X56" s="257"/>
      <c r="Y56" s="146"/>
      <c r="Z56" s="257"/>
      <c r="AA56" s="257"/>
      <c r="AB56" s="257"/>
      <c r="AC56" s="150"/>
      <c r="AD56" s="151"/>
      <c r="AE56" s="152"/>
      <c r="AF56" s="153"/>
      <c r="AG56" s="316"/>
      <c r="AH56" s="317"/>
      <c r="AI56" s="316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151"/>
      <c r="I57" s="257"/>
      <c r="J57" s="257"/>
      <c r="K57" s="257"/>
      <c r="L57" s="257"/>
      <c r="M57" s="260"/>
      <c r="N57" s="149"/>
      <c r="O57" s="149"/>
      <c r="P57" s="149"/>
      <c r="Q57" s="149"/>
      <c r="R57" s="257"/>
      <c r="S57" s="257"/>
      <c r="T57" s="257"/>
      <c r="U57" s="146"/>
      <c r="V57" s="257"/>
      <c r="W57" s="257"/>
      <c r="X57" s="257"/>
      <c r="Y57" s="146"/>
      <c r="Z57" s="257"/>
      <c r="AA57" s="257"/>
      <c r="AB57" s="257"/>
      <c r="AC57" s="150"/>
      <c r="AD57" s="151"/>
      <c r="AE57" s="152"/>
      <c r="AF57" s="153"/>
      <c r="AG57" s="316"/>
      <c r="AH57" s="317"/>
      <c r="AI57" s="316"/>
    </row>
    <row r="58" customFormat="false" ht="11.1" hidden="false" customHeight="true" outlineLevel="0" collapsed="false">
      <c r="A58" s="0"/>
      <c r="B58" s="0"/>
      <c r="C58" s="1"/>
      <c r="D58" s="0"/>
      <c r="E58" s="1"/>
      <c r="F58" s="0"/>
      <c r="G58" s="0"/>
      <c r="H58" s="2"/>
      <c r="I58" s="0"/>
      <c r="J58" s="0"/>
      <c r="K58" s="0"/>
      <c r="L58" s="0"/>
      <c r="M58" s="3"/>
      <c r="N58" s="3"/>
      <c r="O58" s="3"/>
      <c r="P58" s="3"/>
      <c r="Q58" s="3"/>
      <c r="R58" s="0"/>
      <c r="S58" s="0"/>
      <c r="T58" s="0"/>
      <c r="U58" s="1"/>
      <c r="V58" s="0"/>
      <c r="W58" s="0"/>
      <c r="X58" s="0"/>
      <c r="Y58" s="1"/>
      <c r="Z58" s="0"/>
      <c r="AA58" s="0"/>
      <c r="AB58" s="0"/>
      <c r="AC58" s="2"/>
      <c r="AD58" s="2"/>
      <c r="AE58" s="4"/>
      <c r="AF58" s="5"/>
      <c r="AG58" s="0"/>
      <c r="AH58" s="318"/>
      <c r="AI58" s="0"/>
      <c r="AJ58" s="7"/>
      <c r="AK58" s="0"/>
    </row>
    <row r="59" customFormat="false" ht="11.1" hidden="false" customHeight="true" outlineLevel="0" collapsed="false">
      <c r="A59" s="0"/>
      <c r="B59" s="0"/>
      <c r="C59" s="1"/>
      <c r="D59" s="0"/>
      <c r="E59" s="1"/>
      <c r="F59" s="0"/>
      <c r="G59" s="0"/>
      <c r="H59" s="2"/>
      <c r="I59" s="0"/>
      <c r="J59" s="0"/>
      <c r="K59" s="0"/>
      <c r="L59" s="0"/>
      <c r="M59" s="3"/>
      <c r="N59" s="3"/>
      <c r="O59" s="3"/>
      <c r="P59" s="3"/>
      <c r="Q59" s="3"/>
      <c r="R59" s="0"/>
      <c r="S59" s="0"/>
      <c r="T59" s="0"/>
      <c r="U59" s="1"/>
      <c r="V59" s="0"/>
      <c r="W59" s="0"/>
      <c r="X59" s="0"/>
      <c r="Y59" s="1"/>
      <c r="Z59" s="0"/>
      <c r="AA59" s="0"/>
      <c r="AB59" s="0"/>
      <c r="AC59" s="2"/>
      <c r="AD59" s="2"/>
      <c r="AE59" s="4"/>
      <c r="AF59" s="5"/>
      <c r="AG59" s="0"/>
      <c r="AH59" s="318"/>
      <c r="AI59" s="0"/>
      <c r="AJ59" s="7"/>
      <c r="AK59" s="0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24" activePane="bottomRight" state="frozen"/>
      <selection pane="topLeft" activeCell="A1" activeCellId="0" sqref="A1"/>
      <selection pane="topRight" activeCell="K1" activeCellId="0" sqref="K1"/>
      <selection pane="bottomLeft" activeCell="A24" activeCellId="0" sqref="A24"/>
      <selection pane="bottomRight" activeCell="M31" activeCellId="0" sqref="M31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259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7" min="16" style="140" width="4.32"/>
    <col collapsed="false" customWidth="true" hidden="false" outlineLevel="0" max="18" min="18" style="141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4" min="22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39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4" min="33" style="142" width="5.49"/>
    <col collapsed="false" customWidth="true" hidden="false" outlineLevel="0" max="35" min="35" style="137" width="6.32"/>
    <col collapsed="false" customWidth="true" hidden="false" outlineLevel="0" max="36" min="36" style="144" width="6.32"/>
    <col collapsed="false" customWidth="true" hidden="false" outlineLevel="0" max="37" min="37" style="319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 t="s">
        <v>85</v>
      </c>
      <c r="B1" s="145"/>
      <c r="C1" s="146"/>
      <c r="D1" s="145"/>
      <c r="E1" s="146"/>
      <c r="F1" s="145"/>
      <c r="G1" s="145"/>
      <c r="H1" s="260"/>
      <c r="I1" s="145"/>
      <c r="J1" s="145"/>
      <c r="K1" s="148" t="s">
        <v>0</v>
      </c>
      <c r="L1" s="145"/>
      <c r="M1" s="145"/>
      <c r="N1" s="145"/>
      <c r="O1" s="145"/>
      <c r="P1" s="145"/>
      <c r="Q1" s="145"/>
      <c r="R1" s="150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320"/>
      <c r="AH1" s="320"/>
      <c r="AI1" s="261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260"/>
      <c r="I2" s="145"/>
      <c r="J2" s="145"/>
      <c r="K2" s="156" t="s">
        <v>89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  <c r="AG2" s="320"/>
      <c r="AH2" s="320"/>
      <c r="AI2" s="261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263"/>
      <c r="I3" s="157"/>
      <c r="J3" s="157"/>
      <c r="K3" s="157"/>
      <c r="L3" s="157"/>
      <c r="M3" s="157"/>
      <c r="N3" s="157"/>
      <c r="O3" s="157"/>
      <c r="P3" s="157"/>
      <c r="Q3" s="157"/>
      <c r="R3" s="162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321"/>
      <c r="AH3" s="321"/>
      <c r="AI3" s="264"/>
      <c r="AJ3" s="167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268"/>
      <c r="I4" s="168"/>
      <c r="J4" s="168"/>
      <c r="K4" s="168"/>
      <c r="L4" s="168"/>
      <c r="M4" s="168"/>
      <c r="N4" s="168"/>
      <c r="O4" s="168"/>
      <c r="P4" s="168"/>
      <c r="Q4" s="168"/>
      <c r="R4" s="177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322"/>
      <c r="AH4" s="322"/>
      <c r="AI4" s="174" t="s">
        <v>6</v>
      </c>
      <c r="AJ4" s="183"/>
      <c r="AK4" s="184"/>
    </row>
    <row r="5" customFormat="false" ht="11.1" hidden="false" customHeight="true" outlineLevel="0" collapsed="false">
      <c r="A5" s="185" t="s">
        <v>7</v>
      </c>
      <c r="B5" s="186" t="s">
        <v>8</v>
      </c>
      <c r="C5" s="187" t="s">
        <v>8</v>
      </c>
      <c r="D5" s="185" t="s">
        <v>9</v>
      </c>
      <c r="E5" s="187" t="s">
        <v>10</v>
      </c>
      <c r="F5" s="188" t="s">
        <v>11</v>
      </c>
      <c r="G5" s="185" t="s">
        <v>12</v>
      </c>
      <c r="H5" s="323" t="s">
        <v>13</v>
      </c>
      <c r="I5" s="185" t="s">
        <v>14</v>
      </c>
      <c r="J5" s="185" t="s">
        <v>15</v>
      </c>
      <c r="K5" s="185" t="s">
        <v>16</v>
      </c>
      <c r="L5" s="185" t="s">
        <v>15</v>
      </c>
      <c r="M5" s="190" t="s">
        <v>17</v>
      </c>
      <c r="N5" s="190"/>
      <c r="O5" s="190"/>
      <c r="P5" s="190"/>
      <c r="Q5" s="190"/>
      <c r="R5" s="190"/>
      <c r="S5" s="209" t="s">
        <v>18</v>
      </c>
      <c r="T5" s="209" t="s">
        <v>19</v>
      </c>
      <c r="U5" s="209" t="s">
        <v>16</v>
      </c>
      <c r="V5" s="205" t="s">
        <v>20</v>
      </c>
      <c r="W5" s="205" t="s">
        <v>20</v>
      </c>
      <c r="X5" s="209" t="s">
        <v>21</v>
      </c>
      <c r="Y5" s="209" t="s">
        <v>22</v>
      </c>
      <c r="Z5" s="205" t="s">
        <v>23</v>
      </c>
      <c r="AA5" s="209" t="s">
        <v>14</v>
      </c>
      <c r="AB5" s="209" t="s">
        <v>15</v>
      </c>
      <c r="AC5" s="209" t="s">
        <v>16</v>
      </c>
      <c r="AD5" s="324" t="s">
        <v>24</v>
      </c>
      <c r="AE5" s="201" t="s">
        <v>25</v>
      </c>
      <c r="AF5" s="325" t="s">
        <v>26</v>
      </c>
      <c r="AG5" s="201" t="s">
        <v>79</v>
      </c>
      <c r="AH5" s="201" t="s">
        <v>20</v>
      </c>
      <c r="AI5" s="209" t="s">
        <v>20</v>
      </c>
      <c r="AJ5" s="209" t="s">
        <v>20</v>
      </c>
      <c r="AK5" s="196" t="s">
        <v>28</v>
      </c>
    </row>
    <row r="6" customFormat="false" ht="11.1" hidden="false" customHeight="true" outlineLevel="0" collapsed="false">
      <c r="A6" s="197" t="s">
        <v>90</v>
      </c>
      <c r="B6" s="186" t="s">
        <v>30</v>
      </c>
      <c r="C6" s="187" t="s">
        <v>9</v>
      </c>
      <c r="D6" s="185" t="s">
        <v>31</v>
      </c>
      <c r="E6" s="187" t="s">
        <v>32</v>
      </c>
      <c r="F6" s="188" t="s">
        <v>33</v>
      </c>
      <c r="G6" s="185" t="s">
        <v>34</v>
      </c>
      <c r="H6" s="323" t="s">
        <v>35</v>
      </c>
      <c r="I6" s="185" t="s">
        <v>36</v>
      </c>
      <c r="J6" s="185" t="s">
        <v>36</v>
      </c>
      <c r="K6" s="185" t="s">
        <v>36</v>
      </c>
      <c r="L6" s="185" t="s">
        <v>37</v>
      </c>
      <c r="M6" s="198" t="s">
        <v>38</v>
      </c>
      <c r="N6" s="185" t="s">
        <v>39</v>
      </c>
      <c r="O6" s="185" t="s">
        <v>40</v>
      </c>
      <c r="P6" s="185" t="s">
        <v>41</v>
      </c>
      <c r="Q6" s="185" t="s">
        <v>42</v>
      </c>
      <c r="R6" s="326" t="s">
        <v>43</v>
      </c>
      <c r="S6" s="209" t="s">
        <v>44</v>
      </c>
      <c r="T6" s="209" t="s">
        <v>45</v>
      </c>
      <c r="U6" s="209" t="s">
        <v>20</v>
      </c>
      <c r="V6" s="205" t="s">
        <v>83</v>
      </c>
      <c r="W6" s="205" t="s">
        <v>65</v>
      </c>
      <c r="X6" s="209" t="s">
        <v>48</v>
      </c>
      <c r="Y6" s="209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327"/>
      <c r="AE6" s="201" t="s">
        <v>52</v>
      </c>
      <c r="AF6" s="325" t="s">
        <v>52</v>
      </c>
      <c r="AG6" s="201" t="s">
        <v>53</v>
      </c>
      <c r="AH6" s="201" t="s">
        <v>54</v>
      </c>
      <c r="AI6" s="209" t="s">
        <v>55</v>
      </c>
      <c r="AJ6" s="209" t="s">
        <v>55</v>
      </c>
      <c r="AK6" s="196" t="s">
        <v>56</v>
      </c>
    </row>
    <row r="7" customFormat="false" ht="11.1" hidden="false" customHeight="true" outlineLevel="0" collapsed="false">
      <c r="A7" s="202"/>
      <c r="B7" s="203"/>
      <c r="C7" s="204"/>
      <c r="D7" s="202"/>
      <c r="E7" s="205" t="s">
        <v>57</v>
      </c>
      <c r="F7" s="206"/>
      <c r="G7" s="202"/>
      <c r="H7" s="328"/>
      <c r="I7" s="202"/>
      <c r="J7" s="202"/>
      <c r="K7" s="202"/>
      <c r="L7" s="202"/>
      <c r="M7" s="208"/>
      <c r="N7" s="209" t="s">
        <v>58</v>
      </c>
      <c r="O7" s="209" t="s">
        <v>59</v>
      </c>
      <c r="P7" s="209"/>
      <c r="Q7" s="209"/>
      <c r="R7" s="329" t="s">
        <v>40</v>
      </c>
      <c r="S7" s="269"/>
      <c r="T7" s="269"/>
      <c r="U7" s="269"/>
      <c r="V7" s="205" t="s">
        <v>60</v>
      </c>
      <c r="W7" s="205"/>
      <c r="X7" s="269"/>
      <c r="Y7" s="269"/>
      <c r="Z7" s="330"/>
      <c r="AA7" s="269"/>
      <c r="AB7" s="269"/>
      <c r="AC7" s="269"/>
      <c r="AD7" s="331"/>
      <c r="AE7" s="201"/>
      <c r="AF7" s="332"/>
      <c r="AG7" s="333"/>
      <c r="AH7" s="333"/>
      <c r="AI7" s="209" t="s">
        <v>62</v>
      </c>
      <c r="AJ7" s="209" t="s">
        <v>84</v>
      </c>
      <c r="AK7" s="196" t="s">
        <v>64</v>
      </c>
    </row>
    <row r="8" customFormat="false" ht="11.1" hidden="false" customHeight="true" outlineLevel="0" collapsed="false">
      <c r="A8" s="202"/>
      <c r="B8" s="203"/>
      <c r="C8" s="204"/>
      <c r="D8" s="202"/>
      <c r="E8" s="204"/>
      <c r="F8" s="206"/>
      <c r="G8" s="202"/>
      <c r="H8" s="328"/>
      <c r="I8" s="202"/>
      <c r="J8" s="202"/>
      <c r="K8" s="202"/>
      <c r="L8" s="202"/>
      <c r="M8" s="208"/>
      <c r="N8" s="202"/>
      <c r="O8" s="202"/>
      <c r="P8" s="202"/>
      <c r="Q8" s="202"/>
      <c r="R8" s="329" t="s">
        <v>65</v>
      </c>
      <c r="S8" s="269"/>
      <c r="T8" s="269"/>
      <c r="U8" s="269"/>
      <c r="V8" s="330"/>
      <c r="W8" s="330"/>
      <c r="X8" s="269"/>
      <c r="Y8" s="269"/>
      <c r="Z8" s="330"/>
      <c r="AA8" s="269"/>
      <c r="AB8" s="269"/>
      <c r="AC8" s="269"/>
      <c r="AD8" s="331"/>
      <c r="AE8" s="333"/>
      <c r="AF8" s="332"/>
      <c r="AG8" s="333"/>
      <c r="AH8" s="333"/>
      <c r="AI8" s="168"/>
      <c r="AJ8" s="209" t="s">
        <v>66</v>
      </c>
      <c r="AK8" s="196"/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7"/>
      <c r="G9" s="216"/>
      <c r="H9" s="334"/>
      <c r="I9" s="216"/>
      <c r="J9" s="216"/>
      <c r="K9" s="216"/>
      <c r="L9" s="216"/>
      <c r="M9" s="219"/>
      <c r="N9" s="216"/>
      <c r="O9" s="216"/>
      <c r="P9" s="216"/>
      <c r="Q9" s="216"/>
      <c r="R9" s="335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22"/>
      <c r="AE9" s="218"/>
      <c r="AF9" s="223"/>
      <c r="AG9" s="218"/>
      <c r="AH9" s="218"/>
      <c r="AI9" s="240"/>
      <c r="AJ9" s="224"/>
      <c r="AK9" s="336"/>
    </row>
    <row r="10" s="138" customFormat="true" ht="11.1" hidden="false" customHeight="true" outlineLevel="0" collapsed="false">
      <c r="A10" s="225" t="s">
        <v>68</v>
      </c>
      <c r="B10" s="226" t="n">
        <f aca="false">JAN!B42</f>
        <v>6863.3</v>
      </c>
      <c r="C10" s="216" t="n">
        <f aca="false">JAN!C42</f>
        <v>170801</v>
      </c>
      <c r="D10" s="216" t="n">
        <f aca="false">JAN!D51</f>
        <v>-3142</v>
      </c>
      <c r="E10" s="216" t="n">
        <f aca="false">JAN!E51</f>
        <v>18801</v>
      </c>
      <c r="F10" s="217" t="n">
        <f aca="false">JAN!F50</f>
        <v>-1584.06856566675</v>
      </c>
      <c r="G10" s="216" t="n">
        <f aca="false">JAN!G50</f>
        <v>4179</v>
      </c>
      <c r="H10" s="337" t="n">
        <f aca="false">JAN!H50</f>
        <v>0</v>
      </c>
      <c r="I10" s="216" t="n">
        <f aca="false">JAN!I50</f>
        <v>4179</v>
      </c>
      <c r="J10" s="216" t="n">
        <f aca="false">JAN!J50</f>
        <v>1376.65910889841</v>
      </c>
      <c r="K10" s="216" t="n">
        <f aca="false">JAN!K50</f>
        <v>5555.65910889841</v>
      </c>
      <c r="L10" s="216" t="n">
        <f aca="false">JAN!L50</f>
        <v>1180.98643433325</v>
      </c>
      <c r="M10" s="219" t="n">
        <f aca="false">JAN!M50</f>
        <v>483.2</v>
      </c>
      <c r="N10" s="216" t="n">
        <f aca="false">JAN!N50</f>
        <v>0</v>
      </c>
      <c r="O10" s="216" t="n">
        <f aca="false">JAN!O50</f>
        <v>0</v>
      </c>
      <c r="P10" s="216" t="n">
        <f aca="false">JAN!P50</f>
        <v>130.68</v>
      </c>
      <c r="Q10" s="216" t="n">
        <f aca="false">JAN!Q50</f>
        <v>220.8</v>
      </c>
      <c r="R10" s="335" t="n">
        <f aca="false">JAN!R50</f>
        <v>0</v>
      </c>
      <c r="S10" s="216" t="n">
        <f aca="false">JAN!S50</f>
        <v>4630</v>
      </c>
      <c r="T10" s="216" t="n">
        <f aca="false">JAN!T50</f>
        <v>95</v>
      </c>
      <c r="U10" s="216" t="n">
        <f aca="false">JAN!U50</f>
        <v>4850.65049</v>
      </c>
      <c r="V10" s="216"/>
      <c r="W10" s="216"/>
      <c r="X10" s="216"/>
      <c r="Y10" s="216" t="n">
        <f aca="false">JAN!Y50</f>
        <v>1704</v>
      </c>
      <c r="Z10" s="216" t="n">
        <f aca="false">JAN!Z50</f>
        <v>1515</v>
      </c>
      <c r="AA10" s="216" t="n">
        <f aca="false">JAN!AA50</f>
        <v>6944.055</v>
      </c>
      <c r="AB10" s="216" t="n">
        <f aca="false">JAN!AB50</f>
        <v>195.672674565163</v>
      </c>
      <c r="AC10" s="216" t="n">
        <f aca="false">JAN!AC50</f>
        <v>7139.72767456516</v>
      </c>
      <c r="AD10" s="222" t="n">
        <f aca="false">JAN!AD50</f>
        <v>4.3</v>
      </c>
      <c r="AE10" s="218"/>
      <c r="AF10" s="223"/>
      <c r="AG10" s="218" t="n">
        <f aca="false">JAN!AG51</f>
        <v>8916.9766972275</v>
      </c>
      <c r="AH10" s="218" t="n">
        <f aca="false">JAN!AH51</f>
        <v>0</v>
      </c>
      <c r="AI10" s="216"/>
      <c r="AJ10" s="240"/>
      <c r="AK10" s="338"/>
    </row>
    <row r="11" customFormat="false" ht="3" hidden="false" customHeight="true" outlineLevel="0" collapsed="false">
      <c r="A11" s="227"/>
      <c r="B11" s="228"/>
      <c r="C11" s="229"/>
      <c r="D11" s="230"/>
      <c r="E11" s="229"/>
      <c r="F11" s="231"/>
      <c r="G11" s="230"/>
      <c r="H11" s="339"/>
      <c r="I11" s="230"/>
      <c r="J11" s="230"/>
      <c r="K11" s="230"/>
      <c r="L11" s="230"/>
      <c r="M11" s="233"/>
      <c r="N11" s="230"/>
      <c r="O11" s="230"/>
      <c r="P11" s="230"/>
      <c r="Q11" s="230"/>
      <c r="R11" s="340"/>
      <c r="S11" s="230"/>
      <c r="T11" s="230"/>
      <c r="U11" s="230"/>
      <c r="V11" s="229"/>
      <c r="W11" s="229"/>
      <c r="X11" s="230"/>
      <c r="Y11" s="230"/>
      <c r="Z11" s="229"/>
      <c r="AA11" s="230"/>
      <c r="AB11" s="230"/>
      <c r="AC11" s="230"/>
      <c r="AD11" s="236"/>
      <c r="AE11" s="237"/>
      <c r="AF11" s="238"/>
      <c r="AG11" s="237"/>
      <c r="AH11" s="237"/>
      <c r="AI11" s="237"/>
      <c r="AJ11" s="237"/>
      <c r="AK11" s="237"/>
    </row>
    <row r="12" customFormat="false" ht="11.1" hidden="false" customHeight="true" outlineLevel="0" collapsed="false">
      <c r="A12" s="153" t="n">
        <v>1</v>
      </c>
      <c r="B12" s="226" t="n">
        <v>6863.29</v>
      </c>
      <c r="C12" s="216" t="n">
        <v>170777</v>
      </c>
      <c r="D12" s="218" t="n">
        <f aca="false">C12-C10</f>
        <v>-24</v>
      </c>
      <c r="E12" s="216" t="n">
        <f aca="false">C12-152000</f>
        <v>18777</v>
      </c>
      <c r="F12" s="239" t="n">
        <f aca="false">D12/$D$2</f>
        <v>-12.09982354424</v>
      </c>
      <c r="G12" s="240" t="n">
        <v>44</v>
      </c>
      <c r="H12" s="334" t="n">
        <v>0</v>
      </c>
      <c r="I12" s="240" t="n">
        <f aca="false">G12+H12</f>
        <v>44</v>
      </c>
      <c r="J12" s="221" t="n">
        <f aca="false">IF(L12&gt;0,L12,0)</f>
        <v>19.00017645576</v>
      </c>
      <c r="K12" s="240" t="n">
        <f aca="false">I12+J12</f>
        <v>63.00017645576</v>
      </c>
      <c r="L12" s="240" t="n">
        <f aca="false">F12-(I12-AA12)</f>
        <v>19.00017645576</v>
      </c>
      <c r="M12" s="242" t="n">
        <v>4.1</v>
      </c>
      <c r="N12" s="240" t="n">
        <v>0</v>
      </c>
      <c r="O12" s="240" t="n">
        <v>0</v>
      </c>
      <c r="P12" s="341" t="n">
        <v>1.4</v>
      </c>
      <c r="Q12" s="341" t="n">
        <v>2.4</v>
      </c>
      <c r="R12" s="342" t="n">
        <v>0</v>
      </c>
      <c r="S12" s="240" t="n">
        <v>48</v>
      </c>
      <c r="T12" s="240" t="n">
        <v>0</v>
      </c>
      <c r="U12" s="240" t="n">
        <f aca="false">M12-N12-O12-P12-Q12-R12+S12+T12</f>
        <v>48.3</v>
      </c>
      <c r="V12" s="216"/>
      <c r="W12" s="216"/>
      <c r="X12" s="240" t="n">
        <v>0</v>
      </c>
      <c r="Y12" s="240" t="n">
        <v>23</v>
      </c>
      <c r="Z12" s="216" t="n">
        <f aca="false">Z10-Y12</f>
        <v>1492</v>
      </c>
      <c r="AA12" s="117" t="n">
        <f aca="false">N12+O12+P12+Q12+R12+U12+X12+Y12</f>
        <v>75.1</v>
      </c>
      <c r="AB12" s="240" t="n">
        <f aca="false">IF(L12&lt;0,L12*-1,0)</f>
        <v>0</v>
      </c>
      <c r="AC12" s="240" t="n">
        <f aca="false">AA12+AB12</f>
        <v>75.1</v>
      </c>
      <c r="AD12" s="222" t="n">
        <v>0</v>
      </c>
      <c r="AE12" s="218" t="n">
        <v>32</v>
      </c>
      <c r="AF12" s="223" t="n">
        <v>2</v>
      </c>
      <c r="AG12" s="218" t="n">
        <f aca="false">AG10+(U12*1.9835)</f>
        <v>9012.7797472275</v>
      </c>
      <c r="AH12" s="218" t="n">
        <v>0</v>
      </c>
      <c r="AI12" s="224"/>
      <c r="AJ12" s="216"/>
      <c r="AK12" s="336"/>
    </row>
    <row r="13" customFormat="false" ht="11.1" hidden="false" customHeight="true" outlineLevel="0" collapsed="false">
      <c r="A13" s="153" t="n">
        <f aca="false">A12+1</f>
        <v>2</v>
      </c>
      <c r="B13" s="226" t="n">
        <v>6863.27</v>
      </c>
      <c r="C13" s="216" t="n">
        <v>170729</v>
      </c>
      <c r="D13" s="218" t="n">
        <f aca="false">C13-C12</f>
        <v>-48</v>
      </c>
      <c r="E13" s="216" t="n">
        <f aca="false">C13-152000</f>
        <v>18729</v>
      </c>
      <c r="F13" s="239" t="n">
        <f aca="false">D13/$D$2</f>
        <v>-24.19964708848</v>
      </c>
      <c r="G13" s="240" t="n">
        <v>44</v>
      </c>
      <c r="H13" s="334" t="n">
        <v>0</v>
      </c>
      <c r="I13" s="240" t="n">
        <f aca="false">G13+H13</f>
        <v>44</v>
      </c>
      <c r="J13" s="221" t="n">
        <f aca="false">IF(L13&gt;0,L13,0)</f>
        <v>11.90035291152</v>
      </c>
      <c r="K13" s="240" t="n">
        <f aca="false">I13+J13</f>
        <v>55.90035291152</v>
      </c>
      <c r="L13" s="240" t="n">
        <f aca="false">F13-(I13-AA13)</f>
        <v>11.90035291152</v>
      </c>
      <c r="M13" s="242" t="n">
        <v>4.1</v>
      </c>
      <c r="N13" s="240" t="n">
        <v>0</v>
      </c>
      <c r="O13" s="240" t="n">
        <v>0</v>
      </c>
      <c r="P13" s="341" t="n">
        <v>1.4</v>
      </c>
      <c r="Q13" s="341" t="n">
        <v>2.4</v>
      </c>
      <c r="R13" s="342" t="n">
        <v>0</v>
      </c>
      <c r="S13" s="240" t="n">
        <v>52</v>
      </c>
      <c r="T13" s="240" t="n">
        <v>0</v>
      </c>
      <c r="U13" s="240" t="n">
        <f aca="false">M13-N13-O13-P13-Q13-R13+S13+T13</f>
        <v>52.3</v>
      </c>
      <c r="V13" s="216"/>
      <c r="W13" s="216"/>
      <c r="X13" s="240" t="n">
        <v>0</v>
      </c>
      <c r="Y13" s="240" t="n">
        <v>24</v>
      </c>
      <c r="Z13" s="216" t="n">
        <f aca="false">Z12-Y13</f>
        <v>1468</v>
      </c>
      <c r="AA13" s="117" t="n">
        <f aca="false">N13+O13+P13+Q13+R13+U13+X13+Y13</f>
        <v>80.1</v>
      </c>
      <c r="AB13" s="240" t="n">
        <f aca="false">IF(L13&lt;0,L13*-1,0)</f>
        <v>0</v>
      </c>
      <c r="AC13" s="240" t="n">
        <f aca="false">AA13+AB13</f>
        <v>80.1</v>
      </c>
      <c r="AD13" s="222" t="n">
        <v>0</v>
      </c>
      <c r="AE13" s="218" t="n">
        <v>35</v>
      </c>
      <c r="AF13" s="223" t="n">
        <v>0</v>
      </c>
      <c r="AG13" s="218" t="n">
        <f aca="false">AG12+(U13*1.9835)</f>
        <v>9116.5167972275</v>
      </c>
      <c r="AH13" s="218" t="n">
        <v>0</v>
      </c>
      <c r="AI13" s="224"/>
      <c r="AJ13" s="216"/>
      <c r="AK13" s="336"/>
    </row>
    <row r="14" customFormat="false" ht="11.1" hidden="false" customHeight="true" outlineLevel="0" collapsed="false">
      <c r="A14" s="153" t="n">
        <f aca="false">A13+1</f>
        <v>3</v>
      </c>
      <c r="B14" s="226" t="n">
        <v>6863.26</v>
      </c>
      <c r="C14" s="216" t="n">
        <v>170705</v>
      </c>
      <c r="D14" s="218" t="n">
        <f aca="false">C14-C13</f>
        <v>-24</v>
      </c>
      <c r="E14" s="216" t="n">
        <f aca="false">C14-152000</f>
        <v>18705</v>
      </c>
      <c r="F14" s="239" t="n">
        <f aca="false">D14/$D$2</f>
        <v>-12.09982354424</v>
      </c>
      <c r="G14" s="240" t="n">
        <v>45</v>
      </c>
      <c r="H14" s="334" t="n">
        <v>0</v>
      </c>
      <c r="I14" s="240" t="n">
        <f aca="false">G14+H14</f>
        <v>45</v>
      </c>
      <c r="J14" s="221" t="n">
        <f aca="false">IF(L14&gt;0,L14,0)</f>
        <v>28.80017645576</v>
      </c>
      <c r="K14" s="240" t="n">
        <f aca="false">I14+J14</f>
        <v>73.80017645576</v>
      </c>
      <c r="L14" s="240" t="n">
        <f aca="false">F14-(I14-AA14)</f>
        <v>28.80017645576</v>
      </c>
      <c r="M14" s="242" t="n">
        <v>3.9</v>
      </c>
      <c r="N14" s="240" t="n">
        <v>0</v>
      </c>
      <c r="O14" s="240" t="n">
        <v>0</v>
      </c>
      <c r="P14" s="341" t="n">
        <v>1.4</v>
      </c>
      <c r="Q14" s="341" t="n">
        <v>2.4</v>
      </c>
      <c r="R14" s="342" t="n">
        <v>0</v>
      </c>
      <c r="S14" s="240" t="n">
        <v>56</v>
      </c>
      <c r="T14" s="240" t="n">
        <v>0</v>
      </c>
      <c r="U14" s="240" t="n">
        <f aca="false">M14-N14-O14-P14-Q14-R14+S14+T14</f>
        <v>56.1</v>
      </c>
      <c r="V14" s="216"/>
      <c r="W14" s="216"/>
      <c r="X14" s="240" t="n">
        <v>0</v>
      </c>
      <c r="Y14" s="240" t="n">
        <v>26</v>
      </c>
      <c r="Z14" s="216" t="n">
        <f aca="false">Z13-Y14</f>
        <v>1442</v>
      </c>
      <c r="AA14" s="117" t="n">
        <f aca="false">N14+O14+P14+Q14+R14+U14+X14+Y14</f>
        <v>85.9</v>
      </c>
      <c r="AB14" s="240" t="n">
        <f aca="false">IF(L14&lt;0,L14*-1,0)</f>
        <v>0</v>
      </c>
      <c r="AC14" s="240" t="n">
        <f aca="false">AA14+AB14</f>
        <v>85.9</v>
      </c>
      <c r="AD14" s="222" t="n">
        <v>0.43</v>
      </c>
      <c r="AE14" s="218" t="n">
        <v>34</v>
      </c>
      <c r="AF14" s="223" t="n">
        <v>25</v>
      </c>
      <c r="AG14" s="218" t="n">
        <f aca="false">AG13+(U14*1.9835)</f>
        <v>9227.7911472275</v>
      </c>
      <c r="AH14" s="218" t="n">
        <v>0</v>
      </c>
      <c r="AI14" s="224"/>
      <c r="AJ14" s="216"/>
      <c r="AK14" s="336"/>
    </row>
    <row r="15" customFormat="false" ht="11.1" hidden="false" customHeight="true" outlineLevel="0" collapsed="false">
      <c r="A15" s="153" t="n">
        <f aca="false">A14+1</f>
        <v>4</v>
      </c>
      <c r="B15" s="226" t="n">
        <v>6863.25</v>
      </c>
      <c r="C15" s="216" t="n">
        <v>170681</v>
      </c>
      <c r="D15" s="218" t="n">
        <f aca="false">C15-C14</f>
        <v>-24</v>
      </c>
      <c r="E15" s="216" t="n">
        <f aca="false">C15-152000</f>
        <v>18681</v>
      </c>
      <c r="F15" s="239" t="n">
        <f aca="false">D15/$D$2</f>
        <v>-12.09982354424</v>
      </c>
      <c r="G15" s="240" t="n">
        <v>44</v>
      </c>
      <c r="H15" s="334" t="n">
        <v>0</v>
      </c>
      <c r="I15" s="240" t="n">
        <f aca="false">G15+H15</f>
        <v>44</v>
      </c>
      <c r="J15" s="221" t="n">
        <f aca="false">IF(L15&gt;0,L15,0)</f>
        <v>28.60017645576</v>
      </c>
      <c r="K15" s="240" t="n">
        <f aca="false">I15+J15</f>
        <v>72.60017645576</v>
      </c>
      <c r="L15" s="240" t="n">
        <f aca="false">F15-(I15-AA15)</f>
        <v>28.60017645576</v>
      </c>
      <c r="M15" s="242" t="n">
        <v>3.7</v>
      </c>
      <c r="N15" s="240" t="n">
        <v>0</v>
      </c>
      <c r="O15" s="240" t="n">
        <v>0</v>
      </c>
      <c r="P15" s="341" t="n">
        <v>1.4</v>
      </c>
      <c r="Q15" s="341" t="n">
        <v>2.4</v>
      </c>
      <c r="R15" s="342" t="n">
        <v>0</v>
      </c>
      <c r="S15" s="240" t="n">
        <v>56</v>
      </c>
      <c r="T15" s="240" t="n">
        <v>0</v>
      </c>
      <c r="U15" s="240" t="n">
        <f aca="false">M15-N15-O15-P15-Q15-R15+S15+T15</f>
        <v>55.9</v>
      </c>
      <c r="V15" s="216"/>
      <c r="W15" s="216"/>
      <c r="X15" s="240" t="n">
        <v>0</v>
      </c>
      <c r="Y15" s="240" t="n">
        <v>25</v>
      </c>
      <c r="Z15" s="216" t="n">
        <f aca="false">Z14-Y15</f>
        <v>1417</v>
      </c>
      <c r="AA15" s="117" t="n">
        <f aca="false">N15+O15+P15+Q15+R15+U15+X15+Y15</f>
        <v>84.7</v>
      </c>
      <c r="AB15" s="240" t="n">
        <f aca="false">IF(L15&lt;0,L15*-1,0)</f>
        <v>0</v>
      </c>
      <c r="AC15" s="240" t="n">
        <f aca="false">AA15+AB15</f>
        <v>84.7</v>
      </c>
      <c r="AD15" s="222" t="n">
        <v>0.03</v>
      </c>
      <c r="AE15" s="218" t="n">
        <v>30</v>
      </c>
      <c r="AF15" s="223" t="n">
        <v>15</v>
      </c>
      <c r="AG15" s="218" t="n">
        <f aca="false">AG14+(U15*1.9835)</f>
        <v>9338.6687972275</v>
      </c>
      <c r="AH15" s="218" t="n">
        <v>0</v>
      </c>
      <c r="AI15" s="224"/>
      <c r="AJ15" s="216"/>
      <c r="AK15" s="336"/>
    </row>
    <row r="16" customFormat="false" ht="11.1" hidden="false" customHeight="true" outlineLevel="0" collapsed="false">
      <c r="A16" s="153" t="n">
        <f aca="false">A15+1</f>
        <v>5</v>
      </c>
      <c r="B16" s="226" t="n">
        <v>6863.23</v>
      </c>
      <c r="C16" s="216" t="n">
        <v>170632</v>
      </c>
      <c r="D16" s="218" t="n">
        <f aca="false">C16-C15</f>
        <v>-49</v>
      </c>
      <c r="E16" s="216" t="n">
        <f aca="false">C16-152000</f>
        <v>18632</v>
      </c>
      <c r="F16" s="239" t="n">
        <f aca="false">D16/$D$2</f>
        <v>-24.7038064028233</v>
      </c>
      <c r="G16" s="240" t="n">
        <v>41</v>
      </c>
      <c r="H16" s="334" t="n">
        <v>0</v>
      </c>
      <c r="I16" s="240" t="n">
        <f aca="false">G16+H16</f>
        <v>41</v>
      </c>
      <c r="J16" s="221" t="n">
        <f aca="false">IF(L16&gt;0,L16,0)</f>
        <v>17.9961935971767</v>
      </c>
      <c r="K16" s="240" t="n">
        <f aca="false">I16+J16</f>
        <v>58.9961935971767</v>
      </c>
      <c r="L16" s="240" t="n">
        <f aca="false">F16-(I16-AA16)</f>
        <v>17.9961935971767</v>
      </c>
      <c r="M16" s="242" t="n">
        <v>3.7</v>
      </c>
      <c r="N16" s="240" t="n">
        <v>0</v>
      </c>
      <c r="O16" s="240" t="n">
        <v>0</v>
      </c>
      <c r="P16" s="341" t="n">
        <v>1.4</v>
      </c>
      <c r="Q16" s="341" t="n">
        <v>2.4</v>
      </c>
      <c r="R16" s="342" t="n">
        <v>0</v>
      </c>
      <c r="S16" s="240" t="n">
        <v>56</v>
      </c>
      <c r="T16" s="240" t="n">
        <v>0</v>
      </c>
      <c r="U16" s="240" t="n">
        <f aca="false">M16-N16-O16-P16-Q16-R16+S16+T16</f>
        <v>55.9</v>
      </c>
      <c r="V16" s="216"/>
      <c r="W16" s="216"/>
      <c r="X16" s="240" t="n">
        <v>0</v>
      </c>
      <c r="Y16" s="240" t="n">
        <v>24</v>
      </c>
      <c r="Z16" s="216" t="n">
        <f aca="false">Z15-Y16</f>
        <v>1393</v>
      </c>
      <c r="AA16" s="117" t="n">
        <f aca="false">N16+O16+P16+Q16+R16+U16+X16+Y16</f>
        <v>83.7</v>
      </c>
      <c r="AB16" s="240" t="n">
        <f aca="false">IF(L16&lt;0,L16*-1,0)</f>
        <v>0</v>
      </c>
      <c r="AC16" s="240" t="n">
        <f aca="false">AA16+AB16</f>
        <v>83.7</v>
      </c>
      <c r="AD16" s="222" t="n">
        <v>0</v>
      </c>
      <c r="AE16" s="218" t="n">
        <v>32</v>
      </c>
      <c r="AF16" s="223" t="n">
        <v>-1</v>
      </c>
      <c r="AG16" s="218" t="n">
        <f aca="false">AG15+(U16*1.9835)</f>
        <v>9449.5464472275</v>
      </c>
      <c r="AH16" s="218" t="n">
        <v>0</v>
      </c>
      <c r="AI16" s="224"/>
      <c r="AJ16" s="216"/>
      <c r="AK16" s="336"/>
    </row>
    <row r="17" customFormat="false" ht="11.1" hidden="false" customHeight="true" outlineLevel="0" collapsed="false">
      <c r="A17" s="153" t="n">
        <f aca="false">A16+1</f>
        <v>6</v>
      </c>
      <c r="B17" s="226" t="n">
        <v>6863.21</v>
      </c>
      <c r="C17" s="216" t="n">
        <v>170584</v>
      </c>
      <c r="D17" s="218" t="n">
        <f aca="false">C17-C16</f>
        <v>-48</v>
      </c>
      <c r="E17" s="216" t="n">
        <f aca="false">C17-152000</f>
        <v>18584</v>
      </c>
      <c r="F17" s="239" t="n">
        <f aca="false">D17/$D$2</f>
        <v>-24.19964708848</v>
      </c>
      <c r="G17" s="240" t="n">
        <v>40</v>
      </c>
      <c r="H17" s="334" t="n">
        <v>0</v>
      </c>
      <c r="I17" s="240" t="n">
        <f aca="false">G17+H17</f>
        <v>40</v>
      </c>
      <c r="J17" s="221" t="n">
        <f aca="false">IF(L17&gt;0,L17,0)</f>
        <v>19.50035291152</v>
      </c>
      <c r="K17" s="240" t="n">
        <f aca="false">I17+J17</f>
        <v>59.50035291152</v>
      </c>
      <c r="L17" s="240" t="n">
        <f aca="false">F17-(I17-AA17)</f>
        <v>19.50035291152</v>
      </c>
      <c r="M17" s="242" t="n">
        <v>3.7</v>
      </c>
      <c r="N17" s="240" t="n">
        <v>0</v>
      </c>
      <c r="O17" s="240" t="n">
        <v>0</v>
      </c>
      <c r="P17" s="341" t="n">
        <v>1.4</v>
      </c>
      <c r="Q17" s="341" t="n">
        <v>2.4</v>
      </c>
      <c r="R17" s="342" t="n">
        <v>0</v>
      </c>
      <c r="S17" s="240" t="n">
        <v>56</v>
      </c>
      <c r="T17" s="240" t="n">
        <v>0</v>
      </c>
      <c r="U17" s="240" t="n">
        <f aca="false">M17-N17-O17-P17-Q17-R17+S17+T17</f>
        <v>55.9</v>
      </c>
      <c r="V17" s="216"/>
      <c r="W17" s="216"/>
      <c r="X17" s="240" t="n">
        <v>0</v>
      </c>
      <c r="Y17" s="240" t="n">
        <v>24</v>
      </c>
      <c r="Z17" s="216" t="n">
        <f aca="false">Z16-Y17</f>
        <v>1369</v>
      </c>
      <c r="AA17" s="117" t="n">
        <f aca="false">N17+O17+P17+Q17+R17+U17+X17+Y17</f>
        <v>83.7</v>
      </c>
      <c r="AB17" s="240" t="n">
        <f aca="false">IF(L17&lt;0,L17*-1,0)</f>
        <v>0</v>
      </c>
      <c r="AC17" s="240" t="n">
        <f aca="false">AA17+AB17</f>
        <v>83.7</v>
      </c>
      <c r="AD17" s="222" t="n">
        <v>0</v>
      </c>
      <c r="AE17" s="218" t="n">
        <v>34</v>
      </c>
      <c r="AF17" s="223" t="n">
        <v>2</v>
      </c>
      <c r="AG17" s="218" t="n">
        <f aca="false">AG16+(U17*1.9835)</f>
        <v>9560.4240972275</v>
      </c>
      <c r="AH17" s="218" t="n">
        <v>0</v>
      </c>
      <c r="AI17" s="240"/>
      <c r="AJ17" s="216"/>
      <c r="AK17" s="336"/>
    </row>
    <row r="18" customFormat="false" ht="11.1" hidden="false" customHeight="true" outlineLevel="0" collapsed="false">
      <c r="A18" s="153" t="n">
        <f aca="false">A17+1</f>
        <v>7</v>
      </c>
      <c r="B18" s="226" t="n">
        <v>6863.19</v>
      </c>
      <c r="C18" s="216" t="n">
        <v>170536</v>
      </c>
      <c r="D18" s="218" t="n">
        <f aca="false">C18-C17</f>
        <v>-48</v>
      </c>
      <c r="E18" s="216" t="n">
        <f aca="false">C18-152000</f>
        <v>18536</v>
      </c>
      <c r="F18" s="239" t="n">
        <f aca="false">D18/$D$2</f>
        <v>-24.19964708848</v>
      </c>
      <c r="G18" s="240" t="n">
        <v>41</v>
      </c>
      <c r="H18" s="334" t="n">
        <v>0</v>
      </c>
      <c r="I18" s="240" t="n">
        <f aca="false">G18+H18</f>
        <v>41</v>
      </c>
      <c r="J18" s="221" t="n">
        <f aca="false">IF(L18&gt;0,L18,0)</f>
        <v>18.50035291152</v>
      </c>
      <c r="K18" s="240" t="n">
        <f aca="false">I18+J18</f>
        <v>59.50035291152</v>
      </c>
      <c r="L18" s="240" t="n">
        <f aca="false">F18-(I18-AA18)</f>
        <v>18.50035291152</v>
      </c>
      <c r="M18" s="242" t="n">
        <v>3.7</v>
      </c>
      <c r="N18" s="240" t="n">
        <v>0</v>
      </c>
      <c r="O18" s="240" t="n">
        <v>0</v>
      </c>
      <c r="P18" s="341" t="n">
        <v>1.4</v>
      </c>
      <c r="Q18" s="341" t="n">
        <v>2.32</v>
      </c>
      <c r="R18" s="342" t="n">
        <v>0</v>
      </c>
      <c r="S18" s="240" t="n">
        <v>56</v>
      </c>
      <c r="T18" s="240" t="n">
        <v>0</v>
      </c>
      <c r="U18" s="240" t="n">
        <f aca="false">M18-N18-O18-P18-Q18-R18+S18+T18</f>
        <v>55.98</v>
      </c>
      <c r="V18" s="216"/>
      <c r="W18" s="216"/>
      <c r="X18" s="240" t="n">
        <v>0</v>
      </c>
      <c r="Y18" s="240" t="n">
        <v>24</v>
      </c>
      <c r="Z18" s="216" t="n">
        <f aca="false">Z17-Y18</f>
        <v>1345</v>
      </c>
      <c r="AA18" s="117" t="n">
        <f aca="false">N18+O18+P18+Q18+R18+U18+X18+Y18</f>
        <v>83.7</v>
      </c>
      <c r="AB18" s="240" t="n">
        <f aca="false">IF(L18&lt;0,L18*-1,0)</f>
        <v>0</v>
      </c>
      <c r="AC18" s="240" t="n">
        <f aca="false">AA18+AB18</f>
        <v>83.7</v>
      </c>
      <c r="AD18" s="222" t="n">
        <v>0</v>
      </c>
      <c r="AE18" s="218" t="n">
        <v>38</v>
      </c>
      <c r="AF18" s="223" t="n">
        <v>-1</v>
      </c>
      <c r="AG18" s="218" t="n">
        <f aca="false">AG17+(U18*1.9835)</f>
        <v>9671.4604272275</v>
      </c>
      <c r="AH18" s="218" t="n">
        <v>0</v>
      </c>
      <c r="AI18" s="240"/>
      <c r="AJ18" s="216"/>
      <c r="AK18" s="336"/>
    </row>
    <row r="19" customFormat="false" ht="11.1" hidden="false" customHeight="true" outlineLevel="0" collapsed="false">
      <c r="A19" s="153" t="n">
        <f aca="false">A18+1</f>
        <v>8</v>
      </c>
      <c r="B19" s="226" t="n">
        <v>6863.16</v>
      </c>
      <c r="C19" s="216" t="n">
        <v>170463</v>
      </c>
      <c r="D19" s="218" t="n">
        <f aca="false">C19-C18</f>
        <v>-73</v>
      </c>
      <c r="E19" s="216" t="n">
        <f aca="false">C19-152000</f>
        <v>18463</v>
      </c>
      <c r="F19" s="239" t="n">
        <f aca="false">D19/$D$2</f>
        <v>-36.8036299470633</v>
      </c>
      <c r="G19" s="240" t="n">
        <v>42</v>
      </c>
      <c r="H19" s="334" t="n">
        <v>0</v>
      </c>
      <c r="I19" s="240" t="n">
        <f aca="false">G19+H19</f>
        <v>42</v>
      </c>
      <c r="J19" s="221" t="n">
        <f aca="false">IF(L19&gt;0,L19,0)</f>
        <v>4.89637005293673</v>
      </c>
      <c r="K19" s="240" t="n">
        <f aca="false">I19+J19</f>
        <v>46.8963700529367</v>
      </c>
      <c r="L19" s="240" t="n">
        <f aca="false">F19-(I19-AA19)</f>
        <v>4.89637005293673</v>
      </c>
      <c r="M19" s="242" t="n">
        <v>3.7</v>
      </c>
      <c r="N19" s="240" t="n">
        <v>0</v>
      </c>
      <c r="O19" s="240" t="n">
        <v>0</v>
      </c>
      <c r="P19" s="341" t="n">
        <v>1.4</v>
      </c>
      <c r="Q19" s="341" t="n">
        <v>2.24</v>
      </c>
      <c r="R19" s="342" t="n">
        <v>0</v>
      </c>
      <c r="S19" s="240" t="n">
        <v>56</v>
      </c>
      <c r="T19" s="240" t="n">
        <v>0</v>
      </c>
      <c r="U19" s="240" t="n">
        <f aca="false">M19-N19-O19-P19-Q19-R19+S19+T19</f>
        <v>56.06</v>
      </c>
      <c r="V19" s="216"/>
      <c r="W19" s="216"/>
      <c r="X19" s="240" t="n">
        <v>0</v>
      </c>
      <c r="Y19" s="240" t="n">
        <v>24</v>
      </c>
      <c r="Z19" s="216" t="n">
        <f aca="false">Z18-Y19</f>
        <v>1321</v>
      </c>
      <c r="AA19" s="117" t="n">
        <f aca="false">N19+O19+P19+Q19+R19+U19+X19+Y19</f>
        <v>83.7</v>
      </c>
      <c r="AB19" s="240" t="n">
        <f aca="false">IF(L19&lt;0,L19*-1,0)</f>
        <v>0</v>
      </c>
      <c r="AC19" s="240" t="n">
        <f aca="false">AA19+AB19</f>
        <v>83.7</v>
      </c>
      <c r="AD19" s="222" t="n">
        <v>0</v>
      </c>
      <c r="AE19" s="218" t="n">
        <v>30</v>
      </c>
      <c r="AF19" s="223" t="n">
        <v>5</v>
      </c>
      <c r="AG19" s="218" t="n">
        <f aca="false">AG18+(U19*1.9835)</f>
        <v>9782.6554372275</v>
      </c>
      <c r="AH19" s="218" t="n">
        <v>0</v>
      </c>
      <c r="AI19" s="240"/>
      <c r="AJ19" s="216"/>
      <c r="AK19" s="336"/>
    </row>
    <row r="20" customFormat="false" ht="11.1" hidden="false" customHeight="true" outlineLevel="0" collapsed="false">
      <c r="A20" s="153" t="n">
        <f aca="false">A19+1</f>
        <v>9</v>
      </c>
      <c r="B20" s="226" t="n">
        <v>6863.13</v>
      </c>
      <c r="C20" s="216" t="n">
        <v>170391</v>
      </c>
      <c r="D20" s="218" t="n">
        <f aca="false">C20-C19</f>
        <v>-72</v>
      </c>
      <c r="E20" s="216" t="n">
        <f aca="false">C20-152000</f>
        <v>18391</v>
      </c>
      <c r="F20" s="239" t="n">
        <f aca="false">D20/$D$2</f>
        <v>-36.2994706327199</v>
      </c>
      <c r="G20" s="240" t="n">
        <v>42</v>
      </c>
      <c r="H20" s="334" t="n">
        <v>0</v>
      </c>
      <c r="I20" s="240" t="n">
        <f aca="false">G20+H20</f>
        <v>42</v>
      </c>
      <c r="J20" s="221" t="n">
        <f aca="false">IF(L20&gt;0,L20,0)</f>
        <v>7.40052936728007</v>
      </c>
      <c r="K20" s="240" t="n">
        <f aca="false">I20+J20</f>
        <v>49.4005293672801</v>
      </c>
      <c r="L20" s="240" t="n">
        <f aca="false">F20-(I20-AA20)</f>
        <v>7.40052936728007</v>
      </c>
      <c r="M20" s="242" t="n">
        <v>3.7</v>
      </c>
      <c r="N20" s="240" t="n">
        <v>0</v>
      </c>
      <c r="O20" s="240" t="n">
        <v>0</v>
      </c>
      <c r="P20" s="341" t="n">
        <v>1.4</v>
      </c>
      <c r="Q20" s="341" t="n">
        <v>2.09</v>
      </c>
      <c r="R20" s="342" t="n">
        <v>0</v>
      </c>
      <c r="S20" s="240" t="n">
        <v>58</v>
      </c>
      <c r="T20" s="240" t="n">
        <v>0</v>
      </c>
      <c r="U20" s="240" t="n">
        <f aca="false">M20-N20-O20-P20-Q20-R20+S20+T20</f>
        <v>58.21</v>
      </c>
      <c r="V20" s="216"/>
      <c r="W20" s="216"/>
      <c r="X20" s="240" t="n">
        <v>0</v>
      </c>
      <c r="Y20" s="240" t="n">
        <v>24</v>
      </c>
      <c r="Z20" s="216" t="n">
        <f aca="false">Z19-Y20</f>
        <v>1297</v>
      </c>
      <c r="AA20" s="117" t="n">
        <f aca="false">N20+O20+P20+Q20+R20+U20+X20+Y20</f>
        <v>85.7</v>
      </c>
      <c r="AB20" s="240" t="n">
        <f aca="false">IF(L20&lt;0,L20*-1,0)</f>
        <v>0</v>
      </c>
      <c r="AC20" s="240" t="n">
        <f aca="false">AA20+AB20</f>
        <v>85.7</v>
      </c>
      <c r="AD20" s="222" t="n">
        <v>0</v>
      </c>
      <c r="AE20" s="224" t="n">
        <v>33</v>
      </c>
      <c r="AF20" s="223" t="n">
        <v>1</v>
      </c>
      <c r="AG20" s="218" t="n">
        <f aca="false">AG19+(U20*1.9835)</f>
        <v>9898.1149722275</v>
      </c>
      <c r="AH20" s="218" t="n">
        <v>0</v>
      </c>
      <c r="AI20" s="240"/>
      <c r="AJ20" s="216"/>
      <c r="AK20" s="336"/>
    </row>
    <row r="21" customFormat="false" ht="11.1" hidden="false" customHeight="true" outlineLevel="0" collapsed="false">
      <c r="A21" s="153" t="n">
        <f aca="false">A20+1</f>
        <v>10</v>
      </c>
      <c r="B21" s="226" t="n">
        <v>6863.1</v>
      </c>
      <c r="C21" s="216" t="n">
        <v>170318</v>
      </c>
      <c r="D21" s="218" t="n">
        <f aca="false">C21-C20</f>
        <v>-73</v>
      </c>
      <c r="E21" s="216" t="n">
        <f aca="false">C21-152000</f>
        <v>18318</v>
      </c>
      <c r="F21" s="239" t="n">
        <f aca="false">D21/$D$2</f>
        <v>-36.8036299470633</v>
      </c>
      <c r="G21" s="240" t="n">
        <v>41</v>
      </c>
      <c r="H21" s="334" t="n">
        <v>0</v>
      </c>
      <c r="I21" s="240" t="n">
        <f aca="false">G21+H21</f>
        <v>41</v>
      </c>
      <c r="J21" s="221" t="n">
        <f aca="false">IF(L21&gt;0,L21,0)</f>
        <v>9.69637005293673</v>
      </c>
      <c r="K21" s="240" t="n">
        <f aca="false">I21+J21</f>
        <v>50.6963700529367</v>
      </c>
      <c r="L21" s="240" t="n">
        <f aca="false">F21-(I21-AA21)</f>
        <v>9.69637005293673</v>
      </c>
      <c r="M21" s="242" t="n">
        <v>3.5</v>
      </c>
      <c r="N21" s="240" t="n">
        <v>0</v>
      </c>
      <c r="O21" s="240" t="n">
        <v>0</v>
      </c>
      <c r="P21" s="341" t="n">
        <v>1.38</v>
      </c>
      <c r="Q21" s="341" t="n">
        <v>2.24</v>
      </c>
      <c r="R21" s="342" t="n">
        <v>0</v>
      </c>
      <c r="S21" s="240" t="n">
        <v>60</v>
      </c>
      <c r="T21" s="240" t="n">
        <v>0</v>
      </c>
      <c r="U21" s="240" t="n">
        <f aca="false">M21-N21-O21-P21-Q21-R21+S21+T21</f>
        <v>59.88</v>
      </c>
      <c r="V21" s="216"/>
      <c r="W21" s="216"/>
      <c r="X21" s="240" t="n">
        <v>0</v>
      </c>
      <c r="Y21" s="240" t="n">
        <v>24</v>
      </c>
      <c r="Z21" s="216" t="n">
        <f aca="false">Z20-Y21</f>
        <v>1273</v>
      </c>
      <c r="AA21" s="117" t="n">
        <f aca="false">N21+O21+P21+Q21+R21+U21+X21+Y21</f>
        <v>87.5</v>
      </c>
      <c r="AB21" s="240" t="n">
        <f aca="false">IF(L21&lt;0,L21*-1,0)</f>
        <v>0</v>
      </c>
      <c r="AC21" s="240" t="n">
        <f aca="false">AA21+AB21</f>
        <v>87.5</v>
      </c>
      <c r="AD21" s="222" t="n">
        <v>0</v>
      </c>
      <c r="AE21" s="218" t="n">
        <v>38</v>
      </c>
      <c r="AF21" s="223" t="n">
        <v>4</v>
      </c>
      <c r="AG21" s="218" t="n">
        <f aca="false">AG20+(U21*1.9835)</f>
        <v>10016.8869522275</v>
      </c>
      <c r="AH21" s="218" t="n">
        <v>0</v>
      </c>
      <c r="AI21" s="240"/>
      <c r="AJ21" s="216"/>
      <c r="AK21" s="336"/>
    </row>
    <row r="22" customFormat="false" ht="11.1" hidden="false" customHeight="true" outlineLevel="0" collapsed="false">
      <c r="A22" s="153" t="n">
        <f aca="false">A21+1</f>
        <v>11</v>
      </c>
      <c r="B22" s="226" t="n">
        <v>6863.07</v>
      </c>
      <c r="C22" s="216" t="n">
        <v>170245</v>
      </c>
      <c r="D22" s="218" t="n">
        <f aca="false">C22-C21</f>
        <v>-73</v>
      </c>
      <c r="E22" s="216" t="n">
        <f aca="false">C22-152000</f>
        <v>18245</v>
      </c>
      <c r="F22" s="239" t="n">
        <f aca="false">D22/$D$2</f>
        <v>-36.8036299470633</v>
      </c>
      <c r="G22" s="240" t="n">
        <v>41</v>
      </c>
      <c r="H22" s="334" t="n">
        <v>0</v>
      </c>
      <c r="I22" s="240" t="n">
        <f aca="false">G22+H22</f>
        <v>41</v>
      </c>
      <c r="J22" s="221" t="n">
        <f aca="false">IF(L22&gt;0,L22,0)</f>
        <v>10.5963700529367</v>
      </c>
      <c r="K22" s="240" t="n">
        <f aca="false">I22+J22</f>
        <v>51.5963700529367</v>
      </c>
      <c r="L22" s="240" t="n">
        <f aca="false">F22-(I22-AA22)</f>
        <v>10.5963700529367</v>
      </c>
      <c r="M22" s="242" t="n">
        <v>3.4</v>
      </c>
      <c r="N22" s="240" t="n">
        <v>0</v>
      </c>
      <c r="O22" s="240" t="n">
        <v>0</v>
      </c>
      <c r="P22" s="341" t="n">
        <v>1.38</v>
      </c>
      <c r="Q22" s="341" t="n">
        <v>2.24</v>
      </c>
      <c r="R22" s="342" t="n">
        <v>0</v>
      </c>
      <c r="S22" s="240" t="n">
        <v>61</v>
      </c>
      <c r="T22" s="240" t="n">
        <v>0</v>
      </c>
      <c r="U22" s="240" t="n">
        <f aca="false">M22-N22-O22-P22-Q22-R22+S22+T22</f>
        <v>60.78</v>
      </c>
      <c r="V22" s="216"/>
      <c r="W22" s="216"/>
      <c r="X22" s="240" t="n">
        <v>0</v>
      </c>
      <c r="Y22" s="240" t="n">
        <v>24</v>
      </c>
      <c r="Z22" s="216" t="n">
        <f aca="false">Z21-Y22</f>
        <v>1249</v>
      </c>
      <c r="AA22" s="117" t="n">
        <f aca="false">N22+O22+P22+Q22+R22+U22+X22+Y22</f>
        <v>88.4</v>
      </c>
      <c r="AB22" s="240" t="n">
        <f aca="false">IF(L22&lt;0,L22*-1,0)</f>
        <v>0</v>
      </c>
      <c r="AC22" s="240" t="n">
        <f aca="false">AA22+AB22</f>
        <v>88.4</v>
      </c>
      <c r="AD22" s="222" t="n">
        <v>0</v>
      </c>
      <c r="AE22" s="218" t="n">
        <v>31</v>
      </c>
      <c r="AF22" s="223" t="n">
        <v>6</v>
      </c>
      <c r="AG22" s="218" t="n">
        <f aca="false">AG21+(U22*1.9835)</f>
        <v>10137.4440822275</v>
      </c>
      <c r="AH22" s="218" t="n">
        <v>0</v>
      </c>
      <c r="AI22" s="240"/>
      <c r="AJ22" s="216"/>
      <c r="AK22" s="336"/>
    </row>
    <row r="23" customFormat="false" ht="11.1" hidden="false" customHeight="true" outlineLevel="0" collapsed="false">
      <c r="A23" s="153" t="n">
        <f aca="false">A22+1</f>
        <v>12</v>
      </c>
      <c r="B23" s="226" t="n">
        <v>6863.04</v>
      </c>
      <c r="C23" s="216" t="n">
        <v>170173</v>
      </c>
      <c r="D23" s="218" t="n">
        <f aca="false">C23-C22</f>
        <v>-72</v>
      </c>
      <c r="E23" s="216" t="n">
        <f aca="false">C23-152000</f>
        <v>18173</v>
      </c>
      <c r="F23" s="239" t="n">
        <f aca="false">D23/$D$2</f>
        <v>-36.2994706327199</v>
      </c>
      <c r="G23" s="240" t="n">
        <v>40</v>
      </c>
      <c r="H23" s="334" t="n">
        <v>0</v>
      </c>
      <c r="I23" s="240" t="n">
        <f aca="false">G23+H23</f>
        <v>40</v>
      </c>
      <c r="J23" s="221" t="n">
        <f aca="false">IF(L23&gt;0,L23,0)</f>
        <v>12.1005293672801</v>
      </c>
      <c r="K23" s="240" t="n">
        <f aca="false">I23+J23</f>
        <v>52.1005293672801</v>
      </c>
      <c r="L23" s="240" t="n">
        <f aca="false">F23-(I23-AA23)</f>
        <v>12.1005293672801</v>
      </c>
      <c r="M23" s="242" t="n">
        <v>3.4</v>
      </c>
      <c r="N23" s="240" t="n">
        <v>0</v>
      </c>
      <c r="O23" s="240" t="n">
        <v>0</v>
      </c>
      <c r="P23" s="341" t="n">
        <v>1.35</v>
      </c>
      <c r="Q23" s="341" t="n">
        <v>2.04</v>
      </c>
      <c r="R23" s="342" t="n">
        <v>0</v>
      </c>
      <c r="S23" s="240" t="n">
        <v>61</v>
      </c>
      <c r="T23" s="240" t="n">
        <v>0</v>
      </c>
      <c r="U23" s="240" t="n">
        <f aca="false">M23-N23-O23-P23-Q23-R23+S23+T23</f>
        <v>61.01</v>
      </c>
      <c r="V23" s="216"/>
      <c r="W23" s="216"/>
      <c r="X23" s="240" t="n">
        <v>0</v>
      </c>
      <c r="Y23" s="240" t="n">
        <v>24</v>
      </c>
      <c r="Z23" s="216" t="n">
        <f aca="false">Z22-Y23</f>
        <v>1225</v>
      </c>
      <c r="AA23" s="117" t="n">
        <f aca="false">N23+O23+P23+Q23+R23+U23+X23+Y23</f>
        <v>88.4</v>
      </c>
      <c r="AB23" s="240" t="n">
        <f aca="false">IF(L23&lt;0,L23*-1,0)</f>
        <v>0</v>
      </c>
      <c r="AC23" s="240" t="n">
        <f aca="false">AA23+AB23</f>
        <v>88.4</v>
      </c>
      <c r="AD23" s="222" t="n">
        <v>0</v>
      </c>
      <c r="AE23" s="218" t="n">
        <v>29</v>
      </c>
      <c r="AF23" s="223" t="n">
        <v>-1</v>
      </c>
      <c r="AG23" s="218" t="n">
        <f aca="false">AG22+(U23*1.9835)</f>
        <v>10258.4574172275</v>
      </c>
      <c r="AH23" s="218" t="n">
        <v>0</v>
      </c>
      <c r="AI23" s="240"/>
      <c r="AJ23" s="216"/>
      <c r="AK23" s="336"/>
    </row>
    <row r="24" customFormat="false" ht="11.1" hidden="false" customHeight="true" outlineLevel="0" collapsed="false">
      <c r="A24" s="153" t="n">
        <f aca="false">A23+1</f>
        <v>13</v>
      </c>
      <c r="B24" s="226" t="n">
        <v>6863</v>
      </c>
      <c r="C24" s="216" t="n">
        <v>170076</v>
      </c>
      <c r="D24" s="218" t="n">
        <f aca="false">C24-C23</f>
        <v>-97</v>
      </c>
      <c r="E24" s="216" t="n">
        <f aca="false">C24-152000</f>
        <v>18076</v>
      </c>
      <c r="F24" s="239" t="n">
        <f aca="false">D24/$D$2</f>
        <v>-48.9034534913033</v>
      </c>
      <c r="G24" s="240" t="n">
        <v>38</v>
      </c>
      <c r="H24" s="334" t="n">
        <v>0</v>
      </c>
      <c r="I24" s="240" t="n">
        <f aca="false">G24+H24</f>
        <v>38</v>
      </c>
      <c r="J24" s="221" t="n">
        <f aca="false">IF(L24&gt;0,L24,0)</f>
        <v>0.496546508696753</v>
      </c>
      <c r="K24" s="240" t="n">
        <f aca="false">I24+J24</f>
        <v>38.4965465086968</v>
      </c>
      <c r="L24" s="240" t="n">
        <f aca="false">F24-(I24-AA24)</f>
        <v>0.496546508696753</v>
      </c>
      <c r="M24" s="242" t="n">
        <v>3.4</v>
      </c>
      <c r="N24" s="240" t="n">
        <v>0</v>
      </c>
      <c r="O24" s="240" t="n">
        <v>0</v>
      </c>
      <c r="P24" s="341" t="n">
        <v>1.35</v>
      </c>
      <c r="Q24" s="341" t="n">
        <v>2.04</v>
      </c>
      <c r="R24" s="342" t="n">
        <v>0</v>
      </c>
      <c r="S24" s="240" t="n">
        <v>60</v>
      </c>
      <c r="T24" s="240" t="n">
        <v>0</v>
      </c>
      <c r="U24" s="240" t="n">
        <f aca="false">M24-N24-O24-P24-Q24-R24+S24+T24</f>
        <v>60.01</v>
      </c>
      <c r="V24" s="216"/>
      <c r="W24" s="216"/>
      <c r="X24" s="240" t="n">
        <v>0</v>
      </c>
      <c r="Y24" s="240" t="n">
        <v>24</v>
      </c>
      <c r="Z24" s="216" t="n">
        <f aca="false">Z23-Y24</f>
        <v>1201</v>
      </c>
      <c r="AA24" s="117" t="n">
        <f aca="false">N24+O24+P24+Q24+R24+U24+X24+Y24</f>
        <v>87.4</v>
      </c>
      <c r="AB24" s="240" t="n">
        <f aca="false">IF(L24&lt;0,L24*-1,0)</f>
        <v>0</v>
      </c>
      <c r="AC24" s="240" t="n">
        <f aca="false">AA24+AB24</f>
        <v>87.4</v>
      </c>
      <c r="AD24" s="222" t="n">
        <v>0</v>
      </c>
      <c r="AE24" s="218" t="n">
        <v>37</v>
      </c>
      <c r="AF24" s="223" t="n">
        <v>-2</v>
      </c>
      <c r="AG24" s="218" t="n">
        <f aca="false">AG23+(U24*1.9835)</f>
        <v>10377.4872522275</v>
      </c>
      <c r="AH24" s="218" t="n">
        <v>0</v>
      </c>
      <c r="AI24" s="240"/>
      <c r="AJ24" s="216"/>
      <c r="AK24" s="336"/>
    </row>
    <row r="25" customFormat="false" ht="11.1" hidden="false" customHeight="true" outlineLevel="0" collapsed="false">
      <c r="A25" s="153" t="n">
        <f aca="false">A24+1</f>
        <v>14</v>
      </c>
      <c r="B25" s="226" t="n">
        <v>6862.97</v>
      </c>
      <c r="C25" s="216" t="n">
        <v>170005</v>
      </c>
      <c r="D25" s="218" t="n">
        <f aca="false">C25-C24</f>
        <v>-71</v>
      </c>
      <c r="E25" s="216" t="n">
        <f aca="false">C25-152000</f>
        <v>18005</v>
      </c>
      <c r="F25" s="239" t="n">
        <f aca="false">D25/$D$2</f>
        <v>-35.7953113183766</v>
      </c>
      <c r="G25" s="240" t="n">
        <v>42</v>
      </c>
      <c r="H25" s="334" t="n">
        <v>0</v>
      </c>
      <c r="I25" s="240" t="n">
        <f aca="false">G25+H25</f>
        <v>42</v>
      </c>
      <c r="J25" s="221" t="n">
        <f aca="false">IF(L25&gt;0,L25,0)</f>
        <v>9.6046886816234</v>
      </c>
      <c r="K25" s="240" t="n">
        <f aca="false">I25+J25</f>
        <v>51.6046886816234</v>
      </c>
      <c r="L25" s="240" t="n">
        <f aca="false">F25-(I25-AA25)</f>
        <v>9.6046886816234</v>
      </c>
      <c r="M25" s="242" t="n">
        <v>3.4</v>
      </c>
      <c r="N25" s="240" t="n">
        <v>0</v>
      </c>
      <c r="O25" s="240" t="n">
        <v>0</v>
      </c>
      <c r="P25" s="341" t="n">
        <v>1.35</v>
      </c>
      <c r="Q25" s="341" t="n">
        <v>2.04</v>
      </c>
      <c r="R25" s="342" t="n">
        <v>0</v>
      </c>
      <c r="S25" s="240" t="n">
        <v>60</v>
      </c>
      <c r="T25" s="240" t="n">
        <v>0</v>
      </c>
      <c r="U25" s="240" t="n">
        <f aca="false">M25-N25-O25-P25-Q25-R25+S25+T25</f>
        <v>60.01</v>
      </c>
      <c r="V25" s="216"/>
      <c r="W25" s="216"/>
      <c r="X25" s="240" t="n">
        <v>0</v>
      </c>
      <c r="Y25" s="240" t="n">
        <v>24</v>
      </c>
      <c r="Z25" s="216" t="n">
        <f aca="false">Z24-Y25</f>
        <v>1177</v>
      </c>
      <c r="AA25" s="117" t="n">
        <f aca="false">N25+O25+P25+Q25+R25+U25+X25+Y25</f>
        <v>87.4</v>
      </c>
      <c r="AB25" s="240" t="n">
        <f aca="false">IF(L25&lt;0,L25*-1,0)</f>
        <v>0</v>
      </c>
      <c r="AC25" s="240" t="n">
        <f aca="false">AA25+AB25</f>
        <v>87.4</v>
      </c>
      <c r="AD25" s="222" t="n">
        <v>0</v>
      </c>
      <c r="AE25" s="224" t="n">
        <v>39</v>
      </c>
      <c r="AF25" s="223" t="n">
        <v>2</v>
      </c>
      <c r="AG25" s="218" t="n">
        <f aca="false">AG24+(U25*1.9835)</f>
        <v>10496.5170872275</v>
      </c>
      <c r="AH25" s="218" t="n">
        <v>0</v>
      </c>
      <c r="AI25" s="240"/>
      <c r="AJ25" s="216"/>
      <c r="AK25" s="336"/>
    </row>
    <row r="26" customFormat="false" ht="11.1" hidden="false" customHeight="true" outlineLevel="0" collapsed="false">
      <c r="A26" s="153" t="n">
        <f aca="false">A25+1</f>
        <v>15</v>
      </c>
      <c r="B26" s="226" t="n">
        <v>6862.94</v>
      </c>
      <c r="C26" s="216" t="n">
        <v>169934</v>
      </c>
      <c r="D26" s="218" t="n">
        <f aca="false">C26-C25</f>
        <v>-71</v>
      </c>
      <c r="E26" s="216" t="n">
        <f aca="false">C26-152000</f>
        <v>17934</v>
      </c>
      <c r="F26" s="239" t="n">
        <f aca="false">D26/$D$2</f>
        <v>-35.7953113183766</v>
      </c>
      <c r="G26" s="240" t="n">
        <v>43</v>
      </c>
      <c r="H26" s="334" t="n">
        <v>0</v>
      </c>
      <c r="I26" s="240" t="n">
        <f aca="false">G26+H26</f>
        <v>43</v>
      </c>
      <c r="J26" s="221" t="n">
        <f aca="false">IF(L26&gt;0,L26,0)</f>
        <v>8.6046886816234</v>
      </c>
      <c r="K26" s="240" t="n">
        <f aca="false">I26+J26</f>
        <v>51.6046886816234</v>
      </c>
      <c r="L26" s="240" t="n">
        <f aca="false">F26-(I26-AA26)</f>
        <v>8.6046886816234</v>
      </c>
      <c r="M26" s="242" t="n">
        <v>3.4</v>
      </c>
      <c r="N26" s="240" t="n">
        <v>0</v>
      </c>
      <c r="O26" s="240" t="n">
        <v>0</v>
      </c>
      <c r="P26" s="341" t="n">
        <v>1.35</v>
      </c>
      <c r="Q26" s="341" t="n">
        <v>2.04</v>
      </c>
      <c r="R26" s="342" t="n">
        <v>0</v>
      </c>
      <c r="S26" s="240" t="n">
        <v>60</v>
      </c>
      <c r="T26" s="240" t="n">
        <v>0</v>
      </c>
      <c r="U26" s="240" t="n">
        <f aca="false">M26-N26-O26-P26-Q26-R26+S26+T26</f>
        <v>60.01</v>
      </c>
      <c r="V26" s="216"/>
      <c r="W26" s="216"/>
      <c r="X26" s="240" t="n">
        <v>0</v>
      </c>
      <c r="Y26" s="240" t="n">
        <v>24</v>
      </c>
      <c r="Z26" s="216" t="n">
        <f aca="false">Z25-Y26</f>
        <v>1153</v>
      </c>
      <c r="AA26" s="117" t="n">
        <f aca="false">N26+O26+P26+Q26+R26+U26+X26+Y26</f>
        <v>87.4</v>
      </c>
      <c r="AB26" s="240" t="n">
        <f aca="false">IF(L26&lt;0,L26*-1,0)</f>
        <v>0</v>
      </c>
      <c r="AC26" s="240" t="n">
        <f aca="false">AA26+AB26</f>
        <v>87.4</v>
      </c>
      <c r="AD26" s="222" t="n">
        <v>0</v>
      </c>
      <c r="AE26" s="224" t="n">
        <v>41</v>
      </c>
      <c r="AF26" s="223" t="n">
        <v>11</v>
      </c>
      <c r="AG26" s="218" t="n">
        <f aca="false">AG25+(U26*1.9835)</f>
        <v>10615.5469222275</v>
      </c>
      <c r="AH26" s="218" t="n">
        <v>0</v>
      </c>
      <c r="AI26" s="240"/>
      <c r="AJ26" s="216"/>
      <c r="AK26" s="336"/>
    </row>
    <row r="27" customFormat="false" ht="11.1" hidden="false" customHeight="true" outlineLevel="0" collapsed="false">
      <c r="A27" s="153" t="n">
        <f aca="false">A26+1</f>
        <v>16</v>
      </c>
      <c r="B27" s="226" t="n">
        <v>6862.91</v>
      </c>
      <c r="C27" s="216" t="n">
        <v>169862</v>
      </c>
      <c r="D27" s="218" t="n">
        <f aca="false">C27-C26</f>
        <v>-72</v>
      </c>
      <c r="E27" s="216" t="n">
        <f aca="false">C27-152000</f>
        <v>17862</v>
      </c>
      <c r="F27" s="239" t="n">
        <f aca="false">D27/$D$2</f>
        <v>-36.2994706327199</v>
      </c>
      <c r="G27" s="240" t="n">
        <v>42</v>
      </c>
      <c r="H27" s="334" t="n">
        <v>0.2</v>
      </c>
      <c r="I27" s="240" t="n">
        <f aca="false">G27+H27</f>
        <v>42.2</v>
      </c>
      <c r="J27" s="221" t="n">
        <f aca="false">IF(L27&gt;0,L27,0)</f>
        <v>4.90052936728007</v>
      </c>
      <c r="K27" s="240" t="n">
        <f aca="false">I27+J27</f>
        <v>47.1005293672801</v>
      </c>
      <c r="L27" s="240" t="n">
        <f aca="false">F27-(I27-AA27)</f>
        <v>4.90052936728007</v>
      </c>
      <c r="M27" s="242" t="n">
        <v>3.4</v>
      </c>
      <c r="N27" s="240" t="n">
        <v>0</v>
      </c>
      <c r="O27" s="240" t="n">
        <v>0</v>
      </c>
      <c r="P27" s="341" t="n">
        <v>1.35</v>
      </c>
      <c r="Q27" s="341" t="n">
        <v>2.04</v>
      </c>
      <c r="R27" s="342" t="n">
        <v>0</v>
      </c>
      <c r="S27" s="240" t="n">
        <v>56</v>
      </c>
      <c r="T27" s="240" t="n">
        <v>0</v>
      </c>
      <c r="U27" s="240" t="n">
        <f aca="false">M27-N27-O27-P27-Q27-R27+S27+T27</f>
        <v>56.01</v>
      </c>
      <c r="V27" s="216"/>
      <c r="W27" s="216"/>
      <c r="X27" s="240" t="n">
        <v>0</v>
      </c>
      <c r="Y27" s="240" t="n">
        <v>24</v>
      </c>
      <c r="Z27" s="216" t="n">
        <f aca="false">Z26-Y27</f>
        <v>1129</v>
      </c>
      <c r="AA27" s="117" t="n">
        <f aca="false">N27+O27+P27+Q27+R27+U27+X27+Y27</f>
        <v>83.4</v>
      </c>
      <c r="AB27" s="240" t="n">
        <f aca="false">IF(L27&lt;0,L27*-1,0)</f>
        <v>0</v>
      </c>
      <c r="AC27" s="240" t="n">
        <f aca="false">AA27+AB27</f>
        <v>83.4</v>
      </c>
      <c r="AD27" s="222" t="n">
        <v>0</v>
      </c>
      <c r="AE27" s="224" t="n">
        <v>44</v>
      </c>
      <c r="AF27" s="223" t="n">
        <v>11</v>
      </c>
      <c r="AG27" s="218" t="n">
        <f aca="false">AG26+(U27*1.9835)</f>
        <v>10726.6427572275</v>
      </c>
      <c r="AH27" s="218" t="n">
        <v>0</v>
      </c>
      <c r="AI27" s="240"/>
      <c r="AJ27" s="216"/>
      <c r="AK27" s="336"/>
    </row>
    <row r="28" customFormat="false" ht="11.1" hidden="false" customHeight="true" outlineLevel="0" collapsed="false">
      <c r="A28" s="153" t="n">
        <f aca="false">A27+1</f>
        <v>17</v>
      </c>
      <c r="B28" s="226" t="n">
        <v>6862.88</v>
      </c>
      <c r="C28" s="216" t="n">
        <v>169791</v>
      </c>
      <c r="D28" s="218" t="n">
        <f aca="false">C28-C27</f>
        <v>-71</v>
      </c>
      <c r="E28" s="216" t="n">
        <f aca="false">C28-152000</f>
        <v>17791</v>
      </c>
      <c r="F28" s="239" t="n">
        <f aca="false">D28/$D$2</f>
        <v>-35.7953113183766</v>
      </c>
      <c r="G28" s="240" t="n">
        <v>43</v>
      </c>
      <c r="H28" s="334" t="n">
        <v>1.6</v>
      </c>
      <c r="I28" s="240" t="n">
        <f aca="false">G28+H28</f>
        <v>44.6</v>
      </c>
      <c r="J28" s="221" t="n">
        <f aca="false">IF(L28&gt;0,L28,0)</f>
        <v>1.0046886816234</v>
      </c>
      <c r="K28" s="240" t="n">
        <f aca="false">I28+J28</f>
        <v>45.6046886816234</v>
      </c>
      <c r="L28" s="240" t="n">
        <f aca="false">F28-(I28-AA28)</f>
        <v>1.0046886816234</v>
      </c>
      <c r="M28" s="242" t="n">
        <v>3.4</v>
      </c>
      <c r="N28" s="240" t="n">
        <v>0</v>
      </c>
      <c r="O28" s="240" t="n">
        <v>0</v>
      </c>
      <c r="P28" s="341" t="n">
        <v>1.35</v>
      </c>
      <c r="Q28" s="341" t="n">
        <v>2.04</v>
      </c>
      <c r="R28" s="342" t="n">
        <v>0</v>
      </c>
      <c r="S28" s="240" t="n">
        <v>53</v>
      </c>
      <c r="T28" s="240" t="n">
        <v>0</v>
      </c>
      <c r="U28" s="240" t="n">
        <f aca="false">M28-N28-O28-P28-Q28-R28+S28+T28</f>
        <v>53.01</v>
      </c>
      <c r="V28" s="216"/>
      <c r="W28" s="216"/>
      <c r="X28" s="240" t="n">
        <v>0</v>
      </c>
      <c r="Y28" s="240" t="n">
        <v>25</v>
      </c>
      <c r="Z28" s="216" t="n">
        <f aca="false">Z27-Y28</f>
        <v>1104</v>
      </c>
      <c r="AA28" s="117" t="n">
        <f aca="false">N28+O28+P28+Q28+R28+U28+X28+Y28</f>
        <v>81.4</v>
      </c>
      <c r="AB28" s="240" t="n">
        <f aca="false">IF(L28&lt;0,L28*-1,0)</f>
        <v>0</v>
      </c>
      <c r="AC28" s="240" t="n">
        <f aca="false">AA28+AB28</f>
        <v>81.4</v>
      </c>
      <c r="AD28" s="222" t="n">
        <v>0</v>
      </c>
      <c r="AE28" s="224" t="n">
        <v>55</v>
      </c>
      <c r="AF28" s="223" t="n">
        <v>19</v>
      </c>
      <c r="AG28" s="218" t="n">
        <f aca="false">AG27+(U28*1.9835)</f>
        <v>10831.7880922275</v>
      </c>
      <c r="AH28" s="218" t="n">
        <v>0</v>
      </c>
      <c r="AI28" s="240"/>
      <c r="AJ28" s="216"/>
      <c r="AK28" s="336"/>
    </row>
    <row r="29" customFormat="false" ht="11.1" hidden="false" customHeight="true" outlineLevel="0" collapsed="false">
      <c r="A29" s="153" t="n">
        <f aca="false">A28+1</f>
        <v>18</v>
      </c>
      <c r="B29" s="226" t="n">
        <v>6862.89</v>
      </c>
      <c r="C29" s="216" t="n">
        <v>169815</v>
      </c>
      <c r="D29" s="218" t="n">
        <f aca="false">C29-C28</f>
        <v>24</v>
      </c>
      <c r="E29" s="216" t="n">
        <f aca="false">C29-152000</f>
        <v>17815</v>
      </c>
      <c r="F29" s="239" t="n">
        <f aca="false">D29/$D$2</f>
        <v>12.09982354424</v>
      </c>
      <c r="G29" s="240" t="n">
        <v>46</v>
      </c>
      <c r="H29" s="334" t="n">
        <v>1.2</v>
      </c>
      <c r="I29" s="240" t="n">
        <f aca="false">G29+H29</f>
        <v>47.2</v>
      </c>
      <c r="J29" s="221" t="n">
        <f aca="false">IF(L29&gt;0,L29,0)</f>
        <v>44.29982354424</v>
      </c>
      <c r="K29" s="240" t="n">
        <f aca="false">I29+J29</f>
        <v>91.49982354424</v>
      </c>
      <c r="L29" s="240" t="n">
        <f aca="false">F29-(I29-AA29)</f>
        <v>44.29982354424</v>
      </c>
      <c r="M29" s="242" t="n">
        <v>3.4</v>
      </c>
      <c r="N29" s="240" t="n">
        <v>0</v>
      </c>
      <c r="O29" s="240" t="n">
        <v>0</v>
      </c>
      <c r="P29" s="341" t="n">
        <v>1.35</v>
      </c>
      <c r="Q29" s="341" t="n">
        <v>2.04</v>
      </c>
      <c r="R29" s="342" t="n">
        <v>0</v>
      </c>
      <c r="S29" s="240" t="n">
        <v>52</v>
      </c>
      <c r="T29" s="240" t="n">
        <v>0</v>
      </c>
      <c r="U29" s="240" t="n">
        <f aca="false">M29-N29-O29-P29-Q29-R29+S29+T29</f>
        <v>52.01</v>
      </c>
      <c r="V29" s="216"/>
      <c r="W29" s="216"/>
      <c r="X29" s="240" t="n">
        <v>0</v>
      </c>
      <c r="Y29" s="240" t="n">
        <v>24</v>
      </c>
      <c r="Z29" s="216" t="n">
        <f aca="false">Z28-Y29</f>
        <v>1080</v>
      </c>
      <c r="AA29" s="117" t="n">
        <f aca="false">N29+O29+P29+Q29+R29+U29+X29+Y29</f>
        <v>79.4</v>
      </c>
      <c r="AB29" s="240" t="n">
        <f aca="false">IF(L29&lt;0,L29*-1,0)</f>
        <v>0</v>
      </c>
      <c r="AC29" s="240" t="n">
        <f aca="false">AA29+AB29</f>
        <v>79.4</v>
      </c>
      <c r="AD29" s="343" t="n">
        <v>0</v>
      </c>
      <c r="AE29" s="224" t="n">
        <v>53</v>
      </c>
      <c r="AF29" s="223" t="n">
        <v>30</v>
      </c>
      <c r="AG29" s="218" t="n">
        <f aca="false">AG28+(U29*1.9835)</f>
        <v>10934.9499272275</v>
      </c>
      <c r="AH29" s="218" t="n">
        <v>0</v>
      </c>
      <c r="AI29" s="240"/>
      <c r="AJ29" s="216"/>
      <c r="AK29" s="336"/>
    </row>
    <row r="30" customFormat="false" ht="11.1" hidden="false" customHeight="true" outlineLevel="0" collapsed="false">
      <c r="A30" s="153" t="n">
        <f aca="false">A29+1</f>
        <v>19</v>
      </c>
      <c r="B30" s="226" t="n">
        <v>6862.87</v>
      </c>
      <c r="C30" s="344" t="n">
        <v>169767</v>
      </c>
      <c r="D30" s="218" t="n">
        <f aca="false">C30-C29</f>
        <v>-48</v>
      </c>
      <c r="E30" s="216" t="n">
        <f aca="false">C30-152000</f>
        <v>17767</v>
      </c>
      <c r="F30" s="239" t="n">
        <f aca="false">D30/$D$2</f>
        <v>-24.19964708848</v>
      </c>
      <c r="G30" s="240" t="n">
        <v>53</v>
      </c>
      <c r="H30" s="334" t="n">
        <v>5.3</v>
      </c>
      <c r="I30" s="240" t="n">
        <f aca="false">G30+H30</f>
        <v>58.3</v>
      </c>
      <c r="J30" s="221" t="n">
        <f aca="false">IF(L30&gt;0,L30,0)</f>
        <v>0</v>
      </c>
      <c r="K30" s="240" t="n">
        <f aca="false">I30+J30</f>
        <v>58.3</v>
      </c>
      <c r="L30" s="240" t="n">
        <f aca="false">F30-(I30-AA30)</f>
        <v>-3.09964708847995</v>
      </c>
      <c r="M30" s="242" t="n">
        <v>3.4</v>
      </c>
      <c r="N30" s="240" t="n">
        <v>0</v>
      </c>
      <c r="O30" s="240" t="n">
        <v>0</v>
      </c>
      <c r="P30" s="341" t="n">
        <v>1.35</v>
      </c>
      <c r="Q30" s="341" t="n">
        <v>2.04</v>
      </c>
      <c r="R30" s="342" t="n">
        <v>0</v>
      </c>
      <c r="S30" s="240" t="n">
        <v>52</v>
      </c>
      <c r="T30" s="240" t="n">
        <v>0</v>
      </c>
      <c r="U30" s="240" t="n">
        <f aca="false">M30-N30-O30-P30-Q30-R30+S30+T30</f>
        <v>52.01</v>
      </c>
      <c r="V30" s="216"/>
      <c r="W30" s="216"/>
      <c r="X30" s="240" t="n">
        <v>0</v>
      </c>
      <c r="Y30" s="240" t="n">
        <v>24</v>
      </c>
      <c r="Z30" s="216" t="n">
        <f aca="false">Z29-Y30</f>
        <v>1056</v>
      </c>
      <c r="AA30" s="117" t="n">
        <f aca="false">N30+O30+P30+Q30+R30+U30+X30+Y30</f>
        <v>79.4</v>
      </c>
      <c r="AB30" s="240" t="n">
        <f aca="false">IF(L30&lt;0,L30*-1,0)</f>
        <v>3.09964708847995</v>
      </c>
      <c r="AC30" s="240" t="n">
        <f aca="false">AA30+AB30</f>
        <v>82.49964708848</v>
      </c>
      <c r="AD30" s="222" t="n">
        <v>0</v>
      </c>
      <c r="AE30" s="224" t="n">
        <v>46</v>
      </c>
      <c r="AF30" s="223" t="n">
        <v>26</v>
      </c>
      <c r="AG30" s="218" t="n">
        <f aca="false">AG29+(U30*1.9835)</f>
        <v>11038.1117622275</v>
      </c>
      <c r="AH30" s="218" t="n">
        <v>0</v>
      </c>
      <c r="AI30" s="240"/>
      <c r="AJ30" s="216"/>
      <c r="AK30" s="336"/>
    </row>
    <row r="31" customFormat="false" ht="11.1" hidden="false" customHeight="true" outlineLevel="0" collapsed="false">
      <c r="A31" s="153" t="n">
        <f aca="false">A30+1</f>
        <v>20</v>
      </c>
      <c r="B31" s="226" t="n">
        <v>6862.85</v>
      </c>
      <c r="C31" s="216" t="n">
        <v>169720</v>
      </c>
      <c r="D31" s="218" t="n">
        <f aca="false">C31-C30</f>
        <v>-47</v>
      </c>
      <c r="E31" s="216" t="n">
        <f aca="false">C31-152000</f>
        <v>17720</v>
      </c>
      <c r="F31" s="239" t="n">
        <f aca="false">D31/$D$2</f>
        <v>-23.6954877741366</v>
      </c>
      <c r="G31" s="240" t="n">
        <v>53</v>
      </c>
      <c r="H31" s="334" t="n">
        <v>11</v>
      </c>
      <c r="I31" s="240" t="n">
        <f aca="false">G31+H31</f>
        <v>64</v>
      </c>
      <c r="J31" s="221" t="n">
        <f aca="false">IF(L31&gt;0,L31,0)</f>
        <v>0</v>
      </c>
      <c r="K31" s="240" t="n">
        <f aca="false">I31+J31</f>
        <v>64</v>
      </c>
      <c r="L31" s="240" t="n">
        <f aca="false">F31-(I31-AA31)</f>
        <v>-4.29548777413662</v>
      </c>
      <c r="M31" s="242" t="n">
        <v>3.4</v>
      </c>
      <c r="N31" s="240" t="n">
        <v>0</v>
      </c>
      <c r="O31" s="240" t="n">
        <v>0</v>
      </c>
      <c r="P31" s="341" t="n">
        <v>1.35</v>
      </c>
      <c r="Q31" s="341" t="n">
        <v>2.04</v>
      </c>
      <c r="R31" s="342" t="n">
        <v>0</v>
      </c>
      <c r="S31" s="240" t="n">
        <v>56</v>
      </c>
      <c r="T31" s="240" t="n">
        <v>0</v>
      </c>
      <c r="U31" s="240" t="n">
        <f aca="false">M31-N31-O31-P31-Q31-R31+S31+T31</f>
        <v>56.01</v>
      </c>
      <c r="V31" s="216"/>
      <c r="W31" s="216"/>
      <c r="X31" s="240" t="n">
        <v>0</v>
      </c>
      <c r="Y31" s="240" t="n">
        <v>24</v>
      </c>
      <c r="Z31" s="216" t="n">
        <f aca="false">Z30-Y31</f>
        <v>1032</v>
      </c>
      <c r="AA31" s="117" t="n">
        <f aca="false">N31+O31+P31+Q31+R31+U31+X31+Y31</f>
        <v>83.4</v>
      </c>
      <c r="AB31" s="240" t="n">
        <f aca="false">IF(L31&lt;0,L31*-1,0)</f>
        <v>4.29548777413662</v>
      </c>
      <c r="AC31" s="240" t="n">
        <f aca="false">AA31+AB31</f>
        <v>87.6954877741366</v>
      </c>
      <c r="AD31" s="222" t="n">
        <v>0</v>
      </c>
      <c r="AE31" s="224" t="n">
        <v>45</v>
      </c>
      <c r="AF31" s="223" t="n">
        <v>21</v>
      </c>
      <c r="AG31" s="218" t="n">
        <f aca="false">AG30+(U31*1.9835)</f>
        <v>11149.2075972275</v>
      </c>
      <c r="AH31" s="218" t="n">
        <v>0</v>
      </c>
      <c r="AI31" s="240"/>
      <c r="AJ31" s="216"/>
      <c r="AK31" s="336"/>
    </row>
    <row r="32" customFormat="false" ht="11.1" hidden="false" customHeight="true" outlineLevel="0" collapsed="false">
      <c r="A32" s="153" t="n">
        <f aca="false">A31+1</f>
        <v>21</v>
      </c>
      <c r="B32" s="226" t="n">
        <v>6862.85</v>
      </c>
      <c r="C32" s="216" t="n">
        <v>169720</v>
      </c>
      <c r="D32" s="218" t="n">
        <f aca="false">C32-C31</f>
        <v>0</v>
      </c>
      <c r="E32" s="216" t="n">
        <f aca="false">C32-152000</f>
        <v>17720</v>
      </c>
      <c r="F32" s="239" t="n">
        <f aca="false">D32/$D$2</f>
        <v>0</v>
      </c>
      <c r="G32" s="240" t="n">
        <v>52</v>
      </c>
      <c r="H32" s="334" t="n">
        <v>2.4</v>
      </c>
      <c r="I32" s="240" t="n">
        <f aca="false">G32+H32</f>
        <v>54.4</v>
      </c>
      <c r="J32" s="221" t="n">
        <f aca="false">IF(L32&gt;0,L32,0)</f>
        <v>29</v>
      </c>
      <c r="K32" s="240" t="n">
        <f aca="false">I32+J32</f>
        <v>83.4</v>
      </c>
      <c r="L32" s="240" t="n">
        <f aca="false">F32-(I32-AA32)</f>
        <v>29</v>
      </c>
      <c r="M32" s="242" t="n">
        <v>3.4</v>
      </c>
      <c r="N32" s="240" t="n">
        <v>0</v>
      </c>
      <c r="O32" s="240" t="n">
        <v>0</v>
      </c>
      <c r="P32" s="341" t="n">
        <v>1.35</v>
      </c>
      <c r="Q32" s="341" t="n">
        <v>2.04</v>
      </c>
      <c r="R32" s="342" t="n">
        <v>0</v>
      </c>
      <c r="S32" s="240" t="n">
        <v>56</v>
      </c>
      <c r="T32" s="240" t="n">
        <v>0</v>
      </c>
      <c r="U32" s="240" t="n">
        <f aca="false">M32-N32-O32-P32-Q32-R32+S32+T32</f>
        <v>56.01</v>
      </c>
      <c r="V32" s="216"/>
      <c r="W32" s="216"/>
      <c r="X32" s="240" t="n">
        <v>0</v>
      </c>
      <c r="Y32" s="240" t="n">
        <v>24</v>
      </c>
      <c r="Z32" s="216" t="n">
        <f aca="false">Z31-Y32</f>
        <v>1008</v>
      </c>
      <c r="AA32" s="117" t="n">
        <f aca="false">N32+O32+P32+Q32+R32+U32+X32+Y32</f>
        <v>83.4</v>
      </c>
      <c r="AB32" s="240" t="n">
        <f aca="false">IF(L32&lt;0,L32*-1,0)</f>
        <v>0</v>
      </c>
      <c r="AC32" s="240" t="n">
        <f aca="false">AA32+AB32</f>
        <v>83.4</v>
      </c>
      <c r="AD32" s="222" t="n">
        <v>0.25</v>
      </c>
      <c r="AE32" s="218" t="n">
        <v>43</v>
      </c>
      <c r="AF32" s="223" t="n">
        <v>28</v>
      </c>
      <c r="AG32" s="218" t="n">
        <f aca="false">AG31+(U32*1.9835)</f>
        <v>11260.3034322275</v>
      </c>
      <c r="AH32" s="218" t="n">
        <v>0</v>
      </c>
      <c r="AI32" s="240"/>
      <c r="AJ32" s="216"/>
      <c r="AK32" s="336"/>
    </row>
    <row r="33" customFormat="false" ht="11.1" hidden="false" customHeight="true" outlineLevel="0" collapsed="false">
      <c r="A33" s="153" t="n">
        <f aca="false">A32+1</f>
        <v>22</v>
      </c>
      <c r="B33" s="226" t="n">
        <v>6862.83</v>
      </c>
      <c r="C33" s="216" t="n">
        <v>169672</v>
      </c>
      <c r="D33" s="218" t="n">
        <f aca="false">C33-C32</f>
        <v>-48</v>
      </c>
      <c r="E33" s="216" t="n">
        <f aca="false">C33-152000</f>
        <v>17672</v>
      </c>
      <c r="F33" s="239" t="n">
        <f aca="false">D33/$D$2</f>
        <v>-24.19964708848</v>
      </c>
      <c r="G33" s="240" t="n">
        <v>51</v>
      </c>
      <c r="H33" s="334" t="n">
        <v>1.6</v>
      </c>
      <c r="I33" s="240" t="n">
        <f aca="false">G33+H33</f>
        <v>52.6</v>
      </c>
      <c r="J33" s="221" t="n">
        <f aca="false">IF(L33&gt;0,L33,0)</f>
        <v>8.60035291152004</v>
      </c>
      <c r="K33" s="240" t="n">
        <f aca="false">I33+J33</f>
        <v>61.20035291152</v>
      </c>
      <c r="L33" s="240" t="n">
        <f aca="false">F33-(I33-AA33)</f>
        <v>8.60035291152004</v>
      </c>
      <c r="M33" s="242" t="n">
        <v>3.4</v>
      </c>
      <c r="N33" s="240" t="n">
        <v>0</v>
      </c>
      <c r="O33" s="240" t="n">
        <v>0</v>
      </c>
      <c r="P33" s="341" t="n">
        <v>1.35</v>
      </c>
      <c r="Q33" s="341" t="n">
        <v>2.04</v>
      </c>
      <c r="R33" s="342" t="n">
        <v>0</v>
      </c>
      <c r="S33" s="240" t="n">
        <v>56</v>
      </c>
      <c r="T33" s="240" t="n">
        <v>0</v>
      </c>
      <c r="U33" s="240" t="n">
        <f aca="false">M33-N33-O33-P33-Q33-R33+S33+T33</f>
        <v>56.01</v>
      </c>
      <c r="V33" s="216"/>
      <c r="W33" s="216"/>
      <c r="X33" s="240" t="n">
        <v>0</v>
      </c>
      <c r="Y33" s="240" t="n">
        <v>26</v>
      </c>
      <c r="Z33" s="216" t="n">
        <f aca="false">Z32-Y33</f>
        <v>982</v>
      </c>
      <c r="AA33" s="117" t="n">
        <f aca="false">N33+O33+P33+Q33+R33+U33+X33+Y33</f>
        <v>85.4</v>
      </c>
      <c r="AB33" s="240" t="n">
        <f aca="false">IF(L33&lt;0,L33*-1,0)</f>
        <v>0</v>
      </c>
      <c r="AC33" s="240" t="n">
        <f aca="false">AA33+AB33</f>
        <v>85.4</v>
      </c>
      <c r="AD33" s="222" t="n">
        <v>0.12</v>
      </c>
      <c r="AE33" s="218" t="n">
        <v>45</v>
      </c>
      <c r="AF33" s="223" t="n">
        <v>26</v>
      </c>
      <c r="AG33" s="218" t="n">
        <f aca="false">AG32+(U33*1.9835)</f>
        <v>11371.3992672275</v>
      </c>
      <c r="AH33" s="218" t="n">
        <v>0</v>
      </c>
      <c r="AI33" s="240"/>
      <c r="AJ33" s="216"/>
      <c r="AK33" s="336"/>
    </row>
    <row r="34" customFormat="false" ht="11.1" hidden="false" customHeight="true" outlineLevel="0" collapsed="false">
      <c r="A34" s="153" t="n">
        <f aca="false">A33+1</f>
        <v>23</v>
      </c>
      <c r="B34" s="226" t="n">
        <v>6862.82</v>
      </c>
      <c r="C34" s="216" t="n">
        <v>169648</v>
      </c>
      <c r="D34" s="218" t="n">
        <f aca="false">C34-C33</f>
        <v>-24</v>
      </c>
      <c r="E34" s="216" t="n">
        <f aca="false">C34-152000</f>
        <v>17648</v>
      </c>
      <c r="F34" s="239" t="n">
        <f aca="false">D34/$D$2</f>
        <v>-12.09982354424</v>
      </c>
      <c r="G34" s="240" t="n">
        <v>50</v>
      </c>
      <c r="H34" s="334" t="n">
        <v>1</v>
      </c>
      <c r="I34" s="240" t="n">
        <f aca="false">G34+H34</f>
        <v>51</v>
      </c>
      <c r="J34" s="221" t="n">
        <f aca="false">IF(L34&gt;0,L34,0)</f>
        <v>22.30017645576</v>
      </c>
      <c r="K34" s="240" t="n">
        <f aca="false">I34+J34</f>
        <v>73.30017645576</v>
      </c>
      <c r="L34" s="240" t="n">
        <f aca="false">F34-(I34-AA34)</f>
        <v>22.30017645576</v>
      </c>
      <c r="M34" s="242" t="n">
        <v>3.4</v>
      </c>
      <c r="N34" s="240" t="n">
        <v>0</v>
      </c>
      <c r="O34" s="240" t="n">
        <v>0</v>
      </c>
      <c r="P34" s="341" t="n">
        <v>1.35</v>
      </c>
      <c r="Q34" s="341" t="n">
        <v>2.04</v>
      </c>
      <c r="R34" s="342" t="n">
        <v>0</v>
      </c>
      <c r="S34" s="240" t="n">
        <v>56</v>
      </c>
      <c r="T34" s="240" t="n">
        <v>0</v>
      </c>
      <c r="U34" s="240" t="n">
        <f aca="false">M34-N34-O34-P34-Q34-R34+S34+T34</f>
        <v>56.01</v>
      </c>
      <c r="V34" s="216"/>
      <c r="W34" s="216"/>
      <c r="X34" s="240" t="n">
        <v>0</v>
      </c>
      <c r="Y34" s="240" t="n">
        <v>26</v>
      </c>
      <c r="Z34" s="216" t="n">
        <f aca="false">Z33-Y34</f>
        <v>956</v>
      </c>
      <c r="AA34" s="117" t="n">
        <f aca="false">N34+O34+P34+Q34+R34+U34+X34+Y34</f>
        <v>85.4</v>
      </c>
      <c r="AB34" s="240" t="n">
        <f aca="false">IF(L34&lt;0,L34*-1,0)</f>
        <v>0</v>
      </c>
      <c r="AC34" s="240" t="n">
        <f aca="false">AA34+AB34</f>
        <v>85.4</v>
      </c>
      <c r="AD34" s="222" t="n">
        <v>0.05</v>
      </c>
      <c r="AE34" s="218" t="n">
        <v>42</v>
      </c>
      <c r="AF34" s="243" t="n">
        <v>20</v>
      </c>
      <c r="AG34" s="218" t="n">
        <f aca="false">AG33+(U34*1.9835)</f>
        <v>11482.4951022275</v>
      </c>
      <c r="AH34" s="218" t="n">
        <v>0</v>
      </c>
      <c r="AI34" s="240"/>
      <c r="AJ34" s="216"/>
      <c r="AK34" s="336"/>
    </row>
    <row r="35" customFormat="false" ht="11.1" hidden="false" customHeight="true" outlineLevel="0" collapsed="false">
      <c r="A35" s="153" t="n">
        <f aca="false">A34+1</f>
        <v>24</v>
      </c>
      <c r="B35" s="226" t="n">
        <v>6862.86</v>
      </c>
      <c r="C35" s="216" t="n">
        <v>169743</v>
      </c>
      <c r="D35" s="218" t="n">
        <f aca="false">C35-C34</f>
        <v>95</v>
      </c>
      <c r="E35" s="216" t="n">
        <f aca="false">C35-152000</f>
        <v>17743</v>
      </c>
      <c r="F35" s="239" t="n">
        <f aca="false">D35/$D$2</f>
        <v>47.8951348626166</v>
      </c>
      <c r="G35" s="240" t="n">
        <v>52</v>
      </c>
      <c r="H35" s="334" t="n">
        <v>1.5</v>
      </c>
      <c r="I35" s="240" t="n">
        <f aca="false">G35+H35</f>
        <v>53.5</v>
      </c>
      <c r="J35" s="221" t="n">
        <f aca="false">IF(L35&gt;0,L35,0)</f>
        <v>77.7951348626166</v>
      </c>
      <c r="K35" s="240" t="n">
        <f aca="false">I35+J35</f>
        <v>131.295134862617</v>
      </c>
      <c r="L35" s="240" t="n">
        <f aca="false">F35-(I35-AA35)</f>
        <v>77.7951348626166</v>
      </c>
      <c r="M35" s="242" t="n">
        <v>3.4</v>
      </c>
      <c r="N35" s="240" t="n">
        <v>0</v>
      </c>
      <c r="O35" s="240" t="n">
        <v>0</v>
      </c>
      <c r="P35" s="341" t="n">
        <v>1.35</v>
      </c>
      <c r="Q35" s="341" t="n">
        <v>2.04</v>
      </c>
      <c r="R35" s="342" t="n">
        <v>0</v>
      </c>
      <c r="S35" s="240" t="n">
        <v>56</v>
      </c>
      <c r="T35" s="240" t="n">
        <v>0</v>
      </c>
      <c r="U35" s="240" t="n">
        <f aca="false">M35-N35-O35-P35-Q35-R35+S35+T35</f>
        <v>56.01</v>
      </c>
      <c r="V35" s="216"/>
      <c r="W35" s="216"/>
      <c r="X35" s="240" t="n">
        <v>0</v>
      </c>
      <c r="Y35" s="240" t="n">
        <v>24</v>
      </c>
      <c r="Z35" s="216" t="n">
        <f aca="false">Z34-Y35</f>
        <v>932</v>
      </c>
      <c r="AA35" s="117" t="n">
        <f aca="false">N35+O35+P35+Q35+R35+U35+X35+Y35</f>
        <v>83.4</v>
      </c>
      <c r="AB35" s="240" t="n">
        <f aca="false">IF(L35&lt;0,L35*-1,0)</f>
        <v>0</v>
      </c>
      <c r="AC35" s="240" t="n">
        <f aca="false">AA35+AB35</f>
        <v>83.4</v>
      </c>
      <c r="AD35" s="222" t="n">
        <v>0.43</v>
      </c>
      <c r="AE35" s="218" t="n">
        <v>38</v>
      </c>
      <c r="AF35" s="243" t="n">
        <v>27</v>
      </c>
      <c r="AG35" s="218" t="n">
        <f aca="false">AG34+(U35*1.9835)</f>
        <v>11593.5909372275</v>
      </c>
      <c r="AH35" s="218" t="n">
        <v>0</v>
      </c>
      <c r="AI35" s="240"/>
      <c r="AJ35" s="216"/>
      <c r="AK35" s="336"/>
    </row>
    <row r="36" customFormat="false" ht="11.1" hidden="false" customHeight="true" outlineLevel="0" collapsed="false">
      <c r="A36" s="153" t="n">
        <f aca="false">A35+1</f>
        <v>25</v>
      </c>
      <c r="B36" s="226" t="n">
        <v>6862.84</v>
      </c>
      <c r="C36" s="216" t="n">
        <v>169696</v>
      </c>
      <c r="D36" s="218" t="n">
        <f aca="false">C36-C35</f>
        <v>-47</v>
      </c>
      <c r="E36" s="216" t="n">
        <f aca="false">C36-152000</f>
        <v>17696</v>
      </c>
      <c r="F36" s="239" t="n">
        <f aca="false">D36/$D$2</f>
        <v>-23.6954877741366</v>
      </c>
      <c r="G36" s="240" t="n">
        <v>50</v>
      </c>
      <c r="H36" s="334" t="n">
        <v>0.7</v>
      </c>
      <c r="I36" s="240" t="n">
        <f aca="false">G36+H36</f>
        <v>50.7</v>
      </c>
      <c r="J36" s="221" t="n">
        <f aca="false">IF(L36&gt;0,L36,0)</f>
        <v>9.00451222586338</v>
      </c>
      <c r="K36" s="240" t="n">
        <f aca="false">I36+J36</f>
        <v>59.7045122258634</v>
      </c>
      <c r="L36" s="240" t="n">
        <f aca="false">F36-(I36-AA36)</f>
        <v>9.00451222586338</v>
      </c>
      <c r="M36" s="242" t="n">
        <v>3.4</v>
      </c>
      <c r="N36" s="240" t="n">
        <v>0</v>
      </c>
      <c r="O36" s="240" t="n">
        <v>0</v>
      </c>
      <c r="P36" s="341" t="n">
        <v>1.35</v>
      </c>
      <c r="Q36" s="341" t="n">
        <v>2.04</v>
      </c>
      <c r="R36" s="342" t="n">
        <v>0</v>
      </c>
      <c r="S36" s="240" t="n">
        <v>56</v>
      </c>
      <c r="T36" s="240" t="n">
        <v>0</v>
      </c>
      <c r="U36" s="240" t="n">
        <f aca="false">M36-N36-O36-P36-Q36-R36+S36+T36</f>
        <v>56.01</v>
      </c>
      <c r="V36" s="216"/>
      <c r="W36" s="216"/>
      <c r="X36" s="240" t="n">
        <v>0</v>
      </c>
      <c r="Y36" s="240" t="n">
        <v>24</v>
      </c>
      <c r="Z36" s="216" t="n">
        <f aca="false">Z35-Y36</f>
        <v>908</v>
      </c>
      <c r="AA36" s="117" t="n">
        <f aca="false">N36+O36+P36+Q36+R36+U36+X36+Y36</f>
        <v>83.4</v>
      </c>
      <c r="AB36" s="240" t="n">
        <f aca="false">IF(L36&lt;0,L36*-1,0)</f>
        <v>0</v>
      </c>
      <c r="AC36" s="240" t="n">
        <f aca="false">AA36+AB36</f>
        <v>83.4</v>
      </c>
      <c r="AD36" s="222" t="n">
        <v>0.01</v>
      </c>
      <c r="AE36" s="218" t="n">
        <v>45</v>
      </c>
      <c r="AF36" s="243" t="n">
        <v>25</v>
      </c>
      <c r="AG36" s="218" t="n">
        <f aca="false">AG35+(U36*1.9835)</f>
        <v>11704.6867722275</v>
      </c>
      <c r="AH36" s="218" t="n">
        <v>0</v>
      </c>
      <c r="AI36" s="240"/>
      <c r="AJ36" s="216"/>
      <c r="AK36" s="336"/>
    </row>
    <row r="37" customFormat="false" ht="11.1" hidden="false" customHeight="true" outlineLevel="0" collapsed="false">
      <c r="A37" s="153" t="n">
        <f aca="false">A36+1</f>
        <v>26</v>
      </c>
      <c r="B37" s="226" t="n">
        <v>6862.81</v>
      </c>
      <c r="C37" s="216" t="n">
        <v>169625</v>
      </c>
      <c r="D37" s="218" t="n">
        <f aca="false">C37-C36</f>
        <v>-71</v>
      </c>
      <c r="E37" s="216" t="n">
        <f aca="false">C37-152000</f>
        <v>17625</v>
      </c>
      <c r="F37" s="239" t="n">
        <f aca="false">D37/$D$2</f>
        <v>-35.7953113183766</v>
      </c>
      <c r="G37" s="240" t="n">
        <v>50</v>
      </c>
      <c r="H37" s="334" t="n">
        <v>0.9</v>
      </c>
      <c r="I37" s="240" t="n">
        <f aca="false">G37+H37</f>
        <v>50.9</v>
      </c>
      <c r="J37" s="221" t="n">
        <f aca="false">IF(L37&gt;0,L37,0)</f>
        <v>0</v>
      </c>
      <c r="K37" s="240" t="n">
        <f aca="false">I37+J37</f>
        <v>50.9</v>
      </c>
      <c r="L37" s="240" t="n">
        <f aca="false">F37-(I37-AA37)</f>
        <v>-3.2953113183766</v>
      </c>
      <c r="M37" s="242" t="n">
        <v>3.4</v>
      </c>
      <c r="N37" s="240" t="n">
        <v>0</v>
      </c>
      <c r="O37" s="240" t="n">
        <v>0</v>
      </c>
      <c r="P37" s="341" t="n">
        <v>1.35</v>
      </c>
      <c r="Q37" s="341" t="n">
        <v>2.04</v>
      </c>
      <c r="R37" s="342" t="n">
        <v>0</v>
      </c>
      <c r="S37" s="240" t="n">
        <v>56</v>
      </c>
      <c r="T37" s="240" t="n">
        <v>0</v>
      </c>
      <c r="U37" s="240" t="n">
        <f aca="false">M37-N37-O37-P37-Q37-R37+S37+T37</f>
        <v>56.01</v>
      </c>
      <c r="V37" s="216"/>
      <c r="W37" s="216"/>
      <c r="X37" s="240" t="n">
        <v>0</v>
      </c>
      <c r="Y37" s="240" t="n">
        <v>24</v>
      </c>
      <c r="Z37" s="216" t="n">
        <f aca="false">Z36-Y37</f>
        <v>884</v>
      </c>
      <c r="AA37" s="117" t="n">
        <f aca="false">N37+O37+P37+Q37+R37+U37+X37+Y37</f>
        <v>83.4</v>
      </c>
      <c r="AB37" s="240" t="n">
        <f aca="false">IF(L37&lt;0,L37*-1,0)</f>
        <v>3.2953113183766</v>
      </c>
      <c r="AC37" s="240" t="n">
        <f aca="false">AA37+AB37</f>
        <v>86.6953113183766</v>
      </c>
      <c r="AD37" s="222" t="n">
        <v>0</v>
      </c>
      <c r="AE37" s="218" t="n">
        <v>46</v>
      </c>
      <c r="AF37" s="223" t="n">
        <v>23</v>
      </c>
      <c r="AG37" s="218" t="n">
        <f aca="false">AG36+(U37*1.9835)</f>
        <v>11815.7826072275</v>
      </c>
      <c r="AH37" s="218" t="n">
        <v>0</v>
      </c>
      <c r="AI37" s="240"/>
      <c r="AJ37" s="216"/>
      <c r="AK37" s="336"/>
    </row>
    <row r="38" customFormat="false" ht="11.1" hidden="false" customHeight="true" outlineLevel="0" collapsed="false">
      <c r="A38" s="153" t="n">
        <f aca="false">A37+1</f>
        <v>27</v>
      </c>
      <c r="B38" s="226" t="n">
        <v>6862.83</v>
      </c>
      <c r="C38" s="216" t="n">
        <v>169672</v>
      </c>
      <c r="D38" s="218" t="n">
        <f aca="false">C38-C37</f>
        <v>47</v>
      </c>
      <c r="E38" s="216" t="n">
        <f aca="false">C38-152000</f>
        <v>17672</v>
      </c>
      <c r="F38" s="239" t="n">
        <f aca="false">D38/$D$2</f>
        <v>23.6954877741366</v>
      </c>
      <c r="G38" s="240" t="n">
        <v>54</v>
      </c>
      <c r="H38" s="334" t="n">
        <v>0.8</v>
      </c>
      <c r="I38" s="240" t="n">
        <f aca="false">G38+H38</f>
        <v>54.8</v>
      </c>
      <c r="J38" s="221" t="n">
        <f aca="false">IF(L38&gt;0,L38,0)</f>
        <v>52.2954877741366</v>
      </c>
      <c r="K38" s="240" t="n">
        <f aca="false">I38+J38</f>
        <v>107.095487774137</v>
      </c>
      <c r="L38" s="240" t="n">
        <f aca="false">F38-(I38-AA38)</f>
        <v>52.2954877741366</v>
      </c>
      <c r="M38" s="242" t="n">
        <v>3.4</v>
      </c>
      <c r="N38" s="240" t="n">
        <v>0</v>
      </c>
      <c r="O38" s="240" t="n">
        <v>0</v>
      </c>
      <c r="P38" s="341" t="n">
        <v>1.35</v>
      </c>
      <c r="Q38" s="341" t="n">
        <v>2.04</v>
      </c>
      <c r="R38" s="342" t="n">
        <v>0</v>
      </c>
      <c r="S38" s="240" t="n">
        <v>56</v>
      </c>
      <c r="T38" s="240" t="n">
        <v>0</v>
      </c>
      <c r="U38" s="240" t="n">
        <f aca="false">M38-N38-O38-P38-Q38-R38+S38+T38</f>
        <v>56.01</v>
      </c>
      <c r="V38" s="216"/>
      <c r="W38" s="216"/>
      <c r="X38" s="240" t="n">
        <v>0</v>
      </c>
      <c r="Y38" s="240" t="n">
        <v>24</v>
      </c>
      <c r="Z38" s="216" t="n">
        <f aca="false">Z37-Y38</f>
        <v>860</v>
      </c>
      <c r="AA38" s="117" t="n">
        <f aca="false">N38+O38+P38+Q38+R38+U38+X38+Y38</f>
        <v>83.4</v>
      </c>
      <c r="AB38" s="240" t="n">
        <f aca="false">IF(L38&lt;0,L38*-1,0)</f>
        <v>0</v>
      </c>
      <c r="AC38" s="240" t="n">
        <f aca="false">AA38+AB38</f>
        <v>83.4</v>
      </c>
      <c r="AD38" s="222" t="n">
        <v>0.65</v>
      </c>
      <c r="AE38" s="218" t="n">
        <v>43</v>
      </c>
      <c r="AF38" s="223" t="n">
        <v>31</v>
      </c>
      <c r="AG38" s="218" t="n">
        <f aca="false">AG37+(U38*1.9835)</f>
        <v>11926.8784422275</v>
      </c>
      <c r="AH38" s="218" t="n">
        <v>0</v>
      </c>
      <c r="AI38" s="240"/>
      <c r="AJ38" s="216"/>
      <c r="AK38" s="336"/>
    </row>
    <row r="39" customFormat="false" ht="11.1" hidden="false" customHeight="true" outlineLevel="0" collapsed="false">
      <c r="A39" s="153" t="n">
        <v>28</v>
      </c>
      <c r="B39" s="226" t="n">
        <v>6862.82</v>
      </c>
      <c r="C39" s="216" t="n">
        <v>169648</v>
      </c>
      <c r="D39" s="218" t="n">
        <f aca="false">C39-C38</f>
        <v>-24</v>
      </c>
      <c r="E39" s="216" t="n">
        <f aca="false">C39-152000</f>
        <v>17648</v>
      </c>
      <c r="F39" s="239" t="n">
        <f aca="false">D39/$D$2</f>
        <v>-12.09982354424</v>
      </c>
      <c r="G39" s="240" t="n">
        <v>52</v>
      </c>
      <c r="H39" s="334" t="n">
        <v>1</v>
      </c>
      <c r="I39" s="240" t="n">
        <f aca="false">G39+H39</f>
        <v>53</v>
      </c>
      <c r="J39" s="221" t="n">
        <f aca="false">IF(L39&gt;0,L39,0)</f>
        <v>18.30017645576</v>
      </c>
      <c r="K39" s="240" t="n">
        <f aca="false">I39+J39</f>
        <v>71.30017645576</v>
      </c>
      <c r="L39" s="240" t="n">
        <f aca="false">F39-(I39-AA39)</f>
        <v>18.30017645576</v>
      </c>
      <c r="M39" s="242" t="n">
        <v>3.4</v>
      </c>
      <c r="N39" s="240" t="n">
        <v>0</v>
      </c>
      <c r="O39" s="240" t="n">
        <v>0</v>
      </c>
      <c r="P39" s="341" t="n">
        <v>1.35</v>
      </c>
      <c r="Q39" s="341" t="n">
        <v>2.04</v>
      </c>
      <c r="R39" s="342" t="n">
        <v>0</v>
      </c>
      <c r="S39" s="240" t="n">
        <v>56</v>
      </c>
      <c r="T39" s="240" t="n">
        <v>0</v>
      </c>
      <c r="U39" s="240" t="n">
        <f aca="false">M39-N39-O39-P39-Q39-R39+S39+T39</f>
        <v>56.01</v>
      </c>
      <c r="V39" s="216"/>
      <c r="W39" s="216"/>
      <c r="X39" s="240" t="n">
        <v>0</v>
      </c>
      <c r="Y39" s="240" t="n">
        <v>24</v>
      </c>
      <c r="Z39" s="216" t="n">
        <f aca="false">Z38-Y39</f>
        <v>836</v>
      </c>
      <c r="AA39" s="117" t="n">
        <f aca="false">N39+O39+P39+Q39+R39+U39+X39+Y39</f>
        <v>83.4</v>
      </c>
      <c r="AB39" s="240" t="n">
        <f aca="false">IF(L39&lt;0,L39*-1,0)</f>
        <v>0</v>
      </c>
      <c r="AC39" s="240" t="n">
        <f aca="false">AA39+AB39</f>
        <v>83.4</v>
      </c>
      <c r="AD39" s="222" t="n">
        <v>0.14</v>
      </c>
      <c r="AE39" s="218" t="n">
        <v>47</v>
      </c>
      <c r="AF39" s="223" t="n">
        <v>14</v>
      </c>
      <c r="AG39" s="218" t="n">
        <f aca="false">AG38+(U39*1.9835)</f>
        <v>12037.9742772275</v>
      </c>
      <c r="AH39" s="218" t="n">
        <v>0</v>
      </c>
      <c r="AI39" s="240"/>
      <c r="AJ39" s="216"/>
      <c r="AK39" s="336"/>
    </row>
    <row r="40" customFormat="false" ht="11.1" hidden="false" customHeight="true" outlineLevel="0" collapsed="false">
      <c r="A40" s="153" t="n">
        <v>29</v>
      </c>
      <c r="B40" s="226" t="n">
        <v>6862.8</v>
      </c>
      <c r="C40" s="216" t="n">
        <v>169601</v>
      </c>
      <c r="D40" s="218" t="n">
        <f aca="false">C40-C39</f>
        <v>-47</v>
      </c>
      <c r="E40" s="216" t="n">
        <f aca="false">C40-152000</f>
        <v>17601</v>
      </c>
      <c r="F40" s="239" t="n">
        <f aca="false">D40/$D$2</f>
        <v>-23.6954877741366</v>
      </c>
      <c r="G40" s="240" t="n">
        <v>51</v>
      </c>
      <c r="H40" s="334" t="n">
        <v>0.7</v>
      </c>
      <c r="I40" s="240" t="n">
        <f aca="false">G40+H40</f>
        <v>51.7</v>
      </c>
      <c r="J40" s="221" t="n">
        <f aca="false">IF(L40&gt;0,L40,0)</f>
        <v>8.00451222586338</v>
      </c>
      <c r="K40" s="240" t="n">
        <f aca="false">I40+J40</f>
        <v>59.7045122258634</v>
      </c>
      <c r="L40" s="240" t="n">
        <f aca="false">F40-(I40-AA40)</f>
        <v>8.00451222586338</v>
      </c>
      <c r="M40" s="242" t="n">
        <v>3.4</v>
      </c>
      <c r="N40" s="240" t="n">
        <v>0</v>
      </c>
      <c r="O40" s="240" t="n">
        <v>0</v>
      </c>
      <c r="P40" s="341" t="n">
        <v>1.35</v>
      </c>
      <c r="Q40" s="341" t="n">
        <v>2.04</v>
      </c>
      <c r="R40" s="342" t="n">
        <v>0</v>
      </c>
      <c r="S40" s="240" t="n">
        <v>56</v>
      </c>
      <c r="T40" s="240" t="n">
        <v>0</v>
      </c>
      <c r="U40" s="240" t="n">
        <f aca="false">M40-N40-O40-P40-Q40-R40+S40+T40</f>
        <v>56.01</v>
      </c>
      <c r="V40" s="216"/>
      <c r="W40" s="216"/>
      <c r="X40" s="240" t="n">
        <v>0</v>
      </c>
      <c r="Y40" s="240" t="n">
        <v>24</v>
      </c>
      <c r="Z40" s="216" t="n">
        <f aca="false">Z39-Y40</f>
        <v>812</v>
      </c>
      <c r="AA40" s="117" t="n">
        <f aca="false">N40+O40+P40+Q40+R40+U40+X40+Y40</f>
        <v>83.4</v>
      </c>
      <c r="AB40" s="240" t="n">
        <f aca="false">IF(L40&lt;0,L40*-1,0)</f>
        <v>0</v>
      </c>
      <c r="AC40" s="240" t="n">
        <f aca="false">AA40+AB40</f>
        <v>83.4</v>
      </c>
      <c r="AD40" s="222" t="n">
        <v>0.02</v>
      </c>
      <c r="AE40" s="218" t="n">
        <v>34</v>
      </c>
      <c r="AF40" s="223" t="n">
        <v>18</v>
      </c>
      <c r="AG40" s="218" t="n">
        <f aca="false">AG39+(U40*1.9835)</f>
        <v>12149.0701122275</v>
      </c>
      <c r="AH40" s="218" t="n">
        <v>0</v>
      </c>
      <c r="AI40" s="240"/>
      <c r="AJ40" s="216"/>
      <c r="AK40" s="336"/>
    </row>
    <row r="41" customFormat="false" ht="3" hidden="false" customHeight="true" outlineLevel="0" collapsed="false">
      <c r="A41" s="227"/>
      <c r="B41" s="244"/>
      <c r="C41" s="229"/>
      <c r="D41" s="230"/>
      <c r="E41" s="229"/>
      <c r="F41" s="231"/>
      <c r="G41" s="230"/>
      <c r="H41" s="339"/>
      <c r="I41" s="230"/>
      <c r="J41" s="230"/>
      <c r="K41" s="230"/>
      <c r="L41" s="230"/>
      <c r="M41" s="233"/>
      <c r="N41" s="230"/>
      <c r="O41" s="230"/>
      <c r="P41" s="230"/>
      <c r="Q41" s="230"/>
      <c r="R41" s="340"/>
      <c r="S41" s="230"/>
      <c r="T41" s="230"/>
      <c r="U41" s="230"/>
      <c r="V41" s="229"/>
      <c r="W41" s="229"/>
      <c r="X41" s="230"/>
      <c r="Y41" s="230"/>
      <c r="Z41" s="230"/>
      <c r="AA41" s="230"/>
      <c r="AB41" s="230"/>
      <c r="AC41" s="230"/>
      <c r="AD41" s="236"/>
      <c r="AE41" s="237"/>
      <c r="AF41" s="238"/>
      <c r="AG41" s="237"/>
      <c r="AH41" s="237"/>
      <c r="AI41" s="237"/>
      <c r="AJ41" s="237"/>
      <c r="AK41" s="237"/>
    </row>
    <row r="42" customFormat="false" ht="11.1" hidden="false" customHeight="true" outlineLevel="0" collapsed="false">
      <c r="A42" s="154" t="s">
        <v>69</v>
      </c>
      <c r="B42" s="345"/>
      <c r="C42" s="218"/>
      <c r="D42" s="218"/>
      <c r="E42" s="218"/>
      <c r="F42" s="223" t="n">
        <f aca="false">SUM(F12:F40)</f>
        <v>-604.991177211999</v>
      </c>
      <c r="G42" s="218" t="n">
        <f aca="false">SUM(G12:G40)</f>
        <v>1327</v>
      </c>
      <c r="H42" s="218" t="n">
        <f aca="false">SUM(H12:H40)</f>
        <v>29.9</v>
      </c>
      <c r="I42" s="218" t="n">
        <f aca="false">SUM(I12:I40)</f>
        <v>1356.9</v>
      </c>
      <c r="J42" s="218" t="n">
        <f aca="false">SUM(J12:J40)</f>
        <v>483.199268968994</v>
      </c>
      <c r="K42" s="218" t="n">
        <f aca="false">SUM(K12:K40)</f>
        <v>1840.09926896899</v>
      </c>
      <c r="L42" s="218" t="n">
        <f aca="false">SUM(L12:L40)</f>
        <v>472.508822788001</v>
      </c>
      <c r="M42" s="218" t="n">
        <f aca="false">SUM(M12:M40)</f>
        <v>102.4</v>
      </c>
      <c r="N42" s="218" t="n">
        <f aca="false">SUM(N12:N40)</f>
        <v>0</v>
      </c>
      <c r="O42" s="218" t="n">
        <f aca="false">SUM(O12:O40)</f>
        <v>0</v>
      </c>
      <c r="P42" s="218" t="n">
        <f aca="false">SUM(P12:P40)</f>
        <v>39.66</v>
      </c>
      <c r="Q42" s="218" t="n">
        <f aca="false">SUM(Q12:Q40)</f>
        <v>62.25</v>
      </c>
      <c r="R42" s="218" t="n">
        <f aca="false">SUM(R12:R40)</f>
        <v>0</v>
      </c>
      <c r="S42" s="218" t="n">
        <f aca="false">SUM(S12:S40)</f>
        <v>1629</v>
      </c>
      <c r="T42" s="218" t="n">
        <f aca="false">SUM(T12:T40)</f>
        <v>0</v>
      </c>
      <c r="U42" s="218" t="n">
        <f aca="false">SUM(U12:U40)</f>
        <v>1629.49</v>
      </c>
      <c r="V42" s="218"/>
      <c r="W42" s="218"/>
      <c r="X42" s="218"/>
      <c r="Y42" s="218" t="n">
        <f aca="false">SUM(Y12:Y40)</f>
        <v>703</v>
      </c>
      <c r="Z42" s="218"/>
      <c r="AA42" s="218" t="n">
        <f aca="false">SUM(AA12:AA40)</f>
        <v>2434.4</v>
      </c>
      <c r="AB42" s="218" t="n">
        <f aca="false">SUM(AB12:AB40)</f>
        <v>10.6904461809932</v>
      </c>
      <c r="AC42" s="218" t="n">
        <f aca="false">SUM(AC12:AC40)</f>
        <v>2445.09044618099</v>
      </c>
      <c r="AD42" s="222" t="n">
        <f aca="false">SUM(AD12:AD40)</f>
        <v>2.13</v>
      </c>
      <c r="AE42" s="218" t="n">
        <f aca="false">AVERAGE(AE12:AE40)</f>
        <v>39.2758620689655</v>
      </c>
      <c r="AF42" s="223" t="n">
        <f aca="false">AVERAGE(AF12:AF40)</f>
        <v>13.3448275862069</v>
      </c>
      <c r="AG42" s="218" t="s">
        <v>88</v>
      </c>
      <c r="AH42" s="218" t="n">
        <f aca="false">SUM(AH12:AH40)</f>
        <v>0</v>
      </c>
      <c r="AI42" s="240"/>
      <c r="AJ42" s="240"/>
      <c r="AK42" s="336"/>
    </row>
    <row r="43" customFormat="false" ht="11.1" hidden="false" customHeight="true" outlineLevel="0" collapsed="false">
      <c r="A43" s="154" t="s">
        <v>71</v>
      </c>
      <c r="B43" s="345"/>
      <c r="C43" s="218"/>
      <c r="D43" s="218" t="n">
        <f aca="false">SUM(D12:D40)</f>
        <v>-1200</v>
      </c>
      <c r="E43" s="218"/>
      <c r="F43" s="223" t="n">
        <f aca="false">F42*$D$2</f>
        <v>-1200</v>
      </c>
      <c r="G43" s="218" t="n">
        <f aca="false">G42*$D$2</f>
        <v>2632.1045</v>
      </c>
      <c r="H43" s="218" t="n">
        <f aca="false">H42*$D$2</f>
        <v>59.30665</v>
      </c>
      <c r="I43" s="218" t="n">
        <f aca="false">I42*$D$2</f>
        <v>2691.41115</v>
      </c>
      <c r="J43" s="218" t="n">
        <f aca="false">J42*$D$2</f>
        <v>958.42575</v>
      </c>
      <c r="K43" s="218" t="n">
        <f aca="false">K42*$D$2</f>
        <v>3649.8369</v>
      </c>
      <c r="L43" s="218" t="n">
        <f aca="false">L42*$D$2</f>
        <v>937.22125</v>
      </c>
      <c r="M43" s="346" t="n">
        <f aca="false">M42*$D$2</f>
        <v>203.1104</v>
      </c>
      <c r="N43" s="218" t="n">
        <f aca="false">N42*$D$2</f>
        <v>0</v>
      </c>
      <c r="O43" s="218" t="n">
        <f aca="false">O42*$D$2</f>
        <v>0</v>
      </c>
      <c r="P43" s="218" t="n">
        <f aca="false">P42*$D$2</f>
        <v>78.66561</v>
      </c>
      <c r="Q43" s="218" t="n">
        <f aca="false">Q42*$D$2</f>
        <v>123.472875</v>
      </c>
      <c r="R43" s="347" t="n">
        <f aca="false">R42*$D$2</f>
        <v>0</v>
      </c>
      <c r="S43" s="218" t="n">
        <f aca="false">S42*$D$2</f>
        <v>3231.1215</v>
      </c>
      <c r="T43" s="218" t="n">
        <f aca="false">T42*$D$2</f>
        <v>0</v>
      </c>
      <c r="U43" s="218" t="n">
        <f aca="false">U42*$D$2</f>
        <v>3232.093415</v>
      </c>
      <c r="V43" s="218"/>
      <c r="W43" s="218"/>
      <c r="X43" s="218"/>
      <c r="Y43" s="218" t="n">
        <f aca="false">Y42*$D$2</f>
        <v>1394.4005</v>
      </c>
      <c r="Z43" s="218"/>
      <c r="AA43" s="218" t="n">
        <f aca="false">AA42*$D$2</f>
        <v>4828.6324</v>
      </c>
      <c r="AB43" s="218" t="n">
        <f aca="false">AB42*$D$2</f>
        <v>21.2045</v>
      </c>
      <c r="AC43" s="218" t="n">
        <f aca="false">AC42*$D$2</f>
        <v>4849.8369</v>
      </c>
      <c r="AD43" s="222"/>
      <c r="AE43" s="218" t="n">
        <f aca="false">MAX(AE12:AE40)</f>
        <v>55</v>
      </c>
      <c r="AF43" s="223" t="n">
        <f aca="false">MAX(AF12:AF40)</f>
        <v>31</v>
      </c>
      <c r="AG43" s="218" t="s">
        <v>72</v>
      </c>
      <c r="AH43" s="218" t="n">
        <f aca="false">AH42*$D$2</f>
        <v>0</v>
      </c>
      <c r="AI43" s="240"/>
      <c r="AJ43" s="240"/>
      <c r="AK43" s="336"/>
    </row>
    <row r="44" customFormat="false" ht="3" hidden="false" customHeight="true" outlineLevel="0" collapsed="false">
      <c r="A44" s="247"/>
      <c r="B44" s="244"/>
      <c r="C44" s="229"/>
      <c r="D44" s="229"/>
      <c r="E44" s="229"/>
      <c r="F44" s="248"/>
      <c r="G44" s="229"/>
      <c r="H44" s="237"/>
      <c r="I44" s="229"/>
      <c r="J44" s="229"/>
      <c r="K44" s="229"/>
      <c r="L44" s="229"/>
      <c r="M44" s="249"/>
      <c r="N44" s="229"/>
      <c r="O44" s="229"/>
      <c r="P44" s="229"/>
      <c r="Q44" s="229"/>
      <c r="R44" s="348"/>
      <c r="S44" s="229"/>
      <c r="T44" s="229"/>
      <c r="U44" s="229"/>
      <c r="V44" s="229"/>
      <c r="W44" s="229"/>
      <c r="X44" s="229"/>
      <c r="Y44" s="229"/>
      <c r="Z44" s="230"/>
      <c r="AA44" s="229"/>
      <c r="AB44" s="229"/>
      <c r="AC44" s="229"/>
      <c r="AD44" s="251"/>
      <c r="AE44" s="229"/>
      <c r="AF44" s="248"/>
      <c r="AG44" s="237"/>
      <c r="AH44" s="237"/>
      <c r="AI44" s="229"/>
      <c r="AJ44" s="229"/>
      <c r="AK44" s="237"/>
    </row>
    <row r="45" customFormat="false" ht="11.1" hidden="false" customHeight="true" outlineLevel="0" collapsed="false">
      <c r="A45" s="154" t="s">
        <v>73</v>
      </c>
      <c r="B45" s="345"/>
      <c r="C45" s="218"/>
      <c r="D45" s="218"/>
      <c r="E45" s="218"/>
      <c r="F45" s="223"/>
      <c r="G45" s="218"/>
      <c r="H45" s="218"/>
      <c r="I45" s="218"/>
      <c r="J45" s="218"/>
      <c r="K45" s="218"/>
      <c r="L45" s="218"/>
      <c r="M45" s="346"/>
      <c r="N45" s="218"/>
      <c r="O45" s="218"/>
      <c r="P45" s="218"/>
      <c r="Q45" s="218"/>
      <c r="R45" s="347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345"/>
      <c r="AE45" s="218" t="n">
        <f aca="false">MIN(AE12:AE40)</f>
        <v>29</v>
      </c>
      <c r="AF45" s="223" t="n">
        <f aca="false">MIN(AF12:AF40)</f>
        <v>-2</v>
      </c>
      <c r="AG45" s="218" t="s">
        <v>74</v>
      </c>
      <c r="AH45" s="218"/>
      <c r="AI45" s="218"/>
      <c r="AJ45" s="218"/>
      <c r="AK45" s="349"/>
    </row>
    <row r="46" customFormat="false" ht="11.1" hidden="false" customHeight="true" outlineLevel="0" collapsed="false">
      <c r="A46" s="154" t="s">
        <v>75</v>
      </c>
      <c r="B46" s="345"/>
      <c r="C46" s="218"/>
      <c r="D46" s="218"/>
      <c r="E46" s="218"/>
      <c r="F46" s="223"/>
      <c r="G46" s="218"/>
      <c r="H46" s="218"/>
      <c r="I46" s="218"/>
      <c r="J46" s="218"/>
      <c r="K46" s="218"/>
      <c r="L46" s="218"/>
      <c r="M46" s="346"/>
      <c r="N46" s="218"/>
      <c r="O46" s="218"/>
      <c r="P46" s="218"/>
      <c r="Q46" s="218"/>
      <c r="R46" s="347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345"/>
      <c r="AE46" s="218"/>
      <c r="AF46" s="223"/>
      <c r="AG46" s="218"/>
      <c r="AH46" s="218"/>
      <c r="AI46" s="218"/>
      <c r="AJ46" s="218"/>
      <c r="AK46" s="349"/>
    </row>
    <row r="47" customFormat="false" ht="3" hidden="false" customHeight="true" outlineLevel="0" collapsed="false">
      <c r="A47" s="247"/>
      <c r="B47" s="350"/>
      <c r="C47" s="237"/>
      <c r="D47" s="237"/>
      <c r="E47" s="237"/>
      <c r="F47" s="238"/>
      <c r="G47" s="237"/>
      <c r="H47" s="237"/>
      <c r="I47" s="237"/>
      <c r="J47" s="237"/>
      <c r="K47" s="237"/>
      <c r="L47" s="237"/>
      <c r="M47" s="351"/>
      <c r="N47" s="237"/>
      <c r="O47" s="237"/>
      <c r="P47" s="237"/>
      <c r="Q47" s="237"/>
      <c r="R47" s="348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350"/>
      <c r="AE47" s="237"/>
      <c r="AF47" s="238"/>
      <c r="AG47" s="237"/>
      <c r="AH47" s="237"/>
      <c r="AI47" s="237"/>
      <c r="AJ47" s="237"/>
      <c r="AK47" s="237"/>
    </row>
    <row r="48" customFormat="false" ht="11.1" hidden="false" customHeight="true" outlineLevel="0" collapsed="false">
      <c r="A48" s="154" t="s">
        <v>76</v>
      </c>
      <c r="B48" s="345"/>
      <c r="C48" s="218"/>
      <c r="D48" s="218"/>
      <c r="E48" s="218"/>
      <c r="F48" s="223" t="n">
        <f aca="false">F10+F42</f>
        <v>-2189.05974287875</v>
      </c>
      <c r="G48" s="218" t="n">
        <f aca="false">G10+G42</f>
        <v>5506</v>
      </c>
      <c r="H48" s="218" t="n">
        <f aca="false">H10+H42</f>
        <v>29.9</v>
      </c>
      <c r="I48" s="218" t="n">
        <f aca="false">I10+I42</f>
        <v>5535.9</v>
      </c>
      <c r="J48" s="218" t="n">
        <f aca="false">J10+J42</f>
        <v>1859.85837786741</v>
      </c>
      <c r="K48" s="218" t="n">
        <f aca="false">K10+K42</f>
        <v>7395.75837786741</v>
      </c>
      <c r="L48" s="218" t="n">
        <f aca="false">L10+L42</f>
        <v>1653.49525712125</v>
      </c>
      <c r="M48" s="346" t="n">
        <f aca="false">M10+M42</f>
        <v>585.6</v>
      </c>
      <c r="N48" s="218" t="n">
        <f aca="false">N10+N42</f>
        <v>0</v>
      </c>
      <c r="O48" s="218" t="n">
        <f aca="false">O10+O42</f>
        <v>0</v>
      </c>
      <c r="P48" s="218" t="n">
        <f aca="false">P10+P42</f>
        <v>170.34</v>
      </c>
      <c r="Q48" s="218" t="n">
        <f aca="false">Q10+Q42</f>
        <v>283.05</v>
      </c>
      <c r="R48" s="347" t="n">
        <f aca="false">R10+R42</f>
        <v>0</v>
      </c>
      <c r="S48" s="218" t="n">
        <f aca="false">S10+S42</f>
        <v>6259</v>
      </c>
      <c r="T48" s="218" t="n">
        <f aca="false">T10+T42</f>
        <v>95</v>
      </c>
      <c r="U48" s="218" t="n">
        <f aca="false">U10+U42</f>
        <v>6480.14049</v>
      </c>
      <c r="V48" s="218"/>
      <c r="W48" s="218"/>
      <c r="X48" s="218"/>
      <c r="Y48" s="218" t="n">
        <f aca="false">Y10+Y42</f>
        <v>2407</v>
      </c>
      <c r="Z48" s="218" t="n">
        <f aca="false">Z40</f>
        <v>812</v>
      </c>
      <c r="AA48" s="218" t="n">
        <f aca="false">AA10+AA42</f>
        <v>9378.455</v>
      </c>
      <c r="AB48" s="218" t="n">
        <f aca="false">AB10+AB42</f>
        <v>206.363120746156</v>
      </c>
      <c r="AC48" s="218" t="n">
        <f aca="false">AC10+AC42</f>
        <v>9584.81812074616</v>
      </c>
      <c r="AD48" s="345" t="n">
        <f aca="false">AD10+AD42</f>
        <v>6.43</v>
      </c>
      <c r="AE48" s="218"/>
      <c r="AF48" s="223"/>
      <c r="AG48" s="218"/>
      <c r="AH48" s="218" t="n">
        <f aca="false">AH10+AH42</f>
        <v>0</v>
      </c>
      <c r="AI48" s="218"/>
      <c r="AJ48" s="218"/>
      <c r="AK48" s="349"/>
    </row>
    <row r="49" customFormat="false" ht="11.1" hidden="false" customHeight="true" outlineLevel="0" collapsed="false">
      <c r="A49" s="154" t="s">
        <v>77</v>
      </c>
      <c r="B49" s="345"/>
      <c r="C49" s="218"/>
      <c r="D49" s="218" t="n">
        <f aca="false">D10+D43</f>
        <v>-4342</v>
      </c>
      <c r="E49" s="218" t="n">
        <f aca="false">E40</f>
        <v>17601</v>
      </c>
      <c r="F49" s="223" t="n">
        <f aca="false">F48*$D$2</f>
        <v>-4342</v>
      </c>
      <c r="G49" s="218" t="n">
        <f aca="false">G48*$D$2</f>
        <v>10921.151</v>
      </c>
      <c r="H49" s="218" t="n">
        <f aca="false">H48*$D$2</f>
        <v>59.30665</v>
      </c>
      <c r="I49" s="218" t="n">
        <f aca="false">I48*$D$2</f>
        <v>10980.45765</v>
      </c>
      <c r="J49" s="218" t="n">
        <f aca="false">J48*$D$2</f>
        <v>3689.0290925</v>
      </c>
      <c r="K49" s="218" t="n">
        <f aca="false">K48*$D$2</f>
        <v>14669.4867425</v>
      </c>
      <c r="L49" s="218" t="n">
        <f aca="false">L48*$D$2</f>
        <v>3279.7078425</v>
      </c>
      <c r="M49" s="346" t="n">
        <f aca="false">M48*$D$2</f>
        <v>1161.5376</v>
      </c>
      <c r="N49" s="218" t="n">
        <f aca="false">N48*$D$2</f>
        <v>0</v>
      </c>
      <c r="O49" s="218" t="n">
        <f aca="false">O48*$D$2</f>
        <v>0</v>
      </c>
      <c r="P49" s="218" t="n">
        <f aca="false">P48*$D$2</f>
        <v>337.86939</v>
      </c>
      <c r="Q49" s="218" t="n">
        <f aca="false">Q48*$D$2</f>
        <v>561.429675</v>
      </c>
      <c r="R49" s="347" t="n">
        <f aca="false">R48*$D$2</f>
        <v>0</v>
      </c>
      <c r="S49" s="218" t="n">
        <f aca="false">S48*$D$2</f>
        <v>12414.7265</v>
      </c>
      <c r="T49" s="218" t="n">
        <f aca="false">T48*$D$2</f>
        <v>188.4325</v>
      </c>
      <c r="U49" s="218" t="n">
        <f aca="false">U48*$D$2</f>
        <v>12853.358661915</v>
      </c>
      <c r="V49" s="218"/>
      <c r="W49" s="218"/>
      <c r="X49" s="218"/>
      <c r="Y49" s="218" t="n">
        <f aca="false">Y48*$D$2</f>
        <v>4774.2845</v>
      </c>
      <c r="Z49" s="218" t="n">
        <f aca="false">Z48*$D$2</f>
        <v>1610.602</v>
      </c>
      <c r="AA49" s="218" t="n">
        <f aca="false">AA48*$D$2</f>
        <v>18602.1654925</v>
      </c>
      <c r="AB49" s="218" t="n">
        <f aca="false">AB48*$D$2</f>
        <v>409.32125</v>
      </c>
      <c r="AC49" s="218" t="n">
        <f aca="false">AC48*$D$2</f>
        <v>19011.4867425</v>
      </c>
      <c r="AD49" s="345"/>
      <c r="AE49" s="218"/>
      <c r="AF49" s="223"/>
      <c r="AG49" s="218" t="n">
        <f aca="false">AG40</f>
        <v>12149.0701122275</v>
      </c>
      <c r="AH49" s="218" t="n">
        <f aca="false">AH48*$D$2</f>
        <v>0</v>
      </c>
      <c r="AI49" s="218"/>
      <c r="AJ49" s="218"/>
      <c r="AK49" s="349"/>
    </row>
    <row r="50" customFormat="false" ht="3" hidden="false" customHeight="true" outlineLevel="0" collapsed="false">
      <c r="A50" s="227"/>
      <c r="B50" s="244"/>
      <c r="C50" s="229"/>
      <c r="D50" s="230"/>
      <c r="E50" s="229"/>
      <c r="F50" s="231"/>
      <c r="G50" s="230"/>
      <c r="H50" s="339"/>
      <c r="I50" s="230"/>
      <c r="J50" s="230"/>
      <c r="K50" s="230"/>
      <c r="L50" s="230"/>
      <c r="M50" s="233"/>
      <c r="N50" s="230"/>
      <c r="O50" s="230"/>
      <c r="P50" s="230"/>
      <c r="Q50" s="230"/>
      <c r="R50" s="340"/>
      <c r="S50" s="230"/>
      <c r="T50" s="230"/>
      <c r="U50" s="230"/>
      <c r="V50" s="229"/>
      <c r="W50" s="229"/>
      <c r="X50" s="230"/>
      <c r="Y50" s="230"/>
      <c r="Z50" s="229"/>
      <c r="AA50" s="230"/>
      <c r="AB50" s="230"/>
      <c r="AC50" s="230"/>
      <c r="AD50" s="244"/>
      <c r="AE50" s="230"/>
      <c r="AF50" s="231"/>
      <c r="AG50" s="237"/>
      <c r="AH50" s="237"/>
      <c r="AI50" s="230"/>
      <c r="AJ50" s="230"/>
      <c r="AK50" s="237"/>
    </row>
    <row r="51" customFormat="false" ht="11.1" hidden="false" customHeight="true" outlineLevel="0" collapsed="false">
      <c r="A51" s="145"/>
      <c r="B51" s="255"/>
      <c r="C51" s="146"/>
      <c r="D51" s="145"/>
      <c r="E51" s="146"/>
      <c r="F51" s="145"/>
      <c r="G51" s="145"/>
      <c r="H51" s="260"/>
      <c r="I51" s="145"/>
      <c r="J51" s="145"/>
      <c r="K51" s="145"/>
      <c r="L51" s="145"/>
      <c r="M51" s="145"/>
      <c r="N51" s="145"/>
      <c r="O51" s="145"/>
      <c r="P51" s="145"/>
      <c r="Q51" s="145"/>
      <c r="R51" s="150"/>
      <c r="S51" s="145"/>
      <c r="T51" s="145"/>
      <c r="U51" s="145"/>
      <c r="V51" s="146"/>
      <c r="W51" s="146"/>
      <c r="X51" s="145"/>
      <c r="Y51" s="145"/>
      <c r="Z51" s="146"/>
      <c r="AA51" s="145"/>
      <c r="AB51" s="145"/>
      <c r="AC51" s="145"/>
      <c r="AD51" s="151"/>
      <c r="AE51" s="152"/>
      <c r="AF51" s="153"/>
      <c r="AI51" s="261"/>
      <c r="AJ51" s="262"/>
    </row>
    <row r="52" customFormat="false" ht="11.1" hidden="false" customHeight="true" outlineLevel="0" collapsed="false">
      <c r="A52" s="145"/>
      <c r="B52" s="256"/>
      <c r="C52" s="146"/>
      <c r="D52" s="257"/>
      <c r="E52" s="146"/>
      <c r="F52" s="145"/>
      <c r="G52" s="145"/>
      <c r="H52" s="352"/>
      <c r="I52" s="146"/>
      <c r="J52" s="145"/>
      <c r="K52" s="135"/>
      <c r="L52" s="145"/>
      <c r="M52" s="145"/>
      <c r="N52" s="145"/>
      <c r="O52" s="145"/>
      <c r="P52" s="145"/>
      <c r="Q52" s="145"/>
      <c r="R52" s="150"/>
      <c r="S52" s="145"/>
      <c r="T52" s="145"/>
      <c r="U52" s="145"/>
      <c r="V52" s="146"/>
      <c r="W52" s="146"/>
      <c r="X52" s="145"/>
      <c r="Y52" s="145"/>
      <c r="Z52" s="146"/>
      <c r="AA52" s="145"/>
      <c r="AB52" s="145"/>
      <c r="AC52" s="145"/>
      <c r="AD52" s="151"/>
      <c r="AE52" s="152"/>
      <c r="AF52" s="152"/>
      <c r="AG52" s="153"/>
      <c r="AH52" s="153"/>
      <c r="AI52" s="261"/>
      <c r="AJ52" s="262"/>
    </row>
    <row r="53" customFormat="false" ht="11.1" hidden="false" customHeight="true" outlineLevel="0" collapsed="false">
      <c r="A53" s="257"/>
      <c r="B53" s="257"/>
      <c r="C53" s="146"/>
      <c r="D53" s="146"/>
      <c r="E53" s="146"/>
      <c r="F53" s="257"/>
      <c r="G53" s="257"/>
      <c r="H53" s="260"/>
      <c r="I53" s="146"/>
      <c r="J53" s="257"/>
      <c r="K53" s="257"/>
      <c r="L53" s="257"/>
      <c r="M53" s="149"/>
      <c r="N53" s="149"/>
      <c r="O53" s="149"/>
      <c r="P53" s="149"/>
      <c r="Q53" s="149"/>
      <c r="R53" s="150"/>
      <c r="S53" s="257"/>
      <c r="T53" s="257"/>
      <c r="U53" s="257"/>
      <c r="V53" s="146"/>
      <c r="W53" s="146"/>
      <c r="X53" s="257"/>
      <c r="Y53" s="257"/>
      <c r="Z53" s="146"/>
      <c r="AA53" s="257"/>
      <c r="AB53" s="257"/>
      <c r="AC53" s="257"/>
      <c r="AD53" s="151"/>
      <c r="AE53" s="152"/>
      <c r="AF53" s="152"/>
      <c r="AG53" s="153"/>
      <c r="AH53" s="153"/>
      <c r="AI53" s="316"/>
      <c r="AJ53" s="317"/>
    </row>
    <row r="54" customFormat="false" ht="11.1" hidden="false" customHeight="true" outlineLevel="0" collapsed="false">
      <c r="A54" s="257"/>
      <c r="B54" s="150"/>
      <c r="C54" s="146"/>
      <c r="D54" s="146"/>
      <c r="E54" s="146"/>
      <c r="F54" s="257"/>
      <c r="G54" s="257"/>
      <c r="H54" s="260"/>
      <c r="I54" s="146"/>
      <c r="J54" s="257"/>
      <c r="K54" s="257"/>
      <c r="L54" s="257"/>
      <c r="M54" s="149"/>
      <c r="N54" s="149"/>
      <c r="O54" s="149"/>
      <c r="P54" s="149"/>
      <c r="Q54" s="149"/>
      <c r="R54" s="150"/>
      <c r="S54" s="257"/>
      <c r="T54" s="257"/>
      <c r="U54" s="257"/>
      <c r="V54" s="146"/>
      <c r="W54" s="146"/>
      <c r="X54" s="257"/>
      <c r="Y54" s="257"/>
      <c r="Z54" s="146"/>
      <c r="AA54" s="257"/>
      <c r="AB54" s="257"/>
      <c r="AC54" s="257"/>
      <c r="AD54" s="151"/>
      <c r="AE54" s="152"/>
      <c r="AF54" s="152"/>
      <c r="AG54" s="153"/>
      <c r="AH54" s="153"/>
      <c r="AI54" s="316"/>
      <c r="AJ54" s="317"/>
    </row>
    <row r="55" customFormat="false" ht="11.1" hidden="false" customHeight="true" outlineLevel="0" collapsed="false">
      <c r="A55" s="257"/>
      <c r="B55" s="257"/>
      <c r="C55" s="146"/>
      <c r="D55" s="257"/>
      <c r="E55" s="146"/>
      <c r="F55" s="257"/>
      <c r="G55" s="258"/>
      <c r="H55" s="260"/>
      <c r="I55" s="257"/>
      <c r="J55" s="257"/>
      <c r="K55" s="257"/>
      <c r="L55" s="257"/>
      <c r="M55" s="149"/>
      <c r="N55" s="149"/>
      <c r="O55" s="149"/>
      <c r="P55" s="149"/>
      <c r="Q55" s="149"/>
      <c r="R55" s="150"/>
      <c r="S55" s="257"/>
      <c r="T55" s="257"/>
      <c r="U55" s="257"/>
      <c r="V55" s="146"/>
      <c r="W55" s="146"/>
      <c r="X55" s="257"/>
      <c r="Y55" s="257"/>
      <c r="Z55" s="146"/>
      <c r="AA55" s="257"/>
      <c r="AB55" s="257"/>
      <c r="AC55" s="257"/>
      <c r="AD55" s="151"/>
      <c r="AE55" s="152"/>
      <c r="AF55" s="152"/>
      <c r="AG55" s="153"/>
      <c r="AH55" s="153"/>
      <c r="AI55" s="316"/>
      <c r="AJ55" s="317"/>
    </row>
    <row r="56" customFormat="false" ht="11.1" hidden="false" customHeight="true" outlineLevel="0" collapsed="false">
      <c r="U56" s="137"/>
      <c r="V56" s="138"/>
      <c r="W56" s="138"/>
      <c r="Y56" s="137"/>
      <c r="Z56" s="138"/>
      <c r="AC56" s="137"/>
      <c r="AF56" s="142"/>
      <c r="AG56" s="143"/>
      <c r="AH56" s="143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L16" activePane="bottomRight" state="frozen"/>
      <selection pane="topLeft" activeCell="A1" activeCellId="0" sqref="A1"/>
      <selection pane="topRight" activeCell="L1" activeCellId="0" sqref="L1"/>
      <selection pane="bottomLeft" activeCell="A16" activeCellId="0" sqref="A16"/>
      <selection pane="bottomRight" activeCell="B12" activeCellId="0" sqref="B12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139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7" min="16" style="140" width="4.32"/>
    <col collapsed="false" customWidth="true" hidden="false" outlineLevel="0" max="18" min="18" style="137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4" min="22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39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4" min="33" style="142" width="5.49"/>
    <col collapsed="false" customWidth="true" hidden="false" outlineLevel="0" max="37" min="35" style="137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51"/>
      <c r="I1" s="145"/>
      <c r="J1" s="145"/>
      <c r="K1" s="148" t="s">
        <v>0</v>
      </c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320"/>
      <c r="AH1" s="320"/>
      <c r="AI1" s="261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51"/>
      <c r="I2" s="145"/>
      <c r="J2" s="145"/>
      <c r="K2" s="156" t="s">
        <v>91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  <c r="AG2" s="320"/>
      <c r="AH2" s="320"/>
      <c r="AI2" s="261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163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321"/>
      <c r="AH3" s="321"/>
      <c r="AI3" s="264"/>
      <c r="AJ3" s="166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267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322"/>
      <c r="AH4" s="322"/>
      <c r="AI4" s="174" t="s">
        <v>6</v>
      </c>
      <c r="AK4" s="353"/>
    </row>
    <row r="5" customFormat="false" ht="11.1" hidden="false" customHeight="true" outlineLevel="0" collapsed="false">
      <c r="A5" s="185" t="s">
        <v>7</v>
      </c>
      <c r="B5" s="186" t="s">
        <v>8</v>
      </c>
      <c r="C5" s="187" t="s">
        <v>8</v>
      </c>
      <c r="D5" s="185" t="s">
        <v>9</v>
      </c>
      <c r="E5" s="187" t="s">
        <v>10</v>
      </c>
      <c r="F5" s="188" t="s">
        <v>11</v>
      </c>
      <c r="G5" s="185" t="s">
        <v>12</v>
      </c>
      <c r="H5" s="270" t="s">
        <v>13</v>
      </c>
      <c r="I5" s="185" t="s">
        <v>14</v>
      </c>
      <c r="J5" s="185" t="s">
        <v>15</v>
      </c>
      <c r="K5" s="185" t="s">
        <v>16</v>
      </c>
      <c r="L5" s="185" t="s">
        <v>15</v>
      </c>
      <c r="M5" s="190" t="s">
        <v>17</v>
      </c>
      <c r="N5" s="190"/>
      <c r="O5" s="190"/>
      <c r="P5" s="190"/>
      <c r="Q5" s="190"/>
      <c r="R5" s="190"/>
      <c r="S5" s="209" t="s">
        <v>18</v>
      </c>
      <c r="T5" s="209" t="s">
        <v>19</v>
      </c>
      <c r="U5" s="209" t="s">
        <v>16</v>
      </c>
      <c r="V5" s="205" t="s">
        <v>20</v>
      </c>
      <c r="W5" s="205" t="s">
        <v>20</v>
      </c>
      <c r="X5" s="209" t="s">
        <v>21</v>
      </c>
      <c r="Y5" s="209" t="s">
        <v>22</v>
      </c>
      <c r="Z5" s="205" t="s">
        <v>23</v>
      </c>
      <c r="AA5" s="209" t="s">
        <v>14</v>
      </c>
      <c r="AB5" s="209" t="s">
        <v>15</v>
      </c>
      <c r="AC5" s="209" t="s">
        <v>16</v>
      </c>
      <c r="AD5" s="324" t="s">
        <v>24</v>
      </c>
      <c r="AE5" s="201" t="s">
        <v>25</v>
      </c>
      <c r="AF5" s="325" t="s">
        <v>26</v>
      </c>
      <c r="AG5" s="201" t="s">
        <v>79</v>
      </c>
      <c r="AH5" s="201" t="s">
        <v>20</v>
      </c>
      <c r="AI5" s="209" t="s">
        <v>20</v>
      </c>
      <c r="AJ5" s="209" t="s">
        <v>20</v>
      </c>
      <c r="AK5" s="196" t="s">
        <v>28</v>
      </c>
    </row>
    <row r="6" customFormat="false" ht="11.1" hidden="false" customHeight="true" outlineLevel="0" collapsed="false">
      <c r="A6" s="197" t="s">
        <v>92</v>
      </c>
      <c r="B6" s="186" t="s">
        <v>30</v>
      </c>
      <c r="C6" s="187" t="s">
        <v>9</v>
      </c>
      <c r="D6" s="185" t="s">
        <v>31</v>
      </c>
      <c r="E6" s="187" t="s">
        <v>32</v>
      </c>
      <c r="F6" s="188" t="s">
        <v>33</v>
      </c>
      <c r="G6" s="185" t="s">
        <v>34</v>
      </c>
      <c r="H6" s="270" t="s">
        <v>35</v>
      </c>
      <c r="I6" s="185" t="s">
        <v>36</v>
      </c>
      <c r="J6" s="185" t="s">
        <v>36</v>
      </c>
      <c r="K6" s="185" t="s">
        <v>36</v>
      </c>
      <c r="L6" s="185" t="s">
        <v>37</v>
      </c>
      <c r="M6" s="198" t="s">
        <v>38</v>
      </c>
      <c r="N6" s="185" t="s">
        <v>39</v>
      </c>
      <c r="O6" s="185" t="s">
        <v>40</v>
      </c>
      <c r="P6" s="185" t="s">
        <v>41</v>
      </c>
      <c r="Q6" s="185" t="s">
        <v>42</v>
      </c>
      <c r="R6" s="199" t="s">
        <v>93</v>
      </c>
      <c r="S6" s="209" t="s">
        <v>44</v>
      </c>
      <c r="T6" s="209" t="s">
        <v>45</v>
      </c>
      <c r="U6" s="209" t="s">
        <v>20</v>
      </c>
      <c r="V6" s="205" t="s">
        <v>83</v>
      </c>
      <c r="W6" s="205" t="s">
        <v>65</v>
      </c>
      <c r="X6" s="209" t="s">
        <v>48</v>
      </c>
      <c r="Y6" s="209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327"/>
      <c r="AE6" s="201" t="s">
        <v>52</v>
      </c>
      <c r="AF6" s="325" t="s">
        <v>52</v>
      </c>
      <c r="AG6" s="201" t="s">
        <v>53</v>
      </c>
      <c r="AH6" s="201" t="s">
        <v>54</v>
      </c>
      <c r="AI6" s="209" t="s">
        <v>55</v>
      </c>
      <c r="AJ6" s="209" t="s">
        <v>55</v>
      </c>
      <c r="AK6" s="196" t="s">
        <v>56</v>
      </c>
    </row>
    <row r="7" customFormat="false" ht="11.1" hidden="false" customHeight="true" outlineLevel="0" collapsed="false">
      <c r="A7" s="202"/>
      <c r="B7" s="203"/>
      <c r="C7" s="204"/>
      <c r="D7" s="202"/>
      <c r="E7" s="205" t="s">
        <v>57</v>
      </c>
      <c r="F7" s="206"/>
      <c r="G7" s="202"/>
      <c r="H7" s="273"/>
      <c r="I7" s="202"/>
      <c r="J7" s="202"/>
      <c r="K7" s="202"/>
      <c r="L7" s="202"/>
      <c r="M7" s="208"/>
      <c r="N7" s="209" t="s">
        <v>58</v>
      </c>
      <c r="O7" s="209" t="s">
        <v>59</v>
      </c>
      <c r="P7" s="202"/>
      <c r="Q7" s="202"/>
      <c r="R7" s="210" t="s">
        <v>40</v>
      </c>
      <c r="S7" s="269"/>
      <c r="T7" s="269"/>
      <c r="U7" s="269"/>
      <c r="V7" s="205" t="s">
        <v>60</v>
      </c>
      <c r="W7" s="205"/>
      <c r="X7" s="269"/>
      <c r="Y7" s="269"/>
      <c r="Z7" s="330"/>
      <c r="AA7" s="269"/>
      <c r="AB7" s="269"/>
      <c r="AC7" s="269"/>
      <c r="AD7" s="331"/>
      <c r="AE7" s="201"/>
      <c r="AF7" s="332"/>
      <c r="AG7" s="201" t="s">
        <v>61</v>
      </c>
      <c r="AH7" s="201" t="s">
        <v>33</v>
      </c>
      <c r="AI7" s="209" t="s">
        <v>62</v>
      </c>
      <c r="AJ7" s="209" t="s">
        <v>84</v>
      </c>
      <c r="AK7" s="196" t="s">
        <v>64</v>
      </c>
    </row>
    <row r="8" customFormat="false" ht="11.1" hidden="false" customHeight="true" outlineLevel="0" collapsed="false">
      <c r="A8" s="202"/>
      <c r="B8" s="203"/>
      <c r="C8" s="204"/>
      <c r="D8" s="202"/>
      <c r="E8" s="204"/>
      <c r="F8" s="206"/>
      <c r="G8" s="202"/>
      <c r="H8" s="273"/>
      <c r="I8" s="202"/>
      <c r="J8" s="202"/>
      <c r="K8" s="202"/>
      <c r="L8" s="202"/>
      <c r="M8" s="208"/>
      <c r="N8" s="202"/>
      <c r="O8" s="202"/>
      <c r="P8" s="202"/>
      <c r="Q8" s="202"/>
      <c r="R8" s="210" t="s">
        <v>65</v>
      </c>
      <c r="S8" s="269"/>
      <c r="T8" s="269"/>
      <c r="U8" s="269"/>
      <c r="V8" s="330"/>
      <c r="W8" s="330"/>
      <c r="X8" s="269"/>
      <c r="Y8" s="269"/>
      <c r="Z8" s="330"/>
      <c r="AA8" s="269"/>
      <c r="AB8" s="269"/>
      <c r="AC8" s="269"/>
      <c r="AD8" s="331"/>
      <c r="AE8" s="333"/>
      <c r="AF8" s="332"/>
      <c r="AG8" s="333"/>
      <c r="AH8" s="333"/>
      <c r="AI8" s="168"/>
      <c r="AJ8" s="154" t="s">
        <v>61</v>
      </c>
      <c r="AK8" s="181"/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7"/>
      <c r="G9" s="216"/>
      <c r="H9" s="354"/>
      <c r="I9" s="216"/>
      <c r="J9" s="216"/>
      <c r="K9" s="216"/>
      <c r="L9" s="216"/>
      <c r="M9" s="219"/>
      <c r="N9" s="216"/>
      <c r="O9" s="216"/>
      <c r="P9" s="216"/>
      <c r="Q9" s="216"/>
      <c r="R9" s="220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22"/>
      <c r="AE9" s="218"/>
      <c r="AF9" s="223"/>
      <c r="AG9" s="218"/>
      <c r="AH9" s="218"/>
      <c r="AI9" s="240"/>
      <c r="AJ9" s="224"/>
      <c r="AK9" s="224"/>
    </row>
    <row r="10" s="138" customFormat="true" ht="11.1" hidden="false" customHeight="true" outlineLevel="0" collapsed="false">
      <c r="A10" s="225" t="s">
        <v>68</v>
      </c>
      <c r="B10" s="226" t="n">
        <f aca="false">FEB!B40</f>
        <v>6862.8</v>
      </c>
      <c r="C10" s="216" t="n">
        <f aca="false">FEB!C40</f>
        <v>169601</v>
      </c>
      <c r="D10" s="216" t="n">
        <f aca="false">FEB!D49</f>
        <v>-4342</v>
      </c>
      <c r="E10" s="216" t="n">
        <f aca="false">FEB!E49</f>
        <v>17601</v>
      </c>
      <c r="F10" s="217" t="n">
        <f aca="false">FEB!F48</f>
        <v>-2189.05974287875</v>
      </c>
      <c r="G10" s="216" t="n">
        <f aca="false">FEB!G48</f>
        <v>5506</v>
      </c>
      <c r="H10" s="337" t="n">
        <f aca="false">FEB!H48</f>
        <v>29.9</v>
      </c>
      <c r="I10" s="216" t="n">
        <f aca="false">FEB!I48</f>
        <v>5535.9</v>
      </c>
      <c r="J10" s="216" t="n">
        <f aca="false">FEB!J48</f>
        <v>1859.85837786741</v>
      </c>
      <c r="K10" s="216" t="n">
        <f aca="false">FEB!K48</f>
        <v>7395.75837786741</v>
      </c>
      <c r="L10" s="216" t="n">
        <f aca="false">FEB!L48</f>
        <v>1653.49525712125</v>
      </c>
      <c r="M10" s="219" t="n">
        <f aca="false">FEB!M48</f>
        <v>585.6</v>
      </c>
      <c r="N10" s="216" t="n">
        <f aca="false">FEB!N48</f>
        <v>0</v>
      </c>
      <c r="O10" s="216" t="n">
        <f aca="false">FEB!O48</f>
        <v>0</v>
      </c>
      <c r="P10" s="216" t="n">
        <f aca="false">FEB!P48</f>
        <v>170.34</v>
      </c>
      <c r="Q10" s="216" t="n">
        <f aca="false">FEB!Q48</f>
        <v>283.05</v>
      </c>
      <c r="R10" s="220" t="n">
        <f aca="false">FEB!R48</f>
        <v>0</v>
      </c>
      <c r="S10" s="216" t="n">
        <f aca="false">FEB!S48</f>
        <v>6259</v>
      </c>
      <c r="T10" s="216" t="n">
        <f aca="false">FEB!T48</f>
        <v>95</v>
      </c>
      <c r="U10" s="216" t="n">
        <f aca="false">FEB!U48</f>
        <v>6480.14049</v>
      </c>
      <c r="V10" s="216"/>
      <c r="W10" s="216"/>
      <c r="X10" s="216"/>
      <c r="Y10" s="216" t="n">
        <f aca="false">FEB!Y48</f>
        <v>2407</v>
      </c>
      <c r="Z10" s="216" t="n">
        <f aca="false">FEB!Z48</f>
        <v>812</v>
      </c>
      <c r="AA10" s="216" t="n">
        <f aca="false">FEB!AA48</f>
        <v>9378.455</v>
      </c>
      <c r="AB10" s="216" t="n">
        <f aca="false">FEB!AB48</f>
        <v>206.363120746156</v>
      </c>
      <c r="AC10" s="216" t="n">
        <f aca="false">FEB!AC48</f>
        <v>9584.81812074616</v>
      </c>
      <c r="AD10" s="222" t="n">
        <f aca="false">FEB!AD48</f>
        <v>6.43</v>
      </c>
      <c r="AE10" s="218"/>
      <c r="AF10" s="223"/>
      <c r="AG10" s="218" t="n">
        <f aca="false">FEB!AG49</f>
        <v>12149.0701122275</v>
      </c>
      <c r="AH10" s="218" t="n">
        <f aca="false">FEB!AH49</f>
        <v>0</v>
      </c>
      <c r="AI10" s="216"/>
      <c r="AJ10" s="240"/>
      <c r="AK10" s="216"/>
    </row>
    <row r="11" customFormat="false" ht="3" hidden="false" customHeight="true" outlineLevel="0" collapsed="false">
      <c r="A11" s="355"/>
      <c r="B11" s="228"/>
      <c r="C11" s="229"/>
      <c r="D11" s="230"/>
      <c r="E11" s="229"/>
      <c r="F11" s="231"/>
      <c r="G11" s="230"/>
      <c r="H11" s="252"/>
      <c r="I11" s="230"/>
      <c r="J11" s="230"/>
      <c r="K11" s="230"/>
      <c r="L11" s="230"/>
      <c r="M11" s="233"/>
      <c r="N11" s="230"/>
      <c r="O11" s="230"/>
      <c r="P11" s="230"/>
      <c r="Q11" s="230"/>
      <c r="R11" s="234"/>
      <c r="S11" s="230"/>
      <c r="T11" s="230"/>
      <c r="U11" s="230"/>
      <c r="V11" s="229"/>
      <c r="W11" s="229"/>
      <c r="X11" s="230"/>
      <c r="Y11" s="230"/>
      <c r="Z11" s="229"/>
      <c r="AA11" s="230"/>
      <c r="AB11" s="230"/>
      <c r="AC11" s="230"/>
      <c r="AD11" s="236"/>
      <c r="AE11" s="237"/>
      <c r="AF11" s="238"/>
      <c r="AG11" s="237"/>
      <c r="AH11" s="237"/>
      <c r="AI11" s="237"/>
      <c r="AJ11" s="237"/>
      <c r="AK11" s="237"/>
    </row>
    <row r="12" customFormat="false" ht="11.1" hidden="false" customHeight="true" outlineLevel="0" collapsed="false">
      <c r="A12" s="333" t="n">
        <v>1</v>
      </c>
      <c r="B12" s="226" t="n">
        <v>6862.78</v>
      </c>
      <c r="C12" s="216" t="n">
        <v>169553</v>
      </c>
      <c r="D12" s="218" t="n">
        <f aca="false">C12-C10</f>
        <v>-48</v>
      </c>
      <c r="E12" s="216" t="n">
        <f aca="false">C12-152000</f>
        <v>17553</v>
      </c>
      <c r="F12" s="239" t="n">
        <f aca="false">D12/$D$2</f>
        <v>-24.19964708848</v>
      </c>
      <c r="G12" s="240" t="n">
        <v>52</v>
      </c>
      <c r="H12" s="356" t="n">
        <v>0.8</v>
      </c>
      <c r="I12" s="240" t="n">
        <f aca="false">G12+H12</f>
        <v>52.8</v>
      </c>
      <c r="J12" s="221" t="n">
        <f aca="false">IF(L12&gt;0,L12,0)</f>
        <v>6.50035291152004</v>
      </c>
      <c r="K12" s="240" t="n">
        <f aca="false">I12+J12</f>
        <v>59.30035291152</v>
      </c>
      <c r="L12" s="240" t="n">
        <f aca="false">F12-(I12-AA12)</f>
        <v>6.50035291152004</v>
      </c>
      <c r="M12" s="242" t="n">
        <v>3.5</v>
      </c>
      <c r="N12" s="240" t="n">
        <v>0</v>
      </c>
      <c r="O12" s="240" t="n">
        <v>0</v>
      </c>
      <c r="P12" s="357" t="n">
        <v>1.394</v>
      </c>
      <c r="Q12" s="357" t="n">
        <v>2.15</v>
      </c>
      <c r="R12" s="116" t="n">
        <v>0</v>
      </c>
      <c r="S12" s="240" t="n">
        <v>56</v>
      </c>
      <c r="T12" s="240" t="n">
        <v>0</v>
      </c>
      <c r="U12" s="240" t="n">
        <f aca="false">M12-N12-O12-P12-Q12-R12+S12+T12</f>
        <v>55.956</v>
      </c>
      <c r="V12" s="216"/>
      <c r="W12" s="216"/>
      <c r="X12" s="240" t="n">
        <v>0</v>
      </c>
      <c r="Y12" s="240" t="n">
        <v>24</v>
      </c>
      <c r="Z12" s="216" t="n">
        <f aca="false">Z10-Y12</f>
        <v>788</v>
      </c>
      <c r="AA12" s="117" t="n">
        <f aca="false">N12+O12+P12+Q12+R12+U12+X12+Y12</f>
        <v>83.5</v>
      </c>
      <c r="AB12" s="240" t="n">
        <f aca="false">IF(L12&lt;0,L12*-1,0)</f>
        <v>0</v>
      </c>
      <c r="AC12" s="240" t="n">
        <f aca="false">AA12+AB12</f>
        <v>83.5</v>
      </c>
      <c r="AD12" s="222" t="n">
        <v>0</v>
      </c>
      <c r="AE12" s="218" t="n">
        <v>41</v>
      </c>
      <c r="AF12" s="223" t="n">
        <v>10</v>
      </c>
      <c r="AG12" s="218" t="n">
        <f aca="false">AG10+(U12*1.9835)</f>
        <v>12260.0588382275</v>
      </c>
      <c r="AH12" s="218" t="n">
        <v>0</v>
      </c>
      <c r="AI12" s="224"/>
      <c r="AJ12" s="216"/>
      <c r="AK12" s="224"/>
    </row>
    <row r="13" customFormat="false" ht="11.1" hidden="false" customHeight="true" outlineLevel="0" collapsed="false">
      <c r="A13" s="333" t="n">
        <f aca="false">A12+1</f>
        <v>2</v>
      </c>
      <c r="B13" s="226" t="n">
        <v>6862.77</v>
      </c>
      <c r="C13" s="216" t="n">
        <v>169529</v>
      </c>
      <c r="D13" s="218" t="n">
        <f aca="false">C13-C12</f>
        <v>-24</v>
      </c>
      <c r="E13" s="216" t="n">
        <f aca="false">C13-152000</f>
        <v>17529</v>
      </c>
      <c r="F13" s="239" t="n">
        <f aca="false">D13/$D$2</f>
        <v>-12.09982354424</v>
      </c>
      <c r="G13" s="240" t="n">
        <v>54</v>
      </c>
      <c r="H13" s="356" t="n">
        <v>0.7</v>
      </c>
      <c r="I13" s="240" t="n">
        <f aca="false">G13+H13</f>
        <v>54.7</v>
      </c>
      <c r="J13" s="221" t="n">
        <f aca="false">IF(L13&gt;0,L13,0)</f>
        <v>17.80017645576</v>
      </c>
      <c r="K13" s="240" t="n">
        <f aca="false">I13+J13</f>
        <v>72.50017645576</v>
      </c>
      <c r="L13" s="240" t="n">
        <f aca="false">F13-(I13-AA13)</f>
        <v>17.80017645576</v>
      </c>
      <c r="M13" s="242" t="n">
        <v>3.6</v>
      </c>
      <c r="N13" s="240" t="n">
        <v>0</v>
      </c>
      <c r="O13" s="240" t="n">
        <v>0</v>
      </c>
      <c r="P13" s="357" t="n">
        <v>1.394</v>
      </c>
      <c r="Q13" s="357" t="n">
        <v>2.21</v>
      </c>
      <c r="R13" s="116" t="n">
        <v>0</v>
      </c>
      <c r="S13" s="240" t="n">
        <v>56</v>
      </c>
      <c r="T13" s="240" t="n">
        <v>0</v>
      </c>
      <c r="U13" s="240" t="n">
        <f aca="false">M13-N13-O13-P13-Q13-R13+S13+T13</f>
        <v>55.996</v>
      </c>
      <c r="V13" s="216"/>
      <c r="W13" s="216"/>
      <c r="X13" s="240" t="n">
        <v>0</v>
      </c>
      <c r="Y13" s="240" t="n">
        <v>25</v>
      </c>
      <c r="Z13" s="216" t="n">
        <f aca="false">Z12-Y13</f>
        <v>763</v>
      </c>
      <c r="AA13" s="117" t="n">
        <f aca="false">N13+O13+P13+Q13+R13+U13+X13+Y13</f>
        <v>84.6</v>
      </c>
      <c r="AB13" s="240" t="n">
        <f aca="false">IF(L13&lt;0,L13*-1,0)</f>
        <v>0</v>
      </c>
      <c r="AC13" s="240" t="n">
        <f aca="false">AA13+AB13</f>
        <v>84.6</v>
      </c>
      <c r="AD13" s="222" t="n">
        <v>0.19</v>
      </c>
      <c r="AE13" s="218" t="n">
        <v>40</v>
      </c>
      <c r="AF13" s="223" t="n">
        <v>24</v>
      </c>
      <c r="AG13" s="218" t="n">
        <f aca="false">AG12+(U13*1.9835)</f>
        <v>12371.1269042275</v>
      </c>
      <c r="AH13" s="218" t="n">
        <v>0</v>
      </c>
      <c r="AI13" s="224"/>
      <c r="AJ13" s="216"/>
      <c r="AK13" s="224"/>
    </row>
    <row r="14" customFormat="false" ht="11.1" hidden="false" customHeight="true" outlineLevel="0" collapsed="false">
      <c r="A14" s="333" t="n">
        <f aca="false">A13+1</f>
        <v>3</v>
      </c>
      <c r="B14" s="226" t="n">
        <v>6862.75</v>
      </c>
      <c r="C14" s="216" t="n">
        <v>169482</v>
      </c>
      <c r="D14" s="218" t="n">
        <f aca="false">C14-C13</f>
        <v>-47</v>
      </c>
      <c r="E14" s="216" t="n">
        <f aca="false">C14-152000</f>
        <v>17482</v>
      </c>
      <c r="F14" s="239" t="n">
        <f aca="false">D14/$D$2</f>
        <v>-23.6954877741366</v>
      </c>
      <c r="G14" s="240" t="n">
        <v>54</v>
      </c>
      <c r="H14" s="356" t="n">
        <v>0.8</v>
      </c>
      <c r="I14" s="240" t="n">
        <f aca="false">G14+H14</f>
        <v>54.8</v>
      </c>
      <c r="J14" s="221" t="n">
        <f aca="false">IF(L14&gt;0,L14,0)</f>
        <v>6.90451222586338</v>
      </c>
      <c r="K14" s="240" t="n">
        <f aca="false">I14+J14</f>
        <v>61.7045122258634</v>
      </c>
      <c r="L14" s="240" t="n">
        <f aca="false">F14-(I14-AA14)</f>
        <v>6.90451222586338</v>
      </c>
      <c r="M14" s="242" t="n">
        <v>3.4</v>
      </c>
      <c r="N14" s="240" t="n">
        <v>0</v>
      </c>
      <c r="O14" s="240" t="n">
        <v>0</v>
      </c>
      <c r="P14" s="357" t="n">
        <v>1.394</v>
      </c>
      <c r="Q14" s="357" t="n">
        <v>2.04</v>
      </c>
      <c r="R14" s="116" t="n">
        <v>0</v>
      </c>
      <c r="S14" s="240" t="n">
        <v>57</v>
      </c>
      <c r="T14" s="240" t="n">
        <v>0</v>
      </c>
      <c r="U14" s="240" t="n">
        <f aca="false">M14-N14-O14-P14-Q14-R14+S14+T14</f>
        <v>56.966</v>
      </c>
      <c r="V14" s="216"/>
      <c r="W14" s="216"/>
      <c r="X14" s="240" t="n">
        <v>0</v>
      </c>
      <c r="Y14" s="240" t="n">
        <v>25</v>
      </c>
      <c r="Z14" s="216" t="n">
        <f aca="false">Z13-Y14</f>
        <v>738</v>
      </c>
      <c r="AA14" s="117" t="n">
        <f aca="false">N14+O14+P14+Q14+R14+U14+X14+Y14</f>
        <v>85.4</v>
      </c>
      <c r="AB14" s="240" t="n">
        <f aca="false">IF(L14&lt;0,L14*-1,0)</f>
        <v>0</v>
      </c>
      <c r="AC14" s="240" t="n">
        <f aca="false">AA14+AB14</f>
        <v>85.4</v>
      </c>
      <c r="AD14" s="222" t="n">
        <v>0</v>
      </c>
      <c r="AE14" s="218" t="n">
        <v>42</v>
      </c>
      <c r="AF14" s="223" t="n">
        <v>26</v>
      </c>
      <c r="AG14" s="218" t="n">
        <f aca="false">AG13+(U14*1.9835)</f>
        <v>12484.1189652275</v>
      </c>
      <c r="AH14" s="218" t="n">
        <v>0</v>
      </c>
      <c r="AI14" s="224"/>
      <c r="AJ14" s="216"/>
      <c r="AK14" s="224"/>
    </row>
    <row r="15" customFormat="false" ht="11.1" hidden="false" customHeight="true" outlineLevel="0" collapsed="false">
      <c r="A15" s="333" t="n">
        <f aca="false">A14+1</f>
        <v>4</v>
      </c>
      <c r="B15" s="226" t="n">
        <v>6862.73</v>
      </c>
      <c r="C15" s="216" t="n">
        <v>169434</v>
      </c>
      <c r="D15" s="218" t="n">
        <f aca="false">C15-C14</f>
        <v>-48</v>
      </c>
      <c r="E15" s="216" t="n">
        <f aca="false">C15-152000</f>
        <v>17434</v>
      </c>
      <c r="F15" s="239" t="n">
        <f aca="false">D15/$D$2</f>
        <v>-24.19964708848</v>
      </c>
      <c r="G15" s="240" t="n">
        <v>60</v>
      </c>
      <c r="H15" s="356" t="n">
        <v>0.8</v>
      </c>
      <c r="I15" s="240" t="n">
        <f aca="false">G15+H15</f>
        <v>60.8</v>
      </c>
      <c r="J15" s="221" t="n">
        <f aca="false">IF(L15&gt;0,L15,0)</f>
        <v>0.400352911520049</v>
      </c>
      <c r="K15" s="240" t="n">
        <f aca="false">I15+J15</f>
        <v>61.20035291152</v>
      </c>
      <c r="L15" s="240" t="n">
        <f aca="false">F15-(I15-AA15)</f>
        <v>0.400352911520049</v>
      </c>
      <c r="M15" s="242" t="n">
        <v>3.4</v>
      </c>
      <c r="N15" s="240" t="n">
        <v>0</v>
      </c>
      <c r="O15" s="240" t="n">
        <v>0</v>
      </c>
      <c r="P15" s="357" t="n">
        <v>1.394</v>
      </c>
      <c r="Q15" s="357" t="n">
        <v>2.02</v>
      </c>
      <c r="R15" s="116" t="n">
        <v>0</v>
      </c>
      <c r="S15" s="240" t="n">
        <v>57</v>
      </c>
      <c r="T15" s="240" t="n">
        <v>0</v>
      </c>
      <c r="U15" s="240" t="n">
        <f aca="false">M15-N15-O15-P15-Q15-R15+S15+T15</f>
        <v>56.986</v>
      </c>
      <c r="V15" s="216"/>
      <c r="W15" s="216"/>
      <c r="X15" s="240" t="n">
        <v>0</v>
      </c>
      <c r="Y15" s="240" t="n">
        <v>25</v>
      </c>
      <c r="Z15" s="216" t="n">
        <f aca="false">Z14-Y15</f>
        <v>713</v>
      </c>
      <c r="AA15" s="117" t="n">
        <f aca="false">N15+O15+P15+Q15+R15+U15+X15+Y15</f>
        <v>85.4</v>
      </c>
      <c r="AB15" s="240" t="n">
        <f aca="false">IF(L15&lt;0,L15*-1,0)</f>
        <v>0</v>
      </c>
      <c r="AC15" s="240" t="n">
        <f aca="false">AA15+AB15</f>
        <v>85.4</v>
      </c>
      <c r="AD15" s="222" t="n">
        <v>0</v>
      </c>
      <c r="AE15" s="218" t="n">
        <v>41</v>
      </c>
      <c r="AF15" s="223" t="n">
        <v>26</v>
      </c>
      <c r="AG15" s="218" t="n">
        <f aca="false">AG14+(U15*1.9835)</f>
        <v>12597.1506962275</v>
      </c>
      <c r="AH15" s="218" t="n">
        <v>0</v>
      </c>
      <c r="AI15" s="224"/>
      <c r="AJ15" s="216"/>
      <c r="AK15" s="224"/>
    </row>
    <row r="16" customFormat="false" ht="11.1" hidden="false" customHeight="true" outlineLevel="0" collapsed="false">
      <c r="A16" s="333" t="n">
        <f aca="false">A15+1</f>
        <v>5</v>
      </c>
      <c r="B16" s="226" t="n">
        <v>6862.7</v>
      </c>
      <c r="C16" s="216" t="n">
        <v>169363</v>
      </c>
      <c r="D16" s="218" t="n">
        <f aca="false">C16-C15</f>
        <v>-71</v>
      </c>
      <c r="E16" s="216" t="n">
        <f aca="false">C16-152000</f>
        <v>17363</v>
      </c>
      <c r="F16" s="239" t="n">
        <f aca="false">D16/$D$2</f>
        <v>-35.7953113183766</v>
      </c>
      <c r="G16" s="240" t="n">
        <v>59</v>
      </c>
      <c r="H16" s="356" t="n">
        <v>0.8</v>
      </c>
      <c r="I16" s="240" t="n">
        <f aca="false">G16+H16</f>
        <v>59.8</v>
      </c>
      <c r="J16" s="221" t="n">
        <f aca="false">IF(L16&gt;0,L16,0)</f>
        <v>0</v>
      </c>
      <c r="K16" s="240" t="n">
        <f aca="false">I16+J16</f>
        <v>59.8</v>
      </c>
      <c r="L16" s="240" t="n">
        <f aca="false">F16-(I16-AA16)</f>
        <v>-11.1953113183766</v>
      </c>
      <c r="M16" s="242" t="n">
        <v>3.4</v>
      </c>
      <c r="N16" s="240" t="n">
        <v>0</v>
      </c>
      <c r="O16" s="240" t="n">
        <v>0</v>
      </c>
      <c r="P16" s="357" t="n">
        <v>1.394</v>
      </c>
      <c r="Q16" s="357" t="n">
        <v>2.02</v>
      </c>
      <c r="R16" s="116" t="n">
        <v>0</v>
      </c>
      <c r="S16" s="240" t="n">
        <v>56</v>
      </c>
      <c r="T16" s="240" t="n">
        <v>0</v>
      </c>
      <c r="U16" s="240" t="n">
        <f aca="false">M16-N16-O16-P16-Q16-R16+S16+T16</f>
        <v>55.986</v>
      </c>
      <c r="V16" s="216"/>
      <c r="W16" s="216"/>
      <c r="X16" s="240" t="n">
        <v>0</v>
      </c>
      <c r="Y16" s="240" t="n">
        <v>25</v>
      </c>
      <c r="Z16" s="216" t="n">
        <f aca="false">Z15-Y16</f>
        <v>688</v>
      </c>
      <c r="AA16" s="117" t="n">
        <f aca="false">N16+O16+P16+Q16+R16+U16+X16+Y16</f>
        <v>84.4</v>
      </c>
      <c r="AB16" s="240" t="n">
        <f aca="false">IF(L16&lt;0,L16*-1,0)</f>
        <v>11.1953113183766</v>
      </c>
      <c r="AC16" s="240" t="n">
        <f aca="false">AA16+AB16</f>
        <v>95.5953113183766</v>
      </c>
      <c r="AD16" s="222" t="n">
        <v>0</v>
      </c>
      <c r="AE16" s="218" t="n">
        <v>38</v>
      </c>
      <c r="AF16" s="223" t="n">
        <v>19</v>
      </c>
      <c r="AG16" s="218" t="n">
        <f aca="false">AG15+(U16*1.9835)</f>
        <v>12708.1989272275</v>
      </c>
      <c r="AH16" s="218" t="n">
        <v>0</v>
      </c>
      <c r="AI16" s="224"/>
      <c r="AJ16" s="216"/>
      <c r="AK16" s="224"/>
    </row>
    <row r="17" customFormat="false" ht="11.1" hidden="false" customHeight="true" outlineLevel="0" collapsed="false">
      <c r="A17" s="333" t="n">
        <f aca="false">A16+1</f>
        <v>6</v>
      </c>
      <c r="B17" s="226" t="n">
        <v>6862.67</v>
      </c>
      <c r="C17" s="216" t="n">
        <v>169292</v>
      </c>
      <c r="D17" s="218" t="n">
        <f aca="false">C17-C16</f>
        <v>-71</v>
      </c>
      <c r="E17" s="216" t="n">
        <f aca="false">C17-152000</f>
        <v>17292</v>
      </c>
      <c r="F17" s="239" t="n">
        <f aca="false">D17/$D$2</f>
        <v>-35.7953113183766</v>
      </c>
      <c r="G17" s="240" t="n">
        <v>52</v>
      </c>
      <c r="H17" s="356" t="n">
        <v>0.7</v>
      </c>
      <c r="I17" s="240" t="n">
        <f aca="false">G17+H17</f>
        <v>52.7</v>
      </c>
      <c r="J17" s="221" t="n">
        <f aca="false">IF(L17&gt;0,L17,0)</f>
        <v>0</v>
      </c>
      <c r="K17" s="240" t="n">
        <f aca="false">I17+J17</f>
        <v>52.7</v>
      </c>
      <c r="L17" s="240" t="n">
        <f aca="false">F17-(I17-AA17)</f>
        <v>-2.99531131837661</v>
      </c>
      <c r="M17" s="242" t="n">
        <v>3.5</v>
      </c>
      <c r="N17" s="240" t="n">
        <v>0</v>
      </c>
      <c r="O17" s="240" t="n">
        <v>0</v>
      </c>
      <c r="P17" s="357" t="n">
        <v>1.394</v>
      </c>
      <c r="Q17" s="357" t="n">
        <v>2.1</v>
      </c>
      <c r="R17" s="116" t="n">
        <v>0</v>
      </c>
      <c r="S17" s="240" t="n">
        <v>56</v>
      </c>
      <c r="T17" s="240" t="n">
        <v>0</v>
      </c>
      <c r="U17" s="240" t="n">
        <f aca="false">M17-N17-O17-P17-Q17-R17+S17+T17</f>
        <v>56.006</v>
      </c>
      <c r="V17" s="216"/>
      <c r="W17" s="216"/>
      <c r="X17" s="240" t="n">
        <v>0</v>
      </c>
      <c r="Y17" s="240" t="n">
        <v>26</v>
      </c>
      <c r="Z17" s="216" t="n">
        <f aca="false">Z16-Y17</f>
        <v>662</v>
      </c>
      <c r="AA17" s="117" t="n">
        <f aca="false">N17+O17+P17+Q17+R17+U17+X17+Y17</f>
        <v>85.5</v>
      </c>
      <c r="AB17" s="240" t="n">
        <f aca="false">IF(L17&lt;0,L17*-1,0)</f>
        <v>2.99531131837661</v>
      </c>
      <c r="AC17" s="240" t="n">
        <f aca="false">AA17+AB17</f>
        <v>88.4953113183766</v>
      </c>
      <c r="AD17" s="222" t="n">
        <v>0</v>
      </c>
      <c r="AE17" s="218" t="n">
        <v>48</v>
      </c>
      <c r="AF17" s="223" t="n">
        <v>16</v>
      </c>
      <c r="AG17" s="218" t="n">
        <f aca="false">AG16+(U17*1.9835)</f>
        <v>12819.2868282275</v>
      </c>
      <c r="AH17" s="218" t="n">
        <v>0</v>
      </c>
      <c r="AI17" s="240"/>
      <c r="AJ17" s="216"/>
      <c r="AK17" s="224"/>
    </row>
    <row r="18" customFormat="false" ht="11.1" hidden="false" customHeight="true" outlineLevel="0" collapsed="false">
      <c r="A18" s="333" t="n">
        <f aca="false">A17+1</f>
        <v>7</v>
      </c>
      <c r="B18" s="226" t="n">
        <v>6862.66</v>
      </c>
      <c r="C18" s="216" t="n">
        <v>169268</v>
      </c>
      <c r="D18" s="218" t="n">
        <f aca="false">C18-C17</f>
        <v>-24</v>
      </c>
      <c r="E18" s="216" t="n">
        <f aca="false">C18-152000</f>
        <v>17268</v>
      </c>
      <c r="F18" s="239" t="n">
        <f aca="false">D18/$D$2</f>
        <v>-12.09982354424</v>
      </c>
      <c r="G18" s="240" t="n">
        <v>57</v>
      </c>
      <c r="H18" s="356" t="n">
        <v>0.9</v>
      </c>
      <c r="I18" s="240" t="n">
        <f aca="false">G18+H18</f>
        <v>57.9</v>
      </c>
      <c r="J18" s="221" t="n">
        <f aca="false">IF(L18&gt;0,L18,0)</f>
        <v>15.80017645576</v>
      </c>
      <c r="K18" s="240" t="n">
        <f aca="false">I18+J18</f>
        <v>73.70017645576</v>
      </c>
      <c r="L18" s="240" t="n">
        <f aca="false">F18-(I18-AA18)</f>
        <v>15.80017645576</v>
      </c>
      <c r="M18" s="242" t="n">
        <v>3.8</v>
      </c>
      <c r="N18" s="240" t="n">
        <v>0</v>
      </c>
      <c r="O18" s="240" t="n">
        <v>0</v>
      </c>
      <c r="P18" s="357" t="n">
        <v>1.394</v>
      </c>
      <c r="Q18" s="357" t="n">
        <v>3.3</v>
      </c>
      <c r="R18" s="116" t="n">
        <v>0</v>
      </c>
      <c r="S18" s="240" t="n">
        <v>56</v>
      </c>
      <c r="T18" s="240" t="n">
        <v>0</v>
      </c>
      <c r="U18" s="240" t="n">
        <f aca="false">M18-N18-O18-P18-Q18-R18+S18+T18</f>
        <v>55.106</v>
      </c>
      <c r="V18" s="216"/>
      <c r="W18" s="216"/>
      <c r="X18" s="240" t="n">
        <v>0</v>
      </c>
      <c r="Y18" s="240" t="n">
        <v>26</v>
      </c>
      <c r="Z18" s="216" t="n">
        <f aca="false">Z17-Y18</f>
        <v>636</v>
      </c>
      <c r="AA18" s="117" t="n">
        <f aca="false">N18+O18+P18+Q18+R18+U18+X18+Y18</f>
        <v>85.8</v>
      </c>
      <c r="AB18" s="240" t="n">
        <f aca="false">IF(L18&lt;0,L18*-1,0)</f>
        <v>0</v>
      </c>
      <c r="AC18" s="240" t="n">
        <f aca="false">AA18+AB18</f>
        <v>85.8</v>
      </c>
      <c r="AD18" s="222" t="n">
        <v>0</v>
      </c>
      <c r="AE18" s="218" t="n">
        <v>57</v>
      </c>
      <c r="AF18" s="223" t="n">
        <v>22</v>
      </c>
      <c r="AG18" s="218" t="n">
        <f aca="false">AG17+(U18*1.9835)</f>
        <v>12928.5895792275</v>
      </c>
      <c r="AH18" s="218" t="n">
        <v>0</v>
      </c>
      <c r="AI18" s="240"/>
      <c r="AJ18" s="216"/>
      <c r="AK18" s="224"/>
    </row>
    <row r="19" customFormat="false" ht="11.1" hidden="false" customHeight="true" outlineLevel="0" collapsed="false">
      <c r="A19" s="333" t="n">
        <f aca="false">A18+1</f>
        <v>8</v>
      </c>
      <c r="B19" s="226" t="n">
        <v>6862.66</v>
      </c>
      <c r="C19" s="216" t="n">
        <v>169268</v>
      </c>
      <c r="D19" s="218" t="n">
        <f aca="false">C19-C18</f>
        <v>0</v>
      </c>
      <c r="E19" s="216" t="n">
        <f aca="false">C19-152000</f>
        <v>17268</v>
      </c>
      <c r="F19" s="239" t="n">
        <f aca="false">D19/$D$2</f>
        <v>0</v>
      </c>
      <c r="G19" s="240" t="n">
        <v>64</v>
      </c>
      <c r="H19" s="356" t="n">
        <v>1.1</v>
      </c>
      <c r="I19" s="240" t="n">
        <f aca="false">G19+H19</f>
        <v>65.1</v>
      </c>
      <c r="J19" s="221" t="n">
        <f aca="false">IF(L19&gt;0,L19,0)</f>
        <v>22</v>
      </c>
      <c r="K19" s="240" t="n">
        <f aca="false">I19+J19</f>
        <v>87.1</v>
      </c>
      <c r="L19" s="240" t="n">
        <f aca="false">F19-(I19-AA19)</f>
        <v>22</v>
      </c>
      <c r="M19" s="242" t="n">
        <v>5.1</v>
      </c>
      <c r="N19" s="240" t="n">
        <v>0</v>
      </c>
      <c r="O19" s="240" t="n">
        <v>0</v>
      </c>
      <c r="P19" s="357" t="n">
        <v>1.394</v>
      </c>
      <c r="Q19" s="357" t="n">
        <v>3.76</v>
      </c>
      <c r="R19" s="116" t="n">
        <v>0</v>
      </c>
      <c r="S19" s="240" t="n">
        <v>56</v>
      </c>
      <c r="T19" s="240" t="n">
        <v>0</v>
      </c>
      <c r="U19" s="240" t="n">
        <f aca="false">M19-N19-O19-P19-Q19-R19+S19+T19</f>
        <v>55.946</v>
      </c>
      <c r="V19" s="216"/>
      <c r="W19" s="216"/>
      <c r="X19" s="240" t="n">
        <v>0</v>
      </c>
      <c r="Y19" s="240" t="n">
        <v>26</v>
      </c>
      <c r="Z19" s="216" t="n">
        <f aca="false">Z18-Y19</f>
        <v>610</v>
      </c>
      <c r="AA19" s="117" t="n">
        <f aca="false">N19+O19+P19+Q19+R19+U19+X19+Y19</f>
        <v>87.1</v>
      </c>
      <c r="AB19" s="240" t="n">
        <f aca="false">IF(L19&lt;0,L19*-1,0)</f>
        <v>0</v>
      </c>
      <c r="AC19" s="240" t="n">
        <f aca="false">AA19+AB19</f>
        <v>87.1</v>
      </c>
      <c r="AD19" s="222" t="n">
        <v>0</v>
      </c>
      <c r="AE19" s="218" t="n">
        <v>60</v>
      </c>
      <c r="AF19" s="223" t="n">
        <v>27</v>
      </c>
      <c r="AG19" s="218" t="n">
        <f aca="false">AG18+(U19*1.9835)</f>
        <v>13039.5584702275</v>
      </c>
      <c r="AH19" s="218" t="n">
        <v>0</v>
      </c>
      <c r="AI19" s="240"/>
      <c r="AJ19" s="216"/>
      <c r="AK19" s="224"/>
    </row>
    <row r="20" customFormat="false" ht="11.1" hidden="false" customHeight="true" outlineLevel="0" collapsed="false">
      <c r="A20" s="333" t="n">
        <f aca="false">A19+1</f>
        <v>9</v>
      </c>
      <c r="B20" s="226" t="n">
        <v>6862.69</v>
      </c>
      <c r="C20" s="216" t="n">
        <v>169339</v>
      </c>
      <c r="D20" s="218" t="n">
        <f aca="false">C20-C19</f>
        <v>71</v>
      </c>
      <c r="E20" s="216" t="n">
        <f aca="false">C20-152000</f>
        <v>17339</v>
      </c>
      <c r="F20" s="239" t="n">
        <f aca="false">D20/$D$2</f>
        <v>35.7953113183766</v>
      </c>
      <c r="G20" s="240" t="n">
        <v>82</v>
      </c>
      <c r="H20" s="356" t="n">
        <v>1.3</v>
      </c>
      <c r="I20" s="240" t="n">
        <f aca="false">G20+H20</f>
        <v>83.3</v>
      </c>
      <c r="J20" s="221" t="n">
        <f aca="false">IF(L20&gt;0,L20,0)</f>
        <v>50.5953113183766</v>
      </c>
      <c r="K20" s="240" t="n">
        <f aca="false">I20+J20</f>
        <v>133.895311318377</v>
      </c>
      <c r="L20" s="240" t="n">
        <f aca="false">F20-(I20-AA20)</f>
        <v>50.5953113183766</v>
      </c>
      <c r="M20" s="242" t="n">
        <v>5.1</v>
      </c>
      <c r="N20" s="240" t="n">
        <v>0</v>
      </c>
      <c r="O20" s="240" t="n">
        <v>0</v>
      </c>
      <c r="P20" s="357" t="n">
        <v>1.394</v>
      </c>
      <c r="Q20" s="357" t="n">
        <v>3.73</v>
      </c>
      <c r="R20" s="116" t="n">
        <v>0</v>
      </c>
      <c r="S20" s="240" t="n">
        <v>67</v>
      </c>
      <c r="T20" s="240" t="n">
        <v>0</v>
      </c>
      <c r="U20" s="240" t="n">
        <f aca="false">M20-N20-O20-P20-Q20-R20+S20+T20</f>
        <v>66.976</v>
      </c>
      <c r="V20" s="216"/>
      <c r="W20" s="216"/>
      <c r="X20" s="240" t="n">
        <v>0</v>
      </c>
      <c r="Y20" s="240" t="n">
        <v>26</v>
      </c>
      <c r="Z20" s="216" t="n">
        <f aca="false">Z19-Y20</f>
        <v>584</v>
      </c>
      <c r="AA20" s="117" t="n">
        <f aca="false">N20+O20+P20+Q20+R20+U20+X20+Y20</f>
        <v>98.1</v>
      </c>
      <c r="AB20" s="240" t="n">
        <f aca="false">IF(L20&lt;0,L20*-1,0)</f>
        <v>0</v>
      </c>
      <c r="AC20" s="240" t="n">
        <f aca="false">AA20+AB20</f>
        <v>98.1</v>
      </c>
      <c r="AD20" s="222" t="n">
        <v>0</v>
      </c>
      <c r="AE20" s="224" t="n">
        <v>62</v>
      </c>
      <c r="AF20" s="223" t="n">
        <v>29</v>
      </c>
      <c r="AG20" s="218" t="n">
        <f aca="false">AG19+(U20*1.9835)</f>
        <v>13172.4053662275</v>
      </c>
      <c r="AH20" s="218" t="n">
        <v>0</v>
      </c>
      <c r="AI20" s="240"/>
      <c r="AJ20" s="216"/>
      <c r="AK20" s="224"/>
    </row>
    <row r="21" customFormat="false" ht="11.1" hidden="false" customHeight="true" outlineLevel="0" collapsed="false">
      <c r="A21" s="333" t="n">
        <f aca="false">A20+1</f>
        <v>10</v>
      </c>
      <c r="B21" s="226" t="n">
        <v>6862.68</v>
      </c>
      <c r="C21" s="216" t="n">
        <v>169316</v>
      </c>
      <c r="D21" s="218" t="n">
        <f aca="false">C21-C20</f>
        <v>-23</v>
      </c>
      <c r="E21" s="216" t="n">
        <f aca="false">C21-152000</f>
        <v>17316</v>
      </c>
      <c r="F21" s="239" t="n">
        <f aca="false">D21/$D$2</f>
        <v>-11.5956642298966</v>
      </c>
      <c r="G21" s="240" t="n">
        <v>113</v>
      </c>
      <c r="H21" s="356" t="n">
        <v>1.6</v>
      </c>
      <c r="I21" s="240" t="n">
        <f aca="false">G21+H21</f>
        <v>114.6</v>
      </c>
      <c r="J21" s="221" t="n">
        <f aca="false">IF(L21&gt;0,L21,0)</f>
        <v>0</v>
      </c>
      <c r="K21" s="240" t="n">
        <f aca="false">I21+J21</f>
        <v>114.6</v>
      </c>
      <c r="L21" s="240" t="n">
        <f aca="false">F21-(I21-AA21)</f>
        <v>-4.19566422989664</v>
      </c>
      <c r="M21" s="358" t="n">
        <v>5</v>
      </c>
      <c r="N21" s="359" t="n">
        <v>0</v>
      </c>
      <c r="O21" s="240" t="n">
        <v>0</v>
      </c>
      <c r="P21" s="357" t="n">
        <v>1.394</v>
      </c>
      <c r="Q21" s="357" t="n">
        <v>3.68</v>
      </c>
      <c r="R21" s="116" t="n">
        <v>0</v>
      </c>
      <c r="S21" s="240" t="n">
        <v>91</v>
      </c>
      <c r="T21" s="240" t="n">
        <v>0</v>
      </c>
      <c r="U21" s="240" t="n">
        <f aca="false">M21-N21-O21-P21-Q21-R21+S21+T21</f>
        <v>90.926</v>
      </c>
      <c r="V21" s="216"/>
      <c r="W21" s="216"/>
      <c r="X21" s="240" t="n">
        <v>0</v>
      </c>
      <c r="Y21" s="240" t="n">
        <v>26</v>
      </c>
      <c r="Z21" s="216" t="n">
        <f aca="false">Z20-Y21</f>
        <v>558</v>
      </c>
      <c r="AA21" s="117" t="n">
        <f aca="false">N21+O21+P21+Q21+R21+U21+X21+Y21</f>
        <v>122</v>
      </c>
      <c r="AB21" s="240" t="n">
        <f aca="false">IF(L21&lt;0,L21*-1,0)</f>
        <v>4.19566422989664</v>
      </c>
      <c r="AC21" s="240" t="n">
        <f aca="false">AA21+AB21</f>
        <v>126.195664229897</v>
      </c>
      <c r="AD21" s="222" t="n">
        <v>0</v>
      </c>
      <c r="AE21" s="218" t="n">
        <v>60</v>
      </c>
      <c r="AF21" s="223" t="n">
        <v>29</v>
      </c>
      <c r="AG21" s="218" t="n">
        <f aca="false">AG20+(U21*1.9835)</f>
        <v>13352.7570872275</v>
      </c>
      <c r="AH21" s="218" t="n">
        <v>0</v>
      </c>
      <c r="AI21" s="240"/>
      <c r="AJ21" s="216"/>
      <c r="AK21" s="224"/>
    </row>
    <row r="22" customFormat="false" ht="11.1" hidden="false" customHeight="true" outlineLevel="0" collapsed="false">
      <c r="A22" s="333" t="n">
        <f aca="false">A21+1</f>
        <v>11</v>
      </c>
      <c r="B22" s="226" t="n">
        <v>6862.73</v>
      </c>
      <c r="C22" s="216" t="n">
        <v>169434</v>
      </c>
      <c r="D22" s="218" t="n">
        <f aca="false">C22-C21</f>
        <v>118</v>
      </c>
      <c r="E22" s="216" t="n">
        <f aca="false">C22-152000</f>
        <v>17434</v>
      </c>
      <c r="F22" s="239" t="n">
        <f aca="false">D22/$D$2</f>
        <v>59.4907990925132</v>
      </c>
      <c r="G22" s="240" t="n">
        <v>144</v>
      </c>
      <c r="H22" s="356" t="n">
        <v>1.8</v>
      </c>
      <c r="I22" s="240" t="n">
        <f aca="false">G22+H22</f>
        <v>145.8</v>
      </c>
      <c r="J22" s="221" t="n">
        <f aca="false">IF(L22&gt;0,L22,0)</f>
        <v>47.6907990925132</v>
      </c>
      <c r="K22" s="240" t="n">
        <f aca="false">I22+J22</f>
        <v>193.490799092513</v>
      </c>
      <c r="L22" s="240" t="n">
        <f aca="false">F22-(I22-AA22)</f>
        <v>47.6907990925132</v>
      </c>
      <c r="M22" s="358" t="n">
        <v>5</v>
      </c>
      <c r="N22" s="359" t="n">
        <v>0</v>
      </c>
      <c r="O22" s="240" t="n">
        <v>0</v>
      </c>
      <c r="P22" s="357" t="n">
        <v>1.394</v>
      </c>
      <c r="Q22" s="357" t="n">
        <v>3.614</v>
      </c>
      <c r="R22" s="116" t="n">
        <v>0</v>
      </c>
      <c r="S22" s="240" t="n">
        <v>103</v>
      </c>
      <c r="T22" s="240" t="n">
        <v>0</v>
      </c>
      <c r="U22" s="240" t="n">
        <f aca="false">M22-N22-O22-P22-Q22-R22+S22+T22</f>
        <v>102.992</v>
      </c>
      <c r="V22" s="216"/>
      <c r="W22" s="216"/>
      <c r="X22" s="240" t="n">
        <v>0</v>
      </c>
      <c r="Y22" s="240" t="n">
        <v>26</v>
      </c>
      <c r="Z22" s="216" t="n">
        <f aca="false">Z21-Y22</f>
        <v>532</v>
      </c>
      <c r="AA22" s="117" t="n">
        <f aca="false">N22+O22+P22+Q22+R22+U22+X22+Y22</f>
        <v>134</v>
      </c>
      <c r="AB22" s="240" t="n">
        <f aca="false">IF(L22&lt;0,L22*-1,0)</f>
        <v>0</v>
      </c>
      <c r="AC22" s="240" t="n">
        <f aca="false">AA22+AB22</f>
        <v>134</v>
      </c>
      <c r="AD22" s="222" t="n">
        <v>0</v>
      </c>
      <c r="AE22" s="218" t="n">
        <v>61</v>
      </c>
      <c r="AF22" s="223" t="n">
        <v>31</v>
      </c>
      <c r="AG22" s="218" t="n">
        <f aca="false">AG21+(U22*1.9835)</f>
        <v>13557.0417192275</v>
      </c>
      <c r="AH22" s="218" t="n">
        <v>0</v>
      </c>
      <c r="AI22" s="240"/>
      <c r="AJ22" s="216"/>
      <c r="AK22" s="224"/>
    </row>
    <row r="23" customFormat="false" ht="11.1" hidden="false" customHeight="true" outlineLevel="0" collapsed="false">
      <c r="A23" s="333" t="n">
        <f aca="false">A22+1</f>
        <v>12</v>
      </c>
      <c r="B23" s="226" t="n">
        <v>6862.8</v>
      </c>
      <c r="C23" s="216" t="n">
        <v>169601</v>
      </c>
      <c r="D23" s="218" t="n">
        <f aca="false">C23-C22</f>
        <v>167</v>
      </c>
      <c r="E23" s="216" t="n">
        <f aca="false">C23-152000</f>
        <v>17601</v>
      </c>
      <c r="F23" s="239" t="n">
        <f aca="false">D23/$D$2</f>
        <v>84.1946054953365</v>
      </c>
      <c r="G23" s="240" t="n">
        <v>168</v>
      </c>
      <c r="H23" s="356" t="n">
        <v>2</v>
      </c>
      <c r="I23" s="240" t="n">
        <f aca="false">G23+H23</f>
        <v>170</v>
      </c>
      <c r="J23" s="221" t="n">
        <f aca="false">IF(L23&gt;0,L23,0)</f>
        <v>48.2946054953365</v>
      </c>
      <c r="K23" s="240" t="n">
        <f aca="false">I23+J23</f>
        <v>218.294605495336</v>
      </c>
      <c r="L23" s="240" t="n">
        <f aca="false">F23-(I23-AA23)</f>
        <v>48.2946054953365</v>
      </c>
      <c r="M23" s="358" t="n">
        <v>5.1</v>
      </c>
      <c r="N23" s="359" t="n">
        <v>0</v>
      </c>
      <c r="O23" s="240" t="n">
        <v>0</v>
      </c>
      <c r="P23" s="357" t="n">
        <v>1.394</v>
      </c>
      <c r="Q23" s="357" t="n">
        <v>3.76</v>
      </c>
      <c r="R23" s="116" t="n">
        <v>0</v>
      </c>
      <c r="S23" s="240" t="n">
        <v>103</v>
      </c>
      <c r="T23" s="240" t="n">
        <v>0</v>
      </c>
      <c r="U23" s="240" t="n">
        <f aca="false">M23-N23-O23-P23-Q23-R23+S23+T23</f>
        <v>102.946</v>
      </c>
      <c r="V23" s="216"/>
      <c r="W23" s="216"/>
      <c r="X23" s="240" t="n">
        <v>0</v>
      </c>
      <c r="Y23" s="240" t="n">
        <v>26</v>
      </c>
      <c r="Z23" s="216" t="n">
        <f aca="false">Z22-Y23</f>
        <v>506</v>
      </c>
      <c r="AA23" s="117" t="n">
        <f aca="false">N23+O23+P23+Q23+R23+U23+X23+Y23</f>
        <v>134.1</v>
      </c>
      <c r="AB23" s="240" t="n">
        <f aca="false">IF(L23&lt;0,L23*-1,0)</f>
        <v>0</v>
      </c>
      <c r="AC23" s="240" t="n">
        <f aca="false">AA23+AB23</f>
        <v>134.1</v>
      </c>
      <c r="AD23" s="222" t="n">
        <v>0</v>
      </c>
      <c r="AE23" s="218" t="n">
        <v>59</v>
      </c>
      <c r="AF23" s="223" t="n">
        <v>29</v>
      </c>
      <c r="AG23" s="218" t="n">
        <f aca="false">AG22+(U23*1.9835)</f>
        <v>13761.2351102275</v>
      </c>
      <c r="AH23" s="218" t="n">
        <v>0</v>
      </c>
      <c r="AI23" s="240"/>
      <c r="AJ23" s="216"/>
      <c r="AK23" s="224"/>
    </row>
    <row r="24" customFormat="false" ht="11.1" hidden="false" customHeight="true" outlineLevel="0" collapsed="false">
      <c r="A24" s="333" t="n">
        <f aca="false">A23+1</f>
        <v>13</v>
      </c>
      <c r="B24" s="226" t="n">
        <v>6862.88</v>
      </c>
      <c r="C24" s="216" t="n">
        <v>169791</v>
      </c>
      <c r="D24" s="218" t="n">
        <f aca="false">C24-C23</f>
        <v>190</v>
      </c>
      <c r="E24" s="216" t="n">
        <f aca="false">C24-152000</f>
        <v>17791</v>
      </c>
      <c r="F24" s="239" t="n">
        <f aca="false">D24/$D$2</f>
        <v>95.7902697252332</v>
      </c>
      <c r="G24" s="240" t="n">
        <v>185</v>
      </c>
      <c r="H24" s="356" t="n">
        <v>2.4</v>
      </c>
      <c r="I24" s="240" t="n">
        <f aca="false">G24+H24</f>
        <v>187.4</v>
      </c>
      <c r="J24" s="221" t="n">
        <f aca="false">IF(L24&gt;0,L24,0)</f>
        <v>41.9902697252332</v>
      </c>
      <c r="K24" s="240" t="n">
        <f aca="false">I24+J24</f>
        <v>229.390269725233</v>
      </c>
      <c r="L24" s="240" t="n">
        <f aca="false">F24-(I24-AA24)</f>
        <v>41.9902697252332</v>
      </c>
      <c r="M24" s="358" t="n">
        <v>4.6</v>
      </c>
      <c r="N24" s="359" t="n">
        <v>0</v>
      </c>
      <c r="O24" s="240" t="n">
        <v>0</v>
      </c>
      <c r="P24" s="357" t="n">
        <v>1.394</v>
      </c>
      <c r="Q24" s="357" t="n">
        <v>3.25</v>
      </c>
      <c r="R24" s="116" t="n">
        <v>0</v>
      </c>
      <c r="S24" s="240" t="n">
        <v>103</v>
      </c>
      <c r="T24" s="240" t="n">
        <v>0</v>
      </c>
      <c r="U24" s="240" t="n">
        <f aca="false">M24-N24-O24-P24-Q24-R24+S24+T24</f>
        <v>102.956</v>
      </c>
      <c r="V24" s="216"/>
      <c r="W24" s="216"/>
      <c r="X24" s="240" t="n">
        <v>0</v>
      </c>
      <c r="Y24" s="240" t="n">
        <v>26</v>
      </c>
      <c r="Z24" s="216" t="n">
        <f aca="false">Z23-Y24</f>
        <v>480</v>
      </c>
      <c r="AA24" s="117" t="n">
        <f aca="false">N24+O24+P24+Q24+R24+U24+X24+Y24</f>
        <v>133.6</v>
      </c>
      <c r="AB24" s="240" t="n">
        <f aca="false">IF(L24&lt;0,L24*-1,0)</f>
        <v>0</v>
      </c>
      <c r="AC24" s="240" t="n">
        <f aca="false">AA24+AB24</f>
        <v>133.6</v>
      </c>
      <c r="AD24" s="222" t="n">
        <v>0</v>
      </c>
      <c r="AE24" s="218" t="n">
        <v>59</v>
      </c>
      <c r="AF24" s="223" t="n">
        <v>30</v>
      </c>
      <c r="AG24" s="218" t="n">
        <f aca="false">AG23+(U24*1.9835)</f>
        <v>13965.4483362275</v>
      </c>
      <c r="AH24" s="218" t="n">
        <v>0</v>
      </c>
      <c r="AI24" s="240"/>
      <c r="AJ24" s="216"/>
      <c r="AK24" s="224"/>
    </row>
    <row r="25" customFormat="false" ht="11.1" hidden="false" customHeight="true" outlineLevel="0" collapsed="false">
      <c r="A25" s="333" t="n">
        <f aca="false">A24+1</f>
        <v>14</v>
      </c>
      <c r="B25" s="226" t="n">
        <v>6862.97</v>
      </c>
      <c r="C25" s="216" t="n">
        <v>170005</v>
      </c>
      <c r="D25" s="218" t="n">
        <f aca="false">C25-C24</f>
        <v>214</v>
      </c>
      <c r="E25" s="216" t="n">
        <f aca="false">C25-152000</f>
        <v>18005</v>
      </c>
      <c r="F25" s="239" t="n">
        <f aca="false">D25/$D$2</f>
        <v>107.890093269473</v>
      </c>
      <c r="G25" s="240" t="n">
        <v>186</v>
      </c>
      <c r="H25" s="354" t="n">
        <v>2.9</v>
      </c>
      <c r="I25" s="240" t="n">
        <f aca="false">G25+H25</f>
        <v>188.9</v>
      </c>
      <c r="J25" s="221" t="n">
        <f aca="false">IF(L25&gt;0,L25,0)</f>
        <v>52.5900932694732</v>
      </c>
      <c r="K25" s="240" t="n">
        <f aca="false">I25+J25</f>
        <v>241.490093269473</v>
      </c>
      <c r="L25" s="240" t="n">
        <f aca="false">F25-(I25-AA25)</f>
        <v>52.5900932694732</v>
      </c>
      <c r="M25" s="242" t="n">
        <v>4.6</v>
      </c>
      <c r="N25" s="240" t="n">
        <v>0</v>
      </c>
      <c r="O25" s="240" t="n">
        <v>0</v>
      </c>
      <c r="P25" s="357" t="n">
        <v>1.394</v>
      </c>
      <c r="Q25" s="357" t="n">
        <v>3.22</v>
      </c>
      <c r="R25" s="116" t="n">
        <v>0</v>
      </c>
      <c r="S25" s="240" t="n">
        <v>103</v>
      </c>
      <c r="T25" s="240" t="n">
        <v>0</v>
      </c>
      <c r="U25" s="240" t="n">
        <f aca="false">M25-N25-O25-P25-Q25-R25+S25+T25</f>
        <v>102.986</v>
      </c>
      <c r="V25" s="216"/>
      <c r="W25" s="216"/>
      <c r="X25" s="240" t="n">
        <v>0</v>
      </c>
      <c r="Y25" s="240" t="n">
        <v>26</v>
      </c>
      <c r="Z25" s="216" t="n">
        <f aca="false">Z24-Y25</f>
        <v>454</v>
      </c>
      <c r="AA25" s="117" t="n">
        <f aca="false">N25+O25+P25+Q25+R25+U25+X25+Y25</f>
        <v>133.6</v>
      </c>
      <c r="AB25" s="240" t="n">
        <f aca="false">IF(L25&lt;0,L25*-1,0)</f>
        <v>0</v>
      </c>
      <c r="AC25" s="240" t="n">
        <f aca="false">AA25+AB25</f>
        <v>133.6</v>
      </c>
      <c r="AD25" s="222" t="n">
        <v>0</v>
      </c>
      <c r="AE25" s="224" t="n">
        <v>59</v>
      </c>
      <c r="AF25" s="223" t="n">
        <v>30</v>
      </c>
      <c r="AG25" s="218" t="n">
        <f aca="false">AG24+(U25*1.9835)</f>
        <v>14169.7210672275</v>
      </c>
      <c r="AH25" s="218" t="n">
        <v>0</v>
      </c>
      <c r="AI25" s="240"/>
      <c r="AJ25" s="216"/>
      <c r="AK25" s="224"/>
    </row>
    <row r="26" customFormat="false" ht="11.1" hidden="false" customHeight="true" outlineLevel="0" collapsed="false">
      <c r="A26" s="333" t="n">
        <f aca="false">A25+1</f>
        <v>15</v>
      </c>
      <c r="B26" s="226" t="n">
        <v>6863.05</v>
      </c>
      <c r="C26" s="216" t="n">
        <v>170197</v>
      </c>
      <c r="D26" s="218" t="n">
        <f aca="false">C26-C25</f>
        <v>192</v>
      </c>
      <c r="E26" s="216" t="n">
        <f aca="false">C26-152000</f>
        <v>18197</v>
      </c>
      <c r="F26" s="239" t="n">
        <f aca="false">D26/$D$2</f>
        <v>96.7985883539198</v>
      </c>
      <c r="G26" s="240" t="n">
        <v>199</v>
      </c>
      <c r="H26" s="354" t="n">
        <v>4.5</v>
      </c>
      <c r="I26" s="240" t="n">
        <f aca="false">G26+H26</f>
        <v>203.5</v>
      </c>
      <c r="J26" s="221" t="n">
        <f aca="false">IF(L26&gt;0,L26,0)</f>
        <v>31.2985883539198</v>
      </c>
      <c r="K26" s="240" t="n">
        <f aca="false">I26+J26</f>
        <v>234.79858835392</v>
      </c>
      <c r="L26" s="240" t="n">
        <f aca="false">F26-(I26-AA26)</f>
        <v>31.2985883539198</v>
      </c>
      <c r="M26" s="242" t="n">
        <v>8</v>
      </c>
      <c r="N26" s="240" t="n">
        <v>0</v>
      </c>
      <c r="O26" s="240" t="n">
        <v>0</v>
      </c>
      <c r="P26" s="357" t="n">
        <v>1.394</v>
      </c>
      <c r="Q26" s="357" t="n">
        <v>3.22</v>
      </c>
      <c r="R26" s="116" t="n">
        <v>0</v>
      </c>
      <c r="S26" s="240" t="n">
        <v>104</v>
      </c>
      <c r="T26" s="240" t="n">
        <v>0</v>
      </c>
      <c r="U26" s="240" t="n">
        <f aca="false">M26-N26-O26-P26-Q26-R26+S26+T26</f>
        <v>107.386</v>
      </c>
      <c r="V26" s="216"/>
      <c r="W26" s="216"/>
      <c r="X26" s="240" t="n">
        <v>0</v>
      </c>
      <c r="Y26" s="240" t="n">
        <v>26</v>
      </c>
      <c r="Z26" s="216" t="n">
        <f aca="false">Z25-Y26</f>
        <v>428</v>
      </c>
      <c r="AA26" s="117" t="n">
        <f aca="false">N26+O26+P26+Q26+R26+U26+X26+Y26</f>
        <v>138</v>
      </c>
      <c r="AB26" s="240" t="n">
        <f aca="false">IF(L26&lt;0,L26*-1,0)</f>
        <v>0</v>
      </c>
      <c r="AC26" s="240" t="n">
        <f aca="false">AA26+AB26</f>
        <v>138</v>
      </c>
      <c r="AD26" s="222" t="n">
        <v>0</v>
      </c>
      <c r="AE26" s="224" t="n">
        <v>56</v>
      </c>
      <c r="AF26" s="223" t="n">
        <v>32</v>
      </c>
      <c r="AG26" s="218" t="n">
        <f aca="false">AG25+(U26*1.9835)</f>
        <v>14382.7211982275</v>
      </c>
      <c r="AH26" s="218" t="n">
        <v>0</v>
      </c>
      <c r="AI26" s="240"/>
      <c r="AJ26" s="216"/>
      <c r="AK26" s="224"/>
    </row>
    <row r="27" customFormat="false" ht="11.1" hidden="false" customHeight="true" outlineLevel="0" collapsed="false">
      <c r="A27" s="333" t="n">
        <f aca="false">A26+1</f>
        <v>16</v>
      </c>
      <c r="B27" s="226" t="n">
        <v>6863.12</v>
      </c>
      <c r="C27" s="216" t="n">
        <v>170366</v>
      </c>
      <c r="D27" s="218" t="n">
        <f aca="false">C27-C26</f>
        <v>169</v>
      </c>
      <c r="E27" s="216" t="n">
        <f aca="false">C27-152000</f>
        <v>18366</v>
      </c>
      <c r="F27" s="239" t="n">
        <f aca="false">D27/$D$2</f>
        <v>85.2029241240232</v>
      </c>
      <c r="G27" s="240" t="n">
        <v>195</v>
      </c>
      <c r="H27" s="354" t="n">
        <v>4.2</v>
      </c>
      <c r="I27" s="240" t="n">
        <f aca="false">G27+H27</f>
        <v>199.2</v>
      </c>
      <c r="J27" s="221" t="n">
        <f aca="false">IF(L27&gt;0,L27,0)</f>
        <v>23.2029241240232</v>
      </c>
      <c r="K27" s="240" t="n">
        <f aca="false">I27+J27</f>
        <v>222.402924124023</v>
      </c>
      <c r="L27" s="240" t="n">
        <f aca="false">F27-(I27-AA27)</f>
        <v>23.2029241240232</v>
      </c>
      <c r="M27" s="242" t="n">
        <v>7.2</v>
      </c>
      <c r="N27" s="240" t="n">
        <v>0</v>
      </c>
      <c r="O27" s="240" t="n">
        <v>0</v>
      </c>
      <c r="P27" s="357" t="n">
        <v>1.394</v>
      </c>
      <c r="Q27" s="357" t="n">
        <v>4.01</v>
      </c>
      <c r="R27" s="116" t="n">
        <v>0</v>
      </c>
      <c r="S27" s="240" t="n">
        <v>104</v>
      </c>
      <c r="T27" s="240" t="n">
        <v>0</v>
      </c>
      <c r="U27" s="240" t="n">
        <f aca="false">M27-N27-O27-P27-Q27-R27+S27+T27</f>
        <v>105.796</v>
      </c>
      <c r="V27" s="216"/>
      <c r="W27" s="216"/>
      <c r="X27" s="240" t="n">
        <v>0</v>
      </c>
      <c r="Y27" s="240" t="n">
        <v>26</v>
      </c>
      <c r="Z27" s="216" t="n">
        <f aca="false">Z26-Y27</f>
        <v>402</v>
      </c>
      <c r="AA27" s="117" t="n">
        <f aca="false">N27+O27+P27+Q27+R27+U27+X27+Y27</f>
        <v>137.2</v>
      </c>
      <c r="AB27" s="240" t="n">
        <f aca="false">IF(L27&lt;0,L27*-1,0)</f>
        <v>0</v>
      </c>
      <c r="AC27" s="240" t="n">
        <f aca="false">AA27+AB27</f>
        <v>137.2</v>
      </c>
      <c r="AD27" s="222" t="n">
        <v>0</v>
      </c>
      <c r="AE27" s="224" t="n">
        <v>57</v>
      </c>
      <c r="AF27" s="223" t="n">
        <v>29</v>
      </c>
      <c r="AG27" s="218" t="n">
        <f aca="false">AG26+(U27*1.9835)</f>
        <v>14592.5675642275</v>
      </c>
      <c r="AH27" s="218" t="n">
        <v>0</v>
      </c>
      <c r="AI27" s="240"/>
      <c r="AJ27" s="94"/>
      <c r="AK27" s="224"/>
    </row>
    <row r="28" customFormat="false" ht="11.1" hidden="false" customHeight="true" outlineLevel="0" collapsed="false">
      <c r="A28" s="333" t="n">
        <f aca="false">A27+1</f>
        <v>17</v>
      </c>
      <c r="B28" s="226" t="n">
        <v>6863.25</v>
      </c>
      <c r="C28" s="216" t="n">
        <v>170681</v>
      </c>
      <c r="D28" s="218" t="n">
        <f aca="false">C28-C27</f>
        <v>315</v>
      </c>
      <c r="E28" s="216" t="n">
        <f aca="false">C28-152000</f>
        <v>18681</v>
      </c>
      <c r="F28" s="239" t="n">
        <f aca="false">D28/$D$2</f>
        <v>158.81018401815</v>
      </c>
      <c r="G28" s="240" t="n">
        <v>198</v>
      </c>
      <c r="H28" s="354" t="n">
        <v>4.7</v>
      </c>
      <c r="I28" s="240" t="n">
        <f aca="false">G28+H28</f>
        <v>202.7</v>
      </c>
      <c r="J28" s="221" t="n">
        <f aca="false">IF(L28&gt;0,L28,0)</f>
        <v>91.8101840181497</v>
      </c>
      <c r="K28" s="240" t="n">
        <f aca="false">I28+J28</f>
        <v>294.51018401815</v>
      </c>
      <c r="L28" s="240" t="n">
        <f aca="false">F28-(I28-AA28)</f>
        <v>91.8101840181497</v>
      </c>
      <c r="M28" s="242" t="n">
        <v>5.7</v>
      </c>
      <c r="N28" s="240" t="n">
        <v>0</v>
      </c>
      <c r="O28" s="240" t="n">
        <v>0</v>
      </c>
      <c r="P28" s="357" t="n">
        <v>1.394</v>
      </c>
      <c r="Q28" s="357" t="n">
        <v>4.01</v>
      </c>
      <c r="R28" s="116" t="n">
        <v>0</v>
      </c>
      <c r="S28" s="240" t="n">
        <v>104</v>
      </c>
      <c r="T28" s="240" t="n">
        <v>0</v>
      </c>
      <c r="U28" s="240" t="n">
        <f aca="false">M28-N28-O28-P28-Q28-R28+S28+T28</f>
        <v>104.296</v>
      </c>
      <c r="V28" s="216"/>
      <c r="W28" s="216"/>
      <c r="X28" s="240" t="n">
        <v>0</v>
      </c>
      <c r="Y28" s="240" t="n">
        <v>26</v>
      </c>
      <c r="Z28" s="216" t="n">
        <f aca="false">Z27-Y28</f>
        <v>376</v>
      </c>
      <c r="AA28" s="117" t="n">
        <f aca="false">N28+O28+P28+Q28+R28+U28+X28+Y28</f>
        <v>135.7</v>
      </c>
      <c r="AB28" s="240" t="n">
        <f aca="false">IF(L28&lt;0,L28*-1,0)</f>
        <v>0</v>
      </c>
      <c r="AC28" s="240" t="n">
        <f aca="false">AA28+AB28</f>
        <v>135.7</v>
      </c>
      <c r="AD28" s="222" t="n">
        <v>0</v>
      </c>
      <c r="AE28" s="224" t="n">
        <v>60</v>
      </c>
      <c r="AF28" s="223" t="n">
        <v>28</v>
      </c>
      <c r="AG28" s="218" t="n">
        <f aca="false">AG27+(U28*1.9835)</f>
        <v>14799.4386802275</v>
      </c>
      <c r="AH28" s="218" t="n">
        <v>0</v>
      </c>
      <c r="AI28" s="240"/>
      <c r="AJ28" s="216"/>
      <c r="AK28" s="224"/>
    </row>
    <row r="29" customFormat="false" ht="11.1" hidden="false" customHeight="true" outlineLevel="0" collapsed="false">
      <c r="A29" s="333" t="n">
        <f aca="false">A28+1</f>
        <v>18</v>
      </c>
      <c r="B29" s="226" t="n">
        <v>6863.47</v>
      </c>
      <c r="C29" s="216" t="n">
        <v>171212</v>
      </c>
      <c r="D29" s="218" t="n">
        <f aca="false">C29-C28</f>
        <v>531</v>
      </c>
      <c r="E29" s="216" t="n">
        <f aca="false">C29-152000</f>
        <v>19212</v>
      </c>
      <c r="F29" s="239" t="n">
        <f aca="false">D29/$D$2</f>
        <v>267.70859591631</v>
      </c>
      <c r="G29" s="240" t="n">
        <v>214</v>
      </c>
      <c r="H29" s="354" t="n">
        <v>5</v>
      </c>
      <c r="I29" s="240" t="n">
        <f aca="false">G29+H29</f>
        <v>219</v>
      </c>
      <c r="J29" s="221" t="n">
        <f aca="false">IF(L29&gt;0,L29,0)</f>
        <v>155.30859591631</v>
      </c>
      <c r="K29" s="240" t="n">
        <f aca="false">I29+J29</f>
        <v>374.308595916309</v>
      </c>
      <c r="L29" s="240" t="n">
        <f aca="false">F29-(I29-AA29)</f>
        <v>155.30859591631</v>
      </c>
      <c r="M29" s="242" t="n">
        <v>5.6</v>
      </c>
      <c r="N29" s="240" t="n">
        <v>0</v>
      </c>
      <c r="O29" s="240" t="n">
        <v>0</v>
      </c>
      <c r="P29" s="357" t="n">
        <v>1.394</v>
      </c>
      <c r="Q29" s="357" t="n">
        <v>4.01</v>
      </c>
      <c r="R29" s="116" t="n">
        <v>0</v>
      </c>
      <c r="S29" s="240" t="n">
        <v>75</v>
      </c>
      <c r="T29" s="240" t="n">
        <v>0</v>
      </c>
      <c r="U29" s="240" t="n">
        <f aca="false">M29-N29-O29-P29-Q29-R29+S29+T29</f>
        <v>75.196</v>
      </c>
      <c r="V29" s="216"/>
      <c r="W29" s="216"/>
      <c r="X29" s="240" t="n">
        <v>0</v>
      </c>
      <c r="Y29" s="240" t="n">
        <v>26</v>
      </c>
      <c r="Z29" s="216" t="n">
        <f aca="false">Z28-Y29</f>
        <v>350</v>
      </c>
      <c r="AA29" s="117" t="n">
        <f aca="false">N29+O29+P29+Q29+R29+U29+X29+Y29</f>
        <v>106.6</v>
      </c>
      <c r="AB29" s="240" t="n">
        <f aca="false">IF(L29&lt;0,L29*-1,0)</f>
        <v>0</v>
      </c>
      <c r="AC29" s="240" t="n">
        <f aca="false">AA29+AB29</f>
        <v>106.6</v>
      </c>
      <c r="AD29" s="222" t="n">
        <v>0</v>
      </c>
      <c r="AE29" s="224" t="n">
        <v>65</v>
      </c>
      <c r="AF29" s="223" t="n">
        <v>28</v>
      </c>
      <c r="AG29" s="218" t="n">
        <f aca="false">AG28+(U29*1.9835)</f>
        <v>14948.5899462275</v>
      </c>
      <c r="AH29" s="218" t="n">
        <v>0</v>
      </c>
      <c r="AI29" s="240"/>
      <c r="AJ29" s="216"/>
      <c r="AK29" s="224"/>
    </row>
    <row r="30" customFormat="false" ht="11.1" hidden="false" customHeight="true" outlineLevel="0" collapsed="false">
      <c r="A30" s="333" t="n">
        <f aca="false">A29+1</f>
        <v>19</v>
      </c>
      <c r="B30" s="226" t="n">
        <v>6863.75</v>
      </c>
      <c r="C30" s="344" t="n">
        <v>171889</v>
      </c>
      <c r="D30" s="218" t="n">
        <f aca="false">C30-C29</f>
        <v>677</v>
      </c>
      <c r="E30" s="216" t="n">
        <f aca="false">C30-152000</f>
        <v>19889</v>
      </c>
      <c r="F30" s="239" t="n">
        <f aca="false">D30/$D$2</f>
        <v>341.315855810436</v>
      </c>
      <c r="G30" s="240" t="n">
        <v>248</v>
      </c>
      <c r="H30" s="354" t="n">
        <v>9.6</v>
      </c>
      <c r="I30" s="240" t="n">
        <f aca="false">G30+H30</f>
        <v>257.6</v>
      </c>
      <c r="J30" s="221" t="n">
        <f aca="false">IF(L30&gt;0,L30,0)</f>
        <v>117.115855810436</v>
      </c>
      <c r="K30" s="240" t="n">
        <f aca="false">I30+J30</f>
        <v>374.715855810436</v>
      </c>
      <c r="L30" s="240" t="n">
        <f aca="false">F30-(I30-AA30)</f>
        <v>117.115855810436</v>
      </c>
      <c r="M30" s="242" t="n">
        <v>7.4</v>
      </c>
      <c r="N30" s="240" t="n">
        <v>0</v>
      </c>
      <c r="O30" s="240" t="n">
        <v>0</v>
      </c>
      <c r="P30" s="357" t="n">
        <v>1.394</v>
      </c>
      <c r="Q30" s="357" t="n">
        <v>4.01</v>
      </c>
      <c r="R30" s="116" t="n">
        <v>0</v>
      </c>
      <c r="S30" s="240" t="n">
        <v>0</v>
      </c>
      <c r="T30" s="240" t="n">
        <v>0</v>
      </c>
      <c r="U30" s="240" t="n">
        <f aca="false">M30-N30-O30-P30-Q30-R30+S30+T30</f>
        <v>1.996</v>
      </c>
      <c r="V30" s="216"/>
      <c r="W30" s="216"/>
      <c r="X30" s="240" t="n">
        <v>0</v>
      </c>
      <c r="Y30" s="240" t="n">
        <v>26</v>
      </c>
      <c r="Z30" s="216" t="n">
        <f aca="false">Z29-Y30</f>
        <v>324</v>
      </c>
      <c r="AA30" s="117" t="n">
        <f aca="false">N30+O30+P30+Q30+R30+U30+X30+Y30</f>
        <v>33.4</v>
      </c>
      <c r="AB30" s="240" t="n">
        <f aca="false">IF(L30&lt;0,L30*-1,0)</f>
        <v>0</v>
      </c>
      <c r="AC30" s="240" t="n">
        <f aca="false">AA30+AB30</f>
        <v>33.4</v>
      </c>
      <c r="AD30" s="222" t="n">
        <v>0</v>
      </c>
      <c r="AE30" s="224" t="n">
        <v>69</v>
      </c>
      <c r="AF30" s="223" t="n">
        <v>32</v>
      </c>
      <c r="AG30" s="218" t="n">
        <f aca="false">AG29+(U30*1.9835)</f>
        <v>14952.5490122275</v>
      </c>
      <c r="AH30" s="218" t="n">
        <v>0</v>
      </c>
      <c r="AI30" s="240"/>
      <c r="AJ30" s="216"/>
      <c r="AK30" s="224"/>
    </row>
    <row r="31" customFormat="false" ht="11.1" hidden="false" customHeight="true" outlineLevel="0" collapsed="false">
      <c r="A31" s="333" t="n">
        <f aca="false">A30+1</f>
        <v>20</v>
      </c>
      <c r="B31" s="226" t="n">
        <v>6864.15</v>
      </c>
      <c r="C31" s="216" t="n">
        <v>172862</v>
      </c>
      <c r="D31" s="218" t="n">
        <f aca="false">C31-C30</f>
        <v>973</v>
      </c>
      <c r="E31" s="216" t="n">
        <f aca="false">C31-152000</f>
        <v>20862</v>
      </c>
      <c r="F31" s="239" t="n">
        <f aca="false">D31/$D$2</f>
        <v>490.547012856063</v>
      </c>
      <c r="G31" s="240" t="n">
        <v>295</v>
      </c>
      <c r="H31" s="354" t="n">
        <v>12</v>
      </c>
      <c r="I31" s="240" t="n">
        <f aca="false">G31+H31</f>
        <v>307</v>
      </c>
      <c r="J31" s="221" t="n">
        <f aca="false">IF(L31&gt;0,L31,0)</f>
        <v>215.747012856062</v>
      </c>
      <c r="K31" s="240" t="n">
        <f aca="false">I31+J31</f>
        <v>522.747012856062</v>
      </c>
      <c r="L31" s="240" t="n">
        <f aca="false">F31-(I31-AA31)</f>
        <v>215.747012856062</v>
      </c>
      <c r="M31" s="242" t="n">
        <v>6.2</v>
      </c>
      <c r="N31" s="240" t="n">
        <v>0</v>
      </c>
      <c r="O31" s="240" t="n">
        <v>0</v>
      </c>
      <c r="P31" s="357" t="n">
        <v>1.394</v>
      </c>
      <c r="Q31" s="357" t="n">
        <v>4.01</v>
      </c>
      <c r="R31" s="116" t="n">
        <v>0</v>
      </c>
      <c r="S31" s="240" t="n">
        <v>0</v>
      </c>
      <c r="T31" s="240" t="n">
        <v>0</v>
      </c>
      <c r="U31" s="240" t="n">
        <f aca="false">M31-N31-O31-P31-Q31-R31+S31+T31</f>
        <v>0.796</v>
      </c>
      <c r="V31" s="216"/>
      <c r="W31" s="216"/>
      <c r="X31" s="240" t="n">
        <v>0</v>
      </c>
      <c r="Y31" s="240" t="n">
        <v>26</v>
      </c>
      <c r="Z31" s="216" t="n">
        <f aca="false">Z30-Y31</f>
        <v>298</v>
      </c>
      <c r="AA31" s="117" t="n">
        <f aca="false">N31+O31+P31+Q31+R31+U31+X31+Y31</f>
        <v>32.2</v>
      </c>
      <c r="AB31" s="240" t="n">
        <f aca="false">IF(L31&lt;0,L31*-1,0)</f>
        <v>0</v>
      </c>
      <c r="AC31" s="240" t="n">
        <f aca="false">AA31+AB31</f>
        <v>32.2</v>
      </c>
      <c r="AD31" s="222" t="n">
        <v>0</v>
      </c>
      <c r="AE31" s="224" t="n">
        <v>75</v>
      </c>
      <c r="AF31" s="223" t="n">
        <v>37</v>
      </c>
      <c r="AG31" s="218" t="n">
        <f aca="false">AG30+(U31*1.9835)</f>
        <v>14954.1278782275</v>
      </c>
      <c r="AH31" s="218" t="n">
        <v>0</v>
      </c>
      <c r="AI31" s="240"/>
      <c r="AJ31" s="216"/>
      <c r="AK31" s="224"/>
    </row>
    <row r="32" customFormat="false" ht="11.1" hidden="false" customHeight="true" outlineLevel="0" collapsed="false">
      <c r="A32" s="333" t="n">
        <f aca="false">A31+1</f>
        <v>21</v>
      </c>
      <c r="B32" s="226" t="n">
        <v>6864.6</v>
      </c>
      <c r="C32" s="216" t="n">
        <v>173967</v>
      </c>
      <c r="D32" s="218" t="n">
        <f aca="false">C32-C31</f>
        <v>1105</v>
      </c>
      <c r="E32" s="216" t="n">
        <f aca="false">C32-152000</f>
        <v>21967</v>
      </c>
      <c r="F32" s="239" t="n">
        <f aca="false">D32/$D$2</f>
        <v>557.096042349382</v>
      </c>
      <c r="G32" s="359" t="n">
        <v>350</v>
      </c>
      <c r="H32" s="354" t="n">
        <v>16</v>
      </c>
      <c r="I32" s="240" t="n">
        <f aca="false">G32+H32</f>
        <v>366</v>
      </c>
      <c r="J32" s="221" t="n">
        <f aca="false">IF(L32&gt;0,L32,0)</f>
        <v>223.796042349382</v>
      </c>
      <c r="K32" s="240" t="n">
        <f aca="false">I32+J32</f>
        <v>589.796042349382</v>
      </c>
      <c r="L32" s="240" t="n">
        <f aca="false">F32-(I32-AA32)</f>
        <v>223.796042349382</v>
      </c>
      <c r="M32" s="242" t="n">
        <v>6.7</v>
      </c>
      <c r="N32" s="240" t="n">
        <v>0</v>
      </c>
      <c r="O32" s="240" t="n">
        <v>0</v>
      </c>
      <c r="P32" s="357" t="n">
        <v>1.394</v>
      </c>
      <c r="Q32" s="357" t="n">
        <v>4.01</v>
      </c>
      <c r="R32" s="116" t="n">
        <v>0</v>
      </c>
      <c r="S32" s="240" t="n">
        <v>0</v>
      </c>
      <c r="T32" s="240" t="n">
        <v>0</v>
      </c>
      <c r="U32" s="240" t="n">
        <f aca="false">M32-N32-O32-P32-Q32-R32+S32+T32</f>
        <v>1.296</v>
      </c>
      <c r="V32" s="216"/>
      <c r="W32" s="216"/>
      <c r="X32" s="240" t="n">
        <v>0</v>
      </c>
      <c r="Y32" s="240" t="n">
        <v>26</v>
      </c>
      <c r="Z32" s="216" t="n">
        <f aca="false">Z31-Y32</f>
        <v>272</v>
      </c>
      <c r="AA32" s="117" t="n">
        <f aca="false">N32+O32+P32+Q32+R32+U32+X32+Y32</f>
        <v>32.7</v>
      </c>
      <c r="AB32" s="240" t="n">
        <f aca="false">IF(L32&lt;0,L32*-1,0)</f>
        <v>0</v>
      </c>
      <c r="AC32" s="240" t="n">
        <f aca="false">AA32+AB32</f>
        <v>32.7</v>
      </c>
      <c r="AD32" s="222" t="n">
        <v>0</v>
      </c>
      <c r="AE32" s="218" t="n">
        <v>71</v>
      </c>
      <c r="AF32" s="223" t="n">
        <v>36</v>
      </c>
      <c r="AG32" s="218" t="n">
        <f aca="false">AG31+(U32*1.9835)</f>
        <v>14956.6984942275</v>
      </c>
      <c r="AH32" s="218" t="n">
        <v>0</v>
      </c>
      <c r="AI32" s="240"/>
      <c r="AJ32" s="216"/>
      <c r="AK32" s="224"/>
    </row>
    <row r="33" customFormat="false" ht="11.1" hidden="false" customHeight="true" outlineLevel="0" collapsed="false">
      <c r="A33" s="333" t="n">
        <f aca="false">A32+1</f>
        <v>22</v>
      </c>
      <c r="B33" s="226" t="n">
        <v>6865.21</v>
      </c>
      <c r="C33" s="216" t="n">
        <v>175474</v>
      </c>
      <c r="D33" s="218" t="n">
        <f aca="false">C33-C32</f>
        <v>1507</v>
      </c>
      <c r="E33" s="216" t="n">
        <f aca="false">C33-152000</f>
        <v>23474</v>
      </c>
      <c r="F33" s="239" t="n">
        <f aca="false">D33/$D$2</f>
        <v>759.768086715402</v>
      </c>
      <c r="G33" s="240" t="n">
        <v>444</v>
      </c>
      <c r="H33" s="354" t="n">
        <v>20</v>
      </c>
      <c r="I33" s="240" t="n">
        <f aca="false">G33+H33</f>
        <v>464</v>
      </c>
      <c r="J33" s="221" t="n">
        <f aca="false">IF(L33&gt;0,L33,0)</f>
        <v>328.068086715402</v>
      </c>
      <c r="K33" s="240" t="n">
        <f aca="false">I33+J33</f>
        <v>792.068086715402</v>
      </c>
      <c r="L33" s="240" t="n">
        <f aca="false">F33-(I33-AA33)</f>
        <v>328.068086715402</v>
      </c>
      <c r="M33" s="242" t="n">
        <v>6.1</v>
      </c>
      <c r="N33" s="240" t="n">
        <v>0</v>
      </c>
      <c r="O33" s="240" t="n">
        <v>0</v>
      </c>
      <c r="P33" s="357" t="n">
        <v>1.394</v>
      </c>
      <c r="Q33" s="357" t="n">
        <v>4.01</v>
      </c>
      <c r="R33" s="116" t="n">
        <v>0</v>
      </c>
      <c r="S33" s="240" t="n">
        <v>0.2</v>
      </c>
      <c r="T33" s="240" t="n">
        <v>0</v>
      </c>
      <c r="U33" s="240" t="n">
        <f aca="false">M33-N33-O33-P33-Q33-R33+S33+T33</f>
        <v>0.896</v>
      </c>
      <c r="V33" s="216"/>
      <c r="W33" s="216"/>
      <c r="X33" s="240" t="n">
        <v>0</v>
      </c>
      <c r="Y33" s="240" t="n">
        <v>26</v>
      </c>
      <c r="Z33" s="216" t="n">
        <f aca="false">Z32-Y33</f>
        <v>246</v>
      </c>
      <c r="AA33" s="117" t="n">
        <f aca="false">N33+O33+P33+Q33+R33+U33+X33+Y33</f>
        <v>32.3</v>
      </c>
      <c r="AB33" s="240" t="n">
        <f aca="false">IF(L33&lt;0,L33*-1,0)</f>
        <v>0</v>
      </c>
      <c r="AC33" s="240" t="n">
        <f aca="false">AA33+AB33</f>
        <v>32.3</v>
      </c>
      <c r="AD33" s="222" t="n">
        <v>0</v>
      </c>
      <c r="AE33" s="218" t="n">
        <v>72</v>
      </c>
      <c r="AF33" s="223" t="n">
        <v>38</v>
      </c>
      <c r="AG33" s="218" t="n">
        <f aca="false">AG32+(U33*1.9835)</f>
        <v>14958.4757102275</v>
      </c>
      <c r="AH33" s="218" t="n">
        <v>0</v>
      </c>
      <c r="AI33" s="240"/>
      <c r="AJ33" s="216"/>
      <c r="AK33" s="224"/>
    </row>
    <row r="34" customFormat="false" ht="11.1" hidden="false" customHeight="true" outlineLevel="0" collapsed="false">
      <c r="A34" s="333" t="n">
        <f aca="false">A33+1</f>
        <v>23</v>
      </c>
      <c r="B34" s="226" t="n">
        <v>6865.88</v>
      </c>
      <c r="C34" s="216" t="n">
        <v>177146</v>
      </c>
      <c r="D34" s="218" t="n">
        <f aca="false">C34-C33</f>
        <v>1672</v>
      </c>
      <c r="E34" s="216" t="n">
        <f aca="false">C34-152000</f>
        <v>25146</v>
      </c>
      <c r="F34" s="239" t="n">
        <f aca="false">D34/$D$2</f>
        <v>842.954373582052</v>
      </c>
      <c r="G34" s="240" t="n">
        <v>506</v>
      </c>
      <c r="H34" s="354" t="n">
        <v>30</v>
      </c>
      <c r="I34" s="240" t="n">
        <f aca="false">G34+H34</f>
        <v>536</v>
      </c>
      <c r="J34" s="221" t="n">
        <f aca="false">IF(L34&gt;0,L34,0)</f>
        <v>394.154373582052</v>
      </c>
      <c r="K34" s="240" t="n">
        <f aca="false">I34+J34</f>
        <v>930.154373582052</v>
      </c>
      <c r="L34" s="240" t="n">
        <f aca="false">F34-(I34-AA34)</f>
        <v>394.154373582052</v>
      </c>
      <c r="M34" s="242" t="n">
        <v>5.2</v>
      </c>
      <c r="N34" s="240" t="n">
        <v>0</v>
      </c>
      <c r="O34" s="240" t="n">
        <v>0</v>
      </c>
      <c r="P34" s="357" t="n">
        <v>1.394</v>
      </c>
      <c r="Q34" s="357" t="n">
        <v>4.01</v>
      </c>
      <c r="R34" s="116" t="n">
        <v>0</v>
      </c>
      <c r="S34" s="240" t="n">
        <v>56</v>
      </c>
      <c r="T34" s="240" t="n">
        <v>0</v>
      </c>
      <c r="U34" s="240" t="n">
        <f aca="false">M34-N34-O34-P34-Q34-R34+S34+T34</f>
        <v>55.796</v>
      </c>
      <c r="V34" s="216"/>
      <c r="W34" s="216"/>
      <c r="X34" s="240" t="n">
        <v>0</v>
      </c>
      <c r="Y34" s="240" t="n">
        <v>26</v>
      </c>
      <c r="Z34" s="216" t="n">
        <f aca="false">Z33-Y34</f>
        <v>220</v>
      </c>
      <c r="AA34" s="117" t="n">
        <f aca="false">N34+O34+P34+Q34+R34+U34+X34+Y34</f>
        <v>87.2</v>
      </c>
      <c r="AB34" s="240" t="n">
        <f aca="false">IF(L34&lt;0,L34*-1,0)</f>
        <v>0</v>
      </c>
      <c r="AC34" s="240" t="n">
        <f aca="false">AA34+AB34</f>
        <v>87.2</v>
      </c>
      <c r="AD34" s="222" t="n">
        <v>0.05</v>
      </c>
      <c r="AE34" s="218" t="n">
        <v>68</v>
      </c>
      <c r="AF34" s="243" t="n">
        <v>39</v>
      </c>
      <c r="AG34" s="218" t="n">
        <f aca="false">AG33+(U34*1.9835)</f>
        <v>15069.1470762275</v>
      </c>
      <c r="AH34" s="218" t="n">
        <v>0</v>
      </c>
      <c r="AI34" s="240"/>
      <c r="AJ34" s="216"/>
      <c r="AK34" s="224"/>
    </row>
    <row r="35" customFormat="false" ht="11.1" hidden="false" customHeight="true" outlineLevel="0" collapsed="false">
      <c r="A35" s="333" t="n">
        <f aca="false">A34+1</f>
        <v>24</v>
      </c>
      <c r="B35" s="226" t="n">
        <v>6866.63</v>
      </c>
      <c r="C35" s="216" t="n">
        <v>179041</v>
      </c>
      <c r="D35" s="218" t="n">
        <f aca="false">C35-C34</f>
        <v>1895</v>
      </c>
      <c r="E35" s="216" t="n">
        <f aca="false">C35-152000</f>
        <v>27041</v>
      </c>
      <c r="F35" s="239" t="n">
        <f aca="false">D35/$D$2</f>
        <v>955.381900680615</v>
      </c>
      <c r="G35" s="240" t="n">
        <v>593</v>
      </c>
      <c r="H35" s="354" t="n">
        <v>37</v>
      </c>
      <c r="I35" s="240" t="n">
        <f aca="false">G35+H35</f>
        <v>630</v>
      </c>
      <c r="J35" s="221" t="n">
        <f aca="false">IF(L35&gt;0,L35,0)</f>
        <v>516.381900680615</v>
      </c>
      <c r="K35" s="240" t="n">
        <f aca="false">I35+J35</f>
        <v>1146.38190068062</v>
      </c>
      <c r="L35" s="240" t="n">
        <f aca="false">F35-(I35-AA35)</f>
        <v>516.381900680615</v>
      </c>
      <c r="M35" s="242" t="n">
        <v>15</v>
      </c>
      <c r="N35" s="240" t="n">
        <v>0</v>
      </c>
      <c r="O35" s="240" t="n">
        <v>0</v>
      </c>
      <c r="P35" s="357" t="n">
        <v>1.394</v>
      </c>
      <c r="Q35" s="357" t="n">
        <v>4.01</v>
      </c>
      <c r="R35" s="116" t="n">
        <v>0</v>
      </c>
      <c r="S35" s="240" t="n">
        <v>150</v>
      </c>
      <c r="T35" s="240" t="n">
        <v>0</v>
      </c>
      <c r="U35" s="240" t="n">
        <f aca="false">M35-N35-O35-P35-Q35-R35+S35+T35</f>
        <v>159.596</v>
      </c>
      <c r="V35" s="216"/>
      <c r="W35" s="216"/>
      <c r="X35" s="240" t="n">
        <v>0</v>
      </c>
      <c r="Y35" s="240" t="n">
        <v>26</v>
      </c>
      <c r="Z35" s="216" t="n">
        <f aca="false">Z34-Y35</f>
        <v>194</v>
      </c>
      <c r="AA35" s="117" t="n">
        <f aca="false">N35+O35+P35+Q35+R35+U35+X35+Y35</f>
        <v>191</v>
      </c>
      <c r="AB35" s="240" t="n">
        <f aca="false">IF(L35&lt;0,L35*-1,0)</f>
        <v>0</v>
      </c>
      <c r="AC35" s="240" t="n">
        <f aca="false">AA35+AB35</f>
        <v>191</v>
      </c>
      <c r="AD35" s="222" t="n">
        <v>0</v>
      </c>
      <c r="AE35" s="218" t="n">
        <v>65</v>
      </c>
      <c r="AF35" s="243" t="n">
        <v>40</v>
      </c>
      <c r="AG35" s="218" t="n">
        <f aca="false">AG34+(S35*1.9835)</f>
        <v>15366.6720762275</v>
      </c>
      <c r="AH35" s="218" t="n">
        <v>0</v>
      </c>
      <c r="AI35" s="240"/>
      <c r="AJ35" s="216"/>
      <c r="AK35" s="224"/>
    </row>
    <row r="36" customFormat="false" ht="11.1" hidden="false" customHeight="true" outlineLevel="0" collapsed="false">
      <c r="A36" s="333" t="n">
        <f aca="false">A35+1</f>
        <v>25</v>
      </c>
      <c r="B36" s="226" t="n">
        <v>6867.41</v>
      </c>
      <c r="C36" s="216" t="n">
        <v>181033</v>
      </c>
      <c r="D36" s="218" t="n">
        <f aca="false">C36-C35</f>
        <v>1992</v>
      </c>
      <c r="E36" s="216" t="n">
        <f aca="false">C36-152000</f>
        <v>29033</v>
      </c>
      <c r="F36" s="239" t="n">
        <f aca="false">D36/$D$2</f>
        <v>1004.28535417192</v>
      </c>
      <c r="G36" s="240" t="n">
        <v>691</v>
      </c>
      <c r="H36" s="354" t="n">
        <v>32</v>
      </c>
      <c r="I36" s="240" t="n">
        <f aca="false">G36+H36</f>
        <v>723</v>
      </c>
      <c r="J36" s="221" t="n">
        <f aca="false">IF(L36&gt;0,L36,0)</f>
        <v>439.285354171918</v>
      </c>
      <c r="K36" s="240" t="n">
        <f aca="false">I36+J36</f>
        <v>1162.28535417192</v>
      </c>
      <c r="L36" s="240" t="n">
        <f aca="false">F36-(I36-AA36)</f>
        <v>439.285354171918</v>
      </c>
      <c r="M36" s="242" t="n">
        <v>24</v>
      </c>
      <c r="N36" s="240" t="n">
        <v>0</v>
      </c>
      <c r="O36" s="240" t="n">
        <v>0</v>
      </c>
      <c r="P36" s="357" t="n">
        <v>1.394</v>
      </c>
      <c r="Q36" s="357" t="n">
        <v>4.01</v>
      </c>
      <c r="R36" s="116" t="n">
        <v>0</v>
      </c>
      <c r="S36" s="240" t="n">
        <v>108</v>
      </c>
      <c r="T36" s="240" t="n">
        <v>0</v>
      </c>
      <c r="U36" s="240" t="n">
        <f aca="false">M36-N36-O36-P36-Q36-R36+S36+T36</f>
        <v>126.596</v>
      </c>
      <c r="V36" s="216"/>
      <c r="W36" s="216"/>
      <c r="X36" s="240" t="n">
        <v>0</v>
      </c>
      <c r="Y36" s="240" t="n">
        <v>26</v>
      </c>
      <c r="Z36" s="216" t="n">
        <f aca="false">Z35-Y36</f>
        <v>168</v>
      </c>
      <c r="AA36" s="117" t="n">
        <f aca="false">N36+O36+P36+Q36+R36+U36+X36+Y36</f>
        <v>158</v>
      </c>
      <c r="AB36" s="240" t="n">
        <f aca="false">IF(L36&lt;0,L36*-1,0)</f>
        <v>0</v>
      </c>
      <c r="AC36" s="240" t="n">
        <f aca="false">AA36+AB36</f>
        <v>158</v>
      </c>
      <c r="AD36" s="222" t="n">
        <v>0</v>
      </c>
      <c r="AE36" s="218" t="n">
        <v>66</v>
      </c>
      <c r="AF36" s="243" t="n">
        <v>37</v>
      </c>
      <c r="AG36" s="218" t="n">
        <f aca="false">AG35+(S36*1.9835)</f>
        <v>15580.8900762275</v>
      </c>
      <c r="AH36" s="218" t="n">
        <v>0</v>
      </c>
      <c r="AI36" s="240"/>
      <c r="AJ36" s="216"/>
      <c r="AK36" s="224"/>
    </row>
    <row r="37" customFormat="false" ht="11.1" hidden="false" customHeight="true" outlineLevel="0" collapsed="false">
      <c r="A37" s="333" t="n">
        <f aca="false">A36+1</f>
        <v>26</v>
      </c>
      <c r="B37" s="226" t="n">
        <v>6868.18</v>
      </c>
      <c r="C37" s="216" t="n">
        <v>183019</v>
      </c>
      <c r="D37" s="218" t="n">
        <f aca="false">C37-C36</f>
        <v>1986</v>
      </c>
      <c r="E37" s="216" t="n">
        <f aca="false">C37-152000</f>
        <v>31019</v>
      </c>
      <c r="F37" s="239" t="n">
        <f aca="false">D37/$D$2</f>
        <v>1001.26039828586</v>
      </c>
      <c r="G37" s="240" t="n">
        <v>739</v>
      </c>
      <c r="H37" s="354" t="n">
        <v>30</v>
      </c>
      <c r="I37" s="240" t="n">
        <f aca="false">G37+H37</f>
        <v>769</v>
      </c>
      <c r="J37" s="221" t="n">
        <f aca="false">IF(L37&gt;0,L37,0)</f>
        <v>265.260398285858</v>
      </c>
      <c r="K37" s="240" t="n">
        <f aca="false">I37+J37</f>
        <v>1034.26039828586</v>
      </c>
      <c r="L37" s="240" t="n">
        <f aca="false">F37-(I37-AA37)</f>
        <v>265.260398285858</v>
      </c>
      <c r="M37" s="242" t="n">
        <v>7</v>
      </c>
      <c r="N37" s="240" t="n">
        <v>0</v>
      </c>
      <c r="O37" s="240" t="n">
        <v>0</v>
      </c>
      <c r="P37" s="357" t="n">
        <v>1.394</v>
      </c>
      <c r="Q37" s="357" t="n">
        <v>4.01</v>
      </c>
      <c r="R37" s="116" t="n">
        <v>0</v>
      </c>
      <c r="S37" s="240" t="n">
        <v>0</v>
      </c>
      <c r="T37" s="240" t="n">
        <v>0</v>
      </c>
      <c r="U37" s="240" t="n">
        <f aca="false">M37-N37-O37-P37-Q37-R37+S37+T37</f>
        <v>1.596</v>
      </c>
      <c r="V37" s="216"/>
      <c r="W37" s="216"/>
      <c r="X37" s="240" t="n">
        <v>0</v>
      </c>
      <c r="Y37" s="240" t="n">
        <v>26</v>
      </c>
      <c r="Z37" s="216" t="n">
        <f aca="false">Z36-Y37</f>
        <v>142</v>
      </c>
      <c r="AA37" s="117" t="n">
        <f aca="false">N37+O37+P37+Q37+R37+U37+X37+Y37</f>
        <v>33</v>
      </c>
      <c r="AB37" s="240" t="n">
        <f aca="false">IF(L37&lt;0,L37*-1,0)</f>
        <v>0</v>
      </c>
      <c r="AC37" s="240" t="n">
        <f aca="false">AA37+AB37</f>
        <v>33</v>
      </c>
      <c r="AD37" s="222" t="n">
        <v>0</v>
      </c>
      <c r="AE37" s="218" t="n">
        <v>63</v>
      </c>
      <c r="AF37" s="223" t="n">
        <v>33</v>
      </c>
      <c r="AG37" s="218" t="n">
        <f aca="false">AG36</f>
        <v>15580.8900762275</v>
      </c>
      <c r="AH37" s="218" t="n">
        <v>0</v>
      </c>
      <c r="AI37" s="240"/>
      <c r="AJ37" s="216"/>
      <c r="AK37" s="224"/>
    </row>
    <row r="38" customFormat="false" ht="11.1" hidden="false" customHeight="true" outlineLevel="0" collapsed="false">
      <c r="A38" s="333" t="n">
        <f aca="false">A37+1</f>
        <v>27</v>
      </c>
      <c r="B38" s="226" t="n">
        <v>6868.92</v>
      </c>
      <c r="C38" s="216" t="n">
        <v>184950</v>
      </c>
      <c r="D38" s="218" t="n">
        <f aca="false">C38-C37</f>
        <v>1931</v>
      </c>
      <c r="E38" s="216" t="n">
        <f aca="false">C38-152000</f>
        <v>32950</v>
      </c>
      <c r="F38" s="239" t="n">
        <f aca="false">D38/$D$2</f>
        <v>973.531635996975</v>
      </c>
      <c r="G38" s="240" t="n">
        <v>687</v>
      </c>
      <c r="H38" s="354" t="n">
        <v>23</v>
      </c>
      <c r="I38" s="240" t="n">
        <f aca="false">G38+H38</f>
        <v>710</v>
      </c>
      <c r="J38" s="221" t="n">
        <f aca="false">IF(L38&gt;0,L38,0)</f>
        <v>296.031635996975</v>
      </c>
      <c r="K38" s="240" t="n">
        <f aca="false">I38+J38</f>
        <v>1006.03163599698</v>
      </c>
      <c r="L38" s="240" t="n">
        <f aca="false">F38-(I38-AA38)</f>
        <v>296.031635996975</v>
      </c>
      <c r="M38" s="242" t="n">
        <v>6.5</v>
      </c>
      <c r="N38" s="240" t="n">
        <v>0</v>
      </c>
      <c r="O38" s="240" t="n">
        <v>0</v>
      </c>
      <c r="P38" s="357" t="n">
        <v>1.394</v>
      </c>
      <c r="Q38" s="357" t="n">
        <v>4.01</v>
      </c>
      <c r="R38" s="116" t="n">
        <v>0</v>
      </c>
      <c r="S38" s="240" t="n">
        <v>0</v>
      </c>
      <c r="T38" s="240" t="n">
        <v>0</v>
      </c>
      <c r="U38" s="240" t="n">
        <f aca="false">M38-N38-O38-P38-Q38-R38+S38+T38</f>
        <v>1.096</v>
      </c>
      <c r="V38" s="216"/>
      <c r="W38" s="216"/>
      <c r="X38" s="240" t="n">
        <v>0</v>
      </c>
      <c r="Y38" s="240" t="n">
        <v>26</v>
      </c>
      <c r="Z38" s="216" t="n">
        <f aca="false">Z37-Y38</f>
        <v>116</v>
      </c>
      <c r="AA38" s="117" t="n">
        <f aca="false">N38+O38+P38+Q38+R38+U38+X38+Y38</f>
        <v>32.5</v>
      </c>
      <c r="AB38" s="240" t="n">
        <f aca="false">IF(L38&lt;0,L38*-1,0)</f>
        <v>0</v>
      </c>
      <c r="AC38" s="240" t="n">
        <f aca="false">AA38+AB38</f>
        <v>32.5</v>
      </c>
      <c r="AD38" s="222" t="n">
        <v>0.09</v>
      </c>
      <c r="AE38" s="218" t="n">
        <v>49</v>
      </c>
      <c r="AF38" s="223" t="n">
        <v>29</v>
      </c>
      <c r="AG38" s="218" t="n">
        <f aca="false">AG37</f>
        <v>15580.8900762275</v>
      </c>
      <c r="AH38" s="218" t="n">
        <v>0</v>
      </c>
      <c r="AI38" s="240"/>
      <c r="AJ38" s="216"/>
      <c r="AK38" s="224"/>
    </row>
    <row r="39" customFormat="false" ht="11.1" hidden="false" customHeight="true" outlineLevel="0" collapsed="false">
      <c r="A39" s="333" t="n">
        <f aca="false">A38+1</f>
        <v>28</v>
      </c>
      <c r="B39" s="226" t="n">
        <v>6869.44</v>
      </c>
      <c r="C39" s="216" t="n">
        <v>186322</v>
      </c>
      <c r="D39" s="218" t="n">
        <f aca="false">C39-C38</f>
        <v>1372</v>
      </c>
      <c r="E39" s="216" t="n">
        <f aca="false">C39-152000</f>
        <v>34322</v>
      </c>
      <c r="F39" s="239" t="n">
        <f aca="false">D39/$D$2</f>
        <v>691.706579279052</v>
      </c>
      <c r="G39" s="240" t="n">
        <v>536</v>
      </c>
      <c r="H39" s="354" t="n">
        <v>9.9</v>
      </c>
      <c r="I39" s="240" t="n">
        <f aca="false">G39+H39</f>
        <v>545.9</v>
      </c>
      <c r="J39" s="221" t="n">
        <f aca="false">IF(L39&gt;0,L39,0)</f>
        <v>177.906579279052</v>
      </c>
      <c r="K39" s="240" t="n">
        <f aca="false">I39+J39</f>
        <v>723.806579279052</v>
      </c>
      <c r="L39" s="240" t="n">
        <f aca="false">F39-(I39-AA39)</f>
        <v>177.906579279052</v>
      </c>
      <c r="M39" s="242" t="n">
        <v>6.1</v>
      </c>
      <c r="N39" s="240" t="n">
        <v>0</v>
      </c>
      <c r="O39" s="240" t="n">
        <v>0</v>
      </c>
      <c r="P39" s="357" t="n">
        <v>1.394</v>
      </c>
      <c r="Q39" s="357" t="n">
        <v>4.01</v>
      </c>
      <c r="R39" s="116" t="n">
        <v>0</v>
      </c>
      <c r="S39" s="240" t="n">
        <v>0</v>
      </c>
      <c r="T39" s="240" t="n">
        <v>0</v>
      </c>
      <c r="U39" s="240" t="n">
        <f aca="false">M39-N39-O39-P39-Q39-R39+S39+T39</f>
        <v>0.696</v>
      </c>
      <c r="V39" s="216"/>
      <c r="W39" s="216"/>
      <c r="X39" s="240" t="n">
        <v>0</v>
      </c>
      <c r="Y39" s="240" t="n">
        <v>26</v>
      </c>
      <c r="Z39" s="216" t="n">
        <f aca="false">Z38-Y39</f>
        <v>90</v>
      </c>
      <c r="AA39" s="117" t="n">
        <f aca="false">N39+O39+P39+Q39+R39+U39+X39+Y39</f>
        <v>32.1</v>
      </c>
      <c r="AB39" s="240" t="n">
        <f aca="false">IF(L39&lt;0,L39*-1,0)</f>
        <v>0</v>
      </c>
      <c r="AC39" s="240" t="n">
        <f aca="false">AA39+AB39</f>
        <v>32.1</v>
      </c>
      <c r="AD39" s="222" t="n">
        <v>0</v>
      </c>
      <c r="AE39" s="218" t="n">
        <v>51</v>
      </c>
      <c r="AF39" s="223" t="n">
        <v>25</v>
      </c>
      <c r="AG39" s="218" t="n">
        <f aca="false">AG38</f>
        <v>15580.8900762275</v>
      </c>
      <c r="AH39" s="218" t="n">
        <v>0</v>
      </c>
      <c r="AI39" s="240"/>
      <c r="AJ39" s="216"/>
      <c r="AK39" s="224"/>
    </row>
    <row r="40" customFormat="false" ht="11.1" hidden="false" customHeight="true" outlineLevel="0" collapsed="false">
      <c r="A40" s="333" t="n">
        <f aca="false">A39+1</f>
        <v>29</v>
      </c>
      <c r="B40" s="226" t="n">
        <v>6869.74</v>
      </c>
      <c r="C40" s="216" t="n">
        <v>187115</v>
      </c>
      <c r="D40" s="218" t="n">
        <f aca="false">C40-C39</f>
        <v>793</v>
      </c>
      <c r="E40" s="216" t="n">
        <f aca="false">C40-152000</f>
        <v>35115</v>
      </c>
      <c r="F40" s="239" t="n">
        <f aca="false">D40/$D$2</f>
        <v>399.798336274263</v>
      </c>
      <c r="G40" s="240" t="n">
        <v>444</v>
      </c>
      <c r="H40" s="354" t="n">
        <v>6.9</v>
      </c>
      <c r="I40" s="240" t="n">
        <f aca="false">G40+H40</f>
        <v>450.9</v>
      </c>
      <c r="J40" s="221" t="n">
        <f aca="false">IF(L40&gt;0,L40,0)</f>
        <v>64.8983362742627</v>
      </c>
      <c r="K40" s="240" t="n">
        <f aca="false">I40+J40</f>
        <v>515.798336274263</v>
      </c>
      <c r="L40" s="240" t="n">
        <f aca="false">F40-(I40-AA40)</f>
        <v>64.8983362742627</v>
      </c>
      <c r="M40" s="242" t="n">
        <v>77</v>
      </c>
      <c r="N40" s="240" t="n">
        <v>0</v>
      </c>
      <c r="O40" s="240" t="n">
        <v>0</v>
      </c>
      <c r="P40" s="357" t="n">
        <v>1.394</v>
      </c>
      <c r="Q40" s="357" t="n">
        <v>4.01</v>
      </c>
      <c r="R40" s="116" t="n">
        <v>0</v>
      </c>
      <c r="S40" s="240" t="n">
        <v>0</v>
      </c>
      <c r="T40" s="240" t="n">
        <v>14</v>
      </c>
      <c r="U40" s="240" t="n">
        <f aca="false">M40-N40-O40-P40-Q40-R40+S40+T40</f>
        <v>85.596</v>
      </c>
      <c r="V40" s="216"/>
      <c r="W40" s="216"/>
      <c r="X40" s="240" t="n">
        <v>0</v>
      </c>
      <c r="Y40" s="240" t="n">
        <v>25</v>
      </c>
      <c r="Z40" s="216" t="n">
        <f aca="false">Z39-Y40</f>
        <v>65</v>
      </c>
      <c r="AA40" s="117" t="n">
        <f aca="false">N40+O40+P40+Q40+R40+U40+X40+Y40</f>
        <v>116</v>
      </c>
      <c r="AB40" s="240" t="n">
        <f aca="false">IF(L40&lt;0,L40*-1,0)</f>
        <v>0</v>
      </c>
      <c r="AC40" s="240" t="n">
        <f aca="false">AA40+AB40</f>
        <v>116</v>
      </c>
      <c r="AD40" s="222" t="n">
        <v>0</v>
      </c>
      <c r="AE40" s="224" t="n">
        <v>63</v>
      </c>
      <c r="AF40" s="223" t="n">
        <v>25</v>
      </c>
      <c r="AG40" s="218" t="n">
        <f aca="false">AG39</f>
        <v>15580.8900762275</v>
      </c>
      <c r="AH40" s="218" t="n">
        <f aca="false">T40+12.5+14.38+17.54</f>
        <v>58.42</v>
      </c>
      <c r="AI40" s="240"/>
      <c r="AJ40" s="216"/>
      <c r="AK40" s="224"/>
    </row>
    <row r="41" customFormat="false" ht="11.1" hidden="false" customHeight="true" outlineLevel="0" collapsed="false">
      <c r="A41" s="333" t="n">
        <v>30</v>
      </c>
      <c r="B41" s="226" t="n">
        <v>6870.04</v>
      </c>
      <c r="C41" s="216" t="n">
        <v>187910</v>
      </c>
      <c r="D41" s="218" t="n">
        <f aca="false">C41-C40</f>
        <v>795</v>
      </c>
      <c r="E41" s="216" t="n">
        <f aca="false">C41-152000</f>
        <v>35910</v>
      </c>
      <c r="F41" s="239" t="n">
        <f aca="false">D41/$D$2</f>
        <v>400.806654902949</v>
      </c>
      <c r="G41" s="240" t="n">
        <v>452</v>
      </c>
      <c r="H41" s="354" t="n">
        <v>5.3</v>
      </c>
      <c r="I41" s="240" t="n">
        <f aca="false">G41+H41</f>
        <v>457.3</v>
      </c>
      <c r="J41" s="221" t="n">
        <f aca="false">IF(L41&gt;0,L41,0)</f>
        <v>42.5066549029493</v>
      </c>
      <c r="K41" s="240" t="n">
        <f aca="false">I41+J41</f>
        <v>499.806654902949</v>
      </c>
      <c r="L41" s="240" t="n">
        <f aca="false">F41-(I41-AA41)</f>
        <v>42.5066549029493</v>
      </c>
      <c r="M41" s="242" t="n">
        <v>59</v>
      </c>
      <c r="N41" s="240" t="n">
        <v>0</v>
      </c>
      <c r="O41" s="240" t="n">
        <v>0</v>
      </c>
      <c r="P41" s="357" t="n">
        <v>1.394</v>
      </c>
      <c r="Q41" s="357" t="n">
        <v>4.01</v>
      </c>
      <c r="R41" s="116" t="n">
        <v>0</v>
      </c>
      <c r="S41" s="240" t="n">
        <v>0</v>
      </c>
      <c r="T41" s="240" t="n">
        <v>14</v>
      </c>
      <c r="U41" s="240" t="n">
        <f aca="false">M41-N41-O41-P41-Q41-R41+S41+T41</f>
        <v>67.596</v>
      </c>
      <c r="V41" s="216"/>
      <c r="W41" s="216"/>
      <c r="X41" s="240" t="n">
        <v>0</v>
      </c>
      <c r="Y41" s="240" t="n">
        <v>26</v>
      </c>
      <c r="Z41" s="216" t="n">
        <f aca="false">Z40-Y41</f>
        <v>39</v>
      </c>
      <c r="AA41" s="117" t="n">
        <f aca="false">N41+O41+P41+Q41+R41+U41+X41+Y41</f>
        <v>99</v>
      </c>
      <c r="AB41" s="240" t="n">
        <f aca="false">IF(L41&lt;0,L41*-1,0)</f>
        <v>0</v>
      </c>
      <c r="AC41" s="240" t="n">
        <f aca="false">AA41+AB41</f>
        <v>99</v>
      </c>
      <c r="AD41" s="222" t="n">
        <v>0</v>
      </c>
      <c r="AE41" s="224" t="n">
        <v>67</v>
      </c>
      <c r="AF41" s="223" t="n">
        <v>27</v>
      </c>
      <c r="AG41" s="218" t="n">
        <f aca="false">AG40</f>
        <v>15580.8900762275</v>
      </c>
      <c r="AH41" s="218" t="n">
        <f aca="false">T41+13+15+17.54</f>
        <v>59.54</v>
      </c>
      <c r="AI41" s="240"/>
      <c r="AJ41" s="216"/>
      <c r="AK41" s="224"/>
    </row>
    <row r="42" customFormat="false" ht="11.1" hidden="false" customHeight="true" outlineLevel="0" collapsed="false">
      <c r="A42" s="333" t="n">
        <v>31</v>
      </c>
      <c r="B42" s="226" t="n">
        <v>6870.39</v>
      </c>
      <c r="C42" s="216" t="n">
        <v>188849</v>
      </c>
      <c r="D42" s="218" t="n">
        <f aca="false">C42-C41</f>
        <v>939</v>
      </c>
      <c r="E42" s="216" t="n">
        <f aca="false">C42-152000</f>
        <v>36849</v>
      </c>
      <c r="F42" s="239" t="n">
        <f aca="false">D42/$D$2</f>
        <v>473.405596168389</v>
      </c>
      <c r="G42" s="240" t="n">
        <v>501</v>
      </c>
      <c r="H42" s="354" t="n">
        <v>5</v>
      </c>
      <c r="I42" s="240" t="n">
        <f aca="false">G42+H42</f>
        <v>506</v>
      </c>
      <c r="J42" s="221" t="n">
        <f aca="false">IF(L42&gt;0,L42,0)</f>
        <v>84.4055961683892</v>
      </c>
      <c r="K42" s="240" t="n">
        <f aca="false">I42+J42</f>
        <v>590.405596168389</v>
      </c>
      <c r="L42" s="240" t="n">
        <f aca="false">F42-(I42-AA42)</f>
        <v>84.4055961683892</v>
      </c>
      <c r="M42" s="242" t="n">
        <v>78</v>
      </c>
      <c r="N42" s="240" t="n">
        <v>0</v>
      </c>
      <c r="O42" s="240" t="n">
        <f aca="false">8.3*1.05</f>
        <v>8.715</v>
      </c>
      <c r="P42" s="357" t="n">
        <v>1.394</v>
      </c>
      <c r="Q42" s="357" t="n">
        <v>4.01</v>
      </c>
      <c r="R42" s="116" t="n">
        <v>0</v>
      </c>
      <c r="S42" s="240" t="n">
        <v>0</v>
      </c>
      <c r="T42" s="240" t="n">
        <v>13</v>
      </c>
      <c r="U42" s="240" t="n">
        <f aca="false">M42-N42-O42-P42-Q42-R42+S42+T42</f>
        <v>76.881</v>
      </c>
      <c r="V42" s="216"/>
      <c r="W42" s="216"/>
      <c r="X42" s="240" t="n">
        <v>0</v>
      </c>
      <c r="Y42" s="240" t="n">
        <v>26</v>
      </c>
      <c r="Z42" s="216" t="n">
        <f aca="false">Z41-Y42</f>
        <v>13</v>
      </c>
      <c r="AA42" s="117" t="n">
        <f aca="false">N42+O42+P42+Q42+R42+U42+X42+Y42</f>
        <v>117</v>
      </c>
      <c r="AB42" s="240" t="n">
        <f aca="false">IF(L42&lt;0,L42*-1,0)</f>
        <v>0</v>
      </c>
      <c r="AC42" s="240" t="n">
        <f aca="false">AA42+AB42</f>
        <v>117</v>
      </c>
      <c r="AD42" s="222" t="n">
        <v>0</v>
      </c>
      <c r="AE42" s="224" t="n">
        <v>69</v>
      </c>
      <c r="AF42" s="223" t="n">
        <v>33</v>
      </c>
      <c r="AG42" s="218" t="n">
        <f aca="false">AG41</f>
        <v>15580.8900762275</v>
      </c>
      <c r="AH42" s="218" t="n">
        <f aca="false">T42+13+15+17.54</f>
        <v>58.54</v>
      </c>
      <c r="AI42" s="240"/>
      <c r="AJ42" s="240"/>
      <c r="AK42" s="224"/>
    </row>
    <row r="43" customFormat="false" ht="3" hidden="false" customHeight="true" outlineLevel="0" collapsed="false">
      <c r="A43" s="355"/>
      <c r="B43" s="244"/>
      <c r="C43" s="229"/>
      <c r="D43" s="230"/>
      <c r="E43" s="229"/>
      <c r="F43" s="231"/>
      <c r="G43" s="230"/>
      <c r="H43" s="252"/>
      <c r="I43" s="230"/>
      <c r="J43" s="230"/>
      <c r="K43" s="230"/>
      <c r="L43" s="230"/>
      <c r="M43" s="233"/>
      <c r="N43" s="230"/>
      <c r="O43" s="230"/>
      <c r="P43" s="230"/>
      <c r="Q43" s="230"/>
      <c r="R43" s="234"/>
      <c r="S43" s="230"/>
      <c r="T43" s="230"/>
      <c r="U43" s="230"/>
      <c r="V43" s="229"/>
      <c r="W43" s="229"/>
      <c r="X43" s="230"/>
      <c r="Y43" s="230"/>
      <c r="Z43" s="230"/>
      <c r="AA43" s="230"/>
      <c r="AB43" s="230"/>
      <c r="AC43" s="230"/>
      <c r="AD43" s="236"/>
      <c r="AE43" s="237"/>
      <c r="AF43" s="238"/>
      <c r="AG43" s="237"/>
      <c r="AH43" s="237"/>
      <c r="AI43" s="237"/>
      <c r="AJ43" s="237"/>
      <c r="AK43" s="237"/>
    </row>
    <row r="44" customFormat="false" ht="11.1" hidden="false" customHeight="true" outlineLevel="0" collapsed="false">
      <c r="A44" s="154" t="s">
        <v>69</v>
      </c>
      <c r="B44" s="215"/>
      <c r="C44" s="216"/>
      <c r="D44" s="216"/>
      <c r="E44" s="216"/>
      <c r="F44" s="217" t="n">
        <f aca="false">SUM(F12:F42)</f>
        <v>9704.05848248046</v>
      </c>
      <c r="G44" s="216" t="n">
        <f aca="false">SUM(G12:G42)</f>
        <v>8622</v>
      </c>
      <c r="H44" s="337" t="n">
        <f aca="false">SUM(H12:H42)</f>
        <v>273.7</v>
      </c>
      <c r="I44" s="216" t="n">
        <f aca="false">SUM(I12:I42)</f>
        <v>8895.7</v>
      </c>
      <c r="J44" s="216" t="n">
        <f aca="false">SUM(J12:J42)</f>
        <v>3777.74476934711</v>
      </c>
      <c r="K44" s="216" t="n">
        <f aca="false">SUM(K12:K42)</f>
        <v>12673.4447693471</v>
      </c>
      <c r="L44" s="216" t="n">
        <f aca="false">SUM(L12:L42)</f>
        <v>3759.35848248046</v>
      </c>
      <c r="M44" s="219" t="n">
        <f aca="false">SUM(M12:M42)</f>
        <v>389.8</v>
      </c>
      <c r="N44" s="216" t="n">
        <f aca="false">SUM(N12:N42)</f>
        <v>0</v>
      </c>
      <c r="O44" s="216" t="n">
        <f aca="false">SUM(O12:O42)</f>
        <v>8.715</v>
      </c>
      <c r="P44" s="216" t="n">
        <f aca="false">SUM(P12:P42)</f>
        <v>43.214</v>
      </c>
      <c r="Q44" s="216" t="n">
        <f aca="false">SUM(Q12:Q42)</f>
        <v>108.234</v>
      </c>
      <c r="R44" s="220" t="n">
        <f aca="false">SUM(R12:R42)</f>
        <v>0</v>
      </c>
      <c r="S44" s="216" t="n">
        <f aca="false">SUM(S12:S42)</f>
        <v>1721.2</v>
      </c>
      <c r="T44" s="216" t="n">
        <f aca="false">SUM(T12:T42)</f>
        <v>41</v>
      </c>
      <c r="U44" s="216" t="n">
        <f aca="false">SUM(U12:U42)</f>
        <v>1991.837</v>
      </c>
      <c r="V44" s="216"/>
      <c r="W44" s="216"/>
      <c r="X44" s="216"/>
      <c r="Y44" s="216" t="n">
        <f aca="false">SUM(Y12:Y42)</f>
        <v>799</v>
      </c>
      <c r="Z44" s="216"/>
      <c r="AA44" s="216" t="n">
        <f aca="false">SUM(AA12:AA42)</f>
        <v>2951</v>
      </c>
      <c r="AB44" s="216" t="n">
        <f aca="false">SUM(AB12:AB42)</f>
        <v>18.3862868666498</v>
      </c>
      <c r="AC44" s="216" t="n">
        <f aca="false">SUM(AC12:AC42)</f>
        <v>2969.38628686665</v>
      </c>
      <c r="AD44" s="222" t="n">
        <f aca="false">SUM(AD12:AD42)</f>
        <v>0.33</v>
      </c>
      <c r="AE44" s="218" t="n">
        <f aca="false">AVERAGE(AE12:AE42)</f>
        <v>58.4838709677419</v>
      </c>
      <c r="AF44" s="223" t="n">
        <f aca="false">AVERAGE(AF12:AF42)</f>
        <v>28.9032258064516</v>
      </c>
      <c r="AG44" s="218" t="s">
        <v>88</v>
      </c>
      <c r="AH44" s="216" t="n">
        <f aca="false">SUM(AH12:AH42)</f>
        <v>176.5</v>
      </c>
      <c r="AI44" s="240"/>
      <c r="AJ44" s="240"/>
      <c r="AK44" s="224"/>
    </row>
    <row r="45" customFormat="false" ht="11.1" hidden="false" customHeight="true" outlineLevel="0" collapsed="false">
      <c r="A45" s="154" t="s">
        <v>71</v>
      </c>
      <c r="B45" s="215"/>
      <c r="C45" s="216"/>
      <c r="D45" s="216" t="n">
        <f aca="false">SUM(D12:D42)</f>
        <v>19248</v>
      </c>
      <c r="E45" s="216"/>
      <c r="F45" s="217" t="n">
        <f aca="false">F44*$D$2</f>
        <v>19248</v>
      </c>
      <c r="G45" s="216" t="n">
        <f aca="false">G44*$D$2</f>
        <v>17101.737</v>
      </c>
      <c r="H45" s="337" t="n">
        <f aca="false">H44*$D$2</f>
        <v>542.88395</v>
      </c>
      <c r="I45" s="216" t="n">
        <f aca="false">I44*$D$2</f>
        <v>17644.62095</v>
      </c>
      <c r="J45" s="216" t="n">
        <f aca="false">J44*$D$2</f>
        <v>7493.15675</v>
      </c>
      <c r="K45" s="216" t="n">
        <f aca="false">K44*$D$2</f>
        <v>25137.7777</v>
      </c>
      <c r="L45" s="216" t="n">
        <f aca="false">L44*$D$2</f>
        <v>7456.68755</v>
      </c>
      <c r="M45" s="219" t="n">
        <f aca="false">M44*$D$2</f>
        <v>773.1683</v>
      </c>
      <c r="N45" s="216" t="n">
        <f aca="false">N44*$D$2</f>
        <v>0</v>
      </c>
      <c r="O45" s="216" t="n">
        <f aca="false">O44*$D$2</f>
        <v>17.2862025</v>
      </c>
      <c r="P45" s="216" t="n">
        <f aca="false">P44*$D$2</f>
        <v>85.714969</v>
      </c>
      <c r="Q45" s="216" t="n">
        <f aca="false">Q44*$D$2</f>
        <v>214.682139</v>
      </c>
      <c r="R45" s="220" t="n">
        <f aca="false">R44*$D$2</f>
        <v>0</v>
      </c>
      <c r="S45" s="216" t="n">
        <f aca="false">S44*$D$2</f>
        <v>3414.0002</v>
      </c>
      <c r="T45" s="216" t="n">
        <f aca="false">T44*$D$2</f>
        <v>81.3235</v>
      </c>
      <c r="U45" s="216" t="n">
        <f aca="false">U44*$D$2</f>
        <v>3950.8086895</v>
      </c>
      <c r="V45" s="216"/>
      <c r="W45" s="216"/>
      <c r="X45" s="216"/>
      <c r="Y45" s="216" t="n">
        <f aca="false">Y44*$D$2</f>
        <v>1584.8165</v>
      </c>
      <c r="Z45" s="216"/>
      <c r="AA45" s="216" t="n">
        <f aca="false">AA44*$D$2</f>
        <v>5853.3085</v>
      </c>
      <c r="AB45" s="216" t="n">
        <f aca="false">AB44*$D$2</f>
        <v>36.4692</v>
      </c>
      <c r="AC45" s="216" t="n">
        <f aca="false">AC44*$D$2</f>
        <v>5889.7777</v>
      </c>
      <c r="AD45" s="222"/>
      <c r="AE45" s="218" t="n">
        <f aca="false">MAX(AE12:AE42)</f>
        <v>75</v>
      </c>
      <c r="AF45" s="223" t="n">
        <f aca="false">MAX(AF12:AF42)</f>
        <v>40</v>
      </c>
      <c r="AG45" s="218" t="s">
        <v>72</v>
      </c>
      <c r="AH45" s="216" t="n">
        <f aca="false">AH44*$D$2</f>
        <v>350.08775</v>
      </c>
      <c r="AI45" s="240"/>
      <c r="AJ45" s="240"/>
      <c r="AK45" s="224"/>
    </row>
    <row r="46" customFormat="false" ht="3" hidden="false" customHeight="true" outlineLevel="0" collapsed="false">
      <c r="A46" s="247"/>
      <c r="B46" s="244"/>
      <c r="C46" s="229"/>
      <c r="D46" s="229"/>
      <c r="E46" s="229"/>
      <c r="F46" s="248"/>
      <c r="G46" s="229"/>
      <c r="H46" s="360"/>
      <c r="I46" s="229"/>
      <c r="J46" s="229"/>
      <c r="K46" s="229"/>
      <c r="L46" s="229"/>
      <c r="M46" s="249"/>
      <c r="N46" s="229"/>
      <c r="O46" s="229"/>
      <c r="P46" s="229"/>
      <c r="Q46" s="229"/>
      <c r="R46" s="250"/>
      <c r="S46" s="229"/>
      <c r="T46" s="229"/>
      <c r="U46" s="229"/>
      <c r="V46" s="229"/>
      <c r="W46" s="229"/>
      <c r="X46" s="229"/>
      <c r="Y46" s="229"/>
      <c r="Z46" s="230"/>
      <c r="AA46" s="229"/>
      <c r="AB46" s="229"/>
      <c r="AC46" s="229"/>
      <c r="AD46" s="251"/>
      <c r="AE46" s="229"/>
      <c r="AF46" s="248"/>
      <c r="AG46" s="237"/>
      <c r="AH46" s="237"/>
      <c r="AI46" s="229"/>
      <c r="AJ46" s="229"/>
      <c r="AK46" s="229"/>
    </row>
    <row r="47" customFormat="false" ht="11.1" hidden="false" customHeight="true" outlineLevel="0" collapsed="false">
      <c r="A47" s="154" t="s">
        <v>73</v>
      </c>
      <c r="B47" s="215"/>
      <c r="C47" s="216"/>
      <c r="D47" s="216"/>
      <c r="E47" s="216"/>
      <c r="F47" s="217"/>
      <c r="G47" s="216"/>
      <c r="H47" s="337"/>
      <c r="I47" s="216"/>
      <c r="J47" s="216"/>
      <c r="K47" s="216"/>
      <c r="L47" s="216"/>
      <c r="M47" s="219"/>
      <c r="N47" s="216"/>
      <c r="O47" s="216" t="n">
        <f aca="false">O44</f>
        <v>8.715</v>
      </c>
      <c r="P47" s="216"/>
      <c r="Q47" s="216"/>
      <c r="R47" s="220"/>
      <c r="S47" s="216"/>
      <c r="T47" s="216"/>
      <c r="U47" s="216" t="n">
        <v>31.9</v>
      </c>
      <c r="V47" s="216"/>
      <c r="W47" s="216"/>
      <c r="X47" s="216"/>
      <c r="Y47" s="216"/>
      <c r="Z47" s="216"/>
      <c r="AA47" s="216"/>
      <c r="AB47" s="216"/>
      <c r="AC47" s="216"/>
      <c r="AD47" s="222"/>
      <c r="AE47" s="218" t="n">
        <f aca="false">MIN(AE12:AE42)</f>
        <v>38</v>
      </c>
      <c r="AF47" s="223" t="n">
        <f aca="false">MIN(AF12:AF42)</f>
        <v>10</v>
      </c>
      <c r="AG47" s="218" t="s">
        <v>74</v>
      </c>
      <c r="AH47" s="218"/>
      <c r="AI47" s="240"/>
      <c r="AJ47" s="240"/>
      <c r="AK47" s="224"/>
    </row>
    <row r="48" customFormat="false" ht="11.1" hidden="false" customHeight="true" outlineLevel="0" collapsed="false">
      <c r="A48" s="154" t="s">
        <v>75</v>
      </c>
      <c r="B48" s="215"/>
      <c r="C48" s="216"/>
      <c r="D48" s="216"/>
      <c r="E48" s="216"/>
      <c r="F48" s="217"/>
      <c r="G48" s="216"/>
      <c r="H48" s="337"/>
      <c r="I48" s="216"/>
      <c r="J48" s="216"/>
      <c r="K48" s="216"/>
      <c r="L48" s="216"/>
      <c r="M48" s="219"/>
      <c r="N48" s="216"/>
      <c r="O48" s="216" t="n">
        <f aca="false">O47*D2</f>
        <v>17.2862025</v>
      </c>
      <c r="P48" s="216"/>
      <c r="Q48" s="216"/>
      <c r="R48" s="220"/>
      <c r="S48" s="216"/>
      <c r="T48" s="216"/>
      <c r="U48" s="216" t="n">
        <f aca="false">U47*D2</f>
        <v>63.27365</v>
      </c>
      <c r="V48" s="216"/>
      <c r="W48" s="216"/>
      <c r="X48" s="216"/>
      <c r="Y48" s="216"/>
      <c r="Z48" s="216"/>
      <c r="AA48" s="216"/>
      <c r="AB48" s="216"/>
      <c r="AC48" s="216"/>
      <c r="AD48" s="222"/>
      <c r="AE48" s="218"/>
      <c r="AF48" s="223"/>
      <c r="AG48" s="218"/>
      <c r="AH48" s="218"/>
      <c r="AI48" s="240"/>
      <c r="AJ48" s="240"/>
      <c r="AK48" s="224"/>
    </row>
    <row r="49" customFormat="false" ht="3" hidden="false" customHeight="true" outlineLevel="0" collapsed="false">
      <c r="A49" s="247"/>
      <c r="B49" s="244"/>
      <c r="C49" s="229"/>
      <c r="D49" s="229"/>
      <c r="E49" s="229"/>
      <c r="F49" s="248"/>
      <c r="G49" s="229"/>
      <c r="H49" s="360"/>
      <c r="I49" s="229"/>
      <c r="J49" s="229"/>
      <c r="K49" s="229"/>
      <c r="L49" s="229"/>
      <c r="M49" s="249"/>
      <c r="N49" s="229"/>
      <c r="O49" s="229"/>
      <c r="P49" s="229"/>
      <c r="Q49" s="229"/>
      <c r="R49" s="250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36"/>
      <c r="AE49" s="252"/>
      <c r="AF49" s="253"/>
      <c r="AG49" s="237"/>
      <c r="AH49" s="237"/>
      <c r="AI49" s="252"/>
      <c r="AJ49" s="252"/>
      <c r="AK49" s="252"/>
    </row>
    <row r="50" customFormat="false" ht="11.1" hidden="false" customHeight="true" outlineLevel="0" collapsed="false">
      <c r="A50" s="154" t="s">
        <v>76</v>
      </c>
      <c r="B50" s="215"/>
      <c r="C50" s="216"/>
      <c r="D50" s="216"/>
      <c r="E50" s="216"/>
      <c r="F50" s="217" t="n">
        <f aca="false">F10+F44</f>
        <v>7514.99873960172</v>
      </c>
      <c r="G50" s="216" t="n">
        <f aca="false">G10+G44</f>
        <v>14128</v>
      </c>
      <c r="H50" s="337" t="n">
        <f aca="false">H10+H44</f>
        <v>303.6</v>
      </c>
      <c r="I50" s="216" t="n">
        <f aca="false">I10+I44</f>
        <v>14431.6</v>
      </c>
      <c r="J50" s="216" t="n">
        <f aca="false">J10+J44</f>
        <v>5637.60314721452</v>
      </c>
      <c r="K50" s="216" t="n">
        <f aca="false">K10+K44</f>
        <v>20069.2031472145</v>
      </c>
      <c r="L50" s="216" t="n">
        <f aca="false">L10+L44</f>
        <v>5412.85373960171</v>
      </c>
      <c r="M50" s="219" t="n">
        <f aca="false">M10+M44</f>
        <v>975.4</v>
      </c>
      <c r="N50" s="216" t="n">
        <f aca="false">N10+N44</f>
        <v>0</v>
      </c>
      <c r="O50" s="216" t="n">
        <f aca="false">O10+O44</f>
        <v>8.715</v>
      </c>
      <c r="P50" s="216" t="n">
        <f aca="false">P10+P44</f>
        <v>213.554</v>
      </c>
      <c r="Q50" s="216" t="n">
        <f aca="false">Q10+Q44</f>
        <v>391.284</v>
      </c>
      <c r="R50" s="220" t="n">
        <f aca="false">R10+R44</f>
        <v>0</v>
      </c>
      <c r="S50" s="216" t="n">
        <f aca="false">S10+S44</f>
        <v>7980.2</v>
      </c>
      <c r="T50" s="216" t="n">
        <f aca="false">T10+T44</f>
        <v>136</v>
      </c>
      <c r="U50" s="216" t="n">
        <f aca="false">U10+U44</f>
        <v>8471.97749</v>
      </c>
      <c r="V50" s="216"/>
      <c r="W50" s="216"/>
      <c r="X50" s="216"/>
      <c r="Y50" s="216" t="n">
        <f aca="false">Y10+Y44</f>
        <v>3206</v>
      </c>
      <c r="Z50" s="216" t="n">
        <f aca="false">Z42</f>
        <v>13</v>
      </c>
      <c r="AA50" s="216" t="n">
        <f aca="false">AA10+AA44</f>
        <v>12329.455</v>
      </c>
      <c r="AB50" s="216" t="n">
        <f aca="false">AB10+AB44</f>
        <v>224.749407612806</v>
      </c>
      <c r="AC50" s="216" t="n">
        <f aca="false">AC10+AC44</f>
        <v>12554.2044076128</v>
      </c>
      <c r="AD50" s="222" t="n">
        <f aca="false">AD10+AD44</f>
        <v>6.76</v>
      </c>
      <c r="AE50" s="218"/>
      <c r="AF50" s="223"/>
      <c r="AG50" s="218"/>
      <c r="AH50" s="216" t="n">
        <f aca="false">AH10+AH44</f>
        <v>176.5</v>
      </c>
      <c r="AI50" s="240"/>
      <c r="AJ50" s="240"/>
      <c r="AK50" s="224"/>
    </row>
    <row r="51" customFormat="false" ht="11.1" hidden="false" customHeight="true" outlineLevel="0" collapsed="false">
      <c r="A51" s="154" t="s">
        <v>77</v>
      </c>
      <c r="B51" s="215"/>
      <c r="C51" s="216"/>
      <c r="D51" s="216" t="n">
        <f aca="false">D10+D45</f>
        <v>14906</v>
      </c>
      <c r="E51" s="216" t="n">
        <f aca="false">E42</f>
        <v>36849</v>
      </c>
      <c r="F51" s="217" t="n">
        <f aca="false">F50*$D$2</f>
        <v>14906</v>
      </c>
      <c r="G51" s="216" t="n">
        <f aca="false">G50*$D$2</f>
        <v>28022.888</v>
      </c>
      <c r="H51" s="337" t="n">
        <f aca="false">H50*$D$2</f>
        <v>602.1906</v>
      </c>
      <c r="I51" s="216" t="n">
        <f aca="false">I50*$D$2</f>
        <v>28625.0786</v>
      </c>
      <c r="J51" s="216" t="n">
        <f aca="false">J50*$D$2</f>
        <v>11182.1858425</v>
      </c>
      <c r="K51" s="216" t="n">
        <f aca="false">K50*$D$2</f>
        <v>39807.2644425</v>
      </c>
      <c r="L51" s="216" t="n">
        <f aca="false">L50*$D$2</f>
        <v>10736.3953925</v>
      </c>
      <c r="M51" s="219" t="n">
        <f aca="false">M50*$D$2</f>
        <v>1934.7059</v>
      </c>
      <c r="N51" s="216" t="n">
        <f aca="false">N50*$D$2</f>
        <v>0</v>
      </c>
      <c r="O51" s="216" t="n">
        <f aca="false">O50*$D$2</f>
        <v>17.2862025</v>
      </c>
      <c r="P51" s="216" t="n">
        <f aca="false">P50*$D$2</f>
        <v>423.584359</v>
      </c>
      <c r="Q51" s="216" t="n">
        <f aca="false">Q50*$D$2</f>
        <v>776.111814</v>
      </c>
      <c r="R51" s="220" t="n">
        <f aca="false">R50*$D$2</f>
        <v>0</v>
      </c>
      <c r="S51" s="216" t="n">
        <f aca="false">S50*$D$2</f>
        <v>15828.7267</v>
      </c>
      <c r="T51" s="216" t="n">
        <f aca="false">T50*$D$2</f>
        <v>269.756</v>
      </c>
      <c r="U51" s="216" t="n">
        <f aca="false">U50*$D$2</f>
        <v>16804.167351415</v>
      </c>
      <c r="V51" s="216"/>
      <c r="W51" s="216"/>
      <c r="X51" s="216"/>
      <c r="Y51" s="216" t="n">
        <f aca="false">Y50*$D$2</f>
        <v>6359.101</v>
      </c>
      <c r="Z51" s="216" t="n">
        <f aca="false">Z50*$D$2</f>
        <v>25.7855</v>
      </c>
      <c r="AA51" s="216" t="n">
        <f aca="false">AA50*$D$2</f>
        <v>24455.4739925</v>
      </c>
      <c r="AB51" s="216" t="n">
        <f aca="false">AB50*$D$2</f>
        <v>445.79045</v>
      </c>
      <c r="AC51" s="216" t="n">
        <f aca="false">AC50*$D$2</f>
        <v>24901.2644425</v>
      </c>
      <c r="AD51" s="222"/>
      <c r="AE51" s="218"/>
      <c r="AF51" s="223"/>
      <c r="AG51" s="218" t="n">
        <f aca="false">AG42</f>
        <v>15580.8900762275</v>
      </c>
      <c r="AH51" s="216" t="n">
        <f aca="false">AH50*$D$2</f>
        <v>350.08775</v>
      </c>
      <c r="AI51" s="240"/>
      <c r="AJ51" s="240"/>
      <c r="AK51" s="224"/>
    </row>
    <row r="52" customFormat="false" ht="3" hidden="false" customHeight="true" outlineLevel="0" collapsed="false">
      <c r="A52" s="355"/>
      <c r="B52" s="244"/>
      <c r="C52" s="229"/>
      <c r="D52" s="230"/>
      <c r="E52" s="229"/>
      <c r="F52" s="231"/>
      <c r="G52" s="230"/>
      <c r="H52" s="252"/>
      <c r="I52" s="230"/>
      <c r="J52" s="230"/>
      <c r="K52" s="230"/>
      <c r="L52" s="230"/>
      <c r="M52" s="233"/>
      <c r="N52" s="230"/>
      <c r="O52" s="230"/>
      <c r="P52" s="230"/>
      <c r="Q52" s="230"/>
      <c r="R52" s="234"/>
      <c r="S52" s="230"/>
      <c r="T52" s="230"/>
      <c r="U52" s="230"/>
      <c r="V52" s="229"/>
      <c r="W52" s="229"/>
      <c r="X52" s="230"/>
      <c r="Y52" s="230"/>
      <c r="Z52" s="229"/>
      <c r="AA52" s="230"/>
      <c r="AB52" s="230"/>
      <c r="AC52" s="230"/>
      <c r="AD52" s="244"/>
      <c r="AE52" s="230"/>
      <c r="AF52" s="231"/>
      <c r="AG52" s="237"/>
      <c r="AH52" s="237"/>
      <c r="AI52" s="230"/>
      <c r="AJ52" s="230"/>
      <c r="AK52" s="230"/>
    </row>
    <row r="53" customFormat="false" ht="11.1" hidden="false" customHeight="true" outlineLevel="0" collapsed="false">
      <c r="A53" s="145"/>
      <c r="B53" s="255"/>
      <c r="C53" s="146"/>
      <c r="D53" s="145"/>
      <c r="E53" s="146"/>
      <c r="F53" s="145"/>
      <c r="G53" s="145"/>
      <c r="H53" s="151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6"/>
      <c r="W53" s="146"/>
      <c r="X53" s="145"/>
      <c r="Y53" s="145"/>
      <c r="Z53" s="146"/>
      <c r="AA53" s="145"/>
      <c r="AB53" s="145"/>
      <c r="AC53" s="145"/>
      <c r="AD53" s="151"/>
      <c r="AE53" s="152"/>
      <c r="AF53" s="152"/>
      <c r="AG53" s="153"/>
      <c r="AH53" s="153"/>
      <c r="AI53" s="261"/>
      <c r="AJ53" s="261"/>
    </row>
    <row r="54" customFormat="false" ht="11.1" hidden="false" customHeight="true" outlineLevel="0" collapsed="false">
      <c r="A54" s="145"/>
      <c r="B54" s="256"/>
      <c r="C54" s="146"/>
      <c r="D54" s="257"/>
      <c r="E54" s="146"/>
      <c r="F54" s="145"/>
      <c r="G54" s="145"/>
      <c r="H54" s="151"/>
      <c r="I54" s="147"/>
      <c r="J54" s="145"/>
      <c r="K54" s="13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6"/>
      <c r="W54" s="146"/>
      <c r="X54" s="145"/>
      <c r="Y54" s="145"/>
      <c r="Z54" s="146"/>
      <c r="AA54" s="145"/>
      <c r="AB54" s="145"/>
      <c r="AC54" s="145"/>
      <c r="AD54" s="151"/>
      <c r="AE54" s="152"/>
      <c r="AF54" s="152"/>
      <c r="AG54" s="153"/>
      <c r="AH54" s="153"/>
      <c r="AI54" s="261"/>
      <c r="AJ54" s="261"/>
    </row>
    <row r="55" customFormat="false" ht="11.1" hidden="false" customHeight="true" outlineLevel="0" collapsed="false">
      <c r="A55" s="257"/>
      <c r="B55" s="257"/>
      <c r="C55" s="146"/>
      <c r="D55" s="146"/>
      <c r="E55" s="146"/>
      <c r="F55" s="257"/>
      <c r="G55" s="257"/>
      <c r="H55" s="151"/>
      <c r="I55" s="257"/>
      <c r="J55" s="257"/>
      <c r="K55" s="257"/>
      <c r="L55" s="257"/>
      <c r="M55" s="149"/>
      <c r="N55" s="149"/>
      <c r="O55" s="149"/>
      <c r="P55" s="149"/>
      <c r="Q55" s="149"/>
      <c r="R55" s="149"/>
      <c r="S55" s="257"/>
      <c r="T55" s="257"/>
      <c r="U55" s="257"/>
      <c r="V55" s="146"/>
      <c r="W55" s="146"/>
      <c r="X55" s="257"/>
      <c r="Y55" s="257"/>
      <c r="Z55" s="146"/>
      <c r="AA55" s="257"/>
      <c r="AB55" s="257"/>
      <c r="AC55" s="257"/>
      <c r="AD55" s="151"/>
      <c r="AE55" s="152"/>
      <c r="AF55" s="152"/>
      <c r="AG55" s="153"/>
      <c r="AH55" s="153"/>
      <c r="AI55" s="316"/>
      <c r="AJ55" s="316"/>
    </row>
    <row r="56" customFormat="false" ht="11.1" hidden="false" customHeight="true" outlineLevel="0" collapsed="false">
      <c r="A56" s="257"/>
      <c r="B56" s="150"/>
      <c r="C56" s="146"/>
      <c r="D56" s="146"/>
      <c r="E56" s="146"/>
      <c r="F56" s="257"/>
      <c r="G56" s="257"/>
      <c r="H56" s="151"/>
      <c r="I56" s="257"/>
      <c r="J56" s="257"/>
      <c r="K56" s="257"/>
      <c r="L56" s="257"/>
      <c r="M56" s="149"/>
      <c r="N56" s="149"/>
      <c r="O56" s="149"/>
      <c r="P56" s="149"/>
      <c r="Q56" s="149"/>
      <c r="R56" s="257"/>
      <c r="S56" s="257"/>
      <c r="T56" s="257"/>
      <c r="U56" s="146"/>
      <c r="V56" s="257"/>
      <c r="W56" s="257"/>
      <c r="X56" s="257"/>
      <c r="Y56" s="146"/>
      <c r="Z56" s="257"/>
      <c r="AA56" s="257"/>
      <c r="AB56" s="257"/>
      <c r="AC56" s="150"/>
      <c r="AD56" s="151"/>
      <c r="AE56" s="152"/>
      <c r="AF56" s="153"/>
      <c r="AG56" s="320"/>
      <c r="AH56" s="320"/>
      <c r="AI56" s="316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151"/>
      <c r="I57" s="257"/>
      <c r="J57" s="257"/>
      <c r="K57" s="257"/>
      <c r="L57" s="257"/>
      <c r="M57" s="149"/>
      <c r="N57" s="149"/>
      <c r="O57" s="149"/>
      <c r="P57" s="149"/>
      <c r="Q57" s="149"/>
      <c r="R57" s="257"/>
      <c r="S57" s="257"/>
      <c r="T57" s="257"/>
      <c r="U57" s="146"/>
      <c r="V57" s="257"/>
      <c r="W57" s="257"/>
      <c r="X57" s="257"/>
      <c r="Y57" s="146"/>
      <c r="Z57" s="257"/>
      <c r="AA57" s="257"/>
      <c r="AB57" s="257"/>
      <c r="AC57" s="150"/>
      <c r="AD57" s="151"/>
      <c r="AE57" s="152"/>
      <c r="AF57" s="153"/>
      <c r="AG57" s="320"/>
      <c r="AH57" s="320"/>
      <c r="AI57" s="316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G5" activeCellId="0" sqref="G5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61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2" min="22" style="4" width="5.49"/>
    <col collapsed="false" customWidth="true" hidden="false" outlineLevel="0" max="23" min="23" style="3" width="5.49"/>
    <col collapsed="false" customWidth="true" hidden="false" outlineLevel="0" max="24" min="24" style="0" width="5.49"/>
    <col collapsed="false" customWidth="true" hidden="false" outlineLevel="0" max="25" min="25" style="1" width="5.49"/>
    <col collapsed="false" customWidth="true" hidden="false" outlineLevel="0" max="26" min="26" style="0" width="5.49"/>
    <col collapsed="false" customWidth="true" hidden="false" outlineLevel="0" max="27" min="27" style="0" width="6.32"/>
    <col collapsed="false" customWidth="true" hidden="false" outlineLevel="0" max="28" min="28" style="0" width="6.99"/>
    <col collapsed="false" customWidth="true" hidden="false" outlineLevel="0" max="29" min="29" style="362" width="6.99"/>
    <col collapsed="false" customWidth="true" hidden="false" outlineLevel="0" max="30" min="30" style="363" width="5.32"/>
    <col collapsed="false" customWidth="true" hidden="false" outlineLevel="0" max="31" min="31" style="364" width="3.82"/>
    <col collapsed="false" customWidth="true" hidden="false" outlineLevel="0" max="32" min="32" style="365" width="3.82"/>
    <col collapsed="false" customWidth="true" hidden="false" outlineLevel="0" max="34" min="33" style="5" width="5.49"/>
    <col collapsed="false" customWidth="true" hidden="false" outlineLevel="0" max="35" min="35" style="4" width="6.32"/>
    <col collapsed="false" customWidth="true" hidden="false" outlineLevel="0" max="36" min="36" style="318" width="6.32"/>
    <col collapsed="false" customWidth="true" hidden="false" outlineLevel="0" max="37" min="37" style="0" width="6.32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114"/>
      <c r="G1" s="8"/>
      <c r="H1" s="10"/>
      <c r="I1" s="8"/>
      <c r="J1" s="8"/>
      <c r="K1" s="11" t="s">
        <v>94</v>
      </c>
      <c r="L1" s="8"/>
      <c r="M1" s="8"/>
      <c r="N1" s="8"/>
      <c r="O1" s="8"/>
      <c r="P1" s="8"/>
      <c r="Q1" s="8"/>
      <c r="R1" s="8"/>
      <c r="S1" s="8"/>
      <c r="T1" s="8"/>
      <c r="U1" s="9"/>
      <c r="V1" s="14"/>
      <c r="W1" s="112"/>
      <c r="X1" s="8"/>
      <c r="Y1" s="9"/>
      <c r="Z1" s="8"/>
      <c r="AA1" s="8"/>
      <c r="AB1" s="8"/>
      <c r="AC1" s="366"/>
      <c r="AD1" s="367"/>
      <c r="AE1" s="110"/>
      <c r="AF1" s="80"/>
      <c r="AG1" s="15"/>
      <c r="AH1" s="15"/>
      <c r="AI1" s="368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114"/>
      <c r="G2" s="8"/>
      <c r="H2" s="10"/>
      <c r="I2" s="8"/>
      <c r="J2" s="8"/>
      <c r="K2" s="369" t="s">
        <v>95</v>
      </c>
      <c r="L2" s="370"/>
      <c r="M2" s="64"/>
      <c r="N2" s="64"/>
      <c r="O2" s="64"/>
      <c r="P2" s="64"/>
      <c r="Q2" s="64"/>
      <c r="R2" s="64"/>
      <c r="S2" s="64"/>
      <c r="T2" s="64"/>
      <c r="U2" s="79"/>
      <c r="V2" s="15"/>
      <c r="W2" s="371"/>
      <c r="X2" s="64"/>
      <c r="Y2" s="79"/>
      <c r="Z2" s="8"/>
      <c r="AA2" s="8"/>
      <c r="AB2" s="8"/>
      <c r="AC2" s="366"/>
      <c r="AD2" s="367"/>
      <c r="AE2" s="110"/>
      <c r="AF2" s="80"/>
      <c r="AG2" s="15"/>
      <c r="AH2" s="15"/>
      <c r="AI2" s="368"/>
    </row>
    <row r="3" customFormat="false" ht="14.1" hidden="false" customHeight="true" outlineLevel="0" collapsed="false">
      <c r="A3" s="8"/>
      <c r="B3" s="8"/>
      <c r="C3" s="9"/>
      <c r="D3" s="17"/>
      <c r="E3" s="9"/>
      <c r="F3" s="114"/>
      <c r="G3" s="8"/>
      <c r="H3" s="372"/>
      <c r="I3" s="8"/>
      <c r="J3" s="8"/>
      <c r="K3" s="373"/>
      <c r="L3" s="370"/>
      <c r="M3" s="64"/>
      <c r="N3" s="64"/>
      <c r="O3" s="64"/>
      <c r="P3" s="64"/>
      <c r="Q3" s="64"/>
      <c r="R3" s="64"/>
      <c r="S3" s="64"/>
      <c r="T3" s="64"/>
      <c r="U3" s="374"/>
      <c r="V3" s="15"/>
      <c r="W3" s="371"/>
      <c r="X3" s="64"/>
      <c r="Y3" s="79"/>
      <c r="Z3" s="8"/>
      <c r="AA3" s="8"/>
      <c r="AB3" s="8"/>
      <c r="AC3" s="366"/>
      <c r="AD3" s="367"/>
      <c r="AE3" s="110"/>
      <c r="AF3" s="80"/>
      <c r="AG3" s="15"/>
      <c r="AH3" s="15"/>
      <c r="AI3" s="368"/>
    </row>
    <row r="4" s="41" customFormat="true" ht="14.1" hidden="false" customHeight="true" outlineLevel="0" collapsed="false">
      <c r="A4" s="33"/>
      <c r="B4" s="30"/>
      <c r="C4" s="31"/>
      <c r="D4" s="375" t="s">
        <v>3</v>
      </c>
      <c r="E4" s="31"/>
      <c r="F4" s="33"/>
      <c r="G4" s="376"/>
      <c r="H4" s="377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8" t="s">
        <v>4</v>
      </c>
      <c r="V4" s="379"/>
      <c r="W4" s="380"/>
      <c r="X4" s="376"/>
      <c r="Y4" s="31"/>
      <c r="Z4" s="376"/>
      <c r="AA4" s="376"/>
      <c r="AB4" s="376"/>
      <c r="AC4" s="381"/>
      <c r="AD4" s="38"/>
      <c r="AE4" s="39" t="s">
        <v>5</v>
      </c>
      <c r="AF4" s="40"/>
      <c r="AG4" s="382"/>
      <c r="AH4" s="382"/>
      <c r="AI4" s="383" t="s">
        <v>6</v>
      </c>
      <c r="AJ4" s="384"/>
      <c r="AK4" s="385"/>
    </row>
    <row r="5" customFormat="false" ht="11.1" hidden="false" customHeight="true" outlineLevel="0" collapsed="false">
      <c r="A5" s="386" t="s">
        <v>7</v>
      </c>
      <c r="B5" s="387" t="s">
        <v>8</v>
      </c>
      <c r="C5" s="68" t="s">
        <v>8</v>
      </c>
      <c r="D5" s="72" t="s">
        <v>9</v>
      </c>
      <c r="E5" s="68" t="s">
        <v>10</v>
      </c>
      <c r="F5" s="388" t="s">
        <v>11</v>
      </c>
      <c r="G5" s="389" t="s">
        <v>12</v>
      </c>
      <c r="H5" s="390" t="s">
        <v>13</v>
      </c>
      <c r="I5" s="389" t="s">
        <v>14</v>
      </c>
      <c r="J5" s="389" t="s">
        <v>15</v>
      </c>
      <c r="K5" s="389" t="s">
        <v>16</v>
      </c>
      <c r="L5" s="386" t="s">
        <v>15</v>
      </c>
      <c r="M5" s="49" t="s">
        <v>17</v>
      </c>
      <c r="N5" s="49"/>
      <c r="O5" s="49"/>
      <c r="P5" s="49"/>
      <c r="Q5" s="49"/>
      <c r="R5" s="49"/>
      <c r="S5" s="386" t="s">
        <v>18</v>
      </c>
      <c r="T5" s="386" t="s">
        <v>19</v>
      </c>
      <c r="U5" s="386" t="s">
        <v>16</v>
      </c>
      <c r="V5" s="61" t="s">
        <v>20</v>
      </c>
      <c r="W5" s="391" t="s">
        <v>20</v>
      </c>
      <c r="X5" s="386" t="s">
        <v>21</v>
      </c>
      <c r="Y5" s="386" t="s">
        <v>22</v>
      </c>
      <c r="Z5" s="73" t="s">
        <v>23</v>
      </c>
      <c r="AA5" s="386" t="s">
        <v>14</v>
      </c>
      <c r="AB5" s="386" t="s">
        <v>15</v>
      </c>
      <c r="AC5" s="72" t="s">
        <v>16</v>
      </c>
      <c r="AD5" s="392" t="s">
        <v>24</v>
      </c>
      <c r="AE5" s="76" t="s">
        <v>25</v>
      </c>
      <c r="AF5" s="393" t="s">
        <v>26</v>
      </c>
      <c r="AG5" s="61" t="s">
        <v>79</v>
      </c>
      <c r="AH5" s="61" t="s">
        <v>20</v>
      </c>
      <c r="AI5" s="61" t="s">
        <v>80</v>
      </c>
      <c r="AJ5" s="62" t="s">
        <v>80</v>
      </c>
      <c r="AK5" s="78" t="s">
        <v>28</v>
      </c>
    </row>
    <row r="6" customFormat="false" ht="11.1" hidden="false" customHeight="true" outlineLevel="0" collapsed="false">
      <c r="A6" s="394" t="s">
        <v>96</v>
      </c>
      <c r="B6" s="387" t="s">
        <v>30</v>
      </c>
      <c r="C6" s="68" t="s">
        <v>9</v>
      </c>
      <c r="D6" s="72" t="s">
        <v>31</v>
      </c>
      <c r="E6" s="68" t="s">
        <v>32</v>
      </c>
      <c r="F6" s="388" t="s">
        <v>33</v>
      </c>
      <c r="G6" s="389" t="s">
        <v>34</v>
      </c>
      <c r="H6" s="390" t="s">
        <v>35</v>
      </c>
      <c r="I6" s="389" t="s">
        <v>36</v>
      </c>
      <c r="J6" s="389" t="s">
        <v>36</v>
      </c>
      <c r="K6" s="389" t="s">
        <v>36</v>
      </c>
      <c r="L6" s="386" t="s">
        <v>37</v>
      </c>
      <c r="M6" s="395" t="s">
        <v>38</v>
      </c>
      <c r="N6" s="72" t="s">
        <v>39</v>
      </c>
      <c r="O6" s="72" t="s">
        <v>40</v>
      </c>
      <c r="P6" s="72" t="s">
        <v>41</v>
      </c>
      <c r="Q6" s="72" t="s">
        <v>42</v>
      </c>
      <c r="R6" s="59" t="s">
        <v>43</v>
      </c>
      <c r="S6" s="386" t="s">
        <v>44</v>
      </c>
      <c r="T6" s="386" t="s">
        <v>45</v>
      </c>
      <c r="U6" s="386" t="s">
        <v>20</v>
      </c>
      <c r="V6" s="61" t="s">
        <v>83</v>
      </c>
      <c r="W6" s="391" t="s">
        <v>65</v>
      </c>
      <c r="X6" s="386" t="s">
        <v>48</v>
      </c>
      <c r="Y6" s="386" t="s">
        <v>49</v>
      </c>
      <c r="Z6" s="73" t="s">
        <v>50</v>
      </c>
      <c r="AA6" s="386" t="s">
        <v>51</v>
      </c>
      <c r="AB6" s="386" t="s">
        <v>51</v>
      </c>
      <c r="AC6" s="72" t="s">
        <v>51</v>
      </c>
      <c r="AD6" s="396"/>
      <c r="AE6" s="76" t="s">
        <v>52</v>
      </c>
      <c r="AF6" s="393" t="s">
        <v>52</v>
      </c>
      <c r="AG6" s="61" t="s">
        <v>53</v>
      </c>
      <c r="AH6" s="61" t="s">
        <v>54</v>
      </c>
      <c r="AI6" s="61" t="s">
        <v>55</v>
      </c>
      <c r="AJ6" s="62" t="s">
        <v>55</v>
      </c>
      <c r="AK6" s="78" t="s">
        <v>56</v>
      </c>
    </row>
    <row r="7" customFormat="false" ht="11.1" hidden="false" customHeight="true" outlineLevel="0" collapsed="false">
      <c r="A7" s="386"/>
      <c r="B7" s="387"/>
      <c r="C7" s="68"/>
      <c r="D7" s="72"/>
      <c r="E7" s="68" t="s">
        <v>57</v>
      </c>
      <c r="F7" s="388"/>
      <c r="G7" s="386"/>
      <c r="H7" s="397"/>
      <c r="I7" s="386"/>
      <c r="J7" s="386"/>
      <c r="K7" s="386"/>
      <c r="L7" s="386"/>
      <c r="M7" s="395"/>
      <c r="N7" s="72" t="s">
        <v>58</v>
      </c>
      <c r="O7" s="72" t="s">
        <v>59</v>
      </c>
      <c r="P7" s="72"/>
      <c r="Q7" s="72"/>
      <c r="R7" s="59" t="s">
        <v>40</v>
      </c>
      <c r="S7" s="386"/>
      <c r="T7" s="386"/>
      <c r="U7" s="386"/>
      <c r="V7" s="61" t="s">
        <v>60</v>
      </c>
      <c r="W7" s="391"/>
      <c r="X7" s="386"/>
      <c r="Y7" s="386"/>
      <c r="Z7" s="73"/>
      <c r="AA7" s="386"/>
      <c r="AB7" s="386"/>
      <c r="AC7" s="72"/>
      <c r="AD7" s="396"/>
      <c r="AE7" s="76"/>
      <c r="AF7" s="393"/>
      <c r="AG7" s="61" t="s">
        <v>57</v>
      </c>
      <c r="AH7" s="61" t="s">
        <v>33</v>
      </c>
      <c r="AI7" s="61" t="s">
        <v>97</v>
      </c>
      <c r="AJ7" s="62" t="s">
        <v>84</v>
      </c>
      <c r="AK7" s="78" t="s">
        <v>64</v>
      </c>
    </row>
    <row r="8" customFormat="false" ht="11.1" hidden="false" customHeight="true" outlineLevel="0" collapsed="false">
      <c r="A8" s="386"/>
      <c r="B8" s="387"/>
      <c r="C8" s="68"/>
      <c r="D8" s="72"/>
      <c r="E8" s="68"/>
      <c r="F8" s="388"/>
      <c r="G8" s="386"/>
      <c r="H8" s="397"/>
      <c r="I8" s="386"/>
      <c r="J8" s="386"/>
      <c r="K8" s="386"/>
      <c r="L8" s="386"/>
      <c r="M8" s="395"/>
      <c r="N8" s="72" t="n">
        <v>800</v>
      </c>
      <c r="O8" s="68" t="n">
        <v>24497</v>
      </c>
      <c r="P8" s="72"/>
      <c r="Q8" s="72"/>
      <c r="R8" s="59" t="s">
        <v>65</v>
      </c>
      <c r="S8" s="386"/>
      <c r="T8" s="386"/>
      <c r="U8" s="386"/>
      <c r="V8" s="61"/>
      <c r="W8" s="61" t="n">
        <v>12412</v>
      </c>
      <c r="X8" s="73" t="n">
        <v>56141</v>
      </c>
      <c r="Y8" s="386"/>
      <c r="Z8" s="73" t="n">
        <v>31131</v>
      </c>
      <c r="AA8" s="386"/>
      <c r="AB8" s="386"/>
      <c r="AC8" s="72"/>
      <c r="AD8" s="396"/>
      <c r="AE8" s="76"/>
      <c r="AF8" s="393"/>
      <c r="AG8" s="61"/>
      <c r="AH8" s="61"/>
      <c r="AI8" s="61"/>
      <c r="AJ8" s="62" t="s">
        <v>61</v>
      </c>
      <c r="AK8" s="398"/>
    </row>
    <row r="9" customFormat="false" ht="11.1" hidden="false" customHeight="true" outlineLevel="0" collapsed="false">
      <c r="A9" s="16" t="s">
        <v>67</v>
      </c>
      <c r="B9" s="399"/>
      <c r="C9" s="86"/>
      <c r="D9" s="86"/>
      <c r="E9" s="86"/>
      <c r="F9" s="400"/>
      <c r="G9" s="88"/>
      <c r="H9" s="92"/>
      <c r="I9" s="88"/>
      <c r="J9" s="88"/>
      <c r="K9" s="88"/>
      <c r="L9" s="88"/>
      <c r="M9" s="401"/>
      <c r="N9" s="86"/>
      <c r="O9" s="86" t="n">
        <f aca="false">MAR!O47</f>
        <v>8.715</v>
      </c>
      <c r="P9" s="86"/>
      <c r="Q9" s="86"/>
      <c r="R9" s="87"/>
      <c r="S9" s="88"/>
      <c r="T9" s="88"/>
      <c r="U9" s="88" t="n">
        <f aca="false">MAR!U47</f>
        <v>31.9</v>
      </c>
      <c r="V9" s="92"/>
      <c r="W9" s="402"/>
      <c r="X9" s="88"/>
      <c r="Y9" s="88"/>
      <c r="Z9" s="88"/>
      <c r="AA9" s="88"/>
      <c r="AB9" s="88"/>
      <c r="AC9" s="86"/>
      <c r="AD9" s="89"/>
      <c r="AE9" s="90"/>
      <c r="AF9" s="91"/>
      <c r="AG9" s="92"/>
      <c r="AH9" s="92"/>
      <c r="AI9" s="92"/>
      <c r="AJ9" s="93"/>
      <c r="AK9" s="94"/>
    </row>
    <row r="10" s="1" customFormat="true" ht="11.1" hidden="false" customHeight="true" outlineLevel="0" collapsed="false">
      <c r="A10" s="95" t="s">
        <v>68</v>
      </c>
      <c r="B10" s="403" t="n">
        <f aca="false">MAR!B42</f>
        <v>6870.39</v>
      </c>
      <c r="C10" s="86" t="n">
        <f aca="false">MAR!C42</f>
        <v>188849</v>
      </c>
      <c r="D10" s="86" t="n">
        <f aca="false">MAR!D51</f>
        <v>14906</v>
      </c>
      <c r="E10" s="86" t="n">
        <f aca="false">MAR!E51</f>
        <v>36849</v>
      </c>
      <c r="F10" s="400" t="n">
        <f aca="false">MAR!F50</f>
        <v>7514.99873960172</v>
      </c>
      <c r="G10" s="88" t="n">
        <f aca="false">MAR!G50</f>
        <v>14128</v>
      </c>
      <c r="H10" s="92" t="n">
        <f aca="false">MAR!H50</f>
        <v>303.6</v>
      </c>
      <c r="I10" s="88" t="n">
        <f aca="false">MAR!I50</f>
        <v>14431.6</v>
      </c>
      <c r="J10" s="88" t="n">
        <f aca="false">MAR!J50</f>
        <v>5637.60314721452</v>
      </c>
      <c r="K10" s="88" t="n">
        <f aca="false">MAR!K50</f>
        <v>20069.2031472145</v>
      </c>
      <c r="L10" s="88" t="n">
        <f aca="false">MAR!L50</f>
        <v>5412.85373960171</v>
      </c>
      <c r="M10" s="401" t="n">
        <f aca="false">MAR!M50</f>
        <v>975.4</v>
      </c>
      <c r="N10" s="86" t="n">
        <f aca="false">MAR!N50</f>
        <v>0</v>
      </c>
      <c r="O10" s="86" t="n">
        <f aca="false">MAR!O50</f>
        <v>8.715</v>
      </c>
      <c r="P10" s="86" t="n">
        <f aca="false">MAR!P50</f>
        <v>213.554</v>
      </c>
      <c r="Q10" s="86" t="n">
        <f aca="false">MAR!Q50</f>
        <v>391.284</v>
      </c>
      <c r="R10" s="87" t="n">
        <f aca="false">MAR!R50</f>
        <v>0</v>
      </c>
      <c r="S10" s="88" t="n">
        <f aca="false">MAR!S50</f>
        <v>7980.2</v>
      </c>
      <c r="T10" s="88" t="n">
        <f aca="false">MAR!T50</f>
        <v>136</v>
      </c>
      <c r="U10" s="88" t="n">
        <f aca="false">MAR!U50</f>
        <v>8471.97749</v>
      </c>
      <c r="V10" s="92"/>
      <c r="W10" s="402"/>
      <c r="X10" s="88" t="n">
        <f aca="false">MAR!X50</f>
        <v>0</v>
      </c>
      <c r="Y10" s="88" t="n">
        <f aca="false">MAR!Y50</f>
        <v>3206</v>
      </c>
      <c r="Z10" s="88" t="n">
        <f aca="false">Z8/D2</f>
        <v>15694.9836148223</v>
      </c>
      <c r="AA10" s="88" t="n">
        <f aca="false">MAR!AA50</f>
        <v>12329.455</v>
      </c>
      <c r="AB10" s="88" t="n">
        <f aca="false">MAR!AB50</f>
        <v>224.749407612806</v>
      </c>
      <c r="AC10" s="86" t="n">
        <f aca="false">MAR!AC50</f>
        <v>12554.2044076128</v>
      </c>
      <c r="AD10" s="89" t="n">
        <f aca="false">MAR!AD50</f>
        <v>6.76</v>
      </c>
      <c r="AE10" s="90"/>
      <c r="AF10" s="91"/>
      <c r="AG10" s="92" t="n">
        <f aca="false">MAR!AG51</f>
        <v>15580.8900762275</v>
      </c>
      <c r="AH10" s="92" t="n">
        <f aca="false">MAR!AH50</f>
        <v>176.5</v>
      </c>
      <c r="AI10" s="92"/>
      <c r="AJ10" s="93"/>
      <c r="AK10" s="88"/>
    </row>
    <row r="11" customFormat="false" ht="3" hidden="false" customHeight="true" outlineLevel="0" collapsed="false">
      <c r="A11" s="97"/>
      <c r="B11" s="404"/>
      <c r="C11" s="105"/>
      <c r="D11" s="103"/>
      <c r="E11" s="105"/>
      <c r="F11" s="405"/>
      <c r="G11" s="103"/>
      <c r="H11" s="406"/>
      <c r="I11" s="103"/>
      <c r="J11" s="103"/>
      <c r="K11" s="103"/>
      <c r="L11" s="103"/>
      <c r="M11" s="407"/>
      <c r="N11" s="103"/>
      <c r="O11" s="103"/>
      <c r="P11" s="103"/>
      <c r="Q11" s="103"/>
      <c r="R11" s="104"/>
      <c r="S11" s="103"/>
      <c r="T11" s="103"/>
      <c r="U11" s="103"/>
      <c r="V11" s="107"/>
      <c r="W11" s="408"/>
      <c r="X11" s="103"/>
      <c r="Y11" s="103"/>
      <c r="Z11" s="105"/>
      <c r="AA11" s="103"/>
      <c r="AB11" s="103"/>
      <c r="AC11" s="103"/>
      <c r="AD11" s="106"/>
      <c r="AE11" s="107"/>
      <c r="AF11" s="108"/>
      <c r="AG11" s="107"/>
      <c r="AH11" s="107"/>
      <c r="AI11" s="107"/>
      <c r="AJ11" s="109"/>
      <c r="AK11" s="109"/>
    </row>
    <row r="12" customFormat="false" ht="11.1" hidden="false" customHeight="true" outlineLevel="0" collapsed="false">
      <c r="A12" s="15" t="n">
        <v>1</v>
      </c>
      <c r="B12" s="403" t="n">
        <v>6870.87</v>
      </c>
      <c r="C12" s="86" t="n">
        <v>190136</v>
      </c>
      <c r="D12" s="90" t="n">
        <f aca="false">C12-C10</f>
        <v>1287</v>
      </c>
      <c r="E12" s="86" t="n">
        <f aca="false">C12-152000</f>
        <v>38136</v>
      </c>
      <c r="F12" s="409" t="n">
        <f aca="false">D12/$D$2</f>
        <v>648.853037559869</v>
      </c>
      <c r="G12" s="117" t="n">
        <v>602</v>
      </c>
      <c r="H12" s="410" t="n">
        <v>5.5</v>
      </c>
      <c r="I12" s="117" t="n">
        <f aca="false">G12+H12</f>
        <v>607.5</v>
      </c>
      <c r="J12" s="411" t="n">
        <f aca="false">IF(L12&gt;0,L12,0)</f>
        <v>152.353037559869</v>
      </c>
      <c r="K12" s="117" t="n">
        <f aca="false">I12+J12</f>
        <v>759.853037559869</v>
      </c>
      <c r="L12" s="117" t="n">
        <f aca="false">F12-(I12-AA12)</f>
        <v>152.353037559869</v>
      </c>
      <c r="M12" s="412" t="n">
        <v>37</v>
      </c>
      <c r="N12" s="413" t="n">
        <v>0</v>
      </c>
      <c r="O12" s="413" t="n">
        <f aca="false">10.72*1.05</f>
        <v>11.256</v>
      </c>
      <c r="P12" s="115" t="n">
        <v>1.43</v>
      </c>
      <c r="Q12" s="115" t="n">
        <v>3.74</v>
      </c>
      <c r="R12" s="116" t="n">
        <v>0</v>
      </c>
      <c r="S12" s="117" t="n">
        <v>42</v>
      </c>
      <c r="T12" s="117" t="n">
        <v>10</v>
      </c>
      <c r="U12" s="240" t="n">
        <f aca="false">M12-N12-O12-P12-Q12-R12+S12+T12</f>
        <v>72.574</v>
      </c>
      <c r="V12" s="216" t="n">
        <f aca="false">V9+AI12-(AJ12/1.9835)</f>
        <v>2247.54017660478</v>
      </c>
      <c r="W12" s="402"/>
      <c r="X12" s="117"/>
      <c r="Y12" s="414" t="n">
        <v>22</v>
      </c>
      <c r="Z12" s="415" t="n">
        <f aca="false">Z10-Y12</f>
        <v>15672.9836148223</v>
      </c>
      <c r="AA12" s="117" t="n">
        <f aca="false">N12+O12+P12+Q12+R12+U12+X12+Y12</f>
        <v>111</v>
      </c>
      <c r="AB12" s="117" t="n">
        <f aca="false">IF(L12&lt;0,L12*-1,0)</f>
        <v>0</v>
      </c>
      <c r="AC12" s="413" t="n">
        <f aca="false">AA12+AB12</f>
        <v>111</v>
      </c>
      <c r="AD12" s="89" t="n">
        <v>0</v>
      </c>
      <c r="AE12" s="90" t="n">
        <v>67</v>
      </c>
      <c r="AF12" s="91" t="n">
        <v>37</v>
      </c>
      <c r="AG12" s="218" t="n">
        <f aca="false">AG10</f>
        <v>15580.8900762275</v>
      </c>
      <c r="AH12" s="92" t="n">
        <f aca="false">S12+T12+10+6.5</f>
        <v>68.5</v>
      </c>
      <c r="AI12" s="92" t="n">
        <f aca="false">IF(I12&gt;U12,I12-U12,I12-U12)+1714</f>
        <v>2248.926</v>
      </c>
      <c r="AJ12" s="93" t="n">
        <f aca="false">23.5*(AI12*1.9835)/E12</f>
        <v>2.74878070441315</v>
      </c>
      <c r="AK12" s="94"/>
      <c r="AL12" s="8"/>
    </row>
    <row r="13" customFormat="false" ht="11.1" hidden="false" customHeight="true" outlineLevel="0" collapsed="false">
      <c r="A13" s="15" t="n">
        <f aca="false">A12+1</f>
        <v>2</v>
      </c>
      <c r="B13" s="403" t="n">
        <v>6871.39</v>
      </c>
      <c r="C13" s="86" t="n">
        <v>191544</v>
      </c>
      <c r="D13" s="90" t="n">
        <f aca="false">C13-C12</f>
        <v>1408</v>
      </c>
      <c r="E13" s="86" t="n">
        <f aca="false">C13-152000</f>
        <v>39544</v>
      </c>
      <c r="F13" s="409" t="n">
        <f aca="false">D13/$D$2</f>
        <v>709.856314595412</v>
      </c>
      <c r="G13" s="117" t="n">
        <v>648</v>
      </c>
      <c r="H13" s="410" t="n">
        <v>6.5</v>
      </c>
      <c r="I13" s="117" t="n">
        <f aca="false">G13+H13</f>
        <v>654.5</v>
      </c>
      <c r="J13" s="411" t="n">
        <f aca="false">IF(L13&gt;0,L13,0)</f>
        <v>162.356314595412</v>
      </c>
      <c r="K13" s="117" t="n">
        <f aca="false">I13+J13</f>
        <v>816.856314595412</v>
      </c>
      <c r="L13" s="117" t="n">
        <f aca="false">F13-(I13-AA13)</f>
        <v>162.356314595412</v>
      </c>
      <c r="M13" s="412" t="n">
        <v>6</v>
      </c>
      <c r="N13" s="413" t="n">
        <v>0</v>
      </c>
      <c r="O13" s="413" t="n">
        <v>0</v>
      </c>
      <c r="P13" s="115" t="n">
        <v>1.43</v>
      </c>
      <c r="Q13" s="115" t="n">
        <v>3.67</v>
      </c>
      <c r="R13" s="116" t="n">
        <v>0</v>
      </c>
      <c r="S13" s="117" t="n">
        <v>80</v>
      </c>
      <c r="T13" s="117" t="n">
        <v>0</v>
      </c>
      <c r="U13" s="240" t="n">
        <f aca="false">M13-N13-O13-P13-Q13-R13+S13+T13</f>
        <v>80.9</v>
      </c>
      <c r="V13" s="216" t="n">
        <f aca="false">V12+AI13-(AJ13/1.9835)</f>
        <v>2819.46364428255</v>
      </c>
      <c r="W13" s="402"/>
      <c r="X13" s="117"/>
      <c r="Y13" s="414" t="n">
        <v>21</v>
      </c>
      <c r="Z13" s="415" t="n">
        <f aca="false">Z12-Y13</f>
        <v>15651.9836148223</v>
      </c>
      <c r="AA13" s="117" t="n">
        <f aca="false">N13+O13+P13+Q13+R13+U13+X13+Y13</f>
        <v>107</v>
      </c>
      <c r="AB13" s="117" t="n">
        <f aca="false">IF(L13&lt;0,L13*-1,0)</f>
        <v>0</v>
      </c>
      <c r="AC13" s="413" t="n">
        <f aca="false">AA13+AB13</f>
        <v>107</v>
      </c>
      <c r="AD13" s="89" t="n">
        <v>0.61</v>
      </c>
      <c r="AE13" s="90" t="n">
        <v>66</v>
      </c>
      <c r="AF13" s="91" t="n">
        <v>34</v>
      </c>
      <c r="AG13" s="218" t="n">
        <f aca="false">AG12</f>
        <v>15580.8900762275</v>
      </c>
      <c r="AH13" s="92" t="n">
        <f aca="false">S13</f>
        <v>80</v>
      </c>
      <c r="AI13" s="92" t="n">
        <f aca="false">IF(I13&gt;U13,I13-U13,I13-U13)</f>
        <v>573.6</v>
      </c>
      <c r="AJ13" s="93" t="n">
        <f aca="false">23.5*(V12*1.9835+AI13*1.9835)/E13</f>
        <v>3.32540186114066</v>
      </c>
      <c r="AK13" s="94"/>
      <c r="AL13" s="8"/>
    </row>
    <row r="14" customFormat="false" ht="11.1" hidden="false" customHeight="true" outlineLevel="0" collapsed="false">
      <c r="A14" s="15" t="n">
        <f aca="false">A13+1</f>
        <v>3</v>
      </c>
      <c r="B14" s="403" t="n">
        <v>6872.1</v>
      </c>
      <c r="C14" s="86" t="n">
        <v>193476</v>
      </c>
      <c r="D14" s="90" t="n">
        <f aca="false">C14-C13</f>
        <v>1932</v>
      </c>
      <c r="E14" s="86" t="n">
        <f aca="false">C14-152000</f>
        <v>41476</v>
      </c>
      <c r="F14" s="409" t="n">
        <f aca="false">D14/$D$2</f>
        <v>974.035795311318</v>
      </c>
      <c r="G14" s="117" t="n">
        <v>740</v>
      </c>
      <c r="H14" s="410" t="n">
        <v>15</v>
      </c>
      <c r="I14" s="117" t="n">
        <f aca="false">G14+H14</f>
        <v>755</v>
      </c>
      <c r="J14" s="411" t="n">
        <f aca="false">IF(L14&gt;0,L14,0)</f>
        <v>327.035795311318</v>
      </c>
      <c r="K14" s="117" t="n">
        <f aca="false">I14+J14</f>
        <v>1082.03579531132</v>
      </c>
      <c r="L14" s="117" t="n">
        <f aca="false">F14-(I14-AA14)</f>
        <v>327.035795311318</v>
      </c>
      <c r="M14" s="412" t="n">
        <v>6</v>
      </c>
      <c r="N14" s="413" t="n">
        <v>0</v>
      </c>
      <c r="O14" s="413" t="n">
        <f aca="false">1.13*1.05</f>
        <v>1.1865</v>
      </c>
      <c r="P14" s="115" t="n">
        <v>1.43</v>
      </c>
      <c r="Q14" s="115" t="n">
        <v>3.66</v>
      </c>
      <c r="R14" s="116" t="n">
        <v>0</v>
      </c>
      <c r="S14" s="117" t="n">
        <v>81</v>
      </c>
      <c r="T14" s="117" t="n">
        <v>0</v>
      </c>
      <c r="U14" s="240" t="n">
        <f aca="false">M14-N14-O14-P14-Q14-R14+S14+T14</f>
        <v>80.7235</v>
      </c>
      <c r="V14" s="216" t="n">
        <f aca="false">V13+AI14-(AJ14/1.9835)</f>
        <v>3491.76061652215</v>
      </c>
      <c r="W14" s="402"/>
      <c r="X14" s="117"/>
      <c r="Y14" s="414" t="n">
        <v>21</v>
      </c>
      <c r="Z14" s="415" t="n">
        <f aca="false">Z13-Y14</f>
        <v>15630.9836148223</v>
      </c>
      <c r="AA14" s="117" t="n">
        <f aca="false">N14+O14+P14+Q14+R14+U14+X14+Y14</f>
        <v>108</v>
      </c>
      <c r="AB14" s="117" t="n">
        <f aca="false">IF(L14&lt;0,L14*-1,0)</f>
        <v>0</v>
      </c>
      <c r="AC14" s="413" t="n">
        <f aca="false">AA14+AB14</f>
        <v>108</v>
      </c>
      <c r="AD14" s="89" t="n">
        <v>0.62</v>
      </c>
      <c r="AE14" s="90" t="n">
        <v>44</v>
      </c>
      <c r="AF14" s="91" t="n">
        <v>32</v>
      </c>
      <c r="AG14" s="218" t="n">
        <f aca="false">AG13+59.7*1.9835</f>
        <v>15699.3050262275</v>
      </c>
      <c r="AH14" s="92" t="n">
        <v>21.51</v>
      </c>
      <c r="AI14" s="92" t="n">
        <f aca="false">IF(I14&gt;U14,I14-U14,I14-U14)</f>
        <v>674.2765</v>
      </c>
      <c r="AJ14" s="93" t="n">
        <f aca="false">23.5*(V13*1.9835+AI14*1.9835)/E14</f>
        <v>3.92639331276725</v>
      </c>
      <c r="AK14" s="94"/>
      <c r="AL14" s="8"/>
    </row>
    <row r="15" customFormat="false" ht="11.1" hidden="false" customHeight="true" outlineLevel="0" collapsed="false">
      <c r="A15" s="15" t="n">
        <f aca="false">A14+1</f>
        <v>4</v>
      </c>
      <c r="B15" s="403" t="n">
        <v>6872.79</v>
      </c>
      <c r="C15" s="86" t="n">
        <v>195375</v>
      </c>
      <c r="D15" s="90" t="n">
        <f aca="false">C15-C14</f>
        <v>1899</v>
      </c>
      <c r="E15" s="86" t="n">
        <f aca="false">C15-152000</f>
        <v>43375</v>
      </c>
      <c r="F15" s="409" t="n">
        <f aca="false">D15/$D$2</f>
        <v>957.398537937988</v>
      </c>
      <c r="G15" s="117" t="n">
        <v>679</v>
      </c>
      <c r="H15" s="410" t="n">
        <v>41</v>
      </c>
      <c r="I15" s="117" t="n">
        <f aca="false">G15+H15</f>
        <v>720</v>
      </c>
      <c r="J15" s="411" t="n">
        <f aca="false">IF(L15&gt;0,L15,0)</f>
        <v>345.498537937988</v>
      </c>
      <c r="K15" s="117" t="n">
        <f aca="false">I15+J15</f>
        <v>1065.49853793799</v>
      </c>
      <c r="L15" s="117" t="n">
        <f aca="false">F15-(I15-AA15)</f>
        <v>345.498537937988</v>
      </c>
      <c r="M15" s="412" t="n">
        <v>6.1</v>
      </c>
      <c r="N15" s="413" t="n">
        <v>0</v>
      </c>
      <c r="O15" s="413" t="n">
        <f aca="false">2.3*1.05</f>
        <v>2.415</v>
      </c>
      <c r="P15" s="115" t="n">
        <v>1.43</v>
      </c>
      <c r="Q15" s="115" t="n">
        <v>3.55</v>
      </c>
      <c r="R15" s="116" t="n">
        <v>0</v>
      </c>
      <c r="S15" s="117" t="n">
        <v>82</v>
      </c>
      <c r="T15" s="117" t="n">
        <v>0</v>
      </c>
      <c r="U15" s="240" t="n">
        <f aca="false">M15-N15-O15-P15-Q15-R15+S15+T15</f>
        <v>80.705</v>
      </c>
      <c r="V15" s="216" t="n">
        <f aca="false">V14+AI15-(AJ15/1.9835)</f>
        <v>4128.81746535239</v>
      </c>
      <c r="W15" s="402"/>
      <c r="X15" s="117"/>
      <c r="Y15" s="414" t="n">
        <v>20</v>
      </c>
      <c r="Z15" s="415" t="n">
        <f aca="false">Z14-Y15</f>
        <v>15610.9836148223</v>
      </c>
      <c r="AA15" s="117" t="n">
        <f aca="false">N15+O15+P15+Q15+R15+U15+X15+Y15</f>
        <v>108.1</v>
      </c>
      <c r="AB15" s="117" t="n">
        <f aca="false">IF(L15&lt;0,L15*-1,0)</f>
        <v>0</v>
      </c>
      <c r="AC15" s="413" t="n">
        <f aca="false">AA15+AB15</f>
        <v>108.1</v>
      </c>
      <c r="AD15" s="89" t="n">
        <v>0.61</v>
      </c>
      <c r="AE15" s="90" t="n">
        <v>50</v>
      </c>
      <c r="AF15" s="91" t="n">
        <v>34</v>
      </c>
      <c r="AG15" s="218" t="n">
        <f aca="false">AG14+S15*1.9835</f>
        <v>15861.9520262275</v>
      </c>
      <c r="AH15" s="92"/>
      <c r="AI15" s="92" t="n">
        <f aca="false">IF(I15&gt;U15,I15-U15,I15-U15)</f>
        <v>639.295</v>
      </c>
      <c r="AJ15" s="93" t="n">
        <f aca="false">23.5*(V14*1.9835+AI15*1.9835)/E15</f>
        <v>4.43937284521578</v>
      </c>
      <c r="AK15" s="94"/>
      <c r="AL15" s="8"/>
    </row>
    <row r="16" customFormat="false" ht="11.1" hidden="false" customHeight="true" outlineLevel="0" collapsed="false">
      <c r="A16" s="15" t="n">
        <f aca="false">A15+1</f>
        <v>5</v>
      </c>
      <c r="B16" s="403" t="n">
        <v>6873.68</v>
      </c>
      <c r="C16" s="86" t="n">
        <v>197848</v>
      </c>
      <c r="D16" s="90" t="n">
        <f aca="false">C16-C15</f>
        <v>2473</v>
      </c>
      <c r="E16" s="86" t="n">
        <f aca="false">C16-152000</f>
        <v>45848</v>
      </c>
      <c r="F16" s="409" t="n">
        <f aca="false">D16/$D$2</f>
        <v>1246.78598437106</v>
      </c>
      <c r="G16" s="117" t="n">
        <v>723</v>
      </c>
      <c r="H16" s="410" t="n">
        <v>66</v>
      </c>
      <c r="I16" s="117" t="n">
        <f aca="false">G16+H16</f>
        <v>789</v>
      </c>
      <c r="J16" s="411" t="n">
        <f aca="false">IF(L16&gt;0,L16,0)</f>
        <v>569.085984371061</v>
      </c>
      <c r="K16" s="117" t="n">
        <f aca="false">I16+J16</f>
        <v>1358.08598437106</v>
      </c>
      <c r="L16" s="117" t="n">
        <f aca="false">F16-(I16-AA16)</f>
        <v>569.085984371061</v>
      </c>
      <c r="M16" s="412" t="n">
        <v>6.3</v>
      </c>
      <c r="N16" s="413" t="n">
        <v>0</v>
      </c>
      <c r="O16" s="413" t="n">
        <f aca="false">7.05*1.05</f>
        <v>7.4025</v>
      </c>
      <c r="P16" s="115" t="n">
        <v>1.43</v>
      </c>
      <c r="Q16" s="115" t="n">
        <v>2.95</v>
      </c>
      <c r="R16" s="116" t="n">
        <v>0</v>
      </c>
      <c r="S16" s="117" t="n">
        <v>84</v>
      </c>
      <c r="T16" s="117" t="n">
        <v>0</v>
      </c>
      <c r="U16" s="240" t="n">
        <f aca="false">M16-N16-O16-P16-Q16-R16+S16+T16</f>
        <v>78.5175</v>
      </c>
      <c r="V16" s="216" t="n">
        <f aca="false">V15+AI16-(AJ16/1.9835)</f>
        <v>4836.81951802239</v>
      </c>
      <c r="W16" s="402"/>
      <c r="X16" s="117"/>
      <c r="Y16" s="414" t="n">
        <v>21</v>
      </c>
      <c r="Z16" s="415" t="n">
        <f aca="false">Z15-Y16</f>
        <v>15589.9836148223</v>
      </c>
      <c r="AA16" s="117" t="n">
        <f aca="false">N16+O16+P16+Q16+R16+U16+X16+Y16</f>
        <v>111.3</v>
      </c>
      <c r="AB16" s="117" t="n">
        <f aca="false">IF(L16&lt;0,L16*-1,0)</f>
        <v>0</v>
      </c>
      <c r="AC16" s="413" t="n">
        <f aca="false">AA16+AB16</f>
        <v>111.3</v>
      </c>
      <c r="AD16" s="89" t="n">
        <v>0.2</v>
      </c>
      <c r="AE16" s="90" t="n">
        <v>51</v>
      </c>
      <c r="AF16" s="91" t="n">
        <v>33</v>
      </c>
      <c r="AG16" s="218" t="n">
        <f aca="false">AG15+S16*1.9835</f>
        <v>16028.5660262275</v>
      </c>
      <c r="AH16" s="92"/>
      <c r="AI16" s="92" t="n">
        <f aca="false">IF(I16&gt;U16,I16-U16,I16-U16)</f>
        <v>710.4825</v>
      </c>
      <c r="AJ16" s="93" t="n">
        <f aca="false">23.5*(V15*1.9835+AI16*1.9835)/E16</f>
        <v>4.91996727905245</v>
      </c>
      <c r="AK16" s="94"/>
      <c r="AL16" s="8"/>
    </row>
    <row r="17" customFormat="false" ht="11.1" hidden="false" customHeight="true" outlineLevel="0" collapsed="false">
      <c r="A17" s="15" t="n">
        <f aca="false">A16+1</f>
        <v>6</v>
      </c>
      <c r="B17" s="403" t="n">
        <v>6874.47</v>
      </c>
      <c r="C17" s="86" t="n">
        <v>200065</v>
      </c>
      <c r="D17" s="90" t="n">
        <f aca="false">C17-C16</f>
        <v>2217</v>
      </c>
      <c r="E17" s="86" t="n">
        <f aca="false">C17-152000</f>
        <v>48065</v>
      </c>
      <c r="F17" s="409" t="n">
        <f aca="false">D17/$D$2</f>
        <v>1117.72119989917</v>
      </c>
      <c r="G17" s="117" t="n">
        <v>735</v>
      </c>
      <c r="H17" s="410" t="n">
        <v>62</v>
      </c>
      <c r="I17" s="117" t="n">
        <f aca="false">G17+H17</f>
        <v>797</v>
      </c>
      <c r="J17" s="411" t="n">
        <f aca="false">IF(L17&gt;0,L17,0)</f>
        <v>404.121199899168</v>
      </c>
      <c r="K17" s="117" t="n">
        <f aca="false">I17+J17</f>
        <v>1201.12119989917</v>
      </c>
      <c r="L17" s="117" t="n">
        <f aca="false">F17-(I17-AA17)</f>
        <v>404.121199899168</v>
      </c>
      <c r="M17" s="412" t="n">
        <v>5.4</v>
      </c>
      <c r="N17" s="413" t="n">
        <v>0</v>
      </c>
      <c r="O17" s="413" t="n">
        <f aca="false">1.39*1.05</f>
        <v>1.4595</v>
      </c>
      <c r="P17" s="115" t="n">
        <v>1.43</v>
      </c>
      <c r="Q17" s="115" t="n">
        <v>2.34</v>
      </c>
      <c r="R17" s="116" t="n">
        <v>0</v>
      </c>
      <c r="S17" s="117" t="n">
        <v>57</v>
      </c>
      <c r="T17" s="117" t="n">
        <v>0</v>
      </c>
      <c r="U17" s="240" t="n">
        <f aca="false">M17-N17-O17-P17-Q17-R17+S17+T17</f>
        <v>57.1705</v>
      </c>
      <c r="V17" s="216" t="n">
        <f aca="false">V16+AI17-(AJ17/1.9835)</f>
        <v>5573.92247579991</v>
      </c>
      <c r="W17" s="402"/>
      <c r="X17" s="117"/>
      <c r="Y17" s="414" t="n">
        <v>21</v>
      </c>
      <c r="Z17" s="415" t="n">
        <f aca="false">Z16-Y17</f>
        <v>15568.9836148223</v>
      </c>
      <c r="AA17" s="117" t="n">
        <f aca="false">N17+O17+P17+Q17+R17+U17+X17+Y17</f>
        <v>83.4</v>
      </c>
      <c r="AB17" s="117" t="n">
        <f aca="false">IF(L17&lt;0,L17*-1,0)</f>
        <v>0</v>
      </c>
      <c r="AC17" s="413" t="n">
        <f aca="false">AA17+AB17</f>
        <v>83.4</v>
      </c>
      <c r="AD17" s="89" t="n">
        <v>0</v>
      </c>
      <c r="AE17" s="90" t="n">
        <v>57</v>
      </c>
      <c r="AF17" s="91" t="n">
        <v>32</v>
      </c>
      <c r="AG17" s="218" t="n">
        <f aca="false">AG16+S17*1.9835</f>
        <v>16141.6255262275</v>
      </c>
      <c r="AH17" s="92"/>
      <c r="AI17" s="92" t="n">
        <f aca="false">IF(I17&gt;U17,I17-U17,I17-U17)</f>
        <v>739.8295</v>
      </c>
      <c r="AJ17" s="93" t="n">
        <f aca="false">23.5*(V16*1.9835+AI17*1.9835)/E17</f>
        <v>5.40809649829011</v>
      </c>
      <c r="AK17" s="94"/>
      <c r="AL17" s="8"/>
    </row>
    <row r="18" customFormat="false" ht="11.1" hidden="false" customHeight="true" outlineLevel="0" collapsed="false">
      <c r="A18" s="15" t="n">
        <f aca="false">A17+1</f>
        <v>7</v>
      </c>
      <c r="B18" s="403" t="n">
        <v>6875.4</v>
      </c>
      <c r="C18" s="86" t="n">
        <v>202702</v>
      </c>
      <c r="D18" s="90" t="n">
        <f aca="false">C18-C17</f>
        <v>2637</v>
      </c>
      <c r="E18" s="86" t="n">
        <f aca="false">C18-152000</f>
        <v>50702</v>
      </c>
      <c r="F18" s="409" t="n">
        <f aca="false">D18/$D$2</f>
        <v>1329.46811192337</v>
      </c>
      <c r="G18" s="117" t="n">
        <v>862</v>
      </c>
      <c r="H18" s="410" t="n">
        <v>69</v>
      </c>
      <c r="I18" s="117" t="n">
        <f aca="false">G18+H18</f>
        <v>931</v>
      </c>
      <c r="J18" s="411" t="n">
        <f aca="false">IF(L18&gt;0,L18,0)</f>
        <v>424.868111923368</v>
      </c>
      <c r="K18" s="117" t="n">
        <f aca="false">I18+J18</f>
        <v>1355.86811192337</v>
      </c>
      <c r="L18" s="117" t="n">
        <f aca="false">F18-(I18-AA18)</f>
        <v>424.868111923368</v>
      </c>
      <c r="M18" s="412" t="n">
        <v>5.4</v>
      </c>
      <c r="N18" s="413" t="n">
        <v>0</v>
      </c>
      <c r="O18" s="413" t="n">
        <f aca="false">0.77*1.05</f>
        <v>0.8085</v>
      </c>
      <c r="P18" s="115" t="n">
        <v>1.43</v>
      </c>
      <c r="Q18" s="115" t="n">
        <v>2.57</v>
      </c>
      <c r="R18" s="116" t="n">
        <v>0</v>
      </c>
      <c r="S18" s="117" t="n">
        <v>0</v>
      </c>
      <c r="T18" s="117" t="n">
        <v>0</v>
      </c>
      <c r="U18" s="240" t="n">
        <f aca="false">M18-N18-O18-P18-Q18-R18+S18+T18</f>
        <v>0.5915</v>
      </c>
      <c r="V18" s="216" t="n">
        <f aca="false">V17+AI18-(AJ18/1.9835)</f>
        <v>6365.37930174501</v>
      </c>
      <c r="W18" s="402"/>
      <c r="X18" s="117"/>
      <c r="Y18" s="414" t="n">
        <v>21</v>
      </c>
      <c r="Z18" s="415" t="n">
        <f aca="false">Z17-Y18</f>
        <v>15547.9836148223</v>
      </c>
      <c r="AA18" s="117" t="n">
        <f aca="false">N18+O18+P18+Q18+R18+U18+X18+Y18</f>
        <v>26.4</v>
      </c>
      <c r="AB18" s="117" t="n">
        <f aca="false">IF(L18&lt;0,L18*-1,0)</f>
        <v>0</v>
      </c>
      <c r="AC18" s="413" t="n">
        <f aca="false">AA18+AB18</f>
        <v>26.4</v>
      </c>
      <c r="AD18" s="89" t="n">
        <v>0.03</v>
      </c>
      <c r="AE18" s="90" t="n">
        <v>57</v>
      </c>
      <c r="AF18" s="91" t="n">
        <v>38</v>
      </c>
      <c r="AG18" s="218" t="n">
        <v>0</v>
      </c>
      <c r="AH18" s="92"/>
      <c r="AI18" s="92" t="n">
        <f aca="false">795-U18</f>
        <v>794.4085</v>
      </c>
      <c r="AJ18" s="93" t="n">
        <f aca="false">23.5*(V17*1.9835+AI18*1.9835)/E18</f>
        <v>5.85464548788468</v>
      </c>
      <c r="AK18" s="94"/>
      <c r="AL18" s="8"/>
    </row>
    <row r="19" customFormat="false" ht="11.1" hidden="false" customHeight="true" outlineLevel="0" collapsed="false">
      <c r="A19" s="15" t="n">
        <f aca="false">A18+1</f>
        <v>8</v>
      </c>
      <c r="B19" s="403" t="n">
        <v>6876.2</v>
      </c>
      <c r="C19" s="86" t="n">
        <v>204993</v>
      </c>
      <c r="D19" s="90" t="n">
        <f aca="false">C19-C18</f>
        <v>2291</v>
      </c>
      <c r="E19" s="86" t="n">
        <f aca="false">C19-152000</f>
        <v>52993</v>
      </c>
      <c r="F19" s="409" t="n">
        <f aca="false">D19/$D$2</f>
        <v>1155.02898916057</v>
      </c>
      <c r="G19" s="117" t="n">
        <v>839</v>
      </c>
      <c r="H19" s="410" t="n">
        <v>70</v>
      </c>
      <c r="I19" s="117" t="n">
        <f aca="false">G19+H19</f>
        <v>909</v>
      </c>
      <c r="J19" s="411" t="n">
        <f aca="false">IF(L19&gt;0,L19,0)</f>
        <v>295.028989160575</v>
      </c>
      <c r="K19" s="117" t="n">
        <f aca="false">I19+J19</f>
        <v>1204.02898916057</v>
      </c>
      <c r="L19" s="117" t="n">
        <f aca="false">F19-(I19-AA19)</f>
        <v>295.028989160575</v>
      </c>
      <c r="M19" s="412" t="n">
        <v>28</v>
      </c>
      <c r="N19" s="413" t="n">
        <v>0</v>
      </c>
      <c r="O19" s="413" t="n">
        <f aca="false">25.29*1.05</f>
        <v>26.5545</v>
      </c>
      <c r="P19" s="115" t="n">
        <v>1.43</v>
      </c>
      <c r="Q19" s="115" t="n">
        <v>2.57</v>
      </c>
      <c r="R19" s="116" t="n">
        <v>0</v>
      </c>
      <c r="S19" s="117" t="n">
        <v>0</v>
      </c>
      <c r="T19" s="117" t="n">
        <v>0</v>
      </c>
      <c r="U19" s="240" t="n">
        <f aca="false">M19-N19-O19-P19-Q19-R19+S19+T19</f>
        <v>-2.5545</v>
      </c>
      <c r="V19" s="216" t="n">
        <f aca="false">V18+AI19-(AJ19/1.9835)</f>
        <v>7157.20399720307</v>
      </c>
      <c r="W19" s="402"/>
      <c r="X19" s="117"/>
      <c r="Y19" s="414" t="n">
        <v>21</v>
      </c>
      <c r="Z19" s="415" t="n">
        <f aca="false">Z18-Y19</f>
        <v>15526.9836148223</v>
      </c>
      <c r="AA19" s="117" t="n">
        <f aca="false">N19+O19+P19+Q19+R19+U19+X19+Y19</f>
        <v>49</v>
      </c>
      <c r="AB19" s="117" t="n">
        <f aca="false">IF(L19&lt;0,L19*-1,0)</f>
        <v>0</v>
      </c>
      <c r="AC19" s="413" t="n">
        <f aca="false">AA19+AB19</f>
        <v>49</v>
      </c>
      <c r="AD19" s="89" t="n">
        <v>0.01</v>
      </c>
      <c r="AE19" s="90" t="n">
        <v>51</v>
      </c>
      <c r="AF19" s="91" t="n">
        <v>36</v>
      </c>
      <c r="AG19" s="218" t="n">
        <f aca="false">AG18</f>
        <v>0</v>
      </c>
      <c r="AH19" s="92"/>
      <c r="AI19" s="92" t="n">
        <v>795</v>
      </c>
      <c r="AJ19" s="93" t="n">
        <f aca="false">23.5*(V18*1.9835+AI19*1.9835)/E19</f>
        <v>6.29821655893729</v>
      </c>
      <c r="AK19" s="94"/>
      <c r="AL19" s="8"/>
    </row>
    <row r="20" customFormat="false" ht="11.1" hidden="false" customHeight="true" outlineLevel="0" collapsed="false">
      <c r="A20" s="15" t="n">
        <f aca="false">A19+1</f>
        <v>9</v>
      </c>
      <c r="B20" s="403" t="n">
        <v>6876.95</v>
      </c>
      <c r="C20" s="86" t="n">
        <v>207159</v>
      </c>
      <c r="D20" s="90" t="n">
        <f aca="false">C20-C19</f>
        <v>2166</v>
      </c>
      <c r="E20" s="86" t="n">
        <f aca="false">C20-152000</f>
        <v>55159</v>
      </c>
      <c r="F20" s="409" t="n">
        <f aca="false">D20/$D$2</f>
        <v>1092.00907486766</v>
      </c>
      <c r="G20" s="117" t="n">
        <v>809</v>
      </c>
      <c r="H20" s="410" t="n">
        <v>63</v>
      </c>
      <c r="I20" s="117" t="n">
        <f aca="false">G20+H20</f>
        <v>872</v>
      </c>
      <c r="J20" s="411" t="n">
        <f aca="false">IF(L20&gt;0,L20,0)</f>
        <v>314.009074867658</v>
      </c>
      <c r="K20" s="117" t="n">
        <f aca="false">I20+J20</f>
        <v>1186.00907486766</v>
      </c>
      <c r="L20" s="117" t="n">
        <f aca="false">F20-(I20-AA20)</f>
        <v>314.009074867658</v>
      </c>
      <c r="M20" s="412" t="n">
        <v>73</v>
      </c>
      <c r="N20" s="413" t="n">
        <v>0</v>
      </c>
      <c r="O20" s="413" t="n">
        <f aca="false">61.16*1.05</f>
        <v>64.218</v>
      </c>
      <c r="P20" s="115" t="n">
        <v>1.43</v>
      </c>
      <c r="Q20" s="115" t="n">
        <v>2.34</v>
      </c>
      <c r="R20" s="116" t="n">
        <v>0</v>
      </c>
      <c r="S20" s="117" t="n">
        <v>0</v>
      </c>
      <c r="T20" s="117" t="n">
        <v>0</v>
      </c>
      <c r="U20" s="240" t="n">
        <f aca="false">M20-N20-O20-P20-Q20-R20+S20+T20</f>
        <v>5.012</v>
      </c>
      <c r="V20" s="216" t="n">
        <f aca="false">V19+AI20-(AJ20/1.9835)</f>
        <v>7943.80616693178</v>
      </c>
      <c r="W20" s="402"/>
      <c r="X20" s="117"/>
      <c r="Y20" s="414" t="n">
        <v>21</v>
      </c>
      <c r="Z20" s="415" t="n">
        <f aca="false">Z19-Y20</f>
        <v>15505.9836148223</v>
      </c>
      <c r="AA20" s="117" t="n">
        <f aca="false">N20+O20+P20+Q20+R20+U20+X20+Y20</f>
        <v>94</v>
      </c>
      <c r="AB20" s="117" t="n">
        <f aca="false">IF(L20&lt;0,L20*-1,0)</f>
        <v>0</v>
      </c>
      <c r="AC20" s="413" t="n">
        <f aca="false">AA20+AB20</f>
        <v>94</v>
      </c>
      <c r="AD20" s="89" t="n">
        <v>0</v>
      </c>
      <c r="AE20" s="119" t="n">
        <v>57</v>
      </c>
      <c r="AF20" s="91" t="n">
        <v>39</v>
      </c>
      <c r="AG20" s="218" t="n">
        <f aca="false">AG19</f>
        <v>0</v>
      </c>
      <c r="AH20" s="92"/>
      <c r="AI20" s="92" t="n">
        <f aca="false">795-U20</f>
        <v>789.988</v>
      </c>
      <c r="AJ20" s="93" t="n">
        <f aca="false">23.5*(V19*1.9835+AI20*1.9835)/E20</f>
        <v>6.71579434311045</v>
      </c>
      <c r="AK20" s="94"/>
      <c r="AL20" s="8"/>
    </row>
    <row r="21" customFormat="false" ht="11.1" hidden="false" customHeight="true" outlineLevel="0" collapsed="false">
      <c r="A21" s="15" t="n">
        <f aca="false">A20+1</f>
        <v>10</v>
      </c>
      <c r="B21" s="403" t="n">
        <v>6877.66</v>
      </c>
      <c r="C21" s="86" t="n">
        <v>209232</v>
      </c>
      <c r="D21" s="90" t="n">
        <f aca="false">C21-C20</f>
        <v>2073</v>
      </c>
      <c r="E21" s="86" t="n">
        <f aca="false">C21-152000</f>
        <v>57232</v>
      </c>
      <c r="F21" s="409" t="n">
        <f aca="false">D21/$D$2</f>
        <v>1045.12225863373</v>
      </c>
      <c r="G21" s="117" t="n">
        <v>761</v>
      </c>
      <c r="H21" s="410" t="n">
        <v>67</v>
      </c>
      <c r="I21" s="117" t="n">
        <f aca="false">G21+H21</f>
        <v>828</v>
      </c>
      <c r="J21" s="411" t="n">
        <f aca="false">IF(L21&gt;0,L21,0)</f>
        <v>336.122258633728</v>
      </c>
      <c r="K21" s="117" t="n">
        <f aca="false">I21+J21</f>
        <v>1164.12225863373</v>
      </c>
      <c r="L21" s="117" t="n">
        <f aca="false">F21-(I21-AA21)</f>
        <v>336.122258633728</v>
      </c>
      <c r="M21" s="412" t="n">
        <v>98</v>
      </c>
      <c r="N21" s="413" t="n">
        <v>0</v>
      </c>
      <c r="O21" s="413" t="n">
        <f aca="false">83.04*1.05</f>
        <v>87.192</v>
      </c>
      <c r="P21" s="115" t="n">
        <v>1.43</v>
      </c>
      <c r="Q21" s="115" t="n">
        <v>2.79</v>
      </c>
      <c r="R21" s="116" t="n">
        <v>0</v>
      </c>
      <c r="S21" s="117" t="n">
        <v>0</v>
      </c>
      <c r="T21" s="117" t="n">
        <v>0</v>
      </c>
      <c r="U21" s="240" t="n">
        <f aca="false">M21-N21-O21-P21-Q21-R21+S21+T21</f>
        <v>6.58799999999999</v>
      </c>
      <c r="V21" s="216" t="n">
        <f aca="false">V20+AI21-(AJ21/1.9835)</f>
        <v>8728.63263563945</v>
      </c>
      <c r="W21" s="402"/>
      <c r="X21" s="117"/>
      <c r="Y21" s="414" t="n">
        <v>21</v>
      </c>
      <c r="Z21" s="415" t="n">
        <f aca="false">Z20-Y21</f>
        <v>15484.9836148223</v>
      </c>
      <c r="AA21" s="117" t="n">
        <f aca="false">N21+O21+P21+Q21+R21+U21+X21+Y21</f>
        <v>119</v>
      </c>
      <c r="AB21" s="117" t="n">
        <f aca="false">IF(L21&lt;0,L21*-1,0)</f>
        <v>0</v>
      </c>
      <c r="AC21" s="413" t="n">
        <f aca="false">AA21+AB21</f>
        <v>119</v>
      </c>
      <c r="AD21" s="89" t="n">
        <v>0</v>
      </c>
      <c r="AE21" s="90" t="n">
        <v>49</v>
      </c>
      <c r="AF21" s="91" t="n">
        <v>28</v>
      </c>
      <c r="AG21" s="218" t="n">
        <f aca="false">AG20</f>
        <v>0</v>
      </c>
      <c r="AH21" s="92"/>
      <c r="AI21" s="92" t="n">
        <f aca="false">795-U21</f>
        <v>788.412</v>
      </c>
      <c r="AJ21" s="93" t="n">
        <f aca="false">23.5*(V20*1.9835+AI21*1.9835)/E21</f>
        <v>7.11190131834578</v>
      </c>
      <c r="AK21" s="94"/>
      <c r="AL21" s="8"/>
    </row>
    <row r="22" customFormat="false" ht="11.1" hidden="false" customHeight="true" outlineLevel="0" collapsed="false">
      <c r="A22" s="15" t="n">
        <f aca="false">A21+1</f>
        <v>11</v>
      </c>
      <c r="B22" s="403" t="n">
        <v>6878.16</v>
      </c>
      <c r="C22" s="86" t="n">
        <v>210697</v>
      </c>
      <c r="D22" s="90" t="n">
        <f aca="false">C22-C21</f>
        <v>1465</v>
      </c>
      <c r="E22" s="86" t="n">
        <f aca="false">C22-152000</f>
        <v>58697</v>
      </c>
      <c r="F22" s="409" t="n">
        <f aca="false">D22/$D$2</f>
        <v>738.593395512982</v>
      </c>
      <c r="G22" s="117" t="n">
        <v>648</v>
      </c>
      <c r="H22" s="410" t="n">
        <v>61</v>
      </c>
      <c r="I22" s="117" t="n">
        <f aca="false">G22+H22</f>
        <v>709</v>
      </c>
      <c r="J22" s="411" t="n">
        <f aca="false">IF(L22&gt;0,L22,0)</f>
        <v>145.593395512982</v>
      </c>
      <c r="K22" s="117" t="n">
        <f aca="false">I22+J22</f>
        <v>854.593395512982</v>
      </c>
      <c r="L22" s="117" t="n">
        <f aca="false">F22-(I22-AA22)</f>
        <v>145.593395512982</v>
      </c>
      <c r="M22" s="412" t="n">
        <v>95</v>
      </c>
      <c r="N22" s="413" t="n">
        <v>0</v>
      </c>
      <c r="O22" s="413" t="n">
        <f aca="false">77.61*1.05</f>
        <v>81.4905</v>
      </c>
      <c r="P22" s="115" t="n">
        <v>1.43</v>
      </c>
      <c r="Q22" s="115" t="n">
        <v>2.59</v>
      </c>
      <c r="R22" s="116" t="n">
        <v>0</v>
      </c>
      <c r="S22" s="117" t="n">
        <v>0</v>
      </c>
      <c r="T22" s="117" t="n">
        <v>0</v>
      </c>
      <c r="U22" s="240" t="n">
        <f aca="false">M22-N22-O22-P22-Q22-R22+S22+T22</f>
        <v>9.4895</v>
      </c>
      <c r="V22" s="216" t="n">
        <f aca="false">V21+AI22-(AJ22/1.9835)</f>
        <v>9424.36847315776</v>
      </c>
      <c r="W22" s="402"/>
      <c r="X22" s="117"/>
      <c r="Y22" s="414" t="n">
        <v>21</v>
      </c>
      <c r="Z22" s="415" t="n">
        <f aca="false">Z21-Y22</f>
        <v>15463.9836148223</v>
      </c>
      <c r="AA22" s="117" t="n">
        <f aca="false">N22+O22+P22+Q22+R22+U22+X22+Y22</f>
        <v>116</v>
      </c>
      <c r="AB22" s="117" t="n">
        <f aca="false">IF(L22&lt;0,L22*-1,0)</f>
        <v>0</v>
      </c>
      <c r="AC22" s="413" t="n">
        <f aca="false">AA22+AB22</f>
        <v>116</v>
      </c>
      <c r="AD22" s="89" t="n">
        <v>0.03</v>
      </c>
      <c r="AE22" s="90" t="n">
        <v>50</v>
      </c>
      <c r="AF22" s="91" t="n">
        <v>31</v>
      </c>
      <c r="AG22" s="218" t="n">
        <f aca="false">AG21</f>
        <v>0</v>
      </c>
      <c r="AH22" s="92"/>
      <c r="AI22" s="92" t="n">
        <f aca="false">IF(I22&gt;U22,I22-U22,I22-U22)</f>
        <v>699.5105</v>
      </c>
      <c r="AJ22" s="93" t="n">
        <f aca="false">23.5*(V21*1.9835+AI22*1.9835)/E22</f>
        <v>7.48704303242431</v>
      </c>
      <c r="AK22" s="94"/>
      <c r="AL22" s="8"/>
    </row>
    <row r="23" customFormat="false" ht="11.1" hidden="false" customHeight="true" outlineLevel="0" collapsed="false">
      <c r="A23" s="15" t="n">
        <f aca="false">A22+1</f>
        <v>12</v>
      </c>
      <c r="B23" s="403" t="n">
        <v>6878.59</v>
      </c>
      <c r="C23" s="86" t="n">
        <v>211968</v>
      </c>
      <c r="D23" s="90" t="n">
        <f aca="false">C23-C22</f>
        <v>1271</v>
      </c>
      <c r="E23" s="86" t="n">
        <f aca="false">C23-152000</f>
        <v>59968</v>
      </c>
      <c r="F23" s="409" t="n">
        <f aca="false">D23/$D$2</f>
        <v>640.786488530376</v>
      </c>
      <c r="G23" s="117" t="n">
        <v>561</v>
      </c>
      <c r="H23" s="410" t="n">
        <v>56</v>
      </c>
      <c r="I23" s="117" t="n">
        <f aca="false">G23+H23</f>
        <v>617</v>
      </c>
      <c r="J23" s="411" t="n">
        <f aca="false">IF(L23&gt;0,L23,0)</f>
        <v>139.786488530376</v>
      </c>
      <c r="K23" s="117" t="n">
        <f aca="false">I23+J23</f>
        <v>756.786488530376</v>
      </c>
      <c r="L23" s="117" t="n">
        <f aca="false">F23-(I23-AA23)</f>
        <v>139.786488530376</v>
      </c>
      <c r="M23" s="412" t="n">
        <v>95</v>
      </c>
      <c r="N23" s="413" t="n">
        <v>0</v>
      </c>
      <c r="O23" s="413" t="n">
        <f aca="false">82.15*1.05</f>
        <v>86.2575</v>
      </c>
      <c r="P23" s="115" t="n">
        <v>1.43</v>
      </c>
      <c r="Q23" s="115" t="n">
        <v>2.81</v>
      </c>
      <c r="R23" s="116" t="n">
        <v>0</v>
      </c>
      <c r="S23" s="117" t="n">
        <v>0</v>
      </c>
      <c r="T23" s="117" t="n">
        <v>0</v>
      </c>
      <c r="U23" s="240" t="n">
        <f aca="false">M23-N23-O23-P23-Q23-R23+S23+T23</f>
        <v>4.50249999999999</v>
      </c>
      <c r="V23" s="216" t="n">
        <f aca="false">V22+AI23-(AJ23/1.9835)</f>
        <v>10032.9327696097</v>
      </c>
      <c r="W23" s="402"/>
      <c r="X23" s="117"/>
      <c r="Y23" s="414" t="n">
        <v>21</v>
      </c>
      <c r="Z23" s="415" t="n">
        <f aca="false">Z22-Y23</f>
        <v>15442.9836148223</v>
      </c>
      <c r="AA23" s="117" t="n">
        <f aca="false">N23+O23+P23+Q23+R23+U23+X23+Y23</f>
        <v>116</v>
      </c>
      <c r="AB23" s="117" t="n">
        <f aca="false">IF(L23&lt;0,L23*-1,0)</f>
        <v>0</v>
      </c>
      <c r="AC23" s="413" t="n">
        <f aca="false">AA23+AB23</f>
        <v>116</v>
      </c>
      <c r="AD23" s="89" t="n">
        <v>0</v>
      </c>
      <c r="AE23" s="90" t="n">
        <v>58</v>
      </c>
      <c r="AF23" s="91" t="n">
        <v>28</v>
      </c>
      <c r="AG23" s="218" t="n">
        <f aca="false">AG22</f>
        <v>0</v>
      </c>
      <c r="AH23" s="92"/>
      <c r="AI23" s="92" t="n">
        <f aca="false">IF(I23&gt;U23,I23-U23,I23-U23)</f>
        <v>612.4975</v>
      </c>
      <c r="AJ23" s="93" t="n">
        <f aca="false">23.5*(V22*1.9835+AI23*1.9835)/E23</f>
        <v>7.80150923754874</v>
      </c>
      <c r="AK23" s="94"/>
      <c r="AL23" s="8"/>
    </row>
    <row r="24" customFormat="false" ht="11.1" hidden="false" customHeight="true" outlineLevel="0" collapsed="false">
      <c r="A24" s="15" t="n">
        <f aca="false">A23+1</f>
        <v>13</v>
      </c>
      <c r="B24" s="403" t="n">
        <v>6878.94</v>
      </c>
      <c r="C24" s="86" t="n">
        <v>213001</v>
      </c>
      <c r="D24" s="90" t="n">
        <f aca="false">C24-C23</f>
        <v>1033</v>
      </c>
      <c r="E24" s="86" t="n">
        <f aca="false">C24-152000</f>
        <v>61001</v>
      </c>
      <c r="F24" s="409" t="n">
        <f aca="false">D24/$D$2</f>
        <v>520.796571716662</v>
      </c>
      <c r="G24" s="117" t="n">
        <v>537</v>
      </c>
      <c r="H24" s="410" t="n">
        <v>56</v>
      </c>
      <c r="I24" s="117" t="n">
        <f aca="false">G24+H24</f>
        <v>593</v>
      </c>
      <c r="J24" s="411" t="n">
        <f aca="false">IF(L24&gt;0,L24,0)</f>
        <v>44.7965717166625</v>
      </c>
      <c r="K24" s="117" t="n">
        <f aca="false">I24+J24</f>
        <v>637.796571716662</v>
      </c>
      <c r="L24" s="117" t="n">
        <f aca="false">F24-(I24-AA24)</f>
        <v>44.7965717166625</v>
      </c>
      <c r="M24" s="412" t="n">
        <v>96</v>
      </c>
      <c r="N24" s="413" t="n">
        <v>0</v>
      </c>
      <c r="O24" s="413" t="n">
        <f aca="false">82.75*1.05</f>
        <v>86.8875</v>
      </c>
      <c r="P24" s="115" t="n">
        <v>1.43</v>
      </c>
      <c r="Q24" s="115" t="n">
        <v>2.27</v>
      </c>
      <c r="R24" s="116" t="n">
        <v>0</v>
      </c>
      <c r="S24" s="117" t="n">
        <v>0</v>
      </c>
      <c r="T24" s="117" t="n">
        <v>0</v>
      </c>
      <c r="U24" s="240" t="n">
        <f aca="false">M24-N24-O24-P24-Q24-R24+S24+T24</f>
        <v>5.4125</v>
      </c>
      <c r="V24" s="216" t="n">
        <f aca="false">V23+AI24-(AJ24/1.9835)</f>
        <v>10616.4288247754</v>
      </c>
      <c r="W24" s="402"/>
      <c r="X24" s="117"/>
      <c r="Y24" s="414" t="n">
        <v>21</v>
      </c>
      <c r="Z24" s="415" t="n">
        <f aca="false">Z23-Y24</f>
        <v>15421.9836148223</v>
      </c>
      <c r="AA24" s="117" t="n">
        <f aca="false">N24+O24+P24+Q24+R24+U24+X24+Y24</f>
        <v>117</v>
      </c>
      <c r="AB24" s="117" t="n">
        <f aca="false">IF(L24&lt;0,L24*-1,0)</f>
        <v>0</v>
      </c>
      <c r="AC24" s="413" t="n">
        <f aca="false">AA24+AB24</f>
        <v>117</v>
      </c>
      <c r="AD24" s="89" t="n">
        <v>0</v>
      </c>
      <c r="AE24" s="90" t="n">
        <v>63</v>
      </c>
      <c r="AF24" s="91" t="n">
        <v>34</v>
      </c>
      <c r="AG24" s="218" t="n">
        <f aca="false">AG23</f>
        <v>0</v>
      </c>
      <c r="AH24" s="92"/>
      <c r="AI24" s="92" t="n">
        <f aca="false">IF(I24&gt;U24,I24-U24,I24-U24)</f>
        <v>587.5875</v>
      </c>
      <c r="AJ24" s="93" t="n">
        <f aca="false">23.5*(V23*1.9835+AI24*1.9835)/E24</f>
        <v>8.11538082879158</v>
      </c>
      <c r="AK24" s="94"/>
      <c r="AL24" s="8"/>
    </row>
    <row r="25" customFormat="false" ht="11.1" hidden="false" customHeight="true" outlineLevel="0" collapsed="false">
      <c r="A25" s="15" t="n">
        <f aca="false">A24+1</f>
        <v>14</v>
      </c>
      <c r="B25" s="403" t="n">
        <v>6879.39</v>
      </c>
      <c r="C25" s="86" t="n">
        <v>214343</v>
      </c>
      <c r="D25" s="90" t="n">
        <f aca="false">C25-C24</f>
        <v>1342</v>
      </c>
      <c r="E25" s="86" t="n">
        <f aca="false">C25-152000</f>
        <v>62343</v>
      </c>
      <c r="F25" s="409" t="n">
        <f aca="false">D25/$D$2</f>
        <v>676.581799848752</v>
      </c>
      <c r="G25" s="117" t="n">
        <v>606</v>
      </c>
      <c r="H25" s="410" t="n">
        <v>56</v>
      </c>
      <c r="I25" s="117" t="n">
        <f aca="false">G25+H25</f>
        <v>662</v>
      </c>
      <c r="J25" s="411" t="n">
        <f aca="false">IF(L25&gt;0,L25,0)</f>
        <v>145.581799848752</v>
      </c>
      <c r="K25" s="117" t="n">
        <f aca="false">I25+J25</f>
        <v>807.581799848752</v>
      </c>
      <c r="L25" s="117" t="n">
        <f aca="false">F25-(I25-AA25)</f>
        <v>145.581799848752</v>
      </c>
      <c r="M25" s="412" t="n">
        <v>110</v>
      </c>
      <c r="N25" s="413" t="n">
        <v>0</v>
      </c>
      <c r="O25" s="413" t="n">
        <f aca="false">85.82*1.05</f>
        <v>90.111</v>
      </c>
      <c r="P25" s="115" t="n">
        <v>1.43</v>
      </c>
      <c r="Q25" s="115" t="n">
        <v>2.59</v>
      </c>
      <c r="R25" s="116" t="n">
        <v>0</v>
      </c>
      <c r="S25" s="117" t="n">
        <v>0</v>
      </c>
      <c r="T25" s="117" t="n">
        <v>0</v>
      </c>
      <c r="U25" s="240" t="n">
        <f aca="false">M25-N25-O25-P25-Q25-R25+S25+T25</f>
        <v>15.869</v>
      </c>
      <c r="V25" s="216" t="n">
        <f aca="false">V24+AI25-(AJ25/1.9835)</f>
        <v>11258.3144378694</v>
      </c>
      <c r="W25" s="402"/>
      <c r="X25" s="117"/>
      <c r="Y25" s="414" t="n">
        <v>21</v>
      </c>
      <c r="Z25" s="415" t="n">
        <f aca="false">Z24-Y25</f>
        <v>15400.9836148223</v>
      </c>
      <c r="AA25" s="117" t="n">
        <f aca="false">N25+O25+P25+Q25+R25+U25+X25+Y25</f>
        <v>131</v>
      </c>
      <c r="AB25" s="117" t="n">
        <f aca="false">IF(L25&lt;0,L25*-1,0)</f>
        <v>0</v>
      </c>
      <c r="AC25" s="413" t="n">
        <f aca="false">AA25+AB25</f>
        <v>131</v>
      </c>
      <c r="AD25" s="89" t="n">
        <v>0</v>
      </c>
      <c r="AE25" s="119" t="n">
        <v>65</v>
      </c>
      <c r="AF25" s="91" t="n">
        <v>39</v>
      </c>
      <c r="AG25" s="218" t="n">
        <f aca="false">AG24</f>
        <v>0</v>
      </c>
      <c r="AH25" s="92"/>
      <c r="AI25" s="92" t="n">
        <f aca="false">IF(I25&gt;U25,I25-U25,I25-U25)</f>
        <v>646.131</v>
      </c>
      <c r="AJ25" s="93" t="n">
        <f aca="false">23.5*(V24*1.9835+AI25*1.9835)/E25</f>
        <v>8.4207249280976</v>
      </c>
      <c r="AK25" s="94"/>
      <c r="AL25" s="8"/>
    </row>
    <row r="26" customFormat="false" ht="11.1" hidden="false" customHeight="true" outlineLevel="0" collapsed="false">
      <c r="A26" s="15" t="n">
        <f aca="false">A25+1</f>
        <v>15</v>
      </c>
      <c r="B26" s="403" t="n">
        <v>6879.79</v>
      </c>
      <c r="C26" s="86" t="n">
        <v>215538</v>
      </c>
      <c r="D26" s="90" t="n">
        <f aca="false">C26-C25</f>
        <v>1195</v>
      </c>
      <c r="E26" s="86" t="n">
        <f aca="false">C26-152000</f>
        <v>63538</v>
      </c>
      <c r="F26" s="409" t="n">
        <f aca="false">D26/$D$2</f>
        <v>602.470380640282</v>
      </c>
      <c r="G26" s="117" t="n">
        <v>624</v>
      </c>
      <c r="H26" s="410" t="n">
        <v>13</v>
      </c>
      <c r="I26" s="117" t="n">
        <f aca="false">G26+H26</f>
        <v>637</v>
      </c>
      <c r="J26" s="411" t="n">
        <f aca="false">IF(L26&gt;0,L26,0)</f>
        <v>102.470380640282</v>
      </c>
      <c r="K26" s="117" t="n">
        <f aca="false">I26+J26</f>
        <v>739.470380640282</v>
      </c>
      <c r="L26" s="117" t="n">
        <f aca="false">F26-(I26-AA26)</f>
        <v>102.470380640282</v>
      </c>
      <c r="M26" s="412" t="n">
        <v>116</v>
      </c>
      <c r="N26" s="413" t="n">
        <v>0</v>
      </c>
      <c r="O26" s="413" t="n">
        <f aca="false">88.5*1.05</f>
        <v>92.925</v>
      </c>
      <c r="P26" s="115" t="n">
        <v>1.43</v>
      </c>
      <c r="Q26" s="115" t="n">
        <v>3.48</v>
      </c>
      <c r="R26" s="116" t="n">
        <v>0</v>
      </c>
      <c r="S26" s="117" t="n">
        <v>0</v>
      </c>
      <c r="T26" s="117" t="n">
        <v>0</v>
      </c>
      <c r="U26" s="240" t="n">
        <f aca="false">M26-N26-O26-P26-Q26-R26+S26+T26</f>
        <v>18.165</v>
      </c>
      <c r="V26" s="216" t="n">
        <f aca="false">V25+AI26-(AJ26/1.9835)</f>
        <v>11872.7565861619</v>
      </c>
      <c r="W26" s="402"/>
      <c r="X26" s="117"/>
      <c r="Y26" s="414" t="n">
        <v>21</v>
      </c>
      <c r="Z26" s="415" t="n">
        <f aca="false">Z25-Y26</f>
        <v>15379.9836148223</v>
      </c>
      <c r="AA26" s="117" t="n">
        <f aca="false">N26+O26+P26+Q26+R26+U26+X26+Y26</f>
        <v>137</v>
      </c>
      <c r="AB26" s="117" t="n">
        <f aca="false">IF(L26&lt;0,L26*-1,0)</f>
        <v>0</v>
      </c>
      <c r="AC26" s="413" t="n">
        <f aca="false">AA26+AB26</f>
        <v>137</v>
      </c>
      <c r="AD26" s="89" t="n">
        <v>0</v>
      </c>
      <c r="AE26" s="119" t="n">
        <v>65</v>
      </c>
      <c r="AF26" s="91" t="n">
        <v>32</v>
      </c>
      <c r="AG26" s="218" t="n">
        <f aca="false">AG25</f>
        <v>0</v>
      </c>
      <c r="AH26" s="92"/>
      <c r="AI26" s="92" t="n">
        <f aca="false">IF(I26&gt;U26,I26-U26,I26-U26)</f>
        <v>618.835</v>
      </c>
      <c r="AJ26" s="93" t="n">
        <f aca="false">23.5*(V25*1.9835+AI26*1.9835)/E26</f>
        <v>8.71322136178867</v>
      </c>
      <c r="AK26" s="94"/>
      <c r="AL26" s="8"/>
    </row>
    <row r="27" customFormat="false" ht="11.1" hidden="false" customHeight="true" outlineLevel="0" collapsed="false">
      <c r="A27" s="15" t="n">
        <f aca="false">A26+1</f>
        <v>16</v>
      </c>
      <c r="B27" s="403" t="n">
        <v>6880.26</v>
      </c>
      <c r="C27" s="86" t="n">
        <v>216951</v>
      </c>
      <c r="D27" s="90" t="n">
        <f aca="false">C27-C26</f>
        <v>1413</v>
      </c>
      <c r="E27" s="86" t="n">
        <f aca="false">C27-152000</f>
        <v>64951</v>
      </c>
      <c r="F27" s="409" t="n">
        <f aca="false">D27/$D$2</f>
        <v>712.377111167129</v>
      </c>
      <c r="G27" s="117" t="n">
        <v>702</v>
      </c>
      <c r="H27" s="410" t="n">
        <v>12</v>
      </c>
      <c r="I27" s="117" t="n">
        <f aca="false">G27+H27</f>
        <v>714</v>
      </c>
      <c r="J27" s="411" t="n">
        <f aca="false">IF(L27&gt;0,L27,0)</f>
        <v>129.377111167129</v>
      </c>
      <c r="K27" s="117" t="n">
        <f aca="false">I27+J27</f>
        <v>843.377111167129</v>
      </c>
      <c r="L27" s="117" t="n">
        <f aca="false">F27-(I27-AA27)</f>
        <v>129.377111167129</v>
      </c>
      <c r="M27" s="412" t="n">
        <v>110</v>
      </c>
      <c r="N27" s="413" t="n">
        <v>0</v>
      </c>
      <c r="O27" s="413" t="n">
        <f aca="false">84.25*1.05</f>
        <v>88.4625</v>
      </c>
      <c r="P27" s="115" t="n">
        <v>1.43</v>
      </c>
      <c r="Q27" s="115" t="n">
        <v>3.78</v>
      </c>
      <c r="R27" s="116" t="n">
        <v>0</v>
      </c>
      <c r="S27" s="117" t="n">
        <v>0</v>
      </c>
      <c r="T27" s="117" t="n">
        <v>0</v>
      </c>
      <c r="U27" s="240" t="n">
        <f aca="false">M27-N27-O27-P27-Q27-R27+S27+T27</f>
        <v>16.3275</v>
      </c>
      <c r="V27" s="216" t="n">
        <f aca="false">V26+AI27-(AJ27/1.9835)</f>
        <v>12565.8809639848</v>
      </c>
      <c r="W27" s="402"/>
      <c r="X27" s="117"/>
      <c r="Y27" s="414" t="n">
        <v>21</v>
      </c>
      <c r="Z27" s="415" t="n">
        <f aca="false">Z26-Y27</f>
        <v>15358.9836148223</v>
      </c>
      <c r="AA27" s="117" t="n">
        <f aca="false">N27+O27+P27+Q27+R27+U27+X27+Y27</f>
        <v>131</v>
      </c>
      <c r="AB27" s="117" t="n">
        <f aca="false">IF(L27&lt;0,L27*-1,0)</f>
        <v>0</v>
      </c>
      <c r="AC27" s="413" t="n">
        <f aca="false">AA27+AB27</f>
        <v>131</v>
      </c>
      <c r="AD27" s="89" t="n">
        <v>0</v>
      </c>
      <c r="AE27" s="119" t="n">
        <v>66</v>
      </c>
      <c r="AF27" s="91" t="n">
        <v>35</v>
      </c>
      <c r="AG27" s="218" t="n">
        <f aca="false">AG26</f>
        <v>0</v>
      </c>
      <c r="AH27" s="92"/>
      <c r="AI27" s="92" t="n">
        <f aca="false">IF(I27&gt;U27,I27-U27,I27-U27)</f>
        <v>697.6725</v>
      </c>
      <c r="AJ27" s="93" t="n">
        <f aca="false">23.5*(V26*1.9835+AI27*1.9835)/E27</f>
        <v>9.02120033827734</v>
      </c>
      <c r="AK27" s="94"/>
      <c r="AL27" s="8"/>
    </row>
    <row r="28" customFormat="false" ht="11.1" hidden="false" customHeight="true" outlineLevel="0" collapsed="false">
      <c r="A28" s="15" t="n">
        <f aca="false">A27+1</f>
        <v>17</v>
      </c>
      <c r="B28" s="403" t="n">
        <v>6880.71</v>
      </c>
      <c r="C28" s="86" t="n">
        <v>218311</v>
      </c>
      <c r="D28" s="90" t="n">
        <f aca="false">C28-C27</f>
        <v>1360</v>
      </c>
      <c r="E28" s="86" t="n">
        <f aca="false">C28-152000</f>
        <v>66311</v>
      </c>
      <c r="F28" s="409" t="n">
        <f aca="false">D28/$D$2</f>
        <v>685.656667506932</v>
      </c>
      <c r="G28" s="117" t="n">
        <v>764</v>
      </c>
      <c r="H28" s="410" t="n">
        <v>13</v>
      </c>
      <c r="I28" s="117" t="n">
        <f aca="false">G28+H28</f>
        <v>777</v>
      </c>
      <c r="J28" s="411" t="n">
        <f aca="false">IF(L28&gt;0,L28,0)</f>
        <v>36.6566675069322</v>
      </c>
      <c r="K28" s="117" t="n">
        <f aca="false">I28+J28</f>
        <v>813.656667506932</v>
      </c>
      <c r="L28" s="117" t="n">
        <f aca="false">F28-(I28-AA28)</f>
        <v>36.6566675069322</v>
      </c>
      <c r="M28" s="412" t="n">
        <v>107</v>
      </c>
      <c r="N28" s="413" t="n">
        <v>0</v>
      </c>
      <c r="O28" s="413" t="n">
        <f aca="false">84.04*1.05</f>
        <v>88.242</v>
      </c>
      <c r="P28" s="115" t="n">
        <v>1.43</v>
      </c>
      <c r="Q28" s="115" t="n">
        <v>3.54</v>
      </c>
      <c r="R28" s="116" t="n">
        <v>0</v>
      </c>
      <c r="S28" s="117" t="n">
        <v>0</v>
      </c>
      <c r="T28" s="117" t="n">
        <v>0</v>
      </c>
      <c r="U28" s="240" t="n">
        <f aca="false">M28-N28-O28-P28-Q28-R28+S28+T28</f>
        <v>13.788</v>
      </c>
      <c r="V28" s="216" t="n">
        <f aca="false">V27+AI28-(AJ28/1.9835)</f>
        <v>13324.3692577422</v>
      </c>
      <c r="W28" s="402"/>
      <c r="X28" s="117"/>
      <c r="Y28" s="414" t="n">
        <v>21</v>
      </c>
      <c r="Z28" s="415" t="n">
        <f aca="false">Z27-Y28</f>
        <v>15337.9836148223</v>
      </c>
      <c r="AA28" s="117" t="n">
        <f aca="false">N28+O28+P28+Q28+R28+U28+X28+Y28</f>
        <v>128</v>
      </c>
      <c r="AB28" s="117" t="n">
        <f aca="false">IF(L28&lt;0,L28*-1,0)</f>
        <v>0</v>
      </c>
      <c r="AC28" s="413" t="n">
        <f aca="false">AA28+AB28</f>
        <v>128</v>
      </c>
      <c r="AD28" s="89" t="n">
        <v>0</v>
      </c>
      <c r="AE28" s="119" t="n">
        <v>67</v>
      </c>
      <c r="AF28" s="91" t="n">
        <v>38</v>
      </c>
      <c r="AG28" s="218" t="n">
        <f aca="false">AG27</f>
        <v>0</v>
      </c>
      <c r="AH28" s="92"/>
      <c r="AI28" s="92" t="n">
        <f aca="false">IF(I28&gt;U28,I28-U28,I28-U28)</f>
        <v>763.212</v>
      </c>
      <c r="AJ28" s="93" t="n">
        <f aca="false">23.5*(V27*1.9835+AI28*1.9835)/E28</f>
        <v>9.3694713322149</v>
      </c>
      <c r="AK28" s="94"/>
      <c r="AL28" s="8"/>
    </row>
    <row r="29" customFormat="false" ht="11.1" hidden="false" customHeight="true" outlineLevel="0" collapsed="false">
      <c r="A29" s="15" t="n">
        <f aca="false">A28+1</f>
        <v>18</v>
      </c>
      <c r="B29" s="403" t="n">
        <v>6881.31</v>
      </c>
      <c r="C29" s="86" t="n">
        <v>220138</v>
      </c>
      <c r="D29" s="90" t="n">
        <f aca="false">C29-C28</f>
        <v>1827</v>
      </c>
      <c r="E29" s="86" t="n">
        <f aca="false">C29-152000</f>
        <v>68138</v>
      </c>
      <c r="F29" s="409" t="n">
        <f aca="false">D29/$D$2</f>
        <v>921.099067305268</v>
      </c>
      <c r="G29" s="117" t="n">
        <v>810</v>
      </c>
      <c r="H29" s="410" t="n">
        <v>15</v>
      </c>
      <c r="I29" s="117" t="n">
        <f aca="false">G29+H29</f>
        <v>825</v>
      </c>
      <c r="J29" s="411" t="n">
        <f aca="false">IF(L29&gt;0,L29,0)</f>
        <v>225.099067305268</v>
      </c>
      <c r="K29" s="117" t="n">
        <f aca="false">I29+J29</f>
        <v>1050.09906730527</v>
      </c>
      <c r="L29" s="117" t="n">
        <f aca="false">F29-(I29-AA29)</f>
        <v>225.099067305268</v>
      </c>
      <c r="M29" s="412" t="n">
        <v>108</v>
      </c>
      <c r="N29" s="413" t="n">
        <v>0</v>
      </c>
      <c r="O29" s="413" t="n">
        <f aca="false">86.58*1.05</f>
        <v>90.909</v>
      </c>
      <c r="P29" s="115" t="n">
        <v>1.43</v>
      </c>
      <c r="Q29" s="115" t="n">
        <v>3.79</v>
      </c>
      <c r="R29" s="116" t="n">
        <v>0</v>
      </c>
      <c r="S29" s="117" t="n">
        <v>0</v>
      </c>
      <c r="T29" s="117" t="n">
        <v>0</v>
      </c>
      <c r="U29" s="240" t="n">
        <f aca="false">M29-N29-O29-P29-Q29-R29+S29+T29</f>
        <v>11.871</v>
      </c>
      <c r="V29" s="216" t="n">
        <f aca="false">V28+AI29-(AJ29/1.9835)</f>
        <v>14102.6327464408</v>
      </c>
      <c r="W29" s="402"/>
      <c r="X29" s="117"/>
      <c r="Y29" s="414" t="n">
        <v>21</v>
      </c>
      <c r="Z29" s="415" t="n">
        <f aca="false">Z28-Y29</f>
        <v>15316.9836148223</v>
      </c>
      <c r="AA29" s="117" t="n">
        <f aca="false">N29+O29+P29+Q29+R29+U29+X29+Y29</f>
        <v>129</v>
      </c>
      <c r="AB29" s="117" t="n">
        <f aca="false">IF(L29&lt;0,L29*-1,0)</f>
        <v>0</v>
      </c>
      <c r="AC29" s="413" t="n">
        <f aca="false">AA29+AB29</f>
        <v>129</v>
      </c>
      <c r="AD29" s="89" t="n">
        <v>0.01</v>
      </c>
      <c r="AE29" s="119" t="n">
        <v>52</v>
      </c>
      <c r="AF29" s="91" t="n">
        <v>31</v>
      </c>
      <c r="AG29" s="218" t="n">
        <f aca="false">AG28</f>
        <v>0</v>
      </c>
      <c r="AH29" s="92"/>
      <c r="AI29" s="92" t="n">
        <f aca="false">795-U29</f>
        <v>783.129</v>
      </c>
      <c r="AJ29" s="93" t="n">
        <f aca="false">23.5*(V28*1.9835+AI29*1.9835)/E29</f>
        <v>9.65074166638946</v>
      </c>
      <c r="AK29" s="94"/>
      <c r="AL29" s="8"/>
    </row>
    <row r="30" customFormat="false" ht="11.1" hidden="false" customHeight="true" outlineLevel="0" collapsed="false">
      <c r="A30" s="15" t="n">
        <f aca="false">A29+1</f>
        <v>19</v>
      </c>
      <c r="B30" s="403" t="n">
        <v>6881.74</v>
      </c>
      <c r="C30" s="86" t="n">
        <v>221456</v>
      </c>
      <c r="D30" s="90" t="n">
        <f aca="false">C30-C29</f>
        <v>1318</v>
      </c>
      <c r="E30" s="86" t="n">
        <f aca="false">C30-152000</f>
        <v>69456</v>
      </c>
      <c r="F30" s="409" t="n">
        <f aca="false">D30/$D$2</f>
        <v>664.481976304512</v>
      </c>
      <c r="G30" s="117" t="n">
        <v>737</v>
      </c>
      <c r="H30" s="410" t="n">
        <v>8.4</v>
      </c>
      <c r="I30" s="117" t="n">
        <f aca="false">G30+H30</f>
        <v>745.4</v>
      </c>
      <c r="J30" s="411" t="n">
        <f aca="false">IF(L30&gt;0,L30,0)</f>
        <v>39.0819763045122</v>
      </c>
      <c r="K30" s="117" t="n">
        <f aca="false">I30+J30</f>
        <v>784.481976304512</v>
      </c>
      <c r="L30" s="117" t="n">
        <f aca="false">F30-(I30-AA30)</f>
        <v>39.0819763045122</v>
      </c>
      <c r="M30" s="412" t="n">
        <v>99</v>
      </c>
      <c r="N30" s="413" t="n">
        <v>0</v>
      </c>
      <c r="O30" s="413" t="n">
        <f aca="false">90.59*1.05</f>
        <v>95.1195</v>
      </c>
      <c r="P30" s="115" t="n">
        <v>1.43</v>
      </c>
      <c r="Q30" s="115" t="n">
        <v>3.54</v>
      </c>
      <c r="R30" s="116" t="n">
        <v>0</v>
      </c>
      <c r="S30" s="117" t="n">
        <v>0</v>
      </c>
      <c r="T30" s="117" t="n">
        <v>0</v>
      </c>
      <c r="U30" s="240" t="n">
        <f aca="false">M30-N30-O30-P30-Q30-R30+S30+T30</f>
        <v>-1.0895</v>
      </c>
      <c r="V30" s="216" t="n">
        <f aca="false">V29+AI30-(AJ30/1.9835)</f>
        <v>14810.2900820987</v>
      </c>
      <c r="W30" s="402"/>
      <c r="X30" s="117"/>
      <c r="Y30" s="414" t="n">
        <v>21</v>
      </c>
      <c r="Z30" s="415" t="n">
        <f aca="false">Z29-Y30</f>
        <v>15295.9836148223</v>
      </c>
      <c r="AA30" s="117" t="n">
        <f aca="false">N30+O30+P30+Q30+R30+U30+X30+Y30</f>
        <v>120</v>
      </c>
      <c r="AB30" s="117" t="n">
        <f aca="false">IF(L30&lt;0,L30*-1,0)</f>
        <v>0</v>
      </c>
      <c r="AC30" s="413" t="n">
        <f aca="false">AA30+AB30</f>
        <v>120</v>
      </c>
      <c r="AD30" s="89" t="n">
        <v>0</v>
      </c>
      <c r="AE30" s="119" t="n">
        <v>60</v>
      </c>
      <c r="AF30" s="91" t="n">
        <v>33</v>
      </c>
      <c r="AG30" s="218" t="n">
        <f aca="false">AG29</f>
        <v>0</v>
      </c>
      <c r="AH30" s="92"/>
      <c r="AI30" s="92" t="n">
        <f aca="false">716.8-4.13</f>
        <v>712.67</v>
      </c>
      <c r="AJ30" s="93" t="n">
        <f aca="false">23.5*(V29*1.9835+AI30*1.9835)/E30</f>
        <v>9.94261972245428</v>
      </c>
      <c r="AK30" s="94"/>
      <c r="AL30" s="8"/>
    </row>
    <row r="31" customFormat="false" ht="11.1" hidden="false" customHeight="true" outlineLevel="0" collapsed="false">
      <c r="A31" s="15" t="n">
        <f aca="false">A30+1</f>
        <v>20</v>
      </c>
      <c r="B31" s="403" t="n">
        <v>6882.09</v>
      </c>
      <c r="C31" s="86" t="n">
        <v>222533</v>
      </c>
      <c r="D31" s="90" t="n">
        <f aca="false">C31-C30</f>
        <v>1077</v>
      </c>
      <c r="E31" s="86" t="n">
        <f aca="false">C31-152000</f>
        <v>70533</v>
      </c>
      <c r="F31" s="409" t="n">
        <f aca="false">D31/$D$2</f>
        <v>542.979581547769</v>
      </c>
      <c r="G31" s="117" t="n">
        <v>647</v>
      </c>
      <c r="H31" s="410" t="n">
        <v>6.9</v>
      </c>
      <c r="I31" s="117" t="n">
        <f aca="false">G31+H31</f>
        <v>653.9</v>
      </c>
      <c r="J31" s="411" t="n">
        <f aca="false">IF(L31&gt;0,L31,0)</f>
        <v>3.07958154776907</v>
      </c>
      <c r="K31" s="117" t="n">
        <f aca="false">I31+J31</f>
        <v>656.979581547769</v>
      </c>
      <c r="L31" s="117" t="n">
        <f aca="false">F31-(I31-AA31)</f>
        <v>3.07958154776907</v>
      </c>
      <c r="M31" s="412" t="n">
        <v>93</v>
      </c>
      <c r="N31" s="413" t="n">
        <v>0</v>
      </c>
      <c r="O31" s="413" t="n">
        <f aca="false">88.09*1.05</f>
        <v>92.4945</v>
      </c>
      <c r="P31" s="115" t="n">
        <v>1.43</v>
      </c>
      <c r="Q31" s="115" t="n">
        <v>3.83</v>
      </c>
      <c r="R31" s="116" t="n">
        <v>0</v>
      </c>
      <c r="S31" s="117" t="n">
        <v>0</v>
      </c>
      <c r="T31" s="117" t="n">
        <v>0</v>
      </c>
      <c r="U31" s="240" t="n">
        <f aca="false">M31-N31-O31-P31-Q31-R31+S31+T31</f>
        <v>-4.7545</v>
      </c>
      <c r="V31" s="216" t="n">
        <f aca="false">V30+AI31-(AJ31/1.9835)</f>
        <v>15430.9171360745</v>
      </c>
      <c r="W31" s="402"/>
      <c r="X31" s="117"/>
      <c r="Y31" s="414" t="n">
        <v>21</v>
      </c>
      <c r="Z31" s="415" t="n">
        <f aca="false">Z30-Y31</f>
        <v>15274.9836148223</v>
      </c>
      <c r="AA31" s="117" t="n">
        <f aca="false">N31+O31+P31+Q31+R31+U31+X31+Y31</f>
        <v>114</v>
      </c>
      <c r="AB31" s="117" t="n">
        <f aca="false">IF(L31&lt;0,L31*-1,0)</f>
        <v>0</v>
      </c>
      <c r="AC31" s="413" t="n">
        <f aca="false">AA31+AB31</f>
        <v>114</v>
      </c>
      <c r="AD31" s="89" t="n">
        <v>0</v>
      </c>
      <c r="AE31" s="119" t="n">
        <v>60</v>
      </c>
      <c r="AF31" s="91" t="n">
        <v>29</v>
      </c>
      <c r="AG31" s="218" t="n">
        <f aca="false">AG30</f>
        <v>0</v>
      </c>
      <c r="AH31" s="92"/>
      <c r="AI31" s="92" t="n">
        <f aca="false">629.9-4.13</f>
        <v>625.77</v>
      </c>
      <c r="AJ31" s="93" t="n">
        <f aca="false">23.5*(V30*1.9835+AI31*1.9835)/E31</f>
        <v>10.2010334391251</v>
      </c>
      <c r="AK31" s="94"/>
      <c r="AL31" s="8"/>
    </row>
    <row r="32" customFormat="false" ht="11.1" hidden="false" customHeight="true" outlineLevel="0" collapsed="false">
      <c r="A32" s="15" t="n">
        <f aca="false">A31+1</f>
        <v>21</v>
      </c>
      <c r="B32" s="403" t="n">
        <v>6882.44</v>
      </c>
      <c r="C32" s="86" t="n">
        <v>223620</v>
      </c>
      <c r="D32" s="90" t="n">
        <f aca="false">C32-C31</f>
        <v>1087</v>
      </c>
      <c r="E32" s="86" t="n">
        <f aca="false">C32-152000</f>
        <v>71620</v>
      </c>
      <c r="F32" s="409" t="n">
        <f aca="false">D32/$D$2</f>
        <v>548.021174691202</v>
      </c>
      <c r="G32" s="117" t="n">
        <v>610</v>
      </c>
      <c r="H32" s="410" t="n">
        <v>5.4</v>
      </c>
      <c r="I32" s="117" t="n">
        <f aca="false">G32+H32</f>
        <v>615.4</v>
      </c>
      <c r="J32" s="411" t="n">
        <f aca="false">IF(L32&gt;0,L32,0)</f>
        <v>48.6211746912024</v>
      </c>
      <c r="K32" s="117" t="n">
        <f aca="false">I32+J32</f>
        <v>664.021174691202</v>
      </c>
      <c r="L32" s="117" t="n">
        <f aca="false">F32-(I32-AA32)</f>
        <v>48.6211746912024</v>
      </c>
      <c r="M32" s="412" t="n">
        <v>95</v>
      </c>
      <c r="N32" s="413" t="n">
        <v>0</v>
      </c>
      <c r="O32" s="413" t="n">
        <f aca="false">84.59*1.05</f>
        <v>88.8195</v>
      </c>
      <c r="P32" s="115" t="n">
        <v>1.43</v>
      </c>
      <c r="Q32" s="115" t="n">
        <v>2.44</v>
      </c>
      <c r="R32" s="116" t="n">
        <v>0</v>
      </c>
      <c r="S32" s="117" t="n">
        <v>0</v>
      </c>
      <c r="T32" s="117" t="n">
        <v>0</v>
      </c>
      <c r="U32" s="240" t="n">
        <f aca="false">M32-N32-O32-P32-Q32-R32+S32+T32</f>
        <v>2.3105</v>
      </c>
      <c r="V32" s="216" t="n">
        <f aca="false">V31+AI32-(AJ32/1.9835)</f>
        <v>16038.7422664019</v>
      </c>
      <c r="W32" s="402"/>
      <c r="X32" s="117"/>
      <c r="Y32" s="414" t="n">
        <v>21</v>
      </c>
      <c r="Z32" s="415" t="n">
        <f aca="false">Z31-Y32</f>
        <v>15253.9836148223</v>
      </c>
      <c r="AA32" s="117" t="n">
        <f aca="false">N32+O32+P32+Q32+R32+U32+X32+Y32</f>
        <v>116</v>
      </c>
      <c r="AB32" s="117" t="n">
        <f aca="false">IF(L32&lt;0,L32*-1,0)</f>
        <v>0</v>
      </c>
      <c r="AC32" s="413" t="n">
        <f aca="false">AA32+AB32</f>
        <v>116</v>
      </c>
      <c r="AD32" s="89" t="n">
        <v>0</v>
      </c>
      <c r="AE32" s="90" t="n">
        <v>55</v>
      </c>
      <c r="AF32" s="91" t="n">
        <v>30</v>
      </c>
      <c r="AG32" s="218" t="n">
        <f aca="false">AG31</f>
        <v>0</v>
      </c>
      <c r="AH32" s="92"/>
      <c r="AI32" s="92" t="n">
        <f aca="false">IF(I32&gt;U32,I32-U32,I32-U32)</f>
        <v>613.0895</v>
      </c>
      <c r="AJ32" s="93" t="n">
        <f aca="false">23.5*(V31*1.9835+AI32*1.9835)/E32</f>
        <v>10.4418772454952</v>
      </c>
      <c r="AK32" s="94"/>
      <c r="AL32" s="8"/>
    </row>
    <row r="33" customFormat="false" ht="11.1" hidden="false" customHeight="true" outlineLevel="0" collapsed="false">
      <c r="A33" s="15" t="n">
        <f aca="false">A32+1</f>
        <v>22</v>
      </c>
      <c r="B33" s="403" t="n">
        <v>6882.77</v>
      </c>
      <c r="C33" s="86" t="n">
        <v>224645</v>
      </c>
      <c r="D33" s="90" t="n">
        <f aca="false">C33-C32</f>
        <v>1025</v>
      </c>
      <c r="E33" s="86" t="n">
        <f aca="false">C33-152000</f>
        <v>72645</v>
      </c>
      <c r="F33" s="409" t="n">
        <f aca="false">D33/$D$2</f>
        <v>516.763297201916</v>
      </c>
      <c r="G33" s="117" t="n">
        <v>592</v>
      </c>
      <c r="H33" s="410" t="n">
        <v>4.7</v>
      </c>
      <c r="I33" s="117" t="n">
        <f aca="false">G33+H33</f>
        <v>596.7</v>
      </c>
      <c r="J33" s="411" t="n">
        <f aca="false">IF(L33&gt;0,L33,0)</f>
        <v>45.9632972019157</v>
      </c>
      <c r="K33" s="117" t="n">
        <f aca="false">I33+J33</f>
        <v>642.663297201916</v>
      </c>
      <c r="L33" s="117" t="n">
        <f aca="false">F33-(I33-AA33)</f>
        <v>45.9632972019157</v>
      </c>
      <c r="M33" s="412" t="n">
        <v>97</v>
      </c>
      <c r="N33" s="413" t="n">
        <v>0</v>
      </c>
      <c r="O33" s="413" t="n">
        <f aca="false">83.01*1.05</f>
        <v>87.1605</v>
      </c>
      <c r="P33" s="115" t="n">
        <v>1.43</v>
      </c>
      <c r="Q33" s="115" t="n">
        <v>2.64</v>
      </c>
      <c r="R33" s="116" t="n">
        <v>0</v>
      </c>
      <c r="S33" s="117" t="n">
        <v>0</v>
      </c>
      <c r="T33" s="117" t="n">
        <v>0</v>
      </c>
      <c r="U33" s="240" t="n">
        <f aca="false">M33-N33-O33-P33-Q33-R33+S33+T33</f>
        <v>5.76949999999999</v>
      </c>
      <c r="V33" s="216" t="n">
        <f aca="false">V32+AI33-(AJ33/1.9835)</f>
        <v>16624.2932177749</v>
      </c>
      <c r="W33" s="402"/>
      <c r="X33" s="117" t="n">
        <v>7.9</v>
      </c>
      <c r="Y33" s="414" t="n">
        <v>21</v>
      </c>
      <c r="Z33" s="415" t="n">
        <f aca="false">Z32-Y33</f>
        <v>15232.9836148223</v>
      </c>
      <c r="AA33" s="117" t="n">
        <f aca="false">N33+O33+P33+Q33+R33+U33+X33+Y33</f>
        <v>125.9</v>
      </c>
      <c r="AB33" s="117" t="n">
        <f aca="false">IF(L33&lt;0,L33*-1,0)</f>
        <v>0</v>
      </c>
      <c r="AC33" s="413" t="n">
        <f aca="false">AA33+AB33</f>
        <v>125.9</v>
      </c>
      <c r="AD33" s="89" t="n">
        <v>0.03</v>
      </c>
      <c r="AE33" s="90" t="n">
        <v>51</v>
      </c>
      <c r="AF33" s="91" t="n">
        <v>32</v>
      </c>
      <c r="AG33" s="218" t="n">
        <f aca="false">AG32</f>
        <v>0</v>
      </c>
      <c r="AH33" s="92"/>
      <c r="AI33" s="92" t="n">
        <f aca="false">IF(I33&gt;U33,I33-U33,I33-U33)</f>
        <v>590.9305</v>
      </c>
      <c r="AJ33" s="93" t="n">
        <f aca="false">23.5*(V32*1.9835+AI33*1.9835)/E33</f>
        <v>10.6703347017099</v>
      </c>
      <c r="AK33" s="94"/>
      <c r="AL33" s="8"/>
    </row>
    <row r="34" customFormat="false" ht="11.1" hidden="false" customHeight="true" outlineLevel="0" collapsed="false">
      <c r="A34" s="15" t="n">
        <f aca="false">A33+1</f>
        <v>23</v>
      </c>
      <c r="B34" s="403" t="n">
        <v>6883.17</v>
      </c>
      <c r="C34" s="86" t="n">
        <v>225894</v>
      </c>
      <c r="D34" s="90" t="n">
        <f aca="false">C34-C33</f>
        <v>1249</v>
      </c>
      <c r="E34" s="86" t="n">
        <f aca="false">C34-152000</f>
        <v>73894</v>
      </c>
      <c r="F34" s="409" t="n">
        <f aca="false">D34/$D$2</f>
        <v>629.694983614822</v>
      </c>
      <c r="G34" s="117" t="n">
        <v>548</v>
      </c>
      <c r="H34" s="410" t="n">
        <v>4.5</v>
      </c>
      <c r="I34" s="117" t="n">
        <f aca="false">G34+H34</f>
        <v>552.5</v>
      </c>
      <c r="J34" s="411" t="n">
        <f aca="false">IF(L34&gt;0,L34,0)</f>
        <v>145.194983614822</v>
      </c>
      <c r="K34" s="117" t="n">
        <f aca="false">I34+J34</f>
        <v>697.694983614822</v>
      </c>
      <c r="L34" s="117" t="n">
        <f aca="false">F34-(I34-AA34)</f>
        <v>145.194983614822</v>
      </c>
      <c r="M34" s="412" t="n">
        <v>47</v>
      </c>
      <c r="N34" s="413" t="n">
        <v>0</v>
      </c>
      <c r="O34" s="413" t="n">
        <f aca="false">42.77*1.05</f>
        <v>44.9085</v>
      </c>
      <c r="P34" s="115" t="n">
        <v>1.43</v>
      </c>
      <c r="Q34" s="115" t="n">
        <v>2.43</v>
      </c>
      <c r="R34" s="116" t="n">
        <v>0</v>
      </c>
      <c r="S34" s="117" t="n">
        <v>0</v>
      </c>
      <c r="T34" s="117" t="n">
        <v>0</v>
      </c>
      <c r="U34" s="240" t="n">
        <f aca="false">M34-N34-O34-P34-Q34-R34+S34+T34</f>
        <v>-1.7685</v>
      </c>
      <c r="V34" s="216" t="n">
        <f aca="false">V33+AI34-(AJ34/1.9835)</f>
        <v>17173.0985380801</v>
      </c>
      <c r="W34" s="402"/>
      <c r="X34" s="117" t="n">
        <v>0</v>
      </c>
      <c r="Y34" s="414" t="n">
        <v>21</v>
      </c>
      <c r="Z34" s="415" t="n">
        <f aca="false">Z33-Y34</f>
        <v>15211.9836148223</v>
      </c>
      <c r="AA34" s="117" t="n">
        <f aca="false">N34+O34+P34+Q34+R34+U34+X34+Y34</f>
        <v>68</v>
      </c>
      <c r="AB34" s="117" t="n">
        <f aca="false">IF(L34&lt;0,L34*-1,0)</f>
        <v>0</v>
      </c>
      <c r="AC34" s="413" t="n">
        <f aca="false">AA34+AB34</f>
        <v>68</v>
      </c>
      <c r="AD34" s="89" t="n">
        <v>0.01</v>
      </c>
      <c r="AE34" s="90" t="n">
        <v>49</v>
      </c>
      <c r="AF34" s="120" t="n">
        <v>32</v>
      </c>
      <c r="AG34" s="218" t="n">
        <f aca="false">AG33</f>
        <v>0</v>
      </c>
      <c r="AH34" s="92"/>
      <c r="AI34" s="92" t="n">
        <f aca="false">IF(I34&gt;U34,I34-U34,I34-U34)</f>
        <v>554.2685</v>
      </c>
      <c r="AJ34" s="93" t="n">
        <f aca="false">23.5*(V33*1.9835+AI34*1.9835)/E34</f>
        <v>10.8362169246401</v>
      </c>
      <c r="AK34" s="94"/>
      <c r="AL34" s="8"/>
    </row>
    <row r="35" customFormat="false" ht="11.1" hidden="false" customHeight="true" outlineLevel="0" collapsed="false">
      <c r="A35" s="15" t="n">
        <f aca="false">A34+1</f>
        <v>24</v>
      </c>
      <c r="B35" s="403" t="n">
        <v>6883.52</v>
      </c>
      <c r="C35" s="86" t="n">
        <v>226995</v>
      </c>
      <c r="D35" s="90" t="n">
        <f aca="false">C35-C34</f>
        <v>1101</v>
      </c>
      <c r="E35" s="86" t="n">
        <f aca="false">C35-152000</f>
        <v>74995</v>
      </c>
      <c r="F35" s="409" t="n">
        <f aca="false">D35/$D$2</f>
        <v>555.079405092009</v>
      </c>
      <c r="G35" s="117" t="n">
        <v>519</v>
      </c>
      <c r="H35" s="410" t="n">
        <v>4.1</v>
      </c>
      <c r="I35" s="117" t="n">
        <f aca="false">G35+H35</f>
        <v>523.1</v>
      </c>
      <c r="J35" s="411" t="n">
        <f aca="false">IF(L35&gt;0,L35,0)</f>
        <v>72.9794050920091</v>
      </c>
      <c r="K35" s="117" t="n">
        <f aca="false">I35+J35</f>
        <v>596.079405092009</v>
      </c>
      <c r="L35" s="117" t="n">
        <f aca="false">F35-(I35-AA35)</f>
        <v>72.9794050920091</v>
      </c>
      <c r="M35" s="412" t="n">
        <v>20</v>
      </c>
      <c r="N35" s="413" t="n">
        <v>0</v>
      </c>
      <c r="O35" s="413" t="n">
        <f aca="false">11.67*1.05</f>
        <v>12.2535</v>
      </c>
      <c r="P35" s="115" t="n">
        <v>1.43</v>
      </c>
      <c r="Q35" s="115" t="n">
        <v>2.26</v>
      </c>
      <c r="R35" s="116" t="n">
        <v>0</v>
      </c>
      <c r="S35" s="117" t="n">
        <v>0</v>
      </c>
      <c r="T35" s="117" t="n">
        <v>0</v>
      </c>
      <c r="U35" s="240" t="n">
        <f aca="false">M35-N35-O35-P35-Q35-R35+S35+T35</f>
        <v>4.0565</v>
      </c>
      <c r="V35" s="216" t="n">
        <f aca="false">V34+AI35-(AJ35/1.9835)</f>
        <v>17686.5981306477</v>
      </c>
      <c r="W35" s="402"/>
      <c r="X35" s="117" t="n">
        <v>0</v>
      </c>
      <c r="Y35" s="414" t="n">
        <v>21</v>
      </c>
      <c r="Z35" s="415" t="n">
        <f aca="false">Z34-Y35</f>
        <v>15190.9836148223</v>
      </c>
      <c r="AA35" s="117" t="n">
        <f aca="false">N35+O35+P35+Q35+R35+U35+X35+Y35</f>
        <v>41</v>
      </c>
      <c r="AB35" s="117" t="n">
        <f aca="false">IF(L35&lt;0,L35*-1,0)</f>
        <v>0</v>
      </c>
      <c r="AC35" s="413" t="n">
        <f aca="false">AA35+AB35</f>
        <v>41</v>
      </c>
      <c r="AD35" s="89" t="n">
        <v>0</v>
      </c>
      <c r="AE35" s="90" t="n">
        <v>55</v>
      </c>
      <c r="AF35" s="120" t="n">
        <v>34</v>
      </c>
      <c r="AG35" s="218" t="n">
        <f aca="false">AG34</f>
        <v>0</v>
      </c>
      <c r="AH35" s="92"/>
      <c r="AI35" s="92" t="n">
        <f aca="false">IF(I35&gt;U35,I35-U35,I35-U35)</f>
        <v>519.0435</v>
      </c>
      <c r="AJ35" s="93" t="n">
        <f aca="false">23.5*(V34*1.9835+AI35*1.9835)/E35</f>
        <v>10.9963403922195</v>
      </c>
      <c r="AK35" s="94"/>
      <c r="AL35" s="8"/>
    </row>
    <row r="36" customFormat="false" ht="11.1" hidden="false" customHeight="true" outlineLevel="0" collapsed="false">
      <c r="A36" s="15" t="n">
        <f aca="false">A35+1</f>
        <v>25</v>
      </c>
      <c r="B36" s="403" t="n">
        <v>6883.84</v>
      </c>
      <c r="C36" s="86" t="n">
        <v>228001</v>
      </c>
      <c r="D36" s="90" t="n">
        <f aca="false">C36-C35</f>
        <v>1006</v>
      </c>
      <c r="E36" s="86" t="n">
        <f aca="false">C36-152000</f>
        <v>76001</v>
      </c>
      <c r="F36" s="409" t="n">
        <f aca="false">D36/$D$2</f>
        <v>507.184270229392</v>
      </c>
      <c r="G36" s="117" t="n">
        <v>500</v>
      </c>
      <c r="H36" s="410" t="n">
        <v>4</v>
      </c>
      <c r="I36" s="117" t="n">
        <f aca="false">G36+H36</f>
        <v>504</v>
      </c>
      <c r="J36" s="411" t="n">
        <f aca="false">IF(L36&gt;0,L36,0)</f>
        <v>52.8842702293925</v>
      </c>
      <c r="K36" s="117" t="n">
        <f aca="false">I36+J36</f>
        <v>556.884270229393</v>
      </c>
      <c r="L36" s="117" t="n">
        <f aca="false">F36-(I36-AA36)</f>
        <v>52.8842702293925</v>
      </c>
      <c r="M36" s="412" t="n">
        <v>25</v>
      </c>
      <c r="N36" s="413" t="n">
        <v>0</v>
      </c>
      <c r="O36" s="413" t="n">
        <f aca="false">11.25*1.05</f>
        <v>11.8125</v>
      </c>
      <c r="P36" s="115" t="n">
        <v>1.43</v>
      </c>
      <c r="Q36" s="115" t="n">
        <v>2.74</v>
      </c>
      <c r="R36" s="116" t="n">
        <v>0</v>
      </c>
      <c r="S36" s="117" t="n">
        <v>0</v>
      </c>
      <c r="T36" s="117" t="n">
        <v>3.7</v>
      </c>
      <c r="U36" s="240" t="n">
        <f aca="false">M36-N36-O36-P36-Q36-R36+S36+T36</f>
        <v>12.7175</v>
      </c>
      <c r="V36" s="216" t="n">
        <f aca="false">V35+AI36-(AJ36/1.9835)</f>
        <v>18172.2599125674</v>
      </c>
      <c r="W36" s="402"/>
      <c r="X36" s="117" t="n">
        <v>0</v>
      </c>
      <c r="Y36" s="414" t="n">
        <v>21</v>
      </c>
      <c r="Z36" s="415" t="n">
        <f aca="false">Z35-Y36</f>
        <v>15169.9836148223</v>
      </c>
      <c r="AA36" s="117" t="n">
        <f aca="false">N36+O36+P36+Q36+R36+U36+X36+Y36</f>
        <v>49.7</v>
      </c>
      <c r="AB36" s="117" t="n">
        <f aca="false">IF(L36&lt;0,L36*-1,0)</f>
        <v>0</v>
      </c>
      <c r="AC36" s="413" t="n">
        <f aca="false">AA36+AB36</f>
        <v>49.7</v>
      </c>
      <c r="AD36" s="89" t="n">
        <v>0</v>
      </c>
      <c r="AE36" s="90" t="n">
        <v>61</v>
      </c>
      <c r="AF36" s="120" t="n">
        <v>32</v>
      </c>
      <c r="AG36" s="218" t="n">
        <f aca="false">AG35</f>
        <v>0</v>
      </c>
      <c r="AH36" s="92"/>
      <c r="AI36" s="92" t="n">
        <f aca="false">IF(I36&gt;U36,I36-U36,I36-U36)</f>
        <v>491.2825</v>
      </c>
      <c r="AJ36" s="93" t="n">
        <f aca="false">23.5*(V35*1.9835+AI36*1.9835)/E36</f>
        <v>11.1486943122578</v>
      </c>
      <c r="AK36" s="94"/>
      <c r="AL36" s="8"/>
    </row>
    <row r="37" customFormat="false" ht="11.1" hidden="false" customHeight="true" outlineLevel="0" collapsed="false">
      <c r="A37" s="15" t="n">
        <f aca="false">A36+1</f>
        <v>26</v>
      </c>
      <c r="B37" s="403" t="n">
        <v>6884.07</v>
      </c>
      <c r="C37" s="86" t="n">
        <v>228728</v>
      </c>
      <c r="D37" s="90" t="n">
        <f aca="false">C37-C36</f>
        <v>727</v>
      </c>
      <c r="E37" s="86" t="n">
        <f aca="false">C37-152000</f>
        <v>76728</v>
      </c>
      <c r="F37" s="409" t="n">
        <f aca="false">D37/$D$2</f>
        <v>366.523821527603</v>
      </c>
      <c r="G37" s="117" t="n">
        <v>519</v>
      </c>
      <c r="H37" s="410" t="n">
        <v>3.7</v>
      </c>
      <c r="I37" s="117" t="n">
        <f aca="false">G37+H37</f>
        <v>522.7</v>
      </c>
      <c r="J37" s="411" t="n">
        <f aca="false">IF(L37&gt;0,L37,0)</f>
        <v>7.82382152760266</v>
      </c>
      <c r="K37" s="117" t="n">
        <f aca="false">I37+J37</f>
        <v>530.523821527603</v>
      </c>
      <c r="L37" s="117" t="n">
        <f aca="false">F37-(I37-AA37)</f>
        <v>7.82382152760266</v>
      </c>
      <c r="M37" s="412" t="n">
        <v>104</v>
      </c>
      <c r="N37" s="413" t="n">
        <v>0</v>
      </c>
      <c r="O37" s="413" t="n">
        <f aca="false">53.02*1.05</f>
        <v>55.671</v>
      </c>
      <c r="P37" s="115" t="n">
        <v>1.43</v>
      </c>
      <c r="Q37" s="115" t="n">
        <v>3.52</v>
      </c>
      <c r="R37" s="116" t="n">
        <v>0</v>
      </c>
      <c r="S37" s="117" t="n">
        <v>0</v>
      </c>
      <c r="T37" s="117" t="n">
        <v>10</v>
      </c>
      <c r="U37" s="240" t="n">
        <f aca="false">M37-N37-O37-P37-Q37-R37+S37+T37</f>
        <v>53.379</v>
      </c>
      <c r="V37" s="216" t="n">
        <f aca="false">V36+AI37-(AJ37/1.9835)</f>
        <v>18635.8714303517</v>
      </c>
      <c r="W37" s="402"/>
      <c r="X37" s="117" t="n">
        <v>29</v>
      </c>
      <c r="Y37" s="414" t="n">
        <v>21</v>
      </c>
      <c r="Z37" s="415" t="n">
        <f aca="false">Z36-Y37</f>
        <v>15148.9836148223</v>
      </c>
      <c r="AA37" s="117" t="n">
        <f aca="false">N37+O37+P37+Q37+R37+U37+X37+Y37</f>
        <v>164</v>
      </c>
      <c r="AB37" s="117" t="n">
        <f aca="false">IF(L37&lt;0,L37*-1,0)</f>
        <v>0</v>
      </c>
      <c r="AC37" s="413" t="n">
        <f aca="false">AA37+AB37</f>
        <v>164</v>
      </c>
      <c r="AD37" s="89" t="n">
        <v>0</v>
      </c>
      <c r="AE37" s="90" t="n">
        <v>69</v>
      </c>
      <c r="AF37" s="91" t="n">
        <v>32</v>
      </c>
      <c r="AG37" s="218" t="n">
        <f aca="false">AG36</f>
        <v>0</v>
      </c>
      <c r="AH37" s="92"/>
      <c r="AI37" s="92" t="n">
        <f aca="false">IF(I37&gt;U37,I37-U37,I37-U37)</f>
        <v>469.321</v>
      </c>
      <c r="AJ37" s="93" t="n">
        <f aca="false">23.5*(V36*1.9835+AI37*1.9835)/E37</f>
        <v>11.3247579748178</v>
      </c>
      <c r="AK37" s="94"/>
      <c r="AL37" s="3"/>
    </row>
    <row r="38" customFormat="false" ht="11.1" hidden="false" customHeight="true" outlineLevel="0" collapsed="false">
      <c r="A38" s="15" t="n">
        <f aca="false">A37+1</f>
        <v>27</v>
      </c>
      <c r="B38" s="403" t="n">
        <v>6884.3</v>
      </c>
      <c r="C38" s="86" t="n">
        <v>229460</v>
      </c>
      <c r="D38" s="90" t="n">
        <f aca="false">C38-C37</f>
        <v>732</v>
      </c>
      <c r="E38" s="86" t="n">
        <f aca="false">C38-152000</f>
        <v>77460</v>
      </c>
      <c r="F38" s="409" t="n">
        <f aca="false">D38/$D$2</f>
        <v>369.044618099319</v>
      </c>
      <c r="G38" s="117" t="n">
        <v>671</v>
      </c>
      <c r="H38" s="410" t="n">
        <v>4.1</v>
      </c>
      <c r="I38" s="117" t="n">
        <f aca="false">G38+H38</f>
        <v>675.1</v>
      </c>
      <c r="J38" s="411" t="n">
        <f aca="false">IF(L38&gt;0,L38,0)</f>
        <v>0</v>
      </c>
      <c r="K38" s="117" t="n">
        <f aca="false">I38+J38</f>
        <v>675.1</v>
      </c>
      <c r="L38" s="117" t="n">
        <f aca="false">F38-(I38-AA38)</f>
        <v>-80.0553819006806</v>
      </c>
      <c r="M38" s="412" t="n">
        <v>142</v>
      </c>
      <c r="N38" s="413" t="n">
        <v>0</v>
      </c>
      <c r="O38" s="413" t="n">
        <f aca="false">93.64*1.05</f>
        <v>98.322</v>
      </c>
      <c r="P38" s="115" t="n">
        <v>1.43</v>
      </c>
      <c r="Q38" s="115" t="n">
        <v>4.2</v>
      </c>
      <c r="R38" s="116" t="n">
        <v>1.06</v>
      </c>
      <c r="S38" s="117" t="n">
        <v>0</v>
      </c>
      <c r="T38" s="117" t="n">
        <v>16</v>
      </c>
      <c r="U38" s="240" t="n">
        <f aca="false">M38-N38-O38-P38-Q38-R38+S38+T38</f>
        <v>52.988</v>
      </c>
      <c r="V38" s="216" t="n">
        <f aca="false">V37+AI38-(AJ38/1.9835)</f>
        <v>19252.1408972945</v>
      </c>
      <c r="W38" s="402"/>
      <c r="X38" s="117" t="n">
        <v>47</v>
      </c>
      <c r="Y38" s="414" t="n">
        <v>21</v>
      </c>
      <c r="Z38" s="415" t="n">
        <f aca="false">Z37-Y38</f>
        <v>15127.9836148223</v>
      </c>
      <c r="AA38" s="117" t="n">
        <f aca="false">N38+O38+P38+Q38+R38+U38+X38+Y38</f>
        <v>226</v>
      </c>
      <c r="AB38" s="117" t="n">
        <f aca="false">IF(L38&lt;0,L38*-1,0)</f>
        <v>80.0553819006806</v>
      </c>
      <c r="AC38" s="413" t="n">
        <f aca="false">AA38+AB38</f>
        <v>306.055381900681</v>
      </c>
      <c r="AD38" s="89" t="n">
        <v>0</v>
      </c>
      <c r="AE38" s="90" t="n">
        <v>70</v>
      </c>
      <c r="AF38" s="91" t="n">
        <v>38</v>
      </c>
      <c r="AG38" s="218" t="n">
        <f aca="false">AG37</f>
        <v>0</v>
      </c>
      <c r="AH38" s="92"/>
      <c r="AI38" s="92" t="n">
        <f aca="false">IF(I38&gt;U38,I38-U38,I38-U38)</f>
        <v>622.112</v>
      </c>
      <c r="AJ38" s="93" t="n">
        <f aca="false">23.5*(V37*1.9835+AI38*1.9835)/E38</f>
        <v>11.5886643190216</v>
      </c>
      <c r="AK38" s="94"/>
      <c r="AL38" s="8"/>
    </row>
    <row r="39" customFormat="false" ht="11.1" hidden="false" customHeight="true" outlineLevel="0" collapsed="false">
      <c r="A39" s="15" t="n">
        <f aca="false">A38+1</f>
        <v>28</v>
      </c>
      <c r="B39" s="403" t="n">
        <v>6884.7</v>
      </c>
      <c r="C39" s="86" t="n">
        <v>230734</v>
      </c>
      <c r="D39" s="90" t="n">
        <f aca="false">C39-C38</f>
        <v>1274</v>
      </c>
      <c r="E39" s="86" t="n">
        <f aca="false">C39-152000</f>
        <v>78734</v>
      </c>
      <c r="F39" s="409" t="n">
        <f aca="false">D39/$D$2</f>
        <v>642.298966473406</v>
      </c>
      <c r="G39" s="117" t="n">
        <v>870</v>
      </c>
      <c r="H39" s="410" t="n">
        <v>8.2</v>
      </c>
      <c r="I39" s="117" t="n">
        <f aca="false">G39+H39</f>
        <v>878.2</v>
      </c>
      <c r="J39" s="411" t="n">
        <f aca="false">IF(L39&gt;0,L39,0)</f>
        <v>7.09896647340554</v>
      </c>
      <c r="K39" s="117" t="n">
        <f aca="false">I39+J39</f>
        <v>885.298966473406</v>
      </c>
      <c r="L39" s="117" t="n">
        <f aca="false">F39-(I39-AA39)</f>
        <v>7.09896647340554</v>
      </c>
      <c r="M39" s="412" t="n">
        <v>169</v>
      </c>
      <c r="N39" s="413" t="n">
        <v>0</v>
      </c>
      <c r="O39" s="413" t="n">
        <f aca="false">85.97*1.05</f>
        <v>90.2685</v>
      </c>
      <c r="P39" s="115" t="n">
        <v>1.43</v>
      </c>
      <c r="Q39" s="115" t="n">
        <v>4.2</v>
      </c>
      <c r="R39" s="116" t="n">
        <v>1.31</v>
      </c>
      <c r="S39" s="117" t="n">
        <v>0</v>
      </c>
      <c r="T39" s="117" t="n">
        <v>23</v>
      </c>
      <c r="U39" s="240" t="n">
        <f aca="false">M39-N39-O39-P39-Q39-R39+S39+T39</f>
        <v>94.7915</v>
      </c>
      <c r="V39" s="216" t="n">
        <f aca="false">V38+AI39-(AJ39/1.9835)</f>
        <v>19946.3941529167</v>
      </c>
      <c r="W39" s="402"/>
      <c r="X39" s="117" t="n">
        <v>30</v>
      </c>
      <c r="Y39" s="414" t="n">
        <v>21</v>
      </c>
      <c r="Z39" s="415" t="n">
        <f aca="false">Z38-Y39</f>
        <v>15106.9836148223</v>
      </c>
      <c r="AA39" s="117" t="n">
        <f aca="false">N39+O39+P39+Q39+R39+U39+X39+Y39</f>
        <v>243</v>
      </c>
      <c r="AB39" s="117" t="n">
        <f aca="false">IF(L39&lt;0,L39*-1,0)</f>
        <v>0</v>
      </c>
      <c r="AC39" s="413" t="n">
        <f aca="false">AA39+AB39</f>
        <v>243</v>
      </c>
      <c r="AD39" s="89" t="n">
        <v>0</v>
      </c>
      <c r="AE39" s="90" t="n">
        <v>71</v>
      </c>
      <c r="AF39" s="91" t="n">
        <v>39</v>
      </c>
      <c r="AG39" s="218" t="n">
        <f aca="false">AG38</f>
        <v>0</v>
      </c>
      <c r="AH39" s="92"/>
      <c r="AI39" s="92" t="n">
        <f aca="false">795-U39</f>
        <v>700.2085</v>
      </c>
      <c r="AJ39" s="93" t="n">
        <f aca="false">23.5*(V38*1.9835+AI39*1.9835)/E39</f>
        <v>11.8122272232332</v>
      </c>
      <c r="AK39" s="94"/>
      <c r="AL39" s="8"/>
    </row>
    <row r="40" customFormat="false" ht="11.1" hidden="false" customHeight="true" outlineLevel="0" collapsed="false">
      <c r="A40" s="15" t="n">
        <f aca="false">A39+1</f>
        <v>29</v>
      </c>
      <c r="B40" s="403" t="n">
        <v>6885.27</v>
      </c>
      <c r="C40" s="86" t="n">
        <v>232560</v>
      </c>
      <c r="D40" s="90" t="n">
        <f aca="false">C40-C39</f>
        <v>1826</v>
      </c>
      <c r="E40" s="86" t="n">
        <f aca="false">C40-152000</f>
        <v>80560</v>
      </c>
      <c r="F40" s="409" t="n">
        <f aca="false">D40/$D$2</f>
        <v>920.594907990925</v>
      </c>
      <c r="G40" s="117" t="n">
        <v>948</v>
      </c>
      <c r="H40" s="410" t="n">
        <v>9.1</v>
      </c>
      <c r="I40" s="117" t="n">
        <f aca="false">G40+H40</f>
        <v>957.1</v>
      </c>
      <c r="J40" s="411" t="n">
        <f aca="false">IF(L40&gt;0,L40,0)</f>
        <v>199.794907990925</v>
      </c>
      <c r="K40" s="117" t="n">
        <f aca="false">I40+J40</f>
        <v>1156.89490799093</v>
      </c>
      <c r="L40" s="117" t="n">
        <f aca="false">F40-(I40-AA40)</f>
        <v>199.794907990925</v>
      </c>
      <c r="M40" s="412" t="n">
        <v>171</v>
      </c>
      <c r="N40" s="413" t="n">
        <v>0</v>
      </c>
      <c r="O40" s="413" t="n">
        <f aca="false">88.55*1.05</f>
        <v>92.9775</v>
      </c>
      <c r="P40" s="115" t="n">
        <v>1.43</v>
      </c>
      <c r="Q40" s="115" t="n">
        <v>4.2</v>
      </c>
      <c r="R40" s="116" t="n">
        <v>0.7</v>
      </c>
      <c r="S40" s="117" t="n">
        <v>0</v>
      </c>
      <c r="T40" s="117" t="n">
        <v>35</v>
      </c>
      <c r="U40" s="240" t="n">
        <f aca="false">M40-N40-O40-P40-Q40-R40+S40+T40</f>
        <v>106.6925</v>
      </c>
      <c r="V40" s="216" t="n">
        <f aca="false">V39+AI40-(AJ40/1.9835)</f>
        <v>20628.6823444653</v>
      </c>
      <c r="W40" s="402"/>
      <c r="X40" s="117" t="n">
        <v>9.3</v>
      </c>
      <c r="Y40" s="414" t="n">
        <v>21</v>
      </c>
      <c r="Z40" s="415" t="n">
        <f aca="false">Z39-Y40</f>
        <v>15085.9836148223</v>
      </c>
      <c r="AA40" s="117" t="n">
        <f aca="false">N40+O40+P40+Q40+R40+U40+X40+Y40</f>
        <v>236.3</v>
      </c>
      <c r="AB40" s="117" t="n">
        <f aca="false">IF(L40&lt;0,L40*-1,0)</f>
        <v>0</v>
      </c>
      <c r="AC40" s="413" t="n">
        <f aca="false">AA40+AB40</f>
        <v>236.3</v>
      </c>
      <c r="AD40" s="89" t="n">
        <v>0.31</v>
      </c>
      <c r="AE40" s="119" t="n">
        <v>60</v>
      </c>
      <c r="AF40" s="91" t="n">
        <v>32</v>
      </c>
      <c r="AG40" s="218" t="n">
        <f aca="false">AG39</f>
        <v>0</v>
      </c>
      <c r="AH40" s="92"/>
      <c r="AI40" s="92" t="n">
        <f aca="false">795-U40</f>
        <v>688.3075</v>
      </c>
      <c r="AJ40" s="93" t="n">
        <f aca="false">23.5*(V39*1.9835+AI40*1.9835)/E40</f>
        <v>11.9392983133214</v>
      </c>
      <c r="AK40" s="94"/>
      <c r="AL40" s="8"/>
    </row>
    <row r="41" customFormat="false" ht="11.1" hidden="false" customHeight="true" outlineLevel="0" collapsed="false">
      <c r="A41" s="15" t="n">
        <v>30</v>
      </c>
      <c r="B41" s="403" t="n">
        <v>6885.8</v>
      </c>
      <c r="C41" s="86" t="n">
        <v>234268</v>
      </c>
      <c r="D41" s="90" t="n">
        <f aca="false">C41-C40</f>
        <v>1708</v>
      </c>
      <c r="E41" s="86" t="n">
        <f aca="false">C41-152000</f>
        <v>82268</v>
      </c>
      <c r="F41" s="409" t="n">
        <f aca="false">D41/$D$2</f>
        <v>861.104108898412</v>
      </c>
      <c r="G41" s="117" t="n">
        <v>912</v>
      </c>
      <c r="H41" s="410" t="n">
        <v>7.7</v>
      </c>
      <c r="I41" s="117" t="n">
        <f aca="false">G41+H41</f>
        <v>919.7</v>
      </c>
      <c r="J41" s="411" t="n">
        <f aca="false">IF(L41&gt;0,L41,0)</f>
        <v>123.404108898412</v>
      </c>
      <c r="K41" s="117" t="n">
        <f aca="false">I41+J41</f>
        <v>1043.10410889841</v>
      </c>
      <c r="L41" s="117" t="n">
        <f aca="false">F41-(I41-AA41)</f>
        <v>123.404108898412</v>
      </c>
      <c r="M41" s="412" t="n">
        <v>92</v>
      </c>
      <c r="N41" s="413" t="n">
        <v>0</v>
      </c>
      <c r="O41" s="413" t="n">
        <f aca="false">39.63*1.05</f>
        <v>41.6115</v>
      </c>
      <c r="P41" s="115" t="n">
        <v>1.43</v>
      </c>
      <c r="Q41" s="115" t="n">
        <v>3.55</v>
      </c>
      <c r="R41" s="116" t="n">
        <v>0</v>
      </c>
      <c r="S41" s="117" t="n">
        <v>0</v>
      </c>
      <c r="T41" s="117" t="n">
        <v>40</v>
      </c>
      <c r="U41" s="240" t="n">
        <f aca="false">M41-N41-O41-P41-Q41-R41+S41+T41</f>
        <v>85.4085</v>
      </c>
      <c r="V41" s="216" t="n">
        <f aca="false">V40+AI41-(AJ41/1.9835)</f>
        <v>21332.1785287248</v>
      </c>
      <c r="W41" s="402"/>
      <c r="X41" s="117" t="n">
        <v>29</v>
      </c>
      <c r="Y41" s="414" t="n">
        <v>21</v>
      </c>
      <c r="Z41" s="415" t="n">
        <f aca="false">Z40-Y41</f>
        <v>15064.9836148223</v>
      </c>
      <c r="AA41" s="117" t="n">
        <f aca="false">N41+O41+P41+Q41+R41+U41+X41+Y41</f>
        <v>182</v>
      </c>
      <c r="AB41" s="117" t="n">
        <f aca="false">IF(L41&lt;0,L41*-1,0)</f>
        <v>0</v>
      </c>
      <c r="AC41" s="413" t="n">
        <f aca="false">AA41+AB41</f>
        <v>182</v>
      </c>
      <c r="AD41" s="89" t="n">
        <v>0.18</v>
      </c>
      <c r="AE41" s="119" t="n">
        <v>49</v>
      </c>
      <c r="AF41" s="91" t="n">
        <v>31</v>
      </c>
      <c r="AG41" s="218" t="n">
        <f aca="false">AG40</f>
        <v>0</v>
      </c>
      <c r="AH41" s="92"/>
      <c r="AI41" s="92" t="n">
        <f aca="false">795-U41</f>
        <v>709.5915</v>
      </c>
      <c r="AJ41" s="93" t="n">
        <f aca="false">23.5*(V40*1.9835+AI41*1.9835)/E41</f>
        <v>12.0900587714139</v>
      </c>
      <c r="AK41" s="94"/>
      <c r="AL41" s="8"/>
    </row>
    <row r="42" customFormat="false" ht="3" hidden="false" customHeight="true" outlineLevel="0" collapsed="false">
      <c r="A42" s="97"/>
      <c r="B42" s="416"/>
      <c r="C42" s="105"/>
      <c r="D42" s="103"/>
      <c r="E42" s="105"/>
      <c r="F42" s="405"/>
      <c r="G42" s="103"/>
      <c r="H42" s="406"/>
      <c r="I42" s="103"/>
      <c r="J42" s="103"/>
      <c r="K42" s="103"/>
      <c r="L42" s="103"/>
      <c r="M42" s="407"/>
      <c r="N42" s="103"/>
      <c r="O42" s="103"/>
      <c r="P42" s="103"/>
      <c r="Q42" s="103"/>
      <c r="R42" s="104"/>
      <c r="S42" s="103"/>
      <c r="T42" s="103"/>
      <c r="U42" s="103"/>
      <c r="V42" s="107"/>
      <c r="W42" s="408"/>
      <c r="X42" s="103"/>
      <c r="Y42" s="103"/>
      <c r="Z42" s="103"/>
      <c r="AA42" s="103"/>
      <c r="AB42" s="103"/>
      <c r="AC42" s="103"/>
      <c r="AD42" s="106"/>
      <c r="AE42" s="107"/>
      <c r="AF42" s="108"/>
      <c r="AG42" s="107"/>
      <c r="AH42" s="107"/>
      <c r="AI42" s="107"/>
      <c r="AJ42" s="109"/>
      <c r="AK42" s="109"/>
    </row>
    <row r="43" customFormat="false" ht="11.1" hidden="false" customHeight="true" outlineLevel="0" collapsed="false">
      <c r="A43" s="16" t="s">
        <v>69</v>
      </c>
      <c r="B43" s="399"/>
      <c r="C43" s="86"/>
      <c r="D43" s="86"/>
      <c r="E43" s="86"/>
      <c r="F43" s="400" t="n">
        <f aca="false">SUM(F12:F41)</f>
        <v>22898.4118981598</v>
      </c>
      <c r="G43" s="88" t="n">
        <f aca="false">SUM(G12:G41)</f>
        <v>20723</v>
      </c>
      <c r="H43" s="88" t="n">
        <f aca="false">SUM(H12:H41)</f>
        <v>817.8</v>
      </c>
      <c r="I43" s="88" t="n">
        <f aca="false">SUM(I12:I41)</f>
        <v>21540.8</v>
      </c>
      <c r="J43" s="88" t="n">
        <f aca="false">SUM(J12:J41)</f>
        <v>5045.7672800605</v>
      </c>
      <c r="K43" s="88" t="n">
        <f aca="false">SUM(K12:K41)</f>
        <v>26586.5672800605</v>
      </c>
      <c r="L43" s="88" t="n">
        <f aca="false">SUM(L12:L41)</f>
        <v>4965.71189815982</v>
      </c>
      <c r="M43" s="401" t="n">
        <f aca="false">SUM(M12:M41)</f>
        <v>2262.2</v>
      </c>
      <c r="N43" s="86" t="n">
        <f aca="false">SUM(N12:N41)</f>
        <v>0</v>
      </c>
      <c r="O43" s="86" t="n">
        <f aca="false">SUM(O12:O41)</f>
        <v>1719.1965</v>
      </c>
      <c r="P43" s="86" t="n">
        <f aca="false">SUM(P12:P41)</f>
        <v>42.9</v>
      </c>
      <c r="Q43" s="86" t="n">
        <f aca="false">SUM(Q12:Q41)</f>
        <v>94.58</v>
      </c>
      <c r="R43" s="87" t="n">
        <f aca="false">SUM(R12:R41)</f>
        <v>3.07</v>
      </c>
      <c r="S43" s="88" t="n">
        <f aca="false">SUM(S12:S41)</f>
        <v>426</v>
      </c>
      <c r="T43" s="88" t="n">
        <f aca="false">SUM(T12:T41)</f>
        <v>137.7</v>
      </c>
      <c r="U43" s="88" t="n">
        <f aca="false">SUM(U12:U41)</f>
        <v>966.1535</v>
      </c>
      <c r="V43" s="92"/>
      <c r="W43" s="402"/>
      <c r="X43" s="88" t="n">
        <f aca="false">SUM(X12:X41)</f>
        <v>152.2</v>
      </c>
      <c r="Y43" s="88" t="n">
        <f aca="false">SUM(Y12:Y41)</f>
        <v>630</v>
      </c>
      <c r="Z43" s="88"/>
      <c r="AA43" s="88" t="n">
        <f aca="false">SUM(AA12:AA41)</f>
        <v>3608.1</v>
      </c>
      <c r="AB43" s="88" t="n">
        <f aca="false">SUM(AB12:AB41)</f>
        <v>80.0553819006806</v>
      </c>
      <c r="AC43" s="86" t="n">
        <f aca="false">SUM(AC12:AC41)</f>
        <v>3688.15538190068</v>
      </c>
      <c r="AD43" s="89" t="n">
        <f aca="false">SUM(AD12:AD41)</f>
        <v>2.65</v>
      </c>
      <c r="AE43" s="90" t="n">
        <f aca="false">AVERAGE(AE12:AE41)</f>
        <v>58.1666666666667</v>
      </c>
      <c r="AF43" s="91" t="n">
        <f aca="false">AVERAGE(AF12:AF41)</f>
        <v>33.5</v>
      </c>
      <c r="AG43" s="92" t="s">
        <v>98</v>
      </c>
      <c r="AH43" s="86" t="n">
        <f aca="false">SUM(AH12:AH41)</f>
        <v>170.01</v>
      </c>
      <c r="AI43" s="92"/>
      <c r="AJ43" s="93"/>
      <c r="AK43" s="94"/>
    </row>
    <row r="44" customFormat="false" ht="11.1" hidden="false" customHeight="true" outlineLevel="0" collapsed="false">
      <c r="A44" s="16" t="s">
        <v>71</v>
      </c>
      <c r="B44" s="399"/>
      <c r="C44" s="86"/>
      <c r="D44" s="86" t="n">
        <f aca="false">SUM(D12:D41)</f>
        <v>45419</v>
      </c>
      <c r="E44" s="86"/>
      <c r="F44" s="400" t="n">
        <f aca="false">F43*$D$2</f>
        <v>45419</v>
      </c>
      <c r="G44" s="88" t="n">
        <f aca="false">G43*$D$2</f>
        <v>41104.0705</v>
      </c>
      <c r="H44" s="88" t="n">
        <f aca="false">H43*$D$2</f>
        <v>1622.1063</v>
      </c>
      <c r="I44" s="88" t="n">
        <f aca="false">I43*$D$2</f>
        <v>42726.1768</v>
      </c>
      <c r="J44" s="88" t="n">
        <f aca="false">J43*$D$2</f>
        <v>10008.2794</v>
      </c>
      <c r="K44" s="88" t="n">
        <f aca="false">K43*$D$2</f>
        <v>52734.4562</v>
      </c>
      <c r="L44" s="88" t="n">
        <f aca="false">L43*$D$2</f>
        <v>9849.48955</v>
      </c>
      <c r="M44" s="401" t="n">
        <f aca="false">M43*$D$2</f>
        <v>4487.0737</v>
      </c>
      <c r="N44" s="86" t="n">
        <f aca="false">N43*$D$2</f>
        <v>0</v>
      </c>
      <c r="O44" s="86" t="n">
        <f aca="false">O43*$D$2</f>
        <v>3410.02625775</v>
      </c>
      <c r="P44" s="86" t="n">
        <f aca="false">P43*$D$2</f>
        <v>85.09215</v>
      </c>
      <c r="Q44" s="86" t="n">
        <f aca="false">Q43*$D$2</f>
        <v>187.59943</v>
      </c>
      <c r="R44" s="87" t="n">
        <f aca="false">R43*$D$2</f>
        <v>6.089345</v>
      </c>
      <c r="S44" s="88" t="n">
        <f aca="false">S43*$D$2</f>
        <v>844.971</v>
      </c>
      <c r="T44" s="88" t="n">
        <f aca="false">T43*$D$2</f>
        <v>273.12795</v>
      </c>
      <c r="U44" s="88" t="n">
        <f aca="false">U43*$D$2</f>
        <v>1916.36546725</v>
      </c>
      <c r="V44" s="92"/>
      <c r="W44" s="402"/>
      <c r="X44" s="88" t="n">
        <f aca="false">X43*$D$2</f>
        <v>301.8887</v>
      </c>
      <c r="Y44" s="88" t="n">
        <f aca="false">Y43*$D$2</f>
        <v>1249.605</v>
      </c>
      <c r="Z44" s="88"/>
      <c r="AA44" s="88" t="n">
        <f aca="false">AA43*$D$2</f>
        <v>7156.66635</v>
      </c>
      <c r="AB44" s="88" t="n">
        <f aca="false">AB43*$D$2</f>
        <v>158.78985</v>
      </c>
      <c r="AC44" s="86" t="n">
        <f aca="false">AC43*$D$2</f>
        <v>7315.4562</v>
      </c>
      <c r="AD44" s="89"/>
      <c r="AE44" s="90" t="n">
        <f aca="false">MAX(AE12:AE41)</f>
        <v>71</v>
      </c>
      <c r="AF44" s="91" t="n">
        <f aca="false">MAX(AF12:AF41)</f>
        <v>39</v>
      </c>
      <c r="AG44" s="92" t="s">
        <v>72</v>
      </c>
      <c r="AH44" s="86" t="n">
        <f aca="false">AH43*$D$2</f>
        <v>337.214835</v>
      </c>
      <c r="AI44" s="92"/>
      <c r="AJ44" s="93" t="n">
        <f aca="false">SUM(AJ12:AJ41)</f>
        <v>252.3199862744</v>
      </c>
      <c r="AK44" s="94"/>
    </row>
    <row r="45" customFormat="false" ht="3" hidden="false" customHeight="true" outlineLevel="0" collapsed="false">
      <c r="A45" s="122"/>
      <c r="B45" s="416"/>
      <c r="C45" s="105"/>
      <c r="D45" s="105"/>
      <c r="E45" s="105"/>
      <c r="F45" s="417"/>
      <c r="G45" s="105"/>
      <c r="H45" s="105"/>
      <c r="I45" s="105"/>
      <c r="J45" s="105"/>
      <c r="K45" s="105"/>
      <c r="L45" s="105"/>
      <c r="M45" s="418"/>
      <c r="N45" s="105"/>
      <c r="O45" s="105"/>
      <c r="P45" s="105"/>
      <c r="Q45" s="105"/>
      <c r="R45" s="125"/>
      <c r="S45" s="105"/>
      <c r="T45" s="105"/>
      <c r="U45" s="105"/>
      <c r="V45" s="107"/>
      <c r="W45" s="408"/>
      <c r="X45" s="105"/>
      <c r="Y45" s="105"/>
      <c r="Z45" s="103"/>
      <c r="AA45" s="105"/>
      <c r="AB45" s="105"/>
      <c r="AC45" s="105"/>
      <c r="AD45" s="419"/>
      <c r="AE45" s="105"/>
      <c r="AF45" s="417"/>
      <c r="AG45" s="107"/>
      <c r="AH45" s="107"/>
      <c r="AI45" s="107"/>
      <c r="AJ45" s="109"/>
      <c r="AK45" s="109"/>
    </row>
    <row r="46" customFormat="false" ht="11.1" hidden="false" customHeight="true" outlineLevel="0" collapsed="false">
      <c r="A46" s="16" t="s">
        <v>73</v>
      </c>
      <c r="B46" s="399"/>
      <c r="C46" s="86"/>
      <c r="D46" s="86"/>
      <c r="E46" s="86"/>
      <c r="F46" s="400" t="n">
        <f aca="false">F43</f>
        <v>22898.4118981598</v>
      </c>
      <c r="G46" s="88" t="n">
        <f aca="false">G43</f>
        <v>20723</v>
      </c>
      <c r="H46" s="92" t="n">
        <f aca="false">H43</f>
        <v>817.8</v>
      </c>
      <c r="I46" s="88" t="n">
        <f aca="false">I43</f>
        <v>21540.8</v>
      </c>
      <c r="J46" s="88" t="n">
        <f aca="false">J43</f>
        <v>5045.7672800605</v>
      </c>
      <c r="K46" s="88" t="n">
        <f aca="false">K43</f>
        <v>26586.5672800605</v>
      </c>
      <c r="L46" s="88" t="n">
        <f aca="false">L43</f>
        <v>4965.71189815982</v>
      </c>
      <c r="M46" s="401" t="n">
        <f aca="false">M43</f>
        <v>2262.2</v>
      </c>
      <c r="N46" s="86" t="n">
        <f aca="false">N43</f>
        <v>0</v>
      </c>
      <c r="O46" s="86" t="n">
        <f aca="false">O9+O43</f>
        <v>1727.9115</v>
      </c>
      <c r="P46" s="86"/>
      <c r="Q46" s="86"/>
      <c r="R46" s="87"/>
      <c r="S46" s="88" t="n">
        <f aca="false">S43</f>
        <v>426</v>
      </c>
      <c r="T46" s="88" t="n">
        <f aca="false">T43</f>
        <v>137.7</v>
      </c>
      <c r="U46" s="88" t="n">
        <f aca="false">U9+U43</f>
        <v>998.0535</v>
      </c>
      <c r="V46" s="92" t="n">
        <f aca="false">V41</f>
        <v>21332.1785287248</v>
      </c>
      <c r="W46" s="402"/>
      <c r="X46" s="88" t="n">
        <f aca="false">X43</f>
        <v>152.2</v>
      </c>
      <c r="Y46" s="88"/>
      <c r="Z46" s="88"/>
      <c r="AA46" s="88" t="n">
        <f aca="false">AA43</f>
        <v>3608.1</v>
      </c>
      <c r="AB46" s="88" t="n">
        <f aca="false">AB43</f>
        <v>80.0553819006806</v>
      </c>
      <c r="AC46" s="86" t="n">
        <f aca="false">AC43</f>
        <v>3688.15538190068</v>
      </c>
      <c r="AD46" s="89"/>
      <c r="AE46" s="90" t="n">
        <f aca="false">MIN(AE12:AE41)</f>
        <v>44</v>
      </c>
      <c r="AF46" s="91" t="n">
        <f aca="false">MIN(AF12:AF41)</f>
        <v>28</v>
      </c>
      <c r="AG46" s="92" t="s">
        <v>74</v>
      </c>
      <c r="AH46" s="92"/>
      <c r="AI46" s="92"/>
      <c r="AJ46" s="93"/>
      <c r="AK46" s="94"/>
    </row>
    <row r="47" customFormat="false" ht="11.1" hidden="false" customHeight="true" outlineLevel="0" collapsed="false">
      <c r="A47" s="16" t="s">
        <v>75</v>
      </c>
      <c r="B47" s="399"/>
      <c r="C47" s="86"/>
      <c r="D47" s="86"/>
      <c r="E47" s="86"/>
      <c r="F47" s="400" t="n">
        <f aca="false">F46*$D$2</f>
        <v>45419</v>
      </c>
      <c r="G47" s="88" t="n">
        <f aca="false">G46*$D$2</f>
        <v>41104.0705</v>
      </c>
      <c r="H47" s="92" t="n">
        <f aca="false">H46*$D$2</f>
        <v>1622.1063</v>
      </c>
      <c r="I47" s="88" t="n">
        <f aca="false">I46*$D$2</f>
        <v>42726.1768</v>
      </c>
      <c r="J47" s="88" t="n">
        <f aca="false">J46*$D$2</f>
        <v>10008.2794</v>
      </c>
      <c r="K47" s="88" t="n">
        <f aca="false">K46*$D$2</f>
        <v>52734.4562</v>
      </c>
      <c r="L47" s="88" t="n">
        <f aca="false">L46*$D$2</f>
        <v>9849.48955</v>
      </c>
      <c r="M47" s="401" t="n">
        <f aca="false">M46*$D$2</f>
        <v>4487.0737</v>
      </c>
      <c r="N47" s="86" t="n">
        <f aca="false">N46*$D$2</f>
        <v>0</v>
      </c>
      <c r="O47" s="86" t="n">
        <f aca="false">O46*$D$2</f>
        <v>3427.31246025</v>
      </c>
      <c r="P47" s="86"/>
      <c r="Q47" s="86"/>
      <c r="R47" s="87"/>
      <c r="S47" s="88" t="n">
        <f aca="false">S46*$D$2</f>
        <v>844.971</v>
      </c>
      <c r="T47" s="88" t="n">
        <f aca="false">T46*$D$2</f>
        <v>273.12795</v>
      </c>
      <c r="U47" s="88" t="n">
        <f aca="false">U46*$D$2</f>
        <v>1979.63911725</v>
      </c>
      <c r="V47" s="92" t="n">
        <f aca="false">V46*$D$2</f>
        <v>42312.3761117256</v>
      </c>
      <c r="W47" s="402"/>
      <c r="X47" s="88" t="n">
        <f aca="false">X46*$D$2</f>
        <v>301.8887</v>
      </c>
      <c r="Y47" s="88"/>
      <c r="Z47" s="88"/>
      <c r="AA47" s="88" t="n">
        <f aca="false">AA46*$D$2</f>
        <v>7156.66635</v>
      </c>
      <c r="AB47" s="88" t="n">
        <f aca="false">AB46*$D$2</f>
        <v>158.78985</v>
      </c>
      <c r="AC47" s="86" t="n">
        <f aca="false">AC46*$D$2</f>
        <v>7315.4562</v>
      </c>
      <c r="AD47" s="89"/>
      <c r="AE47" s="90"/>
      <c r="AF47" s="91"/>
      <c r="AG47" s="92"/>
      <c r="AH47" s="92"/>
      <c r="AI47" s="92"/>
      <c r="AJ47" s="93" t="n">
        <f aca="false">AJ44</f>
        <v>252.3199862744</v>
      </c>
      <c r="AK47" s="94"/>
    </row>
    <row r="48" customFormat="false" ht="3" hidden="false" customHeight="true" outlineLevel="0" collapsed="false">
      <c r="A48" s="122"/>
      <c r="B48" s="416"/>
      <c r="C48" s="105"/>
      <c r="D48" s="105"/>
      <c r="E48" s="105"/>
      <c r="F48" s="417"/>
      <c r="G48" s="105"/>
      <c r="H48" s="107"/>
      <c r="I48" s="105"/>
      <c r="J48" s="105"/>
      <c r="K48" s="105"/>
      <c r="L48" s="105"/>
      <c r="M48" s="418"/>
      <c r="N48" s="105"/>
      <c r="O48" s="105"/>
      <c r="P48" s="105"/>
      <c r="Q48" s="105"/>
      <c r="R48" s="125"/>
      <c r="S48" s="105"/>
      <c r="T48" s="105"/>
      <c r="U48" s="105"/>
      <c r="V48" s="107"/>
      <c r="W48" s="408"/>
      <c r="X48" s="105"/>
      <c r="Y48" s="105"/>
      <c r="Z48" s="105"/>
      <c r="AA48" s="105"/>
      <c r="AB48" s="105"/>
      <c r="AC48" s="105"/>
      <c r="AD48" s="106"/>
      <c r="AE48" s="420"/>
      <c r="AF48" s="421"/>
      <c r="AG48" s="107"/>
      <c r="AH48" s="107"/>
      <c r="AI48" s="107"/>
      <c r="AJ48" s="109"/>
      <c r="AK48" s="109"/>
    </row>
    <row r="49" customFormat="false" ht="11.1" hidden="false" customHeight="true" outlineLevel="0" collapsed="false">
      <c r="A49" s="16" t="s">
        <v>76</v>
      </c>
      <c r="B49" s="399"/>
      <c r="C49" s="86"/>
      <c r="D49" s="86"/>
      <c r="E49" s="86"/>
      <c r="F49" s="400" t="n">
        <f aca="false">F10+F43</f>
        <v>30413.4106377615</v>
      </c>
      <c r="G49" s="88" t="n">
        <f aca="false">G10+G43</f>
        <v>34851</v>
      </c>
      <c r="H49" s="92" t="n">
        <f aca="false">H10+H43</f>
        <v>1121.4</v>
      </c>
      <c r="I49" s="88" t="n">
        <f aca="false">I10+I43</f>
        <v>35972.4</v>
      </c>
      <c r="J49" s="88" t="n">
        <f aca="false">J10+J43</f>
        <v>10683.370427275</v>
      </c>
      <c r="K49" s="88" t="n">
        <f aca="false">K10+K43</f>
        <v>46655.770427275</v>
      </c>
      <c r="L49" s="88" t="n">
        <f aca="false">L10+L43</f>
        <v>10378.5656377615</v>
      </c>
      <c r="M49" s="401" t="n">
        <f aca="false">M10+M43</f>
        <v>3237.6</v>
      </c>
      <c r="N49" s="86" t="n">
        <f aca="false">N10+N43</f>
        <v>0</v>
      </c>
      <c r="O49" s="86" t="n">
        <f aca="false">O10+O43</f>
        <v>1727.9115</v>
      </c>
      <c r="P49" s="86" t="n">
        <f aca="false">P10+P43</f>
        <v>256.454</v>
      </c>
      <c r="Q49" s="86" t="n">
        <f aca="false">Q10+Q43</f>
        <v>485.864</v>
      </c>
      <c r="R49" s="87" t="n">
        <f aca="false">R10+R43</f>
        <v>3.07</v>
      </c>
      <c r="S49" s="88" t="n">
        <f aca="false">S10+S43</f>
        <v>8406.2</v>
      </c>
      <c r="T49" s="88" t="n">
        <f aca="false">T10+T43</f>
        <v>273.7</v>
      </c>
      <c r="U49" s="88" t="n">
        <f aca="false">U10+U43</f>
        <v>9438.13099</v>
      </c>
      <c r="V49" s="92"/>
      <c r="W49" s="402"/>
      <c r="X49" s="88" t="n">
        <f aca="false">X10+X43</f>
        <v>152.2</v>
      </c>
      <c r="Y49" s="88" t="n">
        <f aca="false">Y10+Y43</f>
        <v>3836</v>
      </c>
      <c r="Z49" s="88" t="n">
        <f aca="false">Z41</f>
        <v>15064.9836148223</v>
      </c>
      <c r="AA49" s="88" t="n">
        <f aca="false">AA10+AA43</f>
        <v>15937.555</v>
      </c>
      <c r="AB49" s="88" t="n">
        <f aca="false">AB10+AB43</f>
        <v>304.804789513486</v>
      </c>
      <c r="AC49" s="86" t="n">
        <f aca="false">AC10+AC43</f>
        <v>16242.3597895135</v>
      </c>
      <c r="AD49" s="89" t="n">
        <f aca="false">AD10+AD43</f>
        <v>9.41</v>
      </c>
      <c r="AE49" s="90"/>
      <c r="AF49" s="91"/>
      <c r="AG49" s="92"/>
      <c r="AH49" s="86" t="n">
        <f aca="false">AH10+AH43</f>
        <v>346.51</v>
      </c>
      <c r="AI49" s="92"/>
      <c r="AJ49" s="93"/>
      <c r="AK49" s="94"/>
    </row>
    <row r="50" customFormat="false" ht="11.1" hidden="false" customHeight="true" outlineLevel="0" collapsed="false">
      <c r="A50" s="16" t="s">
        <v>77</v>
      </c>
      <c r="B50" s="399"/>
      <c r="C50" s="86"/>
      <c r="D50" s="86" t="n">
        <f aca="false">D10+D44</f>
        <v>60325</v>
      </c>
      <c r="E50" s="86" t="n">
        <f aca="false">E41</f>
        <v>82268</v>
      </c>
      <c r="F50" s="400" t="n">
        <f aca="false">F49*$D$2</f>
        <v>60325</v>
      </c>
      <c r="G50" s="88" t="n">
        <f aca="false">G49*$D$2</f>
        <v>69126.9585</v>
      </c>
      <c r="H50" s="92" t="n">
        <f aca="false">H49*$D$2</f>
        <v>2224.2969</v>
      </c>
      <c r="I50" s="88" t="n">
        <f aca="false">I49*$D$2</f>
        <v>71351.2554</v>
      </c>
      <c r="J50" s="88" t="n">
        <f aca="false">J49*$D$2</f>
        <v>21190.4652425</v>
      </c>
      <c r="K50" s="88" t="n">
        <f aca="false">K49*$D$2</f>
        <v>92541.7206425</v>
      </c>
      <c r="L50" s="88" t="n">
        <f aca="false">L49*$D$2</f>
        <v>20585.8849425</v>
      </c>
      <c r="M50" s="401" t="n">
        <f aca="false">M49*$D$2</f>
        <v>6421.7796</v>
      </c>
      <c r="N50" s="86" t="n">
        <f aca="false">N49*$D$2</f>
        <v>0</v>
      </c>
      <c r="O50" s="86" t="n">
        <f aca="false">O49*$D$2</f>
        <v>3427.31246025</v>
      </c>
      <c r="P50" s="86" t="n">
        <f aca="false">P49*$D$2</f>
        <v>508.676509</v>
      </c>
      <c r="Q50" s="86" t="n">
        <f aca="false">Q49*$D$2</f>
        <v>963.711244</v>
      </c>
      <c r="R50" s="87" t="n">
        <f aca="false">R49*$D$2</f>
        <v>6.089345</v>
      </c>
      <c r="S50" s="88" t="n">
        <f aca="false">S49*$D$2</f>
        <v>16673.6977</v>
      </c>
      <c r="T50" s="88" t="n">
        <f aca="false">T49*$D$2</f>
        <v>542.88395</v>
      </c>
      <c r="U50" s="88" t="n">
        <f aca="false">U49*$D$2</f>
        <v>18720.532818665</v>
      </c>
      <c r="V50" s="92"/>
      <c r="W50" s="402"/>
      <c r="X50" s="88" t="n">
        <f aca="false">X49*$D$2</f>
        <v>301.8887</v>
      </c>
      <c r="Y50" s="88" t="n">
        <f aca="false">Y49*$D$2</f>
        <v>7608.706</v>
      </c>
      <c r="Z50" s="88" t="n">
        <f aca="false">Z49*$D$2</f>
        <v>29881.395</v>
      </c>
      <c r="AA50" s="88" t="n">
        <f aca="false">AA49*$D$2</f>
        <v>31612.1403425</v>
      </c>
      <c r="AB50" s="88" t="n">
        <f aca="false">AB49*$D$2</f>
        <v>604.5803</v>
      </c>
      <c r="AC50" s="86" t="n">
        <f aca="false">AC49*$D$2</f>
        <v>32216.7206425</v>
      </c>
      <c r="AD50" s="89"/>
      <c r="AE50" s="90"/>
      <c r="AF50" s="91"/>
      <c r="AG50" s="92" t="n">
        <f aca="false">AG41</f>
        <v>0</v>
      </c>
      <c r="AH50" s="86" t="n">
        <f aca="false">AH49*$D$2</f>
        <v>687.302585</v>
      </c>
      <c r="AI50" s="92"/>
      <c r="AJ50" s="93" t="n">
        <f aca="false">AJ44</f>
        <v>252.3199862744</v>
      </c>
      <c r="AK50" s="94"/>
    </row>
    <row r="51" customFormat="false" ht="3" hidden="false" customHeight="true" outlineLevel="0" collapsed="false">
      <c r="A51" s="97"/>
      <c r="B51" s="121"/>
      <c r="C51" s="99"/>
      <c r="D51" s="97"/>
      <c r="E51" s="99"/>
      <c r="F51" s="100"/>
      <c r="G51" s="97"/>
      <c r="H51" s="101"/>
      <c r="I51" s="97"/>
      <c r="J51" s="97"/>
      <c r="K51" s="97"/>
      <c r="L51" s="97"/>
      <c r="M51" s="102"/>
      <c r="N51" s="97"/>
      <c r="O51" s="97"/>
      <c r="P51" s="97"/>
      <c r="Q51" s="97"/>
      <c r="R51" s="127"/>
      <c r="S51" s="97"/>
      <c r="T51" s="97"/>
      <c r="U51" s="97"/>
      <c r="V51" s="126"/>
      <c r="W51" s="422"/>
      <c r="X51" s="97"/>
      <c r="Y51" s="97"/>
      <c r="Z51" s="99"/>
      <c r="AA51" s="97"/>
      <c r="AB51" s="97"/>
      <c r="AC51" s="97"/>
      <c r="AD51" s="121"/>
      <c r="AE51" s="97"/>
      <c r="AF51" s="100"/>
      <c r="AG51" s="126"/>
      <c r="AH51" s="126"/>
      <c r="AI51" s="126"/>
      <c r="AJ51" s="128"/>
      <c r="AK51" s="128"/>
    </row>
    <row r="52" customFormat="false" ht="14.1" hidden="false" customHeight="true" outlineLevel="0" collapsed="false">
      <c r="A52" s="131"/>
      <c r="B52" s="132"/>
      <c r="C52" s="9"/>
      <c r="D52" s="8"/>
      <c r="E52" s="9"/>
      <c r="F52" s="8"/>
      <c r="G52" s="8"/>
      <c r="H52" s="10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4"/>
      <c r="W52" s="112"/>
      <c r="X52" s="8"/>
      <c r="Y52" s="8"/>
      <c r="Z52" s="9"/>
      <c r="AA52" s="8"/>
      <c r="AB52" s="8"/>
      <c r="AC52" s="423"/>
      <c r="AD52" s="367"/>
      <c r="AE52" s="110"/>
      <c r="AF52" s="110"/>
      <c r="AG52" s="14"/>
      <c r="AH52" s="14"/>
      <c r="AI52" s="368"/>
      <c r="AJ52" s="424"/>
    </row>
    <row r="53" customFormat="false" ht="11.1" hidden="false" customHeight="true" outlineLevel="0" collapsed="false">
      <c r="A53" s="8"/>
      <c r="B53" s="133"/>
      <c r="C53" s="9"/>
      <c r="D53" s="134"/>
      <c r="E53" s="9"/>
      <c r="F53" s="8"/>
      <c r="G53" s="8"/>
      <c r="H53" s="134"/>
      <c r="I53" s="10"/>
      <c r="J53" s="8"/>
      <c r="K53" s="135"/>
      <c r="L53" s="8"/>
      <c r="M53" s="8"/>
      <c r="N53" s="8"/>
      <c r="O53" s="8"/>
      <c r="P53" s="8"/>
      <c r="Q53" s="8"/>
      <c r="R53" s="8"/>
      <c r="S53" s="8"/>
      <c r="T53" s="8"/>
      <c r="U53" s="8"/>
      <c r="V53" s="14"/>
      <c r="W53" s="112"/>
      <c r="X53" s="8"/>
      <c r="Y53" s="8"/>
      <c r="Z53" s="9"/>
      <c r="AA53" s="8"/>
      <c r="AB53" s="8"/>
      <c r="AC53" s="114"/>
      <c r="AD53" s="367"/>
      <c r="AE53" s="110"/>
      <c r="AF53" s="110"/>
      <c r="AG53" s="14"/>
      <c r="AH53" s="14"/>
      <c r="AI53" s="368"/>
      <c r="AJ53" s="424"/>
    </row>
    <row r="54" customFormat="false" ht="11.1" hidden="false" customHeight="true" outlineLevel="0" collapsed="false">
      <c r="B54" s="134"/>
      <c r="C54" s="9"/>
      <c r="D54" s="9"/>
      <c r="E54" s="9"/>
      <c r="F54" s="134"/>
      <c r="G54" s="134"/>
      <c r="H54" s="10"/>
      <c r="I54" s="134"/>
      <c r="J54" s="134"/>
      <c r="K54" s="134"/>
      <c r="L54" s="134"/>
      <c r="M54" s="112"/>
      <c r="N54" s="112"/>
      <c r="O54" s="112"/>
      <c r="P54" s="112"/>
      <c r="Q54" s="112"/>
      <c r="R54" s="112"/>
      <c r="S54" s="134"/>
      <c r="T54" s="134"/>
      <c r="U54" s="134"/>
      <c r="V54" s="14"/>
      <c r="W54" s="112"/>
      <c r="X54" s="134"/>
      <c r="Y54" s="134"/>
      <c r="Z54" s="9"/>
      <c r="AA54" s="134"/>
      <c r="AB54" s="134"/>
      <c r="AC54" s="425"/>
      <c r="AD54" s="367"/>
      <c r="AE54" s="110"/>
      <c r="AF54" s="110"/>
      <c r="AG54" s="14"/>
      <c r="AH54" s="14"/>
      <c r="AI54" s="368"/>
      <c r="AJ54" s="424"/>
    </row>
    <row r="55" customFormat="false" ht="11.1" hidden="false" customHeight="true" outlineLevel="0" collapsed="false">
      <c r="A55" s="134"/>
      <c r="B55" s="12"/>
      <c r="C55" s="9"/>
      <c r="D55" s="9"/>
      <c r="E55" s="9"/>
      <c r="F55" s="134"/>
      <c r="G55" s="134"/>
      <c r="H55" s="10"/>
      <c r="I55" s="134"/>
      <c r="J55" s="134"/>
      <c r="K55" s="134"/>
      <c r="L55" s="134"/>
      <c r="M55" s="112"/>
      <c r="N55" s="112"/>
      <c r="O55" s="112"/>
      <c r="P55" s="112"/>
      <c r="Q55" s="112"/>
      <c r="R55" s="112"/>
      <c r="S55" s="134"/>
      <c r="T55" s="134"/>
      <c r="U55" s="134"/>
      <c r="V55" s="14"/>
      <c r="W55" s="112"/>
      <c r="X55" s="134"/>
      <c r="Y55" s="134"/>
      <c r="Z55" s="9"/>
      <c r="AA55" s="134"/>
      <c r="AB55" s="134"/>
      <c r="AC55" s="423"/>
      <c r="AD55" s="367"/>
      <c r="AE55" s="110"/>
      <c r="AF55" s="110"/>
      <c r="AG55" s="14"/>
      <c r="AH55" s="14"/>
      <c r="AI55" s="368"/>
      <c r="AJ55" s="424"/>
    </row>
    <row r="56" customFormat="false" ht="11.1" hidden="false" customHeight="true" outlineLevel="0" collapsed="false">
      <c r="A56" s="134"/>
      <c r="B56" s="134"/>
      <c r="C56" s="9"/>
      <c r="D56" s="134"/>
      <c r="E56" s="9"/>
      <c r="F56" s="134"/>
      <c r="G56" s="136"/>
      <c r="H56" s="10"/>
      <c r="I56" s="134"/>
      <c r="J56" s="134"/>
      <c r="K56" s="134"/>
      <c r="L56" s="134"/>
      <c r="M56" s="112"/>
      <c r="N56" s="112"/>
      <c r="O56" s="112"/>
      <c r="P56" s="112"/>
      <c r="Q56" s="112"/>
      <c r="R56" s="134"/>
      <c r="S56" s="134"/>
      <c r="T56" s="134"/>
      <c r="U56" s="9"/>
      <c r="V56" s="14"/>
      <c r="W56" s="112"/>
      <c r="X56" s="134"/>
      <c r="Y56" s="9"/>
      <c r="Z56" s="134"/>
      <c r="AA56" s="134"/>
      <c r="AB56" s="134"/>
      <c r="AC56" s="366"/>
      <c r="AD56" s="367"/>
      <c r="AE56" s="110"/>
      <c r="AF56" s="80"/>
      <c r="AG56" s="15"/>
      <c r="AH56" s="15"/>
      <c r="AI56" s="368"/>
    </row>
    <row r="57" customFormat="false" ht="11.1" hidden="false" customHeight="true" outlineLevel="0" collapsed="false">
      <c r="AF57" s="80"/>
      <c r="AG57" s="15"/>
      <c r="AH57" s="15"/>
    </row>
  </sheetData>
  <mergeCells count="1"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H20" activeCellId="0" sqref="AH20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141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6" min="16" style="140" width="4.32"/>
    <col collapsed="false" customWidth="true" hidden="false" outlineLevel="0" max="17" min="17" style="142" width="4.32"/>
    <col collapsed="false" customWidth="true" hidden="false" outlineLevel="0" max="18" min="18" style="137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4" min="22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39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3" min="33" style="142" width="5.49"/>
    <col collapsed="false" customWidth="true" hidden="false" outlineLevel="0" max="34" min="34" style="137" width="5.49"/>
    <col collapsed="false" customWidth="true" hidden="false" outlineLevel="0" max="35" min="35" style="137" width="6.32"/>
    <col collapsed="false" customWidth="true" hidden="false" outlineLevel="0" max="36" min="36" style="426" width="6.32"/>
    <col collapsed="false" customWidth="true" hidden="false" outlineLevel="0" max="37" min="37" style="137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50"/>
      <c r="I1" s="145"/>
      <c r="J1" s="145"/>
      <c r="K1" s="148" t="s">
        <v>0</v>
      </c>
      <c r="L1" s="145"/>
      <c r="M1" s="145"/>
      <c r="N1" s="145"/>
      <c r="O1" s="145"/>
      <c r="P1" s="145"/>
      <c r="Q1" s="152"/>
      <c r="R1" s="145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320"/>
      <c r="AH1" s="261"/>
      <c r="AI1" s="261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50"/>
      <c r="I2" s="145"/>
      <c r="J2" s="145"/>
      <c r="K2" s="156" t="s">
        <v>99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  <c r="AG2" s="320"/>
      <c r="AH2" s="261"/>
      <c r="AI2" s="261"/>
    </row>
    <row r="3" customFormat="false" ht="14.1" hidden="false" customHeight="true" outlineLevel="0" collapsed="false">
      <c r="A3" s="145"/>
      <c r="B3" s="145"/>
      <c r="C3" s="146"/>
      <c r="D3" s="427"/>
      <c r="E3" s="146"/>
      <c r="F3" s="145"/>
      <c r="G3" s="145"/>
      <c r="H3" s="150"/>
      <c r="I3" s="145"/>
      <c r="J3" s="145"/>
      <c r="K3" s="145"/>
      <c r="L3" s="145"/>
      <c r="M3" s="145"/>
      <c r="N3" s="145"/>
      <c r="O3" s="145"/>
      <c r="P3" s="145"/>
      <c r="Q3" s="152"/>
      <c r="R3" s="145"/>
      <c r="S3" s="145"/>
      <c r="T3" s="145"/>
      <c r="U3" s="146"/>
      <c r="V3" s="145"/>
      <c r="W3" s="145"/>
      <c r="X3" s="145"/>
      <c r="Y3" s="146"/>
      <c r="Z3" s="145"/>
      <c r="AA3" s="145"/>
      <c r="AB3" s="145"/>
      <c r="AC3" s="150"/>
      <c r="AD3" s="151"/>
      <c r="AE3" s="152"/>
      <c r="AF3" s="153"/>
      <c r="AG3" s="320"/>
      <c r="AH3" s="261"/>
      <c r="AI3" s="261"/>
    </row>
    <row r="4" s="181" customFormat="true" ht="14.1" hidden="false" customHeight="true" outlineLevel="0" collapsed="false">
      <c r="A4" s="428"/>
      <c r="B4" s="169"/>
      <c r="C4" s="170"/>
      <c r="D4" s="266" t="s">
        <v>3</v>
      </c>
      <c r="E4" s="170"/>
      <c r="F4" s="428"/>
      <c r="G4" s="169"/>
      <c r="H4" s="429"/>
      <c r="I4" s="428"/>
      <c r="J4" s="428"/>
      <c r="K4" s="428"/>
      <c r="L4" s="428"/>
      <c r="M4" s="428"/>
      <c r="N4" s="428"/>
      <c r="O4" s="428"/>
      <c r="P4" s="428"/>
      <c r="Q4" s="430"/>
      <c r="R4" s="428"/>
      <c r="S4" s="431" t="s">
        <v>4</v>
      </c>
      <c r="T4" s="428"/>
      <c r="U4" s="170"/>
      <c r="V4" s="428"/>
      <c r="W4" s="428"/>
      <c r="X4" s="428"/>
      <c r="Y4" s="170"/>
      <c r="Z4" s="428"/>
      <c r="AA4" s="428"/>
      <c r="AB4" s="428"/>
      <c r="AC4" s="429"/>
      <c r="AD4" s="178"/>
      <c r="AE4" s="179" t="s">
        <v>5</v>
      </c>
      <c r="AF4" s="180"/>
      <c r="AG4" s="382"/>
      <c r="AH4" s="382"/>
      <c r="AI4" s="174" t="s">
        <v>6</v>
      </c>
      <c r="AJ4" s="384"/>
      <c r="AK4" s="385"/>
    </row>
    <row r="5" customFormat="false" ht="11.1" hidden="false" customHeight="true" outlineLevel="0" collapsed="false">
      <c r="A5" s="209" t="s">
        <v>7</v>
      </c>
      <c r="B5" s="432" t="s">
        <v>8</v>
      </c>
      <c r="C5" s="205" t="s">
        <v>8</v>
      </c>
      <c r="D5" s="209" t="s">
        <v>9</v>
      </c>
      <c r="E5" s="205" t="s">
        <v>10</v>
      </c>
      <c r="F5" s="209" t="s">
        <v>11</v>
      </c>
      <c r="G5" s="433" t="s">
        <v>12</v>
      </c>
      <c r="H5" s="434" t="s">
        <v>13</v>
      </c>
      <c r="I5" s="435" t="s">
        <v>14</v>
      </c>
      <c r="J5" s="435" t="s">
        <v>15</v>
      </c>
      <c r="K5" s="435" t="s">
        <v>16</v>
      </c>
      <c r="L5" s="209" t="s">
        <v>15</v>
      </c>
      <c r="M5" s="190" t="s">
        <v>17</v>
      </c>
      <c r="N5" s="190"/>
      <c r="O5" s="190"/>
      <c r="P5" s="190"/>
      <c r="Q5" s="190"/>
      <c r="R5" s="190"/>
      <c r="S5" s="209" t="s">
        <v>18</v>
      </c>
      <c r="T5" s="209" t="s">
        <v>19</v>
      </c>
      <c r="U5" s="209" t="s">
        <v>16</v>
      </c>
      <c r="V5" s="205" t="s">
        <v>20</v>
      </c>
      <c r="W5" s="205" t="s">
        <v>20</v>
      </c>
      <c r="X5" s="209" t="s">
        <v>21</v>
      </c>
      <c r="Y5" s="209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324" t="s">
        <v>24</v>
      </c>
      <c r="AE5" s="201" t="s">
        <v>25</v>
      </c>
      <c r="AF5" s="325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78" t="s">
        <v>28</v>
      </c>
    </row>
    <row r="6" customFormat="false" ht="11.1" hidden="false" customHeight="true" outlineLevel="0" collapsed="false">
      <c r="A6" s="436" t="s">
        <v>101</v>
      </c>
      <c r="B6" s="432" t="s">
        <v>30</v>
      </c>
      <c r="C6" s="205" t="s">
        <v>9</v>
      </c>
      <c r="D6" s="209" t="s">
        <v>31</v>
      </c>
      <c r="E6" s="205" t="s">
        <v>32</v>
      </c>
      <c r="F6" s="209" t="s">
        <v>33</v>
      </c>
      <c r="G6" s="433" t="s">
        <v>34</v>
      </c>
      <c r="H6" s="434" t="s">
        <v>35</v>
      </c>
      <c r="I6" s="435" t="s">
        <v>36</v>
      </c>
      <c r="J6" s="435" t="s">
        <v>36</v>
      </c>
      <c r="K6" s="435" t="s">
        <v>36</v>
      </c>
      <c r="L6" s="209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1" t="s">
        <v>42</v>
      </c>
      <c r="R6" s="210" t="s">
        <v>43</v>
      </c>
      <c r="S6" s="209" t="s">
        <v>44</v>
      </c>
      <c r="T6" s="209" t="s">
        <v>45</v>
      </c>
      <c r="U6" s="209" t="s">
        <v>20</v>
      </c>
      <c r="V6" s="205" t="s">
        <v>83</v>
      </c>
      <c r="W6" s="205" t="s">
        <v>65</v>
      </c>
      <c r="X6" s="209" t="s">
        <v>48</v>
      </c>
      <c r="Y6" s="209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327"/>
      <c r="AE6" s="201" t="s">
        <v>52</v>
      </c>
      <c r="AF6" s="325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78" t="s">
        <v>56</v>
      </c>
    </row>
    <row r="7" customFormat="false" ht="11.1" hidden="false" customHeight="true" outlineLevel="0" collapsed="false">
      <c r="A7" s="209"/>
      <c r="B7" s="432"/>
      <c r="C7" s="205"/>
      <c r="D7" s="209"/>
      <c r="E7" s="205" t="s">
        <v>57</v>
      </c>
      <c r="F7" s="209"/>
      <c r="G7" s="432"/>
      <c r="H7" s="438"/>
      <c r="I7" s="209"/>
      <c r="J7" s="209"/>
      <c r="K7" s="209"/>
      <c r="L7" s="209"/>
      <c r="M7" s="437"/>
      <c r="N7" s="209" t="s">
        <v>58</v>
      </c>
      <c r="O7" s="209" t="s">
        <v>59</v>
      </c>
      <c r="P7" s="209"/>
      <c r="Q7" s="201"/>
      <c r="R7" s="210" t="s">
        <v>40</v>
      </c>
      <c r="S7" s="209"/>
      <c r="T7" s="209"/>
      <c r="U7" s="209"/>
      <c r="V7" s="205" t="s">
        <v>60</v>
      </c>
      <c r="W7" s="205"/>
      <c r="X7" s="209"/>
      <c r="Y7" s="209"/>
      <c r="Z7" s="205"/>
      <c r="AA7" s="209"/>
      <c r="AB7" s="209"/>
      <c r="AC7" s="209"/>
      <c r="AD7" s="327"/>
      <c r="AE7" s="201"/>
      <c r="AF7" s="325"/>
      <c r="AG7" s="61" t="s">
        <v>57</v>
      </c>
      <c r="AH7" s="61" t="s">
        <v>61</v>
      </c>
      <c r="AI7" s="62" t="s">
        <v>97</v>
      </c>
      <c r="AJ7" s="62" t="s">
        <v>84</v>
      </c>
      <c r="AK7" s="78" t="s">
        <v>64</v>
      </c>
    </row>
    <row r="8" customFormat="false" ht="11.1" hidden="false" customHeight="true" outlineLevel="0" collapsed="false">
      <c r="A8" s="209"/>
      <c r="B8" s="432"/>
      <c r="C8" s="205"/>
      <c r="D8" s="209"/>
      <c r="E8" s="205"/>
      <c r="F8" s="209"/>
      <c r="G8" s="432"/>
      <c r="H8" s="438"/>
      <c r="I8" s="209"/>
      <c r="J8" s="209"/>
      <c r="K8" s="209"/>
      <c r="L8" s="209"/>
      <c r="M8" s="437"/>
      <c r="N8" s="209"/>
      <c r="O8" s="209"/>
      <c r="P8" s="209"/>
      <c r="Q8" s="201"/>
      <c r="R8" s="210" t="s">
        <v>65</v>
      </c>
      <c r="S8" s="209"/>
      <c r="T8" s="209"/>
      <c r="U8" s="209"/>
      <c r="V8" s="205"/>
      <c r="W8" s="205"/>
      <c r="X8" s="209"/>
      <c r="Y8" s="209"/>
      <c r="Z8" s="205"/>
      <c r="AA8" s="209"/>
      <c r="AB8" s="209"/>
      <c r="AC8" s="209"/>
      <c r="AD8" s="327"/>
      <c r="AE8" s="201"/>
      <c r="AF8" s="325"/>
      <c r="AG8" s="61"/>
      <c r="AH8" s="61"/>
      <c r="AI8" s="62"/>
      <c r="AJ8" s="62" t="s">
        <v>61</v>
      </c>
      <c r="AK8" s="398"/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6" t="n">
        <f aca="false">APR!F46</f>
        <v>22898.4118981598</v>
      </c>
      <c r="G9" s="439" t="n">
        <f aca="false">APR!G46</f>
        <v>20723</v>
      </c>
      <c r="H9" s="218" t="n">
        <f aca="false">APR!H46</f>
        <v>817.8</v>
      </c>
      <c r="I9" s="216" t="n">
        <f aca="false">APR!I46</f>
        <v>21540.8</v>
      </c>
      <c r="J9" s="216" t="n">
        <f aca="false">APR!J46</f>
        <v>5045.7672800605</v>
      </c>
      <c r="K9" s="216" t="n">
        <f aca="false">APR!K46</f>
        <v>26586.5672800605</v>
      </c>
      <c r="L9" s="216" t="n">
        <f aca="false">APR!L46</f>
        <v>4965.71189815982</v>
      </c>
      <c r="M9" s="219" t="n">
        <f aca="false">APR!M46</f>
        <v>2262.2</v>
      </c>
      <c r="N9" s="216" t="n">
        <f aca="false">APR!N46</f>
        <v>0</v>
      </c>
      <c r="O9" s="216" t="n">
        <f aca="false">APR!O46</f>
        <v>1727.9115</v>
      </c>
      <c r="P9" s="216"/>
      <c r="Q9" s="218"/>
      <c r="R9" s="220"/>
      <c r="S9" s="216" t="n">
        <f aca="false">APR!S46</f>
        <v>426</v>
      </c>
      <c r="T9" s="216" t="n">
        <f aca="false">APR!T46</f>
        <v>137.7</v>
      </c>
      <c r="U9" s="216" t="n">
        <f aca="false">APR!U46</f>
        <v>998.0535</v>
      </c>
      <c r="V9" s="216" t="n">
        <f aca="false">APR!V46</f>
        <v>21332.1785287248</v>
      </c>
      <c r="W9" s="216"/>
      <c r="X9" s="216" t="n">
        <f aca="false">APR!X46</f>
        <v>152.2</v>
      </c>
      <c r="Y9" s="216"/>
      <c r="Z9" s="216"/>
      <c r="AA9" s="216" t="n">
        <f aca="false">APR!AA46</f>
        <v>3608.1</v>
      </c>
      <c r="AB9" s="216" t="n">
        <f aca="false">APR!AB46</f>
        <v>80.0553819006806</v>
      </c>
      <c r="AC9" s="216" t="n">
        <f aca="false">APR!AC46</f>
        <v>3688.15538190068</v>
      </c>
      <c r="AD9" s="222"/>
      <c r="AE9" s="218"/>
      <c r="AF9" s="223"/>
      <c r="AG9" s="218"/>
      <c r="AH9" s="218"/>
      <c r="AI9" s="240"/>
      <c r="AJ9" s="341" t="n">
        <f aca="false">APR!AJ47</f>
        <v>252.3199862744</v>
      </c>
      <c r="AK9" s="216" t="n">
        <f aca="false">APR!AK46</f>
        <v>0</v>
      </c>
    </row>
    <row r="10" s="138" customFormat="true" ht="11.1" hidden="false" customHeight="true" outlineLevel="0" collapsed="false">
      <c r="A10" s="225" t="s">
        <v>68</v>
      </c>
      <c r="B10" s="226" t="n">
        <f aca="false">APR!B41</f>
        <v>6885.8</v>
      </c>
      <c r="C10" s="216" t="n">
        <f aca="false">APR!C41</f>
        <v>234268</v>
      </c>
      <c r="D10" s="216" t="n">
        <f aca="false">APR!D50</f>
        <v>60325</v>
      </c>
      <c r="E10" s="216" t="n">
        <f aca="false">APR!E50</f>
        <v>82268</v>
      </c>
      <c r="F10" s="216" t="n">
        <f aca="false">APR!F49</f>
        <v>30413.4106377615</v>
      </c>
      <c r="G10" s="439" t="n">
        <f aca="false">APR!G49</f>
        <v>34851</v>
      </c>
      <c r="H10" s="218" t="n">
        <f aca="false">APR!H49</f>
        <v>1121.4</v>
      </c>
      <c r="I10" s="216" t="n">
        <f aca="false">APR!I49</f>
        <v>35972.4</v>
      </c>
      <c r="J10" s="216" t="n">
        <f aca="false">APR!J49</f>
        <v>10683.370427275</v>
      </c>
      <c r="K10" s="216" t="n">
        <f aca="false">APR!K49</f>
        <v>46655.770427275</v>
      </c>
      <c r="L10" s="216" t="n">
        <f aca="false">APR!L49</f>
        <v>10378.5656377615</v>
      </c>
      <c r="M10" s="219" t="n">
        <f aca="false">APR!M49</f>
        <v>3237.6</v>
      </c>
      <c r="N10" s="216" t="n">
        <f aca="false">APR!N49</f>
        <v>0</v>
      </c>
      <c r="O10" s="216" t="n">
        <f aca="false">APR!O49</f>
        <v>1727.9115</v>
      </c>
      <c r="P10" s="216" t="n">
        <f aca="false">APR!P49</f>
        <v>256.454</v>
      </c>
      <c r="Q10" s="218" t="n">
        <f aca="false">APR!Q49</f>
        <v>485.864</v>
      </c>
      <c r="R10" s="216" t="n">
        <f aca="false">APR!R49</f>
        <v>3.07</v>
      </c>
      <c r="S10" s="216" t="n">
        <f aca="false">APR!S49</f>
        <v>8406.2</v>
      </c>
      <c r="T10" s="216" t="n">
        <f aca="false">APR!T49</f>
        <v>273.7</v>
      </c>
      <c r="U10" s="216" t="n">
        <f aca="false">APR!U49</f>
        <v>9438.13099</v>
      </c>
      <c r="V10" s="216"/>
      <c r="W10" s="216"/>
      <c r="X10" s="216" t="n">
        <f aca="false">APR!X49</f>
        <v>152.2</v>
      </c>
      <c r="Y10" s="216" t="n">
        <f aca="false">APR!Y49</f>
        <v>3836</v>
      </c>
      <c r="Z10" s="216" t="n">
        <f aca="false">APR!Z49</f>
        <v>15064.9836148223</v>
      </c>
      <c r="AA10" s="216" t="n">
        <f aca="false">APR!AA49</f>
        <v>15937.555</v>
      </c>
      <c r="AB10" s="216" t="n">
        <f aca="false">APR!AB49</f>
        <v>304.804789513486</v>
      </c>
      <c r="AC10" s="216" t="n">
        <f aca="false">APR!AC49</f>
        <v>16242.3597895135</v>
      </c>
      <c r="AD10" s="222" t="n">
        <f aca="false">APR!AD49</f>
        <v>9.41</v>
      </c>
      <c r="AE10" s="218"/>
      <c r="AF10" s="223"/>
      <c r="AG10" s="440" t="n">
        <f aca="false">APR!AG50</f>
        <v>0</v>
      </c>
      <c r="AH10" s="337" t="n">
        <f aca="false">APR!AH49</f>
        <v>346.51</v>
      </c>
      <c r="AI10" s="216"/>
      <c r="AJ10" s="341" t="n">
        <f aca="false">APR!AJ50</f>
        <v>252.3199862744</v>
      </c>
      <c r="AK10" s="216" t="n">
        <f aca="false">APR!AK49</f>
        <v>0</v>
      </c>
    </row>
    <row r="11" customFormat="false" ht="3" hidden="false" customHeight="true" outlineLevel="0" collapsed="false">
      <c r="A11" s="227"/>
      <c r="B11" s="228"/>
      <c r="C11" s="229"/>
      <c r="D11" s="230"/>
      <c r="E11" s="229"/>
      <c r="F11" s="230"/>
      <c r="G11" s="244"/>
      <c r="H11" s="441"/>
      <c r="I11" s="230"/>
      <c r="J11" s="230"/>
      <c r="K11" s="230"/>
      <c r="L11" s="230"/>
      <c r="M11" s="233"/>
      <c r="N11" s="230"/>
      <c r="O11" s="230"/>
      <c r="P11" s="230"/>
      <c r="Q11" s="237"/>
      <c r="R11" s="234"/>
      <c r="S11" s="230"/>
      <c r="T11" s="230"/>
      <c r="U11" s="230"/>
      <c r="V11" s="229"/>
      <c r="W11" s="229"/>
      <c r="X11" s="230"/>
      <c r="Y11" s="230"/>
      <c r="Z11" s="229"/>
      <c r="AA11" s="230"/>
      <c r="AB11" s="230"/>
      <c r="AC11" s="230"/>
      <c r="AD11" s="236"/>
      <c r="AE11" s="237"/>
      <c r="AF11" s="238"/>
      <c r="AG11" s="237"/>
      <c r="AH11" s="237"/>
      <c r="AI11" s="237"/>
      <c r="AJ11" s="441"/>
      <c r="AK11" s="441"/>
    </row>
    <row r="12" customFormat="false" ht="11.1" hidden="false" customHeight="true" outlineLevel="0" collapsed="false">
      <c r="A12" s="153" t="n">
        <v>1</v>
      </c>
      <c r="B12" s="226" t="n">
        <v>6886.28</v>
      </c>
      <c r="C12" s="216" t="n">
        <v>235825</v>
      </c>
      <c r="D12" s="218" t="n">
        <f aca="false">C12-C10</f>
        <v>1557</v>
      </c>
      <c r="E12" s="216" t="n">
        <f aca="false">C12-152000</f>
        <v>83825</v>
      </c>
      <c r="F12" s="240" t="n">
        <f aca="false">D12/$D$2</f>
        <v>784.976052432569</v>
      </c>
      <c r="G12" s="215" t="n">
        <v>803</v>
      </c>
      <c r="H12" s="341" t="n">
        <v>6.7</v>
      </c>
      <c r="I12" s="240" t="n">
        <f aca="false">G12+H12</f>
        <v>809.7</v>
      </c>
      <c r="J12" s="221" t="n">
        <f aca="false">IF(L12&gt;0,L12,0)</f>
        <v>118.276052432569</v>
      </c>
      <c r="K12" s="240" t="n">
        <f aca="false">I12+J12</f>
        <v>927.976052432569</v>
      </c>
      <c r="L12" s="240" t="n">
        <f aca="false">F12-(I12-AA12)</f>
        <v>118.276052432569</v>
      </c>
      <c r="M12" s="242" t="n">
        <v>81</v>
      </c>
      <c r="N12" s="240" t="n">
        <v>0</v>
      </c>
      <c r="O12" s="240" t="n">
        <f aca="false">11.82*1.05</f>
        <v>12.411</v>
      </c>
      <c r="P12" s="357" t="n">
        <v>2.03</v>
      </c>
      <c r="Q12" s="218" t="n">
        <v>3.25</v>
      </c>
      <c r="R12" s="116" t="n">
        <v>0</v>
      </c>
      <c r="S12" s="240" t="n">
        <v>0</v>
      </c>
      <c r="T12" s="240" t="n">
        <v>41</v>
      </c>
      <c r="U12" s="240" t="n">
        <f aca="false">M12-N12-O12-P12-Q12-R12+S12+T12</f>
        <v>104.309</v>
      </c>
      <c r="V12" s="216" t="n">
        <f aca="false">V9+AI12-(AJ12/1.9835)</f>
        <v>22016.6955062503</v>
      </c>
      <c r="W12" s="216"/>
      <c r="X12" s="240" t="n">
        <v>0</v>
      </c>
      <c r="Y12" s="442" t="n">
        <v>21</v>
      </c>
      <c r="Z12" s="443" t="n">
        <f aca="false">Z10-Y12</f>
        <v>15043.9836148223</v>
      </c>
      <c r="AA12" s="117" t="n">
        <f aca="false">N12+O12+P12+Q12+R12+U12+X12+Y12</f>
        <v>143</v>
      </c>
      <c r="AB12" s="240" t="n">
        <f aca="false">IF(L12&lt;0,L12*-1,0)</f>
        <v>0</v>
      </c>
      <c r="AC12" s="240" t="n">
        <f aca="false">AA12+AB12</f>
        <v>143</v>
      </c>
      <c r="AD12" s="222" t="n">
        <v>0</v>
      </c>
      <c r="AE12" s="218" t="n">
        <v>61</v>
      </c>
      <c r="AF12" s="223" t="n">
        <v>32</v>
      </c>
      <c r="AG12" s="218" t="n">
        <f aca="false">AG10</f>
        <v>0</v>
      </c>
      <c r="AH12" s="218"/>
      <c r="AI12" s="92" t="n">
        <f aca="false">795-U12</f>
        <v>690.691</v>
      </c>
      <c r="AJ12" s="341" t="n">
        <f aca="false">23.5*(V9*1.9835+AI12*1.9835)/E12</f>
        <v>12.2461735781724</v>
      </c>
      <c r="AK12" s="224"/>
    </row>
    <row r="13" customFormat="false" ht="11.1" hidden="false" customHeight="true" outlineLevel="0" collapsed="false">
      <c r="A13" s="153" t="n">
        <f aca="false">A12+1</f>
        <v>2</v>
      </c>
      <c r="B13" s="226" t="n">
        <v>6886.75</v>
      </c>
      <c r="C13" s="216" t="n">
        <v>237358</v>
      </c>
      <c r="D13" s="218" t="n">
        <f aca="false">C13-C12</f>
        <v>1533</v>
      </c>
      <c r="E13" s="216" t="n">
        <f aca="false">C13-152000</f>
        <v>85358</v>
      </c>
      <c r="F13" s="240" t="n">
        <f aca="false">D13/$D$2</f>
        <v>772.876228888329</v>
      </c>
      <c r="G13" s="215" t="n">
        <v>861</v>
      </c>
      <c r="H13" s="341" t="n">
        <v>14</v>
      </c>
      <c r="I13" s="240" t="n">
        <f aca="false">G13+H13</f>
        <v>875</v>
      </c>
      <c r="J13" s="221" t="n">
        <f aca="false">IF(L13&gt;0,L13,0)</f>
        <v>51.8762288883287</v>
      </c>
      <c r="K13" s="240" t="n">
        <f aca="false">I13+J13</f>
        <v>926.876228888329</v>
      </c>
      <c r="L13" s="240" t="n">
        <f aca="false">F13-(I13-AA13)</f>
        <v>51.8762288883287</v>
      </c>
      <c r="M13" s="242" t="n">
        <v>88</v>
      </c>
      <c r="N13" s="240" t="n">
        <v>0</v>
      </c>
      <c r="O13" s="240" t="n">
        <f aca="false">10.46*1.05</f>
        <v>10.983</v>
      </c>
      <c r="P13" s="357" t="n">
        <v>2.03</v>
      </c>
      <c r="Q13" s="218" t="n">
        <v>3.73</v>
      </c>
      <c r="R13" s="116" t="n">
        <v>0</v>
      </c>
      <c r="S13" s="240" t="n">
        <v>0</v>
      </c>
      <c r="T13" s="240" t="n">
        <v>45</v>
      </c>
      <c r="U13" s="240" t="n">
        <f aca="false">M13-N13-O13-P13-Q13-R13+S13+T13</f>
        <v>116.257</v>
      </c>
      <c r="V13" s="216" t="n">
        <f aca="false">V12+AI13-(AJ13/1.9835)</f>
        <v>22689.190201406</v>
      </c>
      <c r="W13" s="216"/>
      <c r="X13" s="240" t="n">
        <v>0</v>
      </c>
      <c r="Y13" s="442" t="n">
        <v>21</v>
      </c>
      <c r="Z13" s="443" t="n">
        <f aca="false">Z12-Y13</f>
        <v>15022.9836148223</v>
      </c>
      <c r="AA13" s="117" t="n">
        <f aca="false">N13+O13+P13+Q13+R13+U13+X13+Y13</f>
        <v>154</v>
      </c>
      <c r="AB13" s="240" t="n">
        <f aca="false">IF(L13&lt;0,L13*-1,0)</f>
        <v>0</v>
      </c>
      <c r="AC13" s="240" t="n">
        <f aca="false">AA13+AB13</f>
        <v>154</v>
      </c>
      <c r="AD13" s="222" t="n">
        <v>0</v>
      </c>
      <c r="AE13" s="218" t="n">
        <v>69</v>
      </c>
      <c r="AF13" s="223" t="n">
        <v>34</v>
      </c>
      <c r="AG13" s="218" t="n">
        <f aca="false">AG12</f>
        <v>0</v>
      </c>
      <c r="AH13" s="218"/>
      <c r="AI13" s="92" t="n">
        <f aca="false">795-U13</f>
        <v>678.743</v>
      </c>
      <c r="AJ13" s="341" t="n">
        <f aca="false">23.5*(V12*1.9835+AI13*1.9835)/E13</f>
        <v>12.3935126586022</v>
      </c>
      <c r="AK13" s="224"/>
    </row>
    <row r="14" customFormat="false" ht="11.1" hidden="false" customHeight="true" outlineLevel="0" collapsed="false">
      <c r="A14" s="153" t="n">
        <f aca="false">A13+1</f>
        <v>3</v>
      </c>
      <c r="B14" s="226" t="n">
        <v>6887.22</v>
      </c>
      <c r="C14" s="216" t="n">
        <v>238898</v>
      </c>
      <c r="D14" s="218" t="n">
        <f aca="false">C14-C13</f>
        <v>1540</v>
      </c>
      <c r="E14" s="216" t="n">
        <f aca="false">C14-152000</f>
        <v>86898</v>
      </c>
      <c r="F14" s="240" t="n">
        <f aca="false">D14/$D$2</f>
        <v>776.405344088732</v>
      </c>
      <c r="G14" s="215" t="n">
        <v>987</v>
      </c>
      <c r="H14" s="341" t="n">
        <v>71</v>
      </c>
      <c r="I14" s="240" t="n">
        <f aca="false">G14+H14</f>
        <v>1058</v>
      </c>
      <c r="J14" s="221" t="n">
        <f aca="false">IF(L14&gt;0,L14,0)</f>
        <v>0</v>
      </c>
      <c r="K14" s="240" t="n">
        <f aca="false">I14+J14</f>
        <v>1058</v>
      </c>
      <c r="L14" s="240" t="n">
        <f aca="false">F14-(I14-AA14)</f>
        <v>-13.594655911268</v>
      </c>
      <c r="M14" s="242" t="n">
        <v>169</v>
      </c>
      <c r="N14" s="240" t="n">
        <v>0</v>
      </c>
      <c r="O14" s="240" t="n">
        <f aca="false">62.07*1.05</f>
        <v>65.1735</v>
      </c>
      <c r="P14" s="357" t="n">
        <v>2.03</v>
      </c>
      <c r="Q14" s="218" t="n">
        <v>3.5</v>
      </c>
      <c r="R14" s="116" t="n">
        <v>0</v>
      </c>
      <c r="S14" s="240" t="n">
        <v>0</v>
      </c>
      <c r="T14" s="240" t="n">
        <v>46</v>
      </c>
      <c r="U14" s="240" t="n">
        <f aca="false">M14-N14-O14-P14-Q14-R14+S14+T14</f>
        <v>144.2965</v>
      </c>
      <c r="V14" s="216" t="n">
        <f aca="false">V13+AI14-(AJ14/1.9835)</f>
        <v>23333.5818472554</v>
      </c>
      <c r="W14" s="216"/>
      <c r="X14" s="240" t="n">
        <v>32</v>
      </c>
      <c r="Y14" s="442" t="n">
        <v>21</v>
      </c>
      <c r="Z14" s="443" t="n">
        <f aca="false">Z13-Y14</f>
        <v>15001.9836148223</v>
      </c>
      <c r="AA14" s="117" t="n">
        <f aca="false">N14+O14+P14+Q14+R14+U14+X14+Y14</f>
        <v>268</v>
      </c>
      <c r="AB14" s="240" t="n">
        <f aca="false">IF(L14&lt;0,L14*-1,0)</f>
        <v>13.594655911268</v>
      </c>
      <c r="AC14" s="240" t="n">
        <f aca="false">AA14+AB14</f>
        <v>281.594655911268</v>
      </c>
      <c r="AD14" s="222" t="n">
        <v>0</v>
      </c>
      <c r="AE14" s="218" t="n">
        <v>73</v>
      </c>
      <c r="AF14" s="223" t="n">
        <v>40</v>
      </c>
      <c r="AG14" s="218" t="n">
        <f aca="false">AG13</f>
        <v>0</v>
      </c>
      <c r="AH14" s="218"/>
      <c r="AI14" s="92" t="n">
        <f aca="false">795-U14</f>
        <v>650.7035</v>
      </c>
      <c r="AJ14" s="341" t="n">
        <f aca="false">23.5*(V13*1.9835+AI14*1.9835)/E14</f>
        <v>12.519562707811</v>
      </c>
      <c r="AK14" s="224"/>
    </row>
    <row r="15" customFormat="false" ht="11.1" hidden="false" customHeight="true" outlineLevel="0" collapsed="false">
      <c r="A15" s="153" t="n">
        <f aca="false">A14+1</f>
        <v>4</v>
      </c>
      <c r="B15" s="226" t="n">
        <v>6887.98</v>
      </c>
      <c r="C15" s="216" t="n">
        <v>241403</v>
      </c>
      <c r="D15" s="218" t="n">
        <f aca="false">C15-C14</f>
        <v>2505</v>
      </c>
      <c r="E15" s="216" t="n">
        <f aca="false">C15-152000</f>
        <v>89403</v>
      </c>
      <c r="F15" s="240" t="n">
        <f aca="false">D15/$D$2</f>
        <v>1262.91908243005</v>
      </c>
      <c r="G15" s="215" t="n">
        <v>1340</v>
      </c>
      <c r="H15" s="341" t="n">
        <v>107</v>
      </c>
      <c r="I15" s="240" t="n">
        <f aca="false">G15+H15</f>
        <v>1447</v>
      </c>
      <c r="J15" s="221" t="n">
        <f aca="false">IF(L15&gt;0,L15,0)</f>
        <v>103.519082430048</v>
      </c>
      <c r="K15" s="240" t="n">
        <f aca="false">I15+J15</f>
        <v>1550.51908243005</v>
      </c>
      <c r="L15" s="240" t="n">
        <f aca="false">F15-(I15-AA15)</f>
        <v>103.519082430048</v>
      </c>
      <c r="M15" s="242" t="n">
        <v>207</v>
      </c>
      <c r="N15" s="240" t="n">
        <v>0</v>
      </c>
      <c r="O15" s="240" t="n">
        <f aca="false">83.46*1.05</f>
        <v>87.633</v>
      </c>
      <c r="P15" s="357" t="n">
        <v>2.03</v>
      </c>
      <c r="Q15" s="218" t="n">
        <v>4.2</v>
      </c>
      <c r="R15" s="116" t="n">
        <v>0.85</v>
      </c>
      <c r="S15" s="240" t="n">
        <v>0</v>
      </c>
      <c r="T15" s="240" t="n">
        <v>52</v>
      </c>
      <c r="U15" s="240" t="n">
        <f aca="false">M15-N15-O15-P15-Q15-R15+S15+T15</f>
        <v>164.287</v>
      </c>
      <c r="V15" s="216" t="n">
        <f aca="false">V14+AI15-(AJ15/1.9835)</f>
        <v>23957.9957193859</v>
      </c>
      <c r="W15" s="216"/>
      <c r="X15" s="240" t="n">
        <v>6.6</v>
      </c>
      <c r="Y15" s="442" t="n">
        <v>22</v>
      </c>
      <c r="Z15" s="443" t="n">
        <f aca="false">Z14-Y15</f>
        <v>14979.9836148223</v>
      </c>
      <c r="AA15" s="117" t="n">
        <f aca="false">N15+O15+P15+Q15+R15+U15+X15+Y15</f>
        <v>287.6</v>
      </c>
      <c r="AB15" s="240" t="n">
        <f aca="false">IF(L15&lt;0,L15*-1,0)</f>
        <v>0</v>
      </c>
      <c r="AC15" s="240" t="n">
        <f aca="false">AA15+AB15</f>
        <v>287.6</v>
      </c>
      <c r="AD15" s="222" t="n">
        <v>0</v>
      </c>
      <c r="AE15" s="218" t="n">
        <v>77</v>
      </c>
      <c r="AF15" s="223" t="n">
        <v>43</v>
      </c>
      <c r="AG15" s="218" t="n">
        <f aca="false">AG14</f>
        <v>0</v>
      </c>
      <c r="AH15" s="218"/>
      <c r="AI15" s="92" t="n">
        <f aca="false">795-U15</f>
        <v>630.713</v>
      </c>
      <c r="AJ15" s="341" t="n">
        <f aca="false">23.5*(V14*1.9835+AI15*1.9835)/E15</f>
        <v>12.4943201290111</v>
      </c>
      <c r="AK15" s="224"/>
    </row>
    <row r="16" customFormat="false" ht="11.1" hidden="false" customHeight="true" outlineLevel="0" collapsed="false">
      <c r="A16" s="153" t="n">
        <f aca="false">A15+1</f>
        <v>5</v>
      </c>
      <c r="B16" s="226" t="n">
        <v>6888.86</v>
      </c>
      <c r="C16" s="216" t="n">
        <v>244335</v>
      </c>
      <c r="D16" s="218" t="n">
        <f aca="false">C16-C15</f>
        <v>2932</v>
      </c>
      <c r="E16" s="216" t="n">
        <f aca="false">C16-152000</f>
        <v>92335</v>
      </c>
      <c r="F16" s="240" t="n">
        <f aca="false">D16/$D$2</f>
        <v>1478.19510965465</v>
      </c>
      <c r="G16" s="215" t="n">
        <v>1550</v>
      </c>
      <c r="H16" s="341" t="n">
        <v>117</v>
      </c>
      <c r="I16" s="240" t="n">
        <f aca="false">G16+H16</f>
        <v>1667</v>
      </c>
      <c r="J16" s="221" t="n">
        <f aca="false">IF(L16&gt;0,L16,0)</f>
        <v>151.195109654651</v>
      </c>
      <c r="K16" s="240" t="n">
        <f aca="false">I16+J16</f>
        <v>1818.19510965465</v>
      </c>
      <c r="L16" s="240" t="n">
        <f aca="false">F16-(I16-AA16)</f>
        <v>151.195109654651</v>
      </c>
      <c r="M16" s="242" t="n">
        <v>253</v>
      </c>
      <c r="N16" s="240" t="n">
        <v>0</v>
      </c>
      <c r="O16" s="240" t="n">
        <f aca="false">97.73*1.05</f>
        <v>102.6165</v>
      </c>
      <c r="P16" s="357" t="n">
        <v>2.03</v>
      </c>
      <c r="Q16" s="218" t="n">
        <v>4.2</v>
      </c>
      <c r="R16" s="116" t="n">
        <v>0.96</v>
      </c>
      <c r="S16" s="240" t="n">
        <v>0</v>
      </c>
      <c r="T16" s="240" t="n">
        <v>52</v>
      </c>
      <c r="U16" s="240" t="n">
        <f aca="false">M16-N16-O16-P16-Q16-R16+S16+T16</f>
        <v>195.1935</v>
      </c>
      <c r="V16" s="216" t="n">
        <f aca="false">V15+AI16-(AJ16/1.9835)</f>
        <v>24551.5520612427</v>
      </c>
      <c r="W16" s="216"/>
      <c r="X16" s="240" t="n">
        <v>0</v>
      </c>
      <c r="Y16" s="442" t="n">
        <v>35</v>
      </c>
      <c r="Z16" s="443" t="n">
        <f aca="false">Z15-Y16</f>
        <v>14944.9836148223</v>
      </c>
      <c r="AA16" s="117" t="n">
        <f aca="false">N16+O16+P16+Q16+R16+U16+X16+Y16</f>
        <v>340</v>
      </c>
      <c r="AB16" s="240" t="n">
        <f aca="false">IF(L16&lt;0,L16*-1,0)</f>
        <v>0</v>
      </c>
      <c r="AC16" s="240" t="n">
        <f aca="false">AA16+AB16</f>
        <v>340</v>
      </c>
      <c r="AD16" s="222" t="n">
        <v>0</v>
      </c>
      <c r="AE16" s="218" t="n">
        <v>77</v>
      </c>
      <c r="AF16" s="223" t="n">
        <v>43</v>
      </c>
      <c r="AG16" s="218" t="n">
        <f aca="false">AG15</f>
        <v>0</v>
      </c>
      <c r="AH16" s="218"/>
      <c r="AI16" s="92" t="n">
        <f aca="false">795-U16</f>
        <v>599.8065</v>
      </c>
      <c r="AJ16" s="341" t="n">
        <f aca="false">23.5*(V15*1.9835+AI16*1.9835)/E16</f>
        <v>12.3971886771059</v>
      </c>
      <c r="AK16" s="224"/>
    </row>
    <row r="17" customFormat="false" ht="11.1" hidden="false" customHeight="true" outlineLevel="0" collapsed="false">
      <c r="A17" s="153" t="n">
        <f aca="false">A16+1</f>
        <v>6</v>
      </c>
      <c r="B17" s="226" t="n">
        <v>6889.86</v>
      </c>
      <c r="C17" s="216" t="n">
        <v>247697</v>
      </c>
      <c r="D17" s="218" t="n">
        <f aca="false">C17-C16</f>
        <v>3362</v>
      </c>
      <c r="E17" s="216" t="n">
        <f aca="false">C17-152000</f>
        <v>95697</v>
      </c>
      <c r="F17" s="240" t="n">
        <f aca="false">D17/$D$2</f>
        <v>1694.98361482228</v>
      </c>
      <c r="G17" s="215" t="n">
        <v>1800</v>
      </c>
      <c r="H17" s="341" t="n">
        <v>120</v>
      </c>
      <c r="I17" s="240" t="n">
        <f aca="false">G17+H17</f>
        <v>1920</v>
      </c>
      <c r="J17" s="221" t="n">
        <f aca="false">IF(L17&gt;0,L17,0)</f>
        <v>124.483614822284</v>
      </c>
      <c r="K17" s="240" t="n">
        <f aca="false">I17+J17</f>
        <v>2044.48361482228</v>
      </c>
      <c r="L17" s="240" t="n">
        <f aca="false">F17-(I17-AA17)</f>
        <v>124.483614822284</v>
      </c>
      <c r="M17" s="242" t="n">
        <v>229</v>
      </c>
      <c r="N17" s="240" t="n">
        <v>0</v>
      </c>
      <c r="O17" s="240" t="n">
        <f aca="false">86.78*1.05</f>
        <v>91.119</v>
      </c>
      <c r="P17" s="357" t="n">
        <v>2.03</v>
      </c>
      <c r="Q17" s="218" t="n">
        <v>4.2</v>
      </c>
      <c r="R17" s="116" t="n">
        <v>0.96</v>
      </c>
      <c r="S17" s="240" t="n">
        <v>18</v>
      </c>
      <c r="T17" s="240" t="n">
        <v>55</v>
      </c>
      <c r="U17" s="240" t="n">
        <f aca="false">M17-N17-O17-P17-Q17-R17+S17+T17</f>
        <v>203.691</v>
      </c>
      <c r="V17" s="216" t="n">
        <f aca="false">V16+AI17-(AJ17/1.9835)</f>
        <v>25136.6868109011</v>
      </c>
      <c r="W17" s="216"/>
      <c r="X17" s="240" t="n">
        <v>1.5</v>
      </c>
      <c r="Y17" s="442" t="n">
        <v>46</v>
      </c>
      <c r="Z17" s="443" t="n">
        <f aca="false">Z16-Y17</f>
        <v>14898.9836148223</v>
      </c>
      <c r="AA17" s="117" t="n">
        <f aca="false">N17+O17+P17+Q17+R17+U17+X17+Y17</f>
        <v>349.5</v>
      </c>
      <c r="AB17" s="240" t="n">
        <f aca="false">IF(L17&lt;0,L17*-1,0)</f>
        <v>0</v>
      </c>
      <c r="AC17" s="240" t="n">
        <f aca="false">AA17+AB17</f>
        <v>349.5</v>
      </c>
      <c r="AD17" s="222" t="n">
        <v>0</v>
      </c>
      <c r="AE17" s="218" t="n">
        <v>75</v>
      </c>
      <c r="AF17" s="223" t="n">
        <v>42</v>
      </c>
      <c r="AG17" s="218" t="n">
        <f aca="false">AG16</f>
        <v>0</v>
      </c>
      <c r="AH17" s="218"/>
      <c r="AI17" s="92" t="n">
        <f aca="false">795-U17</f>
        <v>591.309</v>
      </c>
      <c r="AJ17" s="341" t="n">
        <f aca="false">23.5*(V16*1.9835+AI17*1.9835)/E17</f>
        <v>12.2466255525451</v>
      </c>
      <c r="AK17" s="224"/>
    </row>
    <row r="18" customFormat="false" ht="11.1" hidden="false" customHeight="true" outlineLevel="0" collapsed="false">
      <c r="A18" s="153" t="n">
        <f aca="false">A17+1</f>
        <v>7</v>
      </c>
      <c r="B18" s="226" t="n">
        <v>6891.03</v>
      </c>
      <c r="C18" s="216" t="n">
        <v>251672</v>
      </c>
      <c r="D18" s="218" t="n">
        <f aca="false">C18-C17</f>
        <v>3975</v>
      </c>
      <c r="E18" s="216" t="n">
        <f aca="false">C18-152000</f>
        <v>99672</v>
      </c>
      <c r="F18" s="240" t="n">
        <f aca="false">D18/$D$2</f>
        <v>2004.03327451475</v>
      </c>
      <c r="G18" s="215" t="n">
        <v>2130</v>
      </c>
      <c r="H18" s="341" t="n">
        <v>124</v>
      </c>
      <c r="I18" s="240" t="n">
        <f aca="false">G18+H18</f>
        <v>2254</v>
      </c>
      <c r="J18" s="221" t="n">
        <f aca="false">IF(L18&gt;0,L18,0)</f>
        <v>171.033274514747</v>
      </c>
      <c r="K18" s="240" t="n">
        <f aca="false">I18+J18</f>
        <v>2425.03327451475</v>
      </c>
      <c r="L18" s="240" t="n">
        <f aca="false">F18-(I18-AA18)</f>
        <v>171.033274514747</v>
      </c>
      <c r="M18" s="242" t="n">
        <v>242</v>
      </c>
      <c r="N18" s="240" t="n">
        <v>0</v>
      </c>
      <c r="O18" s="240" t="n">
        <f aca="false">74.39*1.05</f>
        <v>78.1095</v>
      </c>
      <c r="P18" s="357" t="n">
        <v>2.03</v>
      </c>
      <c r="Q18" s="218" t="n">
        <v>4.2</v>
      </c>
      <c r="R18" s="116" t="n">
        <v>1.37</v>
      </c>
      <c r="S18" s="240" t="n">
        <v>30</v>
      </c>
      <c r="T18" s="240" t="n">
        <v>57</v>
      </c>
      <c r="U18" s="240" t="n">
        <f aca="false">M18-N18-O18-P18-Q18-R18+S18+T18</f>
        <v>243.2905</v>
      </c>
      <c r="V18" s="216" t="n">
        <f aca="false">V17+AI18-(AJ18/1.9835)</f>
        <v>25682.3396719924</v>
      </c>
      <c r="W18" s="216"/>
      <c r="X18" s="240" t="n">
        <v>48</v>
      </c>
      <c r="Y18" s="442" t="n">
        <v>44</v>
      </c>
      <c r="Z18" s="443" t="n">
        <f aca="false">Z17-Y18</f>
        <v>14854.9836148223</v>
      </c>
      <c r="AA18" s="117" t="n">
        <f aca="false">N18+O18+P18+Q18+R18+U18+X18+Y18</f>
        <v>421</v>
      </c>
      <c r="AB18" s="240" t="n">
        <f aca="false">IF(L18&lt;0,L18*-1,0)</f>
        <v>0</v>
      </c>
      <c r="AC18" s="240" t="n">
        <f aca="false">AA18+AB18</f>
        <v>421</v>
      </c>
      <c r="AD18" s="222" t="n">
        <v>0</v>
      </c>
      <c r="AE18" s="218" t="n">
        <v>73</v>
      </c>
      <c r="AF18" s="223" t="n">
        <v>42</v>
      </c>
      <c r="AG18" s="218" t="n">
        <f aca="false">AG17</f>
        <v>0</v>
      </c>
      <c r="AH18" s="218"/>
      <c r="AI18" s="92" t="n">
        <f aca="false">795-U18</f>
        <v>551.7095</v>
      </c>
      <c r="AJ18" s="341" t="n">
        <f aca="false">23.5*(V17*1.9835+AI18*1.9835)/E18</f>
        <v>12.0133432753712</v>
      </c>
      <c r="AK18" s="224"/>
    </row>
    <row r="19" customFormat="false" ht="11.1" hidden="false" customHeight="true" outlineLevel="0" collapsed="false">
      <c r="A19" s="153" t="n">
        <f aca="false">A18+1</f>
        <v>8</v>
      </c>
      <c r="B19" s="226" t="n">
        <v>6892.26</v>
      </c>
      <c r="C19" s="216" t="n">
        <v>255904</v>
      </c>
      <c r="D19" s="218" t="n">
        <f aca="false">C19-C18</f>
        <v>4232</v>
      </c>
      <c r="E19" s="216" t="n">
        <f aca="false">C19-152000</f>
        <v>103904</v>
      </c>
      <c r="F19" s="240" t="n">
        <f aca="false">D19/$D$2</f>
        <v>2133.60221830098</v>
      </c>
      <c r="G19" s="215" t="n">
        <v>2280</v>
      </c>
      <c r="H19" s="341" t="n">
        <v>121</v>
      </c>
      <c r="I19" s="240" t="n">
        <f aca="false">G19+H19</f>
        <v>2401</v>
      </c>
      <c r="J19" s="221" t="n">
        <f aca="false">IF(L19&gt;0,L19,0)</f>
        <v>181.602218300983</v>
      </c>
      <c r="K19" s="240" t="n">
        <f aca="false">I19+J19</f>
        <v>2582.60221830098</v>
      </c>
      <c r="L19" s="240" t="n">
        <f aca="false">F19-(I19-AA19)</f>
        <v>181.602218300983</v>
      </c>
      <c r="M19" s="242" t="n">
        <v>266</v>
      </c>
      <c r="N19" s="240" t="n">
        <v>0</v>
      </c>
      <c r="O19" s="240" t="n">
        <f aca="false">66.68*1.05</f>
        <v>70.014</v>
      </c>
      <c r="P19" s="357" t="n">
        <v>2.03</v>
      </c>
      <c r="Q19" s="218" t="n">
        <v>4.2</v>
      </c>
      <c r="R19" s="116" t="n">
        <v>2.63</v>
      </c>
      <c r="S19" s="240" t="n">
        <v>31</v>
      </c>
      <c r="T19" s="240" t="n">
        <v>60</v>
      </c>
      <c r="U19" s="240" t="n">
        <f aca="false">M19-N19-O19-P19-Q19-R19+S19+T19</f>
        <v>278.126</v>
      </c>
      <c r="V19" s="216" t="n">
        <f aca="false">V18+AI19-(AJ19/1.9835)</f>
        <v>26193.2881876868</v>
      </c>
      <c r="W19" s="216"/>
      <c r="X19" s="240" t="n">
        <v>48</v>
      </c>
      <c r="Y19" s="442" t="n">
        <v>44</v>
      </c>
      <c r="Z19" s="443" t="n">
        <f aca="false">Z18-Y19</f>
        <v>14810.9836148223</v>
      </c>
      <c r="AA19" s="117" t="n">
        <f aca="false">N19+O19+P19+Q19+R19+U19+X19+Y19</f>
        <v>449</v>
      </c>
      <c r="AB19" s="240" t="n">
        <f aca="false">IF(L19&lt;0,L19*-1,0)</f>
        <v>0</v>
      </c>
      <c r="AC19" s="240" t="n">
        <f aca="false">AA19+AB19</f>
        <v>449</v>
      </c>
      <c r="AD19" s="222" t="n">
        <v>0</v>
      </c>
      <c r="AE19" s="218" t="n">
        <v>75</v>
      </c>
      <c r="AF19" s="223" t="n">
        <v>46</v>
      </c>
      <c r="AG19" s="218" t="n">
        <f aca="false">AG18</f>
        <v>0</v>
      </c>
      <c r="AH19" s="218"/>
      <c r="AI19" s="92" t="n">
        <f aca="false">795-U19</f>
        <v>516.874</v>
      </c>
      <c r="AJ19" s="341" t="n">
        <f aca="false">23.5*(V18*1.9835+AI19*1.9835)/E19</f>
        <v>11.7531981202103</v>
      </c>
      <c r="AK19" s="224"/>
    </row>
    <row r="20" customFormat="false" ht="11.1" hidden="false" customHeight="true" outlineLevel="0" collapsed="false">
      <c r="A20" s="153" t="n">
        <f aca="false">A19+1</f>
        <v>9</v>
      </c>
      <c r="B20" s="226" t="n">
        <v>6893.52</v>
      </c>
      <c r="C20" s="216" t="n">
        <v>260288</v>
      </c>
      <c r="D20" s="218" t="n">
        <f aca="false">C20-C19</f>
        <v>4384</v>
      </c>
      <c r="E20" s="216" t="n">
        <f aca="false">C20-152000</f>
        <v>108288</v>
      </c>
      <c r="F20" s="240" t="n">
        <f aca="false">D20/$D$2</f>
        <v>2210.23443408117</v>
      </c>
      <c r="G20" s="215" t="n">
        <v>2410</v>
      </c>
      <c r="H20" s="341" t="n">
        <v>115</v>
      </c>
      <c r="I20" s="240" t="n">
        <f aca="false">G20+H20</f>
        <v>2525</v>
      </c>
      <c r="J20" s="221" t="n">
        <f aca="false">IF(L20&gt;0,L20,0)</f>
        <v>110.23443408117</v>
      </c>
      <c r="K20" s="240" t="n">
        <f aca="false">I20+J20</f>
        <v>2635.23443408117</v>
      </c>
      <c r="L20" s="240" t="n">
        <f aca="false">F20-(I20-AA20)</f>
        <v>110.23443408117</v>
      </c>
      <c r="M20" s="242" t="n">
        <v>239</v>
      </c>
      <c r="N20" s="240" t="n">
        <v>0</v>
      </c>
      <c r="O20" s="240" t="n">
        <f aca="false">55.97*1.05</f>
        <v>58.7685</v>
      </c>
      <c r="P20" s="357" t="n">
        <v>2.03</v>
      </c>
      <c r="Q20" s="218" t="n">
        <v>4.2</v>
      </c>
      <c r="R20" s="116" t="n">
        <v>2.4</v>
      </c>
      <c r="S20" s="240" t="n">
        <v>31</v>
      </c>
      <c r="T20" s="240" t="n">
        <v>62</v>
      </c>
      <c r="U20" s="240" t="n">
        <f aca="false">M20-N20-O20-P20-Q20-R20+S20+T20</f>
        <v>264.6015</v>
      </c>
      <c r="V20" s="216" t="n">
        <f aca="false">V19+AI20-(AJ20/1.9835)</f>
        <v>26717.8872765133</v>
      </c>
      <c r="W20" s="216"/>
      <c r="X20" s="240" t="n">
        <v>49</v>
      </c>
      <c r="Y20" s="442" t="n">
        <v>44</v>
      </c>
      <c r="Z20" s="443" t="n">
        <f aca="false">Z19-Y20</f>
        <v>14766.9836148223</v>
      </c>
      <c r="AA20" s="117" t="n">
        <f aca="false">N20+O20+P20+Q20+R20+U20+X20+Y20</f>
        <v>425</v>
      </c>
      <c r="AB20" s="240" t="n">
        <f aca="false">IF(L20&lt;0,L20*-1,0)</f>
        <v>0</v>
      </c>
      <c r="AC20" s="240" t="n">
        <f aca="false">AA20+AB20</f>
        <v>425</v>
      </c>
      <c r="AD20" s="222" t="n">
        <v>0</v>
      </c>
      <c r="AE20" s="218" t="n">
        <v>75</v>
      </c>
      <c r="AF20" s="223" t="n">
        <v>44</v>
      </c>
      <c r="AG20" s="218" t="n">
        <f aca="false">AG19</f>
        <v>0</v>
      </c>
      <c r="AH20" s="218"/>
      <c r="AI20" s="92" t="n">
        <f aca="false">795-U20</f>
        <v>530.3985</v>
      </c>
      <c r="AJ20" s="341" t="n">
        <f aca="false">23.5*(V19*1.9835+AI20*1.9835)/E20</f>
        <v>11.5031320627228</v>
      </c>
      <c r="AK20" s="224"/>
    </row>
    <row r="21" customFormat="false" ht="11.1" hidden="false" customHeight="true" outlineLevel="0" collapsed="false">
      <c r="A21" s="153" t="n">
        <f aca="false">A20+1</f>
        <v>10</v>
      </c>
      <c r="B21" s="226" t="n">
        <v>6894.74</v>
      </c>
      <c r="C21" s="216" t="n">
        <v>264578</v>
      </c>
      <c r="D21" s="218" t="n">
        <f aca="false">C21-C20</f>
        <v>4290</v>
      </c>
      <c r="E21" s="216" t="n">
        <f aca="false">C21-152000</f>
        <v>112578</v>
      </c>
      <c r="F21" s="240" t="n">
        <f aca="false">D21/$D$2</f>
        <v>2162.8434585329</v>
      </c>
      <c r="G21" s="215" t="n">
        <v>2430</v>
      </c>
      <c r="H21" s="341" t="n">
        <v>90</v>
      </c>
      <c r="I21" s="240" t="n">
        <f aca="false">G21+H21</f>
        <v>2520</v>
      </c>
      <c r="J21" s="221" t="n">
        <f aca="false">IF(L21&gt;0,L21,0)</f>
        <v>96.8434585328964</v>
      </c>
      <c r="K21" s="240" t="n">
        <f aca="false">I21+J21</f>
        <v>2616.8434585329</v>
      </c>
      <c r="L21" s="240" t="n">
        <f aca="false">F21-(I21-AA21)</f>
        <v>96.8434585328964</v>
      </c>
      <c r="M21" s="242" t="n">
        <v>254</v>
      </c>
      <c r="N21" s="240" t="n">
        <v>0</v>
      </c>
      <c r="O21" s="240" t="n">
        <f aca="false">69.73*1.05</f>
        <v>73.2165</v>
      </c>
      <c r="P21" s="357" t="n">
        <v>2.03</v>
      </c>
      <c r="Q21" s="218" t="n">
        <v>4.2</v>
      </c>
      <c r="R21" s="116" t="n">
        <v>2.73</v>
      </c>
      <c r="S21" s="240" t="n">
        <v>32</v>
      </c>
      <c r="T21" s="240" t="n">
        <v>66</v>
      </c>
      <c r="U21" s="240" t="n">
        <f aca="false">M21-N21-O21-P21-Q21-R21+S21+T21</f>
        <v>269.8235</v>
      </c>
      <c r="V21" s="216" t="n">
        <f aca="false">V20+AI21-(AJ21/1.9835)</f>
        <v>27237.3769460602</v>
      </c>
      <c r="W21" s="216"/>
      <c r="X21" s="240" t="n">
        <v>58</v>
      </c>
      <c r="Y21" s="442" t="n">
        <v>44</v>
      </c>
      <c r="Z21" s="443" t="n">
        <f aca="false">Z20-Y21</f>
        <v>14722.9836148223</v>
      </c>
      <c r="AA21" s="117" t="n">
        <f aca="false">N21+O21+P21+Q21+R21+U21+X21+Y21</f>
        <v>454</v>
      </c>
      <c r="AB21" s="240" t="n">
        <f aca="false">IF(L21&lt;0,L21*-1,0)</f>
        <v>0</v>
      </c>
      <c r="AC21" s="240" t="n">
        <f aca="false">AA21+AB21</f>
        <v>454</v>
      </c>
      <c r="AD21" s="222" t="n">
        <v>0</v>
      </c>
      <c r="AE21" s="218" t="n">
        <v>77</v>
      </c>
      <c r="AF21" s="223" t="n">
        <v>44</v>
      </c>
      <c r="AG21" s="218" t="n">
        <f aca="false">AG20</f>
        <v>0</v>
      </c>
      <c r="AH21" s="218"/>
      <c r="AI21" s="92" t="n">
        <f aca="false">795-U21</f>
        <v>525.1765</v>
      </c>
      <c r="AJ21" s="341" t="n">
        <f aca="false">23.5*(V20*1.9835+AI21*1.9835)/E21</f>
        <v>11.2798282037057</v>
      </c>
      <c r="AK21" s="224"/>
    </row>
    <row r="22" customFormat="false" ht="11.1" hidden="false" customHeight="true" outlineLevel="0" collapsed="false">
      <c r="A22" s="153" t="n">
        <f aca="false">A21+1</f>
        <v>11</v>
      </c>
      <c r="B22" s="226" t="n">
        <v>6895.94</v>
      </c>
      <c r="C22" s="216" t="n">
        <v>268841</v>
      </c>
      <c r="D22" s="218" t="n">
        <f aca="false">C22-C21</f>
        <v>4263</v>
      </c>
      <c r="E22" s="216" t="n">
        <f aca="false">C22-152000</f>
        <v>116841</v>
      </c>
      <c r="F22" s="240" t="n">
        <f aca="false">D22/$D$2</f>
        <v>2149.23115704563</v>
      </c>
      <c r="G22" s="215" t="n">
        <v>2400</v>
      </c>
      <c r="H22" s="341" t="n">
        <v>44</v>
      </c>
      <c r="I22" s="240" t="n">
        <f aca="false">G22+H22</f>
        <v>2444</v>
      </c>
      <c r="J22" s="221" t="n">
        <f aca="false">IF(L22&gt;0,L22,0)</f>
        <v>190.231157045626</v>
      </c>
      <c r="K22" s="240" t="n">
        <f aca="false">I22+J22</f>
        <v>2634.23115704563</v>
      </c>
      <c r="L22" s="240" t="n">
        <f aca="false">F22-(I22-AA22)</f>
        <v>190.231157045626</v>
      </c>
      <c r="M22" s="242" t="n">
        <v>294</v>
      </c>
      <c r="N22" s="240" t="n">
        <v>0</v>
      </c>
      <c r="O22" s="240" t="n">
        <f aca="false">88.67*1.05</f>
        <v>93.1035</v>
      </c>
      <c r="P22" s="357" t="n">
        <v>2.03</v>
      </c>
      <c r="Q22" s="218" t="n">
        <v>3.74</v>
      </c>
      <c r="R22" s="116" t="n">
        <v>0</v>
      </c>
      <c r="S22" s="240" t="n">
        <v>46</v>
      </c>
      <c r="T22" s="240" t="n">
        <v>52</v>
      </c>
      <c r="U22" s="240" t="n">
        <f aca="false">M22-N22-O22-P22-Q22-R22+S22+T22</f>
        <v>293.1265</v>
      </c>
      <c r="V22" s="216" t="n">
        <f aca="false">V21+AI22-(AJ22/1.9835)</f>
        <v>27733.6713053007</v>
      </c>
      <c r="W22" s="216"/>
      <c r="X22" s="240" t="n">
        <v>50</v>
      </c>
      <c r="Y22" s="442" t="n">
        <v>43</v>
      </c>
      <c r="Z22" s="443" t="n">
        <f aca="false">Z21-Y22</f>
        <v>14679.9836148223</v>
      </c>
      <c r="AA22" s="117" t="n">
        <f aca="false">N22+O22+P22+Q22+R22+U22+X22+Y22</f>
        <v>485</v>
      </c>
      <c r="AB22" s="240" t="n">
        <f aca="false">IF(L22&lt;0,L22*-1,0)</f>
        <v>0</v>
      </c>
      <c r="AC22" s="240" t="n">
        <f aca="false">AA22+AB22</f>
        <v>485</v>
      </c>
      <c r="AD22" s="222" t="n">
        <v>0</v>
      </c>
      <c r="AE22" s="218" t="n">
        <v>69</v>
      </c>
      <c r="AF22" s="223" t="n">
        <v>37</v>
      </c>
      <c r="AG22" s="218" t="n">
        <f aca="false">AG21</f>
        <v>0</v>
      </c>
      <c r="AH22" s="218"/>
      <c r="AI22" s="92" t="n">
        <f aca="false">795-U22</f>
        <v>501.8735</v>
      </c>
      <c r="AJ22" s="341" t="n">
        <f aca="false">23.5*(V21*1.9835+AI22*1.9835)/E22</f>
        <v>11.0662256964967</v>
      </c>
      <c r="AK22" s="224"/>
    </row>
    <row r="23" customFormat="false" ht="11.1" hidden="false" customHeight="true" outlineLevel="0" collapsed="false">
      <c r="A23" s="153" t="n">
        <f aca="false">A22+1</f>
        <v>12</v>
      </c>
      <c r="B23" s="226" t="n">
        <v>6896.9</v>
      </c>
      <c r="C23" s="216" t="n">
        <v>272284</v>
      </c>
      <c r="D23" s="218" t="n">
        <f aca="false">C23-C22</f>
        <v>3443</v>
      </c>
      <c r="E23" s="216" t="n">
        <f aca="false">C23-152000</f>
        <v>120284</v>
      </c>
      <c r="F23" s="240" t="n">
        <f aca="false">D23/$D$2</f>
        <v>1735.82051928409</v>
      </c>
      <c r="G23" s="215" t="n">
        <v>1950</v>
      </c>
      <c r="H23" s="341" t="n">
        <v>27</v>
      </c>
      <c r="I23" s="240" t="n">
        <f aca="false">G23+H23</f>
        <v>1977</v>
      </c>
      <c r="J23" s="221" t="n">
        <f aca="false">IF(L23&gt;0,L23,0)</f>
        <v>207.820519284094</v>
      </c>
      <c r="K23" s="240" t="n">
        <f aca="false">I23+J23</f>
        <v>2184.82051928409</v>
      </c>
      <c r="L23" s="240" t="n">
        <f aca="false">F23-(I23-AA23)</f>
        <v>207.820519284094</v>
      </c>
      <c r="M23" s="242" t="n">
        <v>237</v>
      </c>
      <c r="N23" s="240" t="n">
        <v>0</v>
      </c>
      <c r="O23" s="240" t="n">
        <f aca="false">65.13*1.05</f>
        <v>68.3865</v>
      </c>
      <c r="P23" s="357" t="n">
        <v>2.03</v>
      </c>
      <c r="Q23" s="218" t="n">
        <v>4.2</v>
      </c>
      <c r="R23" s="116" t="n">
        <v>0.91</v>
      </c>
      <c r="S23" s="240" t="n">
        <v>53</v>
      </c>
      <c r="T23" s="240" t="n">
        <v>60</v>
      </c>
      <c r="U23" s="240" t="n">
        <f aca="false">M23-N23-O23-P23-Q23-R23+S23+T23</f>
        <v>274.4735</v>
      </c>
      <c r="V23" s="216" t="n">
        <f aca="false">V22+AI23-(AJ23/1.9835)</f>
        <v>28248.6777556812</v>
      </c>
      <c r="W23" s="216"/>
      <c r="X23" s="240" t="n">
        <v>54</v>
      </c>
      <c r="Y23" s="442" t="n">
        <v>45</v>
      </c>
      <c r="Z23" s="443" t="n">
        <f aca="false">Z22-Y23</f>
        <v>14634.9836148223</v>
      </c>
      <c r="AA23" s="117" t="n">
        <f aca="false">N23+O23+P23+Q23+R23+U23+X23+Y23</f>
        <v>449</v>
      </c>
      <c r="AB23" s="240" t="n">
        <f aca="false">IF(L23&lt;0,L23*-1,0)</f>
        <v>0</v>
      </c>
      <c r="AC23" s="240" t="n">
        <f aca="false">AA23+AB23</f>
        <v>449</v>
      </c>
      <c r="AD23" s="222" t="n">
        <v>0</v>
      </c>
      <c r="AE23" s="218" t="n">
        <v>62</v>
      </c>
      <c r="AF23" s="223" t="n">
        <v>36</v>
      </c>
      <c r="AG23" s="218" t="n">
        <f aca="false">AG22</f>
        <v>0</v>
      </c>
      <c r="AH23" s="218"/>
      <c r="AI23" s="92" t="n">
        <f aca="false">795-U23</f>
        <v>520.5265</v>
      </c>
      <c r="AJ23" s="341" t="n">
        <f aca="false">23.5*(V22*1.9835+AI23*1.9835)/E23</f>
        <v>10.9490184201567</v>
      </c>
      <c r="AK23" s="224"/>
    </row>
    <row r="24" customFormat="false" ht="11.1" hidden="false" customHeight="true" outlineLevel="0" collapsed="false">
      <c r="A24" s="153" t="n">
        <f aca="false">A23+1</f>
        <v>13</v>
      </c>
      <c r="B24" s="226" t="n">
        <v>6897.47</v>
      </c>
      <c r="C24" s="216" t="n">
        <v>274343</v>
      </c>
      <c r="D24" s="218" t="n">
        <f aca="false">C24-C23</f>
        <v>2059</v>
      </c>
      <c r="E24" s="216" t="n">
        <f aca="false">C24-152000</f>
        <v>122343</v>
      </c>
      <c r="F24" s="240" t="n">
        <f aca="false">D24/$D$2</f>
        <v>1038.06402823292</v>
      </c>
      <c r="G24" s="215" t="n">
        <v>1440</v>
      </c>
      <c r="H24" s="341" t="n">
        <v>14</v>
      </c>
      <c r="I24" s="240" t="n">
        <f aca="false">G24+H24</f>
        <v>1454</v>
      </c>
      <c r="J24" s="221" t="n">
        <f aca="false">IF(L24&gt;0,L24,0)</f>
        <v>84.0640282329216</v>
      </c>
      <c r="K24" s="240" t="n">
        <f aca="false">I24+J24</f>
        <v>1538.06402823292</v>
      </c>
      <c r="L24" s="240" t="n">
        <f aca="false">F24-(I24-AA24)</f>
        <v>84.0640282329216</v>
      </c>
      <c r="M24" s="242" t="n">
        <v>263</v>
      </c>
      <c r="N24" s="240" t="n">
        <v>0</v>
      </c>
      <c r="O24" s="240" t="n">
        <f aca="false">73.15*1.05</f>
        <v>76.8075</v>
      </c>
      <c r="P24" s="357" t="n">
        <v>2.03</v>
      </c>
      <c r="Q24" s="218" t="n">
        <v>4.2</v>
      </c>
      <c r="R24" s="116" t="n">
        <v>2.38</v>
      </c>
      <c r="S24" s="240" t="n">
        <v>54</v>
      </c>
      <c r="T24" s="240" t="n">
        <v>55</v>
      </c>
      <c r="U24" s="240" t="n">
        <f aca="false">M24-N24-O24-P24-Q24-R24+S24+T24</f>
        <v>286.5825</v>
      </c>
      <c r="V24" s="216" t="n">
        <f aca="false">V23+AI24-(AJ24/1.9835)</f>
        <v>28751.571509014</v>
      </c>
      <c r="W24" s="216"/>
      <c r="X24" s="240" t="n">
        <v>84</v>
      </c>
      <c r="Y24" s="442" t="n">
        <v>44</v>
      </c>
      <c r="Z24" s="443" t="n">
        <f aca="false">Z23-Y24</f>
        <v>14590.9836148223</v>
      </c>
      <c r="AA24" s="117" t="n">
        <f aca="false">N24+O24+P24+Q24+R24+U24+X24+Y24</f>
        <v>500</v>
      </c>
      <c r="AB24" s="240" t="n">
        <f aca="false">IF(L24&lt;0,L24*-1,0)</f>
        <v>0</v>
      </c>
      <c r="AC24" s="240" t="n">
        <f aca="false">AA24+AB24</f>
        <v>500</v>
      </c>
      <c r="AD24" s="222" t="n">
        <v>0</v>
      </c>
      <c r="AE24" s="218" t="n">
        <v>59</v>
      </c>
      <c r="AF24" s="223" t="n">
        <v>33</v>
      </c>
      <c r="AG24" s="218" t="n">
        <f aca="false">AG23</f>
        <v>0</v>
      </c>
      <c r="AH24" s="218"/>
      <c r="AI24" s="92" t="n">
        <f aca="false">795-U24</f>
        <v>508.4175</v>
      </c>
      <c r="AJ24" s="341" t="n">
        <f aca="false">23.5*(V23*1.9835+AI24*1.9835)/E24</f>
        <v>10.956351514444</v>
      </c>
      <c r="AK24" s="224"/>
    </row>
    <row r="25" customFormat="false" ht="11.1" hidden="false" customHeight="true" outlineLevel="0" collapsed="false">
      <c r="A25" s="153" t="n">
        <f aca="false">A24+1</f>
        <v>14</v>
      </c>
      <c r="B25" s="226" t="n">
        <v>6897.83</v>
      </c>
      <c r="C25" s="216" t="n">
        <v>275646</v>
      </c>
      <c r="D25" s="218" t="n">
        <f aca="false">C25-C24</f>
        <v>1303</v>
      </c>
      <c r="E25" s="216" t="n">
        <f aca="false">C25-152000</f>
        <v>123646</v>
      </c>
      <c r="F25" s="240" t="n">
        <f aca="false">D25/$D$2</f>
        <v>656.919586589362</v>
      </c>
      <c r="G25" s="215" t="n">
        <v>1140</v>
      </c>
      <c r="H25" s="341" t="n">
        <v>4.2</v>
      </c>
      <c r="I25" s="240" t="n">
        <f aca="false">G25+H25</f>
        <v>1144.2</v>
      </c>
      <c r="J25" s="221" t="n">
        <f aca="false">IF(L25&gt;0,L25,0)</f>
        <v>36.7195865893622</v>
      </c>
      <c r="K25" s="240" t="n">
        <f aca="false">I25+J25</f>
        <v>1180.91958658936</v>
      </c>
      <c r="L25" s="240" t="n">
        <f aca="false">F25-(I25-AA25)</f>
        <v>36.7195865893622</v>
      </c>
      <c r="M25" s="242" t="n">
        <v>264</v>
      </c>
      <c r="N25" s="240" t="n">
        <v>0</v>
      </c>
      <c r="O25" s="240" t="n">
        <f aca="false">74.73*1.05</f>
        <v>78.4665</v>
      </c>
      <c r="P25" s="357" t="n">
        <v>2.03</v>
      </c>
      <c r="Q25" s="218" t="n">
        <v>4.2</v>
      </c>
      <c r="R25" s="116" t="n">
        <v>1.18</v>
      </c>
      <c r="S25" s="240" t="n">
        <v>60</v>
      </c>
      <c r="T25" s="240" t="n">
        <v>61</v>
      </c>
      <c r="U25" s="240" t="n">
        <f aca="false">M25-N25-O25-P25-Q25-R25+S25+T25</f>
        <v>299.1235</v>
      </c>
      <c r="V25" s="216" t="n">
        <f aca="false">V24+AI25-(AJ25/1.9835)</f>
        <v>29241.8892765988</v>
      </c>
      <c r="W25" s="216"/>
      <c r="X25" s="240" t="n">
        <v>95</v>
      </c>
      <c r="Y25" s="442" t="n">
        <v>44</v>
      </c>
      <c r="Z25" s="443" t="n">
        <f aca="false">Z24-Y25</f>
        <v>14546.9836148223</v>
      </c>
      <c r="AA25" s="117" t="n">
        <f aca="false">N25+O25+P25+Q25+R25+U25+X25+Y25</f>
        <v>524</v>
      </c>
      <c r="AB25" s="240" t="n">
        <f aca="false">IF(L25&lt;0,L25*-1,0)</f>
        <v>0</v>
      </c>
      <c r="AC25" s="240" t="n">
        <f aca="false">AA25+AB25</f>
        <v>524</v>
      </c>
      <c r="AD25" s="222" t="n">
        <v>0</v>
      </c>
      <c r="AE25" s="218" t="n">
        <v>67</v>
      </c>
      <c r="AF25" s="223" t="n">
        <v>35</v>
      </c>
      <c r="AG25" s="218" t="n">
        <f aca="false">AG24</f>
        <v>0</v>
      </c>
      <c r="AH25" s="218"/>
      <c r="AI25" s="92" t="n">
        <f aca="false">795-U25</f>
        <v>495.8765</v>
      </c>
      <c r="AJ25" s="341" t="n">
        <f aca="false">23.5*(V24*1.9835+AI25*1.9835)/E25</f>
        <v>11.0257457455814</v>
      </c>
      <c r="AK25" s="224"/>
    </row>
    <row r="26" customFormat="false" ht="11.1" hidden="false" customHeight="true" outlineLevel="0" collapsed="false">
      <c r="A26" s="153" t="n">
        <f aca="false">A25+1</f>
        <v>15</v>
      </c>
      <c r="B26" s="226" t="n">
        <v>6898.17</v>
      </c>
      <c r="C26" s="216" t="n">
        <v>276880</v>
      </c>
      <c r="D26" s="218" t="n">
        <f aca="false">C26-C25</f>
        <v>1234</v>
      </c>
      <c r="E26" s="216" t="n">
        <f aca="false">C26-152000</f>
        <v>124880</v>
      </c>
      <c r="F26" s="240" t="n">
        <f aca="false">D26/$D$2</f>
        <v>622.132593899672</v>
      </c>
      <c r="G26" s="215" t="n">
        <v>1130</v>
      </c>
      <c r="H26" s="341" t="n">
        <v>2</v>
      </c>
      <c r="I26" s="240" t="n">
        <f aca="false">G26+H26</f>
        <v>1132</v>
      </c>
      <c r="J26" s="221" t="n">
        <f aca="false">IF(L26&gt;0,L26,0)</f>
        <v>66.1325938996723</v>
      </c>
      <c r="K26" s="359" t="n">
        <f aca="false">I26+J26</f>
        <v>1198.13259389967</v>
      </c>
      <c r="L26" s="240" t="n">
        <f aca="false">F26-(I26-AA26)</f>
        <v>66.1325938996723</v>
      </c>
      <c r="M26" s="242" t="n">
        <v>253</v>
      </c>
      <c r="N26" s="240" t="n">
        <v>0</v>
      </c>
      <c r="O26" s="240" t="n">
        <f aca="false">55.74*1.05</f>
        <v>58.527</v>
      </c>
      <c r="P26" s="357" t="n">
        <v>2.03</v>
      </c>
      <c r="Q26" s="218" t="n">
        <v>4.2</v>
      </c>
      <c r="R26" s="116" t="n">
        <v>1.97</v>
      </c>
      <c r="S26" s="240" t="n">
        <v>75</v>
      </c>
      <c r="T26" s="240" t="n">
        <v>62</v>
      </c>
      <c r="U26" s="240" t="n">
        <f aca="false">M26-N26-O26-P26-Q26-R26+S26+T26</f>
        <v>323.273</v>
      </c>
      <c r="V26" s="216" t="n">
        <f aca="false">V25+AI26-(AJ26/1.9835)</f>
        <v>29708.0247488722</v>
      </c>
      <c r="W26" s="216"/>
      <c r="X26" s="240" t="n">
        <v>142</v>
      </c>
      <c r="Y26" s="442" t="n">
        <v>44</v>
      </c>
      <c r="Z26" s="443" t="n">
        <f aca="false">Z25-Y26</f>
        <v>14502.9836148223</v>
      </c>
      <c r="AA26" s="117" t="n">
        <f aca="false">N26+O26+P26+Q26+R26+U26+X26+Y26</f>
        <v>576</v>
      </c>
      <c r="AB26" s="240" t="n">
        <f aca="false">IF(L26&lt;0,L26*-1,0)</f>
        <v>0</v>
      </c>
      <c r="AC26" s="240" t="n">
        <f aca="false">AA26+AB26</f>
        <v>576</v>
      </c>
      <c r="AD26" s="222" t="n">
        <v>0</v>
      </c>
      <c r="AE26" s="218" t="n">
        <v>74</v>
      </c>
      <c r="AF26" s="223" t="n">
        <v>44</v>
      </c>
      <c r="AG26" s="218" t="n">
        <f aca="false">AG25</f>
        <v>0</v>
      </c>
      <c r="AH26" s="218"/>
      <c r="AI26" s="92" t="n">
        <f aca="false">795-U26</f>
        <v>471.727</v>
      </c>
      <c r="AJ26" s="341" t="n">
        <f aca="false">23.5*(V25*1.9835+AI26*1.9835)/E26</f>
        <v>11.090795245747</v>
      </c>
      <c r="AK26" s="224"/>
    </row>
    <row r="27" customFormat="false" ht="11.1" hidden="false" customHeight="true" outlineLevel="0" collapsed="false">
      <c r="A27" s="153" t="n">
        <f aca="false">A26+1</f>
        <v>16</v>
      </c>
      <c r="B27" s="226" t="n">
        <v>6898.65</v>
      </c>
      <c r="C27" s="216" t="n">
        <v>278630</v>
      </c>
      <c r="D27" s="218" t="n">
        <f aca="false">C27-C26</f>
        <v>1750</v>
      </c>
      <c r="E27" s="216" t="n">
        <f aca="false">C27-152000</f>
        <v>126630</v>
      </c>
      <c r="F27" s="240" t="n">
        <f aca="false">D27/$D$2</f>
        <v>882.278800100832</v>
      </c>
      <c r="G27" s="215" t="n">
        <v>1380</v>
      </c>
      <c r="H27" s="341" t="n">
        <v>18</v>
      </c>
      <c r="I27" s="240" t="n">
        <f aca="false">G27+H27</f>
        <v>1398</v>
      </c>
      <c r="J27" s="221" t="n">
        <f aca="false">IF(L27&gt;0,L27,0)</f>
        <v>112.278800100832</v>
      </c>
      <c r="K27" s="240" t="n">
        <f aca="false">I27+J27</f>
        <v>1510.27880010083</v>
      </c>
      <c r="L27" s="240" t="n">
        <f aca="false">F27-(I27-AA27)</f>
        <v>112.278800100832</v>
      </c>
      <c r="M27" s="242" t="n">
        <v>292</v>
      </c>
      <c r="N27" s="240" t="n">
        <v>0</v>
      </c>
      <c r="O27" s="240" t="n">
        <f aca="false">71.81*1.05</f>
        <v>75.4005</v>
      </c>
      <c r="P27" s="357" t="n">
        <v>2.03</v>
      </c>
      <c r="Q27" s="218" t="n">
        <v>4.2</v>
      </c>
      <c r="R27" s="116" t="n">
        <v>4.22</v>
      </c>
      <c r="S27" s="240" t="n">
        <v>82</v>
      </c>
      <c r="T27" s="240" t="n">
        <v>65</v>
      </c>
      <c r="U27" s="240" t="n">
        <f aca="false">M27-N27-O27-P27-Q27-R27+S27+T27</f>
        <v>353.1495</v>
      </c>
      <c r="V27" s="216" t="n">
        <f aca="false">V26+AI27-(AJ27/1.9835)</f>
        <v>30144.2800339282</v>
      </c>
      <c r="W27" s="216"/>
      <c r="X27" s="240" t="n">
        <v>146</v>
      </c>
      <c r="Y27" s="442" t="n">
        <v>43</v>
      </c>
      <c r="Z27" s="443" t="n">
        <f aca="false">Z26-Y27</f>
        <v>14459.9836148223</v>
      </c>
      <c r="AA27" s="117" t="n">
        <f aca="false">N27+O27+P27+Q27+R27+U27+X27+Y27</f>
        <v>628</v>
      </c>
      <c r="AB27" s="240" t="n">
        <f aca="false">IF(L27&lt;0,L27*-1,0)</f>
        <v>0</v>
      </c>
      <c r="AC27" s="240" t="n">
        <f aca="false">AA27+AB27</f>
        <v>628</v>
      </c>
      <c r="AD27" s="222" t="n">
        <v>0</v>
      </c>
      <c r="AE27" s="218" t="n">
        <v>74</v>
      </c>
      <c r="AF27" s="223" t="n">
        <v>44</v>
      </c>
      <c r="AG27" s="218" t="n">
        <f aca="false">AG26</f>
        <v>0</v>
      </c>
      <c r="AH27" s="218"/>
      <c r="AI27" s="92" t="n">
        <f aca="false">795-U27</f>
        <v>441.8505</v>
      </c>
      <c r="AJ27" s="341" t="n">
        <f aca="false">23.5*(V26*1.9835+AI27*1.9835)/E27</f>
        <v>11.0981088412638</v>
      </c>
      <c r="AK27" s="224"/>
    </row>
    <row r="28" customFormat="false" ht="11.1" hidden="false" customHeight="true" outlineLevel="0" collapsed="false">
      <c r="A28" s="153" t="n">
        <f aca="false">A27+1</f>
        <v>17</v>
      </c>
      <c r="B28" s="226" t="n">
        <v>6899.23</v>
      </c>
      <c r="C28" s="216" t="n">
        <v>280751</v>
      </c>
      <c r="D28" s="218" t="n">
        <f aca="false">C28-C27</f>
        <v>2121</v>
      </c>
      <c r="E28" s="216" t="n">
        <f aca="false">C28-152000</f>
        <v>128751</v>
      </c>
      <c r="F28" s="240" t="n">
        <f aca="false">D28/$D$2</f>
        <v>1069.32190572221</v>
      </c>
      <c r="G28" s="215" t="n">
        <v>1640</v>
      </c>
      <c r="H28" s="341" t="n">
        <v>23</v>
      </c>
      <c r="I28" s="240" t="n">
        <f aca="false">G28+H28</f>
        <v>1663</v>
      </c>
      <c r="J28" s="221" t="n">
        <f aca="false">IF(L28&gt;0,L28,0)</f>
        <v>86.3219057222082</v>
      </c>
      <c r="K28" s="359" t="n">
        <f aca="false">I28+J28</f>
        <v>1749.32190572221</v>
      </c>
      <c r="L28" s="240" t="n">
        <f aca="false">F28-(I28-AA28)</f>
        <v>86.3219057222082</v>
      </c>
      <c r="M28" s="242" t="n">
        <v>310</v>
      </c>
      <c r="N28" s="240" t="n">
        <v>0</v>
      </c>
      <c r="O28" s="240" t="n">
        <f aca="false">91.24*1.05</f>
        <v>95.802</v>
      </c>
      <c r="P28" s="357" t="n">
        <v>2.03</v>
      </c>
      <c r="Q28" s="218" t="n">
        <v>4.2</v>
      </c>
      <c r="R28" s="116" t="n">
        <v>1.86</v>
      </c>
      <c r="S28" s="240" t="n">
        <v>82</v>
      </c>
      <c r="T28" s="240" t="n">
        <v>66</v>
      </c>
      <c r="U28" s="240" t="n">
        <f aca="false">M28-N28-O28-P28-Q28-R28+S28+T28</f>
        <v>354.108</v>
      </c>
      <c r="V28" s="216" t="n">
        <f aca="false">V27+AI28-(AJ28/1.9835)</f>
        <v>30579.5895410327</v>
      </c>
      <c r="W28" s="216"/>
      <c r="X28" s="240" t="n">
        <v>178</v>
      </c>
      <c r="Y28" s="442" t="n">
        <v>44</v>
      </c>
      <c r="Z28" s="443" t="n">
        <f aca="false">Z27-Y28</f>
        <v>14415.9836148223</v>
      </c>
      <c r="AA28" s="117" t="n">
        <f aca="false">N28+O28+P28+Q28+R28+U28+X28+Y28</f>
        <v>680</v>
      </c>
      <c r="AB28" s="240" t="n">
        <f aca="false">IF(L28&lt;0,L28*-1,0)</f>
        <v>0</v>
      </c>
      <c r="AC28" s="240" t="n">
        <f aca="false">AA28+AB28</f>
        <v>680</v>
      </c>
      <c r="AD28" s="222" t="n">
        <v>0</v>
      </c>
      <c r="AE28" s="218" t="n">
        <v>70</v>
      </c>
      <c r="AF28" s="223" t="n">
        <v>47</v>
      </c>
      <c r="AG28" s="218" t="n">
        <f aca="false">AG27</f>
        <v>0</v>
      </c>
      <c r="AH28" s="218"/>
      <c r="AI28" s="92" t="n">
        <f aca="false">795-U28</f>
        <v>440.892</v>
      </c>
      <c r="AJ28" s="341" t="n">
        <f aca="false">23.5*(V27*1.9835+AI28*1.9835)/E28</f>
        <v>11.0728746583597</v>
      </c>
      <c r="AK28" s="224"/>
    </row>
    <row r="29" customFormat="false" ht="11.1" hidden="false" customHeight="true" outlineLevel="0" collapsed="false">
      <c r="A29" s="153" t="n">
        <f aca="false">A28+1</f>
        <v>18</v>
      </c>
      <c r="B29" s="226" t="n">
        <v>6899.71</v>
      </c>
      <c r="C29" s="216" t="n">
        <v>282515</v>
      </c>
      <c r="D29" s="218" t="n">
        <f aca="false">C29-C28</f>
        <v>1764</v>
      </c>
      <c r="E29" s="216" t="n">
        <f aca="false">C29-152000</f>
        <v>130515</v>
      </c>
      <c r="F29" s="240" t="n">
        <f aca="false">D29/$D$2</f>
        <v>889.337030501638</v>
      </c>
      <c r="G29" s="215" t="n">
        <v>1550</v>
      </c>
      <c r="H29" s="341" t="n">
        <v>20</v>
      </c>
      <c r="I29" s="240" t="n">
        <f aca="false">G29+H29</f>
        <v>1570</v>
      </c>
      <c r="J29" s="221" t="n">
        <f aca="false">IF(L29&gt;0,L29,0)</f>
        <v>73.3370305016385</v>
      </c>
      <c r="K29" s="240" t="n">
        <f aca="false">I29+J29</f>
        <v>1643.33703050164</v>
      </c>
      <c r="L29" s="240" t="n">
        <f aca="false">F29-(I29-AA29)</f>
        <v>73.3370305016385</v>
      </c>
      <c r="M29" s="242" t="n">
        <v>345</v>
      </c>
      <c r="N29" s="240" t="n">
        <v>0</v>
      </c>
      <c r="O29" s="240" t="n">
        <f aca="false">94.59*1.05</f>
        <v>99.3195</v>
      </c>
      <c r="P29" s="357" t="n">
        <v>2.03</v>
      </c>
      <c r="Q29" s="218" t="n">
        <v>4.2</v>
      </c>
      <c r="R29" s="116" t="n">
        <v>2.64</v>
      </c>
      <c r="S29" s="240" t="n">
        <v>82</v>
      </c>
      <c r="T29" s="240" t="n">
        <v>66</v>
      </c>
      <c r="U29" s="240" t="n">
        <f aca="false">M29-N29-O29-P29-Q29-R29+S29+T29</f>
        <v>384.8105</v>
      </c>
      <c r="V29" s="216" t="n">
        <f aca="false">V28+AI29-(AJ29/1.9835)</f>
        <v>30984.1991474766</v>
      </c>
      <c r="W29" s="216"/>
      <c r="X29" s="240" t="n">
        <v>202</v>
      </c>
      <c r="Y29" s="442" t="n">
        <v>59</v>
      </c>
      <c r="Z29" s="443" t="n">
        <f aca="false">Z28-Y29</f>
        <v>14356.9836148223</v>
      </c>
      <c r="AA29" s="117" t="n">
        <f aca="false">N29+O29+P29+Q29+R29+U29+X29+Y29</f>
        <v>754</v>
      </c>
      <c r="AB29" s="240" t="n">
        <f aca="false">IF(L29&lt;0,L29*-1,0)</f>
        <v>0</v>
      </c>
      <c r="AC29" s="240" t="n">
        <f aca="false">AA29+AB29</f>
        <v>754</v>
      </c>
      <c r="AD29" s="222" t="n">
        <v>0</v>
      </c>
      <c r="AE29" s="218" t="n">
        <v>76</v>
      </c>
      <c r="AF29" s="223" t="n">
        <v>44</v>
      </c>
      <c r="AG29" s="218" t="n">
        <f aca="false">AG28</f>
        <v>0</v>
      </c>
      <c r="AH29" s="218"/>
      <c r="AI29" s="92" t="n">
        <f aca="false">795-U29</f>
        <v>410.1895</v>
      </c>
      <c r="AJ29" s="341" t="n">
        <f aca="false">23.5*(V28*1.9835+AI29*1.9835)/E29</f>
        <v>11.0677188683705</v>
      </c>
      <c r="AK29" s="224"/>
    </row>
    <row r="30" customFormat="false" ht="11.1" hidden="false" customHeight="true" outlineLevel="0" collapsed="false">
      <c r="A30" s="153" t="n">
        <f aca="false">A29+1</f>
        <v>19</v>
      </c>
      <c r="B30" s="226" t="n">
        <v>6900.38</v>
      </c>
      <c r="C30" s="344" t="n">
        <v>284987</v>
      </c>
      <c r="D30" s="218" t="n">
        <f aca="false">C30-C29</f>
        <v>2472</v>
      </c>
      <c r="E30" s="216" t="n">
        <f aca="false">C30-152000</f>
        <v>132987</v>
      </c>
      <c r="F30" s="240" t="n">
        <f aca="false">D30/$D$2</f>
        <v>1246.28182505672</v>
      </c>
      <c r="G30" s="215" t="n">
        <v>1880</v>
      </c>
      <c r="H30" s="341" t="n">
        <v>19</v>
      </c>
      <c r="I30" s="240" t="n">
        <f aca="false">G30+H30</f>
        <v>1899</v>
      </c>
      <c r="J30" s="221" t="n">
        <f aca="false">IF(L30&gt;0,L30,0)</f>
        <v>74.2818250567179</v>
      </c>
      <c r="K30" s="240" t="n">
        <f aca="false">I30+J30</f>
        <v>1973.28182505672</v>
      </c>
      <c r="L30" s="240" t="n">
        <f aca="false">F30-(I30-AA30)</f>
        <v>74.2818250567179</v>
      </c>
      <c r="M30" s="242" t="n">
        <v>312</v>
      </c>
      <c r="N30" s="240" t="n">
        <v>0</v>
      </c>
      <c r="O30" s="240" t="n">
        <f aca="false">78.1*1.05</f>
        <v>82.005</v>
      </c>
      <c r="P30" s="357" t="n">
        <v>2.03</v>
      </c>
      <c r="Q30" s="218" t="n">
        <v>4.2</v>
      </c>
      <c r="R30" s="116" t="n">
        <v>2.48</v>
      </c>
      <c r="S30" s="240" t="n">
        <v>82</v>
      </c>
      <c r="T30" s="240" t="n">
        <v>66</v>
      </c>
      <c r="U30" s="240" t="n">
        <f aca="false">M30-N30-O30-P30-Q30-R30+S30+T30</f>
        <v>369.285</v>
      </c>
      <c r="V30" s="216" t="n">
        <f aca="false">V29+AI30-(AJ30/1.9835)</f>
        <v>31404.3637329063</v>
      </c>
      <c r="W30" s="216"/>
      <c r="X30" s="240" t="n">
        <v>200</v>
      </c>
      <c r="Y30" s="442" t="n">
        <v>67</v>
      </c>
      <c r="Z30" s="443" t="n">
        <f aca="false">Z29-Y30</f>
        <v>14289.9836148223</v>
      </c>
      <c r="AA30" s="117" t="n">
        <f aca="false">N30+O30+P30+Q30+R30+U30+X30+Y30</f>
        <v>727</v>
      </c>
      <c r="AB30" s="240" t="n">
        <f aca="false">IF(L30&lt;0,L30*-1,0)</f>
        <v>0</v>
      </c>
      <c r="AC30" s="240" t="n">
        <f aca="false">AA30+AB30</f>
        <v>727</v>
      </c>
      <c r="AD30" s="222" t="n">
        <v>0</v>
      </c>
      <c r="AE30" s="218" t="n">
        <v>78</v>
      </c>
      <c r="AF30" s="223" t="n">
        <v>44</v>
      </c>
      <c r="AG30" s="218" t="n">
        <f aca="false">AG29</f>
        <v>0</v>
      </c>
      <c r="AH30" s="218"/>
      <c r="AI30" s="92" t="n">
        <f aca="false">795-U30</f>
        <v>425.715</v>
      </c>
      <c r="AJ30" s="341" t="n">
        <f aca="false">23.5*(V29*1.9835+AI30*1.9835)/E30</f>
        <v>11.0092473002678</v>
      </c>
      <c r="AK30" s="224"/>
    </row>
    <row r="31" customFormat="false" ht="11.1" hidden="false" customHeight="true" outlineLevel="0" collapsed="false">
      <c r="A31" s="153" t="n">
        <f aca="false">A30+1</f>
        <v>20</v>
      </c>
      <c r="B31" s="226" t="n">
        <v>6901.08</v>
      </c>
      <c r="C31" s="216" t="n">
        <v>287581</v>
      </c>
      <c r="D31" s="218" t="n">
        <f aca="false">C31-C30</f>
        <v>2594</v>
      </c>
      <c r="E31" s="216" t="n">
        <f aca="false">C31-152000</f>
        <v>135581</v>
      </c>
      <c r="F31" s="240" t="n">
        <f aca="false">D31/$D$2</f>
        <v>1307.7892614066</v>
      </c>
      <c r="G31" s="215" t="n">
        <v>2030</v>
      </c>
      <c r="H31" s="341" t="n">
        <v>18</v>
      </c>
      <c r="I31" s="240" t="n">
        <f aca="false">G31+H31</f>
        <v>2048</v>
      </c>
      <c r="J31" s="221" t="n">
        <f aca="false">IF(L31&gt;0,L31,0)</f>
        <v>16.7892614066045</v>
      </c>
      <c r="K31" s="240" t="n">
        <f aca="false">I31+J31</f>
        <v>2064.7892614066</v>
      </c>
      <c r="L31" s="240" t="n">
        <f aca="false">F31-(I31-AA31)</f>
        <v>16.7892614066045</v>
      </c>
      <c r="M31" s="242" t="n">
        <v>314</v>
      </c>
      <c r="N31" s="240" t="n">
        <v>0</v>
      </c>
      <c r="O31" s="240" t="n">
        <f aca="false">91.52*1.05</f>
        <v>96.096</v>
      </c>
      <c r="P31" s="357" t="n">
        <v>2.03</v>
      </c>
      <c r="Q31" s="218" t="n">
        <v>4.2</v>
      </c>
      <c r="R31" s="116" t="n">
        <v>2.72</v>
      </c>
      <c r="S31" s="240" t="n">
        <v>82</v>
      </c>
      <c r="T31" s="240" t="n">
        <v>68</v>
      </c>
      <c r="U31" s="240" t="n">
        <f aca="false">M31-N31-O31-P31-Q31-R31+S31+T31</f>
        <v>358.954</v>
      </c>
      <c r="V31" s="216" t="n">
        <f aca="false">V30+AI31-(AJ31/1.9835)</f>
        <v>31834.8908945092</v>
      </c>
      <c r="W31" s="216"/>
      <c r="X31" s="240" t="n">
        <v>226</v>
      </c>
      <c r="Y31" s="442" t="n">
        <v>67</v>
      </c>
      <c r="Z31" s="443" t="n">
        <f aca="false">Z30-Y31</f>
        <v>14222.9836148223</v>
      </c>
      <c r="AA31" s="117" t="n">
        <f aca="false">N31+O31+P31+Q31+R31+U31+X31+Y31</f>
        <v>757</v>
      </c>
      <c r="AB31" s="240" t="n">
        <f aca="false">IF(L31&lt;0,L31*-1,0)</f>
        <v>0</v>
      </c>
      <c r="AC31" s="240" t="n">
        <f aca="false">AA31+AB31</f>
        <v>757</v>
      </c>
      <c r="AD31" s="222" t="n">
        <v>0</v>
      </c>
      <c r="AE31" s="218" t="n">
        <v>75</v>
      </c>
      <c r="AF31" s="223" t="n">
        <v>43</v>
      </c>
      <c r="AG31" s="218" t="n">
        <f aca="false">AG30</f>
        <v>0</v>
      </c>
      <c r="AH31" s="218"/>
      <c r="AI31" s="92" t="n">
        <f aca="false">795-U31</f>
        <v>436.046</v>
      </c>
      <c r="AJ31" s="341" t="n">
        <f aca="false">23.5*(V30*1.9835+AI31*1.9835)/E31</f>
        <v>10.9466159607368</v>
      </c>
      <c r="AK31" s="224"/>
    </row>
    <row r="32" customFormat="false" ht="11.1" hidden="false" customHeight="true" outlineLevel="0" collapsed="false">
      <c r="A32" s="153" t="n">
        <f aca="false">A31+1</f>
        <v>21</v>
      </c>
      <c r="B32" s="444" t="n">
        <v>6901.68</v>
      </c>
      <c r="C32" s="216" t="n">
        <v>289820</v>
      </c>
      <c r="D32" s="218" t="n">
        <f aca="false">C32-C31</f>
        <v>2239</v>
      </c>
      <c r="E32" s="216" t="n">
        <f aca="false">C32-152000</f>
        <v>137820</v>
      </c>
      <c r="F32" s="240" t="n">
        <f aca="false">D32/$D$2</f>
        <v>1128.81270481472</v>
      </c>
      <c r="G32" s="215" t="n">
        <v>1820</v>
      </c>
      <c r="H32" s="341" t="n">
        <v>14</v>
      </c>
      <c r="I32" s="240" t="n">
        <f aca="false">G32+H32</f>
        <v>1834</v>
      </c>
      <c r="J32" s="221" t="n">
        <f aca="false">IF(L32&gt;0,L32,0)</f>
        <v>0</v>
      </c>
      <c r="K32" s="240" t="n">
        <f aca="false">I32+J32</f>
        <v>1834</v>
      </c>
      <c r="L32" s="240" t="n">
        <f aca="false">F32-(I32-AA32)</f>
        <v>-12.1872951852786</v>
      </c>
      <c r="M32" s="242" t="n">
        <v>273</v>
      </c>
      <c r="N32" s="240" t="n">
        <v>0</v>
      </c>
      <c r="O32" s="240" t="n">
        <f aca="false">72.81*1.05</f>
        <v>76.4505</v>
      </c>
      <c r="P32" s="357" t="n">
        <v>2.03</v>
      </c>
      <c r="Q32" s="218" t="n">
        <v>4.2</v>
      </c>
      <c r="R32" s="116" t="n">
        <v>2.73</v>
      </c>
      <c r="S32" s="240" t="n">
        <v>83</v>
      </c>
      <c r="T32" s="240" t="n">
        <v>68</v>
      </c>
      <c r="U32" s="240" t="n">
        <f aca="false">M32-N32-O32-P32-Q32-R32+S32+T32</f>
        <v>338.5895</v>
      </c>
      <c r="V32" s="216" t="n">
        <f aca="false">V31+AI32-(AJ32/1.9835)+12.6</f>
        <v>32253.4030047053</v>
      </c>
      <c r="W32" s="216"/>
      <c r="X32" s="240" t="n">
        <v>202</v>
      </c>
      <c r="Y32" s="442" t="n">
        <v>67</v>
      </c>
      <c r="Z32" s="443" t="n">
        <f aca="false">Z31-Y32</f>
        <v>14155.9836148223</v>
      </c>
      <c r="AA32" s="117" t="n">
        <f aca="false">N32+O32+P32+Q32+R32+U32+X32+Y32</f>
        <v>693</v>
      </c>
      <c r="AB32" s="240" t="n">
        <f aca="false">IF(L32&lt;0,L32*-1,0)</f>
        <v>12.1872951852786</v>
      </c>
      <c r="AC32" s="240" t="n">
        <f aca="false">AA32+AB32</f>
        <v>705.187295185279</v>
      </c>
      <c r="AD32" s="222" t="n">
        <v>0</v>
      </c>
      <c r="AE32" s="218" t="n">
        <v>70</v>
      </c>
      <c r="AF32" s="223" t="n">
        <v>44</v>
      </c>
      <c r="AG32" s="218" t="n">
        <f aca="false">AG31</f>
        <v>0</v>
      </c>
      <c r="AH32" s="218"/>
      <c r="AI32" s="92" t="n">
        <f aca="false">795-U32-45</f>
        <v>411.4105</v>
      </c>
      <c r="AJ32" s="341" t="n">
        <f aca="false">23.5*(V31*1.9835+AI32*1.9835)/E32</f>
        <v>10.9060561759992</v>
      </c>
      <c r="AK32" s="224"/>
    </row>
    <row r="33" customFormat="false" ht="11.1" hidden="false" customHeight="true" outlineLevel="0" collapsed="false">
      <c r="A33" s="153" t="n">
        <f aca="false">A32+1</f>
        <v>22</v>
      </c>
      <c r="B33" s="226" t="n">
        <v>6902.24</v>
      </c>
      <c r="C33" s="216" t="n">
        <v>291918</v>
      </c>
      <c r="D33" s="218" t="n">
        <f aca="false">C33-C32</f>
        <v>2098</v>
      </c>
      <c r="E33" s="216" t="n">
        <f aca="false">C33-152000</f>
        <v>139918</v>
      </c>
      <c r="F33" s="240" t="n">
        <f aca="false">D33/$D$2</f>
        <v>1057.72624149231</v>
      </c>
      <c r="G33" s="215" t="n">
        <v>1620</v>
      </c>
      <c r="H33" s="341" t="n">
        <v>10</v>
      </c>
      <c r="I33" s="240" t="n">
        <f aca="false">G33+H33</f>
        <v>1630</v>
      </c>
      <c r="J33" s="221" t="n">
        <f aca="false">IF(L33&gt;0,L33,0)</f>
        <v>142.726241492312</v>
      </c>
      <c r="K33" s="240" t="n">
        <f aca="false">I33+J33</f>
        <v>1772.72624149231</v>
      </c>
      <c r="L33" s="240" t="n">
        <f aca="false">F33-(I33-AA33)</f>
        <v>142.726241492312</v>
      </c>
      <c r="M33" s="242" t="n">
        <v>257</v>
      </c>
      <c r="N33" s="240" t="n">
        <v>0</v>
      </c>
      <c r="O33" s="240" t="n">
        <f aca="false">49.24*1.05</f>
        <v>51.702</v>
      </c>
      <c r="P33" s="357" t="n">
        <v>2.03</v>
      </c>
      <c r="Q33" s="218" t="n">
        <v>4.2</v>
      </c>
      <c r="R33" s="116" t="n">
        <v>2.38</v>
      </c>
      <c r="S33" s="240" t="n">
        <v>82</v>
      </c>
      <c r="T33" s="240" t="n">
        <v>66</v>
      </c>
      <c r="U33" s="240" t="n">
        <f aca="false">M33-N33-O33-P33-Q33-R33+S33+T33</f>
        <v>344.688</v>
      </c>
      <c r="V33" s="216" t="n">
        <f aca="false">V32-U33-(AJ33/1.9835)+54</f>
        <v>31957.297867735</v>
      </c>
      <c r="W33" s="216"/>
      <c r="X33" s="240" t="n">
        <v>243</v>
      </c>
      <c r="Y33" s="442" t="n">
        <v>67</v>
      </c>
      <c r="Z33" s="443" t="n">
        <f aca="false">Z32-Y33</f>
        <v>14088.9836148223</v>
      </c>
      <c r="AA33" s="117" t="n">
        <f aca="false">N33+O33+P33+Q33+R33+U33+X33+Y33</f>
        <v>715</v>
      </c>
      <c r="AB33" s="240" t="n">
        <f aca="false">IF(L33&lt;0,L33*-1,0)</f>
        <v>0</v>
      </c>
      <c r="AC33" s="240" t="n">
        <f aca="false">AA33+AB33</f>
        <v>715</v>
      </c>
      <c r="AD33" s="222" t="n">
        <v>0</v>
      </c>
      <c r="AE33" s="218" t="n">
        <v>66</v>
      </c>
      <c r="AF33" s="223" t="n">
        <v>42</v>
      </c>
      <c r="AG33" s="218" t="n">
        <f aca="false">AG32</f>
        <v>0</v>
      </c>
      <c r="AH33" s="218"/>
      <c r="AI33" s="92" t="n">
        <v>0</v>
      </c>
      <c r="AJ33" s="341" t="n">
        <f aca="false">23.5*(V32*1.9835+AI33*1.9835)/E33</f>
        <v>10.744891180592</v>
      </c>
      <c r="AK33" s="224"/>
    </row>
    <row r="34" customFormat="false" ht="11.1" hidden="false" customHeight="true" outlineLevel="0" collapsed="false">
      <c r="A34" s="153" t="n">
        <f aca="false">A33+1</f>
        <v>23</v>
      </c>
      <c r="B34" s="226" t="n">
        <v>6902.63</v>
      </c>
      <c r="C34" s="216" t="n">
        <v>293385</v>
      </c>
      <c r="D34" s="218" t="n">
        <f aca="false">C34-C33</f>
        <v>1467</v>
      </c>
      <c r="E34" s="216" t="n">
        <f aca="false">C34-152000</f>
        <v>141385</v>
      </c>
      <c r="F34" s="240" t="n">
        <f aca="false">D34/$D$2</f>
        <v>739.601714141669</v>
      </c>
      <c r="G34" s="215" t="n">
        <v>1440</v>
      </c>
      <c r="H34" s="341" t="n">
        <v>8.7</v>
      </c>
      <c r="I34" s="240" t="n">
        <f aca="false">G34+H34</f>
        <v>1448.7</v>
      </c>
      <c r="J34" s="221" t="n">
        <f aca="false">IF(L34&gt;0,L34,0)</f>
        <v>0</v>
      </c>
      <c r="K34" s="240" t="n">
        <f aca="false">I34+J34</f>
        <v>1448.7</v>
      </c>
      <c r="L34" s="240" t="n">
        <f aca="false">F34-(I34-AA34)</f>
        <v>-9.09828585833134</v>
      </c>
      <c r="M34" s="242" t="n">
        <v>261</v>
      </c>
      <c r="N34" s="240" t="n">
        <v>0</v>
      </c>
      <c r="O34" s="240" t="n">
        <f aca="false">49.44*1.05</f>
        <v>51.912</v>
      </c>
      <c r="P34" s="357" t="n">
        <v>2.03</v>
      </c>
      <c r="Q34" s="218" t="n">
        <v>4.2</v>
      </c>
      <c r="R34" s="116" t="n">
        <v>3.01</v>
      </c>
      <c r="S34" s="240" t="n">
        <v>83</v>
      </c>
      <c r="T34" s="240" t="n">
        <v>64</v>
      </c>
      <c r="U34" s="240" t="n">
        <f aca="false">M34-N34-O34-P34-Q34-R34+S34+T34</f>
        <v>346.848</v>
      </c>
      <c r="V34" s="216" t="n">
        <f aca="false">V33-U34-(AJ34/1.9835)</f>
        <v>31605.1381550364</v>
      </c>
      <c r="W34" s="216"/>
      <c r="X34" s="240" t="n">
        <v>226</v>
      </c>
      <c r="Y34" s="442" t="n">
        <v>66</v>
      </c>
      <c r="Z34" s="443" t="n">
        <f aca="false">Z33-Y34</f>
        <v>14022.9836148223</v>
      </c>
      <c r="AA34" s="117" t="n">
        <f aca="false">N34+O34+P34+Q34+R34+U34+X34+Y34</f>
        <v>700</v>
      </c>
      <c r="AB34" s="240" t="n">
        <f aca="false">IF(L34&lt;0,L34*-1,0)</f>
        <v>9.09828585833134</v>
      </c>
      <c r="AC34" s="240" t="n">
        <f aca="false">AA34+AB34</f>
        <v>709.098285858331</v>
      </c>
      <c r="AD34" s="222" t="n">
        <v>0</v>
      </c>
      <c r="AE34" s="218" t="n">
        <v>68</v>
      </c>
      <c r="AF34" s="223" t="n">
        <v>36</v>
      </c>
      <c r="AG34" s="218" t="n">
        <f aca="false">AG33</f>
        <v>0</v>
      </c>
      <c r="AH34" s="218"/>
      <c r="AI34" s="92" t="n">
        <v>0</v>
      </c>
      <c r="AJ34" s="341" t="n">
        <f aca="false">23.5*(V33*1.9835+AI34*1.9835)/E34</f>
        <v>10.5357821376761</v>
      </c>
      <c r="AK34" s="224"/>
    </row>
    <row r="35" customFormat="false" ht="11.1" hidden="false" customHeight="true" outlineLevel="0" collapsed="false">
      <c r="A35" s="153" t="n">
        <f aca="false">A34+1</f>
        <v>24</v>
      </c>
      <c r="B35" s="226" t="n">
        <v>6902.91</v>
      </c>
      <c r="C35" s="216" t="n">
        <v>294439</v>
      </c>
      <c r="D35" s="218" t="n">
        <f aca="false">C35-C34</f>
        <v>1054</v>
      </c>
      <c r="E35" s="216" t="n">
        <f aca="false">C35-152000</f>
        <v>142439</v>
      </c>
      <c r="F35" s="240" t="n">
        <f aca="false">D35/$D$2</f>
        <v>531.383917317872</v>
      </c>
      <c r="G35" s="215" t="n">
        <v>1250</v>
      </c>
      <c r="H35" s="341" t="n">
        <v>3.9</v>
      </c>
      <c r="I35" s="240" t="n">
        <f aca="false">G35+H35</f>
        <v>1253.9</v>
      </c>
      <c r="J35" s="221" t="n">
        <f aca="false">IF(L35&gt;0,L35,0)</f>
        <v>31.4839173178724</v>
      </c>
      <c r="K35" s="240" t="n">
        <f aca="false">I35+J35</f>
        <v>1285.38391731787</v>
      </c>
      <c r="L35" s="240" t="n">
        <f aca="false">F35-(I35-AA35)</f>
        <v>31.4839173178724</v>
      </c>
      <c r="M35" s="242" t="n">
        <v>312</v>
      </c>
      <c r="N35" s="240" t="n">
        <v>0</v>
      </c>
      <c r="O35" s="240" t="n">
        <f aca="false">86.62*1.05</f>
        <v>90.951</v>
      </c>
      <c r="P35" s="357" t="n">
        <v>2.03</v>
      </c>
      <c r="Q35" s="218" t="n">
        <v>4.2</v>
      </c>
      <c r="R35" s="116" t="n">
        <v>1.8</v>
      </c>
      <c r="S35" s="240" t="n">
        <v>83</v>
      </c>
      <c r="T35" s="240" t="n">
        <v>68</v>
      </c>
      <c r="U35" s="240" t="n">
        <f aca="false">M35-N35-O35-P35-Q35-R35+S35+T35</f>
        <v>364.019</v>
      </c>
      <c r="V35" s="216" t="n">
        <f aca="false">V34-U35-(AJ35/1.9835)</f>
        <v>31235.9048475318</v>
      </c>
      <c r="W35" s="216"/>
      <c r="X35" s="240" t="n">
        <v>226</v>
      </c>
      <c r="Y35" s="442" t="n">
        <v>65</v>
      </c>
      <c r="Z35" s="443" t="n">
        <f aca="false">Z34-Y35</f>
        <v>13957.9836148223</v>
      </c>
      <c r="AA35" s="117" t="n">
        <f aca="false">N35+O35+P35+Q35+R35+U35+X35+Y35</f>
        <v>754</v>
      </c>
      <c r="AB35" s="240" t="n">
        <f aca="false">IF(L35&lt;0,L35*-1,0)</f>
        <v>0</v>
      </c>
      <c r="AC35" s="240" t="n">
        <f aca="false">AA35+AB35</f>
        <v>754</v>
      </c>
      <c r="AD35" s="222" t="n">
        <v>0</v>
      </c>
      <c r="AE35" s="218" t="n">
        <v>69</v>
      </c>
      <c r="AF35" s="223" t="n">
        <v>39</v>
      </c>
      <c r="AG35" s="218" t="n">
        <f aca="false">AG34</f>
        <v>0</v>
      </c>
      <c r="AH35" s="218"/>
      <c r="AI35" s="92" t="n">
        <v>0</v>
      </c>
      <c r="AJ35" s="341" t="n">
        <f aca="false">23.5*(V34*1.9835+AI35*1.9835)/E35</f>
        <v>10.3425789353133</v>
      </c>
      <c r="AK35" s="224"/>
    </row>
    <row r="36" customFormat="false" ht="11.1" hidden="false" customHeight="true" outlineLevel="0" collapsed="false">
      <c r="A36" s="153" t="n">
        <f aca="false">A35+1</f>
        <v>25</v>
      </c>
      <c r="B36" s="226" t="n">
        <v>6903.18</v>
      </c>
      <c r="C36" s="216" t="n">
        <v>295460</v>
      </c>
      <c r="D36" s="218" t="n">
        <f aca="false">C36-C35</f>
        <v>1021</v>
      </c>
      <c r="E36" s="216" t="n">
        <f aca="false">C36-152000</f>
        <v>143460</v>
      </c>
      <c r="F36" s="240" t="n">
        <f aca="false">D36/$D$2</f>
        <v>514.746659944542</v>
      </c>
      <c r="G36" s="215" t="n">
        <v>1220</v>
      </c>
      <c r="H36" s="341" t="n">
        <v>1.6</v>
      </c>
      <c r="I36" s="240" t="n">
        <f aca="false">G36+H36</f>
        <v>1221.6</v>
      </c>
      <c r="J36" s="221" t="n">
        <f aca="false">IF(L36&gt;0,L36,0)</f>
        <v>72.1466599445425</v>
      </c>
      <c r="K36" s="240" t="n">
        <f aca="false">I36+J36</f>
        <v>1293.74665994454</v>
      </c>
      <c r="L36" s="240" t="n">
        <f aca="false">F36-(I36-AA36)</f>
        <v>72.1466599445425</v>
      </c>
      <c r="M36" s="242" t="n">
        <v>321</v>
      </c>
      <c r="N36" s="240" t="n">
        <v>6.55</v>
      </c>
      <c r="O36" s="240" t="n">
        <f aca="false">99.13*1.05</f>
        <v>104.0865</v>
      </c>
      <c r="P36" s="357" t="n">
        <v>2.03</v>
      </c>
      <c r="Q36" s="218" t="n">
        <v>4.2</v>
      </c>
      <c r="R36" s="116" t="n">
        <v>1.9</v>
      </c>
      <c r="S36" s="240" t="n">
        <v>83</v>
      </c>
      <c r="T36" s="240" t="n">
        <v>70</v>
      </c>
      <c r="U36" s="240" t="n">
        <f aca="false">M36-N36-O36-P36-Q36-R36+S36+T36</f>
        <v>355.2335</v>
      </c>
      <c r="V36" s="216" t="n">
        <f aca="false">V35-U36-(AJ36/1.9835)</f>
        <v>30875.5546337167</v>
      </c>
      <c r="W36" s="216"/>
      <c r="X36" s="240" t="n">
        <v>239</v>
      </c>
      <c r="Y36" s="442" t="n">
        <v>66</v>
      </c>
      <c r="Z36" s="443" t="n">
        <f aca="false">Z35-Y36</f>
        <v>13891.9836148223</v>
      </c>
      <c r="AA36" s="117" t="n">
        <f aca="false">N36+O36+P36+Q36+R36+U36+X36+Y36</f>
        <v>779</v>
      </c>
      <c r="AB36" s="240" t="n">
        <f aca="false">IF(L36&lt;0,L36*-1,0)</f>
        <v>0</v>
      </c>
      <c r="AC36" s="240" t="n">
        <f aca="false">AA36+AB36</f>
        <v>779</v>
      </c>
      <c r="AD36" s="222" t="n">
        <v>0</v>
      </c>
      <c r="AE36" s="218" t="n">
        <v>71</v>
      </c>
      <c r="AF36" s="223" t="n">
        <v>40</v>
      </c>
      <c r="AG36" s="218" t="n">
        <f aca="false">AG35</f>
        <v>0</v>
      </c>
      <c r="AH36" s="218"/>
      <c r="AI36" s="92" t="n">
        <v>0</v>
      </c>
      <c r="AJ36" s="341" t="n">
        <f aca="false">23.5*(V35*1.9835+AI36*1.9835)/E36</f>
        <v>10.1490018522889</v>
      </c>
      <c r="AK36" s="224"/>
    </row>
    <row r="37" customFormat="false" ht="11.1" hidden="false" customHeight="true" outlineLevel="0" collapsed="false">
      <c r="A37" s="153" t="n">
        <f aca="false">A36+1</f>
        <v>26</v>
      </c>
      <c r="B37" s="226" t="n">
        <v>6903.44</v>
      </c>
      <c r="C37" s="216" t="n">
        <v>296447</v>
      </c>
      <c r="D37" s="218" t="n">
        <f aca="false">C37-C36</f>
        <v>987</v>
      </c>
      <c r="E37" s="216" t="n">
        <f aca="false">C37-152000</f>
        <v>144447</v>
      </c>
      <c r="F37" s="240" t="n">
        <f aca="false">D37/$D$2</f>
        <v>497.605243256869</v>
      </c>
      <c r="G37" s="215" t="n">
        <v>1220</v>
      </c>
      <c r="H37" s="341" t="n">
        <v>1.2</v>
      </c>
      <c r="I37" s="240" t="n">
        <f aca="false">G37+H37</f>
        <v>1221.2</v>
      </c>
      <c r="J37" s="221" t="n">
        <f aca="false">IF(L37&gt;0,L37,0)</f>
        <v>87.4052432568691</v>
      </c>
      <c r="K37" s="240" t="n">
        <f aca="false">I37+J37</f>
        <v>1308.60524325687</v>
      </c>
      <c r="L37" s="240" t="n">
        <f aca="false">F37-(I37-AA37)</f>
        <v>87.4052432568691</v>
      </c>
      <c r="M37" s="242" t="n">
        <v>345</v>
      </c>
      <c r="N37" s="240" t="n">
        <v>0</v>
      </c>
      <c r="O37" s="240" t="n">
        <f aca="false">107.66*1.05</f>
        <v>113.043</v>
      </c>
      <c r="P37" s="357" t="n">
        <v>2.03</v>
      </c>
      <c r="Q37" s="218" t="n">
        <v>4.2</v>
      </c>
      <c r="R37" s="116" t="n">
        <v>2.1</v>
      </c>
      <c r="S37" s="240" t="n">
        <v>83</v>
      </c>
      <c r="T37" s="240" t="n">
        <v>72</v>
      </c>
      <c r="U37" s="240" t="n">
        <f aca="false">M37-N37-O37-P37-Q37-R37+S37+T37</f>
        <v>378.627</v>
      </c>
      <c r="V37" s="216" t="n">
        <f aca="false">V36-U37-(AJ37/1.9835)</f>
        <v>30491.9045073527</v>
      </c>
      <c r="W37" s="216"/>
      <c r="X37" s="240" t="n">
        <v>245</v>
      </c>
      <c r="Y37" s="442" t="n">
        <v>66</v>
      </c>
      <c r="Z37" s="443" t="n">
        <f aca="false">Z36-Y37</f>
        <v>13825.9836148223</v>
      </c>
      <c r="AA37" s="117" t="n">
        <f aca="false">N37+O37+P37+Q37+R37+U37+X37+Y37</f>
        <v>811</v>
      </c>
      <c r="AB37" s="240" t="n">
        <f aca="false">IF(L37&lt;0,L37*-1,0)</f>
        <v>0</v>
      </c>
      <c r="AC37" s="240" t="n">
        <f aca="false">AA37+AB37</f>
        <v>811</v>
      </c>
      <c r="AD37" s="222" t="n">
        <v>0</v>
      </c>
      <c r="AE37" s="218" t="n">
        <v>71</v>
      </c>
      <c r="AF37" s="223" t="n">
        <v>37</v>
      </c>
      <c r="AG37" s="218" t="n">
        <f aca="false">AG36</f>
        <v>0</v>
      </c>
      <c r="AH37" s="218"/>
      <c r="AI37" s="92" t="n">
        <v>0</v>
      </c>
      <c r="AJ37" s="341" t="n">
        <f aca="false">23.5*(V36*1.9835+AI37*1.9835)/E37</f>
        <v>9.96337114287912</v>
      </c>
      <c r="AK37" s="224"/>
    </row>
    <row r="38" customFormat="false" ht="11.1" hidden="false" customHeight="true" outlineLevel="0" collapsed="false">
      <c r="A38" s="153" t="n">
        <f aca="false">A37+1</f>
        <v>27</v>
      </c>
      <c r="B38" s="226" t="n">
        <v>6903.68</v>
      </c>
      <c r="C38" s="216" t="n">
        <v>297357</v>
      </c>
      <c r="D38" s="218" t="n">
        <f aca="false">C38-C37</f>
        <v>910</v>
      </c>
      <c r="E38" s="216" t="n">
        <f aca="false">C38-152000</f>
        <v>145357</v>
      </c>
      <c r="F38" s="240" t="n">
        <f aca="false">D38/$D$2</f>
        <v>458.784976052433</v>
      </c>
      <c r="G38" s="215" t="n">
        <v>1240</v>
      </c>
      <c r="H38" s="341" t="n">
        <v>1.1</v>
      </c>
      <c r="I38" s="240" t="n">
        <f aca="false">G38+H38</f>
        <v>1241.1</v>
      </c>
      <c r="J38" s="221" t="n">
        <f aca="false">IF(L38&gt;0,L38,0)</f>
        <v>11.6849760524327</v>
      </c>
      <c r="K38" s="240" t="n">
        <f aca="false">I38+J38</f>
        <v>1252.78497605243</v>
      </c>
      <c r="L38" s="240" t="n">
        <f aca="false">F38-(I38-AA38)</f>
        <v>11.6849760524327</v>
      </c>
      <c r="M38" s="242" t="n">
        <v>327</v>
      </c>
      <c r="N38" s="240" t="n">
        <v>0</v>
      </c>
      <c r="O38" s="240" t="n">
        <f aca="false">113.93*1.05</f>
        <v>119.6265</v>
      </c>
      <c r="P38" s="357" t="n">
        <v>2.03</v>
      </c>
      <c r="Q38" s="218" t="n">
        <v>4.2</v>
      </c>
      <c r="R38" s="116" t="n">
        <v>3.38</v>
      </c>
      <c r="S38" s="240" t="n">
        <v>83</v>
      </c>
      <c r="T38" s="240" t="n">
        <v>73</v>
      </c>
      <c r="U38" s="240" t="n">
        <f aca="false">M38-N38-O38-P38-Q38-R38+S38+T38</f>
        <v>353.7635</v>
      </c>
      <c r="V38" s="216" t="n">
        <f aca="false">V37-U38-(AJ38/1.9835)</f>
        <v>30133.2113530814</v>
      </c>
      <c r="W38" s="216"/>
      <c r="X38" s="240" t="n">
        <v>245</v>
      </c>
      <c r="Y38" s="442" t="n">
        <v>66</v>
      </c>
      <c r="Z38" s="443" t="n">
        <f aca="false">Z37-Y38</f>
        <v>13759.9836148223</v>
      </c>
      <c r="AA38" s="117" t="n">
        <f aca="false">N38+O38+P38+Q38+R38+U38+X38+Y38</f>
        <v>794</v>
      </c>
      <c r="AB38" s="240" t="n">
        <f aca="false">IF(L38&lt;0,L38*-1,0)</f>
        <v>0</v>
      </c>
      <c r="AC38" s="240" t="n">
        <f aca="false">AA38+AB38</f>
        <v>794</v>
      </c>
      <c r="AD38" s="222" t="n">
        <v>0</v>
      </c>
      <c r="AE38" s="218" t="n">
        <v>76</v>
      </c>
      <c r="AF38" s="223" t="n">
        <v>37</v>
      </c>
      <c r="AG38" s="218" t="n">
        <f aca="false">AG37</f>
        <v>0</v>
      </c>
      <c r="AH38" s="218"/>
      <c r="AI38" s="92" t="n">
        <v>0</v>
      </c>
      <c r="AJ38" s="341" t="n">
        <f aca="false">23.5*(V37*1.9835+AI38*1.9835)/E38</f>
        <v>9.7779692472523</v>
      </c>
      <c r="AK38" s="224"/>
    </row>
    <row r="39" customFormat="false" ht="11.1" hidden="false" customHeight="true" outlineLevel="0" collapsed="false">
      <c r="A39" s="153" t="n">
        <v>28</v>
      </c>
      <c r="B39" s="226" t="n">
        <v>6903.92</v>
      </c>
      <c r="C39" s="216" t="n">
        <v>298268</v>
      </c>
      <c r="D39" s="218" t="n">
        <f aca="false">C39-C38</f>
        <v>911</v>
      </c>
      <c r="E39" s="216" t="n">
        <f aca="false">C39-152000</f>
        <v>146268</v>
      </c>
      <c r="F39" s="240" t="n">
        <f aca="false">D39/$D$2</f>
        <v>459.289135366776</v>
      </c>
      <c r="G39" s="215" t="n">
        <v>1320</v>
      </c>
      <c r="H39" s="341" t="n">
        <v>1</v>
      </c>
      <c r="I39" s="240" t="n">
        <f aca="false">G39+H39</f>
        <v>1321</v>
      </c>
      <c r="J39" s="221" t="n">
        <f aca="false">IF(L39&gt;0,L39,0)</f>
        <v>0</v>
      </c>
      <c r="K39" s="240" t="n">
        <f aca="false">I39+J39</f>
        <v>1321</v>
      </c>
      <c r="L39" s="240" t="n">
        <f aca="false">F39-(I39-AA39)</f>
        <v>-74.7108646332241</v>
      </c>
      <c r="M39" s="242" t="n">
        <v>323</v>
      </c>
      <c r="N39" s="240" t="n">
        <v>0</v>
      </c>
      <c r="O39" s="240" t="n">
        <f aca="false">100.74*1.05</f>
        <v>105.777</v>
      </c>
      <c r="P39" s="357" t="n">
        <v>2.03</v>
      </c>
      <c r="Q39" s="218" t="n">
        <v>4.2</v>
      </c>
      <c r="R39" s="116" t="n">
        <v>4.03</v>
      </c>
      <c r="S39" s="240" t="n">
        <v>84</v>
      </c>
      <c r="T39" s="240" t="n">
        <v>73</v>
      </c>
      <c r="U39" s="240" t="n">
        <f aca="false">M39-N39-O39-P39-Q39-R39+S39+T39</f>
        <v>363.963</v>
      </c>
      <c r="V39" s="216" t="n">
        <f aca="false">V38-U39-(AJ39/1.9835)</f>
        <v>29764.4070312147</v>
      </c>
      <c r="W39" s="216"/>
      <c r="X39" s="240" t="n">
        <v>241</v>
      </c>
      <c r="Y39" s="442" t="n">
        <v>66</v>
      </c>
      <c r="Z39" s="443" t="n">
        <f aca="false">Z38-Y39</f>
        <v>13693.9836148223</v>
      </c>
      <c r="AA39" s="117" t="n">
        <f aca="false">N39+O39+P39+Q39+R39+U39+X39+Y39</f>
        <v>787</v>
      </c>
      <c r="AB39" s="240" t="n">
        <f aca="false">IF(L39&lt;0,L39*-1,0)</f>
        <v>74.7108646332241</v>
      </c>
      <c r="AC39" s="240" t="n">
        <f aca="false">AA39+AB39</f>
        <v>861.710864633224</v>
      </c>
      <c r="AD39" s="222" t="n">
        <v>0</v>
      </c>
      <c r="AE39" s="218" t="n">
        <v>77</v>
      </c>
      <c r="AF39" s="223" t="n">
        <v>45</v>
      </c>
      <c r="AG39" s="218" t="n">
        <f aca="false">AG38</f>
        <v>0</v>
      </c>
      <c r="AH39" s="218"/>
      <c r="AI39" s="92" t="n">
        <v>0</v>
      </c>
      <c r="AJ39" s="341" t="n">
        <f aca="false">23.5*(V38*1.9835+AI39*1.9835)/E39</f>
        <v>9.60276192258504</v>
      </c>
      <c r="AK39" s="224"/>
    </row>
    <row r="40" customFormat="false" ht="11.1" hidden="false" customHeight="true" outlineLevel="0" collapsed="false">
      <c r="A40" s="153" t="n">
        <v>29</v>
      </c>
      <c r="B40" s="226" t="n">
        <v>6904.37</v>
      </c>
      <c r="C40" s="216" t="n">
        <v>299986</v>
      </c>
      <c r="D40" s="218" t="n">
        <f aca="false">C40-C39</f>
        <v>1718</v>
      </c>
      <c r="E40" s="216" t="n">
        <f aca="false">C40-152000</f>
        <v>147986</v>
      </c>
      <c r="F40" s="240" t="n">
        <f aca="false">D40/$D$2</f>
        <v>866.145702041845</v>
      </c>
      <c r="G40" s="215" t="n">
        <v>1470</v>
      </c>
      <c r="H40" s="341" t="n">
        <v>1</v>
      </c>
      <c r="I40" s="240" t="n">
        <f aca="false">G40+H40</f>
        <v>1471</v>
      </c>
      <c r="J40" s="221" t="n">
        <f aca="false">IF(L40&gt;0,L40,0)</f>
        <v>133.145702041845</v>
      </c>
      <c r="K40" s="240" t="n">
        <f aca="false">I40+J40</f>
        <v>1604.14570204185</v>
      </c>
      <c r="L40" s="240" t="n">
        <f aca="false">F40-(I40-AA40)</f>
        <v>133.145702041845</v>
      </c>
      <c r="M40" s="242" t="n">
        <v>316</v>
      </c>
      <c r="N40" s="240" t="n">
        <v>0</v>
      </c>
      <c r="O40" s="240" t="n">
        <f aca="false">100.86*1.05</f>
        <v>105.903</v>
      </c>
      <c r="P40" s="357" t="n">
        <v>2.03</v>
      </c>
      <c r="Q40" s="218" t="n">
        <v>4.2</v>
      </c>
      <c r="R40" s="116" t="n">
        <v>1.18</v>
      </c>
      <c r="S40" s="240" t="n">
        <v>84</v>
      </c>
      <c r="T40" s="240" t="n">
        <v>74</v>
      </c>
      <c r="U40" s="240" t="n">
        <f aca="false">M40-N40-O40-P40-Q40-R40+S40+T40</f>
        <v>360.687</v>
      </c>
      <c r="V40" s="216" t="n">
        <f aca="false">V39-U40-(AJ40/1.9835)</f>
        <v>29398.9934789379</v>
      </c>
      <c r="W40" s="216"/>
      <c r="X40" s="240" t="n">
        <v>198</v>
      </c>
      <c r="Y40" s="442" t="n">
        <v>66</v>
      </c>
      <c r="Z40" s="443" t="n">
        <f aca="false">Z39-Y40</f>
        <v>13627.9836148223</v>
      </c>
      <c r="AA40" s="117" t="n">
        <f aca="false">N40+O40+P40+Q40+R40+U40+X40+Y40</f>
        <v>738</v>
      </c>
      <c r="AB40" s="240" t="n">
        <f aca="false">IF(L40&lt;0,L40*-1,0)</f>
        <v>0</v>
      </c>
      <c r="AC40" s="240" t="n">
        <f aca="false">AA40+AB40</f>
        <v>738</v>
      </c>
      <c r="AD40" s="222" t="n">
        <v>0</v>
      </c>
      <c r="AE40" s="218" t="n">
        <v>63</v>
      </c>
      <c r="AF40" s="223" t="n">
        <v>45</v>
      </c>
      <c r="AG40" s="218" t="n">
        <f aca="false">AG39</f>
        <v>0</v>
      </c>
      <c r="AH40" s="218"/>
      <c r="AI40" s="92" t="n">
        <v>0</v>
      </c>
      <c r="AJ40" s="341" t="n">
        <f aca="false">23.5*(V39*1.9835+AI40*1.9835)/E40</f>
        <v>9.37511644101967</v>
      </c>
      <c r="AK40" s="224"/>
    </row>
    <row r="41" customFormat="false" ht="11.1" hidden="false" customHeight="true" outlineLevel="0" collapsed="false">
      <c r="A41" s="153" t="n">
        <v>30</v>
      </c>
      <c r="B41" s="226" t="n">
        <v>6904.62</v>
      </c>
      <c r="C41" s="216" t="n">
        <v>300942</v>
      </c>
      <c r="D41" s="218" t="n">
        <f aca="false">C41-C40</f>
        <v>956</v>
      </c>
      <c r="E41" s="216" t="n">
        <f aca="false">C41-152000</f>
        <v>148942</v>
      </c>
      <c r="F41" s="240" t="n">
        <f aca="false">D41/$D$2</f>
        <v>481.976304512226</v>
      </c>
      <c r="G41" s="215" t="n">
        <v>1110</v>
      </c>
      <c r="H41" s="341" t="n">
        <v>0.9</v>
      </c>
      <c r="I41" s="240" t="n">
        <f aca="false">G41+H41</f>
        <v>1110.9</v>
      </c>
      <c r="J41" s="221" t="n">
        <f aca="false">IF(L41&gt;0,L41,0)</f>
        <v>38.0763045122258</v>
      </c>
      <c r="K41" s="240" t="n">
        <f aca="false">I41+J41</f>
        <v>1148.97630451223</v>
      </c>
      <c r="L41" s="240" t="n">
        <f aca="false">F41-(I41-AA41)</f>
        <v>38.0763045122258</v>
      </c>
      <c r="M41" s="242" t="n">
        <v>275</v>
      </c>
      <c r="N41" s="240" t="n">
        <v>0</v>
      </c>
      <c r="O41" s="240" t="n">
        <f aca="false">71.49*1.05</f>
        <v>75.0645</v>
      </c>
      <c r="P41" s="357" t="n">
        <v>2.03</v>
      </c>
      <c r="Q41" s="218" t="n">
        <v>4.2</v>
      </c>
      <c r="R41" s="116" t="n">
        <v>1.69</v>
      </c>
      <c r="S41" s="240" t="n">
        <v>85</v>
      </c>
      <c r="T41" s="240" t="n">
        <v>74</v>
      </c>
      <c r="U41" s="240" t="n">
        <f aca="false">M41-N41-O41-P41-Q41-R41+S41+T41</f>
        <v>351.0155</v>
      </c>
      <c r="V41" s="216" t="n">
        <f aca="false">V40-U41-(AJ41/1.9835)</f>
        <v>29043.339419319</v>
      </c>
      <c r="W41" s="216"/>
      <c r="X41" s="240" t="n">
        <v>167</v>
      </c>
      <c r="Y41" s="442" t="n">
        <v>66</v>
      </c>
      <c r="Z41" s="443" t="n">
        <f aca="false">Z40-Y41</f>
        <v>13561.9836148223</v>
      </c>
      <c r="AA41" s="117" t="n">
        <f aca="false">N41+O41+P41+Q41+R41+U41+X41+Y41</f>
        <v>667</v>
      </c>
      <c r="AB41" s="240" t="n">
        <f aca="false">IF(L41&lt;0,L41*-1,0)</f>
        <v>0</v>
      </c>
      <c r="AC41" s="240" t="n">
        <f aca="false">AA41+AB41</f>
        <v>667</v>
      </c>
      <c r="AD41" s="222" t="n">
        <v>0</v>
      </c>
      <c r="AE41" s="218" t="n">
        <v>62</v>
      </c>
      <c r="AF41" s="223" t="n">
        <v>33</v>
      </c>
      <c r="AG41" s="218" t="n">
        <f aca="false">AG40</f>
        <v>0</v>
      </c>
      <c r="AH41" s="218"/>
      <c r="AI41" s="92" t="n">
        <v>0</v>
      </c>
      <c r="AJ41" s="341" t="n">
        <f aca="false">23.5*(V40*1.9835+AI41*1.9835)/E41</f>
        <v>9.20058300404602</v>
      </c>
      <c r="AK41" s="224"/>
    </row>
    <row r="42" customFormat="false" ht="11.1" hidden="false" customHeight="true" outlineLevel="0" collapsed="false">
      <c r="A42" s="153" t="n">
        <v>31</v>
      </c>
      <c r="B42" s="226" t="n">
        <v>6904.62</v>
      </c>
      <c r="C42" s="216" t="n">
        <v>301325</v>
      </c>
      <c r="D42" s="218" t="n">
        <f aca="false">C42-C41</f>
        <v>383</v>
      </c>
      <c r="E42" s="216" t="n">
        <f aca="false">C42-152000</f>
        <v>149325</v>
      </c>
      <c r="F42" s="240" t="n">
        <f aca="false">D42/$D$2</f>
        <v>193.093017393496</v>
      </c>
      <c r="G42" s="215" t="n">
        <v>935</v>
      </c>
      <c r="H42" s="341" t="n">
        <v>0.6</v>
      </c>
      <c r="I42" s="240" t="n">
        <f aca="false">G42+H42</f>
        <v>935.6</v>
      </c>
      <c r="J42" s="221" t="n">
        <f aca="false">IF(L42&gt;0,L42,0)</f>
        <v>0</v>
      </c>
      <c r="K42" s="240" t="n">
        <f aca="false">I42+J42</f>
        <v>935.6</v>
      </c>
      <c r="L42" s="240" t="n">
        <f aca="false">F42-(I42-AA42)</f>
        <v>-43.5069826065037</v>
      </c>
      <c r="M42" s="242" t="n">
        <v>268</v>
      </c>
      <c r="N42" s="240" t="n">
        <v>0</v>
      </c>
      <c r="O42" s="240" t="n">
        <f aca="false">50.88*1.05</f>
        <v>53.424</v>
      </c>
      <c r="P42" s="357" t="n">
        <v>2.03</v>
      </c>
      <c r="Q42" s="218" t="n">
        <v>4.2</v>
      </c>
      <c r="R42" s="116" t="n">
        <v>2.88</v>
      </c>
      <c r="S42" s="240" t="n">
        <v>85</v>
      </c>
      <c r="T42" s="240" t="n">
        <v>73</v>
      </c>
      <c r="U42" s="240" t="n">
        <f aca="false">M42-N42-O42-P42-Q42-R42+S42+T42</f>
        <v>363.466</v>
      </c>
      <c r="V42" s="216" t="n">
        <f aca="false">V41-U42-(AJ42/1.9835)</f>
        <v>28675.3027280325</v>
      </c>
      <c r="W42" s="216"/>
      <c r="X42" s="240" t="n">
        <v>207</v>
      </c>
      <c r="Y42" s="442" t="n">
        <v>66</v>
      </c>
      <c r="Z42" s="443" t="n">
        <f aca="false">Z41-Y42</f>
        <v>13495.9836148223</v>
      </c>
      <c r="AA42" s="117" t="n">
        <f aca="false">N42+O42+P42+Q42+R42+U42+X42+Y42</f>
        <v>699</v>
      </c>
      <c r="AB42" s="240" t="n">
        <f aca="false">IF(L42&lt;0,L42*-1,0)</f>
        <v>43.5069826065037</v>
      </c>
      <c r="AC42" s="240" t="n">
        <f aca="false">AA42+AB42</f>
        <v>742.506982606504</v>
      </c>
      <c r="AD42" s="222" t="n">
        <v>0</v>
      </c>
      <c r="AE42" s="218" t="n">
        <v>74</v>
      </c>
      <c r="AF42" s="223" t="n">
        <v>44</v>
      </c>
      <c r="AG42" s="218" t="n">
        <f aca="false">AG41</f>
        <v>0</v>
      </c>
      <c r="AH42" s="218"/>
      <c r="AI42" s="92" t="n">
        <v>0</v>
      </c>
      <c r="AJ42" s="341" t="n">
        <f aca="false">23.5*(V41*1.9835+AI42*1.9835)/E42</f>
        <v>9.06596616673801</v>
      </c>
      <c r="AK42" s="224"/>
    </row>
    <row r="43" customFormat="false" ht="3" hidden="false" customHeight="true" outlineLevel="0" collapsed="false">
      <c r="A43" s="227"/>
      <c r="B43" s="244"/>
      <c r="C43" s="229"/>
      <c r="D43" s="230"/>
      <c r="E43" s="229"/>
      <c r="F43" s="230"/>
      <c r="G43" s="244"/>
      <c r="H43" s="441"/>
      <c r="I43" s="230"/>
      <c r="J43" s="230"/>
      <c r="K43" s="230"/>
      <c r="L43" s="230"/>
      <c r="M43" s="233"/>
      <c r="N43" s="230"/>
      <c r="O43" s="230"/>
      <c r="P43" s="230"/>
      <c r="Q43" s="237"/>
      <c r="R43" s="234"/>
      <c r="S43" s="230"/>
      <c r="T43" s="230"/>
      <c r="U43" s="230"/>
      <c r="V43" s="229"/>
      <c r="W43" s="229"/>
      <c r="X43" s="230"/>
      <c r="Y43" s="230"/>
      <c r="Z43" s="230"/>
      <c r="AA43" s="230"/>
      <c r="AB43" s="230"/>
      <c r="AC43" s="230"/>
      <c r="AD43" s="236"/>
      <c r="AE43" s="237"/>
      <c r="AF43" s="238"/>
      <c r="AG43" s="237"/>
      <c r="AH43" s="237"/>
      <c r="AI43" s="237"/>
      <c r="AJ43" s="441"/>
      <c r="AK43" s="441"/>
    </row>
    <row r="44" customFormat="false" ht="11.1" hidden="false" customHeight="true" outlineLevel="0" collapsed="false">
      <c r="A44" s="154" t="s">
        <v>69</v>
      </c>
      <c r="B44" s="215"/>
      <c r="C44" s="216"/>
      <c r="D44" s="216"/>
      <c r="E44" s="216"/>
      <c r="F44" s="216" t="n">
        <f aca="false">SUM(F12:F42)</f>
        <v>33807.4111419209</v>
      </c>
      <c r="G44" s="439" t="n">
        <f aca="false">SUM(G12:G42)</f>
        <v>47776</v>
      </c>
      <c r="H44" s="218" t="n">
        <f aca="false">SUM(H12:H42)</f>
        <v>1118.9</v>
      </c>
      <c r="I44" s="216" t="n">
        <f aca="false">SUM(I12:I42)</f>
        <v>48894.9</v>
      </c>
      <c r="J44" s="216" t="n">
        <f aca="false">SUM(J12:J42)</f>
        <v>2573.70922611545</v>
      </c>
      <c r="K44" s="216" t="n">
        <f aca="false">SUM(K12:K42)</f>
        <v>51468.6092261155</v>
      </c>
      <c r="L44" s="216" t="n">
        <f aca="false">SUM(L12:L42)</f>
        <v>2420.61114192085</v>
      </c>
      <c r="M44" s="219" t="n">
        <f aca="false">SUM(M12:M42)</f>
        <v>8190</v>
      </c>
      <c r="N44" s="216" t="n">
        <f aca="false">SUM(N12:N42)</f>
        <v>6.55</v>
      </c>
      <c r="O44" s="216" t="n">
        <f aca="false">SUM(O12:O42)</f>
        <v>2421.8985</v>
      </c>
      <c r="P44" s="216" t="n">
        <f aca="false">SUM(P12:P42)</f>
        <v>62.93</v>
      </c>
      <c r="Q44" s="218" t="n">
        <f aca="false">SUM(Q12:Q42)</f>
        <v>127.62</v>
      </c>
      <c r="R44" s="220" t="n">
        <f aca="false">SUM(R12:R42)</f>
        <v>59.34</v>
      </c>
      <c r="S44" s="216" t="n">
        <f aca="false">SUM(S12:S42)</f>
        <v>1758</v>
      </c>
      <c r="T44" s="216" t="n">
        <f aca="false">SUM(T12:T42)</f>
        <v>1932</v>
      </c>
      <c r="U44" s="216" t="n">
        <f aca="false">SUM(U12:U42)</f>
        <v>9201.6615</v>
      </c>
      <c r="V44" s="216"/>
      <c r="W44" s="216"/>
      <c r="X44" s="216" t="n">
        <f aca="false">SUM(X12:X42)</f>
        <v>4059.1</v>
      </c>
      <c r="Y44" s="216" t="n">
        <f aca="false">SUM(Y12:Y42)</f>
        <v>1569</v>
      </c>
      <c r="Z44" s="216"/>
      <c r="AA44" s="216" t="n">
        <f aca="false">SUM(AA12:AA42)</f>
        <v>17508.1</v>
      </c>
      <c r="AB44" s="216" t="n">
        <f aca="false">SUM(AB12:AB42)</f>
        <v>153.098084194606</v>
      </c>
      <c r="AC44" s="216" t="n">
        <f aca="false">SUM(AC12:AC42)</f>
        <v>17661.1980841946</v>
      </c>
      <c r="AD44" s="222" t="n">
        <f aca="false">SUM(AD12:AD42)</f>
        <v>0</v>
      </c>
      <c r="AE44" s="218" t="n">
        <f aca="false">AVERAGE(AE12:AE42)</f>
        <v>71.0645161290323</v>
      </c>
      <c r="AF44" s="223" t="n">
        <f aca="false">AVERAGE(AF12:AF42)</f>
        <v>40.6129032258064</v>
      </c>
      <c r="AG44" s="218" t="s">
        <v>98</v>
      </c>
      <c r="AH44" s="216" t="n">
        <f aca="false">SUM(AH12:AH42)</f>
        <v>0</v>
      </c>
      <c r="AI44" s="240"/>
      <c r="AJ44" s="341"/>
      <c r="AK44" s="224" t="n">
        <f aca="false">SUM(AK12:AK42)</f>
        <v>0</v>
      </c>
    </row>
    <row r="45" customFormat="false" ht="11.1" hidden="false" customHeight="true" outlineLevel="0" collapsed="false">
      <c r="A45" s="154" t="s">
        <v>71</v>
      </c>
      <c r="B45" s="215"/>
      <c r="C45" s="216"/>
      <c r="D45" s="216" t="n">
        <f aca="false">SUM(D12:D42)</f>
        <v>67057</v>
      </c>
      <c r="E45" s="216"/>
      <c r="F45" s="216" t="n">
        <f aca="false">F44*$D$2</f>
        <v>67057</v>
      </c>
      <c r="G45" s="439" t="n">
        <f aca="false">G44*$D$2</f>
        <v>94763.696</v>
      </c>
      <c r="H45" s="218" t="n">
        <f aca="false">H44*$D$2</f>
        <v>2219.33815</v>
      </c>
      <c r="I45" s="216" t="n">
        <f aca="false">I44*$D$2</f>
        <v>96983.03415</v>
      </c>
      <c r="J45" s="216" t="n">
        <f aca="false">J44*$D$2</f>
        <v>5104.95225</v>
      </c>
      <c r="K45" s="216" t="n">
        <f aca="false">K44*$D$2</f>
        <v>102087.9864</v>
      </c>
      <c r="L45" s="216" t="n">
        <f aca="false">L44*$D$2</f>
        <v>4801.2822</v>
      </c>
      <c r="M45" s="219" t="n">
        <f aca="false">M44*$D$2</f>
        <v>16244.865</v>
      </c>
      <c r="N45" s="216" t="n">
        <f aca="false">N44*$D$2</f>
        <v>12.991925</v>
      </c>
      <c r="O45" s="216" t="n">
        <f aca="false">O44*$D$2</f>
        <v>4803.83567475</v>
      </c>
      <c r="P45" s="216" t="n">
        <f aca="false">P44*$D$2</f>
        <v>124.821655</v>
      </c>
      <c r="Q45" s="218" t="n">
        <f aca="false">Q44*$D$2</f>
        <v>253.13427</v>
      </c>
      <c r="R45" s="220" t="n">
        <f aca="false">R44*$D$2</f>
        <v>117.70089</v>
      </c>
      <c r="S45" s="216" t="n">
        <f aca="false">S44*$D$2</f>
        <v>3486.993</v>
      </c>
      <c r="T45" s="216" t="n">
        <f aca="false">T44*$D$2</f>
        <v>3832.122</v>
      </c>
      <c r="U45" s="216" t="n">
        <f aca="false">U44*$D$2</f>
        <v>18251.49558525</v>
      </c>
      <c r="V45" s="216"/>
      <c r="W45" s="216"/>
      <c r="X45" s="216" t="n">
        <f aca="false">X44*$D$2</f>
        <v>8051.22485</v>
      </c>
      <c r="Y45" s="216" t="n">
        <f aca="false">Y44*$D$2</f>
        <v>3112.1115</v>
      </c>
      <c r="Z45" s="216"/>
      <c r="AA45" s="445" t="n">
        <f aca="false">AA44*$D$2</f>
        <v>34727.31635</v>
      </c>
      <c r="AB45" s="216" t="n">
        <f aca="false">AB44*$D$2</f>
        <v>303.67005</v>
      </c>
      <c r="AC45" s="216" t="n">
        <f aca="false">AC44*$D$2</f>
        <v>35030.9864</v>
      </c>
      <c r="AD45" s="222"/>
      <c r="AE45" s="218" t="n">
        <f aca="false">MAX(AE12:AE42)</f>
        <v>78</v>
      </c>
      <c r="AF45" s="223" t="n">
        <f aca="false">MAX(AF12:AF42)</f>
        <v>47</v>
      </c>
      <c r="AG45" s="218" t="s">
        <v>72</v>
      </c>
      <c r="AH45" s="216" t="n">
        <f aca="false">AH44*$D$2</f>
        <v>0</v>
      </c>
      <c r="AI45" s="240"/>
      <c r="AJ45" s="341" t="n">
        <f aca="false">SUM(AJ12:AJ42)</f>
        <v>340.793665423072</v>
      </c>
      <c r="AK45" s="216" t="n">
        <f aca="false">AK44*$D$2</f>
        <v>0</v>
      </c>
    </row>
    <row r="46" customFormat="false" ht="3" hidden="false" customHeight="true" outlineLevel="0" collapsed="false">
      <c r="A46" s="247"/>
      <c r="B46" s="244"/>
      <c r="C46" s="229"/>
      <c r="D46" s="229"/>
      <c r="E46" s="229"/>
      <c r="F46" s="229"/>
      <c r="G46" s="251"/>
      <c r="H46" s="237"/>
      <c r="I46" s="229"/>
      <c r="J46" s="229"/>
      <c r="K46" s="229"/>
      <c r="L46" s="229"/>
      <c r="M46" s="249"/>
      <c r="N46" s="229"/>
      <c r="O46" s="229"/>
      <c r="P46" s="229"/>
      <c r="Q46" s="237"/>
      <c r="R46" s="250"/>
      <c r="S46" s="229"/>
      <c r="T46" s="229"/>
      <c r="U46" s="229"/>
      <c r="V46" s="229"/>
      <c r="W46" s="229"/>
      <c r="X46" s="229"/>
      <c r="Y46" s="229"/>
      <c r="Z46" s="230"/>
      <c r="AA46" s="229"/>
      <c r="AB46" s="229"/>
      <c r="AC46" s="229"/>
      <c r="AD46" s="229"/>
      <c r="AE46" s="229"/>
      <c r="AF46" s="229"/>
      <c r="AG46" s="237"/>
      <c r="AH46" s="229"/>
      <c r="AI46" s="229"/>
      <c r="AJ46" s="441"/>
      <c r="AK46" s="441"/>
    </row>
    <row r="47" customFormat="false" ht="11.1" hidden="false" customHeight="true" outlineLevel="0" collapsed="false">
      <c r="A47" s="154" t="s">
        <v>73</v>
      </c>
      <c r="B47" s="215"/>
      <c r="C47" s="216"/>
      <c r="D47" s="216"/>
      <c r="E47" s="216"/>
      <c r="F47" s="216" t="n">
        <f aca="false">F9+F44</f>
        <v>56705.8230400807</v>
      </c>
      <c r="G47" s="439" t="n">
        <f aca="false">G9+G44</f>
        <v>68499</v>
      </c>
      <c r="H47" s="218" t="n">
        <f aca="false">H9+H44</f>
        <v>1936.7</v>
      </c>
      <c r="I47" s="216" t="n">
        <f aca="false">I9+I44</f>
        <v>70435.7</v>
      </c>
      <c r="J47" s="216" t="n">
        <f aca="false">J9+J44</f>
        <v>7619.47650617595</v>
      </c>
      <c r="K47" s="216" t="n">
        <f aca="false">K9+K44</f>
        <v>78055.176506176</v>
      </c>
      <c r="L47" s="216" t="n">
        <f aca="false">L9+L44</f>
        <v>7386.32304008066</v>
      </c>
      <c r="M47" s="219" t="n">
        <f aca="false">M9+M44</f>
        <v>10452.2</v>
      </c>
      <c r="N47" s="216" t="n">
        <f aca="false">N9+N44</f>
        <v>6.55</v>
      </c>
      <c r="O47" s="216" t="n">
        <f aca="false">O9+O44</f>
        <v>4149.81</v>
      </c>
      <c r="P47" s="216"/>
      <c r="Q47" s="218"/>
      <c r="R47" s="220"/>
      <c r="S47" s="216" t="n">
        <f aca="false">S9+S44</f>
        <v>2184</v>
      </c>
      <c r="T47" s="216" t="n">
        <f aca="false">T9+T44</f>
        <v>2069.7</v>
      </c>
      <c r="U47" s="216" t="n">
        <f aca="false">U9+U44</f>
        <v>10199.715</v>
      </c>
      <c r="V47" s="216" t="n">
        <f aca="false">V42+V44</f>
        <v>28675.3027280325</v>
      </c>
      <c r="W47" s="216"/>
      <c r="X47" s="216" t="n">
        <f aca="false">X9+X44</f>
        <v>4211.3</v>
      </c>
      <c r="Y47" s="216"/>
      <c r="Z47" s="216"/>
      <c r="AA47" s="216" t="n">
        <f aca="false">AA9+AA44</f>
        <v>21116.2</v>
      </c>
      <c r="AB47" s="216" t="n">
        <f aca="false">AB9+AB44</f>
        <v>233.153466095286</v>
      </c>
      <c r="AC47" s="216" t="n">
        <f aca="false">AC9+AC44</f>
        <v>21349.3534660953</v>
      </c>
      <c r="AD47" s="222"/>
      <c r="AE47" s="218" t="n">
        <f aca="false">MIN(AE12:AE42)</f>
        <v>59</v>
      </c>
      <c r="AF47" s="223" t="n">
        <f aca="false">MIN(AF12:AF42)</f>
        <v>32</v>
      </c>
      <c r="AG47" s="218" t="s">
        <v>74</v>
      </c>
      <c r="AH47" s="218"/>
      <c r="AI47" s="240"/>
      <c r="AJ47" s="341"/>
      <c r="AK47" s="216" t="n">
        <f aca="false">AK9+AK44</f>
        <v>0</v>
      </c>
    </row>
    <row r="48" customFormat="false" ht="11.1" hidden="false" customHeight="true" outlineLevel="0" collapsed="false">
      <c r="A48" s="154" t="s">
        <v>75</v>
      </c>
      <c r="B48" s="215"/>
      <c r="C48" s="216"/>
      <c r="D48" s="216"/>
      <c r="E48" s="216"/>
      <c r="F48" s="216" t="n">
        <f aca="false">F47*$D$2</f>
        <v>112476</v>
      </c>
      <c r="G48" s="439" t="n">
        <f aca="false">G47*$D$2</f>
        <v>135867.7665</v>
      </c>
      <c r="H48" s="218" t="n">
        <f aca="false">H47*$D$2</f>
        <v>3841.44445</v>
      </c>
      <c r="I48" s="216" t="n">
        <f aca="false">I47*$D$2</f>
        <v>139709.21095</v>
      </c>
      <c r="J48" s="216" t="n">
        <f aca="false">J47*$D$2</f>
        <v>15113.23165</v>
      </c>
      <c r="K48" s="216" t="n">
        <f aca="false">K47*$D$2</f>
        <v>154822.4426</v>
      </c>
      <c r="L48" s="216" t="n">
        <f aca="false">L47*$D$2</f>
        <v>14650.77175</v>
      </c>
      <c r="M48" s="219" t="n">
        <f aca="false">M47*$D$2</f>
        <v>20731.9387</v>
      </c>
      <c r="N48" s="216" t="n">
        <f aca="false">N47*$D$2</f>
        <v>12.991925</v>
      </c>
      <c r="O48" s="216" t="n">
        <f aca="false">O47*$D$2</f>
        <v>8231.148135</v>
      </c>
      <c r="P48" s="216"/>
      <c r="Q48" s="218"/>
      <c r="R48" s="220"/>
      <c r="S48" s="216" t="n">
        <f aca="false">S47*$D$2</f>
        <v>4331.964</v>
      </c>
      <c r="T48" s="216" t="n">
        <f aca="false">T47*$D$2</f>
        <v>4105.24995</v>
      </c>
      <c r="U48" s="216" t="n">
        <f aca="false">U47*$D$2</f>
        <v>20231.1347025</v>
      </c>
      <c r="V48" s="216" t="n">
        <f aca="false">V47*$D$2</f>
        <v>56877.4629610525</v>
      </c>
      <c r="W48" s="216"/>
      <c r="X48" s="216" t="n">
        <f aca="false">X47*$D$2</f>
        <v>8353.11355</v>
      </c>
      <c r="Y48" s="216"/>
      <c r="Z48" s="216"/>
      <c r="AA48" s="216" t="n">
        <f aca="false">AA47*$D$2</f>
        <v>41883.9827</v>
      </c>
      <c r="AB48" s="216" t="n">
        <f aca="false">AB47*$D$2</f>
        <v>462.4599</v>
      </c>
      <c r="AC48" s="216" t="n">
        <f aca="false">AC47*$D$2</f>
        <v>42346.4426</v>
      </c>
      <c r="AD48" s="222"/>
      <c r="AE48" s="218"/>
      <c r="AF48" s="223"/>
      <c r="AG48" s="218"/>
      <c r="AH48" s="218"/>
      <c r="AI48" s="240"/>
      <c r="AJ48" s="341" t="n">
        <f aca="false">AJ9+AJ45</f>
        <v>593.113651697472</v>
      </c>
      <c r="AK48" s="216" t="n">
        <f aca="false">AK47*$D$2</f>
        <v>0</v>
      </c>
    </row>
    <row r="49" customFormat="false" ht="3" hidden="false" customHeight="true" outlineLevel="0" collapsed="false">
      <c r="A49" s="247"/>
      <c r="B49" s="244"/>
      <c r="C49" s="229"/>
      <c r="D49" s="229"/>
      <c r="E49" s="229"/>
      <c r="F49" s="229"/>
      <c r="G49" s="251"/>
      <c r="H49" s="237"/>
      <c r="I49" s="229"/>
      <c r="J49" s="229"/>
      <c r="K49" s="229"/>
      <c r="L49" s="229"/>
      <c r="M49" s="249"/>
      <c r="N49" s="229"/>
      <c r="O49" s="229"/>
      <c r="P49" s="229"/>
      <c r="Q49" s="237"/>
      <c r="R49" s="250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36"/>
      <c r="AE49" s="446"/>
      <c r="AF49" s="252"/>
      <c r="AG49" s="350"/>
      <c r="AH49" s="252"/>
      <c r="AI49" s="252"/>
      <c r="AJ49" s="441"/>
      <c r="AK49" s="441"/>
    </row>
    <row r="50" customFormat="false" ht="11.1" hidden="false" customHeight="true" outlineLevel="0" collapsed="false">
      <c r="A50" s="154" t="s">
        <v>76</v>
      </c>
      <c r="B50" s="215"/>
      <c r="C50" s="216"/>
      <c r="D50" s="216"/>
      <c r="E50" s="216"/>
      <c r="F50" s="216" t="n">
        <f aca="false">F10+F44</f>
        <v>64220.8217796824</v>
      </c>
      <c r="G50" s="439" t="n">
        <f aca="false">G10+G44</f>
        <v>82627</v>
      </c>
      <c r="H50" s="218" t="n">
        <f aca="false">H10+H44</f>
        <v>2240.3</v>
      </c>
      <c r="I50" s="216" t="n">
        <f aca="false">I10+I44</f>
        <v>84867.3</v>
      </c>
      <c r="J50" s="216" t="n">
        <f aca="false">J10+J44</f>
        <v>13257.0796533905</v>
      </c>
      <c r="K50" s="216" t="n">
        <f aca="false">K10+K44</f>
        <v>98124.3796533905</v>
      </c>
      <c r="L50" s="216" t="n">
        <f aca="false">L10+L44</f>
        <v>12799.1767796824</v>
      </c>
      <c r="M50" s="219" t="n">
        <f aca="false">M10+M44</f>
        <v>11427.6</v>
      </c>
      <c r="N50" s="216" t="n">
        <f aca="false">N10+N44</f>
        <v>6.55</v>
      </c>
      <c r="O50" s="216" t="n">
        <f aca="false">O10+O44</f>
        <v>4149.81</v>
      </c>
      <c r="P50" s="216" t="n">
        <f aca="false">P10+P44</f>
        <v>319.384</v>
      </c>
      <c r="Q50" s="218" t="n">
        <f aca="false">Q10+Q44</f>
        <v>613.484</v>
      </c>
      <c r="R50" s="220" t="n">
        <f aca="false">R10+R44</f>
        <v>62.41</v>
      </c>
      <c r="S50" s="216" t="n">
        <f aca="false">S10+S44</f>
        <v>10164.2</v>
      </c>
      <c r="T50" s="216" t="n">
        <f aca="false">T10+T44</f>
        <v>2205.7</v>
      </c>
      <c r="U50" s="216" t="n">
        <f aca="false">U10+U44</f>
        <v>18639.79249</v>
      </c>
      <c r="V50" s="216"/>
      <c r="W50" s="216"/>
      <c r="X50" s="216" t="n">
        <f aca="false">X10+X44</f>
        <v>4211.3</v>
      </c>
      <c r="Y50" s="216" t="n">
        <f aca="false">Y10+Y44</f>
        <v>5405</v>
      </c>
      <c r="Z50" s="216" t="n">
        <f aca="false">Z42</f>
        <v>13495.9836148223</v>
      </c>
      <c r="AA50" s="216" t="n">
        <f aca="false">AA10+AA44</f>
        <v>33445.655</v>
      </c>
      <c r="AB50" s="216" t="n">
        <f aca="false">AB10+AB44</f>
        <v>457.902873708092</v>
      </c>
      <c r="AC50" s="216" t="n">
        <f aca="false">AC10+AC44</f>
        <v>33903.5578737081</v>
      </c>
      <c r="AD50" s="222" t="n">
        <f aca="false">AD10+AD44</f>
        <v>9.41</v>
      </c>
      <c r="AE50" s="218"/>
      <c r="AF50" s="223"/>
      <c r="AG50" s="218"/>
      <c r="AH50" s="216" t="n">
        <f aca="false">AH10+AH44</f>
        <v>346.51</v>
      </c>
      <c r="AI50" s="240"/>
      <c r="AJ50" s="341"/>
      <c r="AK50" s="216" t="n">
        <f aca="false">AK10+AK44</f>
        <v>0</v>
      </c>
    </row>
    <row r="51" customFormat="false" ht="11.1" hidden="false" customHeight="true" outlineLevel="0" collapsed="false">
      <c r="A51" s="154" t="s">
        <v>77</v>
      </c>
      <c r="B51" s="215"/>
      <c r="C51" s="216"/>
      <c r="D51" s="216" t="n">
        <f aca="false">D10+D45</f>
        <v>127382</v>
      </c>
      <c r="E51" s="216" t="n">
        <f aca="false">E42</f>
        <v>149325</v>
      </c>
      <c r="F51" s="216" t="n">
        <f aca="false">F50*$D$2</f>
        <v>127382</v>
      </c>
      <c r="G51" s="439" t="n">
        <f aca="false">G50*$D$2</f>
        <v>163890.6545</v>
      </c>
      <c r="H51" s="218" t="n">
        <f aca="false">H50*$D$2</f>
        <v>4443.63505</v>
      </c>
      <c r="I51" s="216" t="n">
        <f aca="false">I50*$D$2</f>
        <v>168334.28955</v>
      </c>
      <c r="J51" s="216" t="n">
        <f aca="false">J50*$D$2</f>
        <v>26295.4174925</v>
      </c>
      <c r="K51" s="216" t="n">
        <f aca="false">K50*$D$2</f>
        <v>194629.7070425</v>
      </c>
      <c r="L51" s="216" t="n">
        <f aca="false">L50*$D$2</f>
        <v>25387.1671425</v>
      </c>
      <c r="M51" s="219" t="n">
        <f aca="false">M50*$D$2</f>
        <v>22666.6446</v>
      </c>
      <c r="N51" s="216" t="n">
        <f aca="false">N50*$D$2</f>
        <v>12.991925</v>
      </c>
      <c r="O51" s="216" t="n">
        <f aca="false">O50*$D$2</f>
        <v>8231.148135</v>
      </c>
      <c r="P51" s="216" t="n">
        <f aca="false">P50*$D$2</f>
        <v>633.498164</v>
      </c>
      <c r="Q51" s="218" t="n">
        <f aca="false">Q50*$D$2</f>
        <v>1216.845514</v>
      </c>
      <c r="R51" s="220" t="n">
        <f aca="false">R50*$D$2</f>
        <v>123.790235</v>
      </c>
      <c r="S51" s="216" t="n">
        <f aca="false">S50*$D$2</f>
        <v>20160.6907</v>
      </c>
      <c r="T51" s="216" t="n">
        <f aca="false">T50*$D$2</f>
        <v>4375.00595</v>
      </c>
      <c r="U51" s="216" t="n">
        <f aca="false">U50*$D$2</f>
        <v>36972.028403915</v>
      </c>
      <c r="V51" s="216"/>
      <c r="W51" s="216"/>
      <c r="X51" s="216" t="n">
        <f aca="false">X50*$D$2</f>
        <v>8353.11355</v>
      </c>
      <c r="Y51" s="216" t="n">
        <f aca="false">Y50*$D$2</f>
        <v>10720.8175</v>
      </c>
      <c r="Z51" s="216" t="n">
        <f aca="false">Z50*$D$2</f>
        <v>26769.2835</v>
      </c>
      <c r="AA51" s="216" t="n">
        <f aca="false">AA50*$D$2</f>
        <v>66339.4566925</v>
      </c>
      <c r="AB51" s="216" t="n">
        <f aca="false">AB50*$D$2</f>
        <v>908.25035</v>
      </c>
      <c r="AC51" s="216" t="n">
        <f aca="false">AC50*$D$2</f>
        <v>67247.7070425</v>
      </c>
      <c r="AD51" s="222"/>
      <c r="AE51" s="218"/>
      <c r="AF51" s="223"/>
      <c r="AG51" s="218" t="n">
        <f aca="false">AG42</f>
        <v>0</v>
      </c>
      <c r="AH51" s="216" t="n">
        <f aca="false">AH50*$D$2</f>
        <v>687.302585</v>
      </c>
      <c r="AI51" s="240"/>
      <c r="AJ51" s="341" t="n">
        <f aca="false">AJ10+AJ45</f>
        <v>593.113651697472</v>
      </c>
      <c r="AK51" s="216" t="n">
        <f aca="false">AK50*$D$2</f>
        <v>0</v>
      </c>
    </row>
    <row r="52" customFormat="false" ht="3" hidden="false" customHeight="true" outlineLevel="0" collapsed="false">
      <c r="A52" s="227"/>
      <c r="B52" s="244"/>
      <c r="C52" s="229"/>
      <c r="D52" s="230"/>
      <c r="E52" s="229"/>
      <c r="F52" s="447"/>
      <c r="G52" s="448"/>
      <c r="H52" s="449"/>
      <c r="I52" s="230"/>
      <c r="J52" s="230"/>
      <c r="K52" s="230"/>
      <c r="L52" s="230"/>
      <c r="M52" s="233"/>
      <c r="N52" s="230"/>
      <c r="O52" s="230"/>
      <c r="P52" s="230"/>
      <c r="Q52" s="237"/>
      <c r="R52" s="234"/>
      <c r="S52" s="230"/>
      <c r="T52" s="230"/>
      <c r="U52" s="230"/>
      <c r="V52" s="229"/>
      <c r="W52" s="229"/>
      <c r="X52" s="230"/>
      <c r="Y52" s="230"/>
      <c r="Z52" s="229"/>
      <c r="AA52" s="230"/>
      <c r="AB52" s="230"/>
      <c r="AC52" s="230"/>
      <c r="AD52" s="230"/>
      <c r="AE52" s="230"/>
      <c r="AF52" s="230"/>
      <c r="AG52" s="237"/>
      <c r="AH52" s="230"/>
      <c r="AI52" s="230"/>
      <c r="AJ52" s="441"/>
      <c r="AK52" s="441"/>
    </row>
    <row r="53" customFormat="false" ht="11.1" hidden="false" customHeight="true" outlineLevel="0" collapsed="false">
      <c r="A53" s="450"/>
      <c r="B53" s="255"/>
      <c r="C53" s="146"/>
      <c r="D53" s="145"/>
      <c r="E53" s="146"/>
      <c r="F53" s="451"/>
      <c r="G53" s="451"/>
      <c r="H53" s="451"/>
      <c r="I53" s="145"/>
      <c r="J53" s="145"/>
      <c r="K53" s="145"/>
      <c r="L53" s="145"/>
      <c r="M53" s="145"/>
      <c r="N53" s="145"/>
      <c r="O53" s="145"/>
      <c r="P53" s="145"/>
      <c r="Q53" s="152"/>
      <c r="R53" s="145"/>
      <c r="S53" s="145"/>
      <c r="T53" s="145"/>
      <c r="U53" s="145"/>
      <c r="V53" s="146"/>
      <c r="W53" s="146"/>
      <c r="X53" s="145"/>
      <c r="Y53" s="145"/>
      <c r="Z53" s="146"/>
      <c r="AA53" s="145"/>
      <c r="AB53" s="145"/>
      <c r="AC53" s="145"/>
      <c r="AD53" s="151"/>
      <c r="AE53" s="152"/>
      <c r="AF53" s="152"/>
      <c r="AG53" s="153"/>
      <c r="AH53" s="153"/>
      <c r="AI53" s="261"/>
      <c r="AJ53" s="452"/>
    </row>
    <row r="54" customFormat="false" ht="11.1" hidden="false" customHeight="true" outlineLevel="0" collapsed="false">
      <c r="A54" s="145"/>
      <c r="B54" s="146"/>
      <c r="E54" s="453"/>
      <c r="F54" s="454"/>
      <c r="G54" s="455"/>
      <c r="H54" s="150"/>
      <c r="I54" s="456"/>
      <c r="J54" s="145"/>
      <c r="K54" s="135"/>
      <c r="L54" s="145"/>
      <c r="M54" s="145"/>
      <c r="N54" s="146"/>
      <c r="O54" s="423"/>
      <c r="P54" s="423"/>
      <c r="Q54" s="364"/>
      <c r="R54" s="145"/>
      <c r="S54" s="145"/>
      <c r="T54" s="146"/>
      <c r="U54" s="423"/>
      <c r="V54" s="146"/>
      <c r="W54" s="146"/>
      <c r="X54" s="146"/>
      <c r="Y54" s="146"/>
      <c r="Z54" s="457"/>
      <c r="AA54" s="145"/>
      <c r="AB54" s="145"/>
      <c r="AC54" s="150"/>
      <c r="AD54" s="151"/>
      <c r="AE54" s="152"/>
      <c r="AF54" s="153"/>
      <c r="AG54" s="320"/>
      <c r="AH54" s="261"/>
      <c r="AI54" s="261"/>
    </row>
    <row r="55" customFormat="false" ht="11.1" hidden="false" customHeight="true" outlineLevel="0" collapsed="false">
      <c r="A55" s="257"/>
      <c r="B55" s="257"/>
      <c r="C55" s="146"/>
      <c r="D55" s="146"/>
      <c r="F55" s="454"/>
      <c r="G55" s="458"/>
      <c r="H55" s="150"/>
      <c r="I55" s="146"/>
      <c r="J55" s="257"/>
      <c r="K55" s="257"/>
      <c r="L55" s="149"/>
      <c r="M55" s="0"/>
      <c r="N55" s="456"/>
      <c r="O55" s="152"/>
      <c r="P55" s="152"/>
      <c r="Q55" s="152"/>
      <c r="R55" s="257"/>
      <c r="S55" s="257"/>
      <c r="T55" s="456"/>
      <c r="U55" s="146"/>
      <c r="V55" s="152"/>
      <c r="W55" s="152"/>
      <c r="X55" s="146"/>
      <c r="Y55" s="152"/>
      <c r="Z55" s="146"/>
      <c r="AA55" s="257"/>
      <c r="AB55" s="257"/>
      <c r="AC55" s="150"/>
      <c r="AD55" s="151"/>
      <c r="AE55" s="152"/>
      <c r="AF55" s="153"/>
      <c r="AG55" s="320"/>
      <c r="AH55" s="316"/>
      <c r="AI55" s="316"/>
    </row>
    <row r="56" customFormat="false" ht="11.1" hidden="false" customHeight="true" outlineLevel="0" collapsed="false">
      <c r="A56" s="257"/>
      <c r="B56" s="150"/>
      <c r="C56" s="146"/>
      <c r="D56" s="146"/>
      <c r="F56" s="459"/>
      <c r="G56" s="257"/>
      <c r="I56" s="257"/>
      <c r="J56" s="257"/>
      <c r="K56" s="257"/>
      <c r="L56" s="257"/>
      <c r="M56" s="149"/>
      <c r="N56" s="149"/>
      <c r="O56" s="149"/>
      <c r="P56" s="149"/>
      <c r="Q56" s="152"/>
      <c r="R56" s="257"/>
      <c r="S56" s="257"/>
      <c r="T56" s="257"/>
      <c r="U56" s="146"/>
      <c r="V56" s="257"/>
      <c r="W56" s="257"/>
      <c r="X56" s="146"/>
      <c r="Y56" s="146"/>
      <c r="Z56" s="257"/>
      <c r="AA56" s="257"/>
      <c r="AB56" s="257"/>
      <c r="AC56" s="150"/>
      <c r="AD56" s="151"/>
      <c r="AE56" s="152"/>
      <c r="AF56" s="153"/>
      <c r="AG56" s="320"/>
      <c r="AH56" s="316"/>
      <c r="AI56" s="316"/>
    </row>
    <row r="57" customFormat="false" ht="11.1" hidden="false" customHeight="true" outlineLevel="0" collapsed="false">
      <c r="A57" s="257"/>
      <c r="B57" s="0"/>
      <c r="C57" s="146"/>
      <c r="D57" s="0"/>
      <c r="E57" s="146"/>
      <c r="F57" s="257"/>
      <c r="G57" s="460"/>
      <c r="H57" s="461"/>
      <c r="I57" s="462"/>
      <c r="J57" s="257"/>
      <c r="K57" s="257"/>
      <c r="L57" s="257"/>
      <c r="M57" s="149"/>
      <c r="N57" s="149"/>
      <c r="O57" s="149"/>
      <c r="P57" s="149"/>
      <c r="Q57" s="152"/>
      <c r="R57" s="257"/>
      <c r="S57" s="257"/>
      <c r="T57" s="257"/>
      <c r="U57" s="146"/>
      <c r="V57" s="257"/>
      <c r="W57" s="257"/>
      <c r="X57" s="257"/>
      <c r="Y57" s="146"/>
      <c r="Z57" s="257"/>
      <c r="AA57" s="257"/>
      <c r="AB57" s="257"/>
      <c r="AC57" s="150"/>
      <c r="AD57" s="151"/>
      <c r="AE57" s="152"/>
      <c r="AF57" s="153"/>
      <c r="AG57" s="320"/>
      <c r="AH57" s="316"/>
      <c r="AI57" s="316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I21" activeCellId="0" sqref="AI21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4.66"/>
    <col collapsed="false" customWidth="true" hidden="false" outlineLevel="0" max="2" min="2" style="0" width="6.99"/>
    <col collapsed="false" customWidth="true" hidden="false" outlineLevel="0" max="3" min="3" style="1" width="6.32"/>
    <col collapsed="false" customWidth="true" hidden="false" outlineLevel="0" max="4" min="4" style="0" width="6.99"/>
    <col collapsed="false" customWidth="true" hidden="false" outlineLevel="0" max="5" min="5" style="1" width="6.99"/>
    <col collapsed="false" customWidth="true" hidden="false" outlineLevel="0" max="6" min="6" style="0" width="7.32"/>
    <col collapsed="false" customWidth="true" hidden="false" outlineLevel="0" max="7" min="7" style="0" width="6.82"/>
    <col collapsed="false" customWidth="true" hidden="false" outlineLevel="0" max="8" min="8" style="3" width="5.66"/>
    <col collapsed="false" customWidth="true" hidden="false" outlineLevel="0" max="11" min="9" style="0" width="6.32"/>
    <col collapsed="false" customWidth="true" hidden="false" outlineLevel="0" max="12" min="12" style="0" width="7.16"/>
    <col collapsed="false" customWidth="true" hidden="false" outlineLevel="0" max="13" min="13" style="3" width="5.49"/>
    <col collapsed="false" customWidth="true" hidden="false" outlineLevel="0" max="14" min="14" style="3" width="4.49"/>
    <col collapsed="false" customWidth="true" hidden="false" outlineLevel="0" max="15" min="15" style="3" width="5.49"/>
    <col collapsed="false" customWidth="true" hidden="false" outlineLevel="0" max="17" min="16" style="3" width="4.32"/>
    <col collapsed="false" customWidth="true" hidden="false" outlineLevel="0" max="18" min="18" style="0" width="4.32"/>
    <col collapsed="false" customWidth="true" hidden="false" outlineLevel="0" max="20" min="19" style="0" width="5.49"/>
    <col collapsed="false" customWidth="true" hidden="false" outlineLevel="0" max="21" min="21" style="1" width="6.32"/>
    <col collapsed="false" customWidth="true" hidden="false" outlineLevel="0" max="24" min="22" style="0" width="5.49"/>
    <col collapsed="false" customWidth="true" hidden="false" outlineLevel="0" max="25" min="25" style="1" width="5.49"/>
    <col collapsed="false" customWidth="true" hidden="false" outlineLevel="0" max="26" min="26" style="0" width="5.49"/>
    <col collapsed="false" customWidth="true" hidden="false" outlineLevel="0" max="27" min="27" style="0" width="6.32"/>
    <col collapsed="false" customWidth="true" hidden="false" outlineLevel="0" max="28" min="28" style="0" width="6.99"/>
    <col collapsed="false" customWidth="true" hidden="false" outlineLevel="0" max="29" min="29" style="6" width="6.99"/>
    <col collapsed="false" customWidth="true" hidden="false" outlineLevel="0" max="30" min="30" style="2" width="5.32"/>
    <col collapsed="false" customWidth="true" hidden="false" outlineLevel="0" max="31" min="31" style="4" width="3.82"/>
    <col collapsed="false" customWidth="true" hidden="false" outlineLevel="0" max="32" min="32" style="5" width="3.82"/>
    <col collapsed="false" customWidth="true" hidden="false" outlineLevel="0" max="34" min="33" style="0" width="5.49"/>
    <col collapsed="false" customWidth="true" hidden="false" outlineLevel="0" max="35" min="35" style="0" width="6.32"/>
    <col collapsed="false" customWidth="true" hidden="false" outlineLevel="0" max="36" min="36" style="426" width="6.32"/>
    <col collapsed="false" customWidth="true" hidden="false" outlineLevel="0" max="37" min="37" style="318" width="6.32"/>
  </cols>
  <sheetData>
    <row r="1" customFormat="false" ht="14.1" hidden="false" customHeight="true" outlineLevel="0" collapsed="false">
      <c r="A1" s="8" t="s">
        <v>85</v>
      </c>
      <c r="B1" s="8"/>
      <c r="C1" s="9"/>
      <c r="D1" s="8"/>
      <c r="E1" s="9"/>
      <c r="F1" s="8"/>
      <c r="G1" s="8"/>
      <c r="H1" s="112"/>
      <c r="I1" s="8"/>
      <c r="J1" s="8"/>
      <c r="K1" s="11" t="s">
        <v>0</v>
      </c>
      <c r="L1" s="8"/>
      <c r="M1" s="8"/>
      <c r="N1" s="8"/>
      <c r="O1" s="112"/>
      <c r="P1" s="112"/>
      <c r="Q1" s="112"/>
      <c r="R1" s="8"/>
      <c r="S1" s="8"/>
      <c r="T1" s="8"/>
      <c r="U1" s="9"/>
      <c r="V1" s="8"/>
      <c r="W1" s="8"/>
      <c r="X1" s="8"/>
      <c r="Y1" s="9"/>
      <c r="Z1" s="8"/>
      <c r="AA1" s="8"/>
      <c r="AB1" s="8"/>
      <c r="AC1" s="12"/>
      <c r="AD1" s="13"/>
      <c r="AE1" s="14"/>
      <c r="AF1" s="15"/>
      <c r="AG1" s="463"/>
      <c r="AH1" s="463"/>
      <c r="AI1" s="463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12"/>
      <c r="I2" s="8"/>
      <c r="J2" s="8"/>
      <c r="K2" s="464" t="s">
        <v>102</v>
      </c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8"/>
      <c r="AA2" s="8"/>
      <c r="AB2" s="8"/>
      <c r="AC2" s="12"/>
      <c r="AD2" s="13"/>
      <c r="AE2" s="14"/>
      <c r="AF2" s="15"/>
      <c r="AG2" s="463"/>
      <c r="AH2" s="463"/>
      <c r="AI2" s="463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465"/>
      <c r="I3" s="18"/>
      <c r="J3" s="18"/>
      <c r="K3" s="18"/>
      <c r="L3" s="18"/>
      <c r="M3" s="18"/>
      <c r="N3" s="18"/>
      <c r="O3" s="465"/>
      <c r="P3" s="465"/>
      <c r="Q3" s="465"/>
      <c r="R3" s="18"/>
      <c r="S3" s="18"/>
      <c r="T3" s="18"/>
      <c r="U3" s="19"/>
      <c r="V3" s="18"/>
      <c r="W3" s="18"/>
      <c r="X3" s="18"/>
      <c r="Y3" s="19"/>
      <c r="Z3" s="18"/>
      <c r="AA3" s="18"/>
      <c r="AB3" s="18"/>
      <c r="AC3" s="22"/>
      <c r="AD3" s="23"/>
      <c r="AE3" s="24"/>
      <c r="AF3" s="25"/>
      <c r="AG3" s="466"/>
      <c r="AH3" s="466"/>
      <c r="AI3" s="466"/>
    </row>
    <row r="4" s="41" customFormat="true" ht="14.1" hidden="false" customHeight="true" outlineLevel="0" collapsed="false">
      <c r="A4" s="29"/>
      <c r="B4" s="30"/>
      <c r="C4" s="31"/>
      <c r="D4" s="375" t="s">
        <v>3</v>
      </c>
      <c r="E4" s="31"/>
      <c r="F4" s="33"/>
      <c r="G4" s="29"/>
      <c r="H4" s="467"/>
      <c r="I4" s="29"/>
      <c r="J4" s="29"/>
      <c r="K4" s="29"/>
      <c r="L4" s="29"/>
      <c r="M4" s="29"/>
      <c r="N4" s="29"/>
      <c r="O4" s="467"/>
      <c r="P4" s="467"/>
      <c r="Q4" s="467"/>
      <c r="R4" s="29"/>
      <c r="S4" s="35" t="s">
        <v>4</v>
      </c>
      <c r="T4" s="29"/>
      <c r="U4" s="36"/>
      <c r="V4" s="29"/>
      <c r="W4" s="29"/>
      <c r="X4" s="29"/>
      <c r="Y4" s="36"/>
      <c r="Z4" s="29"/>
      <c r="AA4" s="29"/>
      <c r="AB4" s="29"/>
      <c r="AC4" s="37"/>
      <c r="AD4" s="38"/>
      <c r="AE4" s="39" t="s">
        <v>5</v>
      </c>
      <c r="AF4" s="40"/>
      <c r="AG4" s="382"/>
      <c r="AH4" s="382"/>
      <c r="AI4" s="174" t="s">
        <v>6</v>
      </c>
      <c r="AJ4" s="384"/>
      <c r="AK4" s="385"/>
    </row>
    <row r="5" customFormat="false" ht="11.1" hidden="false" customHeight="true" outlineLevel="0" collapsed="false">
      <c r="A5" s="386" t="s">
        <v>7</v>
      </c>
      <c r="B5" s="387" t="s">
        <v>8</v>
      </c>
      <c r="C5" s="68" t="s">
        <v>8</v>
      </c>
      <c r="D5" s="72" t="s">
        <v>9</v>
      </c>
      <c r="E5" s="68" t="s">
        <v>10</v>
      </c>
      <c r="F5" s="388" t="s">
        <v>11</v>
      </c>
      <c r="G5" s="389" t="s">
        <v>12</v>
      </c>
      <c r="H5" s="468" t="s">
        <v>13</v>
      </c>
      <c r="I5" s="389" t="s">
        <v>14</v>
      </c>
      <c r="J5" s="389" t="s">
        <v>15</v>
      </c>
      <c r="K5" s="389" t="s">
        <v>16</v>
      </c>
      <c r="L5" s="386" t="s">
        <v>15</v>
      </c>
      <c r="M5" s="190" t="s">
        <v>17</v>
      </c>
      <c r="N5" s="190"/>
      <c r="O5" s="190"/>
      <c r="P5" s="190"/>
      <c r="Q5" s="190"/>
      <c r="R5" s="190"/>
      <c r="S5" s="386" t="s">
        <v>18</v>
      </c>
      <c r="T5" s="386" t="s">
        <v>19</v>
      </c>
      <c r="U5" s="386" t="s">
        <v>16</v>
      </c>
      <c r="V5" s="73" t="s">
        <v>20</v>
      </c>
      <c r="W5" s="205" t="s">
        <v>20</v>
      </c>
      <c r="X5" s="386" t="s">
        <v>21</v>
      </c>
      <c r="Y5" s="386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392" t="s">
        <v>24</v>
      </c>
      <c r="AE5" s="76" t="s">
        <v>25</v>
      </c>
      <c r="AF5" s="393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78" t="s">
        <v>28</v>
      </c>
    </row>
    <row r="6" customFormat="false" ht="11.1" hidden="false" customHeight="true" outlineLevel="0" collapsed="false">
      <c r="A6" s="394" t="s">
        <v>103</v>
      </c>
      <c r="B6" s="387" t="s">
        <v>30</v>
      </c>
      <c r="C6" s="68" t="s">
        <v>9</v>
      </c>
      <c r="D6" s="72" t="s">
        <v>31</v>
      </c>
      <c r="E6" s="68" t="s">
        <v>32</v>
      </c>
      <c r="F6" s="388" t="s">
        <v>33</v>
      </c>
      <c r="G6" s="389" t="s">
        <v>34</v>
      </c>
      <c r="H6" s="468" t="s">
        <v>35</v>
      </c>
      <c r="I6" s="389" t="s">
        <v>36</v>
      </c>
      <c r="J6" s="389" t="s">
        <v>36</v>
      </c>
      <c r="K6" s="389" t="s">
        <v>36</v>
      </c>
      <c r="L6" s="386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9" t="s">
        <v>42</v>
      </c>
      <c r="R6" s="210" t="s">
        <v>43</v>
      </c>
      <c r="S6" s="386" t="s">
        <v>44</v>
      </c>
      <c r="T6" s="386" t="s">
        <v>45</v>
      </c>
      <c r="U6" s="386" t="s">
        <v>20</v>
      </c>
      <c r="V6" s="73" t="s">
        <v>83</v>
      </c>
      <c r="W6" s="205" t="s">
        <v>65</v>
      </c>
      <c r="X6" s="386" t="s">
        <v>48</v>
      </c>
      <c r="Y6" s="386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396"/>
      <c r="AE6" s="76" t="s">
        <v>52</v>
      </c>
      <c r="AF6" s="393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78" t="s">
        <v>56</v>
      </c>
    </row>
    <row r="7" customFormat="false" ht="11.1" hidden="false" customHeight="true" outlineLevel="0" collapsed="false">
      <c r="A7" s="386"/>
      <c r="B7" s="387"/>
      <c r="C7" s="68"/>
      <c r="D7" s="72"/>
      <c r="E7" s="68" t="s">
        <v>57</v>
      </c>
      <c r="F7" s="388"/>
      <c r="G7" s="386"/>
      <c r="H7" s="391"/>
      <c r="I7" s="386"/>
      <c r="J7" s="386"/>
      <c r="K7" s="386"/>
      <c r="L7" s="386"/>
      <c r="M7" s="437"/>
      <c r="N7" s="209" t="s">
        <v>58</v>
      </c>
      <c r="O7" s="209" t="s">
        <v>59</v>
      </c>
      <c r="P7" s="209"/>
      <c r="Q7" s="209"/>
      <c r="R7" s="210" t="s">
        <v>40</v>
      </c>
      <c r="S7" s="386"/>
      <c r="T7" s="386"/>
      <c r="U7" s="386"/>
      <c r="V7" s="73" t="s">
        <v>60</v>
      </c>
      <c r="W7" s="73"/>
      <c r="X7" s="386"/>
      <c r="Y7" s="386"/>
      <c r="Z7" s="73"/>
      <c r="AA7" s="386"/>
      <c r="AB7" s="386"/>
      <c r="AC7" s="386"/>
      <c r="AD7" s="396"/>
      <c r="AE7" s="76"/>
      <c r="AF7" s="393"/>
      <c r="AG7" s="61" t="s">
        <v>57</v>
      </c>
      <c r="AH7" s="61" t="s">
        <v>61</v>
      </c>
      <c r="AI7" s="62" t="s">
        <v>97</v>
      </c>
      <c r="AJ7" s="62" t="s">
        <v>84</v>
      </c>
      <c r="AK7" s="78" t="s">
        <v>64</v>
      </c>
    </row>
    <row r="8" customFormat="false" ht="11.1" hidden="false" customHeight="true" outlineLevel="0" collapsed="false">
      <c r="A8" s="386"/>
      <c r="B8" s="387"/>
      <c r="C8" s="68"/>
      <c r="D8" s="72"/>
      <c r="E8" s="68"/>
      <c r="F8" s="388"/>
      <c r="G8" s="386"/>
      <c r="H8" s="391"/>
      <c r="I8" s="386"/>
      <c r="J8" s="386"/>
      <c r="K8" s="386"/>
      <c r="L8" s="386"/>
      <c r="M8" s="437"/>
      <c r="N8" s="209"/>
      <c r="O8" s="209"/>
      <c r="P8" s="209"/>
      <c r="Q8" s="209"/>
      <c r="R8" s="210" t="s">
        <v>65</v>
      </c>
      <c r="S8" s="386"/>
      <c r="T8" s="386"/>
      <c r="U8" s="386"/>
      <c r="V8" s="73"/>
      <c r="W8" s="73"/>
      <c r="X8" s="386"/>
      <c r="Y8" s="386"/>
      <c r="Z8" s="73"/>
      <c r="AA8" s="386"/>
      <c r="AB8" s="386"/>
      <c r="AC8" s="386"/>
      <c r="AD8" s="396"/>
      <c r="AE8" s="76"/>
      <c r="AF8" s="393"/>
      <c r="AG8" s="61"/>
      <c r="AH8" s="61"/>
      <c r="AI8" s="62"/>
      <c r="AJ8" s="62" t="s">
        <v>61</v>
      </c>
      <c r="AK8" s="398"/>
    </row>
    <row r="9" customFormat="false" ht="11.1" hidden="false" customHeight="true" outlineLevel="0" collapsed="false">
      <c r="A9" s="16" t="s">
        <v>67</v>
      </c>
      <c r="B9" s="399"/>
      <c r="C9" s="86"/>
      <c r="D9" s="86"/>
      <c r="E9" s="86"/>
      <c r="F9" s="400" t="n">
        <f aca="false">MAY!F47</f>
        <v>56705.8230400807</v>
      </c>
      <c r="G9" s="88" t="n">
        <f aca="false">MAY!G47</f>
        <v>68499</v>
      </c>
      <c r="H9" s="92" t="n">
        <f aca="false">MAY!H47</f>
        <v>1936.7</v>
      </c>
      <c r="I9" s="88" t="n">
        <f aca="false">MAY!I47</f>
        <v>70435.7</v>
      </c>
      <c r="J9" s="88" t="n">
        <f aca="false">MAY!J47</f>
        <v>7619.47650617595</v>
      </c>
      <c r="K9" s="88" t="n">
        <f aca="false">MAY!K47</f>
        <v>78055.176506176</v>
      </c>
      <c r="L9" s="88" t="n">
        <f aca="false">MAY!L47</f>
        <v>7386.32304008066</v>
      </c>
      <c r="M9" s="401" t="n">
        <f aca="false">MAY!M47</f>
        <v>10452.2</v>
      </c>
      <c r="N9" s="86" t="n">
        <f aca="false">MAY!N47</f>
        <v>6.55</v>
      </c>
      <c r="O9" s="90" t="n">
        <f aca="false">MAY!O47</f>
        <v>4149.81</v>
      </c>
      <c r="P9" s="469"/>
      <c r="Q9" s="469"/>
      <c r="R9" s="87"/>
      <c r="S9" s="88" t="n">
        <f aca="false">MAY!S47</f>
        <v>2184</v>
      </c>
      <c r="T9" s="88" t="n">
        <f aca="false">MAY!T47</f>
        <v>2069.7</v>
      </c>
      <c r="U9" s="88" t="n">
        <f aca="false">MAY!U47</f>
        <v>10199.715</v>
      </c>
      <c r="V9" s="88" t="n">
        <f aca="false">MAY!V47</f>
        <v>28675.3027280325</v>
      </c>
      <c r="W9" s="88"/>
      <c r="X9" s="88" t="n">
        <f aca="false">MAY!X47</f>
        <v>4211.3</v>
      </c>
      <c r="Y9" s="88"/>
      <c r="Z9" s="88"/>
      <c r="AA9" s="88" t="n">
        <f aca="false">MAY!AA47</f>
        <v>21116.2</v>
      </c>
      <c r="AB9" s="88" t="n">
        <f aca="false">MAY!AB47</f>
        <v>233.153466095286</v>
      </c>
      <c r="AC9" s="88" t="n">
        <f aca="false">MAY!AC47</f>
        <v>21349.3534660953</v>
      </c>
      <c r="AD9" s="89"/>
      <c r="AE9" s="90"/>
      <c r="AF9" s="91"/>
      <c r="AG9" s="92"/>
      <c r="AH9" s="92"/>
      <c r="AI9" s="88"/>
      <c r="AJ9" s="341" t="n">
        <f aca="false">MAY!AJ48</f>
        <v>593.113651697472</v>
      </c>
      <c r="AK9" s="92" t="n">
        <f aca="false">MAY!AK47</f>
        <v>0</v>
      </c>
    </row>
    <row r="10" s="1" customFormat="true" ht="11.1" hidden="false" customHeight="true" outlineLevel="0" collapsed="false">
      <c r="A10" s="95" t="s">
        <v>68</v>
      </c>
      <c r="B10" s="403" t="n">
        <f aca="false">MAY!B42</f>
        <v>6904.62</v>
      </c>
      <c r="C10" s="86" t="n">
        <f aca="false">MAY!C42</f>
        <v>301325</v>
      </c>
      <c r="D10" s="86" t="n">
        <f aca="false">MAY!D51</f>
        <v>127382</v>
      </c>
      <c r="E10" s="86" t="n">
        <f aca="false">MAY!E51</f>
        <v>149325</v>
      </c>
      <c r="F10" s="400" t="n">
        <f aca="false">MAY!F50</f>
        <v>64220.8217796824</v>
      </c>
      <c r="G10" s="88" t="n">
        <f aca="false">MAY!G50</f>
        <v>82627</v>
      </c>
      <c r="H10" s="92" t="n">
        <f aca="false">MAY!H50</f>
        <v>2240.3</v>
      </c>
      <c r="I10" s="88" t="n">
        <f aca="false">MAY!I50</f>
        <v>84867.3</v>
      </c>
      <c r="J10" s="88" t="n">
        <f aca="false">MAY!J50</f>
        <v>13257.0796533905</v>
      </c>
      <c r="K10" s="88" t="n">
        <f aca="false">MAY!K50</f>
        <v>98124.3796533905</v>
      </c>
      <c r="L10" s="88" t="n">
        <f aca="false">MAY!L50</f>
        <v>12799.1767796824</v>
      </c>
      <c r="M10" s="401" t="n">
        <f aca="false">MAY!M50</f>
        <v>11427.6</v>
      </c>
      <c r="N10" s="86" t="n">
        <f aca="false">MAY!N50</f>
        <v>6.55</v>
      </c>
      <c r="O10" s="90" t="n">
        <f aca="false">MAY!O50</f>
        <v>4149.81</v>
      </c>
      <c r="P10" s="90" t="n">
        <f aca="false">MAY!P50</f>
        <v>319.384</v>
      </c>
      <c r="Q10" s="90" t="n">
        <f aca="false">MAY!Q50</f>
        <v>613.484</v>
      </c>
      <c r="R10" s="87" t="n">
        <f aca="false">MAY!R50</f>
        <v>62.41</v>
      </c>
      <c r="S10" s="88" t="n">
        <f aca="false">MAY!S50</f>
        <v>10164.2</v>
      </c>
      <c r="T10" s="88" t="n">
        <f aca="false">MAY!T50</f>
        <v>2205.7</v>
      </c>
      <c r="U10" s="88" t="n">
        <f aca="false">MAY!U50</f>
        <v>18639.79249</v>
      </c>
      <c r="V10" s="88"/>
      <c r="W10" s="88"/>
      <c r="X10" s="88" t="n">
        <f aca="false">MAY!X50</f>
        <v>4211.3</v>
      </c>
      <c r="Y10" s="88" t="n">
        <f aca="false">MAY!Y50</f>
        <v>5405</v>
      </c>
      <c r="Z10" s="88" t="n">
        <f aca="false">MAY!Z50</f>
        <v>13495.9836148223</v>
      </c>
      <c r="AA10" s="88" t="n">
        <f aca="false">MAY!AA50</f>
        <v>33445.655</v>
      </c>
      <c r="AB10" s="88" t="n">
        <f aca="false">MAY!AB50</f>
        <v>457.902873708092</v>
      </c>
      <c r="AC10" s="88" t="n">
        <f aca="false">MAY!AC50</f>
        <v>33903.5578737081</v>
      </c>
      <c r="AD10" s="89" t="n">
        <f aca="false">MAY!AD50</f>
        <v>9.41</v>
      </c>
      <c r="AE10" s="90"/>
      <c r="AF10" s="91"/>
      <c r="AG10" s="88" t="n">
        <f aca="false">MAY!AG51</f>
        <v>0</v>
      </c>
      <c r="AH10" s="88" t="n">
        <f aca="false">MAY!AH50</f>
        <v>346.51</v>
      </c>
      <c r="AI10" s="117"/>
      <c r="AJ10" s="341" t="n">
        <f aca="false">MAY!AJ51</f>
        <v>593.113651697472</v>
      </c>
      <c r="AK10" s="92" t="n">
        <f aca="false">MAY!AK50</f>
        <v>0</v>
      </c>
    </row>
    <row r="11" customFormat="false" ht="3" hidden="false" customHeight="true" outlineLevel="0" collapsed="false">
      <c r="A11" s="97"/>
      <c r="B11" s="404"/>
      <c r="C11" s="105"/>
      <c r="D11" s="103"/>
      <c r="E11" s="105"/>
      <c r="F11" s="405"/>
      <c r="G11" s="103"/>
      <c r="H11" s="408"/>
      <c r="I11" s="103"/>
      <c r="J11" s="103"/>
      <c r="K11" s="103"/>
      <c r="L11" s="103"/>
      <c r="M11" s="407"/>
      <c r="N11" s="103"/>
      <c r="O11" s="408" t="n">
        <v>0</v>
      </c>
      <c r="P11" s="408"/>
      <c r="Q11" s="408"/>
      <c r="R11" s="104"/>
      <c r="S11" s="103"/>
      <c r="T11" s="103" t="n">
        <v>0</v>
      </c>
      <c r="U11" s="103"/>
      <c r="V11" s="105"/>
      <c r="W11" s="105"/>
      <c r="X11" s="103"/>
      <c r="Y11" s="103"/>
      <c r="Z11" s="105"/>
      <c r="AA11" s="103"/>
      <c r="AB11" s="103"/>
      <c r="AC11" s="103"/>
      <c r="AD11" s="106"/>
      <c r="AE11" s="107"/>
      <c r="AF11" s="108"/>
      <c r="AG11" s="107"/>
      <c r="AH11" s="107"/>
      <c r="AI11" s="107"/>
      <c r="AJ11" s="441"/>
      <c r="AK11" s="237"/>
    </row>
    <row r="12" customFormat="false" ht="11.1" hidden="false" customHeight="true" outlineLevel="0" collapsed="false">
      <c r="A12" s="15" t="n">
        <v>1</v>
      </c>
      <c r="B12" s="403" t="n">
        <v>6904.86</v>
      </c>
      <c r="C12" s="86" t="n">
        <v>301860</v>
      </c>
      <c r="D12" s="90" t="n">
        <f aca="false">C12-C10</f>
        <v>535</v>
      </c>
      <c r="E12" s="86" t="n">
        <f aca="false">C12-152000</f>
        <v>149860</v>
      </c>
      <c r="F12" s="409" t="n">
        <f aca="false">D12/$D$2</f>
        <v>269.725233173683</v>
      </c>
      <c r="G12" s="117" t="n">
        <v>936</v>
      </c>
      <c r="H12" s="402" t="n">
        <v>0.6</v>
      </c>
      <c r="I12" s="117" t="n">
        <f aca="false">G12+H12</f>
        <v>936.6</v>
      </c>
      <c r="J12" s="411" t="n">
        <f aca="false">IF(L12&gt;0,L12,0)</f>
        <v>106.125233173683</v>
      </c>
      <c r="K12" s="117" t="n">
        <f aca="false">I12+J12</f>
        <v>1042.72523317368</v>
      </c>
      <c r="L12" s="117" t="n">
        <f aca="false">F12-(I12-AA12)</f>
        <v>106.125233173683</v>
      </c>
      <c r="M12" s="412" t="n">
        <v>320</v>
      </c>
      <c r="N12" s="413" t="n">
        <v>0</v>
      </c>
      <c r="O12" s="221" t="n">
        <f aca="false">82.14*1.05</f>
        <v>86.247</v>
      </c>
      <c r="P12" s="341" t="n">
        <v>2.37</v>
      </c>
      <c r="Q12" s="341" t="n">
        <v>4.2</v>
      </c>
      <c r="R12" s="342" t="n">
        <v>3.77</v>
      </c>
      <c r="S12" s="117" t="n">
        <v>85</v>
      </c>
      <c r="T12" s="117" t="n">
        <v>72</v>
      </c>
      <c r="U12" s="240" t="n">
        <f aca="false">M12-N12-O12-P12-Q12-R12+S12+T12</f>
        <v>380.413</v>
      </c>
      <c r="V12" s="216" t="n">
        <f aca="false">V9-U12-(AJ12/1.9835)</f>
        <v>28290.3930670549</v>
      </c>
      <c r="W12" s="88"/>
      <c r="X12" s="117" t="n">
        <v>230</v>
      </c>
      <c r="Y12" s="414" t="n">
        <v>66</v>
      </c>
      <c r="Z12" s="415" t="n">
        <f aca="false">Z10-Y12</f>
        <v>13429.9836148223</v>
      </c>
      <c r="AA12" s="117" t="n">
        <f aca="false">N12+O12+P12+Q12+R12+U12+X12+Y12</f>
        <v>773</v>
      </c>
      <c r="AB12" s="117" t="n">
        <f aca="false">IF(L12&lt;0,L12*-1,0)</f>
        <v>0</v>
      </c>
      <c r="AC12" s="117" t="n">
        <f aca="false">AA12+AB12</f>
        <v>773</v>
      </c>
      <c r="AD12" s="89" t="n">
        <v>0</v>
      </c>
      <c r="AE12" s="90" t="n">
        <v>80</v>
      </c>
      <c r="AF12" s="91" t="n">
        <v>40</v>
      </c>
      <c r="AG12" s="92" t="n">
        <f aca="false">AG10</f>
        <v>0</v>
      </c>
      <c r="AH12" s="92"/>
      <c r="AI12" s="92" t="n">
        <v>0</v>
      </c>
      <c r="AJ12" s="341" t="n">
        <f aca="false">23.5*(V9*1.9835+AI12*1.9835)/E12</f>
        <v>8.9191270491441</v>
      </c>
      <c r="AK12" s="92"/>
      <c r="AL12" s="8"/>
    </row>
    <row r="13" customFormat="false" ht="11.1" hidden="false" customHeight="true" outlineLevel="0" collapsed="false">
      <c r="A13" s="15" t="n">
        <f aca="false">A12+1</f>
        <v>2</v>
      </c>
      <c r="B13" s="403" t="n">
        <v>6904.99</v>
      </c>
      <c r="C13" s="86" t="n">
        <v>302357</v>
      </c>
      <c r="D13" s="90" t="n">
        <f aca="false">C13-C12</f>
        <v>497</v>
      </c>
      <c r="E13" s="86" t="n">
        <f aca="false">C13-152000</f>
        <v>150357</v>
      </c>
      <c r="F13" s="409" t="n">
        <f aca="false">D13/$D$2</f>
        <v>250.567179228636</v>
      </c>
      <c r="G13" s="117" t="n">
        <v>959</v>
      </c>
      <c r="H13" s="402" t="n">
        <v>0.5</v>
      </c>
      <c r="I13" s="117" t="n">
        <f aca="false">G13+H13</f>
        <v>959.5</v>
      </c>
      <c r="J13" s="411" t="n">
        <f aca="false">IF(L13&gt;0,L13,0)</f>
        <v>64.0671792286362</v>
      </c>
      <c r="K13" s="117" t="n">
        <f aca="false">I13+J13</f>
        <v>1023.56717922864</v>
      </c>
      <c r="L13" s="117" t="n">
        <f aca="false">F13-(I13-AA13)</f>
        <v>64.0671792286362</v>
      </c>
      <c r="M13" s="412" t="n">
        <v>330</v>
      </c>
      <c r="N13" s="413" t="n">
        <v>0</v>
      </c>
      <c r="O13" s="221" t="n">
        <f aca="false">102.45*1.05</f>
        <v>107.5725</v>
      </c>
      <c r="P13" s="341" t="n">
        <v>2.37</v>
      </c>
      <c r="Q13" s="341" t="n">
        <v>4.2</v>
      </c>
      <c r="R13" s="342" t="n">
        <v>3.42</v>
      </c>
      <c r="S13" s="117" t="n">
        <v>85</v>
      </c>
      <c r="T13" s="117" t="n">
        <v>72</v>
      </c>
      <c r="U13" s="240" t="n">
        <f aca="false">M13-N13-O13-P13-Q13-R13+S13+T13</f>
        <v>369.4375</v>
      </c>
      <c r="V13" s="216" t="n">
        <f aca="false">V12-U13-(AJ13/1.9835)</f>
        <v>27916.5916700908</v>
      </c>
      <c r="W13" s="216"/>
      <c r="X13" s="117" t="n">
        <v>221</v>
      </c>
      <c r="Y13" s="414" t="n">
        <v>65</v>
      </c>
      <c r="Z13" s="415" t="n">
        <f aca="false">Z12-Y13</f>
        <v>13364.9836148223</v>
      </c>
      <c r="AA13" s="117" t="n">
        <f aca="false">N13+O13+P13+Q13+R13+U13+X13+Y13</f>
        <v>773</v>
      </c>
      <c r="AB13" s="117" t="n">
        <f aca="false">IF(L13&lt;0,L13*-1,0)</f>
        <v>0</v>
      </c>
      <c r="AC13" s="117" t="n">
        <f aca="false">AA13+AB13</f>
        <v>773</v>
      </c>
      <c r="AD13" s="89" t="n">
        <v>0</v>
      </c>
      <c r="AE13" s="90" t="n">
        <v>84</v>
      </c>
      <c r="AF13" s="91" t="n">
        <v>50</v>
      </c>
      <c r="AG13" s="92" t="n">
        <f aca="false">AG12</f>
        <v>0</v>
      </c>
      <c r="AH13" s="92"/>
      <c r="AI13" s="92" t="n">
        <v>0</v>
      </c>
      <c r="AJ13" s="341" t="n">
        <f aca="false">23.5*(V12*1.9835-U13*1.9835)/E13</f>
        <v>8.6557896282212</v>
      </c>
      <c r="AK13" s="92"/>
      <c r="AL13" s="8"/>
    </row>
    <row r="14" customFormat="false" ht="11.1" hidden="false" customHeight="true" outlineLevel="0" collapsed="false">
      <c r="A14" s="15" t="n">
        <f aca="false">A13+1</f>
        <v>3</v>
      </c>
      <c r="B14" s="403" t="n">
        <v>6905.17</v>
      </c>
      <c r="C14" s="86" t="n">
        <v>303051</v>
      </c>
      <c r="D14" s="90" t="n">
        <f aca="false">C14-C13</f>
        <v>694</v>
      </c>
      <c r="E14" s="86" t="n">
        <f aca="false">C14-152000</f>
        <v>151051</v>
      </c>
      <c r="F14" s="409" t="n">
        <f aca="false">D14/$D$2</f>
        <v>349.886564154273</v>
      </c>
      <c r="G14" s="117" t="n">
        <v>1060</v>
      </c>
      <c r="H14" s="402" t="n">
        <v>0.4</v>
      </c>
      <c r="I14" s="117" t="n">
        <f aca="false">G14+H14</f>
        <v>1060.4</v>
      </c>
      <c r="J14" s="411" t="n">
        <f aca="false">IF(L14&gt;0,L14,0)</f>
        <v>14.4865641542726</v>
      </c>
      <c r="K14" s="117" t="n">
        <f aca="false">I14+J14</f>
        <v>1074.88656415427</v>
      </c>
      <c r="L14" s="117" t="n">
        <f aca="false">F14-(I14-AA14)</f>
        <v>14.4865641542726</v>
      </c>
      <c r="M14" s="412" t="n">
        <v>311</v>
      </c>
      <c r="N14" s="413" t="n">
        <v>0</v>
      </c>
      <c r="O14" s="469" t="n">
        <f aca="false">103.37*1.05</f>
        <v>108.5385</v>
      </c>
      <c r="P14" s="341" t="n">
        <v>2.37</v>
      </c>
      <c r="Q14" s="341" t="n">
        <v>4.2</v>
      </c>
      <c r="R14" s="342" t="n">
        <v>3.59</v>
      </c>
      <c r="S14" s="117" t="n">
        <v>85</v>
      </c>
      <c r="T14" s="117" t="n">
        <v>70</v>
      </c>
      <c r="U14" s="240" t="n">
        <f aca="false">M14-N14-O14-P14-Q14-R14+S14+T14</f>
        <v>347.3015</v>
      </c>
      <c r="V14" s="216" t="n">
        <f aca="false">V13-U14-(AJ14/1.9835)</f>
        <v>27565.0010338455</v>
      </c>
      <c r="W14" s="216"/>
      <c r="X14" s="117" t="n">
        <v>194</v>
      </c>
      <c r="Y14" s="414" t="n">
        <v>65</v>
      </c>
      <c r="Z14" s="415" t="n">
        <f aca="false">Z13-Y14</f>
        <v>13299.9836148223</v>
      </c>
      <c r="AA14" s="117" t="n">
        <f aca="false">N14+O14+P14+Q14+R14+U14+X14+Y14</f>
        <v>725</v>
      </c>
      <c r="AB14" s="117" t="n">
        <f aca="false">IF(L14&lt;0,L14*-1,0)</f>
        <v>0</v>
      </c>
      <c r="AC14" s="117" t="n">
        <f aca="false">AA14+AB14</f>
        <v>725</v>
      </c>
      <c r="AD14" s="89" t="n">
        <v>0</v>
      </c>
      <c r="AE14" s="90" t="n">
        <v>85</v>
      </c>
      <c r="AF14" s="91" t="n">
        <v>51</v>
      </c>
      <c r="AG14" s="92" t="n">
        <f aca="false">AG13</f>
        <v>0</v>
      </c>
      <c r="AH14" s="92"/>
      <c r="AI14" s="92" t="n">
        <v>0</v>
      </c>
      <c r="AJ14" s="341" t="n">
        <f aca="false">23.5*(V13*1.9835-U14*1.9835)/E14</f>
        <v>8.50750174266186</v>
      </c>
      <c r="AK14" s="92"/>
      <c r="AL14" s="8"/>
    </row>
    <row r="15" customFormat="false" ht="11.1" hidden="false" customHeight="true" outlineLevel="0" collapsed="false">
      <c r="A15" s="15" t="n">
        <f aca="false">A14+1</f>
        <v>4</v>
      </c>
      <c r="B15" s="403" t="n">
        <v>6905.41</v>
      </c>
      <c r="C15" s="86" t="n">
        <v>303976</v>
      </c>
      <c r="D15" s="90" t="n">
        <f aca="false">C15-C14</f>
        <v>925</v>
      </c>
      <c r="E15" s="86" t="n">
        <f aca="false">C15-152000</f>
        <v>151976</v>
      </c>
      <c r="F15" s="409" t="n">
        <f aca="false">D15/$D$2</f>
        <v>466.347365767583</v>
      </c>
      <c r="G15" s="117" t="n">
        <v>1140</v>
      </c>
      <c r="H15" s="402" t="n">
        <v>0.3</v>
      </c>
      <c r="I15" s="117" t="n">
        <f aca="false">G15+H15</f>
        <v>1140.3</v>
      </c>
      <c r="J15" s="411" t="n">
        <f aca="false">IF(L15&gt;0,L15,0)</f>
        <v>0.0473657675826189</v>
      </c>
      <c r="K15" s="117" t="n">
        <f aca="false">I15+J15</f>
        <v>1140.34736576758</v>
      </c>
      <c r="L15" s="117" t="n">
        <f aca="false">F15-(I15-AA15)</f>
        <v>0.0473657675826189</v>
      </c>
      <c r="M15" s="412" t="n">
        <v>280</v>
      </c>
      <c r="N15" s="413" t="n">
        <v>5.04</v>
      </c>
      <c r="O15" s="469" t="n">
        <f aca="false">85.71*1.05</f>
        <v>89.9955</v>
      </c>
      <c r="P15" s="341" t="n">
        <v>2.37</v>
      </c>
      <c r="Q15" s="341" t="n">
        <v>4.2</v>
      </c>
      <c r="R15" s="342" t="n">
        <v>3.79</v>
      </c>
      <c r="S15" s="117" t="n">
        <v>86</v>
      </c>
      <c r="T15" s="117" t="n">
        <v>69</v>
      </c>
      <c r="U15" s="240" t="n">
        <f aca="false">M15-N15-O15-P15-Q15-R15+S15+T15</f>
        <v>329.6045</v>
      </c>
      <c r="V15" s="216" t="n">
        <f aca="false">V14-U15-(AJ15/1.9835)</f>
        <v>27231.1851332392</v>
      </c>
      <c r="W15" s="216"/>
      <c r="X15" s="117" t="n">
        <v>174</v>
      </c>
      <c r="Y15" s="414" t="n">
        <v>65</v>
      </c>
      <c r="Z15" s="415" t="n">
        <f aca="false">Z14-Y15</f>
        <v>13234.9836148223</v>
      </c>
      <c r="AA15" s="117" t="n">
        <f aca="false">N15+O15+P15+Q15+R15+U15+X15+Y15</f>
        <v>674</v>
      </c>
      <c r="AB15" s="117" t="n">
        <f aca="false">IF(L15&lt;0,L15*-1,0)</f>
        <v>0</v>
      </c>
      <c r="AC15" s="117" t="n">
        <f aca="false">AA15+AB15</f>
        <v>674</v>
      </c>
      <c r="AD15" s="89" t="n">
        <v>0</v>
      </c>
      <c r="AE15" s="90" t="n">
        <v>85</v>
      </c>
      <c r="AF15" s="91" t="n">
        <v>49</v>
      </c>
      <c r="AG15" s="92" t="n">
        <f aca="false">AG14</f>
        <v>0</v>
      </c>
      <c r="AH15" s="92"/>
      <c r="AI15" s="92" t="n">
        <v>0</v>
      </c>
      <c r="AJ15" s="341" t="n">
        <f aca="false">23.5*(V14*1.9835-U15*1.9835)/E15</f>
        <v>8.35331310262633</v>
      </c>
      <c r="AK15" s="92"/>
      <c r="AL15" s="8"/>
    </row>
    <row r="16" customFormat="false" ht="11.1" hidden="false" customHeight="true" outlineLevel="0" collapsed="false">
      <c r="A16" s="15" t="n">
        <f aca="false">A15+1</f>
        <v>5</v>
      </c>
      <c r="B16" s="403" t="n">
        <v>6905.67</v>
      </c>
      <c r="C16" s="86" t="n">
        <v>304979</v>
      </c>
      <c r="D16" s="90" t="n">
        <f aca="false">C16-C15</f>
        <v>1003</v>
      </c>
      <c r="E16" s="86" t="n">
        <f aca="false">C16-152000</f>
        <v>152979</v>
      </c>
      <c r="F16" s="409" t="n">
        <f aca="false">D16/$D$2</f>
        <v>505.671792286362</v>
      </c>
      <c r="G16" s="117" t="n">
        <v>1250</v>
      </c>
      <c r="H16" s="402" t="n">
        <v>0.2</v>
      </c>
      <c r="I16" s="117" t="n">
        <f aca="false">G16+H16</f>
        <v>1250.2</v>
      </c>
      <c r="J16" s="411" t="n">
        <f aca="false">IF(L16&gt;0,L16,0)</f>
        <v>0</v>
      </c>
      <c r="K16" s="117" t="n">
        <f aca="false">I16+J16</f>
        <v>1250.2</v>
      </c>
      <c r="L16" s="117" t="n">
        <f aca="false">F16-(I16-AA16)</f>
        <v>-26.5282077136376</v>
      </c>
      <c r="M16" s="412" t="n">
        <v>310</v>
      </c>
      <c r="N16" s="413" t="n">
        <v>0</v>
      </c>
      <c r="O16" s="469" t="n">
        <f aca="false">88.72*1.05</f>
        <v>93.156</v>
      </c>
      <c r="P16" s="341" t="n">
        <v>2.37</v>
      </c>
      <c r="Q16" s="341" t="n">
        <v>4.2</v>
      </c>
      <c r="R16" s="342" t="n">
        <v>3.66</v>
      </c>
      <c r="S16" s="117" t="n">
        <v>86</v>
      </c>
      <c r="T16" s="117" t="n">
        <v>70</v>
      </c>
      <c r="U16" s="240" t="n">
        <f aca="false">M16-N16-O16-P16-Q16-R16+S16+T16</f>
        <v>362.614</v>
      </c>
      <c r="V16" s="216" t="n">
        <f aca="false">V15-U16-(AJ16/1.9835)</f>
        <v>26864.4436946912</v>
      </c>
      <c r="W16" s="216"/>
      <c r="X16" s="117" t="n">
        <v>186</v>
      </c>
      <c r="Y16" s="414" t="n">
        <v>66</v>
      </c>
      <c r="Z16" s="415" t="n">
        <f aca="false">Z15-Y16</f>
        <v>13168.9836148223</v>
      </c>
      <c r="AA16" s="117" t="n">
        <f aca="false">N16+O16+P16+Q16+R16+U16+X16+Y16</f>
        <v>718</v>
      </c>
      <c r="AB16" s="117" t="n">
        <f aca="false">IF(L16&lt;0,L16*-1,0)</f>
        <v>26.5282077136376</v>
      </c>
      <c r="AC16" s="117" t="n">
        <f aca="false">AA16+AB16</f>
        <v>744.528207713638</v>
      </c>
      <c r="AD16" s="89" t="n">
        <v>0</v>
      </c>
      <c r="AE16" s="90" t="n">
        <v>87</v>
      </c>
      <c r="AF16" s="91" t="n">
        <v>52</v>
      </c>
      <c r="AG16" s="92" t="n">
        <f aca="false">AG15</f>
        <v>0</v>
      </c>
      <c r="AH16" s="92"/>
      <c r="AI16" s="92" t="n">
        <v>0</v>
      </c>
      <c r="AJ16" s="341" t="n">
        <f aca="false">23.5*(V15*1.9835-U16*1.9835)/E16</f>
        <v>8.18677435991428</v>
      </c>
      <c r="AK16" s="92"/>
      <c r="AL16" s="8"/>
    </row>
    <row r="17" customFormat="false" ht="11.1" hidden="false" customHeight="true" outlineLevel="0" collapsed="false">
      <c r="A17" s="15" t="n">
        <f aca="false">A16+1</f>
        <v>6</v>
      </c>
      <c r="B17" s="403" t="n">
        <v>6906.01</v>
      </c>
      <c r="C17" s="86" t="n">
        <v>306290</v>
      </c>
      <c r="D17" s="90" t="n">
        <f aca="false">C17-C16</f>
        <v>1311</v>
      </c>
      <c r="E17" s="86" t="n">
        <f aca="false">C17-152000</f>
        <v>154290</v>
      </c>
      <c r="F17" s="409" t="n">
        <f aca="false">D17/$D$2</f>
        <v>660.952861104109</v>
      </c>
      <c r="G17" s="117" t="n">
        <v>1250</v>
      </c>
      <c r="H17" s="402" t="n">
        <v>0.2</v>
      </c>
      <c r="I17" s="117" t="n">
        <f aca="false">G17+H17</f>
        <v>1250.2</v>
      </c>
      <c r="J17" s="411" t="n">
        <f aca="false">IF(L17&gt;0,L17,0)</f>
        <v>53.7528611041089</v>
      </c>
      <c r="K17" s="117" t="n">
        <f aca="false">I17+J17</f>
        <v>1303.95286110411</v>
      </c>
      <c r="L17" s="117" t="n">
        <f aca="false">F17-(I17-AA17)</f>
        <v>53.7528611041089</v>
      </c>
      <c r="M17" s="412" t="n">
        <v>277</v>
      </c>
      <c r="N17" s="413" t="n">
        <v>0</v>
      </c>
      <c r="O17" s="469" t="n">
        <f aca="false">84.95*1.05</f>
        <v>89.1975</v>
      </c>
      <c r="P17" s="341" t="n">
        <v>2.37</v>
      </c>
      <c r="Q17" s="341" t="n">
        <v>4.2</v>
      </c>
      <c r="R17" s="342" t="n">
        <v>2.65</v>
      </c>
      <c r="S17" s="117" t="n">
        <v>87</v>
      </c>
      <c r="T17" s="117" t="n">
        <v>71</v>
      </c>
      <c r="U17" s="240" t="n">
        <f aca="false">M17-N17-O17-P17-Q17-R17+S17+T17</f>
        <v>336.5825</v>
      </c>
      <c r="V17" s="216" t="n">
        <f aca="false">V16-U17-(AJ17/1.9835)</f>
        <v>26523.8207206613</v>
      </c>
      <c r="W17" s="216"/>
      <c r="X17" s="117" t="n">
        <v>142</v>
      </c>
      <c r="Y17" s="414" t="n">
        <v>66</v>
      </c>
      <c r="Z17" s="415" t="n">
        <f aca="false">Z16-Y17</f>
        <v>13102.9836148223</v>
      </c>
      <c r="AA17" s="117" t="n">
        <f aca="false">N17+O17+P17+Q17+R17+U17+X17+Y17</f>
        <v>643</v>
      </c>
      <c r="AB17" s="117" t="n">
        <f aca="false">IF(L17&lt;0,L17*-1,0)</f>
        <v>0</v>
      </c>
      <c r="AC17" s="117" t="n">
        <f aca="false">AA17+AB17</f>
        <v>643</v>
      </c>
      <c r="AD17" s="89" t="n">
        <v>0</v>
      </c>
      <c r="AE17" s="90" t="n">
        <v>87</v>
      </c>
      <c r="AF17" s="91" t="n">
        <v>52</v>
      </c>
      <c r="AG17" s="92" t="n">
        <f aca="false">AG16</f>
        <v>0</v>
      </c>
      <c r="AH17" s="92"/>
      <c r="AI17" s="92" t="n">
        <v>0</v>
      </c>
      <c r="AJ17" s="341" t="n">
        <f aca="false">23.5*(V16*1.9835-U17*1.9835)/E17</f>
        <v>8.014280238332</v>
      </c>
      <c r="AK17" s="92"/>
      <c r="AL17" s="8"/>
    </row>
    <row r="18" customFormat="false" ht="11.1" hidden="false" customHeight="true" outlineLevel="0" collapsed="false">
      <c r="A18" s="15" t="n">
        <f aca="false">A17+1</f>
        <v>7</v>
      </c>
      <c r="B18" s="403" t="n">
        <v>6906.34</v>
      </c>
      <c r="C18" s="86" t="n">
        <v>307573</v>
      </c>
      <c r="D18" s="90" t="n">
        <f aca="false">C18-C17</f>
        <v>1283</v>
      </c>
      <c r="E18" s="86" t="n">
        <f aca="false">C18-152000</f>
        <v>155573</v>
      </c>
      <c r="F18" s="409" t="n">
        <f aca="false">D18/$D$2</f>
        <v>646.836400302496</v>
      </c>
      <c r="G18" s="117" t="n">
        <v>1260</v>
      </c>
      <c r="H18" s="402" t="n">
        <v>0.2</v>
      </c>
      <c r="I18" s="117" t="n">
        <f aca="false">G18+H18</f>
        <v>1260.2</v>
      </c>
      <c r="J18" s="411" t="n">
        <f aca="false">IF(L18&gt;0,L18,0)</f>
        <v>56.6364003024955</v>
      </c>
      <c r="K18" s="117" t="n">
        <f aca="false">I18+J18</f>
        <v>1316.8364003025</v>
      </c>
      <c r="L18" s="117" t="n">
        <f aca="false">F18-(I18-AA18)</f>
        <v>56.6364003024955</v>
      </c>
      <c r="M18" s="412" t="n">
        <v>285</v>
      </c>
      <c r="N18" s="413" t="n">
        <v>0</v>
      </c>
      <c r="O18" s="469" t="n">
        <f aca="false">75.19*1.05</f>
        <v>78.9495</v>
      </c>
      <c r="P18" s="341" t="n">
        <v>2.37</v>
      </c>
      <c r="Q18" s="341" t="n">
        <v>4.2</v>
      </c>
      <c r="R18" s="342" t="n">
        <v>2.59</v>
      </c>
      <c r="S18" s="117" t="n">
        <v>83</v>
      </c>
      <c r="T18" s="117" t="n">
        <v>74</v>
      </c>
      <c r="U18" s="240" t="n">
        <f aca="false">M18-N18-O18-P18-Q18-R18+S18+T18</f>
        <v>353.8905</v>
      </c>
      <c r="V18" s="216" t="n">
        <f aca="false">V17-U18-(AJ18/1.9835)</f>
        <v>26165.9771352275</v>
      </c>
      <c r="W18" s="216"/>
      <c r="X18" s="117" t="n">
        <v>169</v>
      </c>
      <c r="Y18" s="414" t="n">
        <v>59</v>
      </c>
      <c r="Z18" s="415" t="n">
        <f aca="false">Z17-Y18</f>
        <v>13043.9836148223</v>
      </c>
      <c r="AA18" s="117" t="n">
        <f aca="false">N18+O18+P18+Q18+R18+U18+X18+Y18</f>
        <v>670</v>
      </c>
      <c r="AB18" s="117" t="n">
        <f aca="false">IF(L18&lt;0,L18*-1,0)</f>
        <v>0</v>
      </c>
      <c r="AC18" s="117" t="n">
        <f aca="false">AA18+AB18</f>
        <v>670</v>
      </c>
      <c r="AD18" s="89" t="n">
        <v>0</v>
      </c>
      <c r="AE18" s="90" t="n">
        <v>85</v>
      </c>
      <c r="AF18" s="91" t="n">
        <v>50</v>
      </c>
      <c r="AG18" s="92" t="n">
        <f aca="false">AG17</f>
        <v>0</v>
      </c>
      <c r="AH18" s="92"/>
      <c r="AI18" s="92" t="n">
        <v>0</v>
      </c>
      <c r="AJ18" s="341" t="n">
        <f aca="false">23.5*(V17*1.9835-U18*1.9835)/E18</f>
        <v>7.8409449578527</v>
      </c>
      <c r="AK18" s="92"/>
      <c r="AL18" s="8"/>
    </row>
    <row r="19" customFormat="false" ht="11.1" hidden="false" customHeight="true" outlineLevel="0" collapsed="false">
      <c r="A19" s="15" t="n">
        <f aca="false">A18+1</f>
        <v>8</v>
      </c>
      <c r="B19" s="403" t="n">
        <v>6906.6</v>
      </c>
      <c r="C19" s="86" t="n">
        <v>308583</v>
      </c>
      <c r="D19" s="90" t="n">
        <f aca="false">C19-C18</f>
        <v>1010</v>
      </c>
      <c r="E19" s="86" t="n">
        <f aca="false">C19-152000</f>
        <v>156583</v>
      </c>
      <c r="F19" s="409" t="n">
        <f aca="false">D19/$D$2</f>
        <v>509.200907486766</v>
      </c>
      <c r="G19" s="117" t="n">
        <v>1220</v>
      </c>
      <c r="H19" s="402" t="n">
        <v>0.2</v>
      </c>
      <c r="I19" s="117" t="n">
        <f aca="false">G19+H19</f>
        <v>1220.2</v>
      </c>
      <c r="J19" s="411" t="n">
        <f aca="false">IF(L19&gt;0,L19,0)</f>
        <v>0</v>
      </c>
      <c r="K19" s="117" t="n">
        <f aca="false">I19+J19</f>
        <v>1220.2</v>
      </c>
      <c r="L19" s="117" t="n">
        <f aca="false">F19-(I19-AA19)</f>
        <v>-17.9990925132342</v>
      </c>
      <c r="M19" s="412" t="n">
        <v>322</v>
      </c>
      <c r="N19" s="413" t="n">
        <v>0</v>
      </c>
      <c r="O19" s="469" t="n">
        <f aca="false">96.37*1.05</f>
        <v>101.1885</v>
      </c>
      <c r="P19" s="341" t="n">
        <v>2.37</v>
      </c>
      <c r="Q19" s="341" t="n">
        <v>4.2</v>
      </c>
      <c r="R19" s="342" t="n">
        <v>3.57</v>
      </c>
      <c r="S19" s="117" t="n">
        <v>91</v>
      </c>
      <c r="T19" s="117" t="n">
        <v>75</v>
      </c>
      <c r="U19" s="240" t="n">
        <f aca="false">M19-N19-O19-P19-Q19-R19+S19+T19</f>
        <v>376.6715</v>
      </c>
      <c r="V19" s="216" t="n">
        <f aca="false">V18-U19-(AJ19/1.9835)</f>
        <v>25785.4351723904</v>
      </c>
      <c r="W19" s="216"/>
      <c r="X19" s="117" t="n">
        <v>146</v>
      </c>
      <c r="Y19" s="414" t="n">
        <v>59</v>
      </c>
      <c r="Z19" s="415" t="n">
        <f aca="false">Z18-Y19</f>
        <v>12984.9836148223</v>
      </c>
      <c r="AA19" s="117" t="n">
        <f aca="false">N19+O19+P19+Q19+R19+U19+X19+Y19</f>
        <v>693</v>
      </c>
      <c r="AB19" s="117" t="n">
        <f aca="false">IF(L19&lt;0,L19*-1,0)</f>
        <v>17.9990925132342</v>
      </c>
      <c r="AC19" s="117" t="n">
        <f aca="false">AA19+AB19</f>
        <v>710.999092513234</v>
      </c>
      <c r="AD19" s="89" t="n">
        <v>0</v>
      </c>
      <c r="AE19" s="90" t="n">
        <v>82</v>
      </c>
      <c r="AF19" s="91" t="n">
        <v>46</v>
      </c>
      <c r="AG19" s="92" t="n">
        <f aca="false">AG18</f>
        <v>0</v>
      </c>
      <c r="AH19" s="92"/>
      <c r="AI19" s="92" t="n">
        <v>0</v>
      </c>
      <c r="AJ19" s="341" t="n">
        <f aca="false">23.5*(V18*1.9835-U19*1.9835)/E19</f>
        <v>7.67706303746661</v>
      </c>
      <c r="AK19" s="92"/>
      <c r="AL19" s="8"/>
    </row>
    <row r="20" customFormat="false" ht="11.1" hidden="false" customHeight="true" outlineLevel="0" collapsed="false">
      <c r="A20" s="15" t="n">
        <f aca="false">A19+1</f>
        <v>9</v>
      </c>
      <c r="B20" s="403" t="n">
        <v>6906.75</v>
      </c>
      <c r="C20" s="86" t="n">
        <v>309166</v>
      </c>
      <c r="D20" s="90" t="n">
        <f aca="false">C20-C19</f>
        <v>583</v>
      </c>
      <c r="E20" s="86" t="n">
        <f aca="false">C20-152000</f>
        <v>157166</v>
      </c>
      <c r="F20" s="409" t="n">
        <f aca="false">D20/$D$2</f>
        <v>293.924880262163</v>
      </c>
      <c r="G20" s="117" t="n">
        <v>1080</v>
      </c>
      <c r="H20" s="402" t="n">
        <v>0.1</v>
      </c>
      <c r="I20" s="117" t="n">
        <f aca="false">G20+H20</f>
        <v>1080.1</v>
      </c>
      <c r="J20" s="411" t="n">
        <f aca="false">IF(L20&gt;0,L20,0)</f>
        <v>0</v>
      </c>
      <c r="K20" s="117" t="n">
        <f aca="false">I20+J20</f>
        <v>1080.1</v>
      </c>
      <c r="L20" s="117" t="n">
        <f aca="false">F20-(I20-AA20)</f>
        <v>-60.1751197378371</v>
      </c>
      <c r="M20" s="412" t="n">
        <v>312</v>
      </c>
      <c r="N20" s="413" t="n">
        <v>0</v>
      </c>
      <c r="O20" s="469" t="n">
        <f aca="false">87.24*1.05</f>
        <v>91.602</v>
      </c>
      <c r="P20" s="341" t="n">
        <v>2.37</v>
      </c>
      <c r="Q20" s="341" t="n">
        <v>4.2</v>
      </c>
      <c r="R20" s="342" t="n">
        <v>3.68</v>
      </c>
      <c r="S20" s="117" t="n">
        <v>130</v>
      </c>
      <c r="T20" s="117" t="n">
        <v>75</v>
      </c>
      <c r="U20" s="240" t="n">
        <f aca="false">M20-N20-O20-P20-Q20-R20+S20+T20</f>
        <v>415.148</v>
      </c>
      <c r="V20" s="216" t="n">
        <f aca="false">V19-U20-(AJ20/1.9835)</f>
        <v>25366.4937199353</v>
      </c>
      <c r="W20" s="216"/>
      <c r="X20" s="117" t="n">
        <v>145</v>
      </c>
      <c r="Y20" s="414" t="n">
        <v>64</v>
      </c>
      <c r="Z20" s="415" t="n">
        <f aca="false">Z19-Y20</f>
        <v>12920.9836148223</v>
      </c>
      <c r="AA20" s="117" t="n">
        <f aca="false">N20+O20+P20+Q20+R20+U20+X20+Y20</f>
        <v>726</v>
      </c>
      <c r="AB20" s="117" t="n">
        <f aca="false">IF(L20&lt;0,L20*-1,0)</f>
        <v>60.1751197378371</v>
      </c>
      <c r="AC20" s="117" t="n">
        <f aca="false">AA20+AB20</f>
        <v>786.175119737837</v>
      </c>
      <c r="AD20" s="89" t="n">
        <v>0</v>
      </c>
      <c r="AE20" s="90" t="n">
        <v>81</v>
      </c>
      <c r="AF20" s="91" t="n">
        <v>47</v>
      </c>
      <c r="AG20" s="92" t="n">
        <f aca="false">AG19</f>
        <v>0</v>
      </c>
      <c r="AH20" s="92"/>
      <c r="AI20" s="92" t="n">
        <v>0</v>
      </c>
      <c r="AJ20" s="341" t="n">
        <f aca="false">23.5*(V19*1.9835-U20*1.9835)/E20</f>
        <v>7.52431294460159</v>
      </c>
      <c r="AK20" s="92"/>
      <c r="AL20" s="8"/>
    </row>
    <row r="21" customFormat="false" ht="11.1" hidden="false" customHeight="true" outlineLevel="0" collapsed="false">
      <c r="A21" s="15" t="n">
        <f aca="false">A20+1</f>
        <v>10</v>
      </c>
      <c r="B21" s="403" t="n">
        <v>6906.89</v>
      </c>
      <c r="C21" s="86" t="n">
        <v>309710</v>
      </c>
      <c r="D21" s="90" t="n">
        <f aca="false">C21-C20</f>
        <v>544</v>
      </c>
      <c r="E21" s="86" t="n">
        <f aca="false">C21-152000</f>
        <v>157710</v>
      </c>
      <c r="F21" s="409" t="n">
        <f aca="false">D21/$D$2</f>
        <v>274.262667002773</v>
      </c>
      <c r="G21" s="117" t="n">
        <v>953</v>
      </c>
      <c r="H21" s="402" t="n">
        <v>0.1</v>
      </c>
      <c r="I21" s="117" t="n">
        <f aca="false">G21+H21</f>
        <v>953.1</v>
      </c>
      <c r="J21" s="411" t="n">
        <f aca="false">IF(L21&gt;0,L21,0)</f>
        <v>35.1626670027728</v>
      </c>
      <c r="K21" s="117" t="n">
        <f aca="false">I21+J21</f>
        <v>988.262667002773</v>
      </c>
      <c r="L21" s="117" t="n">
        <f aca="false">F21-(I21-AA21)</f>
        <v>35.1626670027728</v>
      </c>
      <c r="M21" s="412" t="n">
        <v>281</v>
      </c>
      <c r="N21" s="413" t="n">
        <v>0</v>
      </c>
      <c r="O21" s="469" t="n">
        <f aca="false">74.05*1.05</f>
        <v>77.7525</v>
      </c>
      <c r="P21" s="341" t="n">
        <v>2.37</v>
      </c>
      <c r="Q21" s="341" t="n">
        <v>4.2</v>
      </c>
      <c r="R21" s="342" t="n">
        <v>3.55</v>
      </c>
      <c r="S21" s="117" t="n">
        <v>154</v>
      </c>
      <c r="T21" s="117" t="n">
        <v>75</v>
      </c>
      <c r="U21" s="240" t="n">
        <f aca="false">M21-N21-O21-P21-Q21-R21+S21+T21</f>
        <v>422.1275</v>
      </c>
      <c r="V21" s="216" t="n">
        <f aca="false">V20-U21-(AJ21/1.9835)</f>
        <v>24940.6493179876</v>
      </c>
      <c r="W21" s="216"/>
      <c r="X21" s="117" t="n">
        <v>136</v>
      </c>
      <c r="Y21" s="414" t="n">
        <v>68</v>
      </c>
      <c r="Z21" s="415" t="n">
        <f aca="false">Z20-Y21</f>
        <v>12852.9836148223</v>
      </c>
      <c r="AA21" s="117" t="n">
        <f aca="false">N21+O21+P21+Q21+R21+U21+X21+Y21</f>
        <v>714</v>
      </c>
      <c r="AB21" s="117" t="n">
        <f aca="false">IF(L21&lt;0,L21*-1,0)</f>
        <v>0</v>
      </c>
      <c r="AC21" s="117" t="n">
        <f aca="false">AA21+AB21</f>
        <v>714</v>
      </c>
      <c r="AD21" s="89" t="n">
        <v>0</v>
      </c>
      <c r="AE21" s="90" t="n">
        <v>67</v>
      </c>
      <c r="AF21" s="91" t="n">
        <v>41</v>
      </c>
      <c r="AG21" s="92" t="n">
        <f aca="false">AG20</f>
        <v>0</v>
      </c>
      <c r="AH21" s="92"/>
      <c r="AI21" s="92" t="n">
        <v>0</v>
      </c>
      <c r="AJ21" s="341" t="n">
        <f aca="false">23.5*(V20*1.9835-U21*1.9835)/E21</f>
        <v>7.37247501322161</v>
      </c>
      <c r="AK21" s="92"/>
      <c r="AL21" s="8"/>
    </row>
    <row r="22" customFormat="false" ht="11.1" hidden="false" customHeight="true" outlineLevel="0" collapsed="false">
      <c r="A22" s="15" t="n">
        <f aca="false">A21+1</f>
        <v>11</v>
      </c>
      <c r="B22" s="403" t="n">
        <v>6906.9</v>
      </c>
      <c r="C22" s="86" t="n">
        <v>309749</v>
      </c>
      <c r="D22" s="90" t="n">
        <f aca="false">C22-C21</f>
        <v>39</v>
      </c>
      <c r="E22" s="86" t="n">
        <f aca="false">C22-152000</f>
        <v>157749</v>
      </c>
      <c r="F22" s="409" t="n">
        <f aca="false">D22/$D$2</f>
        <v>19.66221325939</v>
      </c>
      <c r="G22" s="117" t="n">
        <v>780</v>
      </c>
      <c r="H22" s="402" t="n">
        <v>0.1</v>
      </c>
      <c r="I22" s="117" t="n">
        <f aca="false">G22+H22</f>
        <v>780.1</v>
      </c>
      <c r="J22" s="411" t="n">
        <f aca="false">IF(L22&gt;0,L22,0)</f>
        <v>0</v>
      </c>
      <c r="K22" s="117" t="n">
        <f aca="false">I22+J22</f>
        <v>780.1</v>
      </c>
      <c r="L22" s="117" t="n">
        <f aca="false">F22-(I22-AA22)</f>
        <v>-8.43778674061005</v>
      </c>
      <c r="M22" s="412" t="n">
        <v>309</v>
      </c>
      <c r="N22" s="413" t="n">
        <v>0</v>
      </c>
      <c r="O22" s="469" t="n">
        <f aca="false">78.92*1.05</f>
        <v>82.866</v>
      </c>
      <c r="P22" s="341" t="n">
        <v>2.37</v>
      </c>
      <c r="Q22" s="341" t="n">
        <v>4.2</v>
      </c>
      <c r="R22" s="342" t="n">
        <v>3.91</v>
      </c>
      <c r="S22" s="117" t="n">
        <v>154</v>
      </c>
      <c r="T22" s="117" t="n">
        <v>75</v>
      </c>
      <c r="U22" s="240" t="n">
        <f aca="false">M22-N22-O22-P22-Q22-R22+S22+T22</f>
        <v>444.654</v>
      </c>
      <c r="V22" s="216" t="n">
        <f aca="false">V21-U22-(AJ22/1.9835)</f>
        <v>24492.3461291499</v>
      </c>
      <c r="W22" s="216"/>
      <c r="X22" s="117" t="n">
        <v>146</v>
      </c>
      <c r="Y22" s="414" t="n">
        <v>68</v>
      </c>
      <c r="Z22" s="415" t="n">
        <f aca="false">Z21-Y22</f>
        <v>12784.9836148223</v>
      </c>
      <c r="AA22" s="117" t="n">
        <f aca="false">N22+O22+P22+Q22+R22+U22+X22+Y22</f>
        <v>752</v>
      </c>
      <c r="AB22" s="117" t="n">
        <f aca="false">IF(L22&lt;0,L22*-1,0)</f>
        <v>8.43778674061005</v>
      </c>
      <c r="AC22" s="117" t="n">
        <f aca="false">AA22+AB22</f>
        <v>760.43778674061</v>
      </c>
      <c r="AD22" s="89" t="n">
        <v>0</v>
      </c>
      <c r="AE22" s="90" t="n">
        <v>72</v>
      </c>
      <c r="AF22" s="91" t="n">
        <v>41</v>
      </c>
      <c r="AG22" s="92" t="n">
        <f aca="false">AG21</f>
        <v>0</v>
      </c>
      <c r="AH22" s="92"/>
      <c r="AI22" s="92" t="n">
        <v>0</v>
      </c>
      <c r="AJ22" s="341" t="n">
        <f aca="false">23.5*(V21*1.9835-U22*1.9835)/E22</f>
        <v>7.23816605975866</v>
      </c>
      <c r="AK22" s="92"/>
      <c r="AL22" s="8"/>
    </row>
    <row r="23" customFormat="false" ht="11.1" hidden="false" customHeight="true" outlineLevel="0" collapsed="false">
      <c r="A23" s="15" t="n">
        <f aca="false">A22+1</f>
        <v>12</v>
      </c>
      <c r="B23" s="403" t="n">
        <v>6906.82</v>
      </c>
      <c r="C23" s="86" t="n">
        <v>309438</v>
      </c>
      <c r="D23" s="90" t="n">
        <f aca="false">C23-C22</f>
        <v>-311</v>
      </c>
      <c r="E23" s="86" t="n">
        <f aca="false">C23-152000</f>
        <v>157438</v>
      </c>
      <c r="F23" s="409" t="n">
        <f aca="false">D23/$D$2</f>
        <v>-156.793546760776</v>
      </c>
      <c r="G23" s="117" t="n">
        <v>667</v>
      </c>
      <c r="H23" s="402" t="n">
        <v>0.3</v>
      </c>
      <c r="I23" s="117" t="n">
        <f aca="false">G23+H23</f>
        <v>667.3</v>
      </c>
      <c r="J23" s="411" t="n">
        <f aca="false">IF(L23&gt;0,L23,0)</f>
        <v>0</v>
      </c>
      <c r="K23" s="117" t="n">
        <f aca="false">I23+J23</f>
        <v>667.3</v>
      </c>
      <c r="L23" s="117" t="n">
        <f aca="false">F23-(I23-AA23)</f>
        <v>-88.0935467607764</v>
      </c>
      <c r="M23" s="412" t="n">
        <v>306</v>
      </c>
      <c r="N23" s="413" t="n">
        <v>0</v>
      </c>
      <c r="O23" s="469" t="n">
        <f aca="false">83.39*1.05</f>
        <v>87.5595</v>
      </c>
      <c r="P23" s="341" t="n">
        <v>2.37</v>
      </c>
      <c r="Q23" s="470" t="n">
        <v>4.2</v>
      </c>
      <c r="R23" s="342" t="n">
        <v>3.63</v>
      </c>
      <c r="S23" s="117" t="n">
        <v>154</v>
      </c>
      <c r="T23" s="117" t="n">
        <v>70</v>
      </c>
      <c r="U23" s="240" t="n">
        <f aca="false">M23-N23-O23-P23-Q23-R23+S23+T23</f>
        <v>432.2405</v>
      </c>
      <c r="V23" s="216" t="n">
        <f aca="false">V22-U23-(AJ23/1.9835)</f>
        <v>24056.5142948958</v>
      </c>
      <c r="W23" s="216"/>
      <c r="X23" s="117" t="n">
        <v>138</v>
      </c>
      <c r="Y23" s="414" t="n">
        <v>68</v>
      </c>
      <c r="Z23" s="415" t="n">
        <f aca="false">Z22-Y23</f>
        <v>12716.9836148223</v>
      </c>
      <c r="AA23" s="117" t="n">
        <f aca="false">N23+O23+P23+Q23+R23+U23+X23+Y23</f>
        <v>736</v>
      </c>
      <c r="AB23" s="117" t="n">
        <f aca="false">IF(L23&lt;0,L23*-1,0)</f>
        <v>88.0935467607764</v>
      </c>
      <c r="AC23" s="117" t="n">
        <f aca="false">AA23+AB23</f>
        <v>824.093546760776</v>
      </c>
      <c r="AD23" s="89" t="n">
        <v>0</v>
      </c>
      <c r="AE23" s="90" t="n">
        <v>76</v>
      </c>
      <c r="AF23" s="91" t="n">
        <v>44</v>
      </c>
      <c r="AG23" s="92" t="n">
        <f aca="false">AG22</f>
        <v>0</v>
      </c>
      <c r="AH23" s="92"/>
      <c r="AI23" s="92" t="n">
        <v>0</v>
      </c>
      <c r="AJ23" s="341" t="n">
        <f aca="false">23.5*(V22*1.9835-U23*1.9835)/E23</f>
        <v>7.12341149285649</v>
      </c>
      <c r="AK23" s="92"/>
      <c r="AL23" s="8"/>
    </row>
    <row r="24" customFormat="false" ht="11.1" hidden="false" customHeight="true" outlineLevel="0" collapsed="false">
      <c r="A24" s="15" t="n">
        <f aca="false">A23+1</f>
        <v>13</v>
      </c>
      <c r="B24" s="403" t="n">
        <v>6906.77</v>
      </c>
      <c r="C24" s="86" t="n">
        <v>309244</v>
      </c>
      <c r="D24" s="90" t="n">
        <f aca="false">C24-C23</f>
        <v>-194</v>
      </c>
      <c r="E24" s="86" t="n">
        <f aca="false">C24-152000</f>
        <v>157244</v>
      </c>
      <c r="F24" s="409" t="n">
        <f aca="false">D24/$D$2</f>
        <v>-97.8069069826065</v>
      </c>
      <c r="G24" s="117" t="n">
        <v>598</v>
      </c>
      <c r="H24" s="402" t="n">
        <v>0.3</v>
      </c>
      <c r="I24" s="117" t="n">
        <f aca="false">G24+H24</f>
        <v>598.3</v>
      </c>
      <c r="J24" s="411" t="n">
        <f aca="false">IF(L24&gt;0,L24,0)</f>
        <v>23.8930930173935</v>
      </c>
      <c r="K24" s="117" t="n">
        <f aca="false">I24+J24</f>
        <v>622.193093017394</v>
      </c>
      <c r="L24" s="117" t="n">
        <f aca="false">F24-(I24-AA24)</f>
        <v>23.8930930173935</v>
      </c>
      <c r="M24" s="412" t="n">
        <v>295</v>
      </c>
      <c r="N24" s="413" t="n">
        <v>0</v>
      </c>
      <c r="O24" s="469" t="n">
        <f aca="false">72.41*1.05</f>
        <v>76.0305</v>
      </c>
      <c r="P24" s="341" t="n">
        <v>2.37</v>
      </c>
      <c r="Q24" s="470" t="n">
        <v>4.2</v>
      </c>
      <c r="R24" s="342" t="n">
        <v>3.78</v>
      </c>
      <c r="S24" s="117" t="n">
        <v>154</v>
      </c>
      <c r="T24" s="117" t="n">
        <v>70</v>
      </c>
      <c r="U24" s="240" t="n">
        <f aca="false">M24-N24-O24-P24-Q24-R24+S24+T24</f>
        <v>432.6195</v>
      </c>
      <c r="V24" s="216" t="n">
        <f aca="false">V23-U24-(AJ24/1.9835)</f>
        <v>23620.3642212162</v>
      </c>
      <c r="W24" s="216"/>
      <c r="X24" s="117" t="n">
        <v>133</v>
      </c>
      <c r="Y24" s="414" t="n">
        <v>68</v>
      </c>
      <c r="Z24" s="415" t="n">
        <f aca="false">Z23-Y24</f>
        <v>12648.9836148223</v>
      </c>
      <c r="AA24" s="117" t="n">
        <f aca="false">N24+O24+P24+Q24+R24+U24+X24+Y24</f>
        <v>720</v>
      </c>
      <c r="AB24" s="117" t="n">
        <f aca="false">IF(L24&lt;0,L24*-1,0)</f>
        <v>0</v>
      </c>
      <c r="AC24" s="117" t="n">
        <f aca="false">AA24+AB24</f>
        <v>720</v>
      </c>
      <c r="AD24" s="89" t="n">
        <v>0</v>
      </c>
      <c r="AE24" s="90" t="n">
        <v>83</v>
      </c>
      <c r="AF24" s="91" t="n">
        <v>46</v>
      </c>
      <c r="AG24" s="92" t="n">
        <f aca="false">AG23</f>
        <v>0</v>
      </c>
      <c r="AH24" s="92"/>
      <c r="AI24" s="92" t="n">
        <v>0</v>
      </c>
      <c r="AJ24" s="341" t="n">
        <f aca="false">23.5*(V23*1.9835-U24*1.9835)/E24</f>
        <v>7.00289289355004</v>
      </c>
      <c r="AK24" s="92"/>
      <c r="AL24" s="8"/>
    </row>
    <row r="25" customFormat="false" ht="11.1" hidden="false" customHeight="true" outlineLevel="0" collapsed="false">
      <c r="A25" s="15" t="n">
        <f aca="false">A24+1</f>
        <v>14</v>
      </c>
      <c r="B25" s="403" t="n">
        <v>6906.65</v>
      </c>
      <c r="C25" s="86" t="n">
        <v>308777</v>
      </c>
      <c r="D25" s="90" t="n">
        <f aca="false">C25-C24</f>
        <v>-467</v>
      </c>
      <c r="E25" s="86" t="n">
        <f aca="false">C25-152000</f>
        <v>156777</v>
      </c>
      <c r="F25" s="409" t="n">
        <f aca="false">D25/$D$2</f>
        <v>-235.442399798336</v>
      </c>
      <c r="G25" s="117" t="n">
        <v>609</v>
      </c>
      <c r="H25" s="402" t="n">
        <v>0.3</v>
      </c>
      <c r="I25" s="117" t="n">
        <f aca="false">G25+H25</f>
        <v>609.3</v>
      </c>
      <c r="J25" s="411" t="n">
        <f aca="false">IF(L25&gt;0,L25,0)</f>
        <v>0</v>
      </c>
      <c r="K25" s="117" t="n">
        <f aca="false">I25+J25</f>
        <v>609.3</v>
      </c>
      <c r="L25" s="117" t="n">
        <f aca="false">F25-(I25-AA25)</f>
        <v>-117.742399798336</v>
      </c>
      <c r="M25" s="412" t="n">
        <v>304</v>
      </c>
      <c r="N25" s="413" t="n">
        <v>0</v>
      </c>
      <c r="O25" s="469" t="n">
        <f aca="false">65.76*1.05</f>
        <v>69.048</v>
      </c>
      <c r="P25" s="341" t="n">
        <v>2.37</v>
      </c>
      <c r="Q25" s="470" t="n">
        <v>4.2</v>
      </c>
      <c r="R25" s="342" t="n">
        <v>3.82</v>
      </c>
      <c r="S25" s="117" t="n">
        <v>153</v>
      </c>
      <c r="T25" s="117" t="n">
        <v>70</v>
      </c>
      <c r="U25" s="240" t="n">
        <f aca="false">M25-N25-O25-P25-Q25-R25+S25+T25</f>
        <v>447.562</v>
      </c>
      <c r="V25" s="216" t="n">
        <f aca="false">V24-U25-(AJ25/1.9835)</f>
        <v>23169.3287470956</v>
      </c>
      <c r="W25" s="216"/>
      <c r="X25" s="117" t="n">
        <v>132</v>
      </c>
      <c r="Y25" s="414" t="n">
        <v>68</v>
      </c>
      <c r="Z25" s="415" t="n">
        <f aca="false">Z24-Y25</f>
        <v>12580.9836148223</v>
      </c>
      <c r="AA25" s="117" t="n">
        <f aca="false">N25+O25+P25+Q25+R25+U25+X25+Y25</f>
        <v>727</v>
      </c>
      <c r="AB25" s="117" t="n">
        <f aca="false">IF(L25&lt;0,L25*-1,0)</f>
        <v>117.742399798336</v>
      </c>
      <c r="AC25" s="117" t="n">
        <f aca="false">AA25+AB25</f>
        <v>844.742399798336</v>
      </c>
      <c r="AD25" s="89" t="n">
        <v>0</v>
      </c>
      <c r="AE25" s="90" t="n">
        <v>87</v>
      </c>
      <c r="AF25" s="91" t="n">
        <v>52</v>
      </c>
      <c r="AG25" s="92" t="n">
        <f aca="false">AG24</f>
        <v>0</v>
      </c>
      <c r="AH25" s="92"/>
      <c r="AI25" s="92" t="n">
        <v>0</v>
      </c>
      <c r="AJ25" s="341" t="n">
        <f aca="false">23.5*(V24*1.9835-U25*1.9835)/E25</f>
        <v>6.88963591812501</v>
      </c>
      <c r="AK25" s="92"/>
      <c r="AL25" s="8"/>
    </row>
    <row r="26" customFormat="false" ht="11.1" hidden="false" customHeight="true" outlineLevel="0" collapsed="false">
      <c r="A26" s="15" t="n">
        <f aca="false">A25+1</f>
        <v>15</v>
      </c>
      <c r="B26" s="403" t="n">
        <v>6906.62</v>
      </c>
      <c r="C26" s="86" t="n">
        <v>308661</v>
      </c>
      <c r="D26" s="90" t="n">
        <f aca="false">C26-C25</f>
        <v>-116</v>
      </c>
      <c r="E26" s="86" t="n">
        <f aca="false">C26-152000</f>
        <v>156661</v>
      </c>
      <c r="F26" s="409" t="n">
        <f aca="false">D26/$D$2</f>
        <v>-58.4824804638266</v>
      </c>
      <c r="G26" s="117" t="n">
        <v>626</v>
      </c>
      <c r="H26" s="402" t="n">
        <v>0.3</v>
      </c>
      <c r="I26" s="117" t="n">
        <f aca="false">G26+H26</f>
        <v>626.3</v>
      </c>
      <c r="J26" s="411" t="n">
        <f aca="false">IF(L26&gt;0,L26,0)</f>
        <v>79.2175195361735</v>
      </c>
      <c r="K26" s="117" t="n">
        <f aca="false">I26+J26</f>
        <v>705.517519536174</v>
      </c>
      <c r="L26" s="117" t="n">
        <f aca="false">F26-(I26-AA26)</f>
        <v>79.2175195361735</v>
      </c>
      <c r="M26" s="412" t="n">
        <v>318</v>
      </c>
      <c r="N26" s="413" t="n">
        <v>0</v>
      </c>
      <c r="O26" s="469" t="n">
        <f aca="false">74.39*1.05</f>
        <v>78.1095</v>
      </c>
      <c r="P26" s="341" t="n">
        <v>2.37</v>
      </c>
      <c r="Q26" s="470" t="n">
        <v>4.2</v>
      </c>
      <c r="R26" s="342" t="n">
        <v>3.51</v>
      </c>
      <c r="S26" s="117" t="n">
        <v>153</v>
      </c>
      <c r="T26" s="117" t="n">
        <v>69</v>
      </c>
      <c r="U26" s="240" t="n">
        <f aca="false">M26-N26-O26-P26-Q26-R26+S26+T26</f>
        <v>451.8105</v>
      </c>
      <c r="V26" s="216" t="n">
        <f aca="false">V25-U26-(AJ26/1.9835)</f>
        <v>22714.1104960995</v>
      </c>
      <c r="W26" s="216"/>
      <c r="X26" s="117" t="n">
        <v>156</v>
      </c>
      <c r="Y26" s="414" t="n">
        <v>68</v>
      </c>
      <c r="Z26" s="415" t="n">
        <f aca="false">Z25-Y26</f>
        <v>12512.9836148223</v>
      </c>
      <c r="AA26" s="117" t="n">
        <f aca="false">N26+O26+P26+Q26+R26+U26+X26+Y26</f>
        <v>764</v>
      </c>
      <c r="AB26" s="117" t="n">
        <f aca="false">IF(L26&lt;0,L26*-1,0)</f>
        <v>0</v>
      </c>
      <c r="AC26" s="117" t="n">
        <f aca="false">AA26+AB26</f>
        <v>764</v>
      </c>
      <c r="AD26" s="89" t="n">
        <v>0</v>
      </c>
      <c r="AE26" s="90" t="n">
        <v>88</v>
      </c>
      <c r="AF26" s="91" t="n">
        <v>54</v>
      </c>
      <c r="AG26" s="92" t="n">
        <f aca="false">AG25</f>
        <v>0</v>
      </c>
      <c r="AH26" s="92"/>
      <c r="AI26" s="92" t="n">
        <v>0</v>
      </c>
      <c r="AJ26" s="341" t="n">
        <f aca="false">23.5*(V25*1.9835-U26*1.9835)/E26</f>
        <v>6.7592741008495</v>
      </c>
      <c r="AK26" s="92"/>
      <c r="AL26" s="8"/>
    </row>
    <row r="27" customFormat="false" ht="11.1" hidden="false" customHeight="true" outlineLevel="0" collapsed="false">
      <c r="A27" s="15" t="n">
        <f aca="false">A26+1</f>
        <v>16</v>
      </c>
      <c r="B27" s="403" t="n">
        <v>6906.45</v>
      </c>
      <c r="C27" s="86" t="n">
        <v>308000</v>
      </c>
      <c r="D27" s="90" t="n">
        <f aca="false">C27-C26</f>
        <v>-661</v>
      </c>
      <c r="E27" s="86" t="n">
        <f aca="false">C27-152000</f>
        <v>156000</v>
      </c>
      <c r="F27" s="409" t="n">
        <f aca="false">D27/$D$2</f>
        <v>-333.249306780943</v>
      </c>
      <c r="G27" s="117" t="n">
        <v>571</v>
      </c>
      <c r="H27" s="402" t="n">
        <v>0.4</v>
      </c>
      <c r="I27" s="117" t="n">
        <f aca="false">G27+H27</f>
        <v>571.4</v>
      </c>
      <c r="J27" s="411" t="n">
        <f aca="false">IF(L27&gt;0,L27,0)</f>
        <v>0</v>
      </c>
      <c r="K27" s="117" t="n">
        <f aca="false">I27+J27</f>
        <v>571.4</v>
      </c>
      <c r="L27" s="117" t="n">
        <f aca="false">F27-(I27-AA27)</f>
        <v>-115.649306780943</v>
      </c>
      <c r="M27" s="412" t="n">
        <v>314</v>
      </c>
      <c r="N27" s="413" t="n">
        <v>0</v>
      </c>
      <c r="O27" s="469" t="n">
        <f aca="false">88.49*1.05</f>
        <v>92.9145</v>
      </c>
      <c r="P27" s="341" t="n">
        <v>2.37</v>
      </c>
      <c r="Q27" s="470" t="n">
        <v>4.2</v>
      </c>
      <c r="R27" s="342" t="n">
        <v>3.45</v>
      </c>
      <c r="S27" s="117" t="n">
        <v>151</v>
      </c>
      <c r="T27" s="117" t="n">
        <v>70</v>
      </c>
      <c r="U27" s="240" t="n">
        <f aca="false">M27-N27-O27-P27-Q27-R27+S27+T27</f>
        <v>432.0655</v>
      </c>
      <c r="V27" s="216" t="n">
        <f aca="false">V26-U27-(AJ27/1.9835)</f>
        <v>22278.6884059879</v>
      </c>
      <c r="W27" s="216"/>
      <c r="X27" s="117" t="n">
        <v>186</v>
      </c>
      <c r="Y27" s="414" t="n">
        <v>68</v>
      </c>
      <c r="Z27" s="415" t="n">
        <f aca="false">Z26-Y27</f>
        <v>12444.9836148223</v>
      </c>
      <c r="AA27" s="117" t="n">
        <f aca="false">N27+O27+P27+Q27+R27+U27+X27+Y27</f>
        <v>789</v>
      </c>
      <c r="AB27" s="117" t="n">
        <f aca="false">IF(L27&lt;0,L27*-1,0)</f>
        <v>115.649306780943</v>
      </c>
      <c r="AC27" s="117" t="n">
        <f aca="false">AA27+AB27</f>
        <v>904.649306780943</v>
      </c>
      <c r="AD27" s="89" t="n">
        <v>0</v>
      </c>
      <c r="AE27" s="90" t="n">
        <v>84</v>
      </c>
      <c r="AF27" s="91" t="n">
        <v>49</v>
      </c>
      <c r="AG27" s="92" t="n">
        <f aca="false">AG26</f>
        <v>0</v>
      </c>
      <c r="AH27" s="92"/>
      <c r="AI27" s="92" t="n">
        <v>0</v>
      </c>
      <c r="AJ27" s="341" t="n">
        <f aca="false">23.5*(V26*1.9835-U27*1.9835)/E27</f>
        <v>6.65779648634256</v>
      </c>
      <c r="AK27" s="92"/>
      <c r="AL27" s="8"/>
    </row>
    <row r="28" customFormat="false" ht="11.1" hidden="false" customHeight="true" outlineLevel="0" collapsed="false">
      <c r="A28" s="15" t="n">
        <f aca="false">A27+1</f>
        <v>17</v>
      </c>
      <c r="B28" s="403" t="n">
        <v>6906.34</v>
      </c>
      <c r="C28" s="86" t="n">
        <v>307573</v>
      </c>
      <c r="D28" s="90" t="n">
        <f aca="false">C28-C27</f>
        <v>-427</v>
      </c>
      <c r="E28" s="86" t="n">
        <f aca="false">C28-152000</f>
        <v>155573</v>
      </c>
      <c r="F28" s="409" t="n">
        <f aca="false">D28/$D$2</f>
        <v>-215.276027224603</v>
      </c>
      <c r="G28" s="117" t="n">
        <v>530</v>
      </c>
      <c r="H28" s="402" t="n">
        <v>0.3</v>
      </c>
      <c r="I28" s="117" t="n">
        <f aca="false">G28+H28</f>
        <v>530.3</v>
      </c>
      <c r="J28" s="411" t="n">
        <f aca="false">IF(L28&gt;0,L28,0)</f>
        <v>47.4239727753971</v>
      </c>
      <c r="K28" s="117" t="n">
        <f aca="false">I28+J28</f>
        <v>577.723972775397</v>
      </c>
      <c r="L28" s="117" t="n">
        <f aca="false">F28-(I28-AA28)</f>
        <v>47.4239727753971</v>
      </c>
      <c r="M28" s="412" t="n">
        <v>306</v>
      </c>
      <c r="N28" s="413" t="n">
        <v>0</v>
      </c>
      <c r="O28" s="469" t="n">
        <f aca="false">84.69*1.05</f>
        <v>88.9245</v>
      </c>
      <c r="P28" s="341" t="n">
        <v>2.37</v>
      </c>
      <c r="Q28" s="470" t="n">
        <v>4.2</v>
      </c>
      <c r="R28" s="342" t="n">
        <v>3.88</v>
      </c>
      <c r="S28" s="117" t="n">
        <v>151</v>
      </c>
      <c r="T28" s="117" t="n">
        <v>70</v>
      </c>
      <c r="U28" s="240" t="n">
        <f aca="false">M28-N28-O28-P28-Q28-R28+S28+T28</f>
        <v>427.6255</v>
      </c>
      <c r="V28" s="216" t="n">
        <f aca="false">V27-U28-(AJ28/1.9835)</f>
        <v>21847.7622048489</v>
      </c>
      <c r="W28" s="216"/>
      <c r="X28" s="117" t="n">
        <v>198</v>
      </c>
      <c r="Y28" s="414" t="n">
        <v>68</v>
      </c>
      <c r="Z28" s="415" t="n">
        <f aca="false">Z27-Y28</f>
        <v>12376.9836148223</v>
      </c>
      <c r="AA28" s="117" t="n">
        <f aca="false">N28+O28+P28+Q28+R28+U28+X28+Y28</f>
        <v>793</v>
      </c>
      <c r="AB28" s="117" t="n">
        <f aca="false">IF(L28&lt;0,L28*-1,0)</f>
        <v>0</v>
      </c>
      <c r="AC28" s="117" t="n">
        <f aca="false">AA28+AB28</f>
        <v>793</v>
      </c>
      <c r="AD28" s="89" t="n">
        <v>0</v>
      </c>
      <c r="AE28" s="90" t="n">
        <v>80</v>
      </c>
      <c r="AF28" s="91" t="n">
        <v>49</v>
      </c>
      <c r="AG28" s="92" t="n">
        <f aca="false">AG27</f>
        <v>0</v>
      </c>
      <c r="AH28" s="92"/>
      <c r="AI28" s="92" t="n">
        <v>0</v>
      </c>
      <c r="AJ28" s="341" t="n">
        <f aca="false">23.5*(V27*1.9835-U28*1.9835)/E28</f>
        <v>6.54694070911813</v>
      </c>
      <c r="AK28" s="92"/>
      <c r="AL28" s="8"/>
    </row>
    <row r="29" customFormat="false" ht="11.1" hidden="false" customHeight="true" outlineLevel="0" collapsed="false">
      <c r="A29" s="15" t="n">
        <f aca="false">A28+1</f>
        <v>18</v>
      </c>
      <c r="B29" s="403" t="n">
        <v>6906.15</v>
      </c>
      <c r="C29" s="86" t="n">
        <v>306834</v>
      </c>
      <c r="D29" s="90" t="n">
        <f aca="false">C29-C28</f>
        <v>-739</v>
      </c>
      <c r="E29" s="86" t="n">
        <f aca="false">C29-152000</f>
        <v>154834</v>
      </c>
      <c r="F29" s="409" t="n">
        <f aca="false">D29/$D$2</f>
        <v>-372.573733299723</v>
      </c>
      <c r="G29" s="117" t="n">
        <v>472</v>
      </c>
      <c r="H29" s="402" t="n">
        <v>0.3</v>
      </c>
      <c r="I29" s="117" t="n">
        <f aca="false">G29+H29</f>
        <v>472.3</v>
      </c>
      <c r="J29" s="411" t="n">
        <f aca="false">IF(L29&gt;0,L29,0)</f>
        <v>0</v>
      </c>
      <c r="K29" s="117" t="n">
        <f aca="false">I29+J29</f>
        <v>472.3</v>
      </c>
      <c r="L29" s="117" t="n">
        <f aca="false">F29-(I29-AA29)</f>
        <v>-77.8737332997227</v>
      </c>
      <c r="M29" s="412" t="n">
        <v>279</v>
      </c>
      <c r="N29" s="413" t="n">
        <v>0</v>
      </c>
      <c r="O29" s="469" t="n">
        <f aca="false">58.71*1.05</f>
        <v>61.6455</v>
      </c>
      <c r="P29" s="341" t="n">
        <v>2.37</v>
      </c>
      <c r="Q29" s="470" t="n">
        <v>4.2</v>
      </c>
      <c r="R29" s="342" t="n">
        <v>3.3</v>
      </c>
      <c r="S29" s="117" t="n">
        <v>151</v>
      </c>
      <c r="T29" s="117" t="n">
        <v>69</v>
      </c>
      <c r="U29" s="240" t="n">
        <f aca="false">M29-N29-O29-P29-Q29-R29+S29+T29</f>
        <v>427.4845</v>
      </c>
      <c r="V29" s="216" t="n">
        <f aca="false">V28-U29-(AJ29/1.9835)</f>
        <v>21417.0266325647</v>
      </c>
      <c r="W29" s="216"/>
      <c r="X29" s="117" t="n">
        <v>200</v>
      </c>
      <c r="Y29" s="414" t="n">
        <v>68</v>
      </c>
      <c r="Z29" s="415" t="n">
        <f aca="false">Z28-Y29</f>
        <v>12308.9836148223</v>
      </c>
      <c r="AA29" s="117" t="n">
        <f aca="false">N29+O29+P29+Q29+R29+U29+X29+Y29</f>
        <v>767</v>
      </c>
      <c r="AB29" s="117" t="n">
        <f aca="false">IF(L29&lt;0,L29*-1,0)</f>
        <v>77.8737332997227</v>
      </c>
      <c r="AC29" s="117" t="n">
        <f aca="false">AA29+AB29</f>
        <v>844.873733299723</v>
      </c>
      <c r="AD29" s="89" t="n">
        <v>0</v>
      </c>
      <c r="AE29" s="90" t="n">
        <v>81</v>
      </c>
      <c r="AF29" s="91" t="n">
        <v>51</v>
      </c>
      <c r="AG29" s="92" t="n">
        <f aca="false">AG28</f>
        <v>0</v>
      </c>
      <c r="AH29" s="92"/>
      <c r="AI29" s="92" t="n">
        <v>0</v>
      </c>
      <c r="AJ29" s="341" t="n">
        <f aca="false">23.5*(V28*1.9835-U29*1.9835)/E29</f>
        <v>6.44850187586606</v>
      </c>
      <c r="AK29" s="92"/>
      <c r="AL29" s="8"/>
    </row>
    <row r="30" customFormat="false" ht="11.1" hidden="false" customHeight="true" outlineLevel="0" collapsed="false">
      <c r="A30" s="15" t="n">
        <f aca="false">A29+1</f>
        <v>19</v>
      </c>
      <c r="B30" s="403" t="n">
        <v>6905.96</v>
      </c>
      <c r="C30" s="86" t="n">
        <v>306097</v>
      </c>
      <c r="D30" s="90" t="n">
        <f aca="false">C30-C29</f>
        <v>-737</v>
      </c>
      <c r="E30" s="86" t="n">
        <f aca="false">C30-152000</f>
        <v>154097</v>
      </c>
      <c r="F30" s="409" t="n">
        <f aca="false">D30/$D$2</f>
        <v>-371.565414671036</v>
      </c>
      <c r="G30" s="117" t="n">
        <v>446</v>
      </c>
      <c r="H30" s="402" t="n">
        <v>0.36</v>
      </c>
      <c r="I30" s="117" t="n">
        <f aca="false">G30+H30</f>
        <v>446.36</v>
      </c>
      <c r="J30" s="411" t="n">
        <f aca="false">IF(L30&gt;0,L30,0)</f>
        <v>0</v>
      </c>
      <c r="K30" s="117" t="n">
        <f aca="false">I30+J30</f>
        <v>446.36</v>
      </c>
      <c r="L30" s="117" t="n">
        <f aca="false">F30-(I30-AA30)</f>
        <v>-51.925414671036</v>
      </c>
      <c r="M30" s="412" t="n">
        <v>282</v>
      </c>
      <c r="N30" s="413" t="n">
        <v>0</v>
      </c>
      <c r="O30" s="469" t="n">
        <f aca="false">53.98*1.05</f>
        <v>56.679</v>
      </c>
      <c r="P30" s="341" t="n">
        <v>2.37</v>
      </c>
      <c r="Q30" s="470" t="n">
        <v>4.2</v>
      </c>
      <c r="R30" s="342" t="n">
        <v>3.65</v>
      </c>
      <c r="S30" s="117" t="n">
        <v>151</v>
      </c>
      <c r="T30" s="117" t="n">
        <v>69</v>
      </c>
      <c r="U30" s="240" t="n">
        <f aca="false">M30-N30-O30-P30-Q30-R30+S30+T30</f>
        <v>435.101</v>
      </c>
      <c r="V30" s="216" t="n">
        <f aca="false">V29-U30-(AJ30/1.9835)</f>
        <v>20978.7258606524</v>
      </c>
      <c r="W30" s="216"/>
      <c r="X30" s="117" t="n">
        <v>197</v>
      </c>
      <c r="Y30" s="414" t="n">
        <v>67</v>
      </c>
      <c r="Z30" s="415" t="n">
        <f aca="false">Z29-Y30</f>
        <v>12241.9836148223</v>
      </c>
      <c r="AA30" s="117" t="n">
        <f aca="false">N30+O30+P30+Q30+R30+U30+X30+Y30</f>
        <v>766</v>
      </c>
      <c r="AB30" s="117" t="n">
        <f aca="false">IF(L30&lt;0,L30*-1,0)</f>
        <v>51.925414671036</v>
      </c>
      <c r="AC30" s="117" t="n">
        <f aca="false">AA30+AB30</f>
        <v>817.925414671036</v>
      </c>
      <c r="AD30" s="89" t="n">
        <v>0</v>
      </c>
      <c r="AE30" s="90" t="n">
        <v>83</v>
      </c>
      <c r="AF30" s="91" t="n">
        <v>51</v>
      </c>
      <c r="AG30" s="92" t="n">
        <f aca="false">AG29</f>
        <v>0</v>
      </c>
      <c r="AH30" s="92"/>
      <c r="AI30" s="92" t="n">
        <v>0</v>
      </c>
      <c r="AJ30" s="341" t="n">
        <f aca="false">23.5*(V29*1.9835-U30*1.9835)/E30</f>
        <v>6.34674758799012</v>
      </c>
      <c r="AK30" s="92"/>
      <c r="AL30" s="8"/>
    </row>
    <row r="31" customFormat="false" ht="11.1" hidden="false" customHeight="true" outlineLevel="0" collapsed="false">
      <c r="A31" s="15" t="n">
        <f aca="false">A30+1</f>
        <v>20</v>
      </c>
      <c r="B31" s="403" t="n">
        <v>6905.71</v>
      </c>
      <c r="C31" s="86" t="n">
        <v>305133</v>
      </c>
      <c r="D31" s="90" t="n">
        <f aca="false">C31-C30</f>
        <v>-964</v>
      </c>
      <c r="E31" s="86" t="n">
        <f aca="false">C31-152000</f>
        <v>153133</v>
      </c>
      <c r="F31" s="409" t="n">
        <f aca="false">D31/$D$2</f>
        <v>-486.009579026973</v>
      </c>
      <c r="G31" s="117" t="n">
        <v>422</v>
      </c>
      <c r="H31" s="402" t="n">
        <v>0.3</v>
      </c>
      <c r="I31" s="117" t="n">
        <f aca="false">G31+H31</f>
        <v>422.3</v>
      </c>
      <c r="J31" s="411" t="n">
        <f aca="false">IF(L31&gt;0,L31,0)</f>
        <v>0</v>
      </c>
      <c r="K31" s="117" t="n">
        <f aca="false">I31+J31</f>
        <v>422.3</v>
      </c>
      <c r="L31" s="117" t="n">
        <f aca="false">F31-(I31-AA31)</f>
        <v>-134.309579026973</v>
      </c>
      <c r="M31" s="412" t="n">
        <v>292</v>
      </c>
      <c r="N31" s="413" t="n">
        <v>0</v>
      </c>
      <c r="O31" s="402" t="n">
        <f aca="false">62.85*1.05</f>
        <v>65.9925</v>
      </c>
      <c r="P31" s="341" t="n">
        <v>2.37</v>
      </c>
      <c r="Q31" s="470" t="n">
        <v>4.2</v>
      </c>
      <c r="R31" s="342" t="n">
        <v>3.55</v>
      </c>
      <c r="S31" s="117" t="n">
        <v>151</v>
      </c>
      <c r="T31" s="117" t="n">
        <v>69</v>
      </c>
      <c r="U31" s="240" t="n">
        <f aca="false">M31-N31-O31-P31-Q31-R31+S31+T31</f>
        <v>435.8875</v>
      </c>
      <c r="V31" s="216" t="n">
        <f aca="false">V30-U31-(AJ31/1.9835)</f>
        <v>20539.6858285302</v>
      </c>
      <c r="W31" s="216"/>
      <c r="X31" s="117" t="n">
        <v>194</v>
      </c>
      <c r="Y31" s="414" t="n">
        <v>68</v>
      </c>
      <c r="Z31" s="415" t="n">
        <f aca="false">Z30-Y31</f>
        <v>12173.9836148223</v>
      </c>
      <c r="AA31" s="117" t="n">
        <f aca="false">N31+O31+P31+Q31+R31+U31+X31+Y31</f>
        <v>774</v>
      </c>
      <c r="AB31" s="117" t="n">
        <f aca="false">IF(L31&lt;0,L31*-1,0)</f>
        <v>134.309579026973</v>
      </c>
      <c r="AC31" s="117" t="n">
        <f aca="false">AA31+AB31</f>
        <v>908.309579026973</v>
      </c>
      <c r="AD31" s="89" t="n">
        <v>0</v>
      </c>
      <c r="AE31" s="90" t="n">
        <v>82</v>
      </c>
      <c r="AF31" s="91" t="n">
        <v>49</v>
      </c>
      <c r="AG31" s="92" t="n">
        <f aca="false">AG30</f>
        <v>0</v>
      </c>
      <c r="AH31" s="92"/>
      <c r="AI31" s="92" t="n">
        <v>0</v>
      </c>
      <c r="AJ31" s="341" t="n">
        <f aca="false">23.5*(V30*1.9835-U31*1.9835)/E31</f>
        <v>6.25304746446762</v>
      </c>
      <c r="AK31" s="92"/>
      <c r="AL31" s="8"/>
    </row>
    <row r="32" customFormat="false" ht="11.1" hidden="false" customHeight="true" outlineLevel="0" collapsed="false">
      <c r="A32" s="15" t="n">
        <f aca="false">A31+1</f>
        <v>21</v>
      </c>
      <c r="B32" s="403" t="n">
        <v>6905.51</v>
      </c>
      <c r="C32" s="86" t="n">
        <v>304362</v>
      </c>
      <c r="D32" s="90" t="n">
        <f aca="false">C32-C31</f>
        <v>-771</v>
      </c>
      <c r="E32" s="86" t="n">
        <f aca="false">C32-152000</f>
        <v>152362</v>
      </c>
      <c r="F32" s="409" t="n">
        <f aca="false">D32/$D$2</f>
        <v>-388.706831358709</v>
      </c>
      <c r="G32" s="117" t="n">
        <v>395</v>
      </c>
      <c r="H32" s="402" t="n">
        <v>0.3</v>
      </c>
      <c r="I32" s="117" t="n">
        <f aca="false">G32+H32</f>
        <v>395.3</v>
      </c>
      <c r="J32" s="411" t="n">
        <f aca="false">IF(L32&gt;0,L32,0)</f>
        <v>41.9931686412907</v>
      </c>
      <c r="K32" s="117" t="n">
        <f aca="false">I32+J32</f>
        <v>437.293168641291</v>
      </c>
      <c r="L32" s="117" t="n">
        <f aca="false">F32-(I32-AA32)</f>
        <v>41.9931686412907</v>
      </c>
      <c r="M32" s="412" t="n">
        <v>321</v>
      </c>
      <c r="N32" s="413" t="n">
        <v>0</v>
      </c>
      <c r="O32" s="469" t="n">
        <f aca="false">84.01*1.05</f>
        <v>88.2105</v>
      </c>
      <c r="P32" s="341" t="n">
        <v>2.37</v>
      </c>
      <c r="Q32" s="470" t="n">
        <v>4.2</v>
      </c>
      <c r="R32" s="342" t="n">
        <v>3.54</v>
      </c>
      <c r="S32" s="117" t="n">
        <v>150</v>
      </c>
      <c r="T32" s="117" t="n">
        <v>68</v>
      </c>
      <c r="U32" s="240" t="n">
        <f aca="false">M32-N32-O32-P32-Q32-R32+S32+T32</f>
        <v>440.6795</v>
      </c>
      <c r="V32" s="216" t="n">
        <f aca="false">V31-U32-(AJ32/1.9835)</f>
        <v>20095.9062993318</v>
      </c>
      <c r="W32" s="216"/>
      <c r="X32" s="117" t="n">
        <v>219</v>
      </c>
      <c r="Y32" s="414" t="n">
        <v>68</v>
      </c>
      <c r="Z32" s="415" t="n">
        <f aca="false">Z31-Y32</f>
        <v>12105.9836148223</v>
      </c>
      <c r="AA32" s="117" t="n">
        <f aca="false">N32+O32+P32+Q32+R32+U32+X32+Y32</f>
        <v>826</v>
      </c>
      <c r="AB32" s="117" t="n">
        <f aca="false">IF(L32&lt;0,L32*-1,0)</f>
        <v>0</v>
      </c>
      <c r="AC32" s="117" t="n">
        <f aca="false">AA32+AB32</f>
        <v>826</v>
      </c>
      <c r="AD32" s="89" t="n">
        <v>0</v>
      </c>
      <c r="AE32" s="90" t="n">
        <v>77</v>
      </c>
      <c r="AF32" s="91" t="n">
        <v>48</v>
      </c>
      <c r="AG32" s="92" t="n">
        <f aca="false">AG31</f>
        <v>0</v>
      </c>
      <c r="AH32" s="92"/>
      <c r="AI32" s="92" t="n">
        <v>0</v>
      </c>
      <c r="AJ32" s="341" t="n">
        <f aca="false">23.5*(V31*1.9835-U32*1.9835)/E32</f>
        <v>6.14890791494618</v>
      </c>
      <c r="AK32" s="92"/>
      <c r="AL32" s="8"/>
    </row>
    <row r="33" customFormat="false" ht="11.1" hidden="false" customHeight="true" outlineLevel="0" collapsed="false">
      <c r="A33" s="15" t="n">
        <f aca="false">A32+1</f>
        <v>22</v>
      </c>
      <c r="B33" s="403" t="n">
        <v>6905.22</v>
      </c>
      <c r="C33" s="86" t="n">
        <v>303244</v>
      </c>
      <c r="D33" s="90" t="n">
        <f aca="false">C33-C32</f>
        <v>-1118</v>
      </c>
      <c r="E33" s="86" t="n">
        <f aca="false">C33-152000</f>
        <v>151244</v>
      </c>
      <c r="F33" s="409" t="n">
        <f aca="false">D33/$D$2</f>
        <v>-563.650113435846</v>
      </c>
      <c r="G33" s="117" t="n">
        <v>358</v>
      </c>
      <c r="H33" s="402" t="n">
        <v>0.5</v>
      </c>
      <c r="I33" s="117" t="n">
        <f aca="false">G33+H33</f>
        <v>358.5</v>
      </c>
      <c r="J33" s="411" t="n">
        <f aca="false">IF(L33&gt;0,L33,0)</f>
        <v>0</v>
      </c>
      <c r="K33" s="117" t="n">
        <f aca="false">I33+J33</f>
        <v>358.5</v>
      </c>
      <c r="L33" s="117" t="n">
        <f aca="false">F33-(I33-AA33)</f>
        <v>-69.1501134358457</v>
      </c>
      <c r="M33" s="412" t="n">
        <v>325</v>
      </c>
      <c r="N33" s="413" t="n">
        <v>0</v>
      </c>
      <c r="O33" s="469" t="n">
        <f aca="false">93.45*1.05</f>
        <v>98.1225</v>
      </c>
      <c r="P33" s="341" t="n">
        <v>2.37</v>
      </c>
      <c r="Q33" s="470" t="n">
        <v>4.2</v>
      </c>
      <c r="R33" s="342" t="n">
        <v>3.74</v>
      </c>
      <c r="S33" s="117" t="n">
        <v>150</v>
      </c>
      <c r="T33" s="117" t="n">
        <v>67</v>
      </c>
      <c r="U33" s="240" t="n">
        <f aca="false">M33-N33-O33-P33-Q33-R33+S33+T33</f>
        <v>433.5675</v>
      </c>
      <c r="V33" s="216" t="n">
        <f aca="false">V32-U33-(AJ33/1.9835)</f>
        <v>19659.283703184</v>
      </c>
      <c r="W33" s="216"/>
      <c r="X33" s="117" t="n">
        <v>243</v>
      </c>
      <c r="Y33" s="414" t="n">
        <v>68</v>
      </c>
      <c r="Z33" s="415" t="n">
        <f aca="false">Z32-Y33</f>
        <v>12037.9836148223</v>
      </c>
      <c r="AA33" s="117" t="n">
        <f aca="false">N33+O33+P33+Q33+R33+U33+X33+Y33</f>
        <v>853</v>
      </c>
      <c r="AB33" s="117" t="n">
        <f aca="false">IF(L33&lt;0,L33*-1,0)</f>
        <v>69.1501134358457</v>
      </c>
      <c r="AC33" s="117" t="n">
        <f aca="false">AA33+AB33</f>
        <v>922.150113435846</v>
      </c>
      <c r="AD33" s="89" t="n">
        <v>0</v>
      </c>
      <c r="AE33" s="90" t="n">
        <v>78</v>
      </c>
      <c r="AF33" s="91" t="n">
        <v>45</v>
      </c>
      <c r="AG33" s="92" t="n">
        <f aca="false">AG32</f>
        <v>0</v>
      </c>
      <c r="AH33" s="92"/>
      <c r="AI33" s="92" t="n">
        <v>0</v>
      </c>
      <c r="AJ33" s="341" t="n">
        <f aca="false">23.5*(V32*1.9835-U33*1.9835)/E33</f>
        <v>6.05978320924568</v>
      </c>
      <c r="AK33" s="92"/>
      <c r="AL33" s="8"/>
    </row>
    <row r="34" customFormat="false" ht="11.1" hidden="false" customHeight="true" outlineLevel="0" collapsed="false">
      <c r="A34" s="15" t="n">
        <f aca="false">A33+1</f>
        <v>23</v>
      </c>
      <c r="B34" s="403" t="n">
        <v>6904.92</v>
      </c>
      <c r="C34" s="86" t="n">
        <v>302090</v>
      </c>
      <c r="D34" s="90" t="n">
        <f aca="false">C34-C33</f>
        <v>-1154</v>
      </c>
      <c r="E34" s="86" t="n">
        <f aca="false">C34-152000</f>
        <v>150090</v>
      </c>
      <c r="F34" s="409" t="n">
        <f aca="false">D34/$D$2</f>
        <v>-581.799848752206</v>
      </c>
      <c r="G34" s="117" t="n">
        <v>312</v>
      </c>
      <c r="H34" s="402" t="n">
        <v>0.4</v>
      </c>
      <c r="I34" s="117" t="n">
        <f aca="false">G34+H34</f>
        <v>312.4</v>
      </c>
      <c r="J34" s="411" t="n">
        <f aca="false">IF(L34&gt;0,L34,0)</f>
        <v>0</v>
      </c>
      <c r="K34" s="117" t="n">
        <f aca="false">I34+J34</f>
        <v>312.4</v>
      </c>
      <c r="L34" s="117" t="n">
        <f aca="false">F34-(I34-AA34)</f>
        <v>-38.1998487522056</v>
      </c>
      <c r="M34" s="412" t="n">
        <v>317</v>
      </c>
      <c r="N34" s="413" t="n">
        <v>0</v>
      </c>
      <c r="O34" s="469" t="n">
        <f aca="false">94.12*1.05</f>
        <v>98.826</v>
      </c>
      <c r="P34" s="341" t="n">
        <v>2.37</v>
      </c>
      <c r="Q34" s="470" t="n">
        <v>4.2</v>
      </c>
      <c r="R34" s="342" t="n">
        <v>3.42</v>
      </c>
      <c r="S34" s="117" t="n">
        <v>149</v>
      </c>
      <c r="T34" s="117" t="n">
        <v>69</v>
      </c>
      <c r="U34" s="240" t="n">
        <f aca="false">M34-N34-O34-P34-Q34-R34+S34+T34</f>
        <v>426.184</v>
      </c>
      <c r="V34" s="216" t="n">
        <f aca="false">V33-U34-(AJ34/1.9835)</f>
        <v>19230.0883243911</v>
      </c>
      <c r="W34" s="216"/>
      <c r="X34" s="117" t="n">
        <v>253</v>
      </c>
      <c r="Y34" s="414" t="n">
        <v>68</v>
      </c>
      <c r="Z34" s="415" t="n">
        <f aca="false">Z33-Y34</f>
        <v>11969.9836148223</v>
      </c>
      <c r="AA34" s="117" t="n">
        <f aca="false">N34+O34+P34+Q34+R34+U34+X34+Y34</f>
        <v>856</v>
      </c>
      <c r="AB34" s="117" t="n">
        <f aca="false">IF(L34&lt;0,L34*-1,0)</f>
        <v>38.1998487522056</v>
      </c>
      <c r="AC34" s="117" t="n">
        <f aca="false">AA34+AB34</f>
        <v>894.199848752206</v>
      </c>
      <c r="AD34" s="89" t="n">
        <v>0</v>
      </c>
      <c r="AE34" s="90" t="n">
        <v>82</v>
      </c>
      <c r="AF34" s="91" t="n">
        <v>46</v>
      </c>
      <c r="AG34" s="92" t="n">
        <f aca="false">AG33</f>
        <v>0</v>
      </c>
      <c r="AH34" s="92"/>
      <c r="AI34" s="92" t="n">
        <v>0</v>
      </c>
      <c r="AJ34" s="341" t="n">
        <f aca="false">23.5*(V33*1.9835-U34*1.9835)/E34</f>
        <v>5.97306983569683</v>
      </c>
      <c r="AK34" s="92"/>
      <c r="AL34" s="8"/>
    </row>
    <row r="35" customFormat="false" ht="11.1" hidden="false" customHeight="true" outlineLevel="0" collapsed="false">
      <c r="A35" s="15" t="n">
        <f aca="false">A34+1</f>
        <v>24</v>
      </c>
      <c r="B35" s="403" t="n">
        <v>6904.59</v>
      </c>
      <c r="C35" s="86" t="n">
        <v>300828</v>
      </c>
      <c r="D35" s="90" t="n">
        <f aca="false">C35-C34</f>
        <v>-1262</v>
      </c>
      <c r="E35" s="86" t="n">
        <f aca="false">C35-152000</f>
        <v>148828</v>
      </c>
      <c r="F35" s="409" t="n">
        <f aca="false">D35/$D$2</f>
        <v>-636.249054701286</v>
      </c>
      <c r="G35" s="117" t="n">
        <v>291</v>
      </c>
      <c r="H35" s="402" t="n">
        <v>0.4</v>
      </c>
      <c r="I35" s="117" t="n">
        <f aca="false">G35+H35</f>
        <v>291.4</v>
      </c>
      <c r="J35" s="411" t="n">
        <f aca="false">IF(L35&gt;0,L35,0)</f>
        <v>0</v>
      </c>
      <c r="K35" s="117" t="n">
        <f aca="false">I35+J35</f>
        <v>291.4</v>
      </c>
      <c r="L35" s="117" t="n">
        <f aca="false">F35-(I35-AA35)</f>
        <v>-68.6490547012855</v>
      </c>
      <c r="M35" s="412" t="n">
        <v>317</v>
      </c>
      <c r="N35" s="413" t="n">
        <v>0</v>
      </c>
      <c r="O35" s="469" t="n">
        <f aca="false">89.79*1.05</f>
        <v>94.2795</v>
      </c>
      <c r="P35" s="341" t="n">
        <v>2.37</v>
      </c>
      <c r="Q35" s="470" t="n">
        <v>4.2</v>
      </c>
      <c r="R35" s="342" t="n">
        <v>3.52</v>
      </c>
      <c r="S35" s="117" t="n">
        <v>149</v>
      </c>
      <c r="T35" s="117" t="n">
        <v>69</v>
      </c>
      <c r="U35" s="240" t="n">
        <f aca="false">M35-N35-O35-P35-Q35-R35+S35+T35</f>
        <v>430.6305</v>
      </c>
      <c r="V35" s="216" t="n">
        <f aca="false">V34-U35-(AJ35/1.9835)</f>
        <v>18796.4893825732</v>
      </c>
      <c r="W35" s="216"/>
      <c r="X35" s="117" t="n">
        <v>256</v>
      </c>
      <c r="Y35" s="414" t="n">
        <v>68</v>
      </c>
      <c r="Z35" s="415" t="n">
        <f aca="false">Z34-Y35</f>
        <v>11901.9836148223</v>
      </c>
      <c r="AA35" s="117" t="n">
        <f aca="false">N35+O35+P35+Q35+R35+U35+X35+Y35</f>
        <v>859</v>
      </c>
      <c r="AB35" s="117" t="n">
        <f aca="false">IF(L35&lt;0,L35*-1,0)</f>
        <v>68.6490547012855</v>
      </c>
      <c r="AC35" s="117" t="n">
        <f aca="false">AA35+AB35</f>
        <v>927.649054701286</v>
      </c>
      <c r="AD35" s="89" t="n">
        <v>0</v>
      </c>
      <c r="AE35" s="90" t="n">
        <v>85</v>
      </c>
      <c r="AF35" s="91" t="n">
        <v>52</v>
      </c>
      <c r="AG35" s="92" t="n">
        <f aca="false">AG34</f>
        <v>0</v>
      </c>
      <c r="AH35" s="92"/>
      <c r="AI35" s="92" t="n">
        <v>0</v>
      </c>
      <c r="AJ35" s="341" t="n">
        <f aca="false">23.5*(V34*1.9835-U35*1.9835)/E35</f>
        <v>5.88790434578824</v>
      </c>
      <c r="AK35" s="92"/>
      <c r="AL35" s="8"/>
    </row>
    <row r="36" customFormat="false" ht="11.1" hidden="false" customHeight="true" outlineLevel="0" collapsed="false">
      <c r="A36" s="15" t="n">
        <f aca="false">A35+1</f>
        <v>25</v>
      </c>
      <c r="B36" s="403" t="n">
        <v>6904.24</v>
      </c>
      <c r="C36" s="86" t="n">
        <v>299412</v>
      </c>
      <c r="D36" s="90" t="n">
        <f aca="false">C36-C35</f>
        <v>-1416</v>
      </c>
      <c r="E36" s="86" t="n">
        <f aca="false">C36-152000</f>
        <v>147412</v>
      </c>
      <c r="F36" s="409" t="n">
        <f aca="false">D36/$D$2</f>
        <v>-713.889589110159</v>
      </c>
      <c r="G36" s="117" t="n">
        <v>279</v>
      </c>
      <c r="H36" s="402" t="n">
        <v>0.5</v>
      </c>
      <c r="I36" s="117" t="n">
        <f aca="false">G36+H36</f>
        <v>279.5</v>
      </c>
      <c r="J36" s="411" t="n">
        <f aca="false">IF(L36&gt;0,L36,0)</f>
        <v>0</v>
      </c>
      <c r="K36" s="117" t="n">
        <f aca="false">I36+J36</f>
        <v>279.5</v>
      </c>
      <c r="L36" s="117" t="n">
        <f aca="false">F36-(I36-AA36)</f>
        <v>-117.389589110159</v>
      </c>
      <c r="M36" s="412" t="n">
        <v>336</v>
      </c>
      <c r="N36" s="413" t="n">
        <v>0</v>
      </c>
      <c r="O36" s="469" t="n">
        <f aca="false">88.32*1.05</f>
        <v>92.736</v>
      </c>
      <c r="P36" s="341" t="n">
        <v>2.37</v>
      </c>
      <c r="Q36" s="470" t="n">
        <v>4.2</v>
      </c>
      <c r="R36" s="342" t="n">
        <v>3.47</v>
      </c>
      <c r="S36" s="117" t="n">
        <v>150</v>
      </c>
      <c r="T36" s="117" t="n">
        <v>69</v>
      </c>
      <c r="U36" s="240" t="n">
        <f aca="false">M36-N36-O36-P36-Q36-R36+S36+T36</f>
        <v>452.224</v>
      </c>
      <c r="V36" s="216" t="n">
        <f aca="false">V35-U36-(AJ36/1.9835)</f>
        <v>18341.340992181</v>
      </c>
      <c r="W36" s="216"/>
      <c r="X36" s="117" t="n">
        <v>253</v>
      </c>
      <c r="Y36" s="414" t="n">
        <v>68</v>
      </c>
      <c r="Z36" s="415" t="n">
        <f aca="false">Z35-Y36</f>
        <v>11833.9836148223</v>
      </c>
      <c r="AA36" s="117" t="n">
        <f aca="false">N36+O36+P36+Q36+R36+U36+X36+Y36</f>
        <v>876</v>
      </c>
      <c r="AB36" s="117" t="n">
        <f aca="false">IF(L36&lt;0,L36*-1,0)</f>
        <v>117.389589110159</v>
      </c>
      <c r="AC36" s="117" t="n">
        <f aca="false">AA36+AB36</f>
        <v>993.389589110159</v>
      </c>
      <c r="AD36" s="89" t="n">
        <v>0</v>
      </c>
      <c r="AE36" s="90" t="n">
        <v>80</v>
      </c>
      <c r="AF36" s="91" t="n">
        <v>53</v>
      </c>
      <c r="AG36" s="92" t="n">
        <f aca="false">AG35</f>
        <v>0</v>
      </c>
      <c r="AH36" s="92"/>
      <c r="AI36" s="92" t="n">
        <v>0</v>
      </c>
      <c r="AJ36" s="341" t="n">
        <f aca="false">23.5*(V35*1.9835-U36*1.9835)/E36</f>
        <v>5.80052834286793</v>
      </c>
      <c r="AK36" s="92"/>
      <c r="AL36" s="8"/>
    </row>
    <row r="37" customFormat="false" ht="11.1" hidden="false" customHeight="true" outlineLevel="0" collapsed="false">
      <c r="A37" s="15" t="n">
        <f aca="false">A36+1</f>
        <v>26</v>
      </c>
      <c r="B37" s="403" t="n">
        <v>6903.96</v>
      </c>
      <c r="C37" s="86" t="n">
        <v>298419</v>
      </c>
      <c r="D37" s="90" t="n">
        <f aca="false">C37-C36</f>
        <v>-993</v>
      </c>
      <c r="E37" s="86" t="n">
        <f aca="false">C37-152000</f>
        <v>146419</v>
      </c>
      <c r="F37" s="409" t="n">
        <f aca="false">D37/$D$2</f>
        <v>-500.630199142929</v>
      </c>
      <c r="G37" s="117" t="n">
        <v>274</v>
      </c>
      <c r="H37" s="402" t="n">
        <v>0.5</v>
      </c>
      <c r="I37" s="117" t="n">
        <f aca="false">G37+H37</f>
        <v>274.5</v>
      </c>
      <c r="J37" s="411" t="n">
        <f aca="false">IF(L37&gt;0,L37,0)</f>
        <v>89.8698008570709</v>
      </c>
      <c r="K37" s="117" t="n">
        <f aca="false">I37+J37</f>
        <v>364.369800857071</v>
      </c>
      <c r="L37" s="117" t="n">
        <f aca="false">F37-(I37-AA37)</f>
        <v>89.8698008570709</v>
      </c>
      <c r="M37" s="412" t="n">
        <v>317</v>
      </c>
      <c r="N37" s="413" t="n">
        <v>0</v>
      </c>
      <c r="O37" s="402" t="n">
        <f aca="false">93.84*1.05</f>
        <v>98.532</v>
      </c>
      <c r="P37" s="341" t="n">
        <v>2.37</v>
      </c>
      <c r="Q37" s="93" t="n">
        <v>4.2</v>
      </c>
      <c r="R37" s="342" t="n">
        <v>3.46</v>
      </c>
      <c r="S37" s="117" t="n">
        <v>150</v>
      </c>
      <c r="T37" s="117" t="n">
        <v>68</v>
      </c>
      <c r="U37" s="240" t="n">
        <f aca="false">M37-N37-O37-P37-Q37-R37+S37+T37</f>
        <v>426.438</v>
      </c>
      <c r="V37" s="216" t="n">
        <f aca="false">V36-U37-(AJ37/1.9835)</f>
        <v>17912.027680778</v>
      </c>
      <c r="W37" s="216"/>
      <c r="X37" s="471" t="n">
        <v>263</v>
      </c>
      <c r="Y37" s="414" t="n">
        <v>67</v>
      </c>
      <c r="Z37" s="415" t="n">
        <f aca="false">Z36-Y37</f>
        <v>11766.9836148223</v>
      </c>
      <c r="AA37" s="117" t="n">
        <f aca="false">N37+O37+P37+Q37+R37+U37+X37+Y37</f>
        <v>865</v>
      </c>
      <c r="AB37" s="117" t="n">
        <f aca="false">IF(L37&lt;0,L37*-1,0)</f>
        <v>0</v>
      </c>
      <c r="AC37" s="117" t="n">
        <f aca="false">AA37+AB37</f>
        <v>865</v>
      </c>
      <c r="AD37" s="89" t="n">
        <v>0</v>
      </c>
      <c r="AE37" s="90" t="n">
        <v>79</v>
      </c>
      <c r="AF37" s="91" t="n">
        <v>50</v>
      </c>
      <c r="AG37" s="92" t="n">
        <f aca="false">AG36</f>
        <v>0</v>
      </c>
      <c r="AH37" s="92"/>
      <c r="AI37" s="92" t="n">
        <v>0</v>
      </c>
      <c r="AJ37" s="341" t="n">
        <f aca="false">23.5*(V36*1.9835-U37*1.9835)/E37</f>
        <v>5.70318016785588</v>
      </c>
      <c r="AK37" s="92"/>
      <c r="AL37" s="3"/>
    </row>
    <row r="38" customFormat="false" ht="11.1" hidden="false" customHeight="true" outlineLevel="0" collapsed="false">
      <c r="A38" s="15" t="n">
        <f aca="false">A37+1</f>
        <v>27</v>
      </c>
      <c r="B38" s="403" t="n">
        <v>6903.66</v>
      </c>
      <c r="C38" s="86" t="n">
        <v>297281</v>
      </c>
      <c r="D38" s="90" t="n">
        <f aca="false">C38-C37</f>
        <v>-1138</v>
      </c>
      <c r="E38" s="86" t="n">
        <f aca="false">C38-152000</f>
        <v>145281</v>
      </c>
      <c r="F38" s="409" t="n">
        <f aca="false">D38/$D$2</f>
        <v>-573.733299722712</v>
      </c>
      <c r="G38" s="117" t="n">
        <v>261</v>
      </c>
      <c r="H38" s="402" t="n">
        <v>0.5</v>
      </c>
      <c r="I38" s="117" t="n">
        <f aca="false">G38+H38</f>
        <v>261.5</v>
      </c>
      <c r="J38" s="411" t="n">
        <f aca="false">IF(L38&gt;0,L38,0)</f>
        <v>0</v>
      </c>
      <c r="K38" s="117" t="n">
        <f aca="false">I38+J38</f>
        <v>261.5</v>
      </c>
      <c r="L38" s="117" t="n">
        <f aca="false">F38-(I38-AA38)</f>
        <v>-11.2332997227123</v>
      </c>
      <c r="M38" s="412" t="n">
        <v>321</v>
      </c>
      <c r="N38" s="413" t="n">
        <v>0</v>
      </c>
      <c r="O38" s="469" t="n">
        <f aca="false">82.39*1.05</f>
        <v>86.5095</v>
      </c>
      <c r="P38" s="341" t="n">
        <v>2.37</v>
      </c>
      <c r="Q38" s="470" t="n">
        <v>4.2</v>
      </c>
      <c r="R38" s="342" t="n">
        <v>3.55</v>
      </c>
      <c r="S38" s="117" t="n">
        <v>151</v>
      </c>
      <c r="T38" s="117" t="n">
        <v>69</v>
      </c>
      <c r="U38" s="240" t="n">
        <f aca="false">M38-N38-O38-P38-Q38-R38+S38+T38</f>
        <v>444.3705</v>
      </c>
      <c r="V38" s="216" t="n">
        <f aca="false">V37-U38-(AJ38/1.9835)</f>
        <v>17464.8316912525</v>
      </c>
      <c r="W38" s="216"/>
      <c r="X38" s="117" t="n">
        <v>217</v>
      </c>
      <c r="Y38" s="414" t="n">
        <v>66</v>
      </c>
      <c r="Z38" s="415" t="n">
        <f aca="false">Z37-Y38</f>
        <v>11700.9836148223</v>
      </c>
      <c r="AA38" s="117" t="n">
        <f aca="false">N38+O38+P38+Q38+R38+U38+X38+Y38</f>
        <v>824</v>
      </c>
      <c r="AB38" s="117" t="n">
        <f aca="false">IF(L38&lt;0,L38*-1,0)</f>
        <v>11.2332997227123</v>
      </c>
      <c r="AC38" s="117" t="n">
        <f aca="false">AA38+AB38</f>
        <v>835.233299722712</v>
      </c>
      <c r="AD38" s="89" t="n">
        <v>0</v>
      </c>
      <c r="AE38" s="90" t="n">
        <v>82</v>
      </c>
      <c r="AF38" s="91" t="n">
        <v>49</v>
      </c>
      <c r="AG38" s="92" t="n">
        <f aca="false">AG37</f>
        <v>0</v>
      </c>
      <c r="AH38" s="92"/>
      <c r="AI38" s="92" t="n">
        <v>0</v>
      </c>
      <c r="AJ38" s="341" t="n">
        <f aca="false">23.5*(V37*1.9835-U38*1.9835)/E38</f>
        <v>5.60435847374894</v>
      </c>
      <c r="AK38" s="92"/>
      <c r="AL38" s="8"/>
    </row>
    <row r="39" customFormat="false" ht="11.1" hidden="false" customHeight="true" outlineLevel="0" collapsed="false">
      <c r="A39" s="15" t="n">
        <f aca="false">A38+1</f>
        <v>28</v>
      </c>
      <c r="B39" s="403" t="n">
        <v>6903.34</v>
      </c>
      <c r="C39" s="86" t="n">
        <v>296067</v>
      </c>
      <c r="D39" s="90" t="n">
        <f aca="false">C39-C38</f>
        <v>-1214</v>
      </c>
      <c r="E39" s="86" t="n">
        <f aca="false">C39-152000</f>
        <v>144067</v>
      </c>
      <c r="F39" s="409" t="n">
        <f aca="false">D39/$D$2</f>
        <v>-612.049407612806</v>
      </c>
      <c r="G39" s="117" t="n">
        <v>247</v>
      </c>
      <c r="H39" s="402" t="n">
        <v>0.4</v>
      </c>
      <c r="I39" s="117" t="n">
        <f aca="false">G39+H39</f>
        <v>247.4</v>
      </c>
      <c r="J39" s="411" t="n">
        <f aca="false">IF(L39&gt;0,L39,0)</f>
        <v>0.550592387194342</v>
      </c>
      <c r="K39" s="117" t="n">
        <f aca="false">I39+J39</f>
        <v>247.950592387194</v>
      </c>
      <c r="L39" s="117" t="n">
        <f aca="false">F39-(I39-AA39)</f>
        <v>0.550592387194342</v>
      </c>
      <c r="M39" s="412" t="n">
        <v>301</v>
      </c>
      <c r="N39" s="413" t="n">
        <v>0</v>
      </c>
      <c r="O39" s="469" t="n">
        <f aca="false">80.35*1.05</f>
        <v>84.3675</v>
      </c>
      <c r="P39" s="341" t="n">
        <v>2.37</v>
      </c>
      <c r="Q39" s="470" t="n">
        <v>4.2</v>
      </c>
      <c r="R39" s="342" t="n">
        <v>1.75</v>
      </c>
      <c r="S39" s="117" t="n">
        <v>149</v>
      </c>
      <c r="T39" s="117" t="n">
        <v>67</v>
      </c>
      <c r="U39" s="240" t="n">
        <f aca="false">M39-N39-O39-P39-Q39-R39+S39+T39</f>
        <v>424.3125</v>
      </c>
      <c r="V39" s="216" t="n">
        <f aca="false">V38-U39-(AJ39/1.9835)+14.06</f>
        <v>17051.7995664877</v>
      </c>
      <c r="W39" s="216"/>
      <c r="X39" s="117" t="n">
        <v>276</v>
      </c>
      <c r="Y39" s="414" t="n">
        <v>67</v>
      </c>
      <c r="Z39" s="415" t="n">
        <f aca="false">Z38-Y39</f>
        <v>11633.9836148223</v>
      </c>
      <c r="AA39" s="117" t="n">
        <f aca="false">N39+O39+P39+Q39+R39+U39+X39+Y39</f>
        <v>860</v>
      </c>
      <c r="AB39" s="117" t="n">
        <f aca="false">IF(L39&lt;0,L39*-1,0)</f>
        <v>0</v>
      </c>
      <c r="AC39" s="117" t="n">
        <f aca="false">AA39+AB39</f>
        <v>860</v>
      </c>
      <c r="AD39" s="89" t="n">
        <v>0.23</v>
      </c>
      <c r="AE39" s="90" t="n">
        <v>78</v>
      </c>
      <c r="AF39" s="91" t="n">
        <v>51</v>
      </c>
      <c r="AG39" s="92" t="n">
        <f aca="false">AG38</f>
        <v>0</v>
      </c>
      <c r="AH39" s="92"/>
      <c r="AI39" s="92" t="n">
        <v>0</v>
      </c>
      <c r="AJ39" s="341" t="n">
        <f aca="false">23.5*(V38*1.9835-U39*1.9835)/E39</f>
        <v>5.51338572103578</v>
      </c>
      <c r="AK39" s="92" t="n">
        <v>14.06</v>
      </c>
      <c r="AL39" s="8"/>
    </row>
    <row r="40" customFormat="false" ht="11.1" hidden="false" customHeight="true" outlineLevel="0" collapsed="false">
      <c r="A40" s="15" t="n">
        <f aca="false">A39+1</f>
        <v>29</v>
      </c>
      <c r="B40" s="403" t="n">
        <v>6903.06</v>
      </c>
      <c r="C40" s="86" t="n">
        <v>295005</v>
      </c>
      <c r="D40" s="90" t="n">
        <f aca="false">C40-C39</f>
        <v>-1062</v>
      </c>
      <c r="E40" s="86" t="n">
        <f aca="false">C40-152000</f>
        <v>143005</v>
      </c>
      <c r="F40" s="409" t="n">
        <f aca="false">D40/$D$2</f>
        <v>-535.417191832619</v>
      </c>
      <c r="G40" s="117" t="n">
        <v>322</v>
      </c>
      <c r="H40" s="402" t="n">
        <v>0.3</v>
      </c>
      <c r="I40" s="117" t="n">
        <f aca="false">G40+H40</f>
        <v>322.3</v>
      </c>
      <c r="J40" s="411" t="n">
        <f aca="false">IF(L40&gt;0,L40,0)</f>
        <v>0</v>
      </c>
      <c r="K40" s="117" t="n">
        <f aca="false">I40+J40</f>
        <v>322.3</v>
      </c>
      <c r="L40" s="117" t="n">
        <f aca="false">F40-(I40-AA40)</f>
        <v>-40.7171918326191</v>
      </c>
      <c r="M40" s="412" t="n">
        <v>267</v>
      </c>
      <c r="N40" s="413" t="n">
        <v>0</v>
      </c>
      <c r="O40" s="469" t="n">
        <f aca="false">66.59*1.05</f>
        <v>69.9195</v>
      </c>
      <c r="P40" s="341" t="n">
        <v>2.37</v>
      </c>
      <c r="Q40" s="470" t="n">
        <v>4.2</v>
      </c>
      <c r="R40" s="342" t="n">
        <v>0.49</v>
      </c>
      <c r="S40" s="117" t="n">
        <v>150</v>
      </c>
      <c r="T40" s="117" t="n">
        <v>67</v>
      </c>
      <c r="U40" s="240" t="n">
        <f aca="false">M40-N40-O40-P40-Q40-R40+S40+T40</f>
        <v>407.0205</v>
      </c>
      <c r="V40" s="216" t="n">
        <f aca="false">V39-U40-(AJ40/1.9835)+25</f>
        <v>16667.0438312997</v>
      </c>
      <c r="W40" s="216"/>
      <c r="X40" s="117" t="n">
        <v>254</v>
      </c>
      <c r="Y40" s="414" t="n">
        <v>79</v>
      </c>
      <c r="Z40" s="415" t="n">
        <f aca="false">Z39-Y40</f>
        <v>11554.9836148223</v>
      </c>
      <c r="AA40" s="117" t="n">
        <f aca="false">N40+O40+P40+Q40+R40+U40+X40+Y40</f>
        <v>817</v>
      </c>
      <c r="AB40" s="117" t="n">
        <f aca="false">IF(L40&lt;0,L40*-1,0)</f>
        <v>40.7171918326191</v>
      </c>
      <c r="AC40" s="117" t="n">
        <f aca="false">AA40+AB40</f>
        <v>857.717191832619</v>
      </c>
      <c r="AD40" s="89" t="n">
        <v>0.06</v>
      </c>
      <c r="AE40" s="90" t="n">
        <v>70</v>
      </c>
      <c r="AF40" s="91" t="n">
        <v>50</v>
      </c>
      <c r="AG40" s="92" t="n">
        <f aca="false">AG39</f>
        <v>0</v>
      </c>
      <c r="AH40" s="92"/>
      <c r="AI40" s="92" t="n">
        <v>0</v>
      </c>
      <c r="AJ40" s="341" t="n">
        <f aca="false">23.5*(V39*1.9835-U40*1.9835)/E40</f>
        <v>5.42533899543297</v>
      </c>
      <c r="AK40" s="92" t="n">
        <v>25</v>
      </c>
      <c r="AL40" s="8"/>
    </row>
    <row r="41" customFormat="false" ht="11.1" hidden="false" customHeight="true" outlineLevel="0" collapsed="false">
      <c r="A41" s="15" t="n">
        <v>30</v>
      </c>
      <c r="B41" s="403" t="n">
        <v>6903.74</v>
      </c>
      <c r="C41" s="86" t="n">
        <v>293799</v>
      </c>
      <c r="D41" s="90" t="n">
        <f aca="false">C41-C40</f>
        <v>-1206</v>
      </c>
      <c r="E41" s="86" t="n">
        <f aca="false">C41-152000</f>
        <v>141799</v>
      </c>
      <c r="F41" s="409" t="n">
        <f aca="false">D41/$D$2</f>
        <v>-608.016133098059</v>
      </c>
      <c r="G41" s="117" t="n">
        <v>282</v>
      </c>
      <c r="H41" s="402" t="n">
        <v>0.3</v>
      </c>
      <c r="I41" s="117" t="n">
        <f aca="false">G41+H41</f>
        <v>282.3</v>
      </c>
      <c r="J41" s="411" t="n">
        <f aca="false">IF(L41&gt;0,L41,0)</f>
        <v>0</v>
      </c>
      <c r="K41" s="117" t="n">
        <f aca="false">I41+J41</f>
        <v>282.3</v>
      </c>
      <c r="L41" s="117" t="n">
        <f aca="false">F41-(I41-AA41)</f>
        <v>-11.3161330980589</v>
      </c>
      <c r="M41" s="412" t="n">
        <v>290</v>
      </c>
      <c r="N41" s="413" t="n">
        <v>0</v>
      </c>
      <c r="O41" s="469" t="n">
        <f aca="false">80.21*1.05</f>
        <v>84.2205</v>
      </c>
      <c r="P41" s="341" t="n">
        <v>2.37</v>
      </c>
      <c r="Q41" s="470" t="n">
        <v>4.2</v>
      </c>
      <c r="R41" s="342" t="n">
        <v>0.42</v>
      </c>
      <c r="S41" s="117" t="n">
        <v>149</v>
      </c>
      <c r="T41" s="117" t="n">
        <v>66</v>
      </c>
      <c r="U41" s="240" t="n">
        <f aca="false">M41-N41-O41-P41-Q41-R41+S41+T41</f>
        <v>413.7895</v>
      </c>
      <c r="V41" s="216" t="n">
        <f aca="false">V40-U41-(AJ41/1.9835)+25</f>
        <v>16275.5607193787</v>
      </c>
      <c r="W41" s="216"/>
      <c r="X41" s="117" t="n">
        <v>282</v>
      </c>
      <c r="Y41" s="414" t="n">
        <v>92</v>
      </c>
      <c r="Z41" s="415" t="n">
        <f aca="false">Z40-Y41</f>
        <v>11462.9836148223</v>
      </c>
      <c r="AA41" s="117" t="n">
        <f aca="false">N41+O41+P41+Q41+R41+U41+X41+Y41</f>
        <v>879</v>
      </c>
      <c r="AB41" s="117" t="n">
        <f aca="false">IF(L41&lt;0,L41*-1,0)</f>
        <v>11.3161330980589</v>
      </c>
      <c r="AC41" s="117" t="n">
        <f aca="false">AA41+AB41</f>
        <v>890.316133098059</v>
      </c>
      <c r="AD41" s="89" t="n">
        <v>0</v>
      </c>
      <c r="AE41" s="90" t="n">
        <v>76</v>
      </c>
      <c r="AF41" s="91" t="n">
        <v>48</v>
      </c>
      <c r="AG41" s="92" t="n">
        <f aca="false">AG40</f>
        <v>0</v>
      </c>
      <c r="AH41" s="92"/>
      <c r="AI41" s="92" t="n">
        <v>0</v>
      </c>
      <c r="AJ41" s="341" t="n">
        <f aca="false">23.5*(V40*1.9835-U41*1.9835)/E41</f>
        <v>5.3427792452988</v>
      </c>
      <c r="AK41" s="92" t="n">
        <v>25</v>
      </c>
      <c r="AL41" s="8"/>
    </row>
    <row r="42" customFormat="false" ht="3" hidden="false" customHeight="true" outlineLevel="0" collapsed="false">
      <c r="A42" s="97"/>
      <c r="B42" s="416"/>
      <c r="C42" s="105"/>
      <c r="D42" s="103"/>
      <c r="E42" s="105"/>
      <c r="F42" s="405"/>
      <c r="G42" s="103"/>
      <c r="H42" s="408"/>
      <c r="I42" s="103"/>
      <c r="J42" s="103"/>
      <c r="K42" s="103"/>
      <c r="L42" s="103"/>
      <c r="M42" s="407"/>
      <c r="N42" s="103"/>
      <c r="O42" s="408"/>
      <c r="P42" s="408"/>
      <c r="Q42" s="408"/>
      <c r="R42" s="104"/>
      <c r="S42" s="103"/>
      <c r="T42" s="103"/>
      <c r="U42" s="103"/>
      <c r="V42" s="105"/>
      <c r="W42" s="105"/>
      <c r="X42" s="103"/>
      <c r="Y42" s="103"/>
      <c r="Z42" s="103"/>
      <c r="AA42" s="103"/>
      <c r="AB42" s="103"/>
      <c r="AC42" s="103"/>
      <c r="AD42" s="106"/>
      <c r="AE42" s="107"/>
      <c r="AF42" s="108"/>
      <c r="AG42" s="107"/>
      <c r="AH42" s="107"/>
      <c r="AI42" s="107"/>
      <c r="AJ42" s="441"/>
      <c r="AK42" s="237"/>
    </row>
    <row r="43" customFormat="false" ht="11.1" hidden="false" customHeight="true" outlineLevel="0" collapsed="false">
      <c r="A43" s="16" t="s">
        <v>69</v>
      </c>
      <c r="B43" s="399"/>
      <c r="C43" s="86"/>
      <c r="D43" s="86"/>
      <c r="E43" s="86"/>
      <c r="F43" s="400" t="n">
        <f aca="false">SUM(F12:F41)</f>
        <v>-3794.30299974792</v>
      </c>
      <c r="G43" s="88" t="n">
        <f aca="false">SUM(G12:G41)</f>
        <v>19850</v>
      </c>
      <c r="H43" s="92" t="n">
        <f aca="false">SUM(H12:H41)</f>
        <v>9.86</v>
      </c>
      <c r="I43" s="88" t="n">
        <f aca="false">SUM(I12:I41)</f>
        <v>19859.86</v>
      </c>
      <c r="J43" s="88" t="n">
        <f aca="false">SUM(J12:J41)</f>
        <v>613.226417948072</v>
      </c>
      <c r="K43" s="88" t="n">
        <f aca="false">SUM(K12:K41)</f>
        <v>20473.0864179481</v>
      </c>
      <c r="L43" s="88" t="n">
        <f aca="false">SUM(L12:L41)</f>
        <v>-442.16299974792</v>
      </c>
      <c r="M43" s="401" t="n">
        <f aca="false">SUM(M12:M41)</f>
        <v>9145</v>
      </c>
      <c r="N43" s="86" t="n">
        <f aca="false">SUM(N12:N41)</f>
        <v>5.04</v>
      </c>
      <c r="O43" s="90" t="n">
        <f aca="false">SUM(O12:O41)</f>
        <v>2579.6925</v>
      </c>
      <c r="P43" s="90" t="n">
        <f aca="false">SUM(P12:P41)</f>
        <v>71.1</v>
      </c>
      <c r="Q43" s="90" t="n">
        <f aca="false">SUM(Q12:Q41)</f>
        <v>126</v>
      </c>
      <c r="R43" s="90" t="n">
        <f aca="false">SUM(R12:R41)</f>
        <v>98.11</v>
      </c>
      <c r="S43" s="88" t="n">
        <f aca="false">SUM(S12:S41)</f>
        <v>3992</v>
      </c>
      <c r="T43" s="88" t="n">
        <f aca="false">SUM(T12:T41)</f>
        <v>2103</v>
      </c>
      <c r="U43" s="88" t="n">
        <f aca="false">SUM(U12:U41)</f>
        <v>12360.0575</v>
      </c>
      <c r="V43" s="88"/>
      <c r="W43" s="88"/>
      <c r="X43" s="88" t="n">
        <f aca="false">SUM(X12:X41)</f>
        <v>5939</v>
      </c>
      <c r="Y43" s="88" t="n">
        <f aca="false">SUM(Y12:Y41)</f>
        <v>2033</v>
      </c>
      <c r="Z43" s="88"/>
      <c r="AA43" s="88" t="n">
        <f aca="false">SUM(AA12:AA41)</f>
        <v>23212</v>
      </c>
      <c r="AB43" s="88" t="n">
        <f aca="false">SUM(AB12:AB41)</f>
        <v>1055.38941769599</v>
      </c>
      <c r="AC43" s="88" t="n">
        <f aca="false">SUM(AC12:AC41)</f>
        <v>24267.389417696</v>
      </c>
      <c r="AD43" s="89" t="n">
        <f aca="false">SUM(AD12:AD41)</f>
        <v>0.29</v>
      </c>
      <c r="AE43" s="90" t="n">
        <f aca="false">AVERAGE(AE12:AE41)</f>
        <v>80.8666666666667</v>
      </c>
      <c r="AF43" s="91" t="n">
        <f aca="false">AVERAGE(AF12:AF41)</f>
        <v>48.5333333333333</v>
      </c>
      <c r="AG43" s="92" t="s">
        <v>98</v>
      </c>
      <c r="AH43" s="88" t="n">
        <f aca="false">SUM(AH12:AH41)</f>
        <v>0</v>
      </c>
      <c r="AI43" s="117"/>
      <c r="AJ43" s="341"/>
      <c r="AK43" s="92" t="n">
        <f aca="false">SUM(AK12:AK41)</f>
        <v>64.06</v>
      </c>
    </row>
    <row r="44" customFormat="false" ht="11.1" hidden="false" customHeight="true" outlineLevel="0" collapsed="false">
      <c r="A44" s="16" t="s">
        <v>71</v>
      </c>
      <c r="B44" s="399"/>
      <c r="C44" s="86"/>
      <c r="D44" s="86" t="n">
        <f aca="false">SUM(D12:D41)</f>
        <v>-7526</v>
      </c>
      <c r="E44" s="86"/>
      <c r="F44" s="400" t="n">
        <f aca="false">F43*$D$2</f>
        <v>-7526</v>
      </c>
      <c r="G44" s="88" t="n">
        <f aca="false">G43*$D$2</f>
        <v>39372.475</v>
      </c>
      <c r="H44" s="92" t="n">
        <f aca="false">H43*$D$2</f>
        <v>19.55731</v>
      </c>
      <c r="I44" s="88" t="n">
        <f aca="false">I43*$D$2</f>
        <v>39392.03231</v>
      </c>
      <c r="J44" s="88" t="n">
        <f aca="false">J43*$D$2</f>
        <v>1216.3346</v>
      </c>
      <c r="K44" s="88" t="n">
        <f aca="false">K43*$D$2</f>
        <v>40608.36691</v>
      </c>
      <c r="L44" s="88" t="n">
        <f aca="false">L43*$D$2</f>
        <v>-877.03031</v>
      </c>
      <c r="M44" s="401" t="n">
        <f aca="false">M43*$D$2</f>
        <v>18139.1075</v>
      </c>
      <c r="N44" s="86" t="n">
        <f aca="false">N43*$D$2</f>
        <v>9.99684</v>
      </c>
      <c r="O44" s="90" t="n">
        <f aca="false">O43*$D$2</f>
        <v>5116.82007375</v>
      </c>
      <c r="P44" s="90" t="n">
        <f aca="false">P43*$D$2</f>
        <v>141.02685</v>
      </c>
      <c r="Q44" s="90" t="n">
        <f aca="false">Q43*$D$2</f>
        <v>249.921</v>
      </c>
      <c r="R44" s="90" t="n">
        <f aca="false">R43*$D$2</f>
        <v>194.601185</v>
      </c>
      <c r="S44" s="88" t="n">
        <f aca="false">S43*$D$2</f>
        <v>7918.132</v>
      </c>
      <c r="T44" s="88" t="n">
        <f aca="false">T43*$D$2</f>
        <v>4171.3005</v>
      </c>
      <c r="U44" s="88" t="n">
        <f aca="false">U43*$D$2</f>
        <v>24516.17405125</v>
      </c>
      <c r="V44" s="88"/>
      <c r="W44" s="88"/>
      <c r="X44" s="88" t="n">
        <f aca="false">X43*$D$2</f>
        <v>11780.0065</v>
      </c>
      <c r="Y44" s="88" t="n">
        <f aca="false">Y43*$D$2</f>
        <v>4032.4555</v>
      </c>
      <c r="Z44" s="88"/>
      <c r="AA44" s="88" t="n">
        <f aca="false">AA43*$D$2</f>
        <v>46041.002</v>
      </c>
      <c r="AB44" s="88" t="n">
        <f aca="false">AB43*$D$2</f>
        <v>2093.36491</v>
      </c>
      <c r="AC44" s="88" t="n">
        <f aca="false">AC43*$D$2</f>
        <v>48134.36691</v>
      </c>
      <c r="AD44" s="89"/>
      <c r="AE44" s="90" t="n">
        <f aca="false">MAX(AE12:AE41)</f>
        <v>88</v>
      </c>
      <c r="AF44" s="91" t="n">
        <f aca="false">MAX(AF12:AF41)</f>
        <v>54</v>
      </c>
      <c r="AG44" s="92" t="s">
        <v>72</v>
      </c>
      <c r="AH44" s="88" t="n">
        <f aca="false">AH43*$D$2</f>
        <v>0</v>
      </c>
      <c r="AI44" s="117"/>
      <c r="AJ44" s="341" t="n">
        <f aca="false">SUM(AJ12:AJ41)</f>
        <v>205.777232914884</v>
      </c>
      <c r="AK44" s="218" t="n">
        <f aca="false">AK43*$D$2</f>
        <v>127.06301</v>
      </c>
    </row>
    <row r="45" customFormat="false" ht="3" hidden="false" customHeight="true" outlineLevel="0" collapsed="false">
      <c r="A45" s="122"/>
      <c r="B45" s="416"/>
      <c r="C45" s="105"/>
      <c r="D45" s="105"/>
      <c r="E45" s="105"/>
      <c r="F45" s="417"/>
      <c r="G45" s="105"/>
      <c r="H45" s="107"/>
      <c r="I45" s="105"/>
      <c r="J45" s="105"/>
      <c r="K45" s="105"/>
      <c r="L45" s="105"/>
      <c r="M45" s="418"/>
      <c r="N45" s="105"/>
      <c r="O45" s="107"/>
      <c r="P45" s="408"/>
      <c r="Q45" s="408"/>
      <c r="R45" s="125"/>
      <c r="S45" s="105"/>
      <c r="T45" s="105"/>
      <c r="U45" s="105"/>
      <c r="V45" s="105"/>
      <c r="W45" s="105"/>
      <c r="X45" s="105"/>
      <c r="Y45" s="105"/>
      <c r="Z45" s="103"/>
      <c r="AA45" s="105"/>
      <c r="AB45" s="105"/>
      <c r="AC45" s="105"/>
      <c r="AD45" s="419"/>
      <c r="AE45" s="105"/>
      <c r="AF45" s="417"/>
      <c r="AG45" s="105"/>
      <c r="AH45" s="105"/>
      <c r="AI45" s="105"/>
      <c r="AJ45" s="441"/>
      <c r="AK45" s="237"/>
    </row>
    <row r="46" customFormat="false" ht="11.1" hidden="false" customHeight="true" outlineLevel="0" collapsed="false">
      <c r="A46" s="16" t="s">
        <v>73</v>
      </c>
      <c r="B46" s="399"/>
      <c r="C46" s="86"/>
      <c r="D46" s="86"/>
      <c r="E46" s="86"/>
      <c r="F46" s="400" t="n">
        <f aca="false">F9+F43</f>
        <v>52911.5200403327</v>
      </c>
      <c r="G46" s="88" t="n">
        <f aca="false">G9+G43</f>
        <v>88349</v>
      </c>
      <c r="H46" s="92" t="n">
        <f aca="false">H9+H43</f>
        <v>1946.56</v>
      </c>
      <c r="I46" s="88" t="n">
        <f aca="false">I9+I43</f>
        <v>90295.56</v>
      </c>
      <c r="J46" s="88" t="n">
        <f aca="false">J9+J43</f>
        <v>8232.70292412402</v>
      </c>
      <c r="K46" s="88" t="n">
        <f aca="false">K9+K43</f>
        <v>98528.262924124</v>
      </c>
      <c r="L46" s="88" t="n">
        <f aca="false">L9+L43</f>
        <v>6944.16004033274</v>
      </c>
      <c r="M46" s="401" t="n">
        <f aca="false">M9+M43</f>
        <v>19597.2</v>
      </c>
      <c r="N46" s="86" t="n">
        <f aca="false">N9+N43</f>
        <v>11.59</v>
      </c>
      <c r="O46" s="90" t="n">
        <f aca="false">O9+O43</f>
        <v>6729.5025</v>
      </c>
      <c r="P46" s="469"/>
      <c r="Q46" s="469"/>
      <c r="R46" s="87"/>
      <c r="S46" s="88" t="n">
        <f aca="false">S9+S43</f>
        <v>6176</v>
      </c>
      <c r="T46" s="88" t="n">
        <f aca="false">T9+T43</f>
        <v>4172.7</v>
      </c>
      <c r="U46" s="88" t="n">
        <f aca="false">U9+U43</f>
        <v>22559.7725</v>
      </c>
      <c r="V46" s="472" t="n">
        <f aca="false">V41</f>
        <v>16275.5607193787</v>
      </c>
      <c r="W46" s="472"/>
      <c r="X46" s="88" t="n">
        <f aca="false">X9+X43</f>
        <v>10150.3</v>
      </c>
      <c r="Y46" s="88"/>
      <c r="Z46" s="472"/>
      <c r="AA46" s="88" t="n">
        <f aca="false">AA9+AA43</f>
        <v>44328.2</v>
      </c>
      <c r="AB46" s="88" t="n">
        <f aca="false">AB9+AB43</f>
        <v>1288.54288379128</v>
      </c>
      <c r="AC46" s="88" t="n">
        <f aca="false">AC9+AC43</f>
        <v>45616.7428837913</v>
      </c>
      <c r="AD46" s="89"/>
      <c r="AE46" s="90" t="n">
        <f aca="false">MIN(AE12:AE41)</f>
        <v>67</v>
      </c>
      <c r="AF46" s="91" t="n">
        <f aca="false">MIN(AF12:AF41)</f>
        <v>40</v>
      </c>
      <c r="AG46" s="92" t="s">
        <v>74</v>
      </c>
      <c r="AH46" s="92"/>
      <c r="AI46" s="117"/>
      <c r="AJ46" s="341"/>
      <c r="AK46" s="341" t="n">
        <f aca="false">AK9+AK43</f>
        <v>64.06</v>
      </c>
    </row>
    <row r="47" customFormat="false" ht="11.1" hidden="false" customHeight="true" outlineLevel="0" collapsed="false">
      <c r="A47" s="16" t="s">
        <v>75</v>
      </c>
      <c r="B47" s="399"/>
      <c r="C47" s="86"/>
      <c r="D47" s="86"/>
      <c r="E47" s="86"/>
      <c r="F47" s="400" t="n">
        <f aca="false">F46*$D$2</f>
        <v>104950</v>
      </c>
      <c r="G47" s="88" t="n">
        <f aca="false">G46*$D$2</f>
        <v>175240.2415</v>
      </c>
      <c r="H47" s="92" t="n">
        <f aca="false">H46*$D$2</f>
        <v>3861.00176</v>
      </c>
      <c r="I47" s="88" t="n">
        <f aca="false">I46*$D$2</f>
        <v>179101.24326</v>
      </c>
      <c r="J47" s="88" t="n">
        <f aca="false">J46*$D$2</f>
        <v>16329.56625</v>
      </c>
      <c r="K47" s="88" t="n">
        <f aca="false">K46*$D$2</f>
        <v>195430.80951</v>
      </c>
      <c r="L47" s="88" t="n">
        <f aca="false">L46*$D$2</f>
        <v>13773.74144</v>
      </c>
      <c r="M47" s="401" t="n">
        <f aca="false">M46*$D$2</f>
        <v>38871.0462</v>
      </c>
      <c r="N47" s="86" t="n">
        <f aca="false">N46*$D$2</f>
        <v>22.988765</v>
      </c>
      <c r="O47" s="90" t="n">
        <f aca="false">O46*$D$2</f>
        <v>13347.96820875</v>
      </c>
      <c r="P47" s="469"/>
      <c r="Q47" s="469"/>
      <c r="R47" s="87"/>
      <c r="S47" s="88" t="n">
        <f aca="false">S46*$D$2</f>
        <v>12250.096</v>
      </c>
      <c r="T47" s="88" t="n">
        <f aca="false">T46*$D$2</f>
        <v>8276.55045</v>
      </c>
      <c r="U47" s="88" t="n">
        <f aca="false">U46*$D$2</f>
        <v>44747.30875375</v>
      </c>
      <c r="V47" s="88" t="n">
        <f aca="false">V46*$D$2</f>
        <v>32282.5746868877</v>
      </c>
      <c r="W47" s="88"/>
      <c r="X47" s="88" t="n">
        <f aca="false">X46*$D$2</f>
        <v>20133.12005</v>
      </c>
      <c r="Y47" s="88"/>
      <c r="Z47" s="88"/>
      <c r="AA47" s="88" t="n">
        <f aca="false">AA46*$D$2</f>
        <v>87924.9847</v>
      </c>
      <c r="AB47" s="88" t="n">
        <f aca="false">AB46*$D$2</f>
        <v>2555.82481</v>
      </c>
      <c r="AC47" s="88" t="n">
        <f aca="false">AC46*$D$2</f>
        <v>90480.80951</v>
      </c>
      <c r="AD47" s="89"/>
      <c r="AE47" s="90"/>
      <c r="AF47" s="91"/>
      <c r="AG47" s="92"/>
      <c r="AH47" s="92"/>
      <c r="AI47" s="117"/>
      <c r="AJ47" s="341" t="n">
        <f aca="false">AJ9+AJ44</f>
        <v>798.890884612355</v>
      </c>
      <c r="AK47" s="92" t="n">
        <f aca="false">AK46*$D$2</f>
        <v>127.06301</v>
      </c>
    </row>
    <row r="48" customFormat="false" ht="3" hidden="false" customHeight="true" outlineLevel="0" collapsed="false">
      <c r="A48" s="122"/>
      <c r="B48" s="416"/>
      <c r="C48" s="105"/>
      <c r="D48" s="105"/>
      <c r="E48" s="105"/>
      <c r="F48" s="417"/>
      <c r="G48" s="105"/>
      <c r="H48" s="107"/>
      <c r="I48" s="105"/>
      <c r="J48" s="105"/>
      <c r="K48" s="105"/>
      <c r="L48" s="105"/>
      <c r="M48" s="418"/>
      <c r="N48" s="105"/>
      <c r="O48" s="107"/>
      <c r="P48" s="408"/>
      <c r="Q48" s="408"/>
      <c r="R48" s="12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6"/>
      <c r="AE48" s="420"/>
      <c r="AF48" s="421"/>
      <c r="AG48" s="420"/>
      <c r="AH48" s="420"/>
      <c r="AI48" s="420"/>
      <c r="AJ48" s="441"/>
      <c r="AK48" s="237"/>
    </row>
    <row r="49" customFormat="false" ht="11.1" hidden="false" customHeight="true" outlineLevel="0" collapsed="false">
      <c r="A49" s="16" t="s">
        <v>76</v>
      </c>
      <c r="B49" s="399"/>
      <c r="C49" s="86"/>
      <c r="D49" s="86"/>
      <c r="E49" s="86"/>
      <c r="F49" s="400" t="n">
        <f aca="false">F10+F43</f>
        <v>60426.5187799345</v>
      </c>
      <c r="G49" s="88" t="n">
        <f aca="false">G10+G43</f>
        <v>102477</v>
      </c>
      <c r="H49" s="92" t="n">
        <f aca="false">H10+H43</f>
        <v>2250.16</v>
      </c>
      <c r="I49" s="88" t="n">
        <f aca="false">I10+I43</f>
        <v>104727.16</v>
      </c>
      <c r="J49" s="88" t="n">
        <f aca="false">J10+J43</f>
        <v>13870.3060713385</v>
      </c>
      <c r="K49" s="88" t="n">
        <f aca="false">K10+K43</f>
        <v>118597.466071339</v>
      </c>
      <c r="L49" s="88" t="n">
        <f aca="false">L10+L43</f>
        <v>12357.0137799345</v>
      </c>
      <c r="M49" s="401" t="n">
        <f aca="false">M10+M43</f>
        <v>20572.6</v>
      </c>
      <c r="N49" s="86" t="n">
        <f aca="false">N10+N43</f>
        <v>11.59</v>
      </c>
      <c r="O49" s="90" t="n">
        <f aca="false">O10+O43</f>
        <v>6729.5025</v>
      </c>
      <c r="P49" s="90" t="n">
        <f aca="false">P10+P43</f>
        <v>390.484</v>
      </c>
      <c r="Q49" s="90" t="n">
        <f aca="false">Q10+Q43</f>
        <v>739.484</v>
      </c>
      <c r="R49" s="90" t="n">
        <f aca="false">R10+R43</f>
        <v>160.52</v>
      </c>
      <c r="S49" s="88" t="n">
        <f aca="false">S10+S43</f>
        <v>14156.2</v>
      </c>
      <c r="T49" s="88" t="n">
        <f aca="false">T10+T43</f>
        <v>4308.7</v>
      </c>
      <c r="U49" s="88" t="n">
        <f aca="false">U10+U43</f>
        <v>30999.84999</v>
      </c>
      <c r="V49" s="88"/>
      <c r="W49" s="88"/>
      <c r="X49" s="88" t="n">
        <f aca="false">X10+X43</f>
        <v>10150.3</v>
      </c>
      <c r="Y49" s="88" t="n">
        <f aca="false">Y10+Y43</f>
        <v>7438</v>
      </c>
      <c r="Z49" s="88" t="n">
        <f aca="false">Z41</f>
        <v>11462.9836148223</v>
      </c>
      <c r="AA49" s="88" t="n">
        <f aca="false">AA10+AA43</f>
        <v>56657.655</v>
      </c>
      <c r="AB49" s="88" t="n">
        <f aca="false">AB10+AB43</f>
        <v>1513.29229140408</v>
      </c>
      <c r="AC49" s="88" t="n">
        <f aca="false">AC10+AC43</f>
        <v>58170.9472914041</v>
      </c>
      <c r="AD49" s="89" t="n">
        <f aca="false">AD10+AD43</f>
        <v>9.7</v>
      </c>
      <c r="AE49" s="90"/>
      <c r="AF49" s="91"/>
      <c r="AG49" s="92"/>
      <c r="AH49" s="88" t="n">
        <f aca="false">AH10+AH43</f>
        <v>346.51</v>
      </c>
      <c r="AI49" s="117"/>
      <c r="AJ49" s="341"/>
      <c r="AK49" s="92" t="n">
        <f aca="false">AK10+AK43</f>
        <v>64.06</v>
      </c>
    </row>
    <row r="50" customFormat="false" ht="11.1" hidden="false" customHeight="true" outlineLevel="0" collapsed="false">
      <c r="A50" s="16" t="s">
        <v>77</v>
      </c>
      <c r="B50" s="399"/>
      <c r="C50" s="86"/>
      <c r="D50" s="86" t="n">
        <f aca="false">D10+D44</f>
        <v>119856</v>
      </c>
      <c r="E50" s="86" t="n">
        <f aca="false">E41</f>
        <v>141799</v>
      </c>
      <c r="F50" s="400" t="n">
        <f aca="false">F49*$D$2</f>
        <v>119856</v>
      </c>
      <c r="G50" s="88" t="n">
        <f aca="false">G49*$D$2</f>
        <v>203263.1295</v>
      </c>
      <c r="H50" s="92" t="n">
        <f aca="false">H49*$D$2</f>
        <v>4463.19236</v>
      </c>
      <c r="I50" s="88" t="n">
        <f aca="false">I49*$D$2</f>
        <v>207726.32186</v>
      </c>
      <c r="J50" s="88" t="n">
        <f aca="false">J49*$D$2</f>
        <v>27511.7520925</v>
      </c>
      <c r="K50" s="88" t="n">
        <f aca="false">K49*$D$2</f>
        <v>235238.0739525</v>
      </c>
      <c r="L50" s="88" t="n">
        <f aca="false">L49*$D$2</f>
        <v>24510.1368325</v>
      </c>
      <c r="M50" s="401" t="n">
        <f aca="false">M49*$D$2</f>
        <v>40805.7521</v>
      </c>
      <c r="N50" s="86" t="n">
        <f aca="false">N49*$D$2</f>
        <v>22.988765</v>
      </c>
      <c r="O50" s="90" t="n">
        <f aca="false">O49*$D$2</f>
        <v>13347.96820875</v>
      </c>
      <c r="P50" s="90" t="n">
        <f aca="false">P49*$D$2</f>
        <v>774.525014</v>
      </c>
      <c r="Q50" s="90" t="n">
        <f aca="false">Q49*$D$2</f>
        <v>1466.766514</v>
      </c>
      <c r="R50" s="90" t="n">
        <f aca="false">R49*$D$2</f>
        <v>318.39142</v>
      </c>
      <c r="S50" s="88" t="n">
        <f aca="false">S49*$D$2</f>
        <v>28078.8227</v>
      </c>
      <c r="T50" s="88" t="n">
        <f aca="false">T49*$D$2</f>
        <v>8546.30645</v>
      </c>
      <c r="U50" s="88" t="n">
        <f aca="false">U49*$D$2</f>
        <v>61488.202455165</v>
      </c>
      <c r="V50" s="88"/>
      <c r="W50" s="88"/>
      <c r="X50" s="88" t="n">
        <f aca="false">X49*$D$2</f>
        <v>20133.12005</v>
      </c>
      <c r="Y50" s="88" t="n">
        <f aca="false">Y49*$D$2</f>
        <v>14753.273</v>
      </c>
      <c r="Z50" s="88" t="n">
        <f aca="false">Z49*$D$2</f>
        <v>22736.828</v>
      </c>
      <c r="AA50" s="88" t="n">
        <f aca="false">AA49*$D$2</f>
        <v>112380.4586925</v>
      </c>
      <c r="AB50" s="88" t="n">
        <f aca="false">AB49*$D$2</f>
        <v>3001.61526</v>
      </c>
      <c r="AC50" s="88" t="n">
        <f aca="false">AC49*$D$2</f>
        <v>115382.0739525</v>
      </c>
      <c r="AD50" s="89"/>
      <c r="AE50" s="90"/>
      <c r="AF50" s="91"/>
      <c r="AG50" s="92" t="n">
        <f aca="false">AG41</f>
        <v>0</v>
      </c>
      <c r="AH50" s="88" t="n">
        <f aca="false">AH49*$D$2</f>
        <v>687.302585</v>
      </c>
      <c r="AI50" s="117"/>
      <c r="AJ50" s="341" t="n">
        <f aca="false">AJ10+AJ44</f>
        <v>798.890884612355</v>
      </c>
      <c r="AK50" s="92" t="n">
        <f aca="false">AK49*$D$2</f>
        <v>127.06301</v>
      </c>
    </row>
    <row r="51" customFormat="false" ht="3" hidden="false" customHeight="true" outlineLevel="0" collapsed="false">
      <c r="A51" s="97"/>
      <c r="B51" s="416"/>
      <c r="C51" s="105"/>
      <c r="D51" s="103"/>
      <c r="E51" s="105"/>
      <c r="F51" s="405"/>
      <c r="G51" s="103"/>
      <c r="H51" s="408"/>
      <c r="I51" s="103"/>
      <c r="J51" s="103"/>
      <c r="K51" s="473"/>
      <c r="L51" s="103"/>
      <c r="M51" s="407"/>
      <c r="N51" s="103"/>
      <c r="O51" s="408"/>
      <c r="P51" s="408"/>
      <c r="Q51" s="408"/>
      <c r="R51" s="104"/>
      <c r="S51" s="103"/>
      <c r="T51" s="103"/>
      <c r="U51" s="103"/>
      <c r="V51" s="105"/>
      <c r="W51" s="105"/>
      <c r="X51" s="103"/>
      <c r="Y51" s="103"/>
      <c r="Z51" s="105"/>
      <c r="AA51" s="103"/>
      <c r="AB51" s="103"/>
      <c r="AC51" s="103"/>
      <c r="AD51" s="416"/>
      <c r="AE51" s="103"/>
      <c r="AF51" s="405"/>
      <c r="AG51" s="103"/>
      <c r="AH51" s="103"/>
      <c r="AI51" s="103"/>
      <c r="AJ51" s="441"/>
      <c r="AK51" s="441"/>
    </row>
    <row r="52" customFormat="false" ht="14.1" hidden="false" customHeight="true" outlineLevel="0" collapsed="false">
      <c r="A52" s="131"/>
      <c r="B52" s="133"/>
      <c r="C52" s="9"/>
      <c r="D52" s="8"/>
      <c r="E52" s="474"/>
      <c r="H52" s="112"/>
      <c r="I52" s="8"/>
      <c r="J52" s="8"/>
      <c r="K52" s="475"/>
      <c r="L52" s="146"/>
      <c r="M52" s="8"/>
      <c r="N52" s="8"/>
      <c r="O52" s="112"/>
      <c r="P52" s="112"/>
      <c r="Q52" s="112"/>
      <c r="R52" s="8"/>
      <c r="S52" s="8"/>
      <c r="T52" s="8"/>
      <c r="U52" s="8"/>
      <c r="V52" s="476"/>
      <c r="W52" s="476"/>
      <c r="X52" s="8"/>
      <c r="Y52" s="8"/>
      <c r="Z52" s="474"/>
      <c r="AA52" s="8"/>
      <c r="AB52" s="8"/>
      <c r="AC52" s="8"/>
      <c r="AD52" s="13"/>
      <c r="AE52" s="14"/>
      <c r="AF52" s="14"/>
      <c r="AG52" s="15"/>
      <c r="AH52" s="15"/>
      <c r="AI52" s="463"/>
      <c r="AJ52" s="452"/>
    </row>
    <row r="53" customFormat="false" ht="11.1" hidden="false" customHeight="true" outlineLevel="0" collapsed="false">
      <c r="A53" s="8"/>
      <c r="B53" s="133"/>
      <c r="C53" s="9"/>
      <c r="D53" s="134"/>
      <c r="E53" s="453"/>
      <c r="F53" s="477"/>
      <c r="H53" s="112"/>
      <c r="I53" s="10"/>
      <c r="J53" s="8"/>
      <c r="K53" s="135"/>
      <c r="L53" s="149"/>
      <c r="M53" s="8"/>
      <c r="N53" s="8"/>
      <c r="O53" s="112"/>
      <c r="P53" s="112"/>
      <c r="Q53" s="112"/>
      <c r="R53" s="114"/>
      <c r="S53" s="478"/>
      <c r="T53" s="114"/>
      <c r="U53" s="479"/>
      <c r="V53" s="146"/>
      <c r="W53" s="146"/>
      <c r="X53" s="478"/>
      <c r="Y53" s="8"/>
      <c r="Z53" s="9"/>
      <c r="AA53" s="8"/>
      <c r="AB53" s="8"/>
      <c r="AC53" s="8"/>
      <c r="AD53" s="13"/>
      <c r="AE53" s="14"/>
      <c r="AF53" s="14"/>
      <c r="AG53" s="15"/>
      <c r="AH53" s="15"/>
      <c r="AI53" s="463"/>
    </row>
    <row r="54" customFormat="false" ht="11.1" hidden="false" customHeight="true" outlineLevel="0" collapsed="false">
      <c r="B54" s="146"/>
      <c r="C54" s="138"/>
      <c r="D54" s="137"/>
      <c r="E54" s="453"/>
      <c r="F54" s="454"/>
      <c r="H54" s="112"/>
      <c r="I54" s="134"/>
      <c r="J54" s="134"/>
      <c r="K54" s="480"/>
      <c r="L54" s="457"/>
      <c r="M54" s="481"/>
      <c r="N54" s="481"/>
      <c r="O54" s="482"/>
      <c r="P54" s="482"/>
      <c r="Q54" s="482"/>
      <c r="R54" s="425"/>
      <c r="S54" s="478"/>
      <c r="T54" s="114"/>
      <c r="U54" s="83"/>
      <c r="V54" s="146"/>
      <c r="W54" s="146"/>
      <c r="X54" s="146"/>
      <c r="Y54" s="9"/>
      <c r="Z54" s="478"/>
      <c r="AA54" s="134"/>
      <c r="AB54" s="134"/>
      <c r="AC54" s="12"/>
      <c r="AD54" s="13"/>
      <c r="AE54" s="14"/>
      <c r="AF54" s="15"/>
      <c r="AG54" s="483"/>
      <c r="AH54" s="483"/>
      <c r="AI54" s="483"/>
    </row>
    <row r="55" customFormat="false" ht="11.1" hidden="false" customHeight="true" outlineLevel="0" collapsed="false">
      <c r="A55" s="134"/>
      <c r="B55" s="257"/>
      <c r="C55" s="146"/>
      <c r="D55" s="146"/>
      <c r="E55" s="453"/>
      <c r="H55" s="149"/>
      <c r="J55" s="134"/>
      <c r="K55" s="480"/>
      <c r="L55" s="149"/>
      <c r="M55" s="112"/>
      <c r="N55" s="112"/>
      <c r="O55" s="149"/>
      <c r="P55" s="149"/>
      <c r="Q55" s="149"/>
      <c r="R55" s="425"/>
      <c r="S55" s="425"/>
      <c r="T55" s="425"/>
      <c r="U55" s="83"/>
      <c r="V55" s="152"/>
      <c r="W55" s="152"/>
      <c r="X55" s="146"/>
      <c r="Y55" s="9"/>
      <c r="Z55" s="146"/>
      <c r="AA55" s="134"/>
      <c r="AB55" s="134"/>
      <c r="AC55" s="12"/>
      <c r="AD55" s="13"/>
      <c r="AE55" s="14"/>
      <c r="AF55" s="15"/>
      <c r="AG55" s="483"/>
      <c r="AH55" s="483"/>
      <c r="AI55" s="483"/>
    </row>
    <row r="56" customFormat="false" ht="11.1" hidden="false" customHeight="true" outlineLevel="0" collapsed="false">
      <c r="A56" s="134"/>
      <c r="B56" s="150"/>
      <c r="C56" s="146"/>
      <c r="D56" s="146"/>
      <c r="E56" s="453"/>
      <c r="F56" s="459"/>
      <c r="G56" s="257"/>
      <c r="H56" s="112"/>
      <c r="I56" s="134"/>
      <c r="J56" s="134"/>
      <c r="K56" s="135"/>
      <c r="L56" s="134"/>
      <c r="M56" s="112"/>
      <c r="N56" s="112"/>
      <c r="O56" s="112"/>
      <c r="P56" s="112"/>
      <c r="Q56" s="112"/>
      <c r="R56" s="134"/>
      <c r="S56" s="134"/>
      <c r="T56" s="134"/>
      <c r="U56" s="9"/>
      <c r="V56" s="9"/>
      <c r="W56" s="9"/>
      <c r="X56" s="134"/>
      <c r="Y56" s="9"/>
      <c r="Z56" s="134"/>
      <c r="AA56" s="134"/>
      <c r="AB56" s="134"/>
      <c r="AC56" s="12"/>
      <c r="AD56" s="13"/>
      <c r="AE56" s="14"/>
      <c r="AF56" s="15"/>
      <c r="AG56" s="483"/>
      <c r="AH56" s="483"/>
      <c r="AI56" s="483"/>
    </row>
    <row r="57" customFormat="false" ht="11.1" hidden="false" customHeight="true" outlineLevel="0" collapsed="false">
      <c r="T57" s="134"/>
      <c r="U57" s="9"/>
    </row>
    <row r="58" customFormat="false" ht="11.1" hidden="false" customHeight="true" outlineLevel="0" collapsed="false">
      <c r="B58" s="132"/>
    </row>
  </sheetData>
  <mergeCells count="2">
    <mergeCell ref="K2:Y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I17" activeCellId="0" sqref="AI17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140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7" min="16" style="140" width="4.32"/>
    <col collapsed="false" customWidth="true" hidden="false" outlineLevel="0" max="18" min="18" style="137" width="4.32"/>
    <col collapsed="false" customWidth="true" hidden="false" outlineLevel="0" max="20" min="19" style="137" width="5.49"/>
    <col collapsed="false" customWidth="true" hidden="false" outlineLevel="0" max="21" min="21" style="138" width="6.32"/>
    <col collapsed="false" customWidth="true" hidden="false" outlineLevel="0" max="24" min="22" style="137" width="5.49"/>
    <col collapsed="false" customWidth="true" hidden="false" outlineLevel="0" max="25" min="25" style="138" width="5.49"/>
    <col collapsed="false" customWidth="true" hidden="false" outlineLevel="0" max="26" min="26" style="137" width="5.49"/>
    <col collapsed="false" customWidth="true" hidden="false" outlineLevel="0" max="27" min="27" style="137" width="6.32"/>
    <col collapsed="false" customWidth="true" hidden="false" outlineLevel="0" max="28" min="28" style="137" width="6.99"/>
    <col collapsed="false" customWidth="true" hidden="false" outlineLevel="0" max="29" min="29" style="141" width="6.99"/>
    <col collapsed="false" customWidth="true" hidden="false" outlineLevel="0" max="30" min="30" style="142" width="5.32"/>
    <col collapsed="false" customWidth="true" hidden="false" outlineLevel="0" max="31" min="31" style="142" width="3.82"/>
    <col collapsed="false" customWidth="true" hidden="false" outlineLevel="0" max="32" min="32" style="143" width="3.82"/>
    <col collapsed="false" customWidth="true" hidden="false" outlineLevel="0" max="34" min="33" style="137" width="5.49"/>
    <col collapsed="false" customWidth="true" hidden="false" outlineLevel="0" max="35" min="35" style="140" width="6.32"/>
    <col collapsed="false" customWidth="true" hidden="false" outlineLevel="0" max="36" min="36" style="484" width="6.32"/>
    <col collapsed="false" customWidth="true" hidden="false" outlineLevel="0" max="37" min="37" style="143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8"/>
      <c r="B1" s="8"/>
      <c r="C1" s="9"/>
      <c r="D1" s="8"/>
      <c r="E1" s="9"/>
      <c r="F1" s="8"/>
      <c r="G1" s="8"/>
      <c r="H1" s="112"/>
      <c r="I1" s="8"/>
      <c r="J1" s="8"/>
      <c r="K1" s="11" t="s">
        <v>0</v>
      </c>
      <c r="L1" s="8"/>
      <c r="M1" s="8"/>
      <c r="N1" s="8"/>
      <c r="O1" s="8"/>
      <c r="P1" s="8"/>
      <c r="Q1" s="8"/>
      <c r="R1" s="8"/>
      <c r="S1" s="8"/>
      <c r="T1" s="8"/>
      <c r="U1" s="9"/>
      <c r="V1" s="8"/>
      <c r="W1" s="8"/>
      <c r="X1" s="8"/>
      <c r="Y1" s="9"/>
      <c r="Z1" s="8"/>
      <c r="AA1" s="8"/>
      <c r="AB1" s="8"/>
      <c r="AC1" s="12"/>
      <c r="AD1" s="13"/>
      <c r="AE1" s="14"/>
      <c r="AF1" s="15"/>
      <c r="AG1" s="463"/>
      <c r="AH1" s="463"/>
      <c r="AI1" s="485"/>
      <c r="AK1" s="5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6" t="s">
        <v>1</v>
      </c>
      <c r="B2" s="8"/>
      <c r="C2" s="9"/>
      <c r="D2" s="17" t="n">
        <v>1.9835</v>
      </c>
      <c r="E2" s="9"/>
      <c r="F2" s="8"/>
      <c r="G2" s="8"/>
      <c r="H2" s="112"/>
      <c r="I2" s="8"/>
      <c r="J2" s="8"/>
      <c r="K2" s="464" t="s">
        <v>104</v>
      </c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8"/>
      <c r="AA2" s="8"/>
      <c r="AB2" s="8"/>
      <c r="AC2" s="12"/>
      <c r="AD2" s="13"/>
      <c r="AE2" s="14"/>
      <c r="AF2" s="15"/>
      <c r="AG2" s="463"/>
      <c r="AH2" s="463"/>
      <c r="AI2" s="485"/>
      <c r="AK2" s="5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8"/>
      <c r="B3" s="18"/>
      <c r="C3" s="19"/>
      <c r="D3" s="20"/>
      <c r="E3" s="19"/>
      <c r="F3" s="18"/>
      <c r="G3" s="18"/>
      <c r="H3" s="465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  <c r="V3" s="18"/>
      <c r="W3" s="18"/>
      <c r="X3" s="18"/>
      <c r="Y3" s="19"/>
      <c r="Z3" s="18"/>
      <c r="AA3" s="18"/>
      <c r="AB3" s="18"/>
      <c r="AC3" s="22"/>
      <c r="AD3" s="23"/>
      <c r="AE3" s="24"/>
      <c r="AF3" s="25"/>
      <c r="AG3" s="466"/>
      <c r="AH3" s="466"/>
      <c r="AI3" s="486"/>
      <c r="AK3" s="5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41" customFormat="true" ht="14.1" hidden="false" customHeight="true" outlineLevel="0" collapsed="false">
      <c r="A4" s="29"/>
      <c r="B4" s="30"/>
      <c r="C4" s="31"/>
      <c r="D4" s="375" t="s">
        <v>3</v>
      </c>
      <c r="E4" s="31"/>
      <c r="F4" s="33"/>
      <c r="G4" s="29"/>
      <c r="H4" s="467"/>
      <c r="I4" s="29"/>
      <c r="J4" s="29"/>
      <c r="K4" s="29"/>
      <c r="L4" s="29"/>
      <c r="M4" s="29"/>
      <c r="N4" s="29"/>
      <c r="O4" s="29"/>
      <c r="P4" s="29"/>
      <c r="Q4" s="29"/>
      <c r="R4" s="29"/>
      <c r="S4" s="35" t="s">
        <v>4</v>
      </c>
      <c r="T4" s="29"/>
      <c r="U4" s="36"/>
      <c r="V4" s="29"/>
      <c r="W4" s="29"/>
      <c r="X4" s="29"/>
      <c r="Y4" s="36"/>
      <c r="Z4" s="29"/>
      <c r="AA4" s="29"/>
      <c r="AB4" s="29"/>
      <c r="AC4" s="37"/>
      <c r="AD4" s="38"/>
      <c r="AE4" s="39" t="s">
        <v>5</v>
      </c>
      <c r="AF4" s="40"/>
      <c r="AG4" s="382"/>
      <c r="AH4" s="382"/>
      <c r="AI4" s="174" t="s">
        <v>6</v>
      </c>
      <c r="AJ4" s="384"/>
      <c r="AK4" s="379"/>
    </row>
    <row r="5" s="490" customFormat="true" ht="11.1" hidden="false" customHeight="true" outlineLevel="0" collapsed="false">
      <c r="A5" s="209" t="s">
        <v>7</v>
      </c>
      <c r="B5" s="432" t="s">
        <v>8</v>
      </c>
      <c r="C5" s="205" t="s">
        <v>8</v>
      </c>
      <c r="D5" s="209" t="s">
        <v>9</v>
      </c>
      <c r="E5" s="205" t="s">
        <v>10</v>
      </c>
      <c r="F5" s="487" t="s">
        <v>11</v>
      </c>
      <c r="G5" s="435" t="s">
        <v>12</v>
      </c>
      <c r="H5" s="488" t="s">
        <v>13</v>
      </c>
      <c r="I5" s="435" t="s">
        <v>14</v>
      </c>
      <c r="J5" s="435" t="s">
        <v>15</v>
      </c>
      <c r="K5" s="435" t="s">
        <v>16</v>
      </c>
      <c r="L5" s="209" t="s">
        <v>15</v>
      </c>
      <c r="M5" s="190" t="s">
        <v>17</v>
      </c>
      <c r="N5" s="190"/>
      <c r="O5" s="190"/>
      <c r="P5" s="190"/>
      <c r="Q5" s="190"/>
      <c r="R5" s="190"/>
      <c r="S5" s="386" t="s">
        <v>18</v>
      </c>
      <c r="T5" s="386" t="s">
        <v>19</v>
      </c>
      <c r="U5" s="386" t="s">
        <v>16</v>
      </c>
      <c r="V5" s="73" t="s">
        <v>20</v>
      </c>
      <c r="W5" s="205" t="s">
        <v>20</v>
      </c>
      <c r="X5" s="386" t="s">
        <v>21</v>
      </c>
      <c r="Y5" s="386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489" t="s">
        <v>24</v>
      </c>
      <c r="AE5" s="201" t="s">
        <v>25</v>
      </c>
      <c r="AF5" s="325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61" t="s">
        <v>28</v>
      </c>
    </row>
    <row r="6" s="490" customFormat="true" ht="11.1" hidden="false" customHeight="true" outlineLevel="0" collapsed="false">
      <c r="A6" s="436" t="s">
        <v>105</v>
      </c>
      <c r="B6" s="432" t="s">
        <v>30</v>
      </c>
      <c r="C6" s="205" t="s">
        <v>9</v>
      </c>
      <c r="D6" s="209" t="s">
        <v>31</v>
      </c>
      <c r="E6" s="205" t="s">
        <v>32</v>
      </c>
      <c r="F6" s="487" t="s">
        <v>33</v>
      </c>
      <c r="G6" s="435" t="s">
        <v>34</v>
      </c>
      <c r="H6" s="488" t="s">
        <v>35</v>
      </c>
      <c r="I6" s="435" t="s">
        <v>36</v>
      </c>
      <c r="J6" s="435" t="s">
        <v>36</v>
      </c>
      <c r="K6" s="435" t="s">
        <v>36</v>
      </c>
      <c r="L6" s="209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9" t="s">
        <v>42</v>
      </c>
      <c r="R6" s="210" t="s">
        <v>43</v>
      </c>
      <c r="S6" s="386" t="s">
        <v>44</v>
      </c>
      <c r="T6" s="386" t="s">
        <v>45</v>
      </c>
      <c r="U6" s="386" t="s">
        <v>20</v>
      </c>
      <c r="V6" s="73" t="s">
        <v>83</v>
      </c>
      <c r="W6" s="205" t="s">
        <v>65</v>
      </c>
      <c r="X6" s="386" t="s">
        <v>48</v>
      </c>
      <c r="Y6" s="386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491"/>
      <c r="AE6" s="201" t="s">
        <v>52</v>
      </c>
      <c r="AF6" s="325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61" t="s">
        <v>56</v>
      </c>
    </row>
    <row r="7" s="490" customFormat="true" ht="11.1" hidden="false" customHeight="true" outlineLevel="0" collapsed="false">
      <c r="A7" s="209"/>
      <c r="B7" s="432"/>
      <c r="C7" s="205"/>
      <c r="D7" s="209"/>
      <c r="E7" s="205" t="s">
        <v>57</v>
      </c>
      <c r="F7" s="487"/>
      <c r="G7" s="209"/>
      <c r="H7" s="211"/>
      <c r="I7" s="209"/>
      <c r="J7" s="209"/>
      <c r="K7" s="209"/>
      <c r="L7" s="209"/>
      <c r="M7" s="437"/>
      <c r="N7" s="209" t="s">
        <v>58</v>
      </c>
      <c r="O7" s="209" t="s">
        <v>59</v>
      </c>
      <c r="P7" s="209"/>
      <c r="Q7" s="209"/>
      <c r="R7" s="210" t="s">
        <v>40</v>
      </c>
      <c r="S7" s="386"/>
      <c r="T7" s="386"/>
      <c r="U7" s="386"/>
      <c r="V7" s="73" t="s">
        <v>60</v>
      </c>
      <c r="W7" s="73"/>
      <c r="X7" s="386"/>
      <c r="Y7" s="386"/>
      <c r="Z7" s="73"/>
      <c r="AA7" s="386"/>
      <c r="AB7" s="386"/>
      <c r="AC7" s="386"/>
      <c r="AD7" s="491"/>
      <c r="AE7" s="201"/>
      <c r="AF7" s="325"/>
      <c r="AG7" s="61" t="s">
        <v>57</v>
      </c>
      <c r="AH7" s="61" t="s">
        <v>61</v>
      </c>
      <c r="AI7" s="62" t="s">
        <v>97</v>
      </c>
      <c r="AJ7" s="62" t="s">
        <v>84</v>
      </c>
      <c r="AK7" s="61" t="s">
        <v>64</v>
      </c>
    </row>
    <row r="8" s="490" customFormat="true" ht="11.1" hidden="false" customHeight="true" outlineLevel="0" collapsed="false">
      <c r="A8" s="209"/>
      <c r="B8" s="432"/>
      <c r="C8" s="205"/>
      <c r="D8" s="209"/>
      <c r="E8" s="205"/>
      <c r="F8" s="487"/>
      <c r="G8" s="209"/>
      <c r="H8" s="211"/>
      <c r="I8" s="209"/>
      <c r="J8" s="209"/>
      <c r="K8" s="209"/>
      <c r="L8" s="209"/>
      <c r="M8" s="437"/>
      <c r="N8" s="209"/>
      <c r="O8" s="209"/>
      <c r="P8" s="209"/>
      <c r="Q8" s="209"/>
      <c r="R8" s="210" t="s">
        <v>65</v>
      </c>
      <c r="S8" s="209"/>
      <c r="T8" s="209"/>
      <c r="U8" s="209"/>
      <c r="V8" s="205"/>
      <c r="W8" s="205"/>
      <c r="X8" s="209"/>
      <c r="Y8" s="209"/>
      <c r="Z8" s="205"/>
      <c r="AA8" s="209"/>
      <c r="AB8" s="209"/>
      <c r="AC8" s="209"/>
      <c r="AD8" s="491"/>
      <c r="AE8" s="201"/>
      <c r="AF8" s="325"/>
      <c r="AG8" s="61"/>
      <c r="AH8" s="61"/>
      <c r="AI8" s="62"/>
      <c r="AJ8" s="62" t="s">
        <v>61</v>
      </c>
      <c r="AK8" s="492"/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7" t="n">
        <f aca="false">JUN!F46</f>
        <v>52911.5200403327</v>
      </c>
      <c r="G9" s="216" t="n">
        <f aca="false">JUN!G46</f>
        <v>88349</v>
      </c>
      <c r="H9" s="218" t="n">
        <f aca="false">JUN!H46</f>
        <v>1946.56</v>
      </c>
      <c r="I9" s="216" t="n">
        <f aca="false">JUN!I46</f>
        <v>90295.56</v>
      </c>
      <c r="J9" s="216" t="n">
        <f aca="false">JUN!J46</f>
        <v>8232.70292412402</v>
      </c>
      <c r="K9" s="216" t="n">
        <f aca="false">JUN!K46</f>
        <v>98528.262924124</v>
      </c>
      <c r="L9" s="216" t="n">
        <f aca="false">JUN!L46</f>
        <v>6944.16004033274</v>
      </c>
      <c r="M9" s="219" t="n">
        <f aca="false">JUN!M46</f>
        <v>19597.2</v>
      </c>
      <c r="N9" s="216" t="n">
        <f aca="false">JUN!N46</f>
        <v>11.59</v>
      </c>
      <c r="O9" s="216" t="n">
        <f aca="false">JUN!O46</f>
        <v>6729.5025</v>
      </c>
      <c r="P9" s="216"/>
      <c r="Q9" s="216"/>
      <c r="R9" s="220"/>
      <c r="S9" s="216" t="n">
        <f aca="false">JUN!S46</f>
        <v>6176</v>
      </c>
      <c r="T9" s="216" t="n">
        <f aca="false">JUN!T46</f>
        <v>4172.7</v>
      </c>
      <c r="U9" s="216" t="n">
        <f aca="false">JUN!U46</f>
        <v>22559.7725</v>
      </c>
      <c r="V9" s="216" t="n">
        <f aca="false">JUN!V46</f>
        <v>16275.5607193787</v>
      </c>
      <c r="W9" s="216"/>
      <c r="X9" s="216" t="n">
        <f aca="false">JUN!X46</f>
        <v>10150.3</v>
      </c>
      <c r="Y9" s="216"/>
      <c r="Z9" s="216"/>
      <c r="AA9" s="216" t="n">
        <f aca="false">JUN!AA46</f>
        <v>44328.2</v>
      </c>
      <c r="AB9" s="216" t="n">
        <f aca="false">JUN!AB46</f>
        <v>1288.54288379128</v>
      </c>
      <c r="AC9" s="216" t="n">
        <f aca="false">JUN!AC46</f>
        <v>45616.7428837913</v>
      </c>
      <c r="AD9" s="493"/>
      <c r="AE9" s="218"/>
      <c r="AF9" s="223"/>
      <c r="AG9" s="218"/>
      <c r="AH9" s="218"/>
      <c r="AI9" s="221"/>
      <c r="AJ9" s="341" t="n">
        <f aca="false">JUN!AJ47</f>
        <v>798.890884612355</v>
      </c>
      <c r="AK9" s="92" t="n">
        <f aca="false">JUN!AK46</f>
        <v>64.06</v>
      </c>
    </row>
    <row r="10" s="138" customFormat="true" ht="11.1" hidden="false" customHeight="true" outlineLevel="0" collapsed="false">
      <c r="A10" s="225" t="s">
        <v>68</v>
      </c>
      <c r="B10" s="226" t="n">
        <f aca="false">JUN!B41</f>
        <v>6903.74</v>
      </c>
      <c r="C10" s="216" t="n">
        <f aca="false">JUN!C41</f>
        <v>293799</v>
      </c>
      <c r="D10" s="216" t="n">
        <f aca="false">JUN!D50</f>
        <v>119856</v>
      </c>
      <c r="E10" s="216" t="n">
        <f aca="false">JUN!E50</f>
        <v>141799</v>
      </c>
      <c r="F10" s="217" t="n">
        <f aca="false">JUN!F49</f>
        <v>60426.5187799345</v>
      </c>
      <c r="G10" s="216" t="n">
        <f aca="false">JUN!G49</f>
        <v>102477</v>
      </c>
      <c r="H10" s="218" t="n">
        <f aca="false">JUN!H49</f>
        <v>2250.16</v>
      </c>
      <c r="I10" s="216" t="n">
        <f aca="false">JUN!I49</f>
        <v>104727.16</v>
      </c>
      <c r="J10" s="216" t="n">
        <f aca="false">JUN!J49</f>
        <v>13870.3060713385</v>
      </c>
      <c r="K10" s="216" t="n">
        <f aca="false">JUN!K49</f>
        <v>118597.466071339</v>
      </c>
      <c r="L10" s="216" t="n">
        <f aca="false">JUN!L49</f>
        <v>12357.0137799345</v>
      </c>
      <c r="M10" s="219" t="n">
        <f aca="false">JUN!M49</f>
        <v>20572.6</v>
      </c>
      <c r="N10" s="216" t="n">
        <f aca="false">JUN!N49</f>
        <v>11.59</v>
      </c>
      <c r="O10" s="216" t="n">
        <f aca="false">JUN!O49</f>
        <v>6729.5025</v>
      </c>
      <c r="P10" s="216" t="n">
        <f aca="false">JUN!P49</f>
        <v>390.484</v>
      </c>
      <c r="Q10" s="216" t="n">
        <f aca="false">JUN!Q49</f>
        <v>739.484</v>
      </c>
      <c r="R10" s="220" t="n">
        <f aca="false">JUN!R49</f>
        <v>160.52</v>
      </c>
      <c r="S10" s="216" t="n">
        <f aca="false">JUN!S49</f>
        <v>14156.2</v>
      </c>
      <c r="T10" s="216" t="n">
        <f aca="false">JUN!T49</f>
        <v>4308.7</v>
      </c>
      <c r="U10" s="216" t="n">
        <f aca="false">JUN!U49</f>
        <v>30999.84999</v>
      </c>
      <c r="V10" s="216"/>
      <c r="W10" s="216"/>
      <c r="X10" s="216" t="n">
        <f aca="false">JUN!X49</f>
        <v>10150.3</v>
      </c>
      <c r="Y10" s="216" t="n">
        <f aca="false">JUN!Y49</f>
        <v>7438</v>
      </c>
      <c r="Z10" s="216" t="n">
        <f aca="false">JUN!Z49</f>
        <v>11462.9836148223</v>
      </c>
      <c r="AA10" s="216" t="n">
        <f aca="false">JUN!AA49</f>
        <v>56657.655</v>
      </c>
      <c r="AB10" s="216" t="n">
        <f aca="false">JUN!AB49</f>
        <v>1513.29229140408</v>
      </c>
      <c r="AC10" s="216" t="n">
        <f aca="false">JUN!AC49</f>
        <v>58170.9472914041</v>
      </c>
      <c r="AD10" s="494" t="n">
        <f aca="false">JUN!AD49</f>
        <v>9.7</v>
      </c>
      <c r="AE10" s="218"/>
      <c r="AF10" s="223"/>
      <c r="AG10" s="216" t="n">
        <f aca="false">JUN!AG50</f>
        <v>0</v>
      </c>
      <c r="AH10" s="216" t="n">
        <f aca="false">JUN!AH49</f>
        <v>346.51</v>
      </c>
      <c r="AI10" s="221"/>
      <c r="AJ10" s="341" t="n">
        <f aca="false">JUN!AJ50</f>
        <v>798.890884612355</v>
      </c>
      <c r="AK10" s="218" t="n">
        <f aca="false">JUN!AK49</f>
        <v>64.06</v>
      </c>
    </row>
    <row r="11" customFormat="false" ht="3" hidden="false" customHeight="true" outlineLevel="0" collapsed="false">
      <c r="A11" s="227"/>
      <c r="B11" s="228"/>
      <c r="C11" s="229"/>
      <c r="D11" s="230"/>
      <c r="E11" s="229"/>
      <c r="F11" s="231"/>
      <c r="G11" s="230"/>
      <c r="H11" s="235"/>
      <c r="I11" s="230"/>
      <c r="J11" s="230"/>
      <c r="K11" s="230"/>
      <c r="L11" s="230"/>
      <c r="M11" s="233"/>
      <c r="N11" s="230"/>
      <c r="O11" s="230"/>
      <c r="P11" s="230"/>
      <c r="Q11" s="230"/>
      <c r="R11" s="234"/>
      <c r="S11" s="230"/>
      <c r="T11" s="230"/>
      <c r="U11" s="230"/>
      <c r="V11" s="229"/>
      <c r="W11" s="229"/>
      <c r="X11" s="230"/>
      <c r="Y11" s="230"/>
      <c r="Z11" s="229"/>
      <c r="AA11" s="230"/>
      <c r="AB11" s="230"/>
      <c r="AC11" s="230"/>
      <c r="AD11" s="495"/>
      <c r="AE11" s="237"/>
      <c r="AF11" s="238"/>
      <c r="AG11" s="237"/>
      <c r="AH11" s="237"/>
      <c r="AI11" s="235"/>
      <c r="AJ11" s="441"/>
      <c r="AK11" s="237"/>
    </row>
    <row r="12" customFormat="false" ht="11.1" hidden="false" customHeight="true" outlineLevel="0" collapsed="false">
      <c r="A12" s="153" t="n">
        <v>1</v>
      </c>
      <c r="B12" s="226" t="n">
        <v>6902.44</v>
      </c>
      <c r="C12" s="216" t="n">
        <v>292670</v>
      </c>
      <c r="D12" s="218" t="n">
        <f aca="false">C12-C10</f>
        <v>-1129</v>
      </c>
      <c r="E12" s="216" t="n">
        <f aca="false">C12-152000</f>
        <v>140670</v>
      </c>
      <c r="F12" s="239" t="n">
        <f aca="false">D12/$D$2</f>
        <v>-569.195865893622</v>
      </c>
      <c r="G12" s="240" t="n">
        <v>254</v>
      </c>
      <c r="H12" s="221" t="n">
        <v>0.2</v>
      </c>
      <c r="I12" s="240" t="n">
        <f aca="false">G12+H12</f>
        <v>254.2</v>
      </c>
      <c r="J12" s="221" t="n">
        <f aca="false">IF(L12&gt;0,L12,0)</f>
        <v>0</v>
      </c>
      <c r="K12" s="240" t="n">
        <f aca="false">I12+J12</f>
        <v>254.2</v>
      </c>
      <c r="L12" s="240" t="n">
        <f aca="false">F12-(I12-AA12)</f>
        <v>-35.3958658936224</v>
      </c>
      <c r="M12" s="242" t="n">
        <v>256</v>
      </c>
      <c r="N12" s="240" t="n">
        <v>0</v>
      </c>
      <c r="O12" s="240" t="n">
        <f aca="false">74.7*1.05</f>
        <v>78.435</v>
      </c>
      <c r="P12" s="357" t="n">
        <v>2.3</v>
      </c>
      <c r="Q12" s="357" t="n">
        <v>4.2</v>
      </c>
      <c r="R12" s="116" t="n">
        <v>3.37</v>
      </c>
      <c r="S12" s="240" t="n">
        <v>113</v>
      </c>
      <c r="T12" s="240" t="n">
        <v>67</v>
      </c>
      <c r="U12" s="240" t="n">
        <f aca="false">M12-N12-O12-P12-Q12-R12+S12+T12</f>
        <v>347.695</v>
      </c>
      <c r="V12" s="216" t="n">
        <f aca="false">V9+AI12-(AJ12/1.9835)+AK12</f>
        <v>16197.9048475197</v>
      </c>
      <c r="W12" s="216"/>
      <c r="X12" s="240" t="n">
        <v>287</v>
      </c>
      <c r="Y12" s="442" t="n">
        <v>65</v>
      </c>
      <c r="Z12" s="443" t="n">
        <f aca="false">Z10-Y12</f>
        <v>11397.9836148223</v>
      </c>
      <c r="AA12" s="117" t="n">
        <f aca="false">N12+O12+P12+Q12+R12+U12+X12+Y12</f>
        <v>788</v>
      </c>
      <c r="AB12" s="240" t="n">
        <f aca="false">IF(L12&lt;0,L12*-1,0)</f>
        <v>35.3958658936224</v>
      </c>
      <c r="AC12" s="240" t="n">
        <f aca="false">AA12+AB12</f>
        <v>823.395865893622</v>
      </c>
      <c r="AD12" s="493" t="n">
        <v>0</v>
      </c>
      <c r="AE12" s="496" t="n">
        <v>81</v>
      </c>
      <c r="AF12" s="497" t="n">
        <v>47</v>
      </c>
      <c r="AG12" s="218" t="n">
        <f aca="false">AG10</f>
        <v>0</v>
      </c>
      <c r="AH12" s="218"/>
      <c r="AI12" s="92" t="n">
        <f aca="false">I12-P12-Q12-U12</f>
        <v>-99.995</v>
      </c>
      <c r="AJ12" s="341" t="n">
        <f aca="false">23.5*(V9*1.9835-U12*1.9835)/E12</f>
        <v>5.27783933232466</v>
      </c>
      <c r="AK12" s="92" t="n">
        <v>25</v>
      </c>
      <c r="AL12" s="8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153" t="n">
        <f aca="false">A12+1</f>
        <v>2</v>
      </c>
      <c r="B13" s="226" t="n">
        <v>6902.14</v>
      </c>
      <c r="C13" s="216" t="n">
        <v>291541</v>
      </c>
      <c r="D13" s="218" t="n">
        <f aca="false">C13-C12</f>
        <v>-1129</v>
      </c>
      <c r="E13" s="216" t="n">
        <f aca="false">C13-152000</f>
        <v>139541</v>
      </c>
      <c r="F13" s="239" t="n">
        <f aca="false">D13/$D$2</f>
        <v>-569.195865893622</v>
      </c>
      <c r="G13" s="240" t="n">
        <v>227</v>
      </c>
      <c r="H13" s="221" t="n">
        <v>0.5</v>
      </c>
      <c r="I13" s="240" t="n">
        <f aca="false">G13+H13</f>
        <v>227.5</v>
      </c>
      <c r="J13" s="221" t="n">
        <f aca="false">IF(L13&gt;0,L13,0)</f>
        <v>0</v>
      </c>
      <c r="K13" s="240" t="n">
        <f aca="false">I13+J13</f>
        <v>227.5</v>
      </c>
      <c r="L13" s="240" t="n">
        <f aca="false">F13-(I13-AA13)</f>
        <v>-32.6958658936223</v>
      </c>
      <c r="M13" s="242" t="n">
        <v>253</v>
      </c>
      <c r="N13" s="240" t="n">
        <v>0</v>
      </c>
      <c r="O13" s="240" t="n">
        <f aca="false">51.71*1.05</f>
        <v>54.2955</v>
      </c>
      <c r="P13" s="357" t="n">
        <v>2.3</v>
      </c>
      <c r="Q13" s="357" t="n">
        <v>4.2</v>
      </c>
      <c r="R13" s="116" t="n">
        <v>3.29</v>
      </c>
      <c r="S13" s="240" t="n">
        <v>106</v>
      </c>
      <c r="T13" s="240" t="n">
        <v>68</v>
      </c>
      <c r="U13" s="240" t="n">
        <f aca="false">M13-N13-O13-P13-Q13-R13+S13+T13</f>
        <v>362.9145</v>
      </c>
      <c r="V13" s="216" t="n">
        <f aca="false">V12+AI13-(AJ13/1.9835)+AK13</f>
        <v>16078.3235881216</v>
      </c>
      <c r="W13" s="216"/>
      <c r="X13" s="240" t="n">
        <v>272</v>
      </c>
      <c r="Y13" s="442" t="n">
        <v>65</v>
      </c>
      <c r="Z13" s="443" t="n">
        <f aca="false">Z12-Y13</f>
        <v>11332.9836148223</v>
      </c>
      <c r="AA13" s="117" t="n">
        <f aca="false">N13+O13+P13+Q13+R13+U13+X13+Y13</f>
        <v>764</v>
      </c>
      <c r="AB13" s="240" t="n">
        <f aca="false">IF(L13&lt;0,L13*-1,0)</f>
        <v>32.6958658936223</v>
      </c>
      <c r="AC13" s="240" t="n">
        <f aca="false">AA13+AB13</f>
        <v>796.695865893622</v>
      </c>
      <c r="AD13" s="493" t="n">
        <v>0</v>
      </c>
      <c r="AE13" s="218" t="n">
        <v>82</v>
      </c>
      <c r="AF13" s="223" t="n">
        <v>47</v>
      </c>
      <c r="AG13" s="218" t="n">
        <f aca="false">AG12</f>
        <v>0</v>
      </c>
      <c r="AH13" s="218"/>
      <c r="AI13" s="92" t="n">
        <f aca="false">I13-P13-Q13-U13</f>
        <v>-141.9145</v>
      </c>
      <c r="AJ13" s="341" t="n">
        <f aca="false">23.5*(V12*1.9835-U13*1.9835)/E13</f>
        <v>5.28951726608076</v>
      </c>
      <c r="AK13" s="92" t="n">
        <v>25</v>
      </c>
      <c r="AL13" s="8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153" t="n">
        <f aca="false">A13+1</f>
        <v>3</v>
      </c>
      <c r="B14" s="226" t="n">
        <v>6901.83</v>
      </c>
      <c r="C14" s="216" t="n">
        <v>290380</v>
      </c>
      <c r="D14" s="218" t="n">
        <f aca="false">C14-C13</f>
        <v>-1161</v>
      </c>
      <c r="E14" s="216" t="n">
        <f aca="false">C14-152000</f>
        <v>138380</v>
      </c>
      <c r="F14" s="239" t="n">
        <f aca="false">D14/$D$2</f>
        <v>-585.328963952609</v>
      </c>
      <c r="G14" s="240" t="n">
        <v>211</v>
      </c>
      <c r="H14" s="221" t="n">
        <v>0.5</v>
      </c>
      <c r="I14" s="240" t="n">
        <f aca="false">G14+H14</f>
        <v>211.5</v>
      </c>
      <c r="J14" s="221" t="n">
        <f aca="false">IF(L14&gt;0,L14,0)</f>
        <v>0</v>
      </c>
      <c r="K14" s="240" t="n">
        <f aca="false">I14+J14</f>
        <v>211.5</v>
      </c>
      <c r="L14" s="240" t="n">
        <f aca="false">F14-(I14-AA14)</f>
        <v>-21.828963952609</v>
      </c>
      <c r="M14" s="242" t="n">
        <v>261</v>
      </c>
      <c r="N14" s="240" t="n">
        <v>0</v>
      </c>
      <c r="O14" s="240" t="n">
        <f aca="false">81.42*1.05</f>
        <v>85.491</v>
      </c>
      <c r="P14" s="357" t="n">
        <v>2.3</v>
      </c>
      <c r="Q14" s="357" t="n">
        <v>4.2</v>
      </c>
      <c r="R14" s="116" t="n">
        <v>3.94</v>
      </c>
      <c r="S14" s="240" t="n">
        <v>106</v>
      </c>
      <c r="T14" s="240" t="n">
        <v>70</v>
      </c>
      <c r="U14" s="240" t="n">
        <f aca="false">M14-N14-O14-P14-Q14-R14+S14+T14</f>
        <v>341.069</v>
      </c>
      <c r="V14" s="216" t="n">
        <f aca="false">V13+AI14-(AJ14/1.9835)+AK14</f>
        <v>15964.5820524747</v>
      </c>
      <c r="W14" s="216"/>
      <c r="X14" s="240" t="n">
        <v>273</v>
      </c>
      <c r="Y14" s="442" t="n">
        <v>65</v>
      </c>
      <c r="Z14" s="443" t="n">
        <f aca="false">Z13-Y14</f>
        <v>11267.9836148223</v>
      </c>
      <c r="AA14" s="117" t="n">
        <f aca="false">N14+O14+P14+Q14+R14+U14+X14+Y14</f>
        <v>775</v>
      </c>
      <c r="AB14" s="240" t="n">
        <f aca="false">IF(L14&lt;0,L14*-1,0)</f>
        <v>21.828963952609</v>
      </c>
      <c r="AC14" s="240" t="n">
        <f aca="false">AA14+AB14</f>
        <v>796.828963952609</v>
      </c>
      <c r="AD14" s="493" t="n">
        <v>0</v>
      </c>
      <c r="AE14" s="218" t="n">
        <v>83</v>
      </c>
      <c r="AF14" s="223" t="n">
        <v>49</v>
      </c>
      <c r="AG14" s="218" t="n">
        <f aca="false">AG13</f>
        <v>0</v>
      </c>
      <c r="AH14" s="218"/>
      <c r="AI14" s="92" t="n">
        <f aca="false">I14-P14-Q14-U14</f>
        <v>-136.069</v>
      </c>
      <c r="AJ14" s="341" t="n">
        <f aca="false">23.5*(V13*1.9835-U14*1.9835)/E14</f>
        <v>5.3009744556668</v>
      </c>
      <c r="AK14" s="92" t="n">
        <v>25</v>
      </c>
      <c r="AL14" s="8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153" t="n">
        <f aca="false">A14+1</f>
        <v>4</v>
      </c>
      <c r="B15" s="226" t="n">
        <v>6901.53</v>
      </c>
      <c r="C15" s="216" t="n">
        <v>289297</v>
      </c>
      <c r="D15" s="218" t="n">
        <f aca="false">C15-C14</f>
        <v>-1083</v>
      </c>
      <c r="E15" s="216" t="n">
        <f aca="false">C15-152000</f>
        <v>137297</v>
      </c>
      <c r="F15" s="239" t="n">
        <f aca="false">D15/$D$2</f>
        <v>-546.004537433829</v>
      </c>
      <c r="G15" s="240" t="n">
        <v>197</v>
      </c>
      <c r="H15" s="221" t="n">
        <v>0.5</v>
      </c>
      <c r="I15" s="240" t="n">
        <f aca="false">G15+H15</f>
        <v>197.5</v>
      </c>
      <c r="J15" s="221" t="n">
        <f aca="false">IF(L15&gt;0,L15,0)</f>
        <v>0</v>
      </c>
      <c r="K15" s="240" t="n">
        <f aca="false">I15+J15</f>
        <v>197.5</v>
      </c>
      <c r="L15" s="240" t="n">
        <f aca="false">F15-(I15-AA15)</f>
        <v>-6.50453743382911</v>
      </c>
      <c r="M15" s="242" t="n">
        <v>253</v>
      </c>
      <c r="N15" s="240" t="n">
        <v>0</v>
      </c>
      <c r="O15" s="240" t="n">
        <f aca="false">68.27*1.05</f>
        <v>71.6835</v>
      </c>
      <c r="P15" s="357" t="n">
        <v>2.3</v>
      </c>
      <c r="Q15" s="357" t="n">
        <v>4.2</v>
      </c>
      <c r="R15" s="116" t="n">
        <v>4.73</v>
      </c>
      <c r="S15" s="240" t="n">
        <v>106</v>
      </c>
      <c r="T15" s="240" t="n">
        <v>71</v>
      </c>
      <c r="U15" s="240" t="n">
        <f aca="false">M15-N15-O15-P15-Q15-R15+S15+T15</f>
        <v>347.0865</v>
      </c>
      <c r="V15" s="216" t="n">
        <f aca="false">V14+AI15-(AJ15/1.9835)+AK15</f>
        <v>15830.8224340127</v>
      </c>
      <c r="W15" s="216"/>
      <c r="X15" s="240" t="n">
        <v>242</v>
      </c>
      <c r="Y15" s="442" t="n">
        <v>65</v>
      </c>
      <c r="Z15" s="443" t="n">
        <f aca="false">Z14-Y15</f>
        <v>11202.9836148223</v>
      </c>
      <c r="AA15" s="117" t="n">
        <f aca="false">N15+O15+P15+Q15+R15+U15+X15+Y15</f>
        <v>737</v>
      </c>
      <c r="AB15" s="240" t="n">
        <f aca="false">IF(L15&lt;0,L15*-1,0)</f>
        <v>6.50453743382911</v>
      </c>
      <c r="AC15" s="240" t="n">
        <f aca="false">AA15+AB15</f>
        <v>743.504537433829</v>
      </c>
      <c r="AD15" s="493" t="n">
        <v>0</v>
      </c>
      <c r="AE15" s="218" t="n">
        <v>82</v>
      </c>
      <c r="AF15" s="223" t="n">
        <v>47</v>
      </c>
      <c r="AG15" s="218" t="n">
        <f aca="false">AG14</f>
        <v>0</v>
      </c>
      <c r="AH15" s="218"/>
      <c r="AI15" s="92" t="n">
        <f aca="false">I15-P15-Q15-U15</f>
        <v>-156.0865</v>
      </c>
      <c r="AJ15" s="341" t="n">
        <f aca="false">23.5*(V14*1.9835-U15*1.9835)/E15</f>
        <v>5.30213046946284</v>
      </c>
      <c r="AK15" s="92" t="n">
        <v>25</v>
      </c>
      <c r="AL15" s="8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153" t="n">
        <f aca="false">A15+1</f>
        <v>5</v>
      </c>
      <c r="B16" s="226" t="n">
        <v>6901.21</v>
      </c>
      <c r="C16" s="216" t="n">
        <v>288066</v>
      </c>
      <c r="D16" s="218" t="n">
        <f aca="false">C16-C15</f>
        <v>-1231</v>
      </c>
      <c r="E16" s="216" t="n">
        <f aca="false">C16-152000</f>
        <v>136066</v>
      </c>
      <c r="F16" s="239" t="n">
        <f aca="false">D16/$D$2</f>
        <v>-620.620115956642</v>
      </c>
      <c r="G16" s="240" t="n">
        <v>184</v>
      </c>
      <c r="H16" s="221" t="n">
        <v>0.5</v>
      </c>
      <c r="I16" s="240" t="n">
        <f aca="false">G16+H16</f>
        <v>184.5</v>
      </c>
      <c r="J16" s="221" t="n">
        <f aca="false">IF(L16&gt;0,L16,0)</f>
        <v>0</v>
      </c>
      <c r="K16" s="240" t="n">
        <f aca="false">I16+J16</f>
        <v>184.5</v>
      </c>
      <c r="L16" s="240" t="n">
        <f aca="false">F16-(I16-AA16)</f>
        <v>-69.1201159566423</v>
      </c>
      <c r="M16" s="242" t="n">
        <v>239</v>
      </c>
      <c r="N16" s="240" t="n">
        <v>29.75</v>
      </c>
      <c r="O16" s="240" t="n">
        <f aca="false">51.55*1.05</f>
        <v>54.1275</v>
      </c>
      <c r="P16" s="357" t="n">
        <v>2.3</v>
      </c>
      <c r="Q16" s="357" t="n">
        <v>4.2</v>
      </c>
      <c r="R16" s="116" t="n">
        <v>3.74</v>
      </c>
      <c r="S16" s="240" t="n">
        <v>105</v>
      </c>
      <c r="T16" s="240" t="n">
        <v>70</v>
      </c>
      <c r="U16" s="240" t="n">
        <f aca="false">M16-N16-O16-P16-Q16-R16+S16+T16</f>
        <v>319.8825</v>
      </c>
      <c r="V16" s="216" t="n">
        <f aca="false">V15+AI16-(AJ16/1.9835)+AK16</f>
        <v>15711.2610348869</v>
      </c>
      <c r="W16" s="216"/>
      <c r="X16" s="240" t="n">
        <v>257</v>
      </c>
      <c r="Y16" s="442" t="n">
        <v>65</v>
      </c>
      <c r="Z16" s="443" t="n">
        <f aca="false">Z15-Y16</f>
        <v>11137.9836148223</v>
      </c>
      <c r="AA16" s="117" t="n">
        <f aca="false">N16+O16+P16+Q16+R16+U16+X16+Y16</f>
        <v>736</v>
      </c>
      <c r="AB16" s="240" t="n">
        <f aca="false">IF(L16&lt;0,L16*-1,0)</f>
        <v>69.1201159566423</v>
      </c>
      <c r="AC16" s="240" t="n">
        <f aca="false">AA16+AB16</f>
        <v>805.120115956642</v>
      </c>
      <c r="AD16" s="493" t="n">
        <v>0</v>
      </c>
      <c r="AE16" s="218" t="n">
        <v>85</v>
      </c>
      <c r="AF16" s="223" t="n">
        <v>52</v>
      </c>
      <c r="AG16" s="218" t="n">
        <f aca="false">AG15</f>
        <v>0</v>
      </c>
      <c r="AH16" s="218"/>
      <c r="AI16" s="92" t="n">
        <f aca="false">I16-P16-Q16-U16</f>
        <v>-141.8825</v>
      </c>
      <c r="AJ16" s="341" t="n">
        <f aca="false">23.5*(V15*1.9835-U16*1.9835)/E16</f>
        <v>5.31359641599799</v>
      </c>
      <c r="AK16" s="92" t="n">
        <v>25</v>
      </c>
      <c r="AL16" s="8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153" t="n">
        <f aca="false">A16+1</f>
        <v>6</v>
      </c>
      <c r="B17" s="226" t="n">
        <v>6900.88</v>
      </c>
      <c r="C17" s="216" t="n">
        <v>286838</v>
      </c>
      <c r="D17" s="218" t="n">
        <f aca="false">C17-C16</f>
        <v>-1228</v>
      </c>
      <c r="E17" s="216" t="n">
        <f aca="false">C17-152000</f>
        <v>134838</v>
      </c>
      <c r="F17" s="239" t="n">
        <f aca="false">D17/$D$2</f>
        <v>-619.107638013612</v>
      </c>
      <c r="G17" s="240" t="n">
        <v>178</v>
      </c>
      <c r="H17" s="221" t="n">
        <v>0.5</v>
      </c>
      <c r="I17" s="240" t="n">
        <f aca="false">G17+H17</f>
        <v>178.5</v>
      </c>
      <c r="J17" s="221" t="n">
        <f aca="false">IF(L17&gt;0,L17,0)</f>
        <v>7.39236198638776</v>
      </c>
      <c r="K17" s="240" t="n">
        <f aca="false">I17+J17</f>
        <v>185.892361986388</v>
      </c>
      <c r="L17" s="240" t="n">
        <f aca="false">F17-(I17-AA17)</f>
        <v>7.39236198638776</v>
      </c>
      <c r="M17" s="242" t="n">
        <v>263</v>
      </c>
      <c r="N17" s="240" t="n">
        <v>0</v>
      </c>
      <c r="O17" s="240" t="n">
        <f aca="false">63.88*1.05</f>
        <v>67.074</v>
      </c>
      <c r="P17" s="357" t="n">
        <v>2.3</v>
      </c>
      <c r="Q17" s="357" t="n">
        <v>4.2</v>
      </c>
      <c r="R17" s="116" t="n">
        <v>3.74</v>
      </c>
      <c r="S17" s="240" t="n">
        <v>128</v>
      </c>
      <c r="T17" s="240" t="n">
        <v>70</v>
      </c>
      <c r="U17" s="240" t="n">
        <f aca="false">M17-N17-O17-P17-Q17-R17+S17+T17</f>
        <v>383.686</v>
      </c>
      <c r="V17" s="216" t="n">
        <f aca="false">V16+AI17-(AJ17/1.9835)+AK17</f>
        <v>15521.903695848</v>
      </c>
      <c r="W17" s="216"/>
      <c r="X17" s="240" t="n">
        <v>279</v>
      </c>
      <c r="Y17" s="442" t="n">
        <v>65</v>
      </c>
      <c r="Z17" s="443" t="n">
        <f aca="false">Z16-Y17</f>
        <v>11072.9836148223</v>
      </c>
      <c r="AA17" s="117" t="n">
        <f aca="false">N17+O17+P17+Q17+R17+U17+X17+Y17</f>
        <v>805</v>
      </c>
      <c r="AB17" s="240" t="n">
        <f aca="false">IF(L17&lt;0,L17*-1,0)</f>
        <v>0</v>
      </c>
      <c r="AC17" s="240" t="n">
        <f aca="false">AA17+AB17</f>
        <v>805</v>
      </c>
      <c r="AD17" s="493" t="n">
        <v>0</v>
      </c>
      <c r="AE17" s="218" t="n">
        <v>86</v>
      </c>
      <c r="AF17" s="223" t="n">
        <v>54</v>
      </c>
      <c r="AG17" s="218" t="n">
        <f aca="false">AG16</f>
        <v>0</v>
      </c>
      <c r="AH17" s="218"/>
      <c r="AI17" s="92" t="n">
        <f aca="false">I17-P17-Q17-U17</f>
        <v>-211.686</v>
      </c>
      <c r="AJ17" s="341" t="n">
        <f aca="false">23.5*(V16*1.9835-U17*1.9835)/E17</f>
        <v>5.29860098354993</v>
      </c>
      <c r="AK17" s="92" t="n">
        <v>25</v>
      </c>
      <c r="AL17" s="8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153" t="n">
        <f aca="false">A17+1</f>
        <v>7</v>
      </c>
      <c r="B18" s="226" t="n">
        <v>6900.51</v>
      </c>
      <c r="C18" s="216" t="n">
        <v>285468</v>
      </c>
      <c r="D18" s="218" t="n">
        <f aca="false">C18-C17</f>
        <v>-1370</v>
      </c>
      <c r="E18" s="216" t="n">
        <f aca="false">C18-152000</f>
        <v>133468</v>
      </c>
      <c r="F18" s="239" t="n">
        <f aca="false">D18/$D$2</f>
        <v>-690.698260650365</v>
      </c>
      <c r="G18" s="240" t="n">
        <v>161</v>
      </c>
      <c r="H18" s="221" t="n">
        <v>0.4</v>
      </c>
      <c r="I18" s="240" t="n">
        <f aca="false">G18+H18</f>
        <v>161.4</v>
      </c>
      <c r="J18" s="221" t="n">
        <f aca="false">IF(L18&gt;0,L18,0)</f>
        <v>0</v>
      </c>
      <c r="K18" s="240" t="n">
        <f aca="false">I18+J18</f>
        <v>161.4</v>
      </c>
      <c r="L18" s="240" t="n">
        <f aca="false">F18-(I18-AA18)</f>
        <v>-0.0982606503654324</v>
      </c>
      <c r="M18" s="242" t="n">
        <v>273</v>
      </c>
      <c r="N18" s="240" t="n">
        <v>0</v>
      </c>
      <c r="O18" s="240" t="n">
        <f aca="false">76.92*1.05</f>
        <v>80.766</v>
      </c>
      <c r="P18" s="357" t="n">
        <v>2.3</v>
      </c>
      <c r="Q18" s="357" t="n">
        <v>4.2</v>
      </c>
      <c r="R18" s="116" t="n">
        <v>3.56</v>
      </c>
      <c r="S18" s="240" t="n">
        <v>141</v>
      </c>
      <c r="T18" s="240" t="n">
        <v>73</v>
      </c>
      <c r="U18" s="240" t="n">
        <f aca="false">M18-N18-O18-P18-Q18-R18+S18+T18</f>
        <v>396.174</v>
      </c>
      <c r="V18" s="216" t="n">
        <f aca="false">V17+AI18-(AJ18/1.9835)+AK18</f>
        <v>15302.9664758413</v>
      </c>
      <c r="W18" s="216"/>
      <c r="X18" s="240" t="n">
        <v>300</v>
      </c>
      <c r="Y18" s="442" t="n">
        <v>65</v>
      </c>
      <c r="Z18" s="443" t="n">
        <f aca="false">Z17-Y18</f>
        <v>11007.9836148223</v>
      </c>
      <c r="AA18" s="117" t="n">
        <f aca="false">N18+O18+P18+Q18+R18+U18+X18+Y18</f>
        <v>852</v>
      </c>
      <c r="AB18" s="240" t="n">
        <f aca="false">IF(L18&lt;0,L18*-1,0)</f>
        <v>0.0982606503654324</v>
      </c>
      <c r="AC18" s="240" t="n">
        <f aca="false">AA18+AB18</f>
        <v>852.098260650365</v>
      </c>
      <c r="AD18" s="493" t="n">
        <v>0</v>
      </c>
      <c r="AE18" s="496" t="n">
        <v>89</v>
      </c>
      <c r="AF18" s="497" t="n">
        <v>53</v>
      </c>
      <c r="AG18" s="218" t="n">
        <f aca="false">AG17</f>
        <v>0</v>
      </c>
      <c r="AH18" s="218"/>
      <c r="AI18" s="92" t="n">
        <f aca="false">I18-P18-Q18-U18</f>
        <v>-241.274</v>
      </c>
      <c r="AJ18" s="341" t="n">
        <f aca="false">23.5*(V17*1.9835-U18*1.9835)/E18</f>
        <v>5.2824968832626</v>
      </c>
      <c r="AK18" s="92" t="n">
        <v>25</v>
      </c>
      <c r="AL18" s="8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153" t="n">
        <f aca="false">A18+1</f>
        <v>8</v>
      </c>
      <c r="B19" s="226" t="n">
        <v>6900.11</v>
      </c>
      <c r="C19" s="216" t="n">
        <v>283987</v>
      </c>
      <c r="D19" s="218" t="n">
        <f aca="false">C19-C18</f>
        <v>-1481</v>
      </c>
      <c r="E19" s="216" t="n">
        <f aca="false">C19-152000</f>
        <v>131987</v>
      </c>
      <c r="F19" s="239" t="n">
        <f aca="false">D19/$D$2</f>
        <v>-746.659944542475</v>
      </c>
      <c r="G19" s="240" t="n">
        <v>153</v>
      </c>
      <c r="H19" s="221" t="n">
        <v>0.5</v>
      </c>
      <c r="I19" s="240" t="n">
        <f aca="false">G19+H19</f>
        <v>153.5</v>
      </c>
      <c r="J19" s="221" t="n">
        <f aca="false">IF(L19&gt;0,L19,0)</f>
        <v>0</v>
      </c>
      <c r="K19" s="240" t="n">
        <f aca="false">I19+J19</f>
        <v>153.5</v>
      </c>
      <c r="L19" s="240" t="n">
        <f aca="false">F19-(I19-AA19)</f>
        <v>-30.1599445424754</v>
      </c>
      <c r="M19" s="242" t="n">
        <v>275</v>
      </c>
      <c r="N19" s="240" t="n">
        <v>0</v>
      </c>
      <c r="O19" s="240" t="n">
        <f aca="false">79.06*1.05</f>
        <v>83.013</v>
      </c>
      <c r="P19" s="357" t="n">
        <v>2.3</v>
      </c>
      <c r="Q19" s="357" t="n">
        <v>4.2</v>
      </c>
      <c r="R19" s="116" t="n">
        <v>3.31</v>
      </c>
      <c r="S19" s="240" t="n">
        <v>140</v>
      </c>
      <c r="T19" s="240" t="n">
        <v>81</v>
      </c>
      <c r="U19" s="240" t="n">
        <f aca="false">M19-N19-O19-P19-Q19-R19+S19+T19</f>
        <v>403.177</v>
      </c>
      <c r="V19" s="216" t="n">
        <f aca="false">V18+AI19-(AJ19/1.9835)+AK19</f>
        <v>15069.1366005379</v>
      </c>
      <c r="W19" s="216"/>
      <c r="X19" s="240" t="n">
        <v>309</v>
      </c>
      <c r="Y19" s="442" t="n">
        <v>65</v>
      </c>
      <c r="Z19" s="443" t="n">
        <f aca="false">Z18-Y19</f>
        <v>10942.9836148223</v>
      </c>
      <c r="AA19" s="117" t="n">
        <f aca="false">N19+O19+P19+Q19+R19+U19+X19+Y19</f>
        <v>870</v>
      </c>
      <c r="AB19" s="240" t="n">
        <f aca="false">IF(L19&lt;0,L19*-1,0)</f>
        <v>30.1599445424754</v>
      </c>
      <c r="AC19" s="240" t="n">
        <f aca="false">AA19+AB19</f>
        <v>900.159944542475</v>
      </c>
      <c r="AD19" s="493" t="n">
        <v>0</v>
      </c>
      <c r="AE19" s="218" t="n">
        <v>85</v>
      </c>
      <c r="AF19" s="223" t="n">
        <v>51</v>
      </c>
      <c r="AG19" s="218" t="n">
        <f aca="false">AG18</f>
        <v>0</v>
      </c>
      <c r="AH19" s="218"/>
      <c r="AI19" s="92" t="n">
        <f aca="false">I19-P19-Q19-U19</f>
        <v>-256.177</v>
      </c>
      <c r="AJ19" s="341" t="n">
        <f aca="false">23.5*(V18*1.9835-U19*1.9835)/E19</f>
        <v>5.26197816448049</v>
      </c>
      <c r="AK19" s="92" t="n">
        <v>25</v>
      </c>
      <c r="AL19" s="8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153" t="n">
        <f aca="false">A19+1</f>
        <v>9</v>
      </c>
      <c r="B20" s="226" t="n">
        <v>6899.65</v>
      </c>
      <c r="C20" s="216" t="n">
        <v>282294</v>
      </c>
      <c r="D20" s="218" t="n">
        <f aca="false">C20-C19</f>
        <v>-1693</v>
      </c>
      <c r="E20" s="216" t="n">
        <f aca="false">C20-152000</f>
        <v>130294</v>
      </c>
      <c r="F20" s="239" t="n">
        <f aca="false">D20/$D$2</f>
        <v>-853.541719183262</v>
      </c>
      <c r="G20" s="240" t="n">
        <v>147</v>
      </c>
      <c r="H20" s="221" t="n">
        <v>0.5</v>
      </c>
      <c r="I20" s="240" t="n">
        <f aca="false">G20+H20</f>
        <v>147.5</v>
      </c>
      <c r="J20" s="221" t="n">
        <f aca="false">IF(L20&gt;0,L20,0)</f>
        <v>0</v>
      </c>
      <c r="K20" s="240" t="n">
        <f aca="false">I20+J20</f>
        <v>147.5</v>
      </c>
      <c r="L20" s="240" t="n">
        <f aca="false">F20-(I20-AA20)</f>
        <v>-107.041719183262</v>
      </c>
      <c r="M20" s="242" t="n">
        <v>268</v>
      </c>
      <c r="N20" s="240" t="n">
        <v>0</v>
      </c>
      <c r="O20" s="240" t="n">
        <f aca="false">73.99*1.05</f>
        <v>77.6895</v>
      </c>
      <c r="P20" s="357" t="n">
        <v>2.3</v>
      </c>
      <c r="Q20" s="357" t="n">
        <v>4.2</v>
      </c>
      <c r="R20" s="116" t="n">
        <v>4</v>
      </c>
      <c r="S20" s="240" t="n">
        <v>140</v>
      </c>
      <c r="T20" s="240" t="n">
        <v>82</v>
      </c>
      <c r="U20" s="240" t="n">
        <f aca="false">M20-N20-O20-P20-Q20-R20+S20+T20</f>
        <v>401.8105</v>
      </c>
      <c r="V20" s="216" t="n">
        <f aca="false">V19+AI20-(AJ20/1.9835)+AK20</f>
        <v>14830.680681997</v>
      </c>
      <c r="W20" s="216"/>
      <c r="X20" s="240" t="n">
        <v>331</v>
      </c>
      <c r="Y20" s="442" t="n">
        <v>73</v>
      </c>
      <c r="Z20" s="443" t="n">
        <f aca="false">Z19-Y20</f>
        <v>10869.9836148223</v>
      </c>
      <c r="AA20" s="117" t="n">
        <f aca="false">N20+O20+P20+Q20+R20+U20+X20+Y20</f>
        <v>894</v>
      </c>
      <c r="AB20" s="240" t="n">
        <f aca="false">IF(L20&lt;0,L20*-1,0)</f>
        <v>107.041719183262</v>
      </c>
      <c r="AC20" s="240" t="n">
        <f aca="false">AA20+AB20</f>
        <v>1001.04171918326</v>
      </c>
      <c r="AD20" s="493" t="n">
        <v>0</v>
      </c>
      <c r="AE20" s="224" t="n">
        <v>84</v>
      </c>
      <c r="AF20" s="223" t="n">
        <v>52</v>
      </c>
      <c r="AG20" s="218" t="n">
        <f aca="false">AG19</f>
        <v>0</v>
      </c>
      <c r="AH20" s="218"/>
      <c r="AI20" s="92" t="n">
        <f aca="false">I20-P20-Q20-U20</f>
        <v>-260.8105</v>
      </c>
      <c r="AJ20" s="341" t="n">
        <f aca="false">23.5*(V19*1.9835-U20*1.9835)/E20</f>
        <v>5.24718767579317</v>
      </c>
      <c r="AK20" s="92" t="n">
        <v>25</v>
      </c>
      <c r="AL20" s="8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153" t="n">
        <f aca="false">A20+1</f>
        <v>10</v>
      </c>
      <c r="B21" s="226" t="n">
        <v>6899.31</v>
      </c>
      <c r="C21" s="216" t="n">
        <v>281045</v>
      </c>
      <c r="D21" s="218" t="n">
        <f aca="false">C21-C20</f>
        <v>-1249</v>
      </c>
      <c r="E21" s="216" t="n">
        <f aca="false">C21-152000</f>
        <v>129045</v>
      </c>
      <c r="F21" s="239" t="n">
        <f aca="false">D21/$D$2</f>
        <v>-629.694983614822</v>
      </c>
      <c r="G21" s="240" t="n">
        <v>146</v>
      </c>
      <c r="H21" s="221" t="n">
        <v>0.5</v>
      </c>
      <c r="I21" s="240" t="n">
        <f aca="false">G21+H21</f>
        <v>146.5</v>
      </c>
      <c r="J21" s="221" t="n">
        <f aca="false">IF(L21&gt;0,L21,0)</f>
        <v>79.8050163851777</v>
      </c>
      <c r="K21" s="240" t="n">
        <f aca="false">I21+J21</f>
        <v>226.305016385178</v>
      </c>
      <c r="L21" s="240" t="n">
        <f aca="false">F21-(I21-AA21)</f>
        <v>79.8050163851777</v>
      </c>
      <c r="M21" s="242" t="n">
        <v>268</v>
      </c>
      <c r="N21" s="240" t="n">
        <v>0</v>
      </c>
      <c r="O21" s="240" t="n">
        <f aca="false">68.72*1.05</f>
        <v>72.156</v>
      </c>
      <c r="P21" s="357" t="n">
        <v>2.3</v>
      </c>
      <c r="Q21" s="357" t="n">
        <v>4.2</v>
      </c>
      <c r="R21" s="116" t="n">
        <v>3.75</v>
      </c>
      <c r="S21" s="240" t="n">
        <v>155</v>
      </c>
      <c r="T21" s="240" t="n">
        <v>81</v>
      </c>
      <c r="U21" s="240" t="n">
        <f aca="false">M21-N21-O21-P21-Q21-R21+S21+T21</f>
        <v>421.594</v>
      </c>
      <c r="V21" s="216" t="n">
        <f aca="false">V20+AI21-(AJ21/1.9835)+AK21</f>
        <v>14571.4626862046</v>
      </c>
      <c r="W21" s="216"/>
      <c r="X21" s="240" t="n">
        <v>274</v>
      </c>
      <c r="Y21" s="442" t="n">
        <v>78</v>
      </c>
      <c r="Z21" s="443" t="n">
        <f aca="false">Z20-Y21</f>
        <v>10791.9836148223</v>
      </c>
      <c r="AA21" s="117" t="n">
        <f aca="false">N21+O21+P21+Q21+R21+U21+X21+Y21</f>
        <v>856</v>
      </c>
      <c r="AB21" s="240" t="n">
        <f aca="false">IF(L21&lt;0,L21*-1,0)</f>
        <v>0</v>
      </c>
      <c r="AC21" s="240" t="n">
        <f aca="false">AA21+AB21</f>
        <v>856</v>
      </c>
      <c r="AD21" s="493" t="n">
        <v>0</v>
      </c>
      <c r="AE21" s="218" t="n">
        <v>85</v>
      </c>
      <c r="AF21" s="223" t="n">
        <v>57</v>
      </c>
      <c r="AG21" s="218" t="n">
        <f aca="false">AG20</f>
        <v>0</v>
      </c>
      <c r="AH21" s="218"/>
      <c r="AI21" s="92" t="n">
        <f aca="false">I21-P21-Q21-U21</f>
        <v>-281.594</v>
      </c>
      <c r="AJ21" s="341" t="n">
        <f aca="false">23.5*(V20*1.9835-U21*1.9835)/E21</f>
        <v>5.20469565417424</v>
      </c>
      <c r="AK21" s="92" t="n">
        <v>25</v>
      </c>
      <c r="AL21" s="8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153" t="n">
        <f aca="false">A21+1</f>
        <v>11</v>
      </c>
      <c r="B22" s="226" t="n">
        <v>6898.9</v>
      </c>
      <c r="C22" s="216" t="n">
        <v>279542</v>
      </c>
      <c r="D22" s="218" t="n">
        <f aca="false">C22-C21</f>
        <v>-1503</v>
      </c>
      <c r="E22" s="216" t="n">
        <f aca="false">C22-152000</f>
        <v>127542</v>
      </c>
      <c r="F22" s="239" t="n">
        <f aca="false">D22/$D$2</f>
        <v>-757.751449458029</v>
      </c>
      <c r="G22" s="240" t="n">
        <v>143</v>
      </c>
      <c r="H22" s="221" t="n">
        <v>0.4</v>
      </c>
      <c r="I22" s="240" t="n">
        <f aca="false">G22+H22</f>
        <v>143.4</v>
      </c>
      <c r="J22" s="221" t="n">
        <f aca="false">IF(L22&gt;0,L22,0)</f>
        <v>0</v>
      </c>
      <c r="K22" s="240" t="n">
        <f aca="false">I22+J22</f>
        <v>143.4</v>
      </c>
      <c r="L22" s="240" t="n">
        <f aca="false">F22-(I22-AA22)</f>
        <v>-101.151449458029</v>
      </c>
      <c r="M22" s="242" t="n">
        <v>259</v>
      </c>
      <c r="N22" s="240" t="n">
        <v>0</v>
      </c>
      <c r="O22" s="240" t="n">
        <f aca="false">59.67*1.05</f>
        <v>62.6535</v>
      </c>
      <c r="P22" s="357" t="n">
        <v>2.3</v>
      </c>
      <c r="Q22" s="357" t="n">
        <v>4.2</v>
      </c>
      <c r="R22" s="116" t="n">
        <v>2.55</v>
      </c>
      <c r="S22" s="240" t="n">
        <v>154</v>
      </c>
      <c r="T22" s="240" t="n">
        <v>83</v>
      </c>
      <c r="U22" s="240" t="n">
        <f aca="false">M22-N22-O22-P22-Q22-R22+S22+T22</f>
        <v>424.2965</v>
      </c>
      <c r="V22" s="216" t="n">
        <f aca="false">V21+AI22-(AJ22/1.9835)+AK22</f>
        <v>14306.4595279636</v>
      </c>
      <c r="W22" s="216"/>
      <c r="X22" s="240" t="n">
        <v>226</v>
      </c>
      <c r="Y22" s="442" t="n">
        <v>78</v>
      </c>
      <c r="Z22" s="443" t="n">
        <f aca="false">Z21-Y22</f>
        <v>10713.9836148223</v>
      </c>
      <c r="AA22" s="117" t="n">
        <f aca="false">N22+O22+P22+Q22+R22+U22+X22+Y22</f>
        <v>800</v>
      </c>
      <c r="AB22" s="240" t="n">
        <f aca="false">IF(L22&lt;0,L22*-1,0)</f>
        <v>101.151449458029</v>
      </c>
      <c r="AC22" s="240" t="n">
        <f aca="false">AA22+AB22</f>
        <v>901.151449458029</v>
      </c>
      <c r="AD22" s="493" t="n">
        <v>0</v>
      </c>
      <c r="AE22" s="218" t="n">
        <v>89</v>
      </c>
      <c r="AF22" s="223" t="n">
        <v>54</v>
      </c>
      <c r="AG22" s="218" t="n">
        <f aca="false">AG21</f>
        <v>0</v>
      </c>
      <c r="AH22" s="218"/>
      <c r="AI22" s="92" t="n">
        <f aca="false">I22-P22-Q22-U22</f>
        <v>-287.3965</v>
      </c>
      <c r="AJ22" s="341" t="n">
        <f aca="false">23.5*(V21*1.9835-U22*1.9835)/E22</f>
        <v>5.17030662105751</v>
      </c>
      <c r="AK22" s="92" t="n">
        <v>25</v>
      </c>
      <c r="AL22" s="8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153" t="n">
        <f aca="false">A22+1</f>
        <v>12</v>
      </c>
      <c r="B23" s="226" t="n">
        <v>6898.48</v>
      </c>
      <c r="C23" s="216" t="n">
        <v>278011</v>
      </c>
      <c r="D23" s="218" t="n">
        <f aca="false">C23-C22</f>
        <v>-1531</v>
      </c>
      <c r="E23" s="216" t="n">
        <f aca="false">C23-152000</f>
        <v>126011</v>
      </c>
      <c r="F23" s="239" t="n">
        <f aca="false">D23/$D$2</f>
        <v>-771.867910259642</v>
      </c>
      <c r="G23" s="240" t="n">
        <v>137</v>
      </c>
      <c r="H23" s="221" t="n">
        <v>0.4</v>
      </c>
      <c r="I23" s="240" t="n">
        <f aca="false">G23+H23</f>
        <v>137.4</v>
      </c>
      <c r="J23" s="221" t="n">
        <f aca="false">IF(L23&gt;0,L23,0)</f>
        <v>0</v>
      </c>
      <c r="K23" s="240" t="n">
        <f aca="false">I23+J23</f>
        <v>137.4</v>
      </c>
      <c r="L23" s="240" t="n">
        <f aca="false">F23-(I23-AA23)</f>
        <v>-36.267910259642</v>
      </c>
      <c r="M23" s="242" t="n">
        <v>261</v>
      </c>
      <c r="N23" s="240" t="n">
        <v>0</v>
      </c>
      <c r="O23" s="240" t="n">
        <f aca="false">55.26*1.05</f>
        <v>58.023</v>
      </c>
      <c r="P23" s="357" t="n">
        <v>2.3</v>
      </c>
      <c r="Q23" s="357" t="n">
        <v>4.2</v>
      </c>
      <c r="R23" s="116" t="n">
        <v>3.59</v>
      </c>
      <c r="S23" s="240" t="n">
        <v>158</v>
      </c>
      <c r="T23" s="240" t="n">
        <v>80</v>
      </c>
      <c r="U23" s="240" t="n">
        <f aca="false">M23-N23-O23-P23-Q23-R23+S23+T23</f>
        <v>430.887</v>
      </c>
      <c r="V23" s="216" t="n">
        <f aca="false">V22+AI23-(AJ23/1.9835)+AK23</f>
        <v>14028.884849472</v>
      </c>
      <c r="W23" s="216"/>
      <c r="X23" s="240" t="n">
        <v>296</v>
      </c>
      <c r="Y23" s="442" t="n">
        <v>78</v>
      </c>
      <c r="Z23" s="443" t="n">
        <f aca="false">Z22-Y23</f>
        <v>10635.9836148223</v>
      </c>
      <c r="AA23" s="117" t="n">
        <f aca="false">N23+O23+P23+Q23+R23+U23+X23+Y23</f>
        <v>873</v>
      </c>
      <c r="AB23" s="240" t="n">
        <f aca="false">IF(L23&lt;0,L23*-1,0)</f>
        <v>36.267910259642</v>
      </c>
      <c r="AC23" s="240" t="n">
        <f aca="false">AA23+AB23</f>
        <v>909.267910259642</v>
      </c>
      <c r="AD23" s="493" t="n">
        <v>0</v>
      </c>
      <c r="AE23" s="218" t="n">
        <v>90</v>
      </c>
      <c r="AF23" s="223" t="n">
        <v>58</v>
      </c>
      <c r="AG23" s="218" t="n">
        <f aca="false">AG22</f>
        <v>0</v>
      </c>
      <c r="AH23" s="218"/>
      <c r="AI23" s="92" t="n">
        <f aca="false">I23-P23-Q23-U23</f>
        <v>-299.987</v>
      </c>
      <c r="AJ23" s="341" t="n">
        <f aca="false">23.5*(V22*1.9835-U23*1.9835)/E23</f>
        <v>5.13266028812224</v>
      </c>
      <c r="AK23" s="92" t="n">
        <v>25</v>
      </c>
      <c r="AL23" s="8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153" t="n">
        <f aca="false">A23+1</f>
        <v>13</v>
      </c>
      <c r="B24" s="226" t="n">
        <v>6898.12</v>
      </c>
      <c r="C24" s="216" t="n">
        <v>276698</v>
      </c>
      <c r="D24" s="218" t="n">
        <f aca="false">C24-C23</f>
        <v>-1313</v>
      </c>
      <c r="E24" s="216" t="n">
        <f aca="false">C24-152000</f>
        <v>124698</v>
      </c>
      <c r="F24" s="239" t="n">
        <f aca="false">D24/$D$2</f>
        <v>-661.961179732796</v>
      </c>
      <c r="G24" s="240" t="n">
        <v>132</v>
      </c>
      <c r="H24" s="221" t="n">
        <v>0.4</v>
      </c>
      <c r="I24" s="240" t="n">
        <f aca="false">G24+H24</f>
        <v>132.4</v>
      </c>
      <c r="J24" s="221" t="n">
        <f aca="false">IF(L24&gt;0,L24,0)</f>
        <v>67.6388202672044</v>
      </c>
      <c r="K24" s="240" t="n">
        <f aca="false">I24+J24</f>
        <v>200.038820267204</v>
      </c>
      <c r="L24" s="240" t="n">
        <f aca="false">F24-(I24-AA24)</f>
        <v>67.6388202672044</v>
      </c>
      <c r="M24" s="242" t="n">
        <v>268</v>
      </c>
      <c r="N24" s="240" t="n">
        <v>0</v>
      </c>
      <c r="O24" s="240" t="n">
        <f aca="false">67.37*1.05</f>
        <v>70.7385</v>
      </c>
      <c r="P24" s="357" t="n">
        <v>2.3</v>
      </c>
      <c r="Q24" s="357" t="n">
        <v>4.2</v>
      </c>
      <c r="R24" s="116" t="n">
        <v>3.37</v>
      </c>
      <c r="S24" s="240" t="n">
        <v>161</v>
      </c>
      <c r="T24" s="240" t="n">
        <v>80</v>
      </c>
      <c r="U24" s="240" t="n">
        <f aca="false">M24-N24-O24-P24-Q24-R24+S24+T24</f>
        <v>428.3915</v>
      </c>
      <c r="V24" s="216" t="n">
        <f aca="false">V23+AI24-(AJ24/1.9835)+AK24</f>
        <v>13748.8302643085</v>
      </c>
      <c r="W24" s="216"/>
      <c r="X24" s="240" t="n">
        <v>275</v>
      </c>
      <c r="Y24" s="442" t="n">
        <v>78</v>
      </c>
      <c r="Z24" s="443" t="n">
        <f aca="false">Z23-Y24</f>
        <v>10557.9836148223</v>
      </c>
      <c r="AA24" s="117" t="n">
        <f aca="false">N24+O24+P24+Q24+R24+U24+X24+Y24</f>
        <v>862</v>
      </c>
      <c r="AB24" s="240" t="n">
        <f aca="false">IF(L24&lt;0,L24*-1,0)</f>
        <v>0</v>
      </c>
      <c r="AC24" s="240" t="n">
        <f aca="false">AA24+AB24</f>
        <v>862</v>
      </c>
      <c r="AD24" s="493" t="n">
        <v>0</v>
      </c>
      <c r="AE24" s="218" t="n">
        <v>93</v>
      </c>
      <c r="AF24" s="223" t="n">
        <v>60</v>
      </c>
      <c r="AG24" s="218" t="n">
        <f aca="false">AG23</f>
        <v>0</v>
      </c>
      <c r="AH24" s="218"/>
      <c r="AI24" s="92" t="n">
        <f aca="false">I24-P24-Q24-U24</f>
        <v>-302.4915</v>
      </c>
      <c r="AJ24" s="341" t="n">
        <f aca="false">23.5*(V23*1.9835-U24*1.9835)/E24</f>
        <v>5.08387942171427</v>
      </c>
      <c r="AK24" s="92" t="n">
        <v>25</v>
      </c>
      <c r="AL24" s="8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153" t="n">
        <f aca="false">A24+1</f>
        <v>14</v>
      </c>
      <c r="B25" s="226" t="n">
        <v>6897.7</v>
      </c>
      <c r="C25" s="216" t="n">
        <v>275175</v>
      </c>
      <c r="D25" s="218" t="n">
        <f aca="false">C25-C24</f>
        <v>-1523</v>
      </c>
      <c r="E25" s="216" t="n">
        <f aca="false">C25-152000</f>
        <v>123175</v>
      </c>
      <c r="F25" s="239" t="n">
        <f aca="false">D25/$D$2</f>
        <v>-767.834635744895</v>
      </c>
      <c r="G25" s="240" t="n">
        <v>133</v>
      </c>
      <c r="H25" s="221" t="n">
        <v>0.5</v>
      </c>
      <c r="I25" s="240" t="n">
        <f aca="false">G25+H25</f>
        <v>133.5</v>
      </c>
      <c r="J25" s="221" t="n">
        <f aca="false">IF(L25&gt;0,L25,0)</f>
        <v>0</v>
      </c>
      <c r="K25" s="240" t="n">
        <f aca="false">I25+J25</f>
        <v>133.5</v>
      </c>
      <c r="L25" s="240" t="n">
        <f aca="false">F25-(I25-AA25)</f>
        <v>-32.3346357448954</v>
      </c>
      <c r="M25" s="242" t="n">
        <v>265</v>
      </c>
      <c r="N25" s="240" t="n">
        <v>0</v>
      </c>
      <c r="O25" s="240" t="n">
        <f aca="false">61.77*1.05</f>
        <v>64.8585</v>
      </c>
      <c r="P25" s="357" t="n">
        <v>2.3</v>
      </c>
      <c r="Q25" s="357" t="n">
        <v>4.2</v>
      </c>
      <c r="R25" s="116" t="n">
        <v>3.88</v>
      </c>
      <c r="S25" s="240" t="n">
        <v>160</v>
      </c>
      <c r="T25" s="240" t="n">
        <v>78</v>
      </c>
      <c r="U25" s="240" t="n">
        <f aca="false">M25-N25-O25-P25-Q25-R25+S25+T25</f>
        <v>427.7615</v>
      </c>
      <c r="V25" s="216" t="n">
        <f aca="false">V24+AI25-(AJ25/1.9835)+AK25</f>
        <v>13470.5272979723</v>
      </c>
      <c r="W25" s="216"/>
      <c r="X25" s="240" t="n">
        <v>288</v>
      </c>
      <c r="Y25" s="442" t="n">
        <v>78</v>
      </c>
      <c r="Z25" s="443" t="n">
        <f aca="false">Z24-Y25</f>
        <v>10479.9836148223</v>
      </c>
      <c r="AA25" s="117" t="n">
        <f aca="false">N25+O25+P25+Q25+R25+U25+X25+Y25</f>
        <v>869</v>
      </c>
      <c r="AB25" s="240" t="n">
        <f aca="false">IF(L25&lt;0,L25*-1,0)</f>
        <v>32.3346357448954</v>
      </c>
      <c r="AC25" s="240" t="n">
        <f aca="false">AA25+AB25</f>
        <v>901.334635744895</v>
      </c>
      <c r="AD25" s="493" t="n">
        <v>0.02</v>
      </c>
      <c r="AE25" s="218" t="n">
        <v>91</v>
      </c>
      <c r="AF25" s="223" t="n">
        <v>60</v>
      </c>
      <c r="AG25" s="218" t="n">
        <f aca="false">AG24</f>
        <v>0</v>
      </c>
      <c r="AH25" s="218"/>
      <c r="AI25" s="92" t="n">
        <f aca="false">I25-P25-Q25-U25</f>
        <v>-300.7615</v>
      </c>
      <c r="AJ25" s="341" t="n">
        <f aca="false">23.5*(V24*1.9835-U25*1.9835)/E25</f>
        <v>5.04099847784973</v>
      </c>
      <c r="AK25" s="92" t="n">
        <v>25</v>
      </c>
      <c r="AL25" s="8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153" t="n">
        <f aca="false">A25+1</f>
        <v>15</v>
      </c>
      <c r="B26" s="226" t="n">
        <v>6897.3</v>
      </c>
      <c r="C26" s="216" t="n">
        <v>273728</v>
      </c>
      <c r="D26" s="218" t="n">
        <f aca="false">C26-C25</f>
        <v>-1447</v>
      </c>
      <c r="E26" s="216" t="n">
        <f aca="false">C26-152000</f>
        <v>121728</v>
      </c>
      <c r="F26" s="239" t="n">
        <f aca="false">D26/$D$2</f>
        <v>-729.518527854802</v>
      </c>
      <c r="G26" s="240" t="n">
        <v>139</v>
      </c>
      <c r="H26" s="221" t="n">
        <v>0.4</v>
      </c>
      <c r="I26" s="240" t="n">
        <f aca="false">G26+H26</f>
        <v>139.4</v>
      </c>
      <c r="J26" s="221" t="n">
        <f aca="false">IF(L26&gt;0,L26,0)</f>
        <v>0</v>
      </c>
      <c r="K26" s="240" t="n">
        <f aca="false">I26+J26</f>
        <v>139.4</v>
      </c>
      <c r="L26" s="240" t="n">
        <f aca="false">F26-(I26-AA26)</f>
        <v>-67.9185278548021</v>
      </c>
      <c r="M26" s="242" t="n">
        <v>246</v>
      </c>
      <c r="N26" s="240" t="n">
        <v>0</v>
      </c>
      <c r="O26" s="240" t="n">
        <f aca="false">53.2*1.05</f>
        <v>55.86</v>
      </c>
      <c r="P26" s="357" t="n">
        <v>2.3</v>
      </c>
      <c r="Q26" s="357" t="n">
        <v>4.2</v>
      </c>
      <c r="R26" s="116" t="n">
        <v>3.64</v>
      </c>
      <c r="S26" s="240" t="n">
        <v>160</v>
      </c>
      <c r="T26" s="240" t="n">
        <v>77</v>
      </c>
      <c r="U26" s="240" t="n">
        <f aca="false">M26-N26-O26-P26-Q26-R26+S26+T26</f>
        <v>417</v>
      </c>
      <c r="V26" s="216" t="n">
        <f aca="false">V25+AI26-(AJ26/1.9835)+AK26</f>
        <v>13208.9072706039</v>
      </c>
      <c r="W26" s="216"/>
      <c r="X26" s="240" t="n">
        <v>240</v>
      </c>
      <c r="Y26" s="442" t="n">
        <v>78</v>
      </c>
      <c r="Z26" s="443" t="n">
        <f aca="false">Z25-Y26</f>
        <v>10401.9836148223</v>
      </c>
      <c r="AA26" s="117" t="n">
        <f aca="false">N26+O26+P26+Q26+R26+U26+X26+Y26</f>
        <v>801</v>
      </c>
      <c r="AB26" s="240" t="n">
        <f aca="false">IF(L26&lt;0,L26*-1,0)</f>
        <v>67.9185278548021</v>
      </c>
      <c r="AC26" s="240" t="n">
        <f aca="false">AA26+AB26</f>
        <v>868.918527854802</v>
      </c>
      <c r="AD26" s="493" t="n">
        <v>0</v>
      </c>
      <c r="AE26" s="224" t="n">
        <v>88</v>
      </c>
      <c r="AF26" s="223" t="n">
        <v>54</v>
      </c>
      <c r="AG26" s="218" t="n">
        <f aca="false">AG25</f>
        <v>0</v>
      </c>
      <c r="AH26" s="218"/>
      <c r="AI26" s="92" t="n">
        <f aca="false">I26-P26-Q26-U26</f>
        <v>-284.1</v>
      </c>
      <c r="AJ26" s="341" t="n">
        <f aca="false">23.5*(V25*1.9835-U26*1.9835)/E26</f>
        <v>4.99847428524999</v>
      </c>
      <c r="AK26" s="92" t="n">
        <v>25</v>
      </c>
      <c r="AL26" s="8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153" t="n">
        <f aca="false">A26+1</f>
        <v>16</v>
      </c>
      <c r="B27" s="226" t="n">
        <v>6896.98</v>
      </c>
      <c r="C27" s="216" t="n">
        <v>272571</v>
      </c>
      <c r="D27" s="218" t="n">
        <f aca="false">C27-C26</f>
        <v>-1157</v>
      </c>
      <c r="E27" s="216" t="n">
        <f aca="false">C27-152000</f>
        <v>120571</v>
      </c>
      <c r="F27" s="239" t="n">
        <f aca="false">D27/$D$2</f>
        <v>-583.312326695236</v>
      </c>
      <c r="G27" s="240" t="n">
        <v>147</v>
      </c>
      <c r="H27" s="221" t="n">
        <v>0.3</v>
      </c>
      <c r="I27" s="240" t="n">
        <f aca="false">G27+H27</f>
        <v>147.3</v>
      </c>
      <c r="J27" s="221" t="n">
        <f aca="false">IF(L27&gt;0,L27,0)</f>
        <v>48.3876733047643</v>
      </c>
      <c r="K27" s="240" t="n">
        <f aca="false">I27+J27</f>
        <v>195.687673304764</v>
      </c>
      <c r="L27" s="240" t="n">
        <f aca="false">F27-(I27-AA27)</f>
        <v>48.3876733047643</v>
      </c>
      <c r="M27" s="242" t="n">
        <v>231</v>
      </c>
      <c r="N27" s="240" t="n">
        <v>0</v>
      </c>
      <c r="O27" s="240" t="n">
        <f aca="false">48.12*1.05</f>
        <v>50.526</v>
      </c>
      <c r="P27" s="357" t="n">
        <v>2.3</v>
      </c>
      <c r="Q27" s="357" t="n">
        <v>4.2</v>
      </c>
      <c r="R27" s="116" t="n">
        <v>5.19</v>
      </c>
      <c r="S27" s="240" t="n">
        <v>161</v>
      </c>
      <c r="T27" s="240" t="n">
        <v>75</v>
      </c>
      <c r="U27" s="240" t="n">
        <f aca="false">M27-N27-O27-P27-Q27-R27+S27+T27</f>
        <v>404.784</v>
      </c>
      <c r="V27" s="216" t="n">
        <f aca="false">V26+AI27-(AJ27/1.9835)+AK27</f>
        <v>12967.4276713565</v>
      </c>
      <c r="W27" s="216"/>
      <c r="X27" s="240" t="n">
        <v>235</v>
      </c>
      <c r="Y27" s="442" t="n">
        <v>77</v>
      </c>
      <c r="Z27" s="443" t="n">
        <f aca="false">Z26-Y27</f>
        <v>10324.9836148223</v>
      </c>
      <c r="AA27" s="117" t="n">
        <f aca="false">N27+O27+P27+Q27+R27+U27+X27+Y27</f>
        <v>779</v>
      </c>
      <c r="AB27" s="240" t="n">
        <f aca="false">IF(L27&lt;0,L27*-1,0)</f>
        <v>0</v>
      </c>
      <c r="AC27" s="240" t="n">
        <f aca="false">AA27+AB27</f>
        <v>779</v>
      </c>
      <c r="AD27" s="493" t="n">
        <v>0.13</v>
      </c>
      <c r="AE27" s="224" t="n">
        <v>87</v>
      </c>
      <c r="AF27" s="223" t="n">
        <v>56</v>
      </c>
      <c r="AG27" s="218" t="n">
        <f aca="false">AG26</f>
        <v>0</v>
      </c>
      <c r="AH27" s="218"/>
      <c r="AI27" s="92" t="n">
        <f aca="false">I27-P27-Q27-U27</f>
        <v>-263.984</v>
      </c>
      <c r="AJ27" s="341" t="n">
        <f aca="false">23.5*(V26*1.9835-U27*1.9835)/E27</f>
        <v>4.95002110723314</v>
      </c>
      <c r="AK27" s="92" t="n">
        <v>25</v>
      </c>
      <c r="AL27" s="8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153" t="n">
        <f aca="false">A27+1</f>
        <v>17</v>
      </c>
      <c r="B28" s="226" t="n">
        <v>6896.6</v>
      </c>
      <c r="C28" s="216" t="n">
        <v>271208</v>
      </c>
      <c r="D28" s="218" t="n">
        <f aca="false">C28-C27</f>
        <v>-1363</v>
      </c>
      <c r="E28" s="216" t="n">
        <f aca="false">C28-152000</f>
        <v>119208</v>
      </c>
      <c r="F28" s="239" t="n">
        <f aca="false">D28/$D$2</f>
        <v>-687.169145449962</v>
      </c>
      <c r="G28" s="240" t="n">
        <v>166</v>
      </c>
      <c r="H28" s="221" t="n">
        <v>0.4</v>
      </c>
      <c r="I28" s="240" t="n">
        <f aca="false">G28+H28</f>
        <v>166.4</v>
      </c>
      <c r="J28" s="221" t="n">
        <f aca="false">IF(L28&gt;0,L28,0)</f>
        <v>0</v>
      </c>
      <c r="K28" s="240" t="n">
        <f aca="false">I28+J28</f>
        <v>166.4</v>
      </c>
      <c r="L28" s="240" t="n">
        <f aca="false">F28-(I28-AA28)</f>
        <v>-56.5691454499622</v>
      </c>
      <c r="M28" s="242" t="n">
        <v>260</v>
      </c>
      <c r="N28" s="240" t="n">
        <v>0</v>
      </c>
      <c r="O28" s="240" t="n">
        <f aca="false">58.35*1.05</f>
        <v>61.2675</v>
      </c>
      <c r="P28" s="357" t="n">
        <v>2.3</v>
      </c>
      <c r="Q28" s="357" t="n">
        <v>4.2</v>
      </c>
      <c r="R28" s="116" t="n">
        <v>5.15</v>
      </c>
      <c r="S28" s="240" t="n">
        <v>160</v>
      </c>
      <c r="T28" s="240" t="n">
        <v>74</v>
      </c>
      <c r="U28" s="240" t="n">
        <f aca="false">M28-N28-O28-P28-Q28-R28+S28+T28</f>
        <v>421.0825</v>
      </c>
      <c r="V28" s="216" t="n">
        <f aca="false">V27+AI28-(AJ28/1.9835)+AK28</f>
        <v>12728.7718548717</v>
      </c>
      <c r="W28" s="216"/>
      <c r="X28" s="240" t="n">
        <v>226</v>
      </c>
      <c r="Y28" s="442" t="n">
        <v>77</v>
      </c>
      <c r="Z28" s="443" t="n">
        <f aca="false">Z27-Y28</f>
        <v>10247.9836148223</v>
      </c>
      <c r="AA28" s="117" t="n">
        <f aca="false">N28+O28+P28+Q28+R28+U28+X28+Y28</f>
        <v>797</v>
      </c>
      <c r="AB28" s="240" t="n">
        <f aca="false">IF(L28&lt;0,L28*-1,0)</f>
        <v>56.5691454499622</v>
      </c>
      <c r="AC28" s="240" t="n">
        <f aca="false">AA28+AB28</f>
        <v>853.569145449962</v>
      </c>
      <c r="AD28" s="493" t="n">
        <v>0.03</v>
      </c>
      <c r="AE28" s="224" t="n">
        <v>86</v>
      </c>
      <c r="AF28" s="223" t="n">
        <v>57</v>
      </c>
      <c r="AG28" s="218" t="n">
        <f aca="false">AG27</f>
        <v>0</v>
      </c>
      <c r="AH28" s="218"/>
      <c r="AI28" s="92" t="n">
        <f aca="false">I28-P28-Q28-U28</f>
        <v>-261.1825</v>
      </c>
      <c r="AJ28" s="341" t="n">
        <f aca="false">23.5*(V27*1.9835-U28*1.9835)/E28</f>
        <v>4.9058232477146</v>
      </c>
      <c r="AK28" s="92" t="n">
        <v>25</v>
      </c>
      <c r="AL28" s="8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153" t="n">
        <f aca="false">A28+1</f>
        <v>18</v>
      </c>
      <c r="B29" s="226" t="n">
        <v>6896.27</v>
      </c>
      <c r="C29" s="216" t="n">
        <v>270024</v>
      </c>
      <c r="D29" s="218" t="n">
        <f aca="false">C29-C28</f>
        <v>-1184</v>
      </c>
      <c r="E29" s="216" t="n">
        <f aca="false">C29-152000</f>
        <v>118024</v>
      </c>
      <c r="F29" s="239" t="n">
        <f aca="false">D29/$D$2</f>
        <v>-596.924628182506</v>
      </c>
      <c r="G29" s="240" t="n">
        <v>144</v>
      </c>
      <c r="H29" s="221" t="n">
        <v>0.4</v>
      </c>
      <c r="I29" s="240" t="n">
        <f aca="false">G29+H29</f>
        <v>144.4</v>
      </c>
      <c r="J29" s="221" t="n">
        <f aca="false">IF(L29&gt;0,L29,0)</f>
        <v>0</v>
      </c>
      <c r="K29" s="240" t="n">
        <f aca="false">I29+J29</f>
        <v>144.4</v>
      </c>
      <c r="L29" s="240" t="n">
        <f aca="false">F29-(I29-AA29)</f>
        <v>-19.3246281825056</v>
      </c>
      <c r="M29" s="242" t="n">
        <v>240</v>
      </c>
      <c r="N29" s="240" t="n">
        <v>0</v>
      </c>
      <c r="O29" s="240" t="n">
        <f aca="false">50.99*1.05</f>
        <v>53.5395</v>
      </c>
      <c r="P29" s="357" t="n">
        <v>2.3</v>
      </c>
      <c r="Q29" s="357" t="n">
        <v>4.2</v>
      </c>
      <c r="R29" s="116" t="n">
        <v>2.36</v>
      </c>
      <c r="S29" s="240" t="n">
        <v>159</v>
      </c>
      <c r="T29" s="240" t="n">
        <v>71</v>
      </c>
      <c r="U29" s="240" t="n">
        <f aca="false">M29-N29-O29-P29-Q29-R29+S29+T29</f>
        <v>407.6005</v>
      </c>
      <c r="V29" s="216" t="n">
        <f aca="false">V28+AI29-(AJ29/1.9835)+AK29</f>
        <v>12481.6180612463</v>
      </c>
      <c r="W29" s="216"/>
      <c r="X29" s="240" t="n">
        <v>175</v>
      </c>
      <c r="Y29" s="442" t="n">
        <v>77</v>
      </c>
      <c r="Z29" s="443" t="n">
        <f aca="false">Z28-Y29</f>
        <v>10170.9836148223</v>
      </c>
      <c r="AA29" s="117" t="n">
        <f aca="false">N29+O29+P29+Q29+R29+U29+X29+Y29</f>
        <v>722</v>
      </c>
      <c r="AB29" s="240" t="n">
        <f aca="false">IF(L29&lt;0,L29*-1,0)</f>
        <v>19.3246281825056</v>
      </c>
      <c r="AC29" s="240" t="n">
        <f aca="false">AA29+AB29</f>
        <v>741.324628182506</v>
      </c>
      <c r="AD29" s="493" t="n">
        <v>0.08</v>
      </c>
      <c r="AE29" s="224" t="n">
        <v>87</v>
      </c>
      <c r="AF29" s="223" t="n">
        <v>57</v>
      </c>
      <c r="AG29" s="218" t="n">
        <f aca="false">AG28</f>
        <v>0</v>
      </c>
      <c r="AH29" s="218"/>
      <c r="AI29" s="92" t="n">
        <f aca="false">I29-P29-Q29-U29</f>
        <v>-269.7005</v>
      </c>
      <c r="AJ29" s="341" t="n">
        <f aca="false">23.5*(V28*1.9835-U29*1.9835)/E29</f>
        <v>4.86610790590148</v>
      </c>
      <c r="AK29" s="92" t="n">
        <v>25</v>
      </c>
      <c r="AL29" s="8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153" t="n">
        <f aca="false">A29+1</f>
        <v>19</v>
      </c>
      <c r="B30" s="226" t="n">
        <v>6895.92</v>
      </c>
      <c r="C30" s="216" t="n">
        <v>268770</v>
      </c>
      <c r="D30" s="218" t="n">
        <f aca="false">C30-C29</f>
        <v>-1254</v>
      </c>
      <c r="E30" s="216" t="n">
        <f aca="false">C30-152000</f>
        <v>116770</v>
      </c>
      <c r="F30" s="239" t="n">
        <f aca="false">D30/$D$2</f>
        <v>-632.215780186539</v>
      </c>
      <c r="G30" s="240" t="n">
        <v>147</v>
      </c>
      <c r="H30" s="221" t="n">
        <v>0.5</v>
      </c>
      <c r="I30" s="240" t="n">
        <f aca="false">G30+H30</f>
        <v>147.5</v>
      </c>
      <c r="J30" s="221" t="n">
        <f aca="false">IF(L30&gt;0,L30,0)</f>
        <v>0</v>
      </c>
      <c r="K30" s="240" t="n">
        <f aca="false">I30+J30</f>
        <v>147.5</v>
      </c>
      <c r="L30" s="240" t="n">
        <f aca="false">F30-(I30-AA30)</f>
        <v>-78.715780186539</v>
      </c>
      <c r="M30" s="242" t="n">
        <v>229</v>
      </c>
      <c r="N30" s="240" t="n">
        <v>0</v>
      </c>
      <c r="O30" s="240" t="n">
        <f aca="false">45.17*1.05</f>
        <v>47.4285</v>
      </c>
      <c r="P30" s="357" t="n">
        <v>2.3</v>
      </c>
      <c r="Q30" s="357" t="n">
        <v>4.2</v>
      </c>
      <c r="R30" s="116" t="n">
        <v>3.44</v>
      </c>
      <c r="S30" s="240" t="n">
        <v>150</v>
      </c>
      <c r="T30" s="240" t="n">
        <v>70</v>
      </c>
      <c r="U30" s="240" t="n">
        <f aca="false">M30-N30-O30-P30-Q30-R30+S30+T30</f>
        <v>391.6315</v>
      </c>
      <c r="V30" s="216" t="n">
        <f aca="false">V29+AI30-(AJ30/1.9835)+AK30</f>
        <v>12253.5534475682</v>
      </c>
      <c r="W30" s="216"/>
      <c r="X30" s="240" t="n">
        <v>175</v>
      </c>
      <c r="Y30" s="442" t="n">
        <v>77</v>
      </c>
      <c r="Z30" s="443" t="n">
        <f aca="false">Z29-Y30</f>
        <v>10093.9836148223</v>
      </c>
      <c r="AA30" s="117" t="n">
        <f aca="false">N30+O30+P30+Q30+R30+U30+X30+Y30</f>
        <v>701</v>
      </c>
      <c r="AB30" s="240" t="n">
        <f aca="false">IF(L30&lt;0,L30*-1,0)</f>
        <v>78.715780186539</v>
      </c>
      <c r="AC30" s="240" t="n">
        <f aca="false">AA30+AB30</f>
        <v>779.715780186539</v>
      </c>
      <c r="AD30" s="493" t="n">
        <v>0.02</v>
      </c>
      <c r="AE30" s="224" t="n">
        <v>88</v>
      </c>
      <c r="AF30" s="223" t="n">
        <v>56</v>
      </c>
      <c r="AG30" s="218" t="n">
        <f aca="false">AG29</f>
        <v>0</v>
      </c>
      <c r="AH30" s="218"/>
      <c r="AI30" s="92" t="n">
        <f aca="false">I30-P30-Q30-U30</f>
        <v>-250.6315</v>
      </c>
      <c r="AJ30" s="341" t="n">
        <f aca="false">23.5*(V29*1.9835-U30*1.9835)/E30</f>
        <v>4.82608098046975</v>
      </c>
      <c r="AK30" s="92" t="n">
        <v>25</v>
      </c>
      <c r="AL30" s="8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153" t="n">
        <f aca="false">A30+1</f>
        <v>20</v>
      </c>
      <c r="B31" s="226" t="n">
        <v>6895.65</v>
      </c>
      <c r="C31" s="216" t="n">
        <v>267809</v>
      </c>
      <c r="D31" s="218" t="n">
        <f aca="false">C31-C30</f>
        <v>-961</v>
      </c>
      <c r="E31" s="216" t="n">
        <f aca="false">C31-152000</f>
        <v>115809</v>
      </c>
      <c r="F31" s="239" t="n">
        <f aca="false">D31/$D$2</f>
        <v>-484.497101083943</v>
      </c>
      <c r="G31" s="240" t="n">
        <v>139</v>
      </c>
      <c r="H31" s="221" t="n">
        <v>0.3</v>
      </c>
      <c r="I31" s="240" t="n">
        <f aca="false">G31+H31</f>
        <v>139.3</v>
      </c>
      <c r="J31" s="221" t="n">
        <f aca="false">IF(L31&gt;0,L31,0)</f>
        <v>66.2028989160575</v>
      </c>
      <c r="K31" s="240" t="n">
        <f aca="false">I31+J31</f>
        <v>205.502898916058</v>
      </c>
      <c r="L31" s="240" t="n">
        <f aca="false">F31-(I31-AA31)</f>
        <v>66.2028989160575</v>
      </c>
      <c r="M31" s="242" t="n">
        <v>230</v>
      </c>
      <c r="N31" s="240" t="n">
        <v>0</v>
      </c>
      <c r="O31" s="240" t="n">
        <f aca="false">48.2*1.05</f>
        <v>50.61</v>
      </c>
      <c r="P31" s="357" t="n">
        <v>2.3</v>
      </c>
      <c r="Q31" s="357" t="n">
        <v>4.2</v>
      </c>
      <c r="R31" s="116" t="n">
        <v>3.54</v>
      </c>
      <c r="S31" s="240" t="n">
        <v>143</v>
      </c>
      <c r="T31" s="240" t="n">
        <v>71</v>
      </c>
      <c r="U31" s="240" t="n">
        <f aca="false">M31-N31-O31-P31-Q31-R31+S31+T31</f>
        <v>383.35</v>
      </c>
      <c r="V31" s="216" t="n">
        <f aca="false">V30+AI31-(AJ31/1.9835)+AK31</f>
        <v>12025.5947420184</v>
      </c>
      <c r="W31" s="216"/>
      <c r="X31" s="240" t="n">
        <v>169</v>
      </c>
      <c r="Y31" s="442" t="n">
        <v>77</v>
      </c>
      <c r="Z31" s="443" t="n">
        <f aca="false">Z30-Y31</f>
        <v>10016.9836148223</v>
      </c>
      <c r="AA31" s="117" t="n">
        <f aca="false">N31+O31+P31+Q31+R31+U31+X31+Y31</f>
        <v>690</v>
      </c>
      <c r="AB31" s="240" t="n">
        <f aca="false">IF(L31&lt;0,L31*-1,0)</f>
        <v>0</v>
      </c>
      <c r="AC31" s="240" t="n">
        <f aca="false">AA31+AB31</f>
        <v>690</v>
      </c>
      <c r="AD31" s="493" t="n">
        <v>0</v>
      </c>
      <c r="AE31" s="224" t="n">
        <v>87</v>
      </c>
      <c r="AF31" s="223" t="n">
        <v>56</v>
      </c>
      <c r="AG31" s="218" t="n">
        <f aca="false">AG30</f>
        <v>0</v>
      </c>
      <c r="AH31" s="218"/>
      <c r="AI31" s="92" t="n">
        <f aca="false">I31-P31-Q31-U31</f>
        <v>-250.55</v>
      </c>
      <c r="AJ31" s="341" t="n">
        <f aca="false">23.5*(V30*1.9835-U31*1.9835)/E31</f>
        <v>4.77766745804654</v>
      </c>
      <c r="AK31" s="92" t="n">
        <v>25</v>
      </c>
      <c r="AL31" s="8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153" t="n">
        <f aca="false">A31+1</f>
        <v>21</v>
      </c>
      <c r="B32" s="226" t="n">
        <v>6895.34</v>
      </c>
      <c r="C32" s="216" t="n">
        <v>266706</v>
      </c>
      <c r="D32" s="218" t="n">
        <f aca="false">C32-C31</f>
        <v>-1103</v>
      </c>
      <c r="E32" s="216" t="n">
        <f aca="false">C32-152000</f>
        <v>114706</v>
      </c>
      <c r="F32" s="239" t="n">
        <f aca="false">D32/$D$2</f>
        <v>-556.087723720696</v>
      </c>
      <c r="G32" s="240" t="n">
        <v>127</v>
      </c>
      <c r="H32" s="221" t="n">
        <v>0.3</v>
      </c>
      <c r="I32" s="240" t="n">
        <f aca="false">G32+H32</f>
        <v>127.3</v>
      </c>
      <c r="J32" s="221" t="n">
        <f aca="false">IF(L32&gt;0,L32,0)</f>
        <v>0</v>
      </c>
      <c r="K32" s="240" t="n">
        <f aca="false">I32+J32</f>
        <v>127.3</v>
      </c>
      <c r="L32" s="240" t="n">
        <f aca="false">F32-(I32-AA32)</f>
        <v>-5.3877237206957</v>
      </c>
      <c r="M32" s="242" t="n">
        <v>211</v>
      </c>
      <c r="N32" s="240" t="n">
        <v>0</v>
      </c>
      <c r="O32" s="240" t="n">
        <f aca="false">54.94*1.05</f>
        <v>57.687</v>
      </c>
      <c r="P32" s="357" t="n">
        <v>2.3</v>
      </c>
      <c r="Q32" s="357" t="n">
        <v>4.2</v>
      </c>
      <c r="R32" s="116" t="n">
        <v>3.57</v>
      </c>
      <c r="S32" s="240" t="n">
        <v>142</v>
      </c>
      <c r="T32" s="240" t="n">
        <v>71</v>
      </c>
      <c r="U32" s="240" t="n">
        <f aca="false">M32-N32-O32-P32-Q32-R32+S32+T32</f>
        <v>356.243</v>
      </c>
      <c r="V32" s="216" t="n">
        <f aca="false">V31+AI32-(AJ32/1.9835)+AK32</f>
        <v>11812.761023434</v>
      </c>
      <c r="W32" s="216"/>
      <c r="X32" s="240" t="n">
        <v>177</v>
      </c>
      <c r="Y32" s="442" t="n">
        <v>77</v>
      </c>
      <c r="Z32" s="443" t="n">
        <f aca="false">Z31-Y32</f>
        <v>9939.98361482228</v>
      </c>
      <c r="AA32" s="117" t="n">
        <f aca="false">N32+O32+P32+Q32+R32+U32+X32+Y32</f>
        <v>678</v>
      </c>
      <c r="AB32" s="240" t="n">
        <f aca="false">IF(L32&lt;0,L32*-1,0)</f>
        <v>5.3877237206957</v>
      </c>
      <c r="AC32" s="240" t="n">
        <f aca="false">AA32+AB32</f>
        <v>683.387723720696</v>
      </c>
      <c r="AD32" s="493" t="n">
        <v>0</v>
      </c>
      <c r="AE32" s="218" t="n">
        <v>90</v>
      </c>
      <c r="AF32" s="223" t="n">
        <v>57</v>
      </c>
      <c r="AG32" s="218" t="n">
        <f aca="false">AG31</f>
        <v>0</v>
      </c>
      <c r="AH32" s="218"/>
      <c r="AI32" s="92" t="n">
        <f aca="false">I32-P32-Q32-U32</f>
        <v>-235.443</v>
      </c>
      <c r="AJ32" s="341" t="n">
        <f aca="false">23.5*(V31*1.9835-U32*1.9835)/E32</f>
        <v>4.7419903120752</v>
      </c>
      <c r="AK32" s="92" t="n">
        <v>25</v>
      </c>
      <c r="AL32" s="8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153" t="n">
        <f aca="false">A32+1</f>
        <v>22</v>
      </c>
      <c r="B33" s="226" t="n">
        <v>6894.99</v>
      </c>
      <c r="C33" s="216" t="n">
        <v>265460</v>
      </c>
      <c r="D33" s="218" t="n">
        <f aca="false">C33-C32</f>
        <v>-1246</v>
      </c>
      <c r="E33" s="216" t="n">
        <f aca="false">C33-152000</f>
        <v>113460</v>
      </c>
      <c r="F33" s="239" t="n">
        <f aca="false">D33/$D$2</f>
        <v>-628.182505671792</v>
      </c>
      <c r="G33" s="240" t="n">
        <v>121</v>
      </c>
      <c r="H33" s="221" t="n">
        <v>0.3</v>
      </c>
      <c r="I33" s="240" t="n">
        <f aca="false">G33+H33</f>
        <v>121.3</v>
      </c>
      <c r="J33" s="221" t="n">
        <f aca="false">IF(L33&gt;0,L33,0)</f>
        <v>0</v>
      </c>
      <c r="K33" s="240" t="n">
        <f aca="false">I33+J33</f>
        <v>121.3</v>
      </c>
      <c r="L33" s="240" t="n">
        <f aca="false">F33-(I33-AA33)</f>
        <v>-58.4825056717922</v>
      </c>
      <c r="M33" s="242" t="n">
        <v>222</v>
      </c>
      <c r="N33" s="240" t="n">
        <v>7.06</v>
      </c>
      <c r="O33" s="240" t="n">
        <f aca="false">51.08*1.05</f>
        <v>53.634</v>
      </c>
      <c r="P33" s="357" t="n">
        <v>2.3</v>
      </c>
      <c r="Q33" s="357" t="n">
        <v>4.2</v>
      </c>
      <c r="R33" s="116" t="n">
        <v>3.93</v>
      </c>
      <c r="S33" s="240" t="n">
        <v>149</v>
      </c>
      <c r="T33" s="240" t="n">
        <v>71</v>
      </c>
      <c r="U33" s="240" t="n">
        <f aca="false">M33-N33-O33-P33-Q33-R33+S33+T33</f>
        <v>370.876</v>
      </c>
      <c r="V33" s="216" t="n">
        <f aca="false">V32+AI33-(AJ33/1.9835)+AK33</f>
        <v>11579.3151635887</v>
      </c>
      <c r="W33" s="216"/>
      <c r="X33" s="240" t="n">
        <v>173</v>
      </c>
      <c r="Y33" s="442" t="n">
        <v>76</v>
      </c>
      <c r="Z33" s="443" t="n">
        <f aca="false">Z32-Y33</f>
        <v>9863.98361482229</v>
      </c>
      <c r="AA33" s="117" t="n">
        <f aca="false">N33+O33+P33+Q33+R33+U33+X33+Y33</f>
        <v>691</v>
      </c>
      <c r="AB33" s="240" t="n">
        <f aca="false">IF(L33&lt;0,L33*-1,0)</f>
        <v>58.4825056717922</v>
      </c>
      <c r="AC33" s="240" t="n">
        <f aca="false">AA33+AB33</f>
        <v>749.482505671792</v>
      </c>
      <c r="AD33" s="493" t="n">
        <v>0.08</v>
      </c>
      <c r="AE33" s="218" t="n">
        <v>85</v>
      </c>
      <c r="AF33" s="223" t="n">
        <v>58</v>
      </c>
      <c r="AG33" s="218" t="n">
        <f aca="false">AG32</f>
        <v>0</v>
      </c>
      <c r="AH33" s="218"/>
      <c r="AI33" s="92" t="n">
        <f aca="false">I33-P33-Q33-U33</f>
        <v>-256.076</v>
      </c>
      <c r="AJ33" s="341" t="n">
        <f aca="false">23.5*(V32*1.9835-U33*1.9835)/E33</f>
        <v>4.70061700320433</v>
      </c>
      <c r="AK33" s="92" t="n">
        <v>25</v>
      </c>
      <c r="AL33" s="8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153" t="n">
        <f aca="false">A33+1</f>
        <v>23</v>
      </c>
      <c r="B34" s="226" t="n">
        <v>6894.74</v>
      </c>
      <c r="C34" s="216" t="n">
        <v>264578</v>
      </c>
      <c r="D34" s="218" t="n">
        <f aca="false">C34-C33</f>
        <v>-882</v>
      </c>
      <c r="E34" s="216" t="n">
        <f aca="false">C34-152000</f>
        <v>112578</v>
      </c>
      <c r="F34" s="239" t="n">
        <f aca="false">D34/$D$2</f>
        <v>-444.668515250819</v>
      </c>
      <c r="G34" s="240" t="n">
        <v>124</v>
      </c>
      <c r="H34" s="221" t="n">
        <v>0.3</v>
      </c>
      <c r="I34" s="240" t="n">
        <f aca="false">G34+H34</f>
        <v>124.3</v>
      </c>
      <c r="J34" s="221" t="n">
        <f aca="false">IF(L34&gt;0,L34,0)</f>
        <v>61.0314847491807</v>
      </c>
      <c r="K34" s="240" t="n">
        <f aca="false">I34+J34</f>
        <v>185.331484749181</v>
      </c>
      <c r="L34" s="240" t="n">
        <f aca="false">F34-(I34-AA34)</f>
        <v>61.0314847491807</v>
      </c>
      <c r="M34" s="242" t="n">
        <v>215</v>
      </c>
      <c r="N34" s="240" t="n">
        <v>0</v>
      </c>
      <c r="O34" s="240" t="n">
        <f aca="false">61.08*1.05</f>
        <v>64.134</v>
      </c>
      <c r="P34" s="357" t="n">
        <v>2.3</v>
      </c>
      <c r="Q34" s="357" t="n">
        <v>4.2</v>
      </c>
      <c r="R34" s="116" t="n">
        <v>3.67</v>
      </c>
      <c r="S34" s="240" t="n">
        <v>155</v>
      </c>
      <c r="T34" s="240" t="n">
        <v>71</v>
      </c>
      <c r="U34" s="240" t="n">
        <f aca="false">M34-N34-O34-P34-Q34-R34+S34+T34</f>
        <v>366.696</v>
      </c>
      <c r="V34" s="216" t="n">
        <f aca="false">V33+AI34-(AJ34/1.9835)+AK34</f>
        <v>11353.0785948244</v>
      </c>
      <c r="W34" s="216"/>
      <c r="X34" s="240" t="n">
        <v>113</v>
      </c>
      <c r="Y34" s="442" t="n">
        <v>76</v>
      </c>
      <c r="Z34" s="443" t="n">
        <f aca="false">Z33-Y34</f>
        <v>9787.98361482228</v>
      </c>
      <c r="AA34" s="117" t="n">
        <f aca="false">N34+O34+P34+Q34+R34+U34+X34+Y34</f>
        <v>630</v>
      </c>
      <c r="AB34" s="240" t="n">
        <f aca="false">IF(L34&lt;0,L34*-1,0)</f>
        <v>0</v>
      </c>
      <c r="AC34" s="240" t="n">
        <f aca="false">AA34+AB34</f>
        <v>630</v>
      </c>
      <c r="AD34" s="493" t="n">
        <v>0.31</v>
      </c>
      <c r="AE34" s="218" t="n">
        <v>88</v>
      </c>
      <c r="AF34" s="243" t="n">
        <v>54</v>
      </c>
      <c r="AG34" s="218" t="n">
        <f aca="false">AG33</f>
        <v>0</v>
      </c>
      <c r="AH34" s="218"/>
      <c r="AI34" s="92" t="n">
        <f aca="false">I34-P34-Q34-U34</f>
        <v>-248.896</v>
      </c>
      <c r="AJ34" s="341" t="n">
        <f aca="false">23.5*(V33*1.9835-U34*1.9835)/E34</f>
        <v>4.64251814393566</v>
      </c>
      <c r="AK34" s="92" t="n">
        <v>25</v>
      </c>
      <c r="AL34" s="8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153" t="n">
        <f aca="false">A34+1</f>
        <v>24</v>
      </c>
      <c r="B35" s="226" t="n">
        <v>6894.46</v>
      </c>
      <c r="C35" s="216" t="n">
        <v>263590</v>
      </c>
      <c r="D35" s="218" t="n">
        <f aca="false">C35-C34</f>
        <v>-988</v>
      </c>
      <c r="E35" s="216" t="n">
        <f aca="false">C35-152000</f>
        <v>111590</v>
      </c>
      <c r="F35" s="239" t="n">
        <f aca="false">D35/$D$2</f>
        <v>-498.109402571213</v>
      </c>
      <c r="G35" s="240" t="n">
        <v>179</v>
      </c>
      <c r="H35" s="221" t="n">
        <v>0.3</v>
      </c>
      <c r="I35" s="240" t="n">
        <f aca="false">G35+H35</f>
        <v>179.3</v>
      </c>
      <c r="J35" s="221" t="n">
        <f aca="false">IF(L35&gt;0,L35,0)</f>
        <v>0</v>
      </c>
      <c r="K35" s="240" t="n">
        <f aca="false">I35+J35</f>
        <v>179.3</v>
      </c>
      <c r="L35" s="240" t="n">
        <f aca="false">F35-(I35-AA35)</f>
        <v>-70.4094025712125</v>
      </c>
      <c r="M35" s="242" t="n">
        <v>185</v>
      </c>
      <c r="N35" s="240" t="n">
        <v>0</v>
      </c>
      <c r="O35" s="240" t="n">
        <f aca="false">55.03*1.05</f>
        <v>57.7815</v>
      </c>
      <c r="P35" s="357" t="n">
        <v>2.3</v>
      </c>
      <c r="Q35" s="357" t="n">
        <v>4.2</v>
      </c>
      <c r="R35" s="116" t="n">
        <v>2.41</v>
      </c>
      <c r="S35" s="240" t="n">
        <v>155</v>
      </c>
      <c r="T35" s="240" t="n">
        <v>71</v>
      </c>
      <c r="U35" s="240" t="n">
        <f aca="false">M35-N35-O35-P35-Q35-R35+S35+T35</f>
        <v>344.3085</v>
      </c>
      <c r="V35" s="216" t="n">
        <f aca="false">V34+AI35-(AJ35/1.9835)+AK35</f>
        <v>11204.2517320928</v>
      </c>
      <c r="W35" s="216"/>
      <c r="X35" s="240" t="n">
        <v>120</v>
      </c>
      <c r="Y35" s="442" t="n">
        <v>76</v>
      </c>
      <c r="Z35" s="443" t="n">
        <f aca="false">Z34-Y35</f>
        <v>9711.98361482228</v>
      </c>
      <c r="AA35" s="117" t="n">
        <f aca="false">N35+O35+P35+Q35+R35+U35+X35+Y35</f>
        <v>607</v>
      </c>
      <c r="AB35" s="240" t="n">
        <f aca="false">IF(L35&lt;0,L35*-1,0)</f>
        <v>70.4094025712125</v>
      </c>
      <c r="AC35" s="240" t="n">
        <f aca="false">AA35+AB35</f>
        <v>677.409402571213</v>
      </c>
      <c r="AD35" s="493" t="n">
        <v>0</v>
      </c>
      <c r="AE35" s="218" t="n">
        <v>81</v>
      </c>
      <c r="AF35" s="243" t="n">
        <v>50</v>
      </c>
      <c r="AG35" s="218" t="n">
        <f aca="false">AG34</f>
        <v>0</v>
      </c>
      <c r="AH35" s="218"/>
      <c r="AI35" s="92" t="n">
        <f aca="false">I35-P35-Q35-U35</f>
        <v>-171.5085</v>
      </c>
      <c r="AJ35" s="341" t="n">
        <f aca="false">23.5*(V34*1.9835-U35*1.9835)/E35</f>
        <v>4.59847247829089</v>
      </c>
      <c r="AK35" s="92" t="n">
        <v>25</v>
      </c>
      <c r="AL35" s="8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153" t="n">
        <f aca="false">A35+1</f>
        <v>25</v>
      </c>
      <c r="B36" s="226" t="n">
        <v>6894.19</v>
      </c>
      <c r="C36" s="216" t="n">
        <v>262637</v>
      </c>
      <c r="D36" s="218" t="n">
        <f aca="false">C36-C35</f>
        <v>-953</v>
      </c>
      <c r="E36" s="216" t="n">
        <f aca="false">C36-152000</f>
        <v>110637</v>
      </c>
      <c r="F36" s="239" t="n">
        <f aca="false">D36/$D$2</f>
        <v>-480.463826569196</v>
      </c>
      <c r="G36" s="240" t="n">
        <v>160</v>
      </c>
      <c r="H36" s="221" t="n">
        <v>0.3</v>
      </c>
      <c r="I36" s="240" t="n">
        <f aca="false">G36+H36</f>
        <v>160.3</v>
      </c>
      <c r="J36" s="221" t="n">
        <f aca="false">IF(L36&gt;0,L36,0)</f>
        <v>0</v>
      </c>
      <c r="K36" s="240" t="n">
        <f aca="false">I36+J36</f>
        <v>160.3</v>
      </c>
      <c r="L36" s="240" t="n">
        <f aca="false">F36-(I36-AA36)</f>
        <v>-54.7638265691959</v>
      </c>
      <c r="M36" s="242" t="n">
        <v>196</v>
      </c>
      <c r="N36" s="240" t="n">
        <v>0</v>
      </c>
      <c r="O36" s="240" t="n">
        <f aca="false">57.75*1.05</f>
        <v>60.6375</v>
      </c>
      <c r="P36" s="357" t="n">
        <v>2.3</v>
      </c>
      <c r="Q36" s="357" t="n">
        <v>4.2</v>
      </c>
      <c r="R36" s="116" t="n">
        <v>1.86</v>
      </c>
      <c r="S36" s="240" t="n">
        <v>154</v>
      </c>
      <c r="T36" s="240" t="n">
        <v>71</v>
      </c>
      <c r="U36" s="240" t="n">
        <f aca="false">M36-N36-O36-P36-Q36-R36+S36+T36</f>
        <v>352.0025</v>
      </c>
      <c r="V36" s="216" t="n">
        <f aca="false">V35+AI36-(AJ36/1.9835)+AK36</f>
        <v>11028.744145576</v>
      </c>
      <c r="W36" s="216"/>
      <c r="X36" s="240" t="n">
        <v>90</v>
      </c>
      <c r="Y36" s="442" t="n">
        <v>75</v>
      </c>
      <c r="Z36" s="443" t="n">
        <f aca="false">Z35-Y36</f>
        <v>9636.98361482228</v>
      </c>
      <c r="AA36" s="117" t="n">
        <f aca="false">N36+O36+P36+Q36+R36+U36+X36+Y36</f>
        <v>586</v>
      </c>
      <c r="AB36" s="240" t="n">
        <f aca="false">IF(L36&lt;0,L36*-1,0)</f>
        <v>54.7638265691959</v>
      </c>
      <c r="AC36" s="240" t="n">
        <f aca="false">AA36+AB36</f>
        <v>640.763826569196</v>
      </c>
      <c r="AD36" s="493" t="n">
        <v>0.4</v>
      </c>
      <c r="AE36" s="218" t="n">
        <v>79</v>
      </c>
      <c r="AF36" s="243" t="n">
        <v>51</v>
      </c>
      <c r="AG36" s="218" t="n">
        <f aca="false">AG35</f>
        <v>0</v>
      </c>
      <c r="AH36" s="218"/>
      <c r="AI36" s="92" t="n">
        <f aca="false">I36-P36-Q36-U36</f>
        <v>-198.2025</v>
      </c>
      <c r="AJ36" s="341" t="n">
        <f aca="false">23.5*(V35*1.9835-U36*1.9835)/E36</f>
        <v>4.57213910598277</v>
      </c>
      <c r="AK36" s="92" t="n">
        <v>25</v>
      </c>
      <c r="AL36" s="8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53" t="n">
        <f aca="false">A36+1</f>
        <v>26</v>
      </c>
      <c r="B37" s="226" t="n">
        <v>6893.94</v>
      </c>
      <c r="C37" s="216" t="n">
        <v>261757</v>
      </c>
      <c r="D37" s="218" t="n">
        <f aca="false">C37-C36</f>
        <v>-880</v>
      </c>
      <c r="E37" s="216" t="n">
        <f aca="false">C37-152000</f>
        <v>109757</v>
      </c>
      <c r="F37" s="239" t="n">
        <f aca="false">D37/$D$2</f>
        <v>-443.660196622133</v>
      </c>
      <c r="G37" s="240" t="n">
        <v>144</v>
      </c>
      <c r="H37" s="221" t="n">
        <v>0.2</v>
      </c>
      <c r="I37" s="240" t="n">
        <f aca="false">G37+H37</f>
        <v>144.2</v>
      </c>
      <c r="J37" s="221" t="n">
        <f aca="false">IF(L37&gt;0,L37,0)</f>
        <v>0</v>
      </c>
      <c r="K37" s="240" t="n">
        <f aca="false">I37+J37</f>
        <v>144.2</v>
      </c>
      <c r="L37" s="240" t="n">
        <f aca="false">F37-(I37-AA37)</f>
        <v>-10.8601966221325</v>
      </c>
      <c r="M37" s="242" t="n">
        <v>188</v>
      </c>
      <c r="N37" s="240" t="n">
        <v>0</v>
      </c>
      <c r="O37" s="240" t="n">
        <f aca="false">59.17*1.05</f>
        <v>62.1285</v>
      </c>
      <c r="P37" s="357" t="n">
        <v>2.3</v>
      </c>
      <c r="Q37" s="357" t="n">
        <v>4.2</v>
      </c>
      <c r="R37" s="116" t="n">
        <v>2.16</v>
      </c>
      <c r="S37" s="240" t="n">
        <v>151</v>
      </c>
      <c r="T37" s="240" t="n">
        <v>71</v>
      </c>
      <c r="U37" s="240" t="n">
        <f aca="false">M37-N37-O37-P37-Q37-R37+S37+T37</f>
        <v>339.2115</v>
      </c>
      <c r="V37" s="216" t="n">
        <f aca="false">V36+AI37-(AJ37/1.9835)+AK37</f>
        <v>10849.9439166824</v>
      </c>
      <c r="W37" s="216"/>
      <c r="X37" s="240" t="n">
        <v>92</v>
      </c>
      <c r="Y37" s="442" t="n">
        <v>75</v>
      </c>
      <c r="Z37" s="443" t="n">
        <f aca="false">Z36-Y37</f>
        <v>9561.98361482228</v>
      </c>
      <c r="AA37" s="117" t="n">
        <f aca="false">N37+O37+P37+Q37+R37+U37+X37+Y37</f>
        <v>577</v>
      </c>
      <c r="AB37" s="240" t="n">
        <f aca="false">IF(L37&lt;0,L37*-1,0)</f>
        <v>10.8601966221325</v>
      </c>
      <c r="AC37" s="240" t="n">
        <f aca="false">AA37+AB37</f>
        <v>587.860196622133</v>
      </c>
      <c r="AD37" s="493" t="n">
        <v>0.09</v>
      </c>
      <c r="AE37" s="218" t="n">
        <v>81</v>
      </c>
      <c r="AF37" s="223" t="n">
        <v>53</v>
      </c>
      <c r="AG37" s="218" t="n">
        <f aca="false">AG36</f>
        <v>0</v>
      </c>
      <c r="AH37" s="218"/>
      <c r="AI37" s="92" t="n">
        <f aca="false">I37-P37-Q37-U37</f>
        <v>-201.5115</v>
      </c>
      <c r="AJ37" s="341" t="n">
        <f aca="false">23.5*(V36*1.9835-U37*1.9835)/E37</f>
        <v>4.53969376038658</v>
      </c>
      <c r="AK37" s="92" t="n">
        <v>25</v>
      </c>
      <c r="AL37" s="3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53" t="n">
        <f aca="false">A37+1</f>
        <v>27</v>
      </c>
      <c r="B38" s="226" t="n">
        <v>6893.72</v>
      </c>
      <c r="C38" s="216" t="n">
        <v>260987</v>
      </c>
      <c r="D38" s="218" t="n">
        <f aca="false">C38-C37</f>
        <v>-770</v>
      </c>
      <c r="E38" s="216" t="n">
        <f aca="false">C38-152000</f>
        <v>108987</v>
      </c>
      <c r="F38" s="239" t="n">
        <f aca="false">D38/$D$2</f>
        <v>-388.202672044366</v>
      </c>
      <c r="G38" s="240" t="n">
        <v>163</v>
      </c>
      <c r="H38" s="221" t="n">
        <v>0.2</v>
      </c>
      <c r="I38" s="240" t="n">
        <f aca="false">G38+H38</f>
        <v>163.2</v>
      </c>
      <c r="J38" s="221" t="n">
        <f aca="false">IF(L38&gt;0,L38,0)</f>
        <v>13.597327955634</v>
      </c>
      <c r="K38" s="240" t="n">
        <f aca="false">I38+J38</f>
        <v>176.797327955634</v>
      </c>
      <c r="L38" s="240" t="n">
        <f aca="false">F38-(I38-AA38)</f>
        <v>13.597327955634</v>
      </c>
      <c r="M38" s="242" t="n">
        <v>179</v>
      </c>
      <c r="N38" s="240" t="n">
        <v>0</v>
      </c>
      <c r="O38" s="240" t="n">
        <f aca="false">62.8*1.05</f>
        <v>65.94</v>
      </c>
      <c r="P38" s="357" t="n">
        <v>2.3</v>
      </c>
      <c r="Q38" s="357" t="n">
        <v>4.2</v>
      </c>
      <c r="R38" s="116" t="n">
        <v>1.9</v>
      </c>
      <c r="S38" s="240" t="n">
        <v>149</v>
      </c>
      <c r="T38" s="240" t="n">
        <v>70</v>
      </c>
      <c r="U38" s="240" t="n">
        <f aca="false">M38-N38-O38-P38-Q38-R38+S38+T38</f>
        <v>323.66</v>
      </c>
      <c r="V38" s="216" t="n">
        <f aca="false">V37+AI38-(AJ38/1.9835)+AK38</f>
        <v>10705.7142178005</v>
      </c>
      <c r="W38" s="216"/>
      <c r="X38" s="240" t="n">
        <v>92</v>
      </c>
      <c r="Y38" s="442" t="n">
        <v>75</v>
      </c>
      <c r="Z38" s="443" t="n">
        <f aca="false">Z37-Y38</f>
        <v>9486.98361482228</v>
      </c>
      <c r="AA38" s="117" t="n">
        <f aca="false">N38+O38+P38+Q38+R38+U38+X38+Y38</f>
        <v>565</v>
      </c>
      <c r="AB38" s="240" t="n">
        <f aca="false">IF(L38&lt;0,L38*-1,0)</f>
        <v>0</v>
      </c>
      <c r="AC38" s="240" t="n">
        <f aca="false">AA38+AB38</f>
        <v>565</v>
      </c>
      <c r="AD38" s="493" t="n">
        <v>0.3</v>
      </c>
      <c r="AE38" s="218" t="n">
        <v>76</v>
      </c>
      <c r="AF38" s="223" t="n">
        <v>53</v>
      </c>
      <c r="AG38" s="218" t="n">
        <f aca="false">AG37</f>
        <v>0</v>
      </c>
      <c r="AH38" s="218"/>
      <c r="AI38" s="92" t="n">
        <f aca="false">I38-P38-Q38-U38</f>
        <v>-166.96</v>
      </c>
      <c r="AJ38" s="341" t="n">
        <f aca="false">23.5*(V37*1.9835-U38*1.9835)/E38</f>
        <v>4.50194773225597</v>
      </c>
      <c r="AK38" s="92" t="n">
        <v>25</v>
      </c>
      <c r="AL38" s="8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53" t="n">
        <f aca="false">A38+1</f>
        <v>28</v>
      </c>
      <c r="B39" s="226" t="n">
        <v>6893.46</v>
      </c>
      <c r="C39" s="216" t="n">
        <v>260078</v>
      </c>
      <c r="D39" s="218" t="n">
        <f aca="false">C39-C38</f>
        <v>-909</v>
      </c>
      <c r="E39" s="216" t="n">
        <f aca="false">C39-152000</f>
        <v>108078</v>
      </c>
      <c r="F39" s="239" t="n">
        <f aca="false">D39/$D$2</f>
        <v>-458.280816738089</v>
      </c>
      <c r="G39" s="240" t="n">
        <v>149</v>
      </c>
      <c r="H39" s="221" t="n">
        <v>0.2</v>
      </c>
      <c r="I39" s="240" t="n">
        <f aca="false">G39+H39</f>
        <v>149.2</v>
      </c>
      <c r="J39" s="221" t="n">
        <f aca="false">IF(L39&gt;0,L39,0)</f>
        <v>0</v>
      </c>
      <c r="K39" s="240" t="n">
        <f aca="false">I39+J39</f>
        <v>149.2</v>
      </c>
      <c r="L39" s="240" t="n">
        <f aca="false">F39-(I39-AA39)</f>
        <v>-25.4808167380892</v>
      </c>
      <c r="M39" s="242" t="n">
        <v>175</v>
      </c>
      <c r="N39" s="240" t="n">
        <v>0</v>
      </c>
      <c r="O39" s="240" t="n">
        <f aca="false">59.31*1.05</f>
        <v>62.2755</v>
      </c>
      <c r="P39" s="357" t="n">
        <v>2.3</v>
      </c>
      <c r="Q39" s="357" t="n">
        <v>4.2</v>
      </c>
      <c r="R39" s="116" t="n">
        <v>1.8</v>
      </c>
      <c r="S39" s="240" t="n">
        <v>145</v>
      </c>
      <c r="T39" s="240" t="n">
        <v>70</v>
      </c>
      <c r="U39" s="240" t="n">
        <f aca="false">M39-N39-O39-P39-Q39-R39+S39+T39</f>
        <v>319.4245</v>
      </c>
      <c r="V39" s="216" t="n">
        <f aca="false">V38+AI39-(AJ39/1.9835)+AK39</f>
        <v>10551.731369123</v>
      </c>
      <c r="W39" s="216"/>
      <c r="X39" s="240" t="n">
        <v>117</v>
      </c>
      <c r="Y39" s="442" t="n">
        <v>75</v>
      </c>
      <c r="Z39" s="443" t="n">
        <f aca="false">Z38-Y39</f>
        <v>9411.98361482228</v>
      </c>
      <c r="AA39" s="117" t="n">
        <f aca="false">N39+O39+P39+Q39+R39+U39+X39+Y39</f>
        <v>582</v>
      </c>
      <c r="AB39" s="240" t="n">
        <f aca="false">IF(L39&lt;0,L39*-1,0)</f>
        <v>25.4808167380892</v>
      </c>
      <c r="AC39" s="240" t="n">
        <f aca="false">AA39+AB39</f>
        <v>607.480816738089</v>
      </c>
      <c r="AD39" s="493" t="n">
        <v>0</v>
      </c>
      <c r="AE39" s="218" t="n">
        <v>81</v>
      </c>
      <c r="AF39" s="223" t="n">
        <v>50</v>
      </c>
      <c r="AG39" s="218" t="n">
        <f aca="false">AG38</f>
        <v>0</v>
      </c>
      <c r="AH39" s="218"/>
      <c r="AI39" s="92" t="n">
        <f aca="false">I39-P39-Q39-U39</f>
        <v>-176.7245</v>
      </c>
      <c r="AJ39" s="341" t="n">
        <f aca="false">23.5*(V38*1.9835-U39*1.9835)/E39</f>
        <v>4.47943460184819</v>
      </c>
      <c r="AK39" s="92" t="n">
        <v>25</v>
      </c>
      <c r="AL39" s="8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1" hidden="false" customHeight="true" outlineLevel="0" collapsed="false">
      <c r="A40" s="153" t="n">
        <f aca="false">A39+1</f>
        <v>29</v>
      </c>
      <c r="B40" s="226" t="n">
        <v>6893.19</v>
      </c>
      <c r="C40" s="216" t="n">
        <v>259134</v>
      </c>
      <c r="D40" s="218" t="n">
        <f aca="false">C40-C39</f>
        <v>-944</v>
      </c>
      <c r="E40" s="216" t="n">
        <f aca="false">C40-152000</f>
        <v>107134</v>
      </c>
      <c r="F40" s="239" t="n">
        <f aca="false">D40/$D$2</f>
        <v>-475.926392740106</v>
      </c>
      <c r="G40" s="240" t="n">
        <v>127</v>
      </c>
      <c r="H40" s="221" t="n">
        <v>0.2</v>
      </c>
      <c r="I40" s="240" t="n">
        <f aca="false">G40+H40</f>
        <v>127.2</v>
      </c>
      <c r="J40" s="221" t="n">
        <f aca="false">IF(L40&gt;0,L40,0)</f>
        <v>0</v>
      </c>
      <c r="K40" s="240" t="n">
        <f aca="false">I40+J40</f>
        <v>127.2</v>
      </c>
      <c r="L40" s="240" t="n">
        <f aca="false">F40-(I40-AA40)</f>
        <v>-17.1263927401059</v>
      </c>
      <c r="M40" s="242" t="n">
        <v>185</v>
      </c>
      <c r="N40" s="240" t="n">
        <v>0</v>
      </c>
      <c r="O40" s="240" t="n">
        <f aca="false">59.21*1.05</f>
        <v>62.1705</v>
      </c>
      <c r="P40" s="357" t="n">
        <v>2.3</v>
      </c>
      <c r="Q40" s="357" t="n">
        <v>4.2</v>
      </c>
      <c r="R40" s="116" t="n">
        <v>2.32</v>
      </c>
      <c r="S40" s="240" t="n">
        <v>142</v>
      </c>
      <c r="T40" s="240" t="n">
        <v>70</v>
      </c>
      <c r="U40" s="240" t="n">
        <f aca="false">M40-N40-O40-P40-Q40-R40+S40+T40</f>
        <v>326.0095</v>
      </c>
      <c r="V40" s="216" t="n">
        <f aca="false">V39+AI40-(AJ40/1.9835)+AK40</f>
        <v>10369.1788420362</v>
      </c>
      <c r="W40" s="216"/>
      <c r="X40" s="240" t="n">
        <v>115</v>
      </c>
      <c r="Y40" s="442" t="n">
        <v>74</v>
      </c>
      <c r="Z40" s="443" t="n">
        <f aca="false">Z39-Y40</f>
        <v>9337.98361482228</v>
      </c>
      <c r="AA40" s="117" t="n">
        <f aca="false">N40+O40+P40+Q40+R40+U40+X40+Y40</f>
        <v>586</v>
      </c>
      <c r="AB40" s="240" t="n">
        <f aca="false">IF(L40&lt;0,L40*-1,0)</f>
        <v>17.1263927401059</v>
      </c>
      <c r="AC40" s="240" t="n">
        <f aca="false">AA40+AB40</f>
        <v>603.126392740106</v>
      </c>
      <c r="AD40" s="493" t="n">
        <v>0</v>
      </c>
      <c r="AE40" s="224" t="n">
        <v>85</v>
      </c>
      <c r="AF40" s="223" t="n">
        <v>53</v>
      </c>
      <c r="AG40" s="218" t="n">
        <f aca="false">AG39</f>
        <v>0</v>
      </c>
      <c r="AH40" s="218"/>
      <c r="AI40" s="92" t="n">
        <f aca="false">I40-P40-Q40-U40</f>
        <v>-205.3095</v>
      </c>
      <c r="AJ40" s="341" t="n">
        <f aca="false">23.5*(V39*1.9835-U40*1.9835)/E40</f>
        <v>4.44904422680036</v>
      </c>
      <c r="AK40" s="92" t="n">
        <v>25</v>
      </c>
      <c r="AL40" s="8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1.1" hidden="false" customHeight="true" outlineLevel="0" collapsed="false">
      <c r="A41" s="153" t="n">
        <v>30</v>
      </c>
      <c r="B41" s="226" t="n">
        <v>6892.94</v>
      </c>
      <c r="C41" s="216" t="n">
        <v>258261</v>
      </c>
      <c r="D41" s="218" t="n">
        <f aca="false">C41-C40</f>
        <v>-873</v>
      </c>
      <c r="E41" s="216" t="n">
        <f aca="false">C41-152000</f>
        <v>106261</v>
      </c>
      <c r="F41" s="239" t="n">
        <f aca="false">D41/$D$2</f>
        <v>-440.131081421729</v>
      </c>
      <c r="G41" s="240" t="n">
        <v>232</v>
      </c>
      <c r="H41" s="221" t="n">
        <v>0.1</v>
      </c>
      <c r="I41" s="240" t="n">
        <f aca="false">G41+H41</f>
        <v>232.1</v>
      </c>
      <c r="J41" s="221" t="n">
        <f aca="false">IF(L41&gt;0,L41,0)</f>
        <v>0</v>
      </c>
      <c r="K41" s="240" t="n">
        <f aca="false">I41+J41</f>
        <v>232.1</v>
      </c>
      <c r="L41" s="240" t="n">
        <f aca="false">F41-(I41-AA41)</f>
        <v>-81.2310814217293</v>
      </c>
      <c r="M41" s="242" t="n">
        <v>209</v>
      </c>
      <c r="N41" s="240" t="n">
        <v>0</v>
      </c>
      <c r="O41" s="240" t="n">
        <f aca="false">68.26*1.05</f>
        <v>71.673</v>
      </c>
      <c r="P41" s="357" t="n">
        <v>2.3</v>
      </c>
      <c r="Q41" s="357" t="n">
        <v>4.2</v>
      </c>
      <c r="R41" s="116" t="n">
        <v>1.94</v>
      </c>
      <c r="S41" s="240" t="n">
        <v>135</v>
      </c>
      <c r="T41" s="240" t="n">
        <v>72</v>
      </c>
      <c r="U41" s="240" t="n">
        <f aca="false">M41-N41-O41-P41-Q41-R41+S41+T41</f>
        <v>335.887</v>
      </c>
      <c r="V41" s="216" t="n">
        <f aca="false">V40+AI41-(AJ41/1.9835)+AK41</f>
        <v>10281.6729436794</v>
      </c>
      <c r="W41" s="216"/>
      <c r="X41" s="240" t="n">
        <v>99</v>
      </c>
      <c r="Y41" s="442" t="n">
        <v>76</v>
      </c>
      <c r="Z41" s="443" t="n">
        <f aca="false">Z40-Y41</f>
        <v>9261.98361482228</v>
      </c>
      <c r="AA41" s="117" t="n">
        <f aca="false">N41+O41+P41+Q41+R41+U41+X41+Y41</f>
        <v>591</v>
      </c>
      <c r="AB41" s="240" t="n">
        <f aca="false">IF(L41&lt;0,L41*-1,0)</f>
        <v>81.2310814217293</v>
      </c>
      <c r="AC41" s="240" t="n">
        <f aca="false">AA41+AB41</f>
        <v>672.231081421729</v>
      </c>
      <c r="AD41" s="493" t="n">
        <v>0</v>
      </c>
      <c r="AE41" s="224" t="n">
        <v>87</v>
      </c>
      <c r="AF41" s="223" t="n">
        <v>53</v>
      </c>
      <c r="AG41" s="218" t="n">
        <f aca="false">AG40</f>
        <v>0</v>
      </c>
      <c r="AH41" s="218"/>
      <c r="AI41" s="92" t="n">
        <f aca="false">I41-P41-Q41-U41</f>
        <v>-110.287</v>
      </c>
      <c r="AJ41" s="341" t="n">
        <f aca="false">23.5*(V40*1.9835-U41*1.9835)/E41</f>
        <v>4.40118489063674</v>
      </c>
      <c r="AK41" s="92" t="n">
        <v>25</v>
      </c>
      <c r="AL41" s="8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1.25" hidden="false" customHeight="true" outlineLevel="0" collapsed="false">
      <c r="A42" s="153" t="n">
        <v>31</v>
      </c>
      <c r="B42" s="226" t="n">
        <v>6892.74</v>
      </c>
      <c r="C42" s="216" t="n">
        <v>257568</v>
      </c>
      <c r="D42" s="218" t="n">
        <f aca="false">C42-C41</f>
        <v>-693</v>
      </c>
      <c r="E42" s="216" t="n">
        <f aca="false">C42-152000</f>
        <v>105568</v>
      </c>
      <c r="F42" s="239" t="n">
        <f aca="false">D42/$D$2</f>
        <v>-349.382404839929</v>
      </c>
      <c r="G42" s="240" t="n">
        <v>252</v>
      </c>
      <c r="H42" s="221" t="n">
        <v>0</v>
      </c>
      <c r="I42" s="240" t="n">
        <f aca="false">G42+H42</f>
        <v>252</v>
      </c>
      <c r="J42" s="221" t="n">
        <f aca="false">IF(L42&gt;0,L42,0)</f>
        <v>13.6175951600706</v>
      </c>
      <c r="K42" s="240" t="n">
        <f aca="false">I42+J42</f>
        <v>265.617595160071</v>
      </c>
      <c r="L42" s="240" t="n">
        <f aca="false">F42-(I42-AA42)</f>
        <v>13.6175951600706</v>
      </c>
      <c r="M42" s="242" t="n">
        <v>211</v>
      </c>
      <c r="N42" s="240" t="n">
        <v>0</v>
      </c>
      <c r="O42" s="240" t="n">
        <f aca="false">58.84*1.05</f>
        <v>61.782</v>
      </c>
      <c r="P42" s="357" t="n">
        <v>2.3</v>
      </c>
      <c r="Q42" s="357" t="n">
        <v>4.2</v>
      </c>
      <c r="R42" s="116" t="n">
        <v>3.36</v>
      </c>
      <c r="S42" s="240" t="n">
        <v>133</v>
      </c>
      <c r="T42" s="240" t="n">
        <v>72</v>
      </c>
      <c r="U42" s="240" t="n">
        <f aca="false">M42-N42-O42-P42-Q42-R42+S42+T42</f>
        <v>344.358</v>
      </c>
      <c r="V42" s="216" t="n">
        <f aca="false">V41+AI42-(AJ42/1.9835)+AK42</f>
        <v>10205.6028443579</v>
      </c>
      <c r="W42" s="216"/>
      <c r="X42" s="240" t="n">
        <v>122</v>
      </c>
      <c r="Y42" s="442" t="n">
        <v>77</v>
      </c>
      <c r="Z42" s="443" t="n">
        <f aca="false">Z41-Y42</f>
        <v>9184.98361482228</v>
      </c>
      <c r="AA42" s="117" t="n">
        <f aca="false">N42+O42+P42+Q42+R42+U42+X42+Y42</f>
        <v>615</v>
      </c>
      <c r="AB42" s="240" t="n">
        <f aca="false">IF(L42&lt;0,L42*-1,0)</f>
        <v>0</v>
      </c>
      <c r="AC42" s="240" t="n">
        <f aca="false">AA42+AB42</f>
        <v>615</v>
      </c>
      <c r="AD42" s="493" t="n">
        <v>0</v>
      </c>
      <c r="AE42" s="224" t="n">
        <v>89</v>
      </c>
      <c r="AF42" s="223" t="n">
        <v>54</v>
      </c>
      <c r="AG42" s="218" t="n">
        <f aca="false">AG41</f>
        <v>0</v>
      </c>
      <c r="AH42" s="218"/>
      <c r="AI42" s="92" t="n">
        <f aca="false">I42-P42-Q42-U42</f>
        <v>-98.8579999999999</v>
      </c>
      <c r="AJ42" s="341" t="n">
        <f aca="false">23.5*(V41*1.9835-U42*1.9835)/E42</f>
        <v>4.38769900427706</v>
      </c>
      <c r="AK42" s="92" t="n">
        <v>25</v>
      </c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27"/>
      <c r="B43" s="244"/>
      <c r="C43" s="229"/>
      <c r="D43" s="230"/>
      <c r="E43" s="229"/>
      <c r="F43" s="231"/>
      <c r="G43" s="230"/>
      <c r="H43" s="235"/>
      <c r="I43" s="230"/>
      <c r="J43" s="230"/>
      <c r="K43" s="230"/>
      <c r="L43" s="230"/>
      <c r="M43" s="233"/>
      <c r="N43" s="230"/>
      <c r="O43" s="230"/>
      <c r="P43" s="230"/>
      <c r="Q43" s="230"/>
      <c r="R43" s="234"/>
      <c r="S43" s="230"/>
      <c r="T43" s="230"/>
      <c r="U43" s="230"/>
      <c r="V43" s="229"/>
      <c r="W43" s="229"/>
      <c r="X43" s="230"/>
      <c r="Y43" s="230"/>
      <c r="Z43" s="230"/>
      <c r="AA43" s="230"/>
      <c r="AB43" s="230"/>
      <c r="AC43" s="230"/>
      <c r="AD43" s="495"/>
      <c r="AE43" s="237"/>
      <c r="AF43" s="238"/>
      <c r="AG43" s="237"/>
      <c r="AH43" s="237"/>
      <c r="AI43" s="235"/>
      <c r="AJ43" s="235"/>
      <c r="AK43" s="237"/>
    </row>
    <row r="44" customFormat="false" ht="11.1" hidden="false" customHeight="true" outlineLevel="0" collapsed="false">
      <c r="A44" s="154" t="s">
        <v>69</v>
      </c>
      <c r="B44" s="215"/>
      <c r="C44" s="216"/>
      <c r="D44" s="216"/>
      <c r="E44" s="216"/>
      <c r="F44" s="217" t="n">
        <f aca="false">SUM(F12:F42)</f>
        <v>-18266.1961179733</v>
      </c>
      <c r="G44" s="216" t="n">
        <f aca="false">SUM(G12:G42)</f>
        <v>5063</v>
      </c>
      <c r="H44" s="218" t="n">
        <f aca="false">SUM(H12:H42)</f>
        <v>11</v>
      </c>
      <c r="I44" s="216" t="n">
        <f aca="false">SUM(I12:I42)</f>
        <v>5074</v>
      </c>
      <c r="J44" s="216" t="n">
        <f aca="false">SUM(J12:J42)</f>
        <v>357.673178724477</v>
      </c>
      <c r="K44" s="216" t="n">
        <f aca="false">SUM(K12:K42)</f>
        <v>5431.67317872448</v>
      </c>
      <c r="L44" s="216" t="n">
        <f aca="false">SUM(L12:L42)</f>
        <v>-661.196117973279</v>
      </c>
      <c r="M44" s="219" t="n">
        <f aca="false">SUM(M12:M42)</f>
        <v>7274</v>
      </c>
      <c r="N44" s="216" t="n">
        <f aca="false">SUM(N12:N42)</f>
        <v>36.81</v>
      </c>
      <c r="O44" s="216" t="n">
        <f aca="false">SUM(O12:O42)</f>
        <v>1980.0795</v>
      </c>
      <c r="P44" s="216" t="n">
        <f aca="false">SUM(P12:P42)</f>
        <v>71.3</v>
      </c>
      <c r="Q44" s="216" t="n">
        <f aca="false">SUM(Q12:Q42)</f>
        <v>130.2</v>
      </c>
      <c r="R44" s="216" t="n">
        <f aca="false">SUM(R12:R42)</f>
        <v>103.06</v>
      </c>
      <c r="S44" s="216" t="n">
        <f aca="false">SUM(S12:S42)</f>
        <v>4416</v>
      </c>
      <c r="T44" s="216" t="n">
        <f aca="false">SUM(T12:T42)</f>
        <v>2272</v>
      </c>
      <c r="U44" s="216" t="n">
        <f aca="false">SUM(U12:U42)</f>
        <v>11640.5505</v>
      </c>
      <c r="V44" s="216"/>
      <c r="W44" s="216"/>
      <c r="X44" s="216" t="n">
        <f aca="false">SUM(X12:X42)</f>
        <v>6439</v>
      </c>
      <c r="Y44" s="216" t="n">
        <f aca="false">SUM(Y12:Y42)</f>
        <v>2278</v>
      </c>
      <c r="Z44" s="216"/>
      <c r="AA44" s="216" t="n">
        <f aca="false">SUM(AA12:AA42)</f>
        <v>22679</v>
      </c>
      <c r="AB44" s="216" t="n">
        <f aca="false">SUM(AB12:AB42)</f>
        <v>1018.86929669776</v>
      </c>
      <c r="AC44" s="216" t="n">
        <f aca="false">SUM(AC12:AC42)</f>
        <v>23697.8692966978</v>
      </c>
      <c r="AD44" s="493" t="n">
        <f aca="false">SUM(AD12:AD43)</f>
        <v>1.46</v>
      </c>
      <c r="AE44" s="218" t="n">
        <f aca="false">AVERAGE(AE12:AE42)</f>
        <v>85.4838709677419</v>
      </c>
      <c r="AF44" s="223" t="n">
        <f aca="false">AVERAGE(AF12:AF42)</f>
        <v>53.6451612903226</v>
      </c>
      <c r="AG44" s="218" t="s">
        <v>98</v>
      </c>
      <c r="AH44" s="216" t="n">
        <f aca="false">SUM(AH12:AH42)</f>
        <v>0</v>
      </c>
      <c r="AI44" s="221"/>
      <c r="AJ44" s="498"/>
      <c r="AK44" s="218" t="n">
        <f aca="false">SUM(AK12:AK42)</f>
        <v>775</v>
      </c>
    </row>
    <row r="45" customFormat="false" ht="11.1" hidden="false" customHeight="true" outlineLevel="0" collapsed="false">
      <c r="A45" s="154" t="s">
        <v>71</v>
      </c>
      <c r="B45" s="215"/>
      <c r="C45" s="216"/>
      <c r="D45" s="216" t="n">
        <f aca="false">SUM(D12:D42)</f>
        <v>-36231</v>
      </c>
      <c r="E45" s="216"/>
      <c r="F45" s="217" t="n">
        <f aca="false">F44*$D$2</f>
        <v>-36231</v>
      </c>
      <c r="G45" s="216" t="n">
        <f aca="false">G44*$D$2</f>
        <v>10042.4605</v>
      </c>
      <c r="H45" s="218" t="n">
        <f aca="false">H44*$D$2</f>
        <v>21.8185</v>
      </c>
      <c r="I45" s="216" t="n">
        <f aca="false">I44*$D$2</f>
        <v>10064.279</v>
      </c>
      <c r="J45" s="216" t="n">
        <f aca="false">J44*$D$2</f>
        <v>709.44475</v>
      </c>
      <c r="K45" s="216" t="n">
        <f aca="false">K44*$D$2</f>
        <v>10773.72375</v>
      </c>
      <c r="L45" s="216" t="n">
        <f aca="false">L44*$D$2</f>
        <v>-1311.4825</v>
      </c>
      <c r="M45" s="219" t="n">
        <f aca="false">M44*$D$2</f>
        <v>14427.979</v>
      </c>
      <c r="N45" s="216" t="n">
        <f aca="false">N44*$D$2</f>
        <v>73.012635</v>
      </c>
      <c r="O45" s="216" t="n">
        <f aca="false">O44*$D$2</f>
        <v>3927.48768825</v>
      </c>
      <c r="P45" s="216" t="n">
        <f aca="false">P44*$D$2</f>
        <v>141.42355</v>
      </c>
      <c r="Q45" s="216" t="n">
        <f aca="false">Q44*$D$2</f>
        <v>258.2517</v>
      </c>
      <c r="R45" s="216" t="n">
        <f aca="false">R44*$D$2</f>
        <v>204.41951</v>
      </c>
      <c r="S45" s="216" t="n">
        <f aca="false">S44*$D$2</f>
        <v>8759.136</v>
      </c>
      <c r="T45" s="216" t="n">
        <f aca="false">T44*$D$2</f>
        <v>4506.512</v>
      </c>
      <c r="U45" s="216" t="n">
        <f aca="false">U44*$D$2</f>
        <v>23089.03191675</v>
      </c>
      <c r="V45" s="216"/>
      <c r="W45" s="216"/>
      <c r="X45" s="216" t="n">
        <f aca="false">X44*$D$2</f>
        <v>12771.7565</v>
      </c>
      <c r="Y45" s="216" t="n">
        <f aca="false">Y44*$D$2</f>
        <v>4518.413</v>
      </c>
      <c r="Z45" s="216"/>
      <c r="AA45" s="216" t="n">
        <f aca="false">AA44*$D$2</f>
        <v>44983.7965</v>
      </c>
      <c r="AB45" s="216" t="n">
        <f aca="false">AB44*$D$2</f>
        <v>2020.92725</v>
      </c>
      <c r="AC45" s="216" t="n">
        <f aca="false">AC44*$D$2</f>
        <v>47004.72375</v>
      </c>
      <c r="AD45" s="493"/>
      <c r="AE45" s="218" t="n">
        <f aca="false">MAX(AE12:AE42)</f>
        <v>93</v>
      </c>
      <c r="AF45" s="223" t="n">
        <f aca="false">MAX(AF12:AF42)</f>
        <v>60</v>
      </c>
      <c r="AG45" s="218" t="s">
        <v>72</v>
      </c>
      <c r="AH45" s="216" t="n">
        <f aca="false">AH44*$D$2</f>
        <v>0</v>
      </c>
      <c r="AI45" s="221"/>
      <c r="AJ45" s="498" t="n">
        <f aca="false">SUM(AJ12:AJ42)</f>
        <v>152.545778353846</v>
      </c>
      <c r="AK45" s="218" t="n">
        <f aca="false">AK44*$D$2</f>
        <v>1537.2125</v>
      </c>
    </row>
    <row r="46" customFormat="false" ht="3" hidden="false" customHeight="true" outlineLevel="0" collapsed="false">
      <c r="A46" s="247"/>
      <c r="B46" s="244"/>
      <c r="C46" s="229"/>
      <c r="D46" s="229"/>
      <c r="E46" s="229"/>
      <c r="F46" s="248"/>
      <c r="G46" s="229"/>
      <c r="H46" s="237"/>
      <c r="I46" s="229"/>
      <c r="J46" s="229"/>
      <c r="K46" s="229"/>
      <c r="L46" s="229"/>
      <c r="M46" s="249"/>
      <c r="N46" s="229"/>
      <c r="O46" s="229"/>
      <c r="P46" s="229"/>
      <c r="Q46" s="229"/>
      <c r="R46" s="250"/>
      <c r="S46" s="229"/>
      <c r="T46" s="229"/>
      <c r="U46" s="229"/>
      <c r="V46" s="229"/>
      <c r="W46" s="229"/>
      <c r="X46" s="229"/>
      <c r="Y46" s="229"/>
      <c r="Z46" s="230"/>
      <c r="AA46" s="229"/>
      <c r="AB46" s="229"/>
      <c r="AC46" s="229"/>
      <c r="AD46" s="251"/>
      <c r="AE46" s="229"/>
      <c r="AF46" s="248"/>
      <c r="AG46" s="229"/>
      <c r="AH46" s="229"/>
      <c r="AI46" s="235"/>
      <c r="AJ46" s="441"/>
      <c r="AK46" s="237"/>
    </row>
    <row r="47" customFormat="false" ht="11.1" hidden="false" customHeight="true" outlineLevel="0" collapsed="false">
      <c r="A47" s="154" t="s">
        <v>73</v>
      </c>
      <c r="B47" s="215"/>
      <c r="C47" s="216"/>
      <c r="D47" s="216"/>
      <c r="E47" s="216"/>
      <c r="F47" s="217" t="n">
        <f aca="false">F9+F44</f>
        <v>34645.3239223595</v>
      </c>
      <c r="G47" s="216" t="n">
        <f aca="false">G9+G44</f>
        <v>93412</v>
      </c>
      <c r="H47" s="218" t="n">
        <f aca="false">H9+H44</f>
        <v>1957.56</v>
      </c>
      <c r="I47" s="216" t="n">
        <f aca="false">I9+I44</f>
        <v>95369.56</v>
      </c>
      <c r="J47" s="216" t="n">
        <f aca="false">J9+J44</f>
        <v>8590.3761028485</v>
      </c>
      <c r="K47" s="216" t="n">
        <f aca="false">K9+K44</f>
        <v>103959.936102849</v>
      </c>
      <c r="L47" s="216" t="n">
        <f aca="false">L9+L44</f>
        <v>6282.96392235947</v>
      </c>
      <c r="M47" s="219" t="n">
        <f aca="false">M9+M44</f>
        <v>26871.2</v>
      </c>
      <c r="N47" s="216" t="n">
        <f aca="false">N9+N44</f>
        <v>48.4</v>
      </c>
      <c r="O47" s="216" t="n">
        <f aca="false">O9+O44</f>
        <v>8709.582</v>
      </c>
      <c r="P47" s="216"/>
      <c r="Q47" s="216"/>
      <c r="R47" s="220"/>
      <c r="S47" s="216" t="n">
        <f aca="false">S9+S44</f>
        <v>10592</v>
      </c>
      <c r="T47" s="216" t="n">
        <f aca="false">T9+T44</f>
        <v>6444.7</v>
      </c>
      <c r="U47" s="216" t="n">
        <f aca="false">U9+U44</f>
        <v>34200.323</v>
      </c>
      <c r="V47" s="445" t="n">
        <f aca="false">V42</f>
        <v>10205.6028443579</v>
      </c>
      <c r="W47" s="445"/>
      <c r="X47" s="216" t="n">
        <f aca="false">X9+X44</f>
        <v>16589.3</v>
      </c>
      <c r="Y47" s="216"/>
      <c r="Z47" s="445"/>
      <c r="AA47" s="216" t="n">
        <f aca="false">AA9+AA44</f>
        <v>67007.2</v>
      </c>
      <c r="AB47" s="216" t="n">
        <f aca="false">AB9+AB44</f>
        <v>2307.41218048903</v>
      </c>
      <c r="AC47" s="216" t="n">
        <f aca="false">AC9+AC44</f>
        <v>69314.612180489</v>
      </c>
      <c r="AD47" s="493"/>
      <c r="AE47" s="218" t="n">
        <f aca="false">MIN(AE12:AE42)</f>
        <v>76</v>
      </c>
      <c r="AF47" s="223" t="n">
        <f aca="false">MIN(AF12:AF42)</f>
        <v>47</v>
      </c>
      <c r="AG47" s="218" t="s">
        <v>74</v>
      </c>
      <c r="AH47" s="218"/>
      <c r="AI47" s="221"/>
      <c r="AJ47" s="498"/>
      <c r="AK47" s="218" t="n">
        <f aca="false">AK9+AK44</f>
        <v>839.06</v>
      </c>
    </row>
    <row r="48" customFormat="false" ht="11.1" hidden="false" customHeight="true" outlineLevel="0" collapsed="false">
      <c r="A48" s="154" t="s">
        <v>75</v>
      </c>
      <c r="B48" s="215"/>
      <c r="C48" s="216"/>
      <c r="D48" s="216"/>
      <c r="E48" s="216"/>
      <c r="F48" s="217" t="n">
        <f aca="false">F47*$D$2</f>
        <v>68719</v>
      </c>
      <c r="G48" s="216" t="n">
        <f aca="false">G47*$D$2</f>
        <v>185282.702</v>
      </c>
      <c r="H48" s="218" t="n">
        <f aca="false">H47*$D$2</f>
        <v>3882.82026</v>
      </c>
      <c r="I48" s="216" t="n">
        <f aca="false">I47*$D$2</f>
        <v>189165.52226</v>
      </c>
      <c r="J48" s="216" t="n">
        <f aca="false">J47*$D$2</f>
        <v>17039.011</v>
      </c>
      <c r="K48" s="216" t="n">
        <f aca="false">K47*$D$2</f>
        <v>206204.53326</v>
      </c>
      <c r="L48" s="216" t="n">
        <f aca="false">L47*$D$2</f>
        <v>12462.25894</v>
      </c>
      <c r="M48" s="219" t="n">
        <f aca="false">M47*$D$2</f>
        <v>53299.0252</v>
      </c>
      <c r="N48" s="216" t="n">
        <f aca="false">N47*$D$2</f>
        <v>96.0014</v>
      </c>
      <c r="O48" s="216" t="n">
        <f aca="false">O47*$D$2</f>
        <v>17275.455897</v>
      </c>
      <c r="P48" s="216"/>
      <c r="Q48" s="216"/>
      <c r="R48" s="220"/>
      <c r="S48" s="216" t="n">
        <f aca="false">S47*$D$2</f>
        <v>21009.232</v>
      </c>
      <c r="T48" s="216" t="n">
        <f aca="false">T47*$D$2</f>
        <v>12783.06245</v>
      </c>
      <c r="U48" s="216" t="n">
        <f aca="false">U47*$D$2</f>
        <v>67836.3406705</v>
      </c>
      <c r="V48" s="216" t="n">
        <f aca="false">V47*$D$2</f>
        <v>20242.8132417838</v>
      </c>
      <c r="W48" s="216"/>
      <c r="X48" s="216" t="n">
        <f aca="false">X47*$D$2</f>
        <v>32904.87655</v>
      </c>
      <c r="Y48" s="216"/>
      <c r="Z48" s="216"/>
      <c r="AA48" s="216" t="n">
        <f aca="false">AA47*$D$2</f>
        <v>132908.7812</v>
      </c>
      <c r="AB48" s="216" t="n">
        <f aca="false">AB47*$D$2</f>
        <v>4576.75206</v>
      </c>
      <c r="AC48" s="216" t="n">
        <f aca="false">AC47*$D$2</f>
        <v>137485.53326</v>
      </c>
      <c r="AD48" s="493"/>
      <c r="AE48" s="218"/>
      <c r="AF48" s="223"/>
      <c r="AG48" s="218"/>
      <c r="AH48" s="218"/>
      <c r="AI48" s="221"/>
      <c r="AJ48" s="498" t="n">
        <f aca="false">AJ9+AJ45</f>
        <v>951.436662966202</v>
      </c>
      <c r="AK48" s="218" t="n">
        <f aca="false">AK47*$D$2</f>
        <v>1664.27551</v>
      </c>
    </row>
    <row r="49" customFormat="false" ht="3" hidden="false" customHeight="true" outlineLevel="0" collapsed="false">
      <c r="A49" s="247"/>
      <c r="B49" s="244"/>
      <c r="C49" s="229"/>
      <c r="D49" s="229"/>
      <c r="E49" s="229"/>
      <c r="F49" s="248"/>
      <c r="G49" s="229"/>
      <c r="H49" s="237"/>
      <c r="I49" s="229"/>
      <c r="J49" s="229"/>
      <c r="K49" s="229"/>
      <c r="L49" s="229"/>
      <c r="M49" s="249"/>
      <c r="N49" s="229"/>
      <c r="O49" s="229"/>
      <c r="P49" s="229"/>
      <c r="Q49" s="229"/>
      <c r="R49" s="250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495"/>
      <c r="AE49" s="229"/>
      <c r="AF49" s="248"/>
      <c r="AG49" s="229"/>
      <c r="AH49" s="229"/>
      <c r="AI49" s="235"/>
      <c r="AJ49" s="441"/>
      <c r="AK49" s="237"/>
    </row>
    <row r="50" customFormat="false" ht="11.1" hidden="false" customHeight="true" outlineLevel="0" collapsed="false">
      <c r="A50" s="154" t="s">
        <v>76</v>
      </c>
      <c r="B50" s="215"/>
      <c r="C50" s="216"/>
      <c r="D50" s="216"/>
      <c r="E50" s="216"/>
      <c r="F50" s="217" t="n">
        <f aca="false">F10+F44</f>
        <v>42160.3226619612</v>
      </c>
      <c r="G50" s="216" t="n">
        <f aca="false">G10+G44</f>
        <v>107540</v>
      </c>
      <c r="H50" s="218" t="n">
        <f aca="false">H10+H44</f>
        <v>2261.16</v>
      </c>
      <c r="I50" s="216" t="n">
        <f aca="false">I10+I44</f>
        <v>109801.16</v>
      </c>
      <c r="J50" s="216" t="n">
        <f aca="false">J10+J44</f>
        <v>14227.979250063</v>
      </c>
      <c r="K50" s="216" t="n">
        <f aca="false">K10+K44</f>
        <v>124029.139250063</v>
      </c>
      <c r="L50" s="216" t="n">
        <f aca="false">L10+L44</f>
        <v>11695.8176619612</v>
      </c>
      <c r="M50" s="219" t="n">
        <f aca="false">M10+M44</f>
        <v>27846.6</v>
      </c>
      <c r="N50" s="216" t="n">
        <f aca="false">N10+N44</f>
        <v>48.4</v>
      </c>
      <c r="O50" s="216" t="n">
        <f aca="false">O10+O44</f>
        <v>8709.582</v>
      </c>
      <c r="P50" s="216" t="n">
        <f aca="false">P10+P44</f>
        <v>461.784</v>
      </c>
      <c r="Q50" s="216" t="n">
        <f aca="false">Q10+Q44</f>
        <v>869.684</v>
      </c>
      <c r="R50" s="216" t="n">
        <f aca="false">R10+R44</f>
        <v>263.58</v>
      </c>
      <c r="S50" s="216" t="n">
        <f aca="false">S10+S44</f>
        <v>18572.2</v>
      </c>
      <c r="T50" s="216" t="n">
        <f aca="false">T10+T44</f>
        <v>6580.7</v>
      </c>
      <c r="U50" s="216" t="n">
        <f aca="false">U10+U44</f>
        <v>42640.40049</v>
      </c>
      <c r="V50" s="216"/>
      <c r="W50" s="216"/>
      <c r="X50" s="216" t="n">
        <f aca="false">X10+X44</f>
        <v>16589.3</v>
      </c>
      <c r="Y50" s="216" t="n">
        <f aca="false">Y10+Y44</f>
        <v>9716</v>
      </c>
      <c r="Z50" s="216" t="n">
        <f aca="false">Z42</f>
        <v>9184.98361482228</v>
      </c>
      <c r="AA50" s="216" t="n">
        <f aca="false">AA10+AA44</f>
        <v>79336.655</v>
      </c>
      <c r="AB50" s="216" t="n">
        <f aca="false">AB10+AB44</f>
        <v>2532.16158810184</v>
      </c>
      <c r="AC50" s="216" t="n">
        <f aca="false">AC10+AC44</f>
        <v>81868.8165881018</v>
      </c>
      <c r="AD50" s="493" t="n">
        <f aca="false">AD10+AD44</f>
        <v>11.16</v>
      </c>
      <c r="AE50" s="218"/>
      <c r="AF50" s="223"/>
      <c r="AG50" s="218"/>
      <c r="AH50" s="216" t="n">
        <f aca="false">AH10+AH44</f>
        <v>346.51</v>
      </c>
      <c r="AI50" s="221"/>
      <c r="AJ50" s="498"/>
      <c r="AK50" s="499" t="n">
        <f aca="false">AK10+AK44</f>
        <v>839.06</v>
      </c>
    </row>
    <row r="51" customFormat="false" ht="11.1" hidden="false" customHeight="true" outlineLevel="0" collapsed="false">
      <c r="A51" s="154" t="s">
        <v>77</v>
      </c>
      <c r="B51" s="215"/>
      <c r="C51" s="216"/>
      <c r="D51" s="216" t="n">
        <f aca="false">D10+D45</f>
        <v>83625</v>
      </c>
      <c r="E51" s="216" t="n">
        <f aca="false">E42</f>
        <v>105568</v>
      </c>
      <c r="F51" s="217" t="n">
        <f aca="false">F50*$D$2</f>
        <v>83625</v>
      </c>
      <c r="G51" s="216" t="n">
        <f aca="false">G50*$D$2</f>
        <v>213305.59</v>
      </c>
      <c r="H51" s="218" t="n">
        <f aca="false">H50*$D$2</f>
        <v>4485.01086</v>
      </c>
      <c r="I51" s="216" t="n">
        <f aca="false">I50*$D$2</f>
        <v>217790.60086</v>
      </c>
      <c r="J51" s="216" t="n">
        <f aca="false">J50*$D$2</f>
        <v>28221.1968425</v>
      </c>
      <c r="K51" s="216" t="n">
        <f aca="false">K50*$D$2</f>
        <v>246011.7977025</v>
      </c>
      <c r="L51" s="216" t="n">
        <f aca="false">L50*$D$2</f>
        <v>23198.6543325</v>
      </c>
      <c r="M51" s="219" t="n">
        <f aca="false">M50*$D$2</f>
        <v>55233.7311</v>
      </c>
      <c r="N51" s="216" t="n">
        <f aca="false">N50*$D$2</f>
        <v>96.0014</v>
      </c>
      <c r="O51" s="216" t="n">
        <f aca="false">O50*$D$2</f>
        <v>17275.455897</v>
      </c>
      <c r="P51" s="216" t="n">
        <f aca="false">P50*$D$2</f>
        <v>915.948564</v>
      </c>
      <c r="Q51" s="216" t="n">
        <f aca="false">Q50*$D$2</f>
        <v>1725.018214</v>
      </c>
      <c r="R51" s="216" t="n">
        <f aca="false">R50*$D$2</f>
        <v>522.81093</v>
      </c>
      <c r="S51" s="216" t="n">
        <f aca="false">S50*$D$2</f>
        <v>36837.9587</v>
      </c>
      <c r="T51" s="216" t="n">
        <f aca="false">T50*$D$2</f>
        <v>13052.81845</v>
      </c>
      <c r="U51" s="216" t="n">
        <f aca="false">U50*$D$2</f>
        <v>84577.234371915</v>
      </c>
      <c r="V51" s="216"/>
      <c r="W51" s="216"/>
      <c r="X51" s="216" t="n">
        <f aca="false">X50*$D$2</f>
        <v>32904.87655</v>
      </c>
      <c r="Y51" s="216" t="n">
        <f aca="false">Y50*$D$2</f>
        <v>19271.686</v>
      </c>
      <c r="Z51" s="216" t="n">
        <f aca="false">Z50*$D$2</f>
        <v>18218.415</v>
      </c>
      <c r="AA51" s="216" t="n">
        <f aca="false">AA50*$D$2</f>
        <v>157364.2551925</v>
      </c>
      <c r="AB51" s="216" t="n">
        <f aca="false">AB50*$D$2</f>
        <v>5022.54251</v>
      </c>
      <c r="AC51" s="216" t="n">
        <f aca="false">AC50*$D$2</f>
        <v>162386.7977025</v>
      </c>
      <c r="AD51" s="493"/>
      <c r="AE51" s="218"/>
      <c r="AF51" s="223"/>
      <c r="AG51" s="218" t="n">
        <f aca="false">AG42</f>
        <v>0</v>
      </c>
      <c r="AH51" s="216" t="n">
        <f aca="false">AH50*$D$2</f>
        <v>687.302585</v>
      </c>
      <c r="AI51" s="221"/>
      <c r="AJ51" s="498" t="n">
        <f aca="false">AJ10+AJ45</f>
        <v>951.436662966202</v>
      </c>
      <c r="AK51" s="218" t="n">
        <f aca="false">AK50*$D$2</f>
        <v>1664.27551</v>
      </c>
    </row>
    <row r="52" customFormat="false" ht="3" hidden="false" customHeight="true" outlineLevel="0" collapsed="false">
      <c r="A52" s="227"/>
      <c r="B52" s="306"/>
      <c r="C52" s="290"/>
      <c r="D52" s="227"/>
      <c r="E52" s="290"/>
      <c r="F52" s="291"/>
      <c r="G52" s="227"/>
      <c r="H52" s="500"/>
      <c r="I52" s="227"/>
      <c r="J52" s="227"/>
      <c r="K52" s="227"/>
      <c r="L52" s="227"/>
      <c r="M52" s="501"/>
      <c r="N52" s="227"/>
      <c r="O52" s="227"/>
      <c r="P52" s="227"/>
      <c r="Q52" s="227"/>
      <c r="R52" s="294"/>
      <c r="S52" s="227"/>
      <c r="T52" s="227"/>
      <c r="U52" s="227"/>
      <c r="V52" s="290"/>
      <c r="W52" s="290"/>
      <c r="X52" s="227"/>
      <c r="Y52" s="227"/>
      <c r="Z52" s="290"/>
      <c r="AA52" s="227"/>
      <c r="AB52" s="227"/>
      <c r="AC52" s="227"/>
      <c r="AD52" s="306"/>
      <c r="AE52" s="227"/>
      <c r="AF52" s="291"/>
      <c r="AG52" s="502"/>
      <c r="AH52" s="502"/>
      <c r="AI52" s="503"/>
      <c r="AJ52" s="235"/>
      <c r="AK52" s="504"/>
    </row>
    <row r="53" customFormat="false" ht="11.1" hidden="false" customHeight="true" outlineLevel="0" collapsed="false">
      <c r="A53" s="145"/>
      <c r="B53" s="133"/>
      <c r="C53" s="9"/>
      <c r="D53" s="8"/>
      <c r="E53" s="474"/>
      <c r="F53" s="0"/>
      <c r="G53" s="0"/>
      <c r="H53" s="112"/>
      <c r="I53" s="8"/>
      <c r="J53" s="8"/>
      <c r="K53" s="475"/>
      <c r="L53" s="146"/>
      <c r="M53" s="8"/>
      <c r="N53" s="8"/>
      <c r="O53" s="8"/>
      <c r="P53" s="8"/>
      <c r="Q53" s="8"/>
      <c r="R53" s="8"/>
      <c r="S53" s="8"/>
      <c r="T53" s="8"/>
      <c r="U53" s="8"/>
      <c r="V53" s="476"/>
      <c r="W53" s="476"/>
      <c r="X53" s="8"/>
      <c r="Y53" s="8"/>
      <c r="Z53" s="474"/>
      <c r="AA53" s="474"/>
      <c r="AB53" s="145"/>
      <c r="AC53" s="145"/>
      <c r="AD53" s="150"/>
      <c r="AE53" s="152"/>
      <c r="AF53" s="152"/>
      <c r="AG53" s="153"/>
      <c r="AH53" s="153"/>
      <c r="AI53" s="505"/>
    </row>
    <row r="54" customFormat="false" ht="11.1" hidden="false" customHeight="true" outlineLevel="0" collapsed="false">
      <c r="A54" s="145"/>
      <c r="B54" s="133"/>
      <c r="C54" s="9"/>
      <c r="D54" s="134"/>
      <c r="E54" s="453"/>
      <c r="F54" s="477"/>
      <c r="G54" s="0"/>
      <c r="H54" s="112"/>
      <c r="I54" s="10"/>
      <c r="J54" s="8"/>
      <c r="K54" s="135"/>
      <c r="L54" s="149"/>
      <c r="M54" s="8"/>
      <c r="N54" s="8"/>
      <c r="O54" s="8"/>
      <c r="P54" s="8"/>
      <c r="Q54" s="8"/>
      <c r="R54" s="114"/>
      <c r="S54" s="478"/>
      <c r="T54" s="114"/>
      <c r="U54" s="479"/>
      <c r="V54" s="146"/>
      <c r="W54" s="146"/>
      <c r="X54" s="478"/>
      <c r="Y54" s="114"/>
      <c r="Z54" s="83"/>
      <c r="AA54" s="9"/>
      <c r="AB54" s="145"/>
      <c r="AC54" s="150"/>
      <c r="AD54" s="152"/>
      <c r="AE54" s="152"/>
      <c r="AF54" s="153"/>
      <c r="AG54" s="261"/>
      <c r="AH54" s="261"/>
      <c r="AI54" s="505"/>
    </row>
    <row r="55" customFormat="false" ht="11.1" hidden="false" customHeight="true" outlineLevel="0" collapsed="false">
      <c r="A55" s="257"/>
      <c r="B55" s="146"/>
      <c r="E55" s="453"/>
      <c r="F55" s="454"/>
      <c r="G55" s="0"/>
      <c r="H55" s="112"/>
      <c r="I55" s="134"/>
      <c r="J55" s="134"/>
      <c r="K55" s="480"/>
      <c r="L55" s="457"/>
      <c r="M55" s="481"/>
      <c r="N55" s="481"/>
      <c r="O55" s="453"/>
      <c r="P55" s="453"/>
      <c r="Q55" s="453"/>
      <c r="R55" s="425"/>
      <c r="S55" s="478"/>
      <c r="T55" s="114"/>
      <c r="U55" s="83"/>
      <c r="V55" s="146"/>
      <c r="W55" s="146"/>
      <c r="X55" s="146"/>
      <c r="Y55" s="83"/>
      <c r="Z55" s="478"/>
      <c r="AA55" s="478"/>
      <c r="AB55" s="257"/>
      <c r="AC55" s="150"/>
      <c r="AD55" s="152"/>
      <c r="AE55" s="152"/>
      <c r="AF55" s="153"/>
      <c r="AG55" s="316"/>
      <c r="AH55" s="316"/>
      <c r="AI55" s="505"/>
    </row>
    <row r="56" customFormat="false" ht="11.1" hidden="false" customHeight="true" outlineLevel="0" collapsed="false">
      <c r="A56" s="257"/>
      <c r="B56" s="257"/>
      <c r="C56" s="146"/>
      <c r="D56" s="146"/>
      <c r="E56" s="453"/>
      <c r="F56" s="0"/>
      <c r="G56" s="0"/>
      <c r="H56" s="149"/>
      <c r="I56" s="0"/>
      <c r="J56" s="134"/>
      <c r="K56" s="480"/>
      <c r="L56" s="152"/>
      <c r="M56" s="112"/>
      <c r="N56" s="112"/>
      <c r="O56" s="152"/>
      <c r="P56" s="152"/>
      <c r="Q56" s="152"/>
      <c r="R56" s="425"/>
      <c r="S56" s="425"/>
      <c r="T56" s="425"/>
      <c r="U56" s="83"/>
      <c r="V56" s="152"/>
      <c r="W56" s="152"/>
      <c r="X56" s="146"/>
      <c r="Y56" s="83"/>
      <c r="Z56" s="146"/>
      <c r="AA56" s="146"/>
      <c r="AB56" s="257"/>
      <c r="AC56" s="456"/>
      <c r="AD56" s="152"/>
      <c r="AE56" s="152"/>
      <c r="AF56" s="153"/>
      <c r="AG56" s="316"/>
      <c r="AH56" s="316"/>
      <c r="AI56" s="505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149"/>
      <c r="I57" s="257"/>
      <c r="J57" s="257"/>
      <c r="K57" s="257"/>
      <c r="L57" s="257"/>
      <c r="M57" s="149"/>
      <c r="N57" s="149"/>
      <c r="O57" s="149"/>
      <c r="P57" s="149"/>
      <c r="Q57" s="149"/>
      <c r="R57" s="257"/>
      <c r="S57" s="257"/>
      <c r="T57" s="257"/>
      <c r="U57" s="146"/>
      <c r="V57" s="257"/>
      <c r="W57" s="257"/>
      <c r="X57" s="257"/>
      <c r="Y57" s="146"/>
      <c r="Z57" s="257"/>
      <c r="AA57" s="257"/>
      <c r="AB57" s="257"/>
      <c r="AC57" s="150"/>
      <c r="AD57" s="152"/>
      <c r="AE57" s="152"/>
      <c r="AF57" s="153"/>
      <c r="AG57" s="316"/>
      <c r="AH57" s="316"/>
      <c r="AI57" s="505"/>
    </row>
  </sheetData>
  <mergeCells count="2">
    <mergeCell ref="K2:Y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12" activePane="bottomRight" state="frozen"/>
      <selection pane="topLeft" activeCell="A1" activeCellId="0" sqref="A1"/>
      <selection pane="topRight" activeCell="K1" activeCellId="0" sqref="K1"/>
      <selection pane="bottomLeft" activeCell="A12" activeCellId="0" sqref="A12"/>
      <selection pane="bottomRight" activeCell="B12" activeCellId="0" sqref="B12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506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8" min="16" style="137" width="4.32"/>
    <col collapsed="false" customWidth="true" hidden="false" outlineLevel="0" max="19" min="19" style="137" width="5.49"/>
    <col collapsed="false" customWidth="true" hidden="false" outlineLevel="0" max="20" min="20" style="138" width="5.49"/>
    <col collapsed="false" customWidth="true" hidden="false" outlineLevel="0" max="21" min="21" style="137" width="6.32"/>
    <col collapsed="false" customWidth="true" hidden="false" outlineLevel="0" max="22" min="22" style="137" width="5.49"/>
    <col collapsed="false" customWidth="true" hidden="false" outlineLevel="0" max="23" min="23" style="138" width="5.49"/>
    <col collapsed="false" customWidth="true" hidden="false" outlineLevel="0" max="26" min="24" style="137" width="5.49"/>
    <col collapsed="false" customWidth="true" hidden="false" outlineLevel="0" max="27" min="27" style="141" width="6.32"/>
    <col collapsed="false" customWidth="true" hidden="false" outlineLevel="0" max="28" min="28" style="139" width="6.99"/>
    <col collapsed="false" customWidth="true" hidden="false" outlineLevel="0" max="29" min="29" style="142" width="6.99"/>
    <col collapsed="false" customWidth="true" hidden="false" outlineLevel="0" max="30" min="30" style="143" width="5.32"/>
    <col collapsed="false" customWidth="true" hidden="false" outlineLevel="0" max="32" min="31" style="137" width="3.82"/>
    <col collapsed="false" customWidth="true" hidden="false" outlineLevel="0" max="34" min="33" style="141" width="5.49"/>
    <col collapsed="false" customWidth="true" hidden="false" outlineLevel="0" max="35" min="35" style="507" width="6.32"/>
    <col collapsed="false" customWidth="true" hidden="false" outlineLevel="0" max="36" min="36" style="137" width="6.32"/>
    <col collapsed="false" customWidth="true" hidden="false" outlineLevel="0" max="37" min="37" style="181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47"/>
      <c r="I1" s="145"/>
      <c r="J1" s="145"/>
      <c r="K1" s="148" t="s">
        <v>0</v>
      </c>
      <c r="L1" s="145"/>
      <c r="M1" s="145"/>
      <c r="N1" s="145"/>
      <c r="O1" s="145"/>
      <c r="P1" s="150"/>
      <c r="Q1" s="150"/>
      <c r="R1" s="150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261"/>
      <c r="AH1" s="261"/>
      <c r="AI1" s="262"/>
      <c r="AJ1" s="141"/>
      <c r="AK1" s="508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47"/>
      <c r="I2" s="145"/>
      <c r="J2" s="145"/>
      <c r="K2" s="156" t="s">
        <v>106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202" t="s">
        <v>85</v>
      </c>
      <c r="W2" s="202"/>
      <c r="X2" s="145"/>
      <c r="Y2" s="146"/>
      <c r="Z2" s="145"/>
      <c r="AA2" s="145"/>
      <c r="AB2" s="145"/>
      <c r="AC2" s="150"/>
      <c r="AD2" s="151"/>
      <c r="AE2" s="152"/>
      <c r="AF2" s="153"/>
      <c r="AG2" s="261"/>
      <c r="AH2" s="261"/>
      <c r="AI2" s="262"/>
      <c r="AJ2" s="141"/>
      <c r="AK2" s="508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160"/>
      <c r="I3" s="157"/>
      <c r="J3" s="157"/>
      <c r="K3" s="157"/>
      <c r="L3" s="157"/>
      <c r="M3" s="157"/>
      <c r="N3" s="157"/>
      <c r="O3" s="157"/>
      <c r="P3" s="162"/>
      <c r="Q3" s="162"/>
      <c r="R3" s="162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264"/>
      <c r="AH3" s="264"/>
      <c r="AI3" s="265"/>
      <c r="AJ3" s="509"/>
      <c r="AK3" s="510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173"/>
      <c r="I4" s="168"/>
      <c r="J4" s="168"/>
      <c r="K4" s="168"/>
      <c r="L4" s="168"/>
      <c r="M4" s="168"/>
      <c r="N4" s="168"/>
      <c r="O4" s="168"/>
      <c r="P4" s="177"/>
      <c r="Q4" s="177"/>
      <c r="R4" s="177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168"/>
      <c r="AH4" s="168"/>
      <c r="AI4" s="511" t="s">
        <v>6</v>
      </c>
      <c r="AJ4" s="511"/>
      <c r="AK4" s="508"/>
    </row>
    <row r="5" s="490" customFormat="true" ht="11.1" hidden="false" customHeight="true" outlineLevel="0" collapsed="false">
      <c r="A5" s="209" t="s">
        <v>7</v>
      </c>
      <c r="B5" s="432" t="s">
        <v>8</v>
      </c>
      <c r="C5" s="205" t="s">
        <v>8</v>
      </c>
      <c r="D5" s="209" t="s">
        <v>9</v>
      </c>
      <c r="E5" s="205" t="s">
        <v>10</v>
      </c>
      <c r="F5" s="487" t="s">
        <v>11</v>
      </c>
      <c r="G5" s="209" t="s">
        <v>12</v>
      </c>
      <c r="H5" s="211" t="s">
        <v>13</v>
      </c>
      <c r="I5" s="209" t="s">
        <v>14</v>
      </c>
      <c r="J5" s="209" t="s">
        <v>15</v>
      </c>
      <c r="K5" s="209" t="s">
        <v>16</v>
      </c>
      <c r="L5" s="209" t="s">
        <v>15</v>
      </c>
      <c r="M5" s="190" t="s">
        <v>17</v>
      </c>
      <c r="N5" s="190"/>
      <c r="O5" s="190"/>
      <c r="P5" s="190"/>
      <c r="Q5" s="190"/>
      <c r="R5" s="190"/>
      <c r="S5" s="386" t="s">
        <v>18</v>
      </c>
      <c r="T5" s="386" t="s">
        <v>19</v>
      </c>
      <c r="U5" s="386" t="s">
        <v>16</v>
      </c>
      <c r="V5" s="73" t="s">
        <v>20</v>
      </c>
      <c r="W5" s="205" t="s">
        <v>20</v>
      </c>
      <c r="X5" s="386" t="s">
        <v>21</v>
      </c>
      <c r="Y5" s="386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489" t="s">
        <v>24</v>
      </c>
      <c r="AE5" s="201" t="s">
        <v>25</v>
      </c>
      <c r="AF5" s="325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61" t="s">
        <v>28</v>
      </c>
    </row>
    <row r="6" s="490" customFormat="true" ht="11.1" hidden="false" customHeight="true" outlineLevel="0" collapsed="false">
      <c r="A6" s="436" t="s">
        <v>107</v>
      </c>
      <c r="B6" s="432" t="s">
        <v>30</v>
      </c>
      <c r="C6" s="205" t="s">
        <v>9</v>
      </c>
      <c r="D6" s="209" t="s">
        <v>31</v>
      </c>
      <c r="E6" s="205" t="s">
        <v>32</v>
      </c>
      <c r="F6" s="487" t="s">
        <v>33</v>
      </c>
      <c r="G6" s="209" t="s">
        <v>34</v>
      </c>
      <c r="H6" s="211" t="s">
        <v>35</v>
      </c>
      <c r="I6" s="209" t="s">
        <v>36</v>
      </c>
      <c r="J6" s="209" t="s">
        <v>36</v>
      </c>
      <c r="K6" s="209" t="s">
        <v>36</v>
      </c>
      <c r="L6" s="209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9" t="s">
        <v>42</v>
      </c>
      <c r="R6" s="210" t="s">
        <v>43</v>
      </c>
      <c r="S6" s="386" t="s">
        <v>44</v>
      </c>
      <c r="T6" s="386" t="s">
        <v>45</v>
      </c>
      <c r="U6" s="386" t="s">
        <v>20</v>
      </c>
      <c r="V6" s="73" t="s">
        <v>83</v>
      </c>
      <c r="W6" s="205" t="s">
        <v>65</v>
      </c>
      <c r="X6" s="386" t="s">
        <v>48</v>
      </c>
      <c r="Y6" s="386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491"/>
      <c r="AE6" s="201" t="s">
        <v>52</v>
      </c>
      <c r="AF6" s="325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61" t="s">
        <v>56</v>
      </c>
    </row>
    <row r="7" s="490" customFormat="true" ht="11.1" hidden="false" customHeight="true" outlineLevel="0" collapsed="false">
      <c r="A7" s="209"/>
      <c r="B7" s="432"/>
      <c r="C7" s="205"/>
      <c r="D7" s="209"/>
      <c r="E7" s="205" t="s">
        <v>57</v>
      </c>
      <c r="F7" s="487"/>
      <c r="G7" s="209"/>
      <c r="H7" s="211"/>
      <c r="I7" s="209"/>
      <c r="J7" s="209"/>
      <c r="K7" s="209"/>
      <c r="L7" s="209"/>
      <c r="M7" s="437"/>
      <c r="N7" s="209" t="s">
        <v>58</v>
      </c>
      <c r="O7" s="209" t="s">
        <v>59</v>
      </c>
      <c r="P7" s="209"/>
      <c r="Q7" s="209"/>
      <c r="R7" s="210" t="s">
        <v>40</v>
      </c>
      <c r="S7" s="386"/>
      <c r="T7" s="386"/>
      <c r="U7" s="386"/>
      <c r="V7" s="73" t="s">
        <v>60</v>
      </c>
      <c r="W7" s="73"/>
      <c r="X7" s="386"/>
      <c r="Y7" s="386"/>
      <c r="Z7" s="73"/>
      <c r="AA7" s="386"/>
      <c r="AB7" s="386"/>
      <c r="AC7" s="386"/>
      <c r="AD7" s="491"/>
      <c r="AE7" s="201"/>
      <c r="AF7" s="325"/>
      <c r="AG7" s="61" t="s">
        <v>57</v>
      </c>
      <c r="AH7" s="61" t="s">
        <v>61</v>
      </c>
      <c r="AI7" s="62" t="s">
        <v>97</v>
      </c>
      <c r="AJ7" s="62" t="s">
        <v>84</v>
      </c>
      <c r="AK7" s="61" t="s">
        <v>64</v>
      </c>
    </row>
    <row r="8" s="490" customFormat="true" ht="11.1" hidden="false" customHeight="true" outlineLevel="0" collapsed="false">
      <c r="A8" s="209"/>
      <c r="B8" s="432"/>
      <c r="C8" s="205"/>
      <c r="D8" s="209"/>
      <c r="E8" s="205"/>
      <c r="F8" s="487"/>
      <c r="G8" s="209"/>
      <c r="H8" s="211"/>
      <c r="I8" s="209"/>
      <c r="J8" s="209"/>
      <c r="K8" s="209"/>
      <c r="L8" s="209"/>
      <c r="M8" s="437"/>
      <c r="N8" s="209"/>
      <c r="O8" s="205" t="n">
        <v>24497</v>
      </c>
      <c r="P8" s="209"/>
      <c r="Q8" s="209"/>
      <c r="R8" s="210" t="s">
        <v>65</v>
      </c>
      <c r="S8" s="209"/>
      <c r="T8" s="209"/>
      <c r="U8" s="209"/>
      <c r="V8" s="205"/>
      <c r="W8" s="205" t="n">
        <v>12747</v>
      </c>
      <c r="X8" s="209"/>
      <c r="Y8" s="209"/>
      <c r="Z8" s="205"/>
      <c r="AA8" s="209"/>
      <c r="AB8" s="209"/>
      <c r="AC8" s="209"/>
      <c r="AD8" s="491"/>
      <c r="AE8" s="201"/>
      <c r="AF8" s="325"/>
      <c r="AG8" s="61"/>
      <c r="AH8" s="61"/>
      <c r="AI8" s="62"/>
      <c r="AJ8" s="62" t="s">
        <v>61</v>
      </c>
      <c r="AK8" s="492"/>
    </row>
    <row r="9" customFormat="false" ht="11.1" hidden="false" customHeight="true" outlineLevel="0" collapsed="false">
      <c r="A9" s="154" t="s">
        <v>67</v>
      </c>
      <c r="B9" s="512"/>
      <c r="C9" s="175"/>
      <c r="D9" s="175"/>
      <c r="E9" s="175"/>
      <c r="F9" s="513" t="n">
        <f aca="false">JUL!F47</f>
        <v>34645.3239223595</v>
      </c>
      <c r="G9" s="175" t="n">
        <f aca="false">JUL!G47</f>
        <v>93412</v>
      </c>
      <c r="H9" s="175" t="n">
        <f aca="false">JUL!H47</f>
        <v>1957.56</v>
      </c>
      <c r="I9" s="175" t="n">
        <f aca="false">JUL!I47</f>
        <v>95369.56</v>
      </c>
      <c r="J9" s="175" t="n">
        <f aca="false">JUL!J47</f>
        <v>8590.3761028485</v>
      </c>
      <c r="K9" s="175" t="n">
        <f aca="false">JUL!K47</f>
        <v>103959.936102849</v>
      </c>
      <c r="L9" s="175" t="n">
        <f aca="false">JUL!L47</f>
        <v>6282.96392235947</v>
      </c>
      <c r="M9" s="514" t="n">
        <f aca="false">JUL!M47</f>
        <v>26871.2</v>
      </c>
      <c r="N9" s="175" t="n">
        <f aca="false">JUL!N47</f>
        <v>48.4</v>
      </c>
      <c r="O9" s="175" t="n">
        <f aca="false">JUL!O47</f>
        <v>8709.582</v>
      </c>
      <c r="P9" s="177"/>
      <c r="Q9" s="177"/>
      <c r="R9" s="515"/>
      <c r="S9" s="175" t="n">
        <f aca="false">JUL!S47</f>
        <v>10592</v>
      </c>
      <c r="T9" s="175" t="n">
        <f aca="false">JUL!T47</f>
        <v>6444.7</v>
      </c>
      <c r="U9" s="175" t="n">
        <f aca="false">JUL!U47</f>
        <v>34200.323</v>
      </c>
      <c r="V9" s="175" t="n">
        <f aca="false">JUL!V47</f>
        <v>10205.6028443579</v>
      </c>
      <c r="W9" s="175"/>
      <c r="X9" s="175" t="n">
        <f aca="false">JUL!X47</f>
        <v>16589.3</v>
      </c>
      <c r="Y9" s="175"/>
      <c r="Z9" s="175"/>
      <c r="AA9" s="175" t="n">
        <f aca="false">JUL!AA47</f>
        <v>67007.2</v>
      </c>
      <c r="AB9" s="175" t="n">
        <f aca="false">JUL!AB47</f>
        <v>2307.41218048903</v>
      </c>
      <c r="AC9" s="175" t="n">
        <f aca="false">JUL!AC47</f>
        <v>69314.612180489</v>
      </c>
      <c r="AD9" s="331"/>
      <c r="AE9" s="322"/>
      <c r="AF9" s="516"/>
      <c r="AG9" s="333"/>
      <c r="AH9" s="333"/>
      <c r="AI9" s="269"/>
      <c r="AJ9" s="177" t="n">
        <f aca="false">JUL!AJ48</f>
        <v>951.436662966202</v>
      </c>
      <c r="AK9" s="218" t="n">
        <f aca="false">JUL!AK47</f>
        <v>839.06</v>
      </c>
    </row>
    <row r="10" s="138" customFormat="true" ht="11.1" hidden="false" customHeight="true" outlineLevel="0" collapsed="false">
      <c r="A10" s="225" t="s">
        <v>68</v>
      </c>
      <c r="B10" s="517" t="n">
        <f aca="false">JUL!B42</f>
        <v>6892.74</v>
      </c>
      <c r="C10" s="175" t="n">
        <f aca="false">JUL!C42</f>
        <v>257568</v>
      </c>
      <c r="D10" s="175" t="n">
        <f aca="false">JUL!D51</f>
        <v>83625</v>
      </c>
      <c r="E10" s="175" t="n">
        <f aca="false">JUL!E51</f>
        <v>105568</v>
      </c>
      <c r="F10" s="513" t="n">
        <f aca="false">JUL!F50</f>
        <v>42160.3226619612</v>
      </c>
      <c r="G10" s="175" t="n">
        <f aca="false">JUL!G50</f>
        <v>107540</v>
      </c>
      <c r="H10" s="322" t="n">
        <f aca="false">JUL!H50</f>
        <v>2261.16</v>
      </c>
      <c r="I10" s="175" t="n">
        <f aca="false">JUL!I50</f>
        <v>109801.16</v>
      </c>
      <c r="J10" s="175" t="n">
        <f aca="false">JUL!J50</f>
        <v>14227.979250063</v>
      </c>
      <c r="K10" s="175" t="n">
        <f aca="false">JUL!K50</f>
        <v>124029.139250063</v>
      </c>
      <c r="L10" s="175" t="n">
        <f aca="false">JUL!L50</f>
        <v>11695.8176619612</v>
      </c>
      <c r="M10" s="514" t="n">
        <f aca="false">JUL!M50</f>
        <v>27846.6</v>
      </c>
      <c r="N10" s="175" t="n">
        <f aca="false">JUL!N50</f>
        <v>48.4</v>
      </c>
      <c r="O10" s="175" t="n">
        <f aca="false">JUL!O50</f>
        <v>8709.582</v>
      </c>
      <c r="P10" s="175" t="n">
        <f aca="false">JUL!P50</f>
        <v>461.784</v>
      </c>
      <c r="Q10" s="175" t="n">
        <f aca="false">JUL!Q50</f>
        <v>869.684</v>
      </c>
      <c r="R10" s="175" t="n">
        <f aca="false">JUL!R50</f>
        <v>263.58</v>
      </c>
      <c r="S10" s="175" t="n">
        <f aca="false">JUL!S50</f>
        <v>18572.2</v>
      </c>
      <c r="T10" s="175" t="n">
        <f aca="false">JUL!T50</f>
        <v>6580.7</v>
      </c>
      <c r="U10" s="175" t="n">
        <f aca="false">JUL!U50</f>
        <v>42640.40049</v>
      </c>
      <c r="V10" s="175"/>
      <c r="W10" s="175"/>
      <c r="X10" s="175" t="n">
        <f aca="false">JUL!X50</f>
        <v>16589.3</v>
      </c>
      <c r="Y10" s="175" t="n">
        <f aca="false">JUL!Y50</f>
        <v>9716</v>
      </c>
      <c r="Z10" s="175" t="n">
        <f aca="false">JUL!Z50</f>
        <v>9184.98361482228</v>
      </c>
      <c r="AA10" s="175" t="n">
        <f aca="false">JUL!AA50</f>
        <v>79336.655</v>
      </c>
      <c r="AB10" s="175" t="n">
        <f aca="false">JUL!AB50</f>
        <v>2532.16158810184</v>
      </c>
      <c r="AC10" s="175" t="n">
        <f aca="false">JUL!AC50</f>
        <v>81868.8165881018</v>
      </c>
      <c r="AD10" s="222" t="n">
        <f aca="false">JUL!AD50</f>
        <v>11.16</v>
      </c>
      <c r="AE10" s="322"/>
      <c r="AF10" s="516"/>
      <c r="AG10" s="322" t="n">
        <f aca="false">JUL!AG51</f>
        <v>0</v>
      </c>
      <c r="AH10" s="322" t="n">
        <f aca="false">JUL!AH50</f>
        <v>346.51</v>
      </c>
      <c r="AI10" s="330"/>
      <c r="AJ10" s="177" t="n">
        <f aca="false">JUL!AJ51</f>
        <v>951.436662966202</v>
      </c>
      <c r="AK10" s="322" t="n">
        <f aca="false">JUL!AK50</f>
        <v>839.06</v>
      </c>
    </row>
    <row r="11" customFormat="false" ht="3" hidden="false" customHeight="true" outlineLevel="0" collapsed="false">
      <c r="A11" s="227"/>
      <c r="B11" s="518"/>
      <c r="C11" s="519"/>
      <c r="D11" s="355"/>
      <c r="E11" s="519"/>
      <c r="F11" s="520"/>
      <c r="G11" s="355"/>
      <c r="H11" s="521"/>
      <c r="I11" s="355"/>
      <c r="J11" s="355"/>
      <c r="K11" s="355"/>
      <c r="L11" s="355"/>
      <c r="M11" s="522"/>
      <c r="N11" s="355"/>
      <c r="O11" s="355"/>
      <c r="P11" s="523"/>
      <c r="Q11" s="523"/>
      <c r="R11" s="524"/>
      <c r="S11" s="355"/>
      <c r="T11" s="355"/>
      <c r="U11" s="355"/>
      <c r="V11" s="519"/>
      <c r="W11" s="519"/>
      <c r="X11" s="355"/>
      <c r="Y11" s="355"/>
      <c r="Z11" s="519"/>
      <c r="AA11" s="355"/>
      <c r="AB11" s="355"/>
      <c r="AC11" s="355"/>
      <c r="AD11" s="525"/>
      <c r="AE11" s="526"/>
      <c r="AF11" s="527"/>
      <c r="AG11" s="528"/>
      <c r="AH11" s="528"/>
      <c r="AI11" s="528"/>
      <c r="AJ11" s="529"/>
      <c r="AK11" s="530"/>
    </row>
    <row r="12" customFormat="false" ht="11.1" hidden="false" customHeight="true" outlineLevel="0" collapsed="false">
      <c r="A12" s="153" t="n">
        <v>1</v>
      </c>
      <c r="B12" s="517" t="n">
        <v>6892.49</v>
      </c>
      <c r="C12" s="175" t="n">
        <v>256701</v>
      </c>
      <c r="D12" s="322" t="n">
        <f aca="false">C12-C10</f>
        <v>-867</v>
      </c>
      <c r="E12" s="175" t="n">
        <f aca="false">C12-152000</f>
        <v>104701</v>
      </c>
      <c r="F12" s="531" t="n">
        <f aca="false">D12/$D$2</f>
        <v>-437.106125535669</v>
      </c>
      <c r="G12" s="168" t="n">
        <v>148</v>
      </c>
      <c r="H12" s="173" t="n">
        <v>0</v>
      </c>
      <c r="I12" s="168" t="n">
        <f aca="false">G12+H12</f>
        <v>148</v>
      </c>
      <c r="J12" s="176" t="n">
        <f aca="false">IF(L12&gt;0,L12,0)</f>
        <v>28.8938744643307</v>
      </c>
      <c r="K12" s="168" t="n">
        <f aca="false">I12+J12</f>
        <v>176.893874464331</v>
      </c>
      <c r="L12" s="168" t="n">
        <f aca="false">F12-(I12-AA12)</f>
        <v>28.8938744643307</v>
      </c>
      <c r="M12" s="532" t="n">
        <v>205</v>
      </c>
      <c r="N12" s="268" t="n">
        <v>0</v>
      </c>
      <c r="O12" s="168" t="n">
        <f aca="false">46.9*1.05</f>
        <v>49.245</v>
      </c>
      <c r="P12" s="177" t="n">
        <v>2.21</v>
      </c>
      <c r="Q12" s="533" t="n">
        <v>4.2</v>
      </c>
      <c r="R12" s="534" t="n">
        <v>3.7</v>
      </c>
      <c r="S12" s="168" t="n">
        <v>131</v>
      </c>
      <c r="T12" s="168" t="n">
        <v>73</v>
      </c>
      <c r="U12" s="176" t="n">
        <f aca="false">M12-N12-O12-P12-Q12-R12+S12+T12</f>
        <v>349.645</v>
      </c>
      <c r="V12" s="175" t="n">
        <f aca="false">V9+AI12-(AJ12/1.9835)+AK12</f>
        <v>10020.3356877467</v>
      </c>
      <c r="W12" s="175"/>
      <c r="X12" s="168" t="n">
        <v>129</v>
      </c>
      <c r="Y12" s="168" t="n">
        <v>76</v>
      </c>
      <c r="Z12" s="175" t="n">
        <f aca="false">Z10-Y12</f>
        <v>9108.98361482228</v>
      </c>
      <c r="AA12" s="29" t="n">
        <f aca="false">N12+O12+P12+Q12+R12+U12+X12+Y12</f>
        <v>614</v>
      </c>
      <c r="AB12" s="168" t="n">
        <f aca="false">IF(L12&lt;0,L12*-1,0)</f>
        <v>0</v>
      </c>
      <c r="AC12" s="168" t="n">
        <f aca="false">AA12+AB12</f>
        <v>614</v>
      </c>
      <c r="AD12" s="331" t="n">
        <v>0</v>
      </c>
      <c r="AE12" s="322" t="n">
        <v>89</v>
      </c>
      <c r="AF12" s="516" t="n">
        <v>56</v>
      </c>
      <c r="AG12" s="218" t="n">
        <f aca="false">AG10</f>
        <v>0</v>
      </c>
      <c r="AH12" s="333"/>
      <c r="AI12" s="535" t="n">
        <f aca="false">I12-P12-Q12-U12</f>
        <v>-208.055</v>
      </c>
      <c r="AJ12" s="37" t="n">
        <f aca="false">23.5*(V9*1.9835-U12*1.9835)/E12</f>
        <v>4.38781263818559</v>
      </c>
      <c r="AK12" s="536" t="n">
        <v>25</v>
      </c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153" t="n">
        <f aca="false">A12+1</f>
        <v>2</v>
      </c>
      <c r="B13" s="517" t="n">
        <v>6892.26</v>
      </c>
      <c r="C13" s="175" t="n">
        <v>255904</v>
      </c>
      <c r="D13" s="322" t="n">
        <f aca="false">C13-C12</f>
        <v>-797</v>
      </c>
      <c r="E13" s="175" t="n">
        <f aca="false">C13-152000</f>
        <v>103904</v>
      </c>
      <c r="F13" s="531" t="n">
        <f aca="false">D13/$D$2</f>
        <v>-401.814973531636</v>
      </c>
      <c r="G13" s="168" t="n">
        <v>146</v>
      </c>
      <c r="H13" s="173" t="n">
        <v>0</v>
      </c>
      <c r="I13" s="168" t="n">
        <f aca="false">G13+H13</f>
        <v>146</v>
      </c>
      <c r="J13" s="176" t="n">
        <f aca="false">IF(L13&gt;0,L13,0)</f>
        <v>107.185026468364</v>
      </c>
      <c r="K13" s="168" t="n">
        <f aca="false">I13+J13</f>
        <v>253.185026468364</v>
      </c>
      <c r="L13" s="168" t="n">
        <f aca="false">F13-(I13-AA13)</f>
        <v>107.185026468364</v>
      </c>
      <c r="M13" s="532" t="n">
        <v>241</v>
      </c>
      <c r="N13" s="268" t="n">
        <v>0</v>
      </c>
      <c r="O13" s="168" t="n">
        <f aca="false">68.26*1.05</f>
        <v>71.673</v>
      </c>
      <c r="P13" s="177" t="n">
        <v>2.21</v>
      </c>
      <c r="Q13" s="533" t="n">
        <v>4.2</v>
      </c>
      <c r="R13" s="534" t="n">
        <v>4.58</v>
      </c>
      <c r="S13" s="168" t="n">
        <v>125</v>
      </c>
      <c r="T13" s="168" t="n">
        <v>74</v>
      </c>
      <c r="U13" s="168" t="n">
        <f aca="false">M13-N13-O13-P13-Q13-R13+S13+T13</f>
        <v>357.337</v>
      </c>
      <c r="V13" s="175" t="n">
        <f aca="false">V12+AI13-(AJ13/1.9835)+AK13</f>
        <v>9825.40320432778</v>
      </c>
      <c r="W13" s="175"/>
      <c r="X13" s="168" t="n">
        <v>139</v>
      </c>
      <c r="Y13" s="168" t="n">
        <v>76</v>
      </c>
      <c r="Z13" s="175" t="n">
        <f aca="false">Z12-Y13</f>
        <v>9032.98361482228</v>
      </c>
      <c r="AA13" s="29" t="n">
        <f aca="false">N13+O13+P13+Q13+R13+U13+X13+Y13</f>
        <v>655</v>
      </c>
      <c r="AB13" s="168" t="n">
        <f aca="false">IF(L13&lt;0,L13*-1,0)</f>
        <v>0</v>
      </c>
      <c r="AC13" s="168" t="n">
        <f aca="false">AA13+AB13</f>
        <v>655</v>
      </c>
      <c r="AD13" s="331" t="n">
        <v>0</v>
      </c>
      <c r="AE13" s="322" t="n">
        <v>75</v>
      </c>
      <c r="AF13" s="516" t="n">
        <v>56</v>
      </c>
      <c r="AG13" s="218" t="n">
        <f aca="false">AG12</f>
        <v>0</v>
      </c>
      <c r="AH13" s="333"/>
      <c r="AI13" s="240" t="n">
        <f aca="false">I13-P13-Q13-U13</f>
        <v>-217.747</v>
      </c>
      <c r="AJ13" s="37" t="n">
        <f aca="false">23.5*(V12*1.9835-U13*1.9835)/E13</f>
        <v>4.33490636147716</v>
      </c>
      <c r="AK13" s="536" t="n">
        <v>25</v>
      </c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153" t="n">
        <f aca="false">A13+1</f>
        <v>3</v>
      </c>
      <c r="B14" s="517" t="n">
        <v>6892.06</v>
      </c>
      <c r="C14" s="175" t="n">
        <v>255211</v>
      </c>
      <c r="D14" s="322" t="n">
        <f aca="false">C14-C13</f>
        <v>-693</v>
      </c>
      <c r="E14" s="175" t="n">
        <f aca="false">C14-152000</f>
        <v>103211</v>
      </c>
      <c r="F14" s="531" t="n">
        <f aca="false">D14/$D$2</f>
        <v>-349.382404839929</v>
      </c>
      <c r="G14" s="168" t="n">
        <v>250</v>
      </c>
      <c r="H14" s="173" t="n">
        <v>0</v>
      </c>
      <c r="I14" s="168" t="n">
        <f aca="false">G14+H14</f>
        <v>250</v>
      </c>
      <c r="J14" s="176" t="n">
        <f aca="false">IF(L14&gt;0,L14,0)</f>
        <v>44.6175951600706</v>
      </c>
      <c r="K14" s="168" t="n">
        <f aca="false">I14+J14</f>
        <v>294.617595160071</v>
      </c>
      <c r="L14" s="168" t="n">
        <f aca="false">F14-(I14-AA14)</f>
        <v>44.6175951600706</v>
      </c>
      <c r="M14" s="532" t="n">
        <v>228</v>
      </c>
      <c r="N14" s="268" t="n">
        <v>0</v>
      </c>
      <c r="O14" s="168" t="n">
        <f aca="false">74.47*1.05</f>
        <v>78.1935</v>
      </c>
      <c r="P14" s="177" t="n">
        <v>2.21</v>
      </c>
      <c r="Q14" s="533" t="n">
        <v>4.2</v>
      </c>
      <c r="R14" s="534" t="n">
        <v>3.64</v>
      </c>
      <c r="S14" s="168" t="n">
        <v>125</v>
      </c>
      <c r="T14" s="168" t="n">
        <v>73</v>
      </c>
      <c r="U14" s="168" t="n">
        <f aca="false">M14-N14-O14-P14-Q14-R14+S14+T14</f>
        <v>337.7565</v>
      </c>
      <c r="V14" s="175" t="n">
        <f aca="false">V13+AI14-(AJ14/1.9835)+AK14</f>
        <v>9754.07647239948</v>
      </c>
      <c r="W14" s="175"/>
      <c r="X14" s="168" t="n">
        <v>142</v>
      </c>
      <c r="Y14" s="168" t="n">
        <v>76</v>
      </c>
      <c r="Z14" s="175" t="n">
        <f aca="false">Z13-Y14</f>
        <v>8956.98361482229</v>
      </c>
      <c r="AA14" s="29" t="n">
        <f aca="false">N14+O14+P14+Q14+R14+U14+X14+Y14</f>
        <v>644</v>
      </c>
      <c r="AB14" s="168" t="n">
        <f aca="false">IF(L14&lt;0,L14*-1,0)</f>
        <v>0</v>
      </c>
      <c r="AC14" s="168" t="n">
        <f aca="false">AA14+AB14</f>
        <v>644</v>
      </c>
      <c r="AD14" s="331" t="n">
        <v>0</v>
      </c>
      <c r="AE14" s="322" t="n">
        <v>83</v>
      </c>
      <c r="AF14" s="516" t="n">
        <v>51</v>
      </c>
      <c r="AG14" s="218" t="n">
        <f aca="false">AG13</f>
        <v>0</v>
      </c>
      <c r="AH14" s="333"/>
      <c r="AI14" s="240" t="n">
        <f aca="false">I14-P14-Q14-U14</f>
        <v>-94.1665</v>
      </c>
      <c r="AJ14" s="37" t="n">
        <f aca="false">23.5*(V13*1.9835-U14*1.9835)/E14</f>
        <v>4.28482002978173</v>
      </c>
      <c r="AK14" s="536" t="n">
        <v>25</v>
      </c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153" t="n">
        <f aca="false">A14+1</f>
        <v>4</v>
      </c>
      <c r="B15" s="517" t="n">
        <v>6891.79</v>
      </c>
      <c r="C15" s="175" t="n">
        <v>254282</v>
      </c>
      <c r="D15" s="322" t="n">
        <f aca="false">C15-C14</f>
        <v>-929</v>
      </c>
      <c r="E15" s="175" t="n">
        <f aca="false">C15-152000</f>
        <v>102282</v>
      </c>
      <c r="F15" s="531" t="n">
        <f aca="false">D15/$D$2</f>
        <v>-468.364003024956</v>
      </c>
      <c r="G15" s="168" t="n">
        <v>242</v>
      </c>
      <c r="H15" s="173" t="n">
        <v>0</v>
      </c>
      <c r="I15" s="168" t="n">
        <f aca="false">G15+H15</f>
        <v>242</v>
      </c>
      <c r="J15" s="176" t="n">
        <f aca="false">IF(L15&gt;0,L15,0)</f>
        <v>0</v>
      </c>
      <c r="K15" s="168" t="n">
        <f aca="false">I15+J15</f>
        <v>242</v>
      </c>
      <c r="L15" s="168" t="n">
        <f aca="false">F15-(I15-AA15)</f>
        <v>-57.3640030249559</v>
      </c>
      <c r="M15" s="532" t="n">
        <v>236</v>
      </c>
      <c r="N15" s="268" t="n">
        <v>0</v>
      </c>
      <c r="O15" s="168" t="n">
        <f aca="false">64.42*1.05</f>
        <v>67.641</v>
      </c>
      <c r="P15" s="177" t="n">
        <v>2.21</v>
      </c>
      <c r="Q15" s="533" t="n">
        <v>4.2</v>
      </c>
      <c r="R15" s="534" t="n">
        <v>2.14</v>
      </c>
      <c r="S15" s="168" t="n">
        <v>128</v>
      </c>
      <c r="T15" s="168" t="n">
        <v>75</v>
      </c>
      <c r="U15" s="168" t="n">
        <f aca="false">M15-N15-O15-P15-Q15-R15+S15+T15</f>
        <v>362.809</v>
      </c>
      <c r="V15" s="175" t="n">
        <f aca="false">V14+AI15-(AJ15/1.9835)+AK15</f>
        <v>9627.69976346143</v>
      </c>
      <c r="W15" s="175"/>
      <c r="X15" s="168" t="n">
        <v>138</v>
      </c>
      <c r="Y15" s="168" t="n">
        <v>76</v>
      </c>
      <c r="Z15" s="175" t="n">
        <f aca="false">Z14-Y15</f>
        <v>8880.98361482228</v>
      </c>
      <c r="AA15" s="29" t="n">
        <f aca="false">N15+O15+P15+Q15+R15+U15+X15+Y15</f>
        <v>653</v>
      </c>
      <c r="AB15" s="168" t="n">
        <f aca="false">IF(L15&lt;0,L15*-1,0)</f>
        <v>57.3640030249559</v>
      </c>
      <c r="AC15" s="168" t="n">
        <f aca="false">AA15+AB15</f>
        <v>710.364003024956</v>
      </c>
      <c r="AD15" s="331" t="n">
        <v>0</v>
      </c>
      <c r="AE15" s="322" t="n">
        <v>88</v>
      </c>
      <c r="AF15" s="516" t="n">
        <v>56</v>
      </c>
      <c r="AG15" s="218" t="n">
        <f aca="false">AG14</f>
        <v>0</v>
      </c>
      <c r="AH15" s="333"/>
      <c r="AI15" s="240" t="n">
        <f aca="false">I15-P15-Q15-U15</f>
        <v>-127.219</v>
      </c>
      <c r="AJ15" s="37" t="n">
        <f aca="false">23.5*(V14*1.9835-U15*1.9835)/E15</f>
        <v>4.27981567861748</v>
      </c>
      <c r="AK15" s="536" t="n">
        <v>3</v>
      </c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153" t="n">
        <f aca="false">A15+1</f>
        <v>5</v>
      </c>
      <c r="B16" s="517" t="n">
        <v>6891.54</v>
      </c>
      <c r="C16" s="175" t="n">
        <v>253423</v>
      </c>
      <c r="D16" s="322" t="n">
        <f aca="false">C16-C15</f>
        <v>-859</v>
      </c>
      <c r="E16" s="175" t="n">
        <f aca="false">C16-152000</f>
        <v>101423</v>
      </c>
      <c r="F16" s="531" t="n">
        <f aca="false">D16/$D$2</f>
        <v>-433.072851020923</v>
      </c>
      <c r="G16" s="168" t="n">
        <v>244</v>
      </c>
      <c r="H16" s="173" t="n">
        <v>0</v>
      </c>
      <c r="I16" s="168" t="n">
        <f aca="false">G16+H16</f>
        <v>244</v>
      </c>
      <c r="J16" s="176" t="n">
        <f aca="false">IF(L16&gt;0,L16,0)</f>
        <v>0</v>
      </c>
      <c r="K16" s="168" t="n">
        <f aca="false">I16+J16</f>
        <v>244</v>
      </c>
      <c r="L16" s="168" t="n">
        <f aca="false">F16-(I16-AA16)</f>
        <v>-35.0728510209226</v>
      </c>
      <c r="M16" s="532" t="n">
        <v>227</v>
      </c>
      <c r="N16" s="268" t="n">
        <v>0</v>
      </c>
      <c r="O16" s="168" t="n">
        <f aca="false">77.9*1.05</f>
        <v>81.795</v>
      </c>
      <c r="P16" s="177" t="n">
        <v>2.21</v>
      </c>
      <c r="Q16" s="533" t="n">
        <v>4.2</v>
      </c>
      <c r="R16" s="534" t="n">
        <v>2.09</v>
      </c>
      <c r="S16" s="168" t="n">
        <v>129</v>
      </c>
      <c r="T16" s="168" t="n">
        <v>76</v>
      </c>
      <c r="U16" s="168" t="n">
        <f aca="false">M16-N16-O16-P16-Q16-R16+S16+T16</f>
        <v>341.705</v>
      </c>
      <c r="V16" s="175" t="n">
        <f aca="false">V15+AI16-(AJ16/1.9835)+AK16</f>
        <v>9521.43317184078</v>
      </c>
      <c r="W16" s="175"/>
      <c r="X16" s="168" t="n">
        <v>134</v>
      </c>
      <c r="Y16" s="168" t="n">
        <v>76</v>
      </c>
      <c r="Z16" s="175" t="n">
        <f aca="false">Z15-Y16</f>
        <v>8804.98361482228</v>
      </c>
      <c r="AA16" s="29" t="n">
        <f aca="false">N16+O16+P16+Q16+R16+U16+X16+Y16</f>
        <v>642</v>
      </c>
      <c r="AB16" s="168" t="n">
        <f aca="false">IF(L16&lt;0,L16*-1,0)</f>
        <v>35.0728510209226</v>
      </c>
      <c r="AC16" s="168" t="n">
        <f aca="false">AA16+AB16</f>
        <v>677.072851020923</v>
      </c>
      <c r="AD16" s="331" t="n">
        <v>0.19</v>
      </c>
      <c r="AE16" s="322" t="n">
        <v>74</v>
      </c>
      <c r="AF16" s="516" t="n">
        <v>57</v>
      </c>
      <c r="AG16" s="218" t="n">
        <f aca="false">AG15</f>
        <v>0</v>
      </c>
      <c r="AH16" s="333"/>
      <c r="AI16" s="240" t="n">
        <f aca="false">I16-P16-Q16-U16</f>
        <v>-104.115</v>
      </c>
      <c r="AJ16" s="37" t="n">
        <f aca="false">23.5*(V15*1.9835-U16*1.9835)/E16</f>
        <v>4.26768197956238</v>
      </c>
      <c r="AK16" s="536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153" t="n">
        <f aca="false">A16+1</f>
        <v>6</v>
      </c>
      <c r="B17" s="517" t="n">
        <v>6891.38</v>
      </c>
      <c r="C17" s="175" t="n">
        <v>252874</v>
      </c>
      <c r="D17" s="322" t="n">
        <f aca="false">C17-C16</f>
        <v>-549</v>
      </c>
      <c r="E17" s="175" t="n">
        <f aca="false">C17-152000</f>
        <v>100874</v>
      </c>
      <c r="F17" s="531" t="n">
        <f aca="false">D17/$D$2</f>
        <v>-276.78346357449</v>
      </c>
      <c r="G17" s="168" t="n">
        <v>283</v>
      </c>
      <c r="H17" s="173" t="n">
        <v>0</v>
      </c>
      <c r="I17" s="168" t="n">
        <f aca="false">G17+H17</f>
        <v>283</v>
      </c>
      <c r="J17" s="176" t="n">
        <f aca="false">IF(L17&gt;0,L17,0)</f>
        <v>73.2165364255105</v>
      </c>
      <c r="K17" s="168" t="n">
        <f aca="false">I17+J17</f>
        <v>356.21653642551</v>
      </c>
      <c r="L17" s="168" t="n">
        <f aca="false">F17-(I17-AA17)</f>
        <v>73.2165364255105</v>
      </c>
      <c r="M17" s="532" t="n">
        <v>218</v>
      </c>
      <c r="N17" s="268" t="n">
        <v>0</v>
      </c>
      <c r="O17" s="168" t="n">
        <f aca="false">73.58*1.05</f>
        <v>77.259</v>
      </c>
      <c r="P17" s="177" t="n">
        <v>2.21</v>
      </c>
      <c r="Q17" s="533" t="n">
        <v>4.2</v>
      </c>
      <c r="R17" s="534" t="n">
        <v>2.3</v>
      </c>
      <c r="S17" s="168" t="n">
        <v>129</v>
      </c>
      <c r="T17" s="168" t="n">
        <v>76</v>
      </c>
      <c r="U17" s="168" t="n">
        <f aca="false">M17-N17-O17-P17-Q17-R17+S17+T17</f>
        <v>337.031</v>
      </c>
      <c r="V17" s="175" t="n">
        <f aca="false">V16+AI17-(AJ17/1.9835)+AK17</f>
        <v>9458.85253773251</v>
      </c>
      <c r="W17" s="175"/>
      <c r="X17" s="168" t="n">
        <v>135</v>
      </c>
      <c r="Y17" s="168" t="n">
        <v>75</v>
      </c>
      <c r="Z17" s="175" t="n">
        <f aca="false">Z16-Y17</f>
        <v>8729.98361482228</v>
      </c>
      <c r="AA17" s="29" t="n">
        <f aca="false">N17+O17+P17+Q17+R17+U17+X17+Y17</f>
        <v>633</v>
      </c>
      <c r="AB17" s="168" t="n">
        <f aca="false">IF(L17&lt;0,L17*-1,0)</f>
        <v>0</v>
      </c>
      <c r="AC17" s="168" t="n">
        <f aca="false">AA17+AB17</f>
        <v>633</v>
      </c>
      <c r="AD17" s="331" t="n">
        <v>0.2</v>
      </c>
      <c r="AE17" s="322" t="n">
        <v>83</v>
      </c>
      <c r="AF17" s="516" t="n">
        <v>53</v>
      </c>
      <c r="AG17" s="218" t="n">
        <f aca="false">AG16</f>
        <v>0</v>
      </c>
      <c r="AH17" s="333"/>
      <c r="AI17" s="240" t="n">
        <f aca="false">I17-P17-Q17-U17</f>
        <v>-60.4409999999999</v>
      </c>
      <c r="AJ17" s="37" t="n">
        <f aca="false">23.5*(V16*1.9835-U17*1.9835)/E17</f>
        <v>4.24396425376594</v>
      </c>
      <c r="AK17" s="536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153" t="n">
        <f aca="false">A17+1</f>
        <v>7</v>
      </c>
      <c r="B18" s="517" t="n">
        <v>6891.13</v>
      </c>
      <c r="C18" s="175" t="n">
        <v>252015</v>
      </c>
      <c r="D18" s="322" t="n">
        <f aca="false">C18-C17</f>
        <v>-859</v>
      </c>
      <c r="E18" s="175" t="n">
        <f aca="false">C18-152000</f>
        <v>100015</v>
      </c>
      <c r="F18" s="531" t="n">
        <f aca="false">D18/$D$2</f>
        <v>-433.072851020923</v>
      </c>
      <c r="G18" s="168" t="n">
        <v>273</v>
      </c>
      <c r="H18" s="173" t="n">
        <v>0</v>
      </c>
      <c r="I18" s="168" t="n">
        <f aca="false">G18+H18</f>
        <v>273</v>
      </c>
      <c r="J18" s="176" t="n">
        <f aca="false">IF(L18&gt;0,L18,0)</f>
        <v>0</v>
      </c>
      <c r="K18" s="168" t="n">
        <f aca="false">I18+J18</f>
        <v>273</v>
      </c>
      <c r="L18" s="168" t="n">
        <f aca="false">F18-(I18-AA18)</f>
        <v>-31.0728510209226</v>
      </c>
      <c r="M18" s="532" t="n">
        <v>237</v>
      </c>
      <c r="N18" s="268" t="n">
        <v>0</v>
      </c>
      <c r="O18" s="168" t="n">
        <f aca="false">69.16*1.05</f>
        <v>72.618</v>
      </c>
      <c r="P18" s="177" t="n">
        <v>2.21</v>
      </c>
      <c r="Q18" s="533" t="n">
        <v>4.2</v>
      </c>
      <c r="R18" s="534" t="n">
        <v>2.21</v>
      </c>
      <c r="S18" s="168" t="n">
        <v>128</v>
      </c>
      <c r="T18" s="168" t="n">
        <v>74</v>
      </c>
      <c r="U18" s="168" t="n">
        <f aca="false">M18-N18-O18-P18-Q18-R18+S18+T18</f>
        <v>357.762</v>
      </c>
      <c r="V18" s="175" t="n">
        <f aca="false">V17+AI18-(AJ18/1.9835)+AK18</f>
        <v>9365.54210222146</v>
      </c>
      <c r="W18" s="175"/>
      <c r="X18" s="168" t="n">
        <v>161</v>
      </c>
      <c r="Y18" s="168" t="n">
        <v>75</v>
      </c>
      <c r="Z18" s="175" t="n">
        <f aca="false">Z17-Y18</f>
        <v>8654.98361482228</v>
      </c>
      <c r="AA18" s="29" t="n">
        <f aca="false">N18+O18+P18+Q18+R18+U18+X18+Y18</f>
        <v>675</v>
      </c>
      <c r="AB18" s="168" t="n">
        <f aca="false">IF(L18&lt;0,L18*-1,0)</f>
        <v>31.0728510209226</v>
      </c>
      <c r="AC18" s="168" t="n">
        <f aca="false">AA18+AB18</f>
        <v>706.072851020923</v>
      </c>
      <c r="AD18" s="331" t="n">
        <v>0</v>
      </c>
      <c r="AE18" s="322" t="n">
        <v>86</v>
      </c>
      <c r="AF18" s="516" t="n">
        <v>57</v>
      </c>
      <c r="AG18" s="218" t="n">
        <f aca="false">AG17</f>
        <v>0</v>
      </c>
      <c r="AH18" s="333"/>
      <c r="AI18" s="240" t="n">
        <f aca="false">I18-P18-Q18-U18</f>
        <v>-91.172</v>
      </c>
      <c r="AJ18" s="37" t="n">
        <f aca="false">23.5*(V17*1.9835-U18*1.9835)/E18</f>
        <v>4.2415868361488</v>
      </c>
      <c r="AK18" s="536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153" t="n">
        <f aca="false">A18+1</f>
        <v>8</v>
      </c>
      <c r="B19" s="517" t="n">
        <v>6890.86</v>
      </c>
      <c r="C19" s="175" t="n">
        <v>251093</v>
      </c>
      <c r="D19" s="322" t="n">
        <f aca="false">C19-C18</f>
        <v>-922</v>
      </c>
      <c r="E19" s="175" t="n">
        <f aca="false">C19-152000</f>
        <v>99093</v>
      </c>
      <c r="F19" s="531" t="n">
        <f aca="false">D19/$D$2</f>
        <v>-464.834887824553</v>
      </c>
      <c r="G19" s="168" t="n">
        <v>255</v>
      </c>
      <c r="H19" s="173" t="n">
        <v>0</v>
      </c>
      <c r="I19" s="168" t="n">
        <f aca="false">G19+H19</f>
        <v>255</v>
      </c>
      <c r="J19" s="176" t="n">
        <f aca="false">IF(L19&gt;0,L19,0)</f>
        <v>0</v>
      </c>
      <c r="K19" s="168" t="n">
        <f aca="false">I19+J19</f>
        <v>255</v>
      </c>
      <c r="L19" s="168" t="n">
        <f aca="false">F19-(I19-AA19)</f>
        <v>-93.8348878245525</v>
      </c>
      <c r="M19" s="532" t="n">
        <v>244</v>
      </c>
      <c r="N19" s="268" t="n">
        <v>0</v>
      </c>
      <c r="O19" s="168" t="n">
        <f aca="false">73.67*1.05</f>
        <v>77.3535</v>
      </c>
      <c r="P19" s="177" t="n">
        <v>2.21</v>
      </c>
      <c r="Q19" s="533" t="n">
        <v>4.2</v>
      </c>
      <c r="R19" s="534" t="n">
        <v>4.34</v>
      </c>
      <c r="S19" s="168" t="n">
        <v>128</v>
      </c>
      <c r="T19" s="168" t="n">
        <v>74</v>
      </c>
      <c r="U19" s="168" t="n">
        <f aca="false">M19-N19-O19-P19-Q19-R19+S19+T19</f>
        <v>357.8965</v>
      </c>
      <c r="V19" s="175" t="n">
        <f aca="false">V18+AI19-(AJ19/1.9835)+AK19</f>
        <v>9254.09943042676</v>
      </c>
      <c r="W19" s="175"/>
      <c r="X19" s="168" t="n">
        <v>105</v>
      </c>
      <c r="Y19" s="168" t="n">
        <v>75</v>
      </c>
      <c r="Z19" s="175" t="n">
        <f aca="false">Z18-Y19</f>
        <v>8579.98361482228</v>
      </c>
      <c r="AA19" s="29" t="n">
        <f aca="false">N19+O19+P19+Q19+R19+U19+X19+Y19</f>
        <v>626</v>
      </c>
      <c r="AB19" s="168" t="n">
        <f aca="false">IF(L19&lt;0,L19*-1,0)</f>
        <v>93.8348878245525</v>
      </c>
      <c r="AC19" s="168" t="n">
        <f aca="false">AA19+AB19</f>
        <v>719.834887824553</v>
      </c>
      <c r="AD19" s="331" t="n">
        <v>0</v>
      </c>
      <c r="AE19" s="322" t="n">
        <v>88</v>
      </c>
      <c r="AF19" s="516" t="n">
        <v>55</v>
      </c>
      <c r="AG19" s="218" t="n">
        <f aca="false">AG18</f>
        <v>0</v>
      </c>
      <c r="AH19" s="333"/>
      <c r="AI19" s="240" t="n">
        <f aca="false">I19-P19-Q19-U19</f>
        <v>-109.3065</v>
      </c>
      <c r="AJ19" s="37" t="n">
        <f aca="false">23.5*(V18*1.9835-U19*1.9835)/E19</f>
        <v>4.2370967547874</v>
      </c>
      <c r="AK19" s="536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153" t="n">
        <f aca="false">A19+1</f>
        <v>9</v>
      </c>
      <c r="B20" s="517" t="n">
        <v>6890.58</v>
      </c>
      <c r="C20" s="175" t="n">
        <v>250141</v>
      </c>
      <c r="D20" s="322" t="n">
        <f aca="false">C20-C19</f>
        <v>-952</v>
      </c>
      <c r="E20" s="175" t="n">
        <f aca="false">C20-152000</f>
        <v>98141</v>
      </c>
      <c r="F20" s="531" t="n">
        <f aca="false">D20/$D$2</f>
        <v>-479.959667254853</v>
      </c>
      <c r="G20" s="168" t="n">
        <v>243</v>
      </c>
      <c r="H20" s="173" t="n">
        <v>0</v>
      </c>
      <c r="I20" s="168" t="n">
        <f aca="false">G20+H20</f>
        <v>243</v>
      </c>
      <c r="J20" s="176" t="n">
        <f aca="false">IF(L20&gt;0,L20,0)</f>
        <v>0</v>
      </c>
      <c r="K20" s="168" t="n">
        <f aca="false">I20+J20</f>
        <v>243</v>
      </c>
      <c r="L20" s="168" t="n">
        <f aca="false">F20-(I20-AA20)</f>
        <v>-46.9596672548525</v>
      </c>
      <c r="M20" s="532" t="n">
        <v>218</v>
      </c>
      <c r="N20" s="268" t="n">
        <v>0</v>
      </c>
      <c r="O20" s="168" t="n">
        <f aca="false">76.22*1.05</f>
        <v>80.031</v>
      </c>
      <c r="P20" s="177" t="n">
        <v>2.21</v>
      </c>
      <c r="Q20" s="533" t="n">
        <v>4.2</v>
      </c>
      <c r="R20" s="534" t="n">
        <v>4.853</v>
      </c>
      <c r="S20" s="168" t="n">
        <v>127</v>
      </c>
      <c r="T20" s="168" t="n">
        <v>74</v>
      </c>
      <c r="U20" s="168" t="n">
        <f aca="false">M20-N20-O20-P20-Q20-R20+S20+T20</f>
        <v>327.706</v>
      </c>
      <c r="V20" s="175" t="n">
        <f aca="false">V19+AI20-(AJ20/1.9835)+AK20</f>
        <v>9160.84599300902</v>
      </c>
      <c r="W20" s="175"/>
      <c r="X20" s="168" t="n">
        <v>182</v>
      </c>
      <c r="Y20" s="168" t="n">
        <v>75</v>
      </c>
      <c r="Z20" s="175" t="n">
        <f aca="false">Z19-Y20</f>
        <v>8504.98361482228</v>
      </c>
      <c r="AA20" s="29" t="n">
        <f aca="false">N20+O20+P20+Q20+R20+U20+X20+Y20</f>
        <v>676</v>
      </c>
      <c r="AB20" s="168" t="n">
        <f aca="false">IF(L20&lt;0,L20*-1,0)</f>
        <v>46.9596672548525</v>
      </c>
      <c r="AC20" s="168" t="n">
        <f aca="false">AA20+AB20</f>
        <v>722.959667254853</v>
      </c>
      <c r="AD20" s="331" t="n">
        <v>0</v>
      </c>
      <c r="AE20" s="181" t="n">
        <v>89</v>
      </c>
      <c r="AF20" s="516" t="n">
        <v>54</v>
      </c>
      <c r="AG20" s="218" t="n">
        <f aca="false">AG19</f>
        <v>0</v>
      </c>
      <c r="AH20" s="333"/>
      <c r="AI20" s="240" t="n">
        <f aca="false">I20-P20-Q20-U20</f>
        <v>-91.116</v>
      </c>
      <c r="AJ20" s="37" t="n">
        <f aca="false">23.5*(V19*1.9835-U20*1.9835)/E20</f>
        <v>4.23960711809957</v>
      </c>
      <c r="AK20" s="536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153" t="n">
        <f aca="false">A20+1</f>
        <v>10</v>
      </c>
      <c r="B21" s="517" t="n">
        <v>6890.29</v>
      </c>
      <c r="C21" s="175" t="n">
        <v>249154</v>
      </c>
      <c r="D21" s="322" t="n">
        <f aca="false">C21-C20</f>
        <v>-987</v>
      </c>
      <c r="E21" s="175" t="n">
        <f aca="false">C21-152000</f>
        <v>97154</v>
      </c>
      <c r="F21" s="531" t="n">
        <f aca="false">D21/$D$2</f>
        <v>-497.605243256869</v>
      </c>
      <c r="G21" s="168" t="n">
        <v>237</v>
      </c>
      <c r="H21" s="173" t="n">
        <v>0</v>
      </c>
      <c r="I21" s="168" t="n">
        <f aca="false">G21+H21</f>
        <v>237</v>
      </c>
      <c r="J21" s="176" t="n">
        <v>0</v>
      </c>
      <c r="K21" s="168" t="n">
        <f aca="false">I21+J21</f>
        <v>237</v>
      </c>
      <c r="L21" s="168" t="n">
        <f aca="false">F21-(I21-AA21)</f>
        <v>-59.6052432568692</v>
      </c>
      <c r="M21" s="532" t="n">
        <v>225</v>
      </c>
      <c r="N21" s="268" t="n">
        <v>0</v>
      </c>
      <c r="O21" s="168" t="n">
        <f aca="false">62.79*1.05</f>
        <v>65.9295</v>
      </c>
      <c r="P21" s="177" t="n">
        <v>2.21</v>
      </c>
      <c r="Q21" s="533" t="n">
        <v>4.2</v>
      </c>
      <c r="R21" s="534" t="n">
        <v>3.82</v>
      </c>
      <c r="S21" s="168" t="n">
        <v>130</v>
      </c>
      <c r="T21" s="168" t="n">
        <v>75</v>
      </c>
      <c r="U21" s="168" t="n">
        <f aca="false">M21-N21-O21-P21-Q21-R21+S21+T21</f>
        <v>353.8405</v>
      </c>
      <c r="V21" s="175" t="n">
        <f aca="false">V20+AI21-(AJ21/1.9835)+AK21</f>
        <v>9035.46521912337</v>
      </c>
      <c r="W21" s="175"/>
      <c r="X21" s="168" t="n">
        <v>169</v>
      </c>
      <c r="Y21" s="168" t="n">
        <v>76</v>
      </c>
      <c r="Z21" s="175" t="n">
        <f aca="false">Z20-Y21</f>
        <v>8428.98361482228</v>
      </c>
      <c r="AA21" s="29" t="n">
        <f aca="false">N21+O21+P21+Q21+R21+U21+X21+Y21</f>
        <v>675</v>
      </c>
      <c r="AB21" s="168" t="n">
        <f aca="false">IF(L21&lt;0,L21*-1,0)</f>
        <v>59.6052432568692</v>
      </c>
      <c r="AC21" s="168" t="n">
        <f aca="false">AA21+AB21</f>
        <v>734.605243256869</v>
      </c>
      <c r="AD21" s="331" t="n">
        <v>0</v>
      </c>
      <c r="AE21" s="322" t="n">
        <v>88</v>
      </c>
      <c r="AF21" s="516" t="n">
        <v>56</v>
      </c>
      <c r="AG21" s="218" t="n">
        <f aca="false">AG20</f>
        <v>0</v>
      </c>
      <c r="AH21" s="333"/>
      <c r="AI21" s="240" t="n">
        <f aca="false">I21-P21-Q21-U21</f>
        <v>-123.2505</v>
      </c>
      <c r="AJ21" s="37" t="n">
        <f aca="false">23.5*(V20*1.9835-U21*1.9835)/E21</f>
        <v>4.22539825217191</v>
      </c>
      <c r="AK21" s="536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153" t="n">
        <v>11</v>
      </c>
      <c r="B22" s="517" t="n">
        <v>6890.01</v>
      </c>
      <c r="C22" s="175" t="n">
        <v>248202</v>
      </c>
      <c r="D22" s="322" t="n">
        <f aca="false">C22-C21</f>
        <v>-952</v>
      </c>
      <c r="E22" s="175" t="n">
        <f aca="false">C22-152000</f>
        <v>96202</v>
      </c>
      <c r="F22" s="531" t="n">
        <f aca="false">D22/$D$2</f>
        <v>-479.959667254853</v>
      </c>
      <c r="G22" s="168" t="n">
        <v>232</v>
      </c>
      <c r="H22" s="173" t="n">
        <v>0</v>
      </c>
      <c r="I22" s="168" t="n">
        <f aca="false">G22+H22</f>
        <v>232</v>
      </c>
      <c r="J22" s="176" t="n">
        <f aca="false">IF(L22&gt;0,L22,0)</f>
        <v>0</v>
      </c>
      <c r="K22" s="168" t="n">
        <f aca="false">I22+J22</f>
        <v>232</v>
      </c>
      <c r="L22" s="168" t="n">
        <f aca="false">F22-(I22-AA22)</f>
        <v>-35.9596672548525</v>
      </c>
      <c r="M22" s="532" t="n">
        <v>229</v>
      </c>
      <c r="N22" s="268" t="n">
        <v>0</v>
      </c>
      <c r="O22" s="168" t="n">
        <f aca="false">62.41*1.05</f>
        <v>65.5305</v>
      </c>
      <c r="P22" s="177" t="n">
        <v>2.21</v>
      </c>
      <c r="Q22" s="533" t="n">
        <v>4.2</v>
      </c>
      <c r="R22" s="534" t="n">
        <v>3.03</v>
      </c>
      <c r="S22" s="168" t="n">
        <v>131</v>
      </c>
      <c r="T22" s="168" t="n">
        <v>75</v>
      </c>
      <c r="U22" s="168" t="n">
        <f aca="false">M22-N22-O22-P22-Q22-R22+S22+T22</f>
        <v>360.0295</v>
      </c>
      <c r="V22" s="175" t="n">
        <f aca="false">V21+AI22-(AJ22/1.9835)+AK22</f>
        <v>8898.90650393659</v>
      </c>
      <c r="W22" s="175"/>
      <c r="X22" s="168" t="n">
        <v>165</v>
      </c>
      <c r="Y22" s="168" t="n">
        <v>76</v>
      </c>
      <c r="Z22" s="175" t="n">
        <f aca="false">Z21-Y22</f>
        <v>8352.98361482228</v>
      </c>
      <c r="AA22" s="29" t="n">
        <f aca="false">N22+O22+P22+Q22+R22+U22+X22+Y22</f>
        <v>676</v>
      </c>
      <c r="AB22" s="168" t="n">
        <f aca="false">IF(L22&lt;0,L22*-1,0)</f>
        <v>35.9596672548525</v>
      </c>
      <c r="AC22" s="168" t="n">
        <f aca="false">AA22+AB22</f>
        <v>711.959667254853</v>
      </c>
      <c r="AD22" s="331" t="n">
        <v>0</v>
      </c>
      <c r="AE22" s="322" t="n">
        <v>89</v>
      </c>
      <c r="AF22" s="516" t="n">
        <v>54</v>
      </c>
      <c r="AG22" s="218" t="n">
        <f aca="false">AG21</f>
        <v>0</v>
      </c>
      <c r="AH22" s="333"/>
      <c r="AI22" s="240" t="n">
        <f aca="false">I22-P22-Q22-U22</f>
        <v>-134.4395</v>
      </c>
      <c r="AJ22" s="37" t="n">
        <f aca="false">23.5*(V21*1.9835-U22*1.9835)/E22</f>
        <v>4.20346332299441</v>
      </c>
      <c r="AK22" s="536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153" t="n">
        <v>12</v>
      </c>
      <c r="B23" s="517" t="n">
        <v>6889.69</v>
      </c>
      <c r="C23" s="175" t="n">
        <v>247124</v>
      </c>
      <c r="D23" s="322" t="n">
        <f aca="false">C23-C22</f>
        <v>-1078</v>
      </c>
      <c r="E23" s="175" t="n">
        <f aca="false">C23-152000</f>
        <v>95124</v>
      </c>
      <c r="F23" s="531" t="n">
        <f aca="false">D23/$D$2</f>
        <v>-543.483740862112</v>
      </c>
      <c r="G23" s="168" t="n">
        <v>227</v>
      </c>
      <c r="H23" s="173" t="n">
        <v>0</v>
      </c>
      <c r="I23" s="168" t="n">
        <f aca="false">G23+H23</f>
        <v>227</v>
      </c>
      <c r="J23" s="176" t="n">
        <f aca="false">IF(L23&gt;0,L23,0)</f>
        <v>0</v>
      </c>
      <c r="K23" s="168" t="n">
        <f aca="false">I23+J23</f>
        <v>227</v>
      </c>
      <c r="L23" s="168" t="n">
        <f aca="false">F23-(I23-AA23)</f>
        <v>-93.4837408621124</v>
      </c>
      <c r="M23" s="532" t="n">
        <v>228</v>
      </c>
      <c r="N23" s="268" t="n">
        <v>23.19</v>
      </c>
      <c r="O23" s="168" t="n">
        <f aca="false">73.39*1.05</f>
        <v>77.0595</v>
      </c>
      <c r="P23" s="177" t="n">
        <v>2.21</v>
      </c>
      <c r="Q23" s="533" t="n">
        <v>4.2</v>
      </c>
      <c r="R23" s="534" t="n">
        <v>3.58</v>
      </c>
      <c r="S23" s="168" t="n">
        <v>132</v>
      </c>
      <c r="T23" s="168" t="n">
        <v>76</v>
      </c>
      <c r="U23" s="168" t="n">
        <f aca="false">M23-N23-O23-P23-Q23-R23+S23+T23</f>
        <v>325.7605</v>
      </c>
      <c r="V23" s="175" t="n">
        <f aca="false">V22+AI23-(AJ23/1.9835)+AK23</f>
        <v>8791.61804284272</v>
      </c>
      <c r="W23" s="175"/>
      <c r="X23" s="168" t="n">
        <v>165</v>
      </c>
      <c r="Y23" s="168" t="n">
        <v>76</v>
      </c>
      <c r="Z23" s="175" t="n">
        <f aca="false">Z22-Y23</f>
        <v>8276.98361482228</v>
      </c>
      <c r="AA23" s="29" t="n">
        <f aca="false">N23+O23+P23+Q23+R23+U23+X23+Y23</f>
        <v>677</v>
      </c>
      <c r="AB23" s="168" t="n">
        <f aca="false">IF(L23&lt;0,L23*-1,0)</f>
        <v>93.4837408621124</v>
      </c>
      <c r="AC23" s="168" t="n">
        <f aca="false">AA23+AB23</f>
        <v>770.483740862112</v>
      </c>
      <c r="AD23" s="331" t="n">
        <v>0</v>
      </c>
      <c r="AE23" s="322" t="n">
        <v>89</v>
      </c>
      <c r="AF23" s="516" t="n">
        <v>54</v>
      </c>
      <c r="AG23" s="218" t="n">
        <f aca="false">AG22</f>
        <v>0</v>
      </c>
      <c r="AH23" s="333"/>
      <c r="AI23" s="240" t="n">
        <f aca="false">I23-P23-Q23-U23</f>
        <v>-105.1705</v>
      </c>
      <c r="AJ23" s="37" t="n">
        <f aca="false">23.5*(V22*1.9835-U23*1.9835)/E23</f>
        <v>4.20097582967488</v>
      </c>
      <c r="AK23" s="536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153" t="n">
        <v>13</v>
      </c>
      <c r="B24" s="517" t="n">
        <v>6889.36</v>
      </c>
      <c r="C24" s="175" t="n">
        <v>246013</v>
      </c>
      <c r="D24" s="322" t="n">
        <f aca="false">C24-C23</f>
        <v>-1111</v>
      </c>
      <c r="E24" s="175" t="n">
        <f aca="false">C24-152000</f>
        <v>94013</v>
      </c>
      <c r="F24" s="531" t="n">
        <f aca="false">D24/$D$2</f>
        <v>-560.120998235442</v>
      </c>
      <c r="G24" s="168" t="n">
        <v>241</v>
      </c>
      <c r="H24" s="173" t="n">
        <v>0</v>
      </c>
      <c r="I24" s="168" t="n">
        <f aca="false">G24+H24</f>
        <v>241</v>
      </c>
      <c r="J24" s="176" t="n">
        <f aca="false">IF(L24&gt;0,L24,0)</f>
        <v>0</v>
      </c>
      <c r="K24" s="168" t="n">
        <f aca="false">I24+J24</f>
        <v>241</v>
      </c>
      <c r="L24" s="168" t="n">
        <f aca="false">F24-(I24-AA24)</f>
        <v>-120.120998235442</v>
      </c>
      <c r="M24" s="532" t="n">
        <v>225</v>
      </c>
      <c r="N24" s="268" t="n">
        <v>0</v>
      </c>
      <c r="O24" s="168" t="n">
        <f aca="false">64.23*1.05</f>
        <v>67.4415</v>
      </c>
      <c r="P24" s="177" t="n">
        <v>2.21</v>
      </c>
      <c r="Q24" s="533" t="n">
        <v>4.2</v>
      </c>
      <c r="R24" s="534" t="n">
        <v>3.58</v>
      </c>
      <c r="S24" s="168" t="n">
        <v>132</v>
      </c>
      <c r="T24" s="168" t="n">
        <v>78</v>
      </c>
      <c r="U24" s="168" t="n">
        <f aca="false">M24-N24-O24-P24-Q24-R24+S24+T24</f>
        <v>357.5685</v>
      </c>
      <c r="V24" s="175" t="n">
        <f aca="false">V23+AI24-(AJ24/1.9835)+AK24</f>
        <v>8666.53132201947</v>
      </c>
      <c r="W24" s="175"/>
      <c r="X24" s="168" t="n">
        <v>170</v>
      </c>
      <c r="Y24" s="168" t="n">
        <v>76</v>
      </c>
      <c r="Z24" s="175" t="n">
        <f aca="false">Z23-Y24</f>
        <v>8200.98361482228</v>
      </c>
      <c r="AA24" s="29" t="n">
        <f aca="false">N24+O24+P24+Q24+R24+U24+X24+Y24</f>
        <v>681</v>
      </c>
      <c r="AB24" s="168" t="n">
        <f aca="false">IF(L24&lt;0,L24*-1,0)</f>
        <v>120.120998235442</v>
      </c>
      <c r="AC24" s="168" t="n">
        <f aca="false">AA24+AB24</f>
        <v>801.120998235442</v>
      </c>
      <c r="AD24" s="331" t="n">
        <v>0</v>
      </c>
      <c r="AE24" s="322" t="n">
        <v>86</v>
      </c>
      <c r="AF24" s="516" t="n">
        <v>53</v>
      </c>
      <c r="AG24" s="218" t="n">
        <f aca="false">AG23</f>
        <v>0</v>
      </c>
      <c r="AH24" s="333"/>
      <c r="AI24" s="240" t="n">
        <f aca="false">I24-P24-Q24-U24</f>
        <v>-122.9785</v>
      </c>
      <c r="AJ24" s="37" t="n">
        <f aca="false">23.5*(V23*1.9835-U24*1.9835)/E24</f>
        <v>4.18165600292907</v>
      </c>
      <c r="AK24" s="536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153" t="n">
        <v>14</v>
      </c>
      <c r="B25" s="517" t="n">
        <v>6889.05</v>
      </c>
      <c r="C25" s="175" t="n">
        <v>244977</v>
      </c>
      <c r="D25" s="322" t="n">
        <f aca="false">C25-C24</f>
        <v>-1036</v>
      </c>
      <c r="E25" s="175" t="n">
        <f aca="false">C25-152000</f>
        <v>92977</v>
      </c>
      <c r="F25" s="531" t="n">
        <f aca="false">D25/$D$2</f>
        <v>-522.309049659693</v>
      </c>
      <c r="G25" s="168" t="n">
        <v>236</v>
      </c>
      <c r="H25" s="173" t="n">
        <v>0</v>
      </c>
      <c r="I25" s="168" t="n">
        <f aca="false">G25+H25</f>
        <v>236</v>
      </c>
      <c r="J25" s="176" t="n">
        <f aca="false">IF(L25&gt;0,L25,0)</f>
        <v>0</v>
      </c>
      <c r="K25" s="168" t="n">
        <f aca="false">I25+J25</f>
        <v>236</v>
      </c>
      <c r="L25" s="168" t="n">
        <f aca="false">F25-(I25-AA25)</f>
        <v>-75.3090496596925</v>
      </c>
      <c r="M25" s="532" t="n">
        <v>221</v>
      </c>
      <c r="N25" s="268" t="n">
        <v>0</v>
      </c>
      <c r="O25" s="168" t="n">
        <f aca="false">55.28*1.05</f>
        <v>58.044</v>
      </c>
      <c r="P25" s="177" t="n">
        <v>2.21</v>
      </c>
      <c r="Q25" s="533" t="n">
        <v>4.2</v>
      </c>
      <c r="R25" s="534" t="n">
        <v>1.65</v>
      </c>
      <c r="S25" s="168" t="n">
        <v>132</v>
      </c>
      <c r="T25" s="168" t="n">
        <v>79</v>
      </c>
      <c r="U25" s="168" t="n">
        <f aca="false">M25-N25-O25-P25-Q25-R25+S25+T25</f>
        <v>365.896</v>
      </c>
      <c r="V25" s="175" t="n">
        <f aca="false">V24+AI25-(AJ25/1.9835)+AK25</f>
        <v>8528.1273307951</v>
      </c>
      <c r="W25" s="175"/>
      <c r="X25" s="168" t="n">
        <v>175</v>
      </c>
      <c r="Y25" s="168" t="n">
        <v>76</v>
      </c>
      <c r="Z25" s="175" t="n">
        <f aca="false">Z24-Y25</f>
        <v>8124.98361482228</v>
      </c>
      <c r="AA25" s="29" t="n">
        <f aca="false">N25+O25+P25+Q25+R25+U25+X25+Y25</f>
        <v>683</v>
      </c>
      <c r="AB25" s="168" t="n">
        <f aca="false">IF(L25&lt;0,L25*-1,0)</f>
        <v>75.3090496596925</v>
      </c>
      <c r="AC25" s="168" t="n">
        <f aca="false">AA25+AB25</f>
        <v>758.309049659693</v>
      </c>
      <c r="AD25" s="331" t="n">
        <v>0.13</v>
      </c>
      <c r="AE25" s="322" t="n">
        <v>86</v>
      </c>
      <c r="AF25" s="516" t="n">
        <v>53</v>
      </c>
      <c r="AG25" s="218" t="n">
        <f aca="false">AG24</f>
        <v>0</v>
      </c>
      <c r="AH25" s="333"/>
      <c r="AI25" s="240" t="n">
        <f aca="false">I25-P25-Q25-U25</f>
        <v>-136.306</v>
      </c>
      <c r="AJ25" s="37" t="n">
        <f aca="false">23.5*(V24*1.9835-U25*1.9835)/E25</f>
        <v>4.161365593521</v>
      </c>
      <c r="AK25" s="536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153" t="n">
        <v>15</v>
      </c>
      <c r="B26" s="517" t="n">
        <v>6888.78</v>
      </c>
      <c r="C26" s="175" t="n">
        <v>244068</v>
      </c>
      <c r="D26" s="322" t="n">
        <f aca="false">C26-C25</f>
        <v>-909</v>
      </c>
      <c r="E26" s="175" t="n">
        <f aca="false">C26-152000</f>
        <v>92068</v>
      </c>
      <c r="F26" s="531" t="n">
        <f aca="false">D26/$D$2</f>
        <v>-458.280816738089</v>
      </c>
      <c r="G26" s="168" t="n">
        <v>237</v>
      </c>
      <c r="H26" s="173" t="n">
        <v>0</v>
      </c>
      <c r="I26" s="168" t="n">
        <f aca="false">G26+H26</f>
        <v>237</v>
      </c>
      <c r="J26" s="176" t="n">
        <f aca="false">IF(L26&gt;0,L26,0)</f>
        <v>0</v>
      </c>
      <c r="K26" s="168" t="n">
        <f aca="false">I26+J26</f>
        <v>237</v>
      </c>
      <c r="L26" s="168" t="n">
        <f aca="false">F26-(I26-AA26)</f>
        <v>-13.2808167380892</v>
      </c>
      <c r="M26" s="532" t="n">
        <v>217</v>
      </c>
      <c r="N26" s="268" t="n">
        <v>0</v>
      </c>
      <c r="O26" s="168" t="n">
        <f aca="false">45.09*1.05</f>
        <v>47.3445</v>
      </c>
      <c r="P26" s="177" t="n">
        <v>2.21</v>
      </c>
      <c r="Q26" s="533" t="n">
        <v>4.2</v>
      </c>
      <c r="R26" s="534" t="n">
        <v>1.47</v>
      </c>
      <c r="S26" s="168" t="n">
        <v>131</v>
      </c>
      <c r="T26" s="168" t="n">
        <v>78</v>
      </c>
      <c r="U26" s="168" t="n">
        <f aca="false">M26-N26-O26-P26-Q26-R26+S26+T26</f>
        <v>370.7755</v>
      </c>
      <c r="V26" s="175" t="n">
        <f aca="false">V25+AI26-(AJ26/1.9835)+AK26</f>
        <v>8385.85969837099</v>
      </c>
      <c r="W26" s="175"/>
      <c r="X26" s="168" t="n">
        <v>180</v>
      </c>
      <c r="Y26" s="168" t="n">
        <v>76</v>
      </c>
      <c r="Z26" s="175" t="n">
        <f aca="false">Z25-Y26</f>
        <v>8048.98361482228</v>
      </c>
      <c r="AA26" s="29" t="n">
        <f aca="false">N26+O26+P26+Q26+R26+U26+X26+Y26</f>
        <v>682</v>
      </c>
      <c r="AB26" s="168" t="n">
        <f aca="false">IF(L26&lt;0,L26*-1,0)</f>
        <v>13.2808167380892</v>
      </c>
      <c r="AC26" s="168" t="n">
        <f aca="false">AA26+AB26</f>
        <v>695.280816738089</v>
      </c>
      <c r="AD26" s="331" t="n">
        <v>0</v>
      </c>
      <c r="AE26" s="322" t="n">
        <v>82</v>
      </c>
      <c r="AF26" s="516" t="n">
        <v>52</v>
      </c>
      <c r="AG26" s="218" t="n">
        <f aca="false">AG25</f>
        <v>0</v>
      </c>
      <c r="AH26" s="333"/>
      <c r="AI26" s="240" t="n">
        <f aca="false">I26-P26-Q26-U26</f>
        <v>-140.1855</v>
      </c>
      <c r="AJ26" s="37" t="n">
        <f aca="false">23.5*(V25*1.9835-U26*1.9835)/E26</f>
        <v>4.12990966323782</v>
      </c>
      <c r="AK26" s="536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153" t="n">
        <v>16</v>
      </c>
      <c r="B27" s="517" t="n">
        <v>6888.5</v>
      </c>
      <c r="C27" s="175" t="n">
        <v>243135</v>
      </c>
      <c r="D27" s="322" t="n">
        <f aca="false">C27-C26</f>
        <v>-933</v>
      </c>
      <c r="E27" s="175" t="n">
        <f aca="false">C27-152000</f>
        <v>91135</v>
      </c>
      <c r="F27" s="531" t="n">
        <f aca="false">D27/$D$2</f>
        <v>-470.380640282329</v>
      </c>
      <c r="G27" s="168" t="n">
        <v>249</v>
      </c>
      <c r="H27" s="173" t="n">
        <v>0</v>
      </c>
      <c r="I27" s="168" t="n">
        <f aca="false">G27+H27</f>
        <v>249</v>
      </c>
      <c r="J27" s="176" t="n">
        <f aca="false">IF(L27&gt;0,L27,0)</f>
        <v>0</v>
      </c>
      <c r="K27" s="168" t="n">
        <f aca="false">I27+J27</f>
        <v>249</v>
      </c>
      <c r="L27" s="168" t="n">
        <f aca="false">F27-(I27-AA27)</f>
        <v>-29.3806402823292</v>
      </c>
      <c r="M27" s="532" t="n">
        <v>224</v>
      </c>
      <c r="N27" s="268" t="n">
        <v>0</v>
      </c>
      <c r="O27" s="168" t="n">
        <f aca="false">51.32*1.05</f>
        <v>53.886</v>
      </c>
      <c r="P27" s="177" t="n">
        <v>2.21</v>
      </c>
      <c r="Q27" s="533" t="n">
        <v>4.2</v>
      </c>
      <c r="R27" s="534" t="n">
        <v>2</v>
      </c>
      <c r="S27" s="168" t="n">
        <v>130</v>
      </c>
      <c r="T27" s="168" t="n">
        <v>75</v>
      </c>
      <c r="U27" s="168" t="n">
        <f aca="false">M27-N27-O27-P27-Q27-R27+S27+T27</f>
        <v>366.704</v>
      </c>
      <c r="V27" s="175" t="n">
        <f aca="false">V26+AI27-(AJ27/1.9835)+AK27</f>
        <v>8259.67788513884</v>
      </c>
      <c r="W27" s="175"/>
      <c r="X27" s="168" t="n">
        <v>185</v>
      </c>
      <c r="Y27" s="168" t="n">
        <v>76</v>
      </c>
      <c r="Z27" s="175" t="n">
        <f aca="false">Z26-Y27</f>
        <v>7972.98361482228</v>
      </c>
      <c r="AA27" s="29" t="n">
        <f aca="false">N27+O27+P27+Q27+R27+U27+X27+Y27</f>
        <v>690</v>
      </c>
      <c r="AB27" s="168" t="n">
        <f aca="false">IF(L27&lt;0,L27*-1,0)</f>
        <v>29.3806402823292</v>
      </c>
      <c r="AC27" s="168" t="n">
        <f aca="false">AA27+AB27</f>
        <v>719.380640282329</v>
      </c>
      <c r="AD27" s="331" t="n">
        <v>0.03</v>
      </c>
      <c r="AE27" s="322" t="n">
        <v>82</v>
      </c>
      <c r="AF27" s="516" t="n">
        <v>51</v>
      </c>
      <c r="AG27" s="218" t="n">
        <f aca="false">AG26</f>
        <v>0</v>
      </c>
      <c r="AH27" s="333"/>
      <c r="AI27" s="240" t="n">
        <f aca="false">I27-P27-Q27-U27</f>
        <v>-124.114</v>
      </c>
      <c r="AJ27" s="37" t="n">
        <f aca="false">23.5*(V26*1.9835-U27*1.9835)/E27</f>
        <v>4.1015075459636</v>
      </c>
      <c r="AK27" s="536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153" t="n">
        <v>17</v>
      </c>
      <c r="B28" s="517" t="n">
        <v>6888.2</v>
      </c>
      <c r="C28" s="175" t="n">
        <v>242136</v>
      </c>
      <c r="D28" s="322" t="n">
        <f aca="false">C28-C27</f>
        <v>-999</v>
      </c>
      <c r="E28" s="175" t="n">
        <f aca="false">C28-152000</f>
        <v>90136</v>
      </c>
      <c r="F28" s="531" t="n">
        <f aca="false">D28/$D$2</f>
        <v>-503.655155028989</v>
      </c>
      <c r="G28" s="168" t="n">
        <v>254</v>
      </c>
      <c r="H28" s="173" t="n">
        <v>0</v>
      </c>
      <c r="I28" s="168" t="n">
        <f aca="false">G28+H28</f>
        <v>254</v>
      </c>
      <c r="J28" s="176" t="n">
        <f aca="false">IF(L28&gt;0,L28,0)</f>
        <v>0</v>
      </c>
      <c r="K28" s="168" t="n">
        <f aca="false">I28+J28</f>
        <v>254</v>
      </c>
      <c r="L28" s="168" t="n">
        <f aca="false">F28-(I28-AA28)</f>
        <v>-65.6551550289892</v>
      </c>
      <c r="M28" s="532" t="n">
        <v>220</v>
      </c>
      <c r="N28" s="268" t="n">
        <v>0</v>
      </c>
      <c r="O28" s="168" t="n">
        <f aca="false">61.7*1.05</f>
        <v>64.785</v>
      </c>
      <c r="P28" s="177" t="n">
        <v>2.21</v>
      </c>
      <c r="Q28" s="533" t="n">
        <v>4.2</v>
      </c>
      <c r="R28" s="534" t="n">
        <v>0.9</v>
      </c>
      <c r="S28" s="168" t="n">
        <v>132</v>
      </c>
      <c r="T28" s="168" t="n">
        <v>74</v>
      </c>
      <c r="U28" s="168" t="n">
        <f aca="false">M28-N28-O28-P28-Q28-R28+S28+T28</f>
        <v>353.905</v>
      </c>
      <c r="V28" s="175" t="n">
        <f aca="false">V27+AI28-(AJ28/1.9835)+AK28</f>
        <v>8151.30171465423</v>
      </c>
      <c r="W28" s="175"/>
      <c r="X28" s="168" t="n">
        <v>190</v>
      </c>
      <c r="Y28" s="168" t="n">
        <v>76</v>
      </c>
      <c r="Z28" s="175" t="n">
        <f aca="false">Z27-Y28</f>
        <v>7896.98361482228</v>
      </c>
      <c r="AA28" s="29" t="n">
        <f aca="false">N28+O28+P28+Q28+R28+U28+X28+Y28</f>
        <v>692</v>
      </c>
      <c r="AB28" s="168" t="n">
        <f aca="false">IF(L28&lt;0,L28*-1,0)</f>
        <v>65.6551550289892</v>
      </c>
      <c r="AC28" s="168" t="n">
        <f aca="false">AA28+AB28</f>
        <v>757.655155028989</v>
      </c>
      <c r="AD28" s="331" t="n">
        <v>0</v>
      </c>
      <c r="AE28" s="322" t="n">
        <v>79</v>
      </c>
      <c r="AF28" s="516" t="n">
        <v>50</v>
      </c>
      <c r="AG28" s="218" t="n">
        <f aca="false">AG27</f>
        <v>0</v>
      </c>
      <c r="AH28" s="333"/>
      <c r="AI28" s="240" t="n">
        <f aca="false">I28-P28-Q28-U28</f>
        <v>-106.315</v>
      </c>
      <c r="AJ28" s="37" t="n">
        <f aca="false">23.5*(V27*1.9835-U28*1.9835)/E28</f>
        <v>4.08833165622296</v>
      </c>
      <c r="AK28" s="536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153" t="n">
        <v>18</v>
      </c>
      <c r="B29" s="517" t="n">
        <v>6887.86</v>
      </c>
      <c r="C29" s="175" t="n">
        <v>241008</v>
      </c>
      <c r="D29" s="322" t="n">
        <f aca="false">C29-C28</f>
        <v>-1128</v>
      </c>
      <c r="E29" s="175" t="n">
        <f aca="false">C29-152000</f>
        <v>89008</v>
      </c>
      <c r="F29" s="531" t="n">
        <f aca="false">D29/$D$2</f>
        <v>-568.691706579279</v>
      </c>
      <c r="G29" s="168" t="n">
        <v>271</v>
      </c>
      <c r="H29" s="173" t="n">
        <v>0</v>
      </c>
      <c r="I29" s="168" t="n">
        <f aca="false">G29+H29</f>
        <v>271</v>
      </c>
      <c r="J29" s="176" t="n">
        <f aca="false">IF(L29&gt;0,L29,0)</f>
        <v>0</v>
      </c>
      <c r="K29" s="168" t="n">
        <f aca="false">I29+J29</f>
        <v>271</v>
      </c>
      <c r="L29" s="168" t="n">
        <f aca="false">F29-(I29-AA29)</f>
        <v>-113.691706579279</v>
      </c>
      <c r="M29" s="532" t="n">
        <v>248</v>
      </c>
      <c r="N29" s="268" t="n">
        <v>0</v>
      </c>
      <c r="O29" s="168" t="n">
        <f aca="false">67.02*1.05</f>
        <v>70.371</v>
      </c>
      <c r="P29" s="177" t="n">
        <v>2.21</v>
      </c>
      <c r="Q29" s="533" t="n">
        <v>4.2</v>
      </c>
      <c r="R29" s="534" t="n">
        <v>0.32</v>
      </c>
      <c r="S29" s="168" t="n">
        <v>133</v>
      </c>
      <c r="T29" s="168" t="n">
        <v>75</v>
      </c>
      <c r="U29" s="168" t="n">
        <f aca="false">M29-N29-O29-P29-Q29-R29+S29+T29</f>
        <v>378.899</v>
      </c>
      <c r="V29" s="175" t="n">
        <f aca="false">V28+AI29-(AJ29/1.9835)+AK29</f>
        <v>8034.94063547265</v>
      </c>
      <c r="W29" s="175"/>
      <c r="X29" s="168" t="n">
        <v>195</v>
      </c>
      <c r="Y29" s="168" t="n">
        <v>75</v>
      </c>
      <c r="Z29" s="175" t="n">
        <f aca="false">Z28-Y29</f>
        <v>7821.98361482228</v>
      </c>
      <c r="AA29" s="29" t="n">
        <f aca="false">N29+O29+P29+Q29+R29+U29+X29+Y29</f>
        <v>726</v>
      </c>
      <c r="AB29" s="168" t="n">
        <f aca="false">IF(L29&lt;0,L29*-1,0)</f>
        <v>113.691706579279</v>
      </c>
      <c r="AC29" s="168" t="n">
        <f aca="false">AA29+AB29</f>
        <v>839.691706579279</v>
      </c>
      <c r="AD29" s="331" t="n">
        <v>0.02</v>
      </c>
      <c r="AE29" s="322" t="n">
        <v>76</v>
      </c>
      <c r="AF29" s="516" t="n">
        <v>51</v>
      </c>
      <c r="AG29" s="218" t="n">
        <f aca="false">AG28</f>
        <v>0</v>
      </c>
      <c r="AH29" s="333"/>
      <c r="AI29" s="240" t="n">
        <f aca="false">I29-P29-Q29-U29</f>
        <v>-114.309</v>
      </c>
      <c r="AJ29" s="37" t="n">
        <f aca="false">23.5*(V28*1.9835-U29*1.9835)/E29</f>
        <v>4.07029905667066</v>
      </c>
      <c r="AK29" s="536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153" t="n">
        <v>19</v>
      </c>
      <c r="B30" s="517" t="n">
        <v>6887.58</v>
      </c>
      <c r="C30" s="175" t="n">
        <v>240085</v>
      </c>
      <c r="D30" s="322" t="n">
        <f aca="false">C30-C29</f>
        <v>-923</v>
      </c>
      <c r="E30" s="175" t="n">
        <f aca="false">C30-152000</f>
        <v>88085</v>
      </c>
      <c r="F30" s="531" t="n">
        <f aca="false">D30/$D$2</f>
        <v>-465.339047138896</v>
      </c>
      <c r="G30" s="168" t="n">
        <v>279</v>
      </c>
      <c r="H30" s="173" t="n">
        <v>0</v>
      </c>
      <c r="I30" s="168" t="n">
        <f aca="false">G30+H30</f>
        <v>279</v>
      </c>
      <c r="J30" s="176" t="n">
        <f aca="false">IF(L30&gt;0,L30,0)</f>
        <v>0</v>
      </c>
      <c r="K30" s="168" t="n">
        <f aca="false">I30+J30</f>
        <v>279</v>
      </c>
      <c r="L30" s="168" t="n">
        <f aca="false">F30-(I30-AA30)</f>
        <v>-35.3390471388959</v>
      </c>
      <c r="M30" s="532" t="n">
        <v>223</v>
      </c>
      <c r="N30" s="268" t="n">
        <v>0</v>
      </c>
      <c r="O30" s="168" t="n">
        <f aca="false">72.23*1.05</f>
        <v>75.8415</v>
      </c>
      <c r="P30" s="177" t="n">
        <v>2.21</v>
      </c>
      <c r="Q30" s="533" t="n">
        <v>4.2</v>
      </c>
      <c r="R30" s="534" t="n">
        <v>2.35</v>
      </c>
      <c r="S30" s="168" t="n">
        <v>134</v>
      </c>
      <c r="T30" s="537" t="n">
        <v>77</v>
      </c>
      <c r="U30" s="168" t="n">
        <f aca="false">M30-N30-O30-P30-Q30-R30+S30+T30</f>
        <v>349.3985</v>
      </c>
      <c r="V30" s="175" t="n">
        <f aca="false">V29+AI30-(AJ30/1.9835)+AK30</f>
        <v>7956.08172688795</v>
      </c>
      <c r="W30" s="175"/>
      <c r="X30" s="168" t="n">
        <v>200</v>
      </c>
      <c r="Y30" s="168" t="n">
        <v>75</v>
      </c>
      <c r="Z30" s="175" t="n">
        <f aca="false">Z29-Y30</f>
        <v>7746.98361482228</v>
      </c>
      <c r="AA30" s="29" t="n">
        <f aca="false">N30+O30+P30+Q30+R30+U30+X30+Y30</f>
        <v>709</v>
      </c>
      <c r="AB30" s="168" t="n">
        <f aca="false">IF(L30&lt;0,L30*-1,0)</f>
        <v>35.3390471388959</v>
      </c>
      <c r="AC30" s="168" t="n">
        <f aca="false">AA30+AB30</f>
        <v>744.339047138896</v>
      </c>
      <c r="AD30" s="331" t="n">
        <v>0.02</v>
      </c>
      <c r="AE30" s="322" t="n">
        <v>71</v>
      </c>
      <c r="AF30" s="516" t="n">
        <v>50</v>
      </c>
      <c r="AG30" s="218" t="n">
        <f aca="false">AG29</f>
        <v>0</v>
      </c>
      <c r="AH30" s="333"/>
      <c r="AI30" s="240" t="n">
        <f aca="false">I30-P30-Q30-U30</f>
        <v>-76.8085</v>
      </c>
      <c r="AJ30" s="37" t="n">
        <f aca="false">23.5*(V29*1.9835-U30*1.9835)/E30</f>
        <v>4.06698542775938</v>
      </c>
      <c r="AK30" s="536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153" t="n">
        <v>20</v>
      </c>
      <c r="B31" s="517" t="n">
        <v>6887.33</v>
      </c>
      <c r="C31" s="175" t="n">
        <v>239260</v>
      </c>
      <c r="D31" s="322" t="n">
        <f aca="false">C31-C30</f>
        <v>-825</v>
      </c>
      <c r="E31" s="175" t="n">
        <f aca="false">C31-152000</f>
        <v>87260</v>
      </c>
      <c r="F31" s="531" t="n">
        <f aca="false">D31/$D$2</f>
        <v>-415.931434333249</v>
      </c>
      <c r="G31" s="168" t="n">
        <v>280</v>
      </c>
      <c r="H31" s="173" t="n">
        <v>0</v>
      </c>
      <c r="I31" s="168" t="n">
        <f aca="false">G31+H31</f>
        <v>280</v>
      </c>
      <c r="J31" s="176" t="n">
        <f aca="false">IF(L31&gt;0,L31,0)</f>
        <v>2.06856566675071</v>
      </c>
      <c r="K31" s="168" t="n">
        <f aca="false">I31+J31</f>
        <v>282.068565666751</v>
      </c>
      <c r="L31" s="168" t="n">
        <f aca="false">F31-(I31-AA31)</f>
        <v>2.06856566675071</v>
      </c>
      <c r="M31" s="532" t="n">
        <v>208</v>
      </c>
      <c r="N31" s="268" t="n">
        <v>0</v>
      </c>
      <c r="O31" s="168" t="n">
        <f aca="false">53.01*1.05</f>
        <v>55.6605</v>
      </c>
      <c r="P31" s="177" t="n">
        <v>2.21</v>
      </c>
      <c r="Q31" s="533" t="n">
        <v>4.2</v>
      </c>
      <c r="R31" s="534" t="n">
        <v>1.48</v>
      </c>
      <c r="S31" s="168" t="n">
        <v>133</v>
      </c>
      <c r="T31" s="537" t="n">
        <v>77</v>
      </c>
      <c r="U31" s="168" t="n">
        <f aca="false">M31-N31-O31-P31-Q31-R31+S31+T31</f>
        <v>354.4495</v>
      </c>
      <c r="V31" s="175" t="n">
        <f aca="false">V30+AI31-(AJ31/1.9835)+AK31</f>
        <v>7873.17503049404</v>
      </c>
      <c r="W31" s="175"/>
      <c r="X31" s="168" t="n">
        <v>205</v>
      </c>
      <c r="Y31" s="168" t="n">
        <v>75</v>
      </c>
      <c r="Z31" s="175" t="n">
        <f aca="false">Z30-Y31</f>
        <v>7671.98361482228</v>
      </c>
      <c r="AA31" s="29" t="n">
        <f aca="false">N31+O31+P31+Q31+R31+U31+X31+Y31</f>
        <v>698</v>
      </c>
      <c r="AB31" s="168" t="n">
        <f aca="false">IF(L31&lt;0,L31*-1,0)</f>
        <v>0</v>
      </c>
      <c r="AC31" s="168" t="n">
        <f aca="false">AA31+AB31</f>
        <v>698</v>
      </c>
      <c r="AD31" s="331" t="n">
        <v>0</v>
      </c>
      <c r="AE31" s="322" t="n">
        <v>76</v>
      </c>
      <c r="AF31" s="516" t="n">
        <v>48</v>
      </c>
      <c r="AG31" s="218" t="n">
        <f aca="false">AG30</f>
        <v>0</v>
      </c>
      <c r="AH31" s="333"/>
      <c r="AI31" s="240" t="n">
        <f aca="false">I31-P31-Q31-U31</f>
        <v>-80.8595</v>
      </c>
      <c r="AJ31" s="37" t="n">
        <f aca="false">23.5*(V30*1.9835-U31*1.9835)/E31</f>
        <v>4.06061404730412</v>
      </c>
      <c r="AK31" s="536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153" t="n">
        <v>21</v>
      </c>
      <c r="B32" s="517" t="n">
        <v>6886.98</v>
      </c>
      <c r="C32" s="175" t="n">
        <v>238107</v>
      </c>
      <c r="D32" s="322" t="n">
        <f aca="false">C32-C31</f>
        <v>-1153</v>
      </c>
      <c r="E32" s="175" t="n">
        <f aca="false">C32-152000</f>
        <v>86107</v>
      </c>
      <c r="F32" s="531" t="n">
        <f aca="false">D32/$D$2</f>
        <v>-581.295689437862</v>
      </c>
      <c r="G32" s="168" t="n">
        <v>267</v>
      </c>
      <c r="H32" s="173" t="n">
        <v>0</v>
      </c>
      <c r="I32" s="168" t="n">
        <f aca="false">G32+H32</f>
        <v>267</v>
      </c>
      <c r="J32" s="176" t="n">
        <f aca="false">IF(L32&gt;0,L32,0)</f>
        <v>0</v>
      </c>
      <c r="K32" s="168" t="n">
        <f aca="false">I32+J32</f>
        <v>267</v>
      </c>
      <c r="L32" s="168" t="n">
        <f aca="false">F32-(I32-AA32)</f>
        <v>-143.295689437862</v>
      </c>
      <c r="M32" s="532" t="n">
        <v>211</v>
      </c>
      <c r="N32" s="268" t="n">
        <v>0</v>
      </c>
      <c r="O32" s="168" t="n">
        <f aca="false">43.85*1.05</f>
        <v>46.0425</v>
      </c>
      <c r="P32" s="177" t="n">
        <v>2.21</v>
      </c>
      <c r="Q32" s="533" t="n">
        <v>4.2</v>
      </c>
      <c r="R32" s="534" t="n">
        <v>0.77</v>
      </c>
      <c r="S32" s="168" t="n">
        <v>134</v>
      </c>
      <c r="T32" s="537" t="n">
        <v>75</v>
      </c>
      <c r="U32" s="168" t="n">
        <f aca="false">M32-N32-O32-P32-Q32-R32+S32+T32</f>
        <v>366.7775</v>
      </c>
      <c r="V32" s="175" t="n">
        <f aca="false">V31+AI32-(AJ32/1.9835)+AK32</f>
        <v>7764.9389125888</v>
      </c>
      <c r="W32" s="175"/>
      <c r="X32" s="168" t="n">
        <v>210</v>
      </c>
      <c r="Y32" s="168" t="n">
        <v>75</v>
      </c>
      <c r="Z32" s="175" t="n">
        <f aca="false">Z31-Y32</f>
        <v>7596.98361482228</v>
      </c>
      <c r="AA32" s="29" t="n">
        <f aca="false">N32+O32+P32+Q32+R32+U32+X32+Y32</f>
        <v>705</v>
      </c>
      <c r="AB32" s="168" t="n">
        <f aca="false">IF(L32&lt;0,L32*-1,0)</f>
        <v>143.295689437862</v>
      </c>
      <c r="AC32" s="168" t="n">
        <f aca="false">AA32+AB32</f>
        <v>848.295689437862</v>
      </c>
      <c r="AD32" s="331" t="n">
        <v>0</v>
      </c>
      <c r="AE32" s="322" t="n">
        <v>78</v>
      </c>
      <c r="AF32" s="516" t="n">
        <v>53</v>
      </c>
      <c r="AG32" s="218" t="n">
        <f aca="false">AG31</f>
        <v>0</v>
      </c>
      <c r="AH32" s="333"/>
      <c r="AI32" s="240" t="n">
        <f aca="false">I32-P32-Q32-U32</f>
        <v>-106.1875</v>
      </c>
      <c r="AJ32" s="37" t="n">
        <f aca="false">23.5*(V31*1.9835-U32*1.9835)/E32</f>
        <v>4.06343361504606</v>
      </c>
      <c r="AK32" s="536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153" t="n">
        <v>22</v>
      </c>
      <c r="B33" s="517" t="n">
        <v>6886.73</v>
      </c>
      <c r="C33" s="175" t="n">
        <v>237292</v>
      </c>
      <c r="D33" s="322" t="n">
        <f aca="false">C33-C32</f>
        <v>-815</v>
      </c>
      <c r="E33" s="175" t="n">
        <f aca="false">C33-152000</f>
        <v>85292</v>
      </c>
      <c r="F33" s="531" t="n">
        <f aca="false">D33/$D$2</f>
        <v>-410.889841189816</v>
      </c>
      <c r="G33" s="168" t="n">
        <v>259</v>
      </c>
      <c r="H33" s="173" t="n">
        <v>0</v>
      </c>
      <c r="I33" s="168" t="n">
        <f aca="false">G33+H33</f>
        <v>259</v>
      </c>
      <c r="J33" s="176" t="n">
        <f aca="false">IF(L33&gt;0,L33,0)</f>
        <v>27.110158810184</v>
      </c>
      <c r="K33" s="168" t="n">
        <f aca="false">I33+J33</f>
        <v>286.110158810184</v>
      </c>
      <c r="L33" s="168" t="n">
        <f aca="false">F33-(I33-AA33)</f>
        <v>27.110158810184</v>
      </c>
      <c r="M33" s="532" t="n">
        <v>199</v>
      </c>
      <c r="N33" s="268" t="n">
        <v>0</v>
      </c>
      <c r="O33" s="168" t="n">
        <f aca="false">37.74*1.05</f>
        <v>39.627</v>
      </c>
      <c r="P33" s="177" t="n">
        <v>2.21</v>
      </c>
      <c r="Q33" s="533" t="n">
        <v>4.2</v>
      </c>
      <c r="R33" s="534" t="n">
        <v>1.72</v>
      </c>
      <c r="S33" s="168" t="n">
        <v>133</v>
      </c>
      <c r="T33" s="168" t="n">
        <v>75</v>
      </c>
      <c r="U33" s="168" t="n">
        <f aca="false">M33-N33-O33-P33-Q33-R33+S33+T33</f>
        <v>359.243</v>
      </c>
      <c r="V33" s="175" t="n">
        <f aca="false">V32+AI33-(AJ33/1.9835)+AK33</f>
        <v>7656.24546502108</v>
      </c>
      <c r="W33" s="175"/>
      <c r="X33" s="168" t="n">
        <v>215</v>
      </c>
      <c r="Y33" s="168" t="n">
        <v>75</v>
      </c>
      <c r="Z33" s="175" t="n">
        <f aca="false">Z32-Y33</f>
        <v>7521.98361482228</v>
      </c>
      <c r="AA33" s="29" t="n">
        <f aca="false">N33+O33+P33+Q33+R33+U33+X33+Y33</f>
        <v>697</v>
      </c>
      <c r="AB33" s="168" t="n">
        <f aca="false">IF(L33&lt;0,L33*-1,0)</f>
        <v>0</v>
      </c>
      <c r="AC33" s="168" t="n">
        <f aca="false">AA33+AB33</f>
        <v>697</v>
      </c>
      <c r="AD33" s="331" t="n">
        <v>0.09</v>
      </c>
      <c r="AE33" s="322" t="n">
        <v>80</v>
      </c>
      <c r="AF33" s="516" t="n">
        <v>49</v>
      </c>
      <c r="AG33" s="218" t="n">
        <f aca="false">AG32</f>
        <v>0</v>
      </c>
      <c r="AH33" s="333"/>
      <c r="AI33" s="240" t="n">
        <f aca="false">I33-P33-Q33-U33</f>
        <v>-106.653</v>
      </c>
      <c r="AJ33" s="37" t="n">
        <f aca="false">23.5*(V32*1.9835-U33*1.9835)/E33</f>
        <v>4.04722775056943</v>
      </c>
      <c r="AK33" s="536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153" t="n">
        <v>23</v>
      </c>
      <c r="B34" s="517" t="n">
        <v>6886.45</v>
      </c>
      <c r="C34" s="175" t="n">
        <v>236380</v>
      </c>
      <c r="D34" s="322" t="n">
        <f aca="false">C34-C33</f>
        <v>-912</v>
      </c>
      <c r="E34" s="175" t="n">
        <f aca="false">C34-152000</f>
        <v>84380</v>
      </c>
      <c r="F34" s="531" t="n">
        <f aca="false">D34/$D$2</f>
        <v>-459.793294681119</v>
      </c>
      <c r="G34" s="168" t="n">
        <v>252</v>
      </c>
      <c r="H34" s="173" t="n">
        <v>0</v>
      </c>
      <c r="I34" s="168" t="n">
        <f aca="false">G34+H34</f>
        <v>252</v>
      </c>
      <c r="J34" s="176" t="n">
        <f aca="false">IF(L34&gt;0,L34,0)</f>
        <v>0</v>
      </c>
      <c r="K34" s="168" t="n">
        <f aca="false">I34+J34</f>
        <v>252</v>
      </c>
      <c r="L34" s="168" t="n">
        <f aca="false">F34-(I34-AA34)</f>
        <v>-25.7932946811192</v>
      </c>
      <c r="M34" s="532" t="n">
        <v>193</v>
      </c>
      <c r="N34" s="268" t="n">
        <v>0</v>
      </c>
      <c r="O34" s="168" t="n">
        <f aca="false">32.72*1.05</f>
        <v>34.356</v>
      </c>
      <c r="P34" s="177" t="n">
        <v>2.21</v>
      </c>
      <c r="Q34" s="533" t="n">
        <v>4.2</v>
      </c>
      <c r="R34" s="534" t="n">
        <v>1.67</v>
      </c>
      <c r="S34" s="168" t="n">
        <v>130</v>
      </c>
      <c r="T34" s="168" t="n">
        <v>72</v>
      </c>
      <c r="U34" s="168" t="n">
        <f aca="false">M34-N34-O34-P34-Q34-R34+S34+T34</f>
        <v>352.564</v>
      </c>
      <c r="V34" s="175" t="n">
        <f aca="false">V33+AI34-(AJ34/1.9835)+AK34</f>
        <v>7547.23737501838</v>
      </c>
      <c r="W34" s="175"/>
      <c r="X34" s="168" t="n">
        <v>216</v>
      </c>
      <c r="Y34" s="168" t="n">
        <v>75</v>
      </c>
      <c r="Z34" s="175" t="n">
        <f aca="false">Z33-Y34</f>
        <v>7446.98361482228</v>
      </c>
      <c r="AA34" s="29" t="n">
        <f aca="false">N34+O34+P34+Q34+R34+U34+X34+Y34</f>
        <v>686</v>
      </c>
      <c r="AB34" s="168" t="n">
        <f aca="false">IF(L34&lt;0,L34*-1,0)</f>
        <v>25.7932946811192</v>
      </c>
      <c r="AC34" s="168" t="n">
        <f aca="false">AA34+AB34</f>
        <v>711.793294681119</v>
      </c>
      <c r="AD34" s="331" t="n">
        <v>0</v>
      </c>
      <c r="AE34" s="322" t="n">
        <v>76</v>
      </c>
      <c r="AF34" s="516" t="n">
        <v>47</v>
      </c>
      <c r="AG34" s="218" t="n">
        <f aca="false">AG33</f>
        <v>0</v>
      </c>
      <c r="AH34" s="333"/>
      <c r="AI34" s="240" t="n">
        <f aca="false">I34-P34-Q34-U34</f>
        <v>-106.974</v>
      </c>
      <c r="AJ34" s="37" t="n">
        <f aca="false">23.5*(V33*1.9835-U34*1.9835)/E34</f>
        <v>4.03461752035943</v>
      </c>
      <c r="AK34" s="536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153" t="n">
        <v>24</v>
      </c>
      <c r="B35" s="517" t="n">
        <v>6886.17</v>
      </c>
      <c r="C35" s="175" t="n">
        <v>235467</v>
      </c>
      <c r="D35" s="322" t="n">
        <f aca="false">C35-C34</f>
        <v>-913</v>
      </c>
      <c r="E35" s="175" t="n">
        <f aca="false">C35-152000</f>
        <v>83467</v>
      </c>
      <c r="F35" s="531" t="n">
        <f aca="false">D35/$D$2</f>
        <v>-460.297453995463</v>
      </c>
      <c r="G35" s="168" t="n">
        <v>244</v>
      </c>
      <c r="H35" s="173" t="n">
        <v>0</v>
      </c>
      <c r="I35" s="168" t="n">
        <f aca="false">G35+H35</f>
        <v>244</v>
      </c>
      <c r="J35" s="176" t="n">
        <f aca="false">IF(L35&gt;0,L35,0)</f>
        <v>8.70254600453745</v>
      </c>
      <c r="K35" s="168" t="n">
        <f aca="false">I35+J35</f>
        <v>252.702546004537</v>
      </c>
      <c r="L35" s="168" t="n">
        <f aca="false">F35-(I35-AA35)</f>
        <v>8.70254600453745</v>
      </c>
      <c r="M35" s="532" t="n">
        <v>223</v>
      </c>
      <c r="N35" s="268" t="n">
        <v>0</v>
      </c>
      <c r="O35" s="168" t="n">
        <f aca="false">42.51*1.05</f>
        <v>44.6355</v>
      </c>
      <c r="P35" s="177" t="n">
        <v>2.21</v>
      </c>
      <c r="Q35" s="533" t="n">
        <v>4.2</v>
      </c>
      <c r="R35" s="534" t="n">
        <v>2.89</v>
      </c>
      <c r="S35" s="168" t="n">
        <v>128</v>
      </c>
      <c r="T35" s="168" t="n">
        <v>71</v>
      </c>
      <c r="U35" s="168" t="n">
        <f aca="false">M35-N35-O35-P35-Q35-R35+S35+T35</f>
        <v>368.0645</v>
      </c>
      <c r="V35" s="175" t="n">
        <f aca="false">V34+AI35-(AJ35/1.9835)+AK35</f>
        <v>7414.74159040814</v>
      </c>
      <c r="W35" s="175"/>
      <c r="X35" s="168" t="n">
        <v>216</v>
      </c>
      <c r="Y35" s="168" t="n">
        <v>75</v>
      </c>
      <c r="Z35" s="175" t="n">
        <f aca="false">Z34-Y35</f>
        <v>7371.98361482228</v>
      </c>
      <c r="AA35" s="29" t="n">
        <f aca="false">N35+O35+P35+Q35+R35+U35+X35+Y35</f>
        <v>713</v>
      </c>
      <c r="AB35" s="168" t="n">
        <f aca="false">IF(L35&lt;0,L35*-1,0)</f>
        <v>0</v>
      </c>
      <c r="AC35" s="168" t="n">
        <f aca="false">AA35+AB35</f>
        <v>713</v>
      </c>
      <c r="AD35" s="331" t="n">
        <v>0</v>
      </c>
      <c r="AE35" s="322" t="n">
        <v>74</v>
      </c>
      <c r="AF35" s="516" t="n">
        <v>47</v>
      </c>
      <c r="AG35" s="218" t="n">
        <f aca="false">AG34</f>
        <v>0</v>
      </c>
      <c r="AH35" s="333"/>
      <c r="AI35" s="240" t="n">
        <f aca="false">I35-P35-Q35-U35</f>
        <v>-130.4745</v>
      </c>
      <c r="AJ35" s="37" t="n">
        <f aca="false">23.5*(V34*1.9835-U35*1.9835)/E35</f>
        <v>4.00921802441175</v>
      </c>
      <c r="AK35" s="536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153" t="n">
        <v>25</v>
      </c>
      <c r="B36" s="517" t="n">
        <v>6885.8</v>
      </c>
      <c r="C36" s="175" t="n">
        <v>234268</v>
      </c>
      <c r="D36" s="322" t="n">
        <f aca="false">C36-C35</f>
        <v>-1199</v>
      </c>
      <c r="E36" s="175" t="n">
        <f aca="false">C36-152000</f>
        <v>82268</v>
      </c>
      <c r="F36" s="531" t="n">
        <f aca="false">D36/$D$2</f>
        <v>-604.487017897656</v>
      </c>
      <c r="G36" s="168" t="n">
        <v>246</v>
      </c>
      <c r="H36" s="173" t="n">
        <v>0</v>
      </c>
      <c r="I36" s="168" t="n">
        <f aca="false">G36+H36</f>
        <v>246</v>
      </c>
      <c r="J36" s="176" t="n">
        <f aca="false">IF(L36&gt;0,L36,0)</f>
        <v>0</v>
      </c>
      <c r="K36" s="168" t="n">
        <f aca="false">I36+J36</f>
        <v>246</v>
      </c>
      <c r="L36" s="168" t="n">
        <f aca="false">F36-(I36-AA36)</f>
        <v>-135.487017897656</v>
      </c>
      <c r="M36" s="532" t="n">
        <v>225</v>
      </c>
      <c r="N36" s="268" t="n">
        <v>0</v>
      </c>
      <c r="O36" s="168" t="n">
        <f aca="false">65.98*1.05</f>
        <v>69.279</v>
      </c>
      <c r="P36" s="177" t="n">
        <v>2.21</v>
      </c>
      <c r="Q36" s="533" t="n">
        <v>4.2</v>
      </c>
      <c r="R36" s="534" t="n">
        <v>3.4</v>
      </c>
      <c r="S36" s="168" t="n">
        <v>128</v>
      </c>
      <c r="T36" s="168" t="n">
        <v>72</v>
      </c>
      <c r="U36" s="168" t="n">
        <f aca="false">M36-N36-O36-P36-Q36-R36+S36+T36</f>
        <v>345.911</v>
      </c>
      <c r="V36" s="175" t="n">
        <f aca="false">V35+AI36-(AJ36/1.9835)+AK36</f>
        <v>7306.40136642221</v>
      </c>
      <c r="W36" s="175"/>
      <c r="X36" s="168" t="n">
        <v>216</v>
      </c>
      <c r="Y36" s="168" t="n">
        <v>74</v>
      </c>
      <c r="Z36" s="175" t="n">
        <f aca="false">Z35-Y36</f>
        <v>7297.98361482228</v>
      </c>
      <c r="AA36" s="29" t="n">
        <f aca="false">N36+O36+P36+Q36+R36+U36+X36+Y36</f>
        <v>715</v>
      </c>
      <c r="AB36" s="168" t="n">
        <f aca="false">IF(L36&lt;0,L36*-1,0)</f>
        <v>135.487017897656</v>
      </c>
      <c r="AC36" s="168" t="n">
        <f aca="false">AA36+AB36</f>
        <v>850.487017897656</v>
      </c>
      <c r="AD36" s="331" t="n">
        <v>0</v>
      </c>
      <c r="AE36" s="322" t="n">
        <v>77</v>
      </c>
      <c r="AF36" s="516" t="n">
        <v>44</v>
      </c>
      <c r="AG36" s="218" t="n">
        <f aca="false">AG35</f>
        <v>0</v>
      </c>
      <c r="AH36" s="333"/>
      <c r="AI36" s="240" t="n">
        <f aca="false">I36-P36-Q36-U36</f>
        <v>-106.321</v>
      </c>
      <c r="AJ36" s="37" t="n">
        <f aca="false">23.5*(V35*1.9835-U36*1.9835)/E36</f>
        <v>4.00513077609462</v>
      </c>
      <c r="AK36" s="536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53" t="n">
        <v>26</v>
      </c>
      <c r="B37" s="517" t="n">
        <v>6885.45</v>
      </c>
      <c r="C37" s="175" t="n">
        <v>233140</v>
      </c>
      <c r="D37" s="322" t="n">
        <f aca="false">C37-C36</f>
        <v>-1128</v>
      </c>
      <c r="E37" s="175" t="n">
        <f aca="false">C37-152000</f>
        <v>81140</v>
      </c>
      <c r="F37" s="531" t="n">
        <f aca="false">D37/$D$2</f>
        <v>-568.691706579279</v>
      </c>
      <c r="G37" s="168" t="n">
        <v>239</v>
      </c>
      <c r="H37" s="173" t="n">
        <v>0</v>
      </c>
      <c r="I37" s="168" t="n">
        <f aca="false">G37+H37</f>
        <v>239</v>
      </c>
      <c r="J37" s="176" t="n">
        <f aca="false">IF(L37&gt;0,L37,0)</f>
        <v>0</v>
      </c>
      <c r="K37" s="168" t="n">
        <f aca="false">I37+J37</f>
        <v>239</v>
      </c>
      <c r="L37" s="168" t="n">
        <f aca="false">F37-(I37-AA37)</f>
        <v>-50.6917065792791</v>
      </c>
      <c r="M37" s="532" t="n">
        <v>242</v>
      </c>
      <c r="N37" s="268" t="n">
        <v>0</v>
      </c>
      <c r="O37" s="168" t="n">
        <f aca="false">65.64*1.05</f>
        <v>68.922</v>
      </c>
      <c r="P37" s="177" t="n">
        <v>2.21</v>
      </c>
      <c r="Q37" s="533" t="n">
        <v>4.2</v>
      </c>
      <c r="R37" s="534" t="n">
        <v>2.09</v>
      </c>
      <c r="S37" s="168" t="n">
        <v>128</v>
      </c>
      <c r="T37" s="168" t="n">
        <v>72</v>
      </c>
      <c r="U37" s="168" t="n">
        <f aca="false">M37-N37-O37-P37-Q37-R37+S37+T37</f>
        <v>364.578</v>
      </c>
      <c r="V37" s="175" t="n">
        <f aca="false">V36+AI37-(AJ37/1.9835)+AK37</f>
        <v>7172.40285558771</v>
      </c>
      <c r="W37" s="175"/>
      <c r="X37" s="168" t="n">
        <v>240</v>
      </c>
      <c r="Y37" s="168" t="n">
        <v>75</v>
      </c>
      <c r="Z37" s="175" t="n">
        <f aca="false">Z36-Y37</f>
        <v>7222.98361482228</v>
      </c>
      <c r="AA37" s="29" t="n">
        <f aca="false">N37+O37+P37+Q37+R37+U37+X37+Y37</f>
        <v>757</v>
      </c>
      <c r="AB37" s="168" t="n">
        <f aca="false">IF(L37&lt;0,L37*-1,0)</f>
        <v>50.6917065792791</v>
      </c>
      <c r="AC37" s="168" t="n">
        <f aca="false">AA37+AB37</f>
        <v>807.691706579279</v>
      </c>
      <c r="AD37" s="331" t="n">
        <v>0</v>
      </c>
      <c r="AE37" s="322" t="n">
        <v>80</v>
      </c>
      <c r="AF37" s="516" t="n">
        <v>48</v>
      </c>
      <c r="AG37" s="218" t="n">
        <f aca="false">AG36</f>
        <v>0</v>
      </c>
      <c r="AH37" s="333"/>
      <c r="AI37" s="240" t="n">
        <f aca="false">I37-P37-Q37-U37</f>
        <v>-131.988</v>
      </c>
      <c r="AJ37" s="37" t="n">
        <f aca="false">23.5*(V36*1.9835-U37*1.9835)/E37</f>
        <v>3.98784824022077</v>
      </c>
      <c r="AK37" s="536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53" t="n">
        <v>27</v>
      </c>
      <c r="B38" s="517" t="n">
        <v>6885.15</v>
      </c>
      <c r="C38" s="175" t="n">
        <v>232173</v>
      </c>
      <c r="D38" s="322" t="n">
        <f aca="false">C38-C37</f>
        <v>-967</v>
      </c>
      <c r="E38" s="175" t="n">
        <f aca="false">C38-152000</f>
        <v>80173</v>
      </c>
      <c r="F38" s="531" t="n">
        <f aca="false">D38/$D$2</f>
        <v>-487.522056970002</v>
      </c>
      <c r="G38" s="168" t="n">
        <v>232</v>
      </c>
      <c r="H38" s="173" t="n">
        <v>0</v>
      </c>
      <c r="I38" s="168" t="n">
        <f aca="false">G38+H38</f>
        <v>232</v>
      </c>
      <c r="J38" s="176" t="n">
        <f aca="false">IF(L38&gt;0,L38,0)</f>
        <v>86.4779430299975</v>
      </c>
      <c r="K38" s="168" t="n">
        <f aca="false">I38+J38</f>
        <v>318.477943029997</v>
      </c>
      <c r="L38" s="168" t="n">
        <f aca="false">F38-(I38-AA38)</f>
        <v>86.4779430299975</v>
      </c>
      <c r="M38" s="532" t="n">
        <v>250</v>
      </c>
      <c r="N38" s="268" t="n">
        <v>0</v>
      </c>
      <c r="O38" s="168" t="n">
        <f aca="false">72.46*1.05</f>
        <v>76.083</v>
      </c>
      <c r="P38" s="177" t="n">
        <v>2.21</v>
      </c>
      <c r="Q38" s="533" t="n">
        <v>4.2</v>
      </c>
      <c r="R38" s="534" t="n">
        <v>1.7</v>
      </c>
      <c r="S38" s="168" t="n">
        <v>150</v>
      </c>
      <c r="T38" s="168" t="n">
        <v>71</v>
      </c>
      <c r="U38" s="168" t="n">
        <f aca="false">M38-N38-O38-P38-Q38-R38+S38+T38</f>
        <v>386.807</v>
      </c>
      <c r="V38" s="175" t="n">
        <f aca="false">V37+AI38-(AJ38/1.9835)+AK38</f>
        <v>7009.19688794766</v>
      </c>
      <c r="W38" s="175"/>
      <c r="X38" s="168" t="n">
        <v>261</v>
      </c>
      <c r="Y38" s="168" t="n">
        <v>74</v>
      </c>
      <c r="Z38" s="175" t="n">
        <f aca="false">Z37-Y38</f>
        <v>7148.98361482228</v>
      </c>
      <c r="AA38" s="29" t="n">
        <f aca="false">N38+O38+P38+Q38+R38+U38+X38+Y38</f>
        <v>806</v>
      </c>
      <c r="AB38" s="168" t="n">
        <f aca="false">IF(L38&lt;0,L38*-1,0)</f>
        <v>0</v>
      </c>
      <c r="AC38" s="168" t="n">
        <f aca="false">AA38+AB38</f>
        <v>806</v>
      </c>
      <c r="AD38" s="331" t="n">
        <v>0</v>
      </c>
      <c r="AE38" s="322" t="n">
        <v>74</v>
      </c>
      <c r="AF38" s="516" t="n">
        <v>49</v>
      </c>
      <c r="AG38" s="218" t="n">
        <f aca="false">AG37</f>
        <v>0</v>
      </c>
      <c r="AH38" s="333"/>
      <c r="AI38" s="240" t="n">
        <f aca="false">I38-P38-Q38-U38</f>
        <v>-161.217</v>
      </c>
      <c r="AJ38" s="37" t="n">
        <f aca="false">23.5*(V37*1.9835-U38*1.9835)/E38</f>
        <v>3.94511731405359</v>
      </c>
      <c r="AK38" s="536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538" t="n">
        <v>28</v>
      </c>
      <c r="B39" s="539" t="n">
        <v>6884.77</v>
      </c>
      <c r="C39" s="540" t="n">
        <v>230957</v>
      </c>
      <c r="D39" s="541" t="n">
        <f aca="false">C39-C38</f>
        <v>-1216</v>
      </c>
      <c r="E39" s="540" t="n">
        <f aca="false">C39-152000</f>
        <v>78957</v>
      </c>
      <c r="F39" s="542" t="n">
        <f aca="false">D39/$D$2</f>
        <v>-613.057726241492</v>
      </c>
      <c r="G39" s="537" t="n">
        <v>225</v>
      </c>
      <c r="H39" s="173" t="n">
        <v>0</v>
      </c>
      <c r="I39" s="537" t="n">
        <f aca="false">G39+H39</f>
        <v>225</v>
      </c>
      <c r="J39" s="543" t="n">
        <f aca="false">IF(L39&gt;0,L39,0)</f>
        <v>0</v>
      </c>
      <c r="K39" s="537" t="n">
        <f aca="false">I39+J39</f>
        <v>225</v>
      </c>
      <c r="L39" s="537" t="n">
        <f aca="false">F39-(I39-AA39)</f>
        <v>-98.0577262414923</v>
      </c>
      <c r="M39" s="544" t="n">
        <v>189</v>
      </c>
      <c r="N39" s="268" t="n">
        <v>0</v>
      </c>
      <c r="O39" s="537" t="n">
        <f aca="false">21.33*1.05</f>
        <v>22.3965</v>
      </c>
      <c r="P39" s="177" t="n">
        <v>2.21</v>
      </c>
      <c r="Q39" s="533" t="n">
        <v>4.2</v>
      </c>
      <c r="R39" s="534" t="n">
        <v>1.74</v>
      </c>
      <c r="S39" s="537" t="n">
        <v>164</v>
      </c>
      <c r="T39" s="537" t="n">
        <v>71</v>
      </c>
      <c r="U39" s="168" t="n">
        <f aca="false">M39-N39-O39-P39-Q39-R39+S39+T39</f>
        <v>393.4535</v>
      </c>
      <c r="V39" s="175" t="n">
        <f aca="false">V38+AI39-(AJ39/1.9835)+AK39</f>
        <v>6832.36434188946</v>
      </c>
      <c r="W39" s="175"/>
      <c r="X39" s="537" t="n">
        <v>242</v>
      </c>
      <c r="Y39" s="168" t="n">
        <v>74</v>
      </c>
      <c r="Z39" s="175" t="n">
        <f aca="false">Z38-Y39</f>
        <v>7074.98361482228</v>
      </c>
      <c r="AA39" s="29" t="n">
        <f aca="false">N39+O39+P39+Q39+R39+U39+X39+Y39</f>
        <v>740</v>
      </c>
      <c r="AB39" s="537" t="n">
        <f aca="false">IF(L39&lt;0,L39*-1,0)</f>
        <v>98.0577262414923</v>
      </c>
      <c r="AC39" s="537" t="n">
        <f aca="false">AA39+AB39</f>
        <v>838.057726241492</v>
      </c>
      <c r="AD39" s="545" t="n">
        <v>0</v>
      </c>
      <c r="AE39" s="541" t="n">
        <v>80</v>
      </c>
      <c r="AF39" s="546" t="n">
        <v>49</v>
      </c>
      <c r="AG39" s="218" t="n">
        <f aca="false">AG38</f>
        <v>0</v>
      </c>
      <c r="AH39" s="333"/>
      <c r="AI39" s="240" t="n">
        <f aca="false">I39-P39-Q39-U39</f>
        <v>-174.8635</v>
      </c>
      <c r="AJ39" s="37" t="n">
        <f aca="false">23.5*(V38*1.9835-U39*1.9835)/E39</f>
        <v>3.90560285642645</v>
      </c>
      <c r="AK39" s="536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1" hidden="false" customHeight="true" outlineLevel="0" collapsed="false">
      <c r="A40" s="538" t="n">
        <v>29</v>
      </c>
      <c r="B40" s="539" t="n">
        <v>6884.44</v>
      </c>
      <c r="C40" s="540" t="n">
        <v>229906</v>
      </c>
      <c r="D40" s="541" t="n">
        <f aca="false">C40-C39</f>
        <v>-1051</v>
      </c>
      <c r="E40" s="540" t="n">
        <f aca="false">C40-152000</f>
        <v>77906</v>
      </c>
      <c r="F40" s="542" t="n">
        <f aca="false">D40/$D$2</f>
        <v>-529.871439374842</v>
      </c>
      <c r="G40" s="537" t="n">
        <v>217</v>
      </c>
      <c r="H40" s="547" t="n">
        <v>0</v>
      </c>
      <c r="I40" s="537" t="n">
        <f aca="false">G40+H40</f>
        <v>217</v>
      </c>
      <c r="J40" s="543" t="n">
        <f aca="false">IF(L40&gt;0,L40,0)</f>
        <v>0</v>
      </c>
      <c r="K40" s="537" t="n">
        <f aca="false">I40+J40</f>
        <v>217</v>
      </c>
      <c r="L40" s="537" t="n">
        <f aca="false">F40-(I40-AA40)</f>
        <v>-38.8714393748425</v>
      </c>
      <c r="M40" s="544" t="n">
        <v>190</v>
      </c>
      <c r="N40" s="548" t="n">
        <v>0</v>
      </c>
      <c r="O40" s="537" t="n">
        <f aca="false">0.65*1.05</f>
        <v>0.6825</v>
      </c>
      <c r="P40" s="177" t="n">
        <v>2.21</v>
      </c>
      <c r="Q40" s="533" t="n">
        <v>4.2</v>
      </c>
      <c r="R40" s="534" t="n">
        <v>3.28</v>
      </c>
      <c r="S40" s="537" t="n">
        <v>164</v>
      </c>
      <c r="T40" s="537" t="n">
        <v>70</v>
      </c>
      <c r="U40" s="168" t="n">
        <f aca="false">M40-N40-O40-P40-Q40-R40+S40+T40</f>
        <v>413.6275</v>
      </c>
      <c r="V40" s="175" t="n">
        <f aca="false">V39+AI40-(AJ40/1.9835)+AK40</f>
        <v>6627.39065833769</v>
      </c>
      <c r="W40" s="175"/>
      <c r="X40" s="537" t="n">
        <v>210</v>
      </c>
      <c r="Y40" s="168" t="n">
        <v>74</v>
      </c>
      <c r="Z40" s="175" t="n">
        <f aca="false">Z39-Y40</f>
        <v>7000.98361482228</v>
      </c>
      <c r="AA40" s="29" t="n">
        <f aca="false">N40+O40+P40+Q40+R40+U40+X40+Y40</f>
        <v>708</v>
      </c>
      <c r="AB40" s="537" t="n">
        <f aca="false">IF(L40&lt;0,L40*-1,0)</f>
        <v>38.8714393748425</v>
      </c>
      <c r="AC40" s="537" t="n">
        <f aca="false">AA40+AB40</f>
        <v>746.871439374842</v>
      </c>
      <c r="AD40" s="545" t="n">
        <v>0</v>
      </c>
      <c r="AE40" s="541" t="n">
        <v>83</v>
      </c>
      <c r="AF40" s="546" t="n">
        <v>51</v>
      </c>
      <c r="AG40" s="218" t="n">
        <f aca="false">AG39</f>
        <v>0</v>
      </c>
      <c r="AH40" s="333"/>
      <c r="AI40" s="240" t="n">
        <f aca="false">I40-P40-Q40-U40</f>
        <v>-203.0375</v>
      </c>
      <c r="AJ40" s="37" t="n">
        <f aca="false">23.5*(V39*1.9835-U40*1.9835)/E40</f>
        <v>3.84042007494111</v>
      </c>
      <c r="AK40" s="536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1.1" hidden="false" customHeight="true" outlineLevel="0" collapsed="false">
      <c r="A41" s="538" t="n">
        <v>30</v>
      </c>
      <c r="B41" s="539" t="n">
        <v>6884.07</v>
      </c>
      <c r="C41" s="540" t="n">
        <v>228728</v>
      </c>
      <c r="D41" s="541" t="n">
        <f aca="false">C41-C40</f>
        <v>-1178</v>
      </c>
      <c r="E41" s="540" t="n">
        <f aca="false">C41-152000</f>
        <v>76728</v>
      </c>
      <c r="F41" s="542" t="n">
        <f aca="false">D41/$D$2</f>
        <v>-593.899672296446</v>
      </c>
      <c r="G41" s="537" t="n">
        <v>210</v>
      </c>
      <c r="H41" s="547" t="n">
        <v>0</v>
      </c>
      <c r="I41" s="537" t="n">
        <f aca="false">G41+H41</f>
        <v>210</v>
      </c>
      <c r="J41" s="543" t="n">
        <f aca="false">IF(L41&gt;0,L41,0)</f>
        <v>1.10032770355429</v>
      </c>
      <c r="K41" s="537" t="n">
        <f aca="false">I41+J41</f>
        <v>211.100327703554</v>
      </c>
      <c r="L41" s="537" t="n">
        <f aca="false">F41-(I41-AA41)</f>
        <v>1.10032770355429</v>
      </c>
      <c r="M41" s="544" t="n">
        <v>237</v>
      </c>
      <c r="N41" s="548" t="n">
        <v>31.26</v>
      </c>
      <c r="O41" s="537" t="n">
        <f aca="false">31.51*1.05</f>
        <v>33.0855</v>
      </c>
      <c r="P41" s="177" t="n">
        <v>2.21</v>
      </c>
      <c r="Q41" s="533" t="n">
        <v>4.2</v>
      </c>
      <c r="R41" s="534" t="n">
        <v>3.14</v>
      </c>
      <c r="S41" s="537" t="n">
        <v>163</v>
      </c>
      <c r="T41" s="537" t="n">
        <v>69</v>
      </c>
      <c r="U41" s="168" t="n">
        <f aca="false">M41-N41-O41-P41-Q41-R41+S41+T41</f>
        <v>395.1045</v>
      </c>
      <c r="V41" s="175" t="n">
        <f aca="false">V40+AI41-(AJ41/1.9835)+AK41</f>
        <v>6433.967354189</v>
      </c>
      <c r="W41" s="175"/>
      <c r="X41" s="537" t="n">
        <v>262</v>
      </c>
      <c r="Y41" s="168" t="n">
        <v>74</v>
      </c>
      <c r="Z41" s="175" t="n">
        <f aca="false">Z40-Y41</f>
        <v>6926.98361482228</v>
      </c>
      <c r="AA41" s="29" t="n">
        <f aca="false">N41+O41+P41+Q41+R41+U41+X41+Y41</f>
        <v>805</v>
      </c>
      <c r="AB41" s="537" t="n">
        <f aca="false">IF(L41&lt;0,L41*-1,0)</f>
        <v>0</v>
      </c>
      <c r="AC41" s="537" t="n">
        <f aca="false">AA41+AB41</f>
        <v>805</v>
      </c>
      <c r="AD41" s="545" t="n">
        <v>0</v>
      </c>
      <c r="AE41" s="541" t="n">
        <v>84</v>
      </c>
      <c r="AF41" s="546" t="n">
        <v>49</v>
      </c>
      <c r="AG41" s="218" t="n">
        <f aca="false">AG40</f>
        <v>0</v>
      </c>
      <c r="AH41" s="333"/>
      <c r="AI41" s="240" t="n">
        <f aca="false">I41-P41-Q41-U41</f>
        <v>-191.5145</v>
      </c>
      <c r="AJ41" s="37" t="n">
        <f aca="false">23.5*(V40*1.9835-U41*1.9835)/E41</f>
        <v>3.78611302893306</v>
      </c>
      <c r="AK41" s="536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1.25" hidden="false" customHeight="true" outlineLevel="0" collapsed="false">
      <c r="A42" s="538" t="n">
        <v>31</v>
      </c>
      <c r="B42" s="539" t="n">
        <v>6883.69</v>
      </c>
      <c r="C42" s="540" t="n">
        <v>227530</v>
      </c>
      <c r="D42" s="541" t="n">
        <f aca="false">C42-C41</f>
        <v>-1198</v>
      </c>
      <c r="E42" s="540" t="n">
        <f aca="false">C42-152000</f>
        <v>75530</v>
      </c>
      <c r="F42" s="542" t="n">
        <f aca="false">D42/$D$2</f>
        <v>-603.982858583312</v>
      </c>
      <c r="G42" s="537" t="n">
        <v>204</v>
      </c>
      <c r="H42" s="547" t="n">
        <v>0</v>
      </c>
      <c r="I42" s="537" t="n">
        <f aca="false">G42+H42</f>
        <v>204</v>
      </c>
      <c r="J42" s="543" t="n">
        <f aca="false">IF(L42&gt;0,L42,0)</f>
        <v>18.0171414166876</v>
      </c>
      <c r="K42" s="537" t="n">
        <f aca="false">I42+J42</f>
        <v>222.017141416688</v>
      </c>
      <c r="L42" s="537" t="n">
        <f aca="false">F42-(I42-AA42)</f>
        <v>18.0171414166876</v>
      </c>
      <c r="M42" s="544" t="n">
        <v>265</v>
      </c>
      <c r="N42" s="548" t="n">
        <v>0</v>
      </c>
      <c r="O42" s="537" t="n">
        <f aca="false">63.43*1.05</f>
        <v>66.6015</v>
      </c>
      <c r="P42" s="177" t="n">
        <v>2.21</v>
      </c>
      <c r="Q42" s="533" t="n">
        <v>4.2</v>
      </c>
      <c r="R42" s="534" t="n">
        <v>3.19</v>
      </c>
      <c r="S42" s="537" t="n">
        <v>166</v>
      </c>
      <c r="T42" s="537" t="n">
        <v>72</v>
      </c>
      <c r="U42" s="168" t="n">
        <f aca="false">M42-N42-O42-P42-Q42-R42+S42+T42</f>
        <v>426.7985</v>
      </c>
      <c r="V42" s="175" t="n">
        <f aca="false">V41+AI42-(AJ42/1.9835)+AK42</f>
        <v>6202.88981581916</v>
      </c>
      <c r="W42" s="175"/>
      <c r="X42" s="537" t="n">
        <v>248</v>
      </c>
      <c r="Y42" s="168" t="n">
        <v>75</v>
      </c>
      <c r="Z42" s="175" t="n">
        <f aca="false">Z41-Y42</f>
        <v>6851.98361482228</v>
      </c>
      <c r="AA42" s="29" t="n">
        <f aca="false">N42+O42+P42+Q42+R42+U42+X42+Y42</f>
        <v>826</v>
      </c>
      <c r="AB42" s="537" t="n">
        <f aca="false">IF(L42&lt;0,L42*-1,0)</f>
        <v>0</v>
      </c>
      <c r="AC42" s="537" t="n">
        <f aca="false">AA42+AB42</f>
        <v>826</v>
      </c>
      <c r="AD42" s="545" t="n">
        <v>0</v>
      </c>
      <c r="AE42" s="541" t="n">
        <v>84</v>
      </c>
      <c r="AF42" s="546" t="n">
        <v>49</v>
      </c>
      <c r="AG42" s="218" t="n">
        <f aca="false">AG41</f>
        <v>0</v>
      </c>
      <c r="AH42" s="333"/>
      <c r="AI42" s="240" t="n">
        <f aca="false">I42-P42-Q42-U42</f>
        <v>-229.2085</v>
      </c>
      <c r="AJ42" s="37" t="n">
        <f aca="false">23.5*(V41*1.9835-U42*1.9835)/E42</f>
        <v>3.70723760656257</v>
      </c>
      <c r="AK42" s="536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3" hidden="false" customHeight="true" outlineLevel="0" collapsed="false">
      <c r="A43" s="227"/>
      <c r="B43" s="549"/>
      <c r="C43" s="519"/>
      <c r="D43" s="355"/>
      <c r="E43" s="519"/>
      <c r="F43" s="520"/>
      <c r="G43" s="355"/>
      <c r="H43" s="521"/>
      <c r="I43" s="355"/>
      <c r="J43" s="355"/>
      <c r="K43" s="355"/>
      <c r="L43" s="355"/>
      <c r="M43" s="522"/>
      <c r="N43" s="355"/>
      <c r="O43" s="355"/>
      <c r="P43" s="523"/>
      <c r="Q43" s="523"/>
      <c r="R43" s="524"/>
      <c r="S43" s="355"/>
      <c r="T43" s="355"/>
      <c r="U43" s="355"/>
      <c r="V43" s="519"/>
      <c r="W43" s="519"/>
      <c r="X43" s="355"/>
      <c r="Y43" s="355"/>
      <c r="Z43" s="355"/>
      <c r="AA43" s="355"/>
      <c r="AB43" s="355"/>
      <c r="AC43" s="355"/>
      <c r="AD43" s="525"/>
      <c r="AE43" s="526"/>
      <c r="AF43" s="527"/>
      <c r="AG43" s="528"/>
      <c r="AH43" s="528"/>
      <c r="AI43" s="528"/>
      <c r="AJ43" s="529"/>
      <c r="AK43" s="530"/>
    </row>
    <row r="44" customFormat="false" ht="11.1" hidden="false" customHeight="true" outlineLevel="0" collapsed="false">
      <c r="A44" s="154" t="s">
        <v>69</v>
      </c>
      <c r="B44" s="512"/>
      <c r="C44" s="175"/>
      <c r="D44" s="175"/>
      <c r="E44" s="175"/>
      <c r="F44" s="513" t="n">
        <f aca="false">SUM(F12:F42)</f>
        <v>-15143.937484245</v>
      </c>
      <c r="G44" s="175" t="n">
        <f aca="false">SUM(G12:G42)</f>
        <v>7422</v>
      </c>
      <c r="H44" s="175" t="n">
        <f aca="false">SUM(H12:H42)</f>
        <v>0</v>
      </c>
      <c r="I44" s="175" t="n">
        <f aca="false">SUM(I12:I42)</f>
        <v>7422</v>
      </c>
      <c r="J44" s="175" t="n">
        <f aca="false">SUM(J12:J42)</f>
        <v>397.389715149987</v>
      </c>
      <c r="K44" s="175" t="n">
        <f aca="false">SUM(K12:K42)</f>
        <v>7819.38971514999</v>
      </c>
      <c r="L44" s="175" t="n">
        <f aca="false">SUM(L12:L42)</f>
        <v>-1000.93748424502</v>
      </c>
      <c r="M44" s="514" t="n">
        <f aca="false">SUM(M12:M42)</f>
        <v>6946</v>
      </c>
      <c r="N44" s="175" t="n">
        <f aca="false">SUM(N12:N42)</f>
        <v>54.45</v>
      </c>
      <c r="O44" s="175" t="n">
        <f aca="false">SUM(O12:O42)</f>
        <v>1859.4135</v>
      </c>
      <c r="P44" s="322" t="n">
        <f aca="false">SUM(P12:P42)</f>
        <v>68.51</v>
      </c>
      <c r="Q44" s="322" t="n">
        <f aca="false">SUM(Q12:Q42)</f>
        <v>130.2</v>
      </c>
      <c r="R44" s="550" t="n">
        <f aca="false">SUM(R12:R42)</f>
        <v>79.623</v>
      </c>
      <c r="S44" s="175" t="n">
        <f aca="false">SUM(S12:S42)</f>
        <v>4188</v>
      </c>
      <c r="T44" s="175" t="n">
        <f aca="false">SUM(T12:T42)</f>
        <v>2298</v>
      </c>
      <c r="U44" s="175" t="n">
        <f aca="false">SUM(U12:U42)</f>
        <v>11239.8035</v>
      </c>
      <c r="V44" s="175"/>
      <c r="W44" s="175" t="n">
        <f aca="false">SUM(W12:W42)</f>
        <v>0</v>
      </c>
      <c r="X44" s="175" t="n">
        <f aca="false">SUM(X12:X42)</f>
        <v>5800</v>
      </c>
      <c r="Y44" s="175" t="n">
        <f aca="false">SUM(Y12:Y42)</f>
        <v>2333</v>
      </c>
      <c r="Z44" s="175"/>
      <c r="AA44" s="175" t="n">
        <f aca="false">SUM(AA12:AA42)</f>
        <v>21565</v>
      </c>
      <c r="AB44" s="175" t="n">
        <f aca="false">SUM(AB12:AB42)</f>
        <v>1398.32719939501</v>
      </c>
      <c r="AC44" s="175" t="n">
        <f aca="false">SUM(AC12:AC42)</f>
        <v>22963.327199395</v>
      </c>
      <c r="AD44" s="331" t="n">
        <f aca="false">SUM(AD12:AD42)</f>
        <v>0.68</v>
      </c>
      <c r="AE44" s="322" t="n">
        <f aca="false">AVERAGE(AE12:AE42)</f>
        <v>81.5806451612903</v>
      </c>
      <c r="AF44" s="516" t="n">
        <f aca="false">AVERAGE(AF12:AF42)</f>
        <v>51.6774193548387</v>
      </c>
      <c r="AG44" s="333" t="s">
        <v>98</v>
      </c>
      <c r="AH44" s="175" t="n">
        <f aca="false">SUM(AH12:AH42)</f>
        <v>0</v>
      </c>
      <c r="AI44" s="269"/>
      <c r="AJ44" s="177"/>
      <c r="AK44" s="333" t="n">
        <f aca="false">SUM(AK12:AK42)</f>
        <v>78</v>
      </c>
    </row>
    <row r="45" customFormat="false" ht="11.1" hidden="false" customHeight="true" outlineLevel="0" collapsed="false">
      <c r="A45" s="154" t="s">
        <v>71</v>
      </c>
      <c r="B45" s="512"/>
      <c r="C45" s="175"/>
      <c r="D45" s="175" t="n">
        <f aca="false">SUM(D12:D42)</f>
        <v>-30038</v>
      </c>
      <c r="E45" s="175"/>
      <c r="F45" s="513" t="n">
        <f aca="false">F44*$D$2</f>
        <v>-30038</v>
      </c>
      <c r="G45" s="175" t="n">
        <f aca="false">G44*$D$2</f>
        <v>14721.537</v>
      </c>
      <c r="H45" s="175" t="n">
        <f aca="false">H44*$D$2</f>
        <v>0</v>
      </c>
      <c r="I45" s="175" t="n">
        <f aca="false">I44*$D$2</f>
        <v>14721.537</v>
      </c>
      <c r="J45" s="175" t="n">
        <f aca="false">J44*$D$2</f>
        <v>788.2225</v>
      </c>
      <c r="K45" s="175" t="n">
        <f aca="false">K44*$D$2</f>
        <v>15509.7595</v>
      </c>
      <c r="L45" s="175" t="n">
        <f aca="false">L44*$D$2</f>
        <v>-1985.3595</v>
      </c>
      <c r="M45" s="514" t="n">
        <f aca="false">M44*$D$2</f>
        <v>13777.391</v>
      </c>
      <c r="N45" s="175" t="n">
        <f aca="false">N44*$D$2</f>
        <v>108.001575</v>
      </c>
      <c r="O45" s="175" t="n">
        <f aca="false">O44*$D$2</f>
        <v>3688.14667725</v>
      </c>
      <c r="P45" s="322" t="n">
        <f aca="false">P44*$D$2</f>
        <v>135.889585</v>
      </c>
      <c r="Q45" s="322" t="n">
        <f aca="false">Q44*$D$2</f>
        <v>258.2517</v>
      </c>
      <c r="R45" s="550" t="n">
        <f aca="false">R44*$D$2</f>
        <v>157.9322205</v>
      </c>
      <c r="S45" s="175" t="n">
        <f aca="false">S44*$D$2</f>
        <v>8306.898</v>
      </c>
      <c r="T45" s="175" t="n">
        <f aca="false">T44*$D$2</f>
        <v>4558.083</v>
      </c>
      <c r="U45" s="175" t="n">
        <f aca="false">U44*$D$2</f>
        <v>22294.15024225</v>
      </c>
      <c r="V45" s="175"/>
      <c r="W45" s="175" t="n">
        <f aca="false">W44*$D$2</f>
        <v>0</v>
      </c>
      <c r="X45" s="175" t="n">
        <f aca="false">X44*$D$2</f>
        <v>11504.3</v>
      </c>
      <c r="Y45" s="175" t="n">
        <f aca="false">Y44*$D$2</f>
        <v>4627.5055</v>
      </c>
      <c r="Z45" s="175"/>
      <c r="AA45" s="175" t="n">
        <f aca="false">AA44*$D$2</f>
        <v>42774.1775</v>
      </c>
      <c r="AB45" s="175" t="n">
        <f aca="false">AB44*$D$2</f>
        <v>2773.582</v>
      </c>
      <c r="AC45" s="175" t="n">
        <f aca="false">AC44*$D$2</f>
        <v>45547.7595</v>
      </c>
      <c r="AD45" s="331"/>
      <c r="AE45" s="322" t="n">
        <f aca="false">MAX(AE12:AE42)</f>
        <v>89</v>
      </c>
      <c r="AF45" s="516" t="n">
        <f aca="false">MAX(AF12:AF42)</f>
        <v>57</v>
      </c>
      <c r="AG45" s="333" t="s">
        <v>72</v>
      </c>
      <c r="AH45" s="175" t="n">
        <f aca="false">AH44*$D$2</f>
        <v>0</v>
      </c>
      <c r="AI45" s="269"/>
      <c r="AJ45" s="177" t="n">
        <f aca="false">SUM(AJ12:AJ42)</f>
        <v>127.339764856495</v>
      </c>
      <c r="AK45" s="333" t="n">
        <f aca="false">AK44*$D$2</f>
        <v>154.713</v>
      </c>
    </row>
    <row r="46" customFormat="false" ht="3" hidden="false" customHeight="true" outlineLevel="0" collapsed="false">
      <c r="A46" s="247"/>
      <c r="B46" s="549"/>
      <c r="C46" s="519"/>
      <c r="D46" s="519"/>
      <c r="E46" s="519"/>
      <c r="F46" s="551"/>
      <c r="G46" s="519"/>
      <c r="H46" s="519"/>
      <c r="I46" s="519"/>
      <c r="J46" s="519"/>
      <c r="K46" s="519"/>
      <c r="L46" s="519"/>
      <c r="M46" s="552"/>
      <c r="N46" s="519"/>
      <c r="O46" s="519"/>
      <c r="P46" s="526"/>
      <c r="Q46" s="526"/>
      <c r="R46" s="553"/>
      <c r="S46" s="519"/>
      <c r="T46" s="519"/>
      <c r="U46" s="519"/>
      <c r="V46" s="519"/>
      <c r="W46" s="519"/>
      <c r="X46" s="519"/>
      <c r="Y46" s="519"/>
      <c r="Z46" s="355"/>
      <c r="AA46" s="519"/>
      <c r="AB46" s="519"/>
      <c r="AC46" s="519"/>
      <c r="AD46" s="554"/>
      <c r="AE46" s="519"/>
      <c r="AF46" s="551"/>
      <c r="AG46" s="519"/>
      <c r="AH46" s="519"/>
      <c r="AI46" s="555"/>
      <c r="AJ46" s="523"/>
      <c r="AK46" s="528"/>
    </row>
    <row r="47" customFormat="false" ht="11.1" hidden="false" customHeight="true" outlineLevel="0" collapsed="false">
      <c r="A47" s="154" t="s">
        <v>73</v>
      </c>
      <c r="B47" s="512"/>
      <c r="C47" s="175"/>
      <c r="D47" s="175"/>
      <c r="E47" s="175"/>
      <c r="F47" s="513" t="n">
        <f aca="false">F9+F44</f>
        <v>19501.3864381145</v>
      </c>
      <c r="G47" s="175" t="n">
        <f aca="false">G9+G44</f>
        <v>100834</v>
      </c>
      <c r="H47" s="175" t="n">
        <f aca="false">H9+H44</f>
        <v>1957.56</v>
      </c>
      <c r="I47" s="175" t="n">
        <f aca="false">I9+I44</f>
        <v>102791.56</v>
      </c>
      <c r="J47" s="175" t="n">
        <f aca="false">J9+J44</f>
        <v>8987.76581799849</v>
      </c>
      <c r="K47" s="175" t="n">
        <f aca="false">K9+K44</f>
        <v>111779.325817998</v>
      </c>
      <c r="L47" s="175" t="n">
        <f aca="false">L9+L44</f>
        <v>5282.02643811444</v>
      </c>
      <c r="M47" s="514" t="n">
        <f aca="false">M9+M44</f>
        <v>33817.2</v>
      </c>
      <c r="N47" s="175" t="n">
        <f aca="false">N9+N44</f>
        <v>102.85</v>
      </c>
      <c r="O47" s="175" t="n">
        <f aca="false">O9+O44</f>
        <v>10568.9955</v>
      </c>
      <c r="P47" s="322"/>
      <c r="Q47" s="322"/>
      <c r="R47" s="550"/>
      <c r="S47" s="175" t="n">
        <f aca="false">S9+S44</f>
        <v>14780</v>
      </c>
      <c r="T47" s="175" t="n">
        <f aca="false">T9+T44</f>
        <v>8742.7</v>
      </c>
      <c r="U47" s="175" t="n">
        <f aca="false">U9+U44</f>
        <v>45440.1265</v>
      </c>
      <c r="V47" s="540" t="n">
        <f aca="false">V42</f>
        <v>6202.88981581916</v>
      </c>
      <c r="W47" s="175" t="n">
        <f aca="false">W9+W44</f>
        <v>0</v>
      </c>
      <c r="X47" s="175" t="n">
        <f aca="false">X9+X44</f>
        <v>22389.3</v>
      </c>
      <c r="Y47" s="175"/>
      <c r="Z47" s="540"/>
      <c r="AA47" s="175" t="n">
        <f aca="false">AA9+AA44</f>
        <v>88572.2</v>
      </c>
      <c r="AB47" s="175" t="n">
        <f aca="false">AB9+AB44</f>
        <v>3705.73937988404</v>
      </c>
      <c r="AC47" s="175" t="n">
        <f aca="false">AC9+AC44</f>
        <v>92277.939379884</v>
      </c>
      <c r="AD47" s="331"/>
      <c r="AE47" s="322" t="n">
        <f aca="false">MIN(AE12:AE42)</f>
        <v>71</v>
      </c>
      <c r="AF47" s="516" t="n">
        <f aca="false">MIN(AF12:AF42)</f>
        <v>44</v>
      </c>
      <c r="AG47" s="333" t="s">
        <v>74</v>
      </c>
      <c r="AH47" s="333"/>
      <c r="AI47" s="269"/>
      <c r="AJ47" s="177"/>
      <c r="AK47" s="333" t="n">
        <f aca="false">AK9+AK44</f>
        <v>917.06</v>
      </c>
    </row>
    <row r="48" customFormat="false" ht="11.1" hidden="false" customHeight="true" outlineLevel="0" collapsed="false">
      <c r="A48" s="154" t="s">
        <v>75</v>
      </c>
      <c r="B48" s="512"/>
      <c r="C48" s="175"/>
      <c r="D48" s="175"/>
      <c r="E48" s="175"/>
      <c r="F48" s="513" t="n">
        <f aca="false">F47*$D$2</f>
        <v>38681</v>
      </c>
      <c r="G48" s="175" t="n">
        <f aca="false">G47*$D$2</f>
        <v>200004.239</v>
      </c>
      <c r="H48" s="175" t="n">
        <f aca="false">H47*$D$2</f>
        <v>3882.82026</v>
      </c>
      <c r="I48" s="175" t="n">
        <f aca="false">I47*$D$2</f>
        <v>203887.05926</v>
      </c>
      <c r="J48" s="175" t="n">
        <f aca="false">J47*$D$2</f>
        <v>17827.2335</v>
      </c>
      <c r="K48" s="175" t="n">
        <f aca="false">K47*$D$2</f>
        <v>221714.29276</v>
      </c>
      <c r="L48" s="175" t="n">
        <f aca="false">L47*$D$2</f>
        <v>10476.89944</v>
      </c>
      <c r="M48" s="514" t="n">
        <f aca="false">M47*$D$2</f>
        <v>67076.4162</v>
      </c>
      <c r="N48" s="175" t="n">
        <f aca="false">N47*$D$2</f>
        <v>204.002975</v>
      </c>
      <c r="O48" s="175" t="n">
        <f aca="false">O47*$D$2</f>
        <v>20963.60257425</v>
      </c>
      <c r="P48" s="322"/>
      <c r="Q48" s="322"/>
      <c r="R48" s="550"/>
      <c r="S48" s="175" t="n">
        <f aca="false">S47*$D$2</f>
        <v>29316.13</v>
      </c>
      <c r="T48" s="175" t="n">
        <f aca="false">T47*$D$2</f>
        <v>17341.14545</v>
      </c>
      <c r="U48" s="175" t="n">
        <f aca="false">U47*$D$2</f>
        <v>90130.49091275</v>
      </c>
      <c r="V48" s="175" t="n">
        <f aca="false">V47*$D$2</f>
        <v>12303.4319496773</v>
      </c>
      <c r="W48" s="175" t="n">
        <f aca="false">W47*$D$2</f>
        <v>0</v>
      </c>
      <c r="X48" s="175" t="n">
        <f aca="false">X47*$D$2</f>
        <v>44409.17655</v>
      </c>
      <c r="Y48" s="175"/>
      <c r="Z48" s="175"/>
      <c r="AA48" s="175" t="n">
        <f aca="false">AA47*$D$2</f>
        <v>175682.9587</v>
      </c>
      <c r="AB48" s="175" t="n">
        <f aca="false">AB47*$D$2</f>
        <v>7350.33406</v>
      </c>
      <c r="AC48" s="175" t="n">
        <f aca="false">AC47*$D$2</f>
        <v>183033.29276</v>
      </c>
      <c r="AD48" s="331"/>
      <c r="AE48" s="322"/>
      <c r="AF48" s="516"/>
      <c r="AG48" s="333"/>
      <c r="AH48" s="333"/>
      <c r="AI48" s="269"/>
      <c r="AJ48" s="177" t="n">
        <f aca="false">AJ9+AJ45</f>
        <v>1078.7764278227</v>
      </c>
      <c r="AK48" s="333" t="n">
        <f aca="false">AK47*$D$2</f>
        <v>1818.98851</v>
      </c>
    </row>
    <row r="49" customFormat="false" ht="3" hidden="false" customHeight="true" outlineLevel="0" collapsed="false">
      <c r="A49" s="247"/>
      <c r="B49" s="549"/>
      <c r="C49" s="519"/>
      <c r="D49" s="519"/>
      <c r="E49" s="519"/>
      <c r="F49" s="551"/>
      <c r="G49" s="519"/>
      <c r="H49" s="526"/>
      <c r="I49" s="519"/>
      <c r="J49" s="519"/>
      <c r="K49" s="519"/>
      <c r="L49" s="519"/>
      <c r="M49" s="552"/>
      <c r="N49" s="519"/>
      <c r="O49" s="519"/>
      <c r="P49" s="526"/>
      <c r="Q49" s="526"/>
      <c r="R49" s="553"/>
      <c r="S49" s="519"/>
      <c r="T49" s="519"/>
      <c r="U49" s="519"/>
      <c r="V49" s="519"/>
      <c r="W49" s="519"/>
      <c r="X49" s="519"/>
      <c r="Y49" s="519"/>
      <c r="Z49" s="519"/>
      <c r="AA49" s="519"/>
      <c r="AB49" s="519"/>
      <c r="AC49" s="519"/>
      <c r="AD49" s="525"/>
      <c r="AE49" s="556"/>
      <c r="AF49" s="557"/>
      <c r="AG49" s="556"/>
      <c r="AH49" s="556"/>
      <c r="AI49" s="558"/>
      <c r="AJ49" s="523"/>
      <c r="AK49" s="528"/>
    </row>
    <row r="50" customFormat="false" ht="11.1" hidden="false" customHeight="true" outlineLevel="0" collapsed="false">
      <c r="A50" s="154" t="s">
        <v>76</v>
      </c>
      <c r="B50" s="512"/>
      <c r="C50" s="175"/>
      <c r="D50" s="175"/>
      <c r="E50" s="175"/>
      <c r="F50" s="513" t="n">
        <f aca="false">F10+F44</f>
        <v>27016.3851777162</v>
      </c>
      <c r="G50" s="175" t="n">
        <f aca="false">G10+G44</f>
        <v>114962</v>
      </c>
      <c r="H50" s="322" t="n">
        <f aca="false">H10+H44</f>
        <v>2261.16</v>
      </c>
      <c r="I50" s="175" t="n">
        <f aca="false">I10+I44</f>
        <v>117223.16</v>
      </c>
      <c r="J50" s="175" t="n">
        <f aca="false">J10+J44</f>
        <v>14625.368965213</v>
      </c>
      <c r="K50" s="175" t="n">
        <f aca="false">K10+K44</f>
        <v>131848.528965213</v>
      </c>
      <c r="L50" s="175" t="n">
        <f aca="false">L10+L44</f>
        <v>10694.8801777162</v>
      </c>
      <c r="M50" s="514" t="n">
        <f aca="false">M10+M44</f>
        <v>34792.6</v>
      </c>
      <c r="N50" s="175" t="n">
        <f aca="false">N10+N44</f>
        <v>102.85</v>
      </c>
      <c r="O50" s="175" t="n">
        <f aca="false">O10+O44</f>
        <v>10568.9955</v>
      </c>
      <c r="P50" s="322" t="n">
        <f aca="false">P10+P44</f>
        <v>530.294</v>
      </c>
      <c r="Q50" s="322" t="n">
        <f aca="false">Q10+Q44</f>
        <v>999.884</v>
      </c>
      <c r="R50" s="550" t="n">
        <f aca="false">R10+R44</f>
        <v>343.203</v>
      </c>
      <c r="S50" s="175" t="n">
        <f aca="false">S10+S44</f>
        <v>22760.2</v>
      </c>
      <c r="T50" s="175" t="n">
        <f aca="false">T10+T44</f>
        <v>8878.7</v>
      </c>
      <c r="U50" s="175" t="n">
        <f aca="false">U10+U44</f>
        <v>53880.20399</v>
      </c>
      <c r="V50" s="175"/>
      <c r="W50" s="175" t="n">
        <f aca="false">W10+W44</f>
        <v>0</v>
      </c>
      <c r="X50" s="175" t="n">
        <f aca="false">X10+X44</f>
        <v>22389.3</v>
      </c>
      <c r="Y50" s="175" t="n">
        <f aca="false">Y10+Y44</f>
        <v>12049</v>
      </c>
      <c r="Z50" s="175" t="n">
        <f aca="false">Z42</f>
        <v>6851.98361482228</v>
      </c>
      <c r="AA50" s="175" t="n">
        <f aca="false">AA10+AA44</f>
        <v>100901.655</v>
      </c>
      <c r="AB50" s="175" t="n">
        <f aca="false">AB10+AB44</f>
        <v>3930.48878749685</v>
      </c>
      <c r="AC50" s="175" t="n">
        <f aca="false">AC10+AC44</f>
        <v>104832.143787497</v>
      </c>
      <c r="AD50" s="331" t="n">
        <f aca="false">AD10+AD44</f>
        <v>11.84</v>
      </c>
      <c r="AE50" s="322"/>
      <c r="AF50" s="516"/>
      <c r="AG50" s="333"/>
      <c r="AH50" s="175" t="n">
        <f aca="false">AH10+AH44</f>
        <v>346.51</v>
      </c>
      <c r="AI50" s="269"/>
      <c r="AJ50" s="177"/>
      <c r="AK50" s="322" t="n">
        <f aca="false">AK10+AK44</f>
        <v>917.06</v>
      </c>
    </row>
    <row r="51" customFormat="false" ht="11.1" hidden="false" customHeight="true" outlineLevel="0" collapsed="false">
      <c r="A51" s="154" t="s">
        <v>77</v>
      </c>
      <c r="B51" s="512"/>
      <c r="C51" s="175"/>
      <c r="D51" s="175" t="n">
        <f aca="false">D10+D45</f>
        <v>53587</v>
      </c>
      <c r="E51" s="175" t="n">
        <f aca="false">E42</f>
        <v>75530</v>
      </c>
      <c r="F51" s="513" t="n">
        <f aca="false">F50*$D$2</f>
        <v>53587</v>
      </c>
      <c r="G51" s="175" t="n">
        <f aca="false">G50*$D$2</f>
        <v>228027.127</v>
      </c>
      <c r="H51" s="322" t="n">
        <f aca="false">H50*$D$2</f>
        <v>4485.01086</v>
      </c>
      <c r="I51" s="175" t="n">
        <f aca="false">I50*$D$2</f>
        <v>232512.13786</v>
      </c>
      <c r="J51" s="175" t="n">
        <f aca="false">J50*$D$2</f>
        <v>29009.4193425</v>
      </c>
      <c r="K51" s="175" t="n">
        <f aca="false">K50*$D$2</f>
        <v>261521.5572025</v>
      </c>
      <c r="L51" s="175" t="n">
        <f aca="false">L50*$D$2</f>
        <v>21213.2948325</v>
      </c>
      <c r="M51" s="514" t="n">
        <f aca="false">M50*$D$2</f>
        <v>69011.1221</v>
      </c>
      <c r="N51" s="175" t="n">
        <f aca="false">N50*$D$2</f>
        <v>204.002975</v>
      </c>
      <c r="O51" s="175" t="n">
        <f aca="false">O50*$D$2</f>
        <v>20963.60257425</v>
      </c>
      <c r="P51" s="322" t="n">
        <f aca="false">P50*$D$2</f>
        <v>1051.838149</v>
      </c>
      <c r="Q51" s="322" t="n">
        <f aca="false">Q50*$D$2</f>
        <v>1983.269914</v>
      </c>
      <c r="R51" s="559" t="n">
        <f aca="false">R50*$D$2</f>
        <v>680.7431505</v>
      </c>
      <c r="S51" s="175" t="n">
        <f aca="false">S50*$D$2</f>
        <v>45144.8567</v>
      </c>
      <c r="T51" s="175" t="n">
        <f aca="false">T50*$D$2</f>
        <v>17610.90145</v>
      </c>
      <c r="U51" s="175" t="n">
        <f aca="false">U50*$D$2</f>
        <v>106871.384614165</v>
      </c>
      <c r="V51" s="175"/>
      <c r="W51" s="175" t="n">
        <f aca="false">W50*$D$2</f>
        <v>0</v>
      </c>
      <c r="X51" s="175" t="n">
        <f aca="false">X50*$D$2</f>
        <v>44409.17655</v>
      </c>
      <c r="Y51" s="175" t="n">
        <f aca="false">Y50*$D$2</f>
        <v>23899.1915</v>
      </c>
      <c r="Z51" s="175" t="n">
        <f aca="false">Z50*$D$2</f>
        <v>13590.9095</v>
      </c>
      <c r="AA51" s="175" t="n">
        <f aca="false">AA50*$D$2</f>
        <v>200138.4326925</v>
      </c>
      <c r="AB51" s="175" t="n">
        <f aca="false">AB50*$D$2</f>
        <v>7796.12451</v>
      </c>
      <c r="AC51" s="175" t="n">
        <f aca="false">AC50*$D$2</f>
        <v>207934.5572025</v>
      </c>
      <c r="AD51" s="331"/>
      <c r="AE51" s="322"/>
      <c r="AF51" s="516"/>
      <c r="AG51" s="333" t="n">
        <f aca="false">AG42</f>
        <v>0</v>
      </c>
      <c r="AH51" s="175" t="n">
        <f aca="false">AH50*$D$2</f>
        <v>687.302585</v>
      </c>
      <c r="AI51" s="269"/>
      <c r="AJ51" s="177" t="n">
        <f aca="false">AJ10+AJ45</f>
        <v>1078.7764278227</v>
      </c>
      <c r="AK51" s="322" t="n">
        <f aca="false">AK50*$D$2</f>
        <v>1818.98851</v>
      </c>
    </row>
    <row r="52" customFormat="false" ht="3" hidden="false" customHeight="true" outlineLevel="0" collapsed="false">
      <c r="A52" s="227"/>
      <c r="B52" s="306"/>
      <c r="C52" s="290"/>
      <c r="D52" s="227"/>
      <c r="E52" s="290"/>
      <c r="F52" s="291"/>
      <c r="G52" s="227"/>
      <c r="H52" s="560"/>
      <c r="I52" s="227"/>
      <c r="J52" s="227"/>
      <c r="K52" s="561"/>
      <c r="L52" s="227"/>
      <c r="M52" s="501"/>
      <c r="N52" s="227"/>
      <c r="O52" s="227"/>
      <c r="P52" s="562"/>
      <c r="Q52" s="563"/>
      <c r="R52" s="562"/>
      <c r="S52" s="227"/>
      <c r="T52" s="227"/>
      <c r="U52" s="227"/>
      <c r="V52" s="290"/>
      <c r="W52" s="290"/>
      <c r="X52" s="227"/>
      <c r="Y52" s="227"/>
      <c r="Z52" s="290"/>
      <c r="AA52" s="227"/>
      <c r="AB52" s="227"/>
      <c r="AC52" s="227"/>
      <c r="AD52" s="306"/>
      <c r="AE52" s="227"/>
      <c r="AF52" s="291"/>
      <c r="AG52" s="227"/>
      <c r="AH52" s="227"/>
      <c r="AI52" s="315"/>
      <c r="AJ52" s="562"/>
      <c r="AK52" s="530"/>
    </row>
    <row r="53" customFormat="false" ht="11.1" hidden="false" customHeight="true" outlineLevel="0" collapsed="false">
      <c r="A53" s="564"/>
      <c r="B53" s="133"/>
      <c r="C53" s="9"/>
      <c r="D53" s="8"/>
      <c r="E53" s="474"/>
      <c r="F53" s="0"/>
      <c r="G53" s="0"/>
      <c r="H53" s="13"/>
      <c r="I53" s="8"/>
      <c r="J53" s="8"/>
      <c r="K53" s="475"/>
      <c r="L53" s="146"/>
      <c r="M53" s="8"/>
      <c r="N53" s="8"/>
      <c r="O53" s="8"/>
      <c r="P53" s="12"/>
      <c r="Q53" s="12"/>
      <c r="R53" s="12"/>
      <c r="S53" s="8"/>
      <c r="T53" s="8"/>
      <c r="U53" s="8"/>
      <c r="V53" s="476"/>
      <c r="W53" s="476"/>
      <c r="X53" s="8"/>
      <c r="Y53" s="8"/>
      <c r="Z53" s="474"/>
      <c r="AA53" s="474"/>
      <c r="AB53" s="145"/>
      <c r="AC53" s="145"/>
      <c r="AD53" s="150"/>
      <c r="AE53" s="152"/>
      <c r="AF53" s="152"/>
      <c r="AG53" s="153"/>
      <c r="AH53" s="153"/>
      <c r="AI53" s="262"/>
      <c r="AJ53" s="565"/>
      <c r="AK53" s="508"/>
    </row>
    <row r="54" customFormat="false" ht="11.1" hidden="false" customHeight="true" outlineLevel="0" collapsed="false">
      <c r="A54" s="145"/>
      <c r="B54" s="566"/>
      <c r="C54" s="9"/>
      <c r="D54" s="134"/>
      <c r="E54" s="453"/>
      <c r="F54" s="477"/>
      <c r="G54" s="0"/>
      <c r="H54" s="13"/>
      <c r="I54" s="10"/>
      <c r="J54" s="8"/>
      <c r="K54" s="135"/>
      <c r="L54" s="149"/>
      <c r="M54" s="8" t="s">
        <v>108</v>
      </c>
      <c r="N54" s="8"/>
      <c r="O54" s="9" t="n">
        <f aca="false">O8-O51</f>
        <v>3533.39742575</v>
      </c>
      <c r="P54" s="12"/>
      <c r="Q54" s="366"/>
      <c r="R54" s="366"/>
      <c r="S54" s="478"/>
      <c r="T54" s="114"/>
      <c r="U54" s="479"/>
      <c r="V54" s="146"/>
      <c r="W54" s="204"/>
      <c r="X54" s="36"/>
      <c r="Y54" s="8"/>
      <c r="Z54" s="9"/>
      <c r="AA54" s="9"/>
      <c r="AB54" s="145"/>
      <c r="AC54" s="150"/>
      <c r="AD54" s="152"/>
      <c r="AE54" s="152"/>
      <c r="AF54" s="152"/>
      <c r="AG54" s="567"/>
      <c r="AH54" s="567"/>
      <c r="AI54" s="262"/>
      <c r="AJ54" s="565"/>
      <c r="AK54" s="508"/>
    </row>
    <row r="55" customFormat="false" ht="11.1" hidden="false" customHeight="true" outlineLevel="0" collapsed="false">
      <c r="A55" s="257"/>
      <c r="B55" s="146"/>
      <c r="E55" s="453"/>
      <c r="F55" s="454"/>
      <c r="G55" s="0"/>
      <c r="H55" s="13"/>
      <c r="I55" s="134"/>
      <c r="J55" s="134"/>
      <c r="K55" s="480"/>
      <c r="L55" s="457"/>
      <c r="M55" s="112"/>
      <c r="N55" s="112"/>
      <c r="O55" s="453"/>
      <c r="P55" s="568"/>
      <c r="Q55" s="366"/>
      <c r="R55" s="366"/>
      <c r="S55" s="478"/>
      <c r="T55" s="114"/>
      <c r="U55" s="83"/>
      <c r="V55" s="146"/>
      <c r="W55" s="146"/>
      <c r="X55" s="146"/>
      <c r="Y55" s="9"/>
      <c r="Z55" s="478"/>
      <c r="AA55" s="478"/>
      <c r="AB55" s="257"/>
      <c r="AC55" s="150"/>
      <c r="AD55" s="152"/>
      <c r="AE55" s="152"/>
      <c r="AF55" s="153"/>
      <c r="AG55" s="316"/>
      <c r="AH55" s="316"/>
      <c r="AI55" s="317"/>
      <c r="AJ55" s="141"/>
      <c r="AK55" s="508"/>
    </row>
    <row r="56" customFormat="false" ht="11.1" hidden="false" customHeight="true" outlineLevel="0" collapsed="false">
      <c r="A56" s="257"/>
      <c r="B56" s="257"/>
      <c r="C56" s="146"/>
      <c r="D56" s="146"/>
      <c r="E56" s="453"/>
      <c r="F56" s="0"/>
      <c r="G56" s="0"/>
      <c r="H56" s="146"/>
      <c r="I56" s="0"/>
      <c r="J56" s="134"/>
      <c r="K56" s="480"/>
      <c r="L56" s="152"/>
      <c r="M56" s="112"/>
      <c r="N56" s="112"/>
      <c r="O56" s="152"/>
      <c r="P56" s="150"/>
      <c r="Q56" s="366"/>
      <c r="R56" s="366"/>
      <c r="S56" s="425"/>
      <c r="T56" s="425"/>
      <c r="U56" s="83"/>
      <c r="V56" s="152"/>
      <c r="W56" s="152"/>
      <c r="X56" s="146"/>
      <c r="Y56" s="9"/>
      <c r="Z56" s="146"/>
      <c r="AA56" s="146"/>
      <c r="AB56" s="257"/>
      <c r="AC56" s="456"/>
      <c r="AD56" s="152"/>
      <c r="AE56" s="152"/>
      <c r="AF56" s="153"/>
      <c r="AG56" s="316"/>
      <c r="AH56" s="316"/>
      <c r="AI56" s="317"/>
      <c r="AJ56" s="141"/>
      <c r="AK56" s="508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147"/>
      <c r="I57" s="257"/>
      <c r="J57" s="257"/>
      <c r="K57" s="257"/>
      <c r="L57" s="257"/>
      <c r="M57" s="149"/>
      <c r="N57" s="149"/>
      <c r="O57" s="149"/>
      <c r="P57" s="150"/>
      <c r="Q57" s="150"/>
      <c r="R57" s="150"/>
      <c r="S57" s="257"/>
      <c r="T57" s="257"/>
      <c r="U57" s="0"/>
      <c r="V57" s="146"/>
      <c r="W57" s="146"/>
      <c r="Y57" s="146"/>
      <c r="Z57" s="257"/>
      <c r="AA57" s="257"/>
      <c r="AB57" s="257"/>
      <c r="AC57" s="150"/>
      <c r="AD57" s="151"/>
      <c r="AE57" s="152"/>
      <c r="AF57" s="153"/>
      <c r="AG57" s="316"/>
      <c r="AH57" s="316"/>
      <c r="AI57" s="317"/>
      <c r="AJ57" s="141"/>
      <c r="AK57" s="508"/>
    </row>
    <row r="58" customFormat="false" ht="11.1" hidden="false" customHeight="true" outlineLevel="0" collapsed="false">
      <c r="P58" s="141"/>
      <c r="Q58" s="141"/>
      <c r="R58" s="141"/>
      <c r="S58" s="569"/>
      <c r="T58" s="137"/>
      <c r="U58" s="146"/>
      <c r="V58" s="146"/>
      <c r="W58" s="146"/>
      <c r="Y58" s="138"/>
      <c r="AA58" s="137"/>
      <c r="AB58" s="137"/>
      <c r="AC58" s="141"/>
      <c r="AD58" s="139"/>
      <c r="AE58" s="142"/>
      <c r="AF58" s="143"/>
      <c r="AG58" s="570"/>
      <c r="AH58" s="570"/>
      <c r="AI58" s="144"/>
      <c r="AJ58" s="141"/>
      <c r="AK58" s="508"/>
    </row>
    <row r="59" customFormat="false" ht="11.1" hidden="false" customHeight="true" outlineLevel="0" collapsed="false">
      <c r="P59" s="141"/>
      <c r="Q59" s="141"/>
      <c r="R59" s="141"/>
      <c r="S59" s="569"/>
      <c r="T59" s="137"/>
      <c r="U59" s="146"/>
      <c r="V59" s="146"/>
      <c r="W59" s="146"/>
      <c r="Y59" s="138"/>
      <c r="AA59" s="137"/>
      <c r="AB59" s="137"/>
      <c r="AC59" s="141"/>
      <c r="AD59" s="139"/>
      <c r="AE59" s="142"/>
      <c r="AF59" s="143"/>
      <c r="AG59" s="137"/>
      <c r="AH59" s="137"/>
      <c r="AI59" s="144"/>
      <c r="AJ59" s="141"/>
      <c r="AK59" s="508"/>
    </row>
    <row r="60" customFormat="false" ht="11.1" hidden="false" customHeight="true" outlineLevel="0" collapsed="false">
      <c r="T60" s="146"/>
      <c r="U60" s="146"/>
    </row>
  </sheetData>
  <mergeCells count="3">
    <mergeCell ref="K2:U2"/>
    <mergeCell ref="V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K12" activePane="bottomRight" state="frozen"/>
      <selection pane="topLeft" activeCell="A1" activeCellId="0" sqref="A1"/>
      <selection pane="topRight" activeCell="K1" activeCellId="0" sqref="K1"/>
      <selection pane="bottomLeft" activeCell="A12" activeCellId="0" sqref="A12"/>
      <selection pane="bottomRight" activeCell="G21" activeCellId="0" sqref="G21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506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8" min="16" style="141" width="4.32"/>
    <col collapsed="false" customWidth="true" hidden="false" outlineLevel="0" max="19" min="19" style="137" width="5.49"/>
    <col collapsed="false" customWidth="true" hidden="false" outlineLevel="0" max="20" min="20" style="138" width="5.49"/>
    <col collapsed="false" customWidth="true" hidden="false" outlineLevel="0" max="21" min="21" style="137" width="6.32"/>
    <col collapsed="false" customWidth="true" hidden="false" outlineLevel="0" max="22" min="22" style="137" width="5.49"/>
    <col collapsed="false" customWidth="true" hidden="false" outlineLevel="0" max="23" min="23" style="138" width="5.49"/>
    <col collapsed="false" customWidth="true" hidden="false" outlineLevel="0" max="26" min="24" style="137" width="5.49"/>
    <col collapsed="false" customWidth="true" hidden="false" outlineLevel="0" max="27" min="27" style="141" width="6.32"/>
    <col collapsed="false" customWidth="true" hidden="false" outlineLevel="0" max="28" min="28" style="139" width="6.99"/>
    <col collapsed="false" customWidth="true" hidden="false" outlineLevel="0" max="29" min="29" style="142" width="6.99"/>
    <col collapsed="false" customWidth="true" hidden="false" outlineLevel="0" max="30" min="30" style="143" width="5.32"/>
    <col collapsed="false" customWidth="true" hidden="false" outlineLevel="0" max="31" min="31" style="137" width="3.82"/>
    <col collapsed="false" customWidth="true" hidden="false" outlineLevel="0" max="32" min="32" style="141" width="3.82"/>
    <col collapsed="false" customWidth="true" hidden="false" outlineLevel="0" max="34" min="33" style="137" width="5.49"/>
    <col collapsed="false" customWidth="true" hidden="false" outlineLevel="0" max="35" min="35" style="140" width="6.32"/>
    <col collapsed="false" customWidth="true" hidden="false" outlineLevel="0" max="36" min="36" style="141" width="6.32"/>
    <col collapsed="false" customWidth="true" hidden="false" outlineLevel="0" max="37" min="37" style="137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147"/>
      <c r="I1" s="145"/>
      <c r="J1" s="145"/>
      <c r="K1" s="148" t="s">
        <v>0</v>
      </c>
      <c r="L1" s="145"/>
      <c r="M1" s="145"/>
      <c r="N1" s="145"/>
      <c r="O1" s="145"/>
      <c r="P1" s="150"/>
      <c r="Q1" s="150"/>
      <c r="R1" s="150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1"/>
      <c r="AE1" s="152"/>
      <c r="AF1" s="153"/>
      <c r="AG1" s="261"/>
      <c r="AH1" s="261"/>
      <c r="AI1" s="505"/>
      <c r="AJ1" s="426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147"/>
      <c r="I2" s="145"/>
      <c r="J2" s="145"/>
      <c r="K2" s="156" t="s">
        <v>109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1"/>
      <c r="AE2" s="152"/>
      <c r="AF2" s="153"/>
      <c r="AG2" s="261"/>
      <c r="AH2" s="261"/>
      <c r="AI2" s="505"/>
      <c r="AJ2" s="426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160"/>
      <c r="I3" s="157"/>
      <c r="J3" s="157"/>
      <c r="K3" s="157"/>
      <c r="L3" s="157"/>
      <c r="M3" s="157"/>
      <c r="N3" s="157"/>
      <c r="O3" s="157"/>
      <c r="P3" s="162"/>
      <c r="Q3" s="162"/>
      <c r="R3" s="162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3"/>
      <c r="AE3" s="164"/>
      <c r="AF3" s="165"/>
      <c r="AG3" s="264"/>
      <c r="AH3" s="264"/>
      <c r="AI3" s="571"/>
      <c r="AJ3" s="572"/>
      <c r="AK3" s="167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173"/>
      <c r="I4" s="168"/>
      <c r="J4" s="168"/>
      <c r="K4" s="168"/>
      <c r="L4" s="168"/>
      <c r="M4" s="168"/>
      <c r="N4" s="168"/>
      <c r="O4" s="168"/>
      <c r="P4" s="177"/>
      <c r="Q4" s="177"/>
      <c r="R4" s="177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168"/>
      <c r="AH4" s="168"/>
      <c r="AI4" s="511" t="s">
        <v>6</v>
      </c>
      <c r="AJ4" s="511"/>
      <c r="AK4" s="508"/>
    </row>
    <row r="5" s="490" customFormat="true" ht="11.1" hidden="false" customHeight="true" outlineLevel="0" collapsed="false">
      <c r="A5" s="209" t="s">
        <v>7</v>
      </c>
      <c r="B5" s="432" t="s">
        <v>8</v>
      </c>
      <c r="C5" s="205" t="s">
        <v>8</v>
      </c>
      <c r="D5" s="209" t="s">
        <v>9</v>
      </c>
      <c r="E5" s="205" t="s">
        <v>10</v>
      </c>
      <c r="F5" s="487" t="s">
        <v>11</v>
      </c>
      <c r="G5" s="209" t="s">
        <v>12</v>
      </c>
      <c r="H5" s="211" t="s">
        <v>13</v>
      </c>
      <c r="I5" s="209" t="s">
        <v>14</v>
      </c>
      <c r="J5" s="209" t="s">
        <v>15</v>
      </c>
      <c r="K5" s="209" t="s">
        <v>16</v>
      </c>
      <c r="L5" s="209" t="s">
        <v>15</v>
      </c>
      <c r="M5" s="190" t="s">
        <v>17</v>
      </c>
      <c r="N5" s="190"/>
      <c r="O5" s="190"/>
      <c r="P5" s="190"/>
      <c r="Q5" s="190"/>
      <c r="R5" s="190"/>
      <c r="S5" s="386" t="s">
        <v>18</v>
      </c>
      <c r="T5" s="386" t="s">
        <v>19</v>
      </c>
      <c r="U5" s="386" t="s">
        <v>16</v>
      </c>
      <c r="V5" s="73" t="s">
        <v>20</v>
      </c>
      <c r="W5" s="205" t="s">
        <v>20</v>
      </c>
      <c r="X5" s="386" t="s">
        <v>21</v>
      </c>
      <c r="Y5" s="386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489" t="s">
        <v>24</v>
      </c>
      <c r="AE5" s="201" t="s">
        <v>25</v>
      </c>
      <c r="AF5" s="325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61" t="s">
        <v>28</v>
      </c>
    </row>
    <row r="6" s="490" customFormat="true" ht="11.1" hidden="false" customHeight="true" outlineLevel="0" collapsed="false">
      <c r="A6" s="436" t="s">
        <v>110</v>
      </c>
      <c r="B6" s="432" t="s">
        <v>30</v>
      </c>
      <c r="C6" s="205" t="s">
        <v>9</v>
      </c>
      <c r="D6" s="209" t="s">
        <v>31</v>
      </c>
      <c r="E6" s="205" t="s">
        <v>32</v>
      </c>
      <c r="F6" s="487" t="s">
        <v>33</v>
      </c>
      <c r="G6" s="209" t="s">
        <v>34</v>
      </c>
      <c r="H6" s="211" t="s">
        <v>35</v>
      </c>
      <c r="I6" s="209" t="s">
        <v>36</v>
      </c>
      <c r="J6" s="209" t="s">
        <v>36</v>
      </c>
      <c r="K6" s="209" t="s">
        <v>36</v>
      </c>
      <c r="L6" s="209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9" t="s">
        <v>42</v>
      </c>
      <c r="R6" s="210" t="s">
        <v>43</v>
      </c>
      <c r="S6" s="386" t="s">
        <v>44</v>
      </c>
      <c r="T6" s="386" t="s">
        <v>45</v>
      </c>
      <c r="U6" s="386" t="s">
        <v>20</v>
      </c>
      <c r="V6" s="73" t="s">
        <v>83</v>
      </c>
      <c r="W6" s="205" t="s">
        <v>65</v>
      </c>
      <c r="X6" s="386" t="s">
        <v>48</v>
      </c>
      <c r="Y6" s="386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491"/>
      <c r="AE6" s="201" t="s">
        <v>52</v>
      </c>
      <c r="AF6" s="325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61" t="s">
        <v>56</v>
      </c>
    </row>
    <row r="7" s="490" customFormat="true" ht="11.1" hidden="false" customHeight="true" outlineLevel="0" collapsed="false">
      <c r="A7" s="209"/>
      <c r="B7" s="432"/>
      <c r="C7" s="205"/>
      <c r="D7" s="209"/>
      <c r="E7" s="205" t="s">
        <v>57</v>
      </c>
      <c r="F7" s="487"/>
      <c r="G7" s="209"/>
      <c r="H7" s="211"/>
      <c r="I7" s="209"/>
      <c r="J7" s="209"/>
      <c r="K7" s="209"/>
      <c r="L7" s="209"/>
      <c r="M7" s="437"/>
      <c r="N7" s="209" t="s">
        <v>58</v>
      </c>
      <c r="O7" s="209" t="s">
        <v>59</v>
      </c>
      <c r="P7" s="209"/>
      <c r="Q7" s="209"/>
      <c r="R7" s="210" t="s">
        <v>40</v>
      </c>
      <c r="S7" s="386"/>
      <c r="T7" s="386"/>
      <c r="U7" s="386"/>
      <c r="V7" s="73" t="s">
        <v>60</v>
      </c>
      <c r="W7" s="73"/>
      <c r="X7" s="386"/>
      <c r="Y7" s="386"/>
      <c r="Z7" s="73"/>
      <c r="AA7" s="386"/>
      <c r="AB7" s="386"/>
      <c r="AC7" s="386"/>
      <c r="AD7" s="491"/>
      <c r="AE7" s="201"/>
      <c r="AF7" s="325"/>
      <c r="AG7" s="61" t="s">
        <v>57</v>
      </c>
      <c r="AH7" s="61" t="s">
        <v>61</v>
      </c>
      <c r="AI7" s="62" t="s">
        <v>97</v>
      </c>
      <c r="AJ7" s="62" t="s">
        <v>84</v>
      </c>
      <c r="AK7" s="61" t="s">
        <v>64</v>
      </c>
    </row>
    <row r="8" s="490" customFormat="true" ht="11.1" hidden="false" customHeight="true" outlineLevel="0" collapsed="false">
      <c r="A8" s="209"/>
      <c r="B8" s="432"/>
      <c r="C8" s="205"/>
      <c r="D8" s="209"/>
      <c r="E8" s="205"/>
      <c r="F8" s="487"/>
      <c r="G8" s="209"/>
      <c r="H8" s="211"/>
      <c r="I8" s="209"/>
      <c r="J8" s="209"/>
      <c r="K8" s="209"/>
      <c r="L8" s="209"/>
      <c r="M8" s="437"/>
      <c r="N8" s="209"/>
      <c r="O8" s="209"/>
      <c r="P8" s="209"/>
      <c r="Q8" s="209"/>
      <c r="R8" s="210" t="s">
        <v>65</v>
      </c>
      <c r="S8" s="209"/>
      <c r="T8" s="209"/>
      <c r="U8" s="209"/>
      <c r="V8" s="205"/>
      <c r="W8" s="205" t="n">
        <v>12412</v>
      </c>
      <c r="X8" s="209"/>
      <c r="Y8" s="209"/>
      <c r="Z8" s="205"/>
      <c r="AA8" s="209"/>
      <c r="AB8" s="209"/>
      <c r="AC8" s="209"/>
      <c r="AD8" s="491"/>
      <c r="AE8" s="201"/>
      <c r="AF8" s="325"/>
      <c r="AG8" s="61"/>
      <c r="AH8" s="61"/>
      <c r="AI8" s="62"/>
      <c r="AJ8" s="62" t="s">
        <v>61</v>
      </c>
      <c r="AK8" s="492"/>
    </row>
    <row r="9" customFormat="false" ht="11.1" hidden="false" customHeight="true" outlineLevel="0" collapsed="false">
      <c r="A9" s="154" t="s">
        <v>67</v>
      </c>
      <c r="B9" s="573"/>
      <c r="C9" s="574"/>
      <c r="D9" s="575"/>
      <c r="E9" s="575"/>
      <c r="F9" s="576" t="n">
        <f aca="false">AUG!F47</f>
        <v>19501.3864381145</v>
      </c>
      <c r="G9" s="575" t="n">
        <f aca="false">AUG!G47</f>
        <v>100834</v>
      </c>
      <c r="H9" s="575" t="n">
        <f aca="false">AUG!H47</f>
        <v>1957.56</v>
      </c>
      <c r="I9" s="575" t="n">
        <f aca="false">AUG!I47</f>
        <v>102791.56</v>
      </c>
      <c r="J9" s="575" t="n">
        <f aca="false">AUG!J47</f>
        <v>8987.76581799849</v>
      </c>
      <c r="K9" s="575" t="n">
        <f aca="false">AUG!K47</f>
        <v>111779.325817998</v>
      </c>
      <c r="L9" s="575" t="n">
        <f aca="false">AUG!L47</f>
        <v>5282.02643811444</v>
      </c>
      <c r="M9" s="577" t="n">
        <f aca="false">AUG!M47</f>
        <v>33817.2</v>
      </c>
      <c r="N9" s="575" t="n">
        <f aca="false">AUG!N47</f>
        <v>102.85</v>
      </c>
      <c r="O9" s="575" t="n">
        <f aca="false">AUG!O47</f>
        <v>10568.9955</v>
      </c>
      <c r="P9" s="578"/>
      <c r="Q9" s="578"/>
      <c r="R9" s="579"/>
      <c r="S9" s="575" t="n">
        <f aca="false">AUG!S47</f>
        <v>14780</v>
      </c>
      <c r="T9" s="575" t="n">
        <f aca="false">AUG!T47</f>
        <v>8742.7</v>
      </c>
      <c r="U9" s="575" t="n">
        <f aca="false">AUG!U47</f>
        <v>45440.1265</v>
      </c>
      <c r="V9" s="575" t="n">
        <f aca="false">AUG!V47</f>
        <v>6202.88981581916</v>
      </c>
      <c r="W9" s="575" t="n">
        <f aca="false">W8/D2</f>
        <v>6257.62540962944</v>
      </c>
      <c r="X9" s="575" t="n">
        <f aca="false">AUG!X47</f>
        <v>22389.3</v>
      </c>
      <c r="Y9" s="575"/>
      <c r="Z9" s="575"/>
      <c r="AA9" s="575" t="n">
        <f aca="false">AUG!AA47</f>
        <v>88572.2</v>
      </c>
      <c r="AB9" s="575" t="n">
        <f aca="false">AUG!AB47</f>
        <v>3705.73937988404</v>
      </c>
      <c r="AC9" s="575" t="n">
        <f aca="false">AUG!AC47</f>
        <v>92277.939379884</v>
      </c>
      <c r="AD9" s="580"/>
      <c r="AE9" s="581"/>
      <c r="AF9" s="582"/>
      <c r="AG9" s="581"/>
      <c r="AH9" s="218"/>
      <c r="AI9" s="221"/>
      <c r="AJ9" s="341" t="n">
        <f aca="false">AUG!AJ48</f>
        <v>1078.7764278227</v>
      </c>
      <c r="AK9" s="218" t="n">
        <f aca="false">AUG!AK47</f>
        <v>917.06</v>
      </c>
    </row>
    <row r="10" s="138" customFormat="true" ht="11.1" hidden="false" customHeight="true" outlineLevel="0" collapsed="false">
      <c r="A10" s="225" t="s">
        <v>68</v>
      </c>
      <c r="B10" s="583" t="n">
        <f aca="false">AUG!B42</f>
        <v>6883.69</v>
      </c>
      <c r="C10" s="575" t="n">
        <f aca="false">AUG!C42</f>
        <v>227530</v>
      </c>
      <c r="D10" s="575" t="n">
        <f aca="false">AUG!D51</f>
        <v>53587</v>
      </c>
      <c r="E10" s="575" t="n">
        <f aca="false">AUG!E51</f>
        <v>75530</v>
      </c>
      <c r="F10" s="576" t="n">
        <f aca="false">AUG!F50</f>
        <v>27016.3851777162</v>
      </c>
      <c r="G10" s="575" t="n">
        <f aca="false">AUG!G50</f>
        <v>114962</v>
      </c>
      <c r="H10" s="575" t="n">
        <f aca="false">AUG!H50</f>
        <v>2261.16</v>
      </c>
      <c r="I10" s="575" t="n">
        <f aca="false">AUG!I50</f>
        <v>117223.16</v>
      </c>
      <c r="J10" s="575" t="n">
        <f aca="false">AUG!J50</f>
        <v>14625.368965213</v>
      </c>
      <c r="K10" s="575" t="n">
        <f aca="false">AUG!K50</f>
        <v>131848.528965213</v>
      </c>
      <c r="L10" s="575" t="n">
        <f aca="false">AUG!L50</f>
        <v>10694.8801777162</v>
      </c>
      <c r="M10" s="577" t="n">
        <f aca="false">AUG!M50</f>
        <v>34792.6</v>
      </c>
      <c r="N10" s="575" t="n">
        <f aca="false">AUG!N50</f>
        <v>102.85</v>
      </c>
      <c r="O10" s="575" t="n">
        <f aca="false">AUG!O50</f>
        <v>10568.9955</v>
      </c>
      <c r="P10" s="581" t="n">
        <f aca="false">AUG!P50</f>
        <v>530.294</v>
      </c>
      <c r="Q10" s="581" t="n">
        <f aca="false">AUG!Q50</f>
        <v>999.884</v>
      </c>
      <c r="R10" s="584" t="n">
        <f aca="false">AUG!R50</f>
        <v>343.203</v>
      </c>
      <c r="S10" s="575" t="n">
        <f aca="false">AUG!S50</f>
        <v>22760.2</v>
      </c>
      <c r="T10" s="575" t="n">
        <f aca="false">AUG!T50</f>
        <v>8878.7</v>
      </c>
      <c r="U10" s="575" t="n">
        <f aca="false">AUG!U50</f>
        <v>53880.20399</v>
      </c>
      <c r="V10" s="575"/>
      <c r="W10" s="575" t="n">
        <f aca="false">AUG!W50</f>
        <v>0</v>
      </c>
      <c r="X10" s="575" t="n">
        <f aca="false">AUG!X50</f>
        <v>22389.3</v>
      </c>
      <c r="Y10" s="575" t="n">
        <f aca="false">AUG!Y50</f>
        <v>12049</v>
      </c>
      <c r="Z10" s="575" t="n">
        <f aca="false">AUG!Z50</f>
        <v>6851.98361482228</v>
      </c>
      <c r="AA10" s="575" t="n">
        <f aca="false">AUG!AA50</f>
        <v>100901.655</v>
      </c>
      <c r="AB10" s="575" t="n">
        <f aca="false">AUG!AB50</f>
        <v>3930.48878749685</v>
      </c>
      <c r="AC10" s="575" t="n">
        <f aca="false">AUG!AC50</f>
        <v>104832.143787497</v>
      </c>
      <c r="AD10" s="580" t="n">
        <f aca="false">AUG!AD50</f>
        <v>11.84</v>
      </c>
      <c r="AE10" s="581"/>
      <c r="AF10" s="582"/>
      <c r="AG10" s="218" t="n">
        <f aca="false">AUG!AG51</f>
        <v>0</v>
      </c>
      <c r="AH10" s="218" t="n">
        <f aca="false">AUG!AH50</f>
        <v>346.51</v>
      </c>
      <c r="AI10" s="221"/>
      <c r="AJ10" s="341" t="n">
        <f aca="false">AUG!AJ51</f>
        <v>1078.7764278227</v>
      </c>
      <c r="AK10" s="581" t="n">
        <f aca="false">AUG!AK50</f>
        <v>917.06</v>
      </c>
    </row>
    <row r="11" customFormat="false" ht="3" hidden="false" customHeight="true" outlineLevel="0" collapsed="false">
      <c r="A11" s="227"/>
      <c r="B11" s="585"/>
      <c r="C11" s="586"/>
      <c r="D11" s="502"/>
      <c r="E11" s="586"/>
      <c r="F11" s="587"/>
      <c r="G11" s="502"/>
      <c r="H11" s="588"/>
      <c r="I11" s="502"/>
      <c r="J11" s="502"/>
      <c r="K11" s="502"/>
      <c r="L11" s="502"/>
      <c r="M11" s="589"/>
      <c r="N11" s="502"/>
      <c r="O11" s="502"/>
      <c r="P11" s="590"/>
      <c r="Q11" s="590"/>
      <c r="R11" s="591"/>
      <c r="S11" s="502"/>
      <c r="T11" s="502"/>
      <c r="U11" s="502"/>
      <c r="V11" s="586"/>
      <c r="W11" s="586"/>
      <c r="X11" s="502"/>
      <c r="Y11" s="502"/>
      <c r="Z11" s="586"/>
      <c r="AA11" s="502"/>
      <c r="AB11" s="502"/>
      <c r="AC11" s="502"/>
      <c r="AD11" s="592"/>
      <c r="AE11" s="504" t="n">
        <v>0</v>
      </c>
      <c r="AF11" s="593"/>
      <c r="AG11" s="504"/>
      <c r="AH11" s="237"/>
      <c r="AI11" s="235"/>
      <c r="AJ11" s="441" t="s">
        <v>111</v>
      </c>
      <c r="AK11" s="441" t="s">
        <v>111</v>
      </c>
    </row>
    <row r="12" customFormat="false" ht="11.1" hidden="false" customHeight="true" outlineLevel="0" collapsed="false">
      <c r="A12" s="153" t="n">
        <v>1</v>
      </c>
      <c r="B12" s="583" t="n">
        <v>6883.2</v>
      </c>
      <c r="C12" s="575" t="n">
        <v>225988</v>
      </c>
      <c r="D12" s="581" t="n">
        <f aca="false">C12-C10</f>
        <v>-1542</v>
      </c>
      <c r="E12" s="575" t="n">
        <f aca="false">C12-151978</f>
        <v>74010</v>
      </c>
      <c r="F12" s="594" t="n">
        <f aca="false">D12/$D$2</f>
        <v>-777.413662717419</v>
      </c>
      <c r="G12" s="595" t="n">
        <v>201</v>
      </c>
      <c r="H12" s="596" t="n">
        <v>0</v>
      </c>
      <c r="I12" s="595" t="n">
        <f aca="false">G12+H12</f>
        <v>201</v>
      </c>
      <c r="J12" s="597" t="n">
        <f aca="false">IF(L12&gt;0,L12,0)</f>
        <v>0</v>
      </c>
      <c r="K12" s="595" t="n">
        <f aca="false">I12+J12</f>
        <v>201</v>
      </c>
      <c r="L12" s="595" t="n">
        <f aca="false">F12-(I12-AA12)</f>
        <v>-125.413662717419</v>
      </c>
      <c r="M12" s="598" t="n">
        <v>267</v>
      </c>
      <c r="N12" s="599" t="n">
        <v>0</v>
      </c>
      <c r="O12" s="595" t="n">
        <f aca="false">77.22*1.05</f>
        <v>81.081</v>
      </c>
      <c r="P12" s="578" t="n">
        <v>1.78</v>
      </c>
      <c r="Q12" s="600" t="n">
        <v>4.2</v>
      </c>
      <c r="R12" s="601" t="n">
        <v>1.48</v>
      </c>
      <c r="S12" s="595" t="n">
        <v>167</v>
      </c>
      <c r="T12" s="595" t="n">
        <v>75</v>
      </c>
      <c r="U12" s="595" t="n">
        <f aca="false">M12-N12-O12-P12-Q12-R12+S12+T12</f>
        <v>420.459</v>
      </c>
      <c r="V12" s="575" t="n">
        <f aca="false">V9+AI12-(AJ12/1.9835)</f>
        <v>5975.61475144716</v>
      </c>
      <c r="W12" s="575"/>
      <c r="X12" s="595" t="n">
        <v>268</v>
      </c>
      <c r="Y12" s="595" t="n">
        <v>76</v>
      </c>
      <c r="Z12" s="575" t="n">
        <f aca="false">Z10-Y12</f>
        <v>6775.98361482228</v>
      </c>
      <c r="AA12" s="602" t="n">
        <f aca="false">N12+O12+P12+Q12+R12+U12+X12+Y12</f>
        <v>853</v>
      </c>
      <c r="AB12" s="595" t="n">
        <f aca="false">IF(L12&lt;0,L12*-1,0)</f>
        <v>125.413662717419</v>
      </c>
      <c r="AC12" s="595" t="n">
        <f aca="false">AA12+AB12</f>
        <v>978.413662717419</v>
      </c>
      <c r="AD12" s="580" t="n">
        <v>0</v>
      </c>
      <c r="AE12" s="581" t="n">
        <v>82</v>
      </c>
      <c r="AF12" s="582" t="n">
        <v>50</v>
      </c>
      <c r="AG12" s="581" t="n">
        <f aca="false">AG10</f>
        <v>0</v>
      </c>
      <c r="AH12" s="218"/>
      <c r="AI12" s="221" t="n">
        <f aca="false">I12-P12-Q12-U12</f>
        <v>-225.439</v>
      </c>
      <c r="AJ12" s="341" t="n">
        <f aca="false">23.5*(V9*1.9835-U12*1.9835)/E12</f>
        <v>3.64183368186281</v>
      </c>
      <c r="AK12" s="216"/>
    </row>
    <row r="13" customFormat="false" ht="11.1" hidden="false" customHeight="true" outlineLevel="0" collapsed="false">
      <c r="A13" s="153" t="n">
        <v>2</v>
      </c>
      <c r="B13" s="583" t="n">
        <v>6882.75</v>
      </c>
      <c r="C13" s="575" t="n">
        <v>224582</v>
      </c>
      <c r="D13" s="581" t="n">
        <f aca="false">C13-C12</f>
        <v>-1406</v>
      </c>
      <c r="E13" s="575" t="n">
        <f aca="false">C13-151978</f>
        <v>72604</v>
      </c>
      <c r="F13" s="594" t="n">
        <f aca="false">D13/$D$2</f>
        <v>-708.847995966725</v>
      </c>
      <c r="G13" s="595" t="n">
        <v>193</v>
      </c>
      <c r="H13" s="596" t="n">
        <v>0</v>
      </c>
      <c r="I13" s="595" t="n">
        <f aca="false">G13+H13</f>
        <v>193</v>
      </c>
      <c r="J13" s="597" t="n">
        <f aca="false">IF(L13&gt;0,L13,0)</f>
        <v>0</v>
      </c>
      <c r="K13" s="595" t="n">
        <f aca="false">I13+J13</f>
        <v>193</v>
      </c>
      <c r="L13" s="595" t="n">
        <f aca="false">F13-(I13-AA13)</f>
        <v>-43.8479959667254</v>
      </c>
      <c r="M13" s="598" t="n">
        <v>275</v>
      </c>
      <c r="N13" s="599" t="n">
        <v>0</v>
      </c>
      <c r="O13" s="595" t="n">
        <f aca="false">73.8*1.05</f>
        <v>77.49</v>
      </c>
      <c r="P13" s="578" t="n">
        <v>1.78</v>
      </c>
      <c r="Q13" s="600" t="n">
        <v>4.2</v>
      </c>
      <c r="R13" s="601" t="n">
        <v>2.18</v>
      </c>
      <c r="S13" s="595" t="n">
        <v>167</v>
      </c>
      <c r="T13" s="595" t="n">
        <v>74</v>
      </c>
      <c r="U13" s="595" t="n">
        <f aca="false">M13-N13-O13-P13-Q13-R13+S13+T13</f>
        <v>430.35</v>
      </c>
      <c r="V13" s="575" t="n">
        <f aca="false">V12+AI13-(AJ13/1.9835)</f>
        <v>5730.48989549351</v>
      </c>
      <c r="W13" s="575"/>
      <c r="X13" s="595" t="n">
        <v>266</v>
      </c>
      <c r="Y13" s="595" t="n">
        <v>76</v>
      </c>
      <c r="Z13" s="575" t="n">
        <f aca="false">Z12-Y13</f>
        <v>6699.98361482228</v>
      </c>
      <c r="AA13" s="602" t="n">
        <f aca="false">N13+O13+P13+Q13+R13+U13+X13+Y13</f>
        <v>858</v>
      </c>
      <c r="AB13" s="595" t="n">
        <f aca="false">IF(L13&lt;0,L13*-1,0)</f>
        <v>43.8479959667254</v>
      </c>
      <c r="AC13" s="595" t="n">
        <f aca="false">AA13+AB13</f>
        <v>901.847995966725</v>
      </c>
      <c r="AD13" s="580" t="n">
        <v>0</v>
      </c>
      <c r="AE13" s="581" t="n">
        <v>83</v>
      </c>
      <c r="AF13" s="582" t="n">
        <v>51</v>
      </c>
      <c r="AG13" s="581" t="n">
        <f aca="false">AG12</f>
        <v>0</v>
      </c>
      <c r="AH13" s="218"/>
      <c r="AI13" s="221" t="n">
        <f aca="false">(I13-P13-Q13)-(U13)</f>
        <v>-243.33</v>
      </c>
      <c r="AJ13" s="341" t="n">
        <f aca="false">23.5*(V12*1.9835-U13*1.9835)/E13</f>
        <v>3.56009678407034</v>
      </c>
      <c r="AK13" s="216"/>
    </row>
    <row r="14" customFormat="false" ht="11.1" hidden="false" customHeight="true" outlineLevel="0" collapsed="false">
      <c r="A14" s="153" t="n">
        <v>3</v>
      </c>
      <c r="B14" s="583" t="n">
        <v>6882.41</v>
      </c>
      <c r="C14" s="575" t="n">
        <v>223526</v>
      </c>
      <c r="D14" s="581" t="n">
        <f aca="false">C14-C13</f>
        <v>-1056</v>
      </c>
      <c r="E14" s="575" t="n">
        <f aca="false">C14-151978</f>
        <v>71548</v>
      </c>
      <c r="F14" s="594" t="n">
        <f aca="false">D14/$D$2</f>
        <v>-532.392235946559</v>
      </c>
      <c r="G14" s="595" t="n">
        <v>193</v>
      </c>
      <c r="H14" s="596" t="n">
        <v>0</v>
      </c>
      <c r="I14" s="595" t="n">
        <f aca="false">G14+H14</f>
        <v>193</v>
      </c>
      <c r="J14" s="597" t="n">
        <f aca="false">IF(L14&gt;0,L14,0)</f>
        <v>15.6077640534409</v>
      </c>
      <c r="K14" s="595" t="n">
        <f aca="false">I14+J14</f>
        <v>208.607764053441</v>
      </c>
      <c r="L14" s="595" t="n">
        <f aca="false">F14-(I14-AA14)</f>
        <v>15.6077640534409</v>
      </c>
      <c r="M14" s="598" t="n">
        <v>217</v>
      </c>
      <c r="N14" s="599" t="n">
        <v>0</v>
      </c>
      <c r="O14" s="595" t="n">
        <f aca="false">34.2*1.05</f>
        <v>35.91</v>
      </c>
      <c r="P14" s="578" t="n">
        <v>1.78</v>
      </c>
      <c r="Q14" s="600" t="n">
        <v>4.2</v>
      </c>
      <c r="R14" s="601" t="n">
        <v>2.9</v>
      </c>
      <c r="S14" s="595" t="n">
        <v>165</v>
      </c>
      <c r="T14" s="595" t="n">
        <v>73</v>
      </c>
      <c r="U14" s="595" t="n">
        <f aca="false">M14-N14-O14-P14-Q14-R14+S14+T14</f>
        <v>410.21</v>
      </c>
      <c r="V14" s="575" t="n">
        <f aca="false">V13+AI14-(AJ14/1.9835)</f>
        <v>5505.55244514488</v>
      </c>
      <c r="W14" s="575"/>
      <c r="X14" s="595" t="n">
        <v>210</v>
      </c>
      <c r="Y14" s="595" t="n">
        <v>76</v>
      </c>
      <c r="Z14" s="575" t="n">
        <f aca="false">Z13-Y14</f>
        <v>6623.98361482228</v>
      </c>
      <c r="AA14" s="602" t="n">
        <f aca="false">N14+O14+P14+Q14+R14+U14+X14+Y14</f>
        <v>741</v>
      </c>
      <c r="AB14" s="595" t="n">
        <f aca="false">IF(L14&lt;0,L14*-1,0)</f>
        <v>0</v>
      </c>
      <c r="AC14" s="595" t="n">
        <f aca="false">AA14+AB14</f>
        <v>741</v>
      </c>
      <c r="AD14" s="580" t="n">
        <v>0.06</v>
      </c>
      <c r="AE14" s="581" t="n">
        <v>77</v>
      </c>
      <c r="AF14" s="582" t="n">
        <v>53</v>
      </c>
      <c r="AG14" s="581" t="n">
        <f aca="false">AG13</f>
        <v>0</v>
      </c>
      <c r="AH14" s="218"/>
      <c r="AI14" s="221" t="n">
        <f aca="false">(I14-P14-Q14)-(U14)</f>
        <v>-223.19</v>
      </c>
      <c r="AJ14" s="341" t="n">
        <f aca="false">23.5*(V13*1.9835-U14*1.9835)/E14</f>
        <v>3.46606776651643</v>
      </c>
      <c r="AK14" s="216"/>
    </row>
    <row r="15" customFormat="false" ht="11.1" hidden="false" customHeight="true" outlineLevel="0" collapsed="false">
      <c r="A15" s="153" t="n">
        <v>4</v>
      </c>
      <c r="B15" s="583" t="n">
        <v>6882.29</v>
      </c>
      <c r="C15" s="575" t="n">
        <v>223154</v>
      </c>
      <c r="D15" s="581" t="n">
        <f aca="false">C15-C14</f>
        <v>-372</v>
      </c>
      <c r="E15" s="575" t="n">
        <f aca="false">C15-151978</f>
        <v>71176</v>
      </c>
      <c r="F15" s="594" t="n">
        <f aca="false">D15/$D$2</f>
        <v>-187.54726493572</v>
      </c>
      <c r="G15" s="595" t="n">
        <v>259</v>
      </c>
      <c r="H15" s="596" t="n">
        <v>0</v>
      </c>
      <c r="I15" s="595" t="n">
        <f aca="false">G15+H15</f>
        <v>259</v>
      </c>
      <c r="J15" s="597" t="n">
        <f aca="false">IF(L15&gt;0,L15,0)</f>
        <v>152.45273506428</v>
      </c>
      <c r="K15" s="595" t="n">
        <f aca="false">I15+J15</f>
        <v>411.45273506428</v>
      </c>
      <c r="L15" s="595" t="n">
        <f aca="false">F15-(I15-AA15)</f>
        <v>152.45273506428</v>
      </c>
      <c r="M15" s="598" t="n">
        <v>180</v>
      </c>
      <c r="N15" s="599" t="n">
        <v>0</v>
      </c>
      <c r="O15" s="595" t="n">
        <f aca="false">10.58*1.05</f>
        <v>11.109</v>
      </c>
      <c r="P15" s="578" t="n">
        <v>1.78</v>
      </c>
      <c r="Q15" s="600" t="n">
        <v>4.2</v>
      </c>
      <c r="R15" s="601" t="n">
        <v>2.46</v>
      </c>
      <c r="S15" s="595" t="n">
        <v>165</v>
      </c>
      <c r="T15" s="595" t="n">
        <v>70</v>
      </c>
      <c r="U15" s="595" t="n">
        <f aca="false">M15-N15-O15-P15-Q15-R15+S15+T15</f>
        <v>395.451</v>
      </c>
      <c r="V15" s="575" t="n">
        <f aca="false">V14+AI15-(AJ15/1.9835)</f>
        <v>5361.43425586814</v>
      </c>
      <c r="W15" s="575"/>
      <c r="X15" s="595" t="n">
        <v>107</v>
      </c>
      <c r="Y15" s="595" t="n">
        <v>77</v>
      </c>
      <c r="Z15" s="575" t="n">
        <f aca="false">Z14-Y15</f>
        <v>6546.98361482228</v>
      </c>
      <c r="AA15" s="602" t="n">
        <f aca="false">N15+O15+P15+Q15+R15+U15+X15+Y15</f>
        <v>599</v>
      </c>
      <c r="AB15" s="595" t="n">
        <f aca="false">IF(L15&lt;0,L15*-1,0)</f>
        <v>0</v>
      </c>
      <c r="AC15" s="595" t="n">
        <f aca="false">AA15+AB15</f>
        <v>599</v>
      </c>
      <c r="AD15" s="580" t="n">
        <v>1.15</v>
      </c>
      <c r="AE15" s="581" t="n">
        <v>59</v>
      </c>
      <c r="AF15" s="582" t="n">
        <v>41</v>
      </c>
      <c r="AG15" s="581" t="n">
        <f aca="false">AG14</f>
        <v>0</v>
      </c>
      <c r="AH15" s="218"/>
      <c r="AI15" s="221" t="n">
        <f aca="false">(I15-P15-Q15)-(U15)</f>
        <v>-142.431</v>
      </c>
      <c r="AJ15" s="341" t="n">
        <f aca="false">23.5*(V14*1.9835-U15*1.9835)/E15</f>
        <v>3.34653993040427</v>
      </c>
      <c r="AK15" s="216"/>
    </row>
    <row r="16" customFormat="false" ht="11.1" hidden="false" customHeight="true" outlineLevel="0" collapsed="false">
      <c r="A16" s="153" t="n">
        <v>5</v>
      </c>
      <c r="B16" s="583" t="n">
        <v>6882.21</v>
      </c>
      <c r="C16" s="575" t="n">
        <v>222905</v>
      </c>
      <c r="D16" s="581" t="n">
        <f aca="false">C16-C15</f>
        <v>-249</v>
      </c>
      <c r="E16" s="575" t="n">
        <f aca="false">C16-151978</f>
        <v>70927</v>
      </c>
      <c r="F16" s="594" t="n">
        <f aca="false">D16/$D$2</f>
        <v>-125.53566927149</v>
      </c>
      <c r="G16" s="595" t="n">
        <v>332</v>
      </c>
      <c r="H16" s="596" t="n">
        <v>0</v>
      </c>
      <c r="I16" s="595" t="n">
        <f aca="false">G16+H16</f>
        <v>332</v>
      </c>
      <c r="J16" s="597" t="n">
        <f aca="false">IF(L16&gt;0,L16,0)</f>
        <v>5.46433072851021</v>
      </c>
      <c r="K16" s="595" t="n">
        <f aca="false">I16+J16</f>
        <v>337.46433072851</v>
      </c>
      <c r="L16" s="595" t="n">
        <f aca="false">F16-(I16-AA16)</f>
        <v>5.46433072851021</v>
      </c>
      <c r="M16" s="598" t="n">
        <v>120</v>
      </c>
      <c r="N16" s="599" t="n">
        <v>0</v>
      </c>
      <c r="O16" s="595" t="n">
        <f aca="false">4.56*1.05</f>
        <v>4.788</v>
      </c>
      <c r="P16" s="578" t="n">
        <v>1.78</v>
      </c>
      <c r="Q16" s="600" t="n">
        <v>4.2</v>
      </c>
      <c r="R16" s="601" t="n">
        <v>1.5</v>
      </c>
      <c r="S16" s="595" t="n">
        <v>164</v>
      </c>
      <c r="T16" s="595" t="n">
        <v>60</v>
      </c>
      <c r="U16" s="595" t="n">
        <f aca="false">M16-N16-O16-P16-Q16-R16+S16+T16</f>
        <v>331.732</v>
      </c>
      <c r="V16" s="575" t="n">
        <f aca="false">V15+AI16-(AJ16/1.9835)</f>
        <v>5354.05578184537</v>
      </c>
      <c r="W16" s="575"/>
      <c r="X16" s="595" t="n">
        <v>45</v>
      </c>
      <c r="Y16" s="595" t="n">
        <v>74</v>
      </c>
      <c r="Z16" s="575" t="n">
        <f aca="false">Z15-Y16</f>
        <v>6472.98361482228</v>
      </c>
      <c r="AA16" s="602" t="n">
        <f aca="false">N16+O16+P16+Q16+R16+U16+X16+Y16</f>
        <v>463</v>
      </c>
      <c r="AB16" s="595" t="n">
        <f aca="false">IF(L16&lt;0,L16*-1,0)</f>
        <v>0</v>
      </c>
      <c r="AC16" s="595" t="n">
        <f aca="false">AA16+AB16</f>
        <v>463</v>
      </c>
      <c r="AD16" s="580" t="n">
        <v>0</v>
      </c>
      <c r="AE16" s="581" t="n">
        <v>67</v>
      </c>
      <c r="AF16" s="582" t="n">
        <v>37</v>
      </c>
      <c r="AG16" s="581" t="n">
        <f aca="false">AG15</f>
        <v>0</v>
      </c>
      <c r="AH16" s="218"/>
      <c r="AI16" s="221" t="n">
        <f aca="false">(I16-P16-Q16)-(U16)</f>
        <v>-5.71199999999993</v>
      </c>
      <c r="AJ16" s="341" t="n">
        <f aca="false">23.5*(V15*1.9835-U16*1.9835)/E16</f>
        <v>3.30545122416132</v>
      </c>
      <c r="AK16" s="216"/>
    </row>
    <row r="17" customFormat="false" ht="11.1" hidden="false" customHeight="true" outlineLevel="0" collapsed="false">
      <c r="A17" s="153" t="n">
        <v>6</v>
      </c>
      <c r="B17" s="583" t="n">
        <v>6881.99</v>
      </c>
      <c r="C17" s="575" t="n">
        <v>222222</v>
      </c>
      <c r="D17" s="581" t="n">
        <f aca="false">C17-C16</f>
        <v>-683</v>
      </c>
      <c r="E17" s="575" t="n">
        <f aca="false">C17-151978</f>
        <v>70244</v>
      </c>
      <c r="F17" s="594" t="n">
        <f aca="false">D17/$D$2</f>
        <v>-344.340811696496</v>
      </c>
      <c r="G17" s="595" t="n">
        <v>253</v>
      </c>
      <c r="H17" s="596" t="n">
        <v>0</v>
      </c>
      <c r="I17" s="595" t="n">
        <f aca="false">G17+H17</f>
        <v>253</v>
      </c>
      <c r="J17" s="597" t="n">
        <f aca="false">IF(L17&gt;0,L17,0)</f>
        <v>0</v>
      </c>
      <c r="K17" s="595" t="n">
        <f aca="false">I17+J17</f>
        <v>253</v>
      </c>
      <c r="L17" s="595" t="n">
        <f aca="false">F17-(I17-AA17)</f>
        <v>-32.3408116964961</v>
      </c>
      <c r="M17" s="598" t="n">
        <v>164</v>
      </c>
      <c r="N17" s="599" t="n">
        <v>0</v>
      </c>
      <c r="O17" s="595" t="n">
        <v>0</v>
      </c>
      <c r="P17" s="578" t="n">
        <v>1.78</v>
      </c>
      <c r="Q17" s="600" t="n">
        <v>4.2</v>
      </c>
      <c r="R17" s="601" t="n">
        <v>1.44</v>
      </c>
      <c r="S17" s="595" t="n">
        <v>160</v>
      </c>
      <c r="T17" s="595" t="n">
        <v>58</v>
      </c>
      <c r="U17" s="595" t="n">
        <f aca="false">M17-N17-O17-P17-Q17-R17+S17+T17</f>
        <v>374.58</v>
      </c>
      <c r="V17" s="575" t="n">
        <f aca="false">V16+AI17-(AJ17/1.9835)</f>
        <v>5224.82990745221</v>
      </c>
      <c r="W17" s="575"/>
      <c r="X17" s="595" t="n">
        <v>109</v>
      </c>
      <c r="Y17" s="595" t="n">
        <v>74</v>
      </c>
      <c r="Z17" s="575" t="n">
        <f aca="false">Z16-Y17</f>
        <v>6398.98361482228</v>
      </c>
      <c r="AA17" s="602" t="n">
        <f aca="false">N17+O17+P17+Q17+R17+U17+X17+Y17</f>
        <v>565</v>
      </c>
      <c r="AB17" s="595" t="n">
        <f aca="false">IF(L17&lt;0,L17*-1,0)</f>
        <v>32.3408116964961</v>
      </c>
      <c r="AC17" s="595" t="n">
        <f aca="false">AA17+AB17</f>
        <v>597.340811696496</v>
      </c>
      <c r="AD17" s="580" t="n">
        <v>0</v>
      </c>
      <c r="AE17" s="581" t="n">
        <v>75</v>
      </c>
      <c r="AF17" s="582" t="n">
        <v>43</v>
      </c>
      <c r="AG17" s="581" t="n">
        <f aca="false">AG16</f>
        <v>0</v>
      </c>
      <c r="AH17" s="218"/>
      <c r="AI17" s="221" t="n">
        <f aca="false">(I17-P17-Q17)-(U17)</f>
        <v>-127.56</v>
      </c>
      <c r="AJ17" s="341" t="n">
        <f aca="false">23.5*(V16*1.9835-U17*1.9835)/E17</f>
        <v>3.3042618588395</v>
      </c>
      <c r="AK17" s="216"/>
    </row>
    <row r="18" customFormat="false" ht="11.1" hidden="false" customHeight="true" outlineLevel="0" collapsed="false">
      <c r="A18" s="153" t="n">
        <v>7</v>
      </c>
      <c r="B18" s="583" t="n">
        <v>6881.76</v>
      </c>
      <c r="C18" s="575" t="n">
        <v>221517</v>
      </c>
      <c r="D18" s="581" t="n">
        <f aca="false">C18-C17</f>
        <v>-705</v>
      </c>
      <c r="E18" s="575" t="n">
        <f aca="false">C18-151978</f>
        <v>69539</v>
      </c>
      <c r="F18" s="594" t="n">
        <f aca="false">D18/$D$2</f>
        <v>-355.432316612049</v>
      </c>
      <c r="G18" s="595" t="n">
        <v>229</v>
      </c>
      <c r="H18" s="596" t="n">
        <v>0</v>
      </c>
      <c r="I18" s="595" t="n">
        <f aca="false">G18+H18</f>
        <v>229</v>
      </c>
      <c r="J18" s="597" t="n">
        <f aca="false">IF(L18&gt;0,L18,0)</f>
        <v>18.5676833879506</v>
      </c>
      <c r="K18" s="595" t="n">
        <f aca="false">I18+J18</f>
        <v>247.567683387951</v>
      </c>
      <c r="L18" s="595" t="n">
        <f aca="false">F18-(I18-AA18)</f>
        <v>18.5676833879506</v>
      </c>
      <c r="M18" s="598" t="n">
        <v>187</v>
      </c>
      <c r="N18" s="599" t="n">
        <v>0</v>
      </c>
      <c r="O18" s="595" t="n">
        <f aca="false">32.17*1.05</f>
        <v>33.7785</v>
      </c>
      <c r="P18" s="578" t="n">
        <v>1.78</v>
      </c>
      <c r="Q18" s="600" t="n">
        <v>4.2</v>
      </c>
      <c r="R18" s="601" t="n">
        <v>2.7</v>
      </c>
      <c r="S18" s="595" t="n">
        <v>145</v>
      </c>
      <c r="T18" s="595" t="n">
        <v>57</v>
      </c>
      <c r="U18" s="595" t="n">
        <f aca="false">M18-N18-O18-P18-Q18-R18+S18+T18</f>
        <v>346.5415</v>
      </c>
      <c r="V18" s="575" t="n">
        <f aca="false">V17+AI18-(AJ18/1.9835)</f>
        <v>5099.65983934546</v>
      </c>
      <c r="W18" s="575"/>
      <c r="X18" s="595" t="n">
        <v>140</v>
      </c>
      <c r="Y18" s="595" t="n">
        <v>74</v>
      </c>
      <c r="Z18" s="575" t="n">
        <f aca="false">Z17-Y18</f>
        <v>6324.98361482228</v>
      </c>
      <c r="AA18" s="602" t="n">
        <f aca="false">N18+O18+P18+Q18+R18+U18+X18+Y18</f>
        <v>603</v>
      </c>
      <c r="AB18" s="595" t="n">
        <f aca="false">IF(L18&lt;0,L18*-1,0)</f>
        <v>0</v>
      </c>
      <c r="AC18" s="595" t="n">
        <f aca="false">AA18+AB18</f>
        <v>603</v>
      </c>
      <c r="AD18" s="580" t="n">
        <v>0</v>
      </c>
      <c r="AE18" s="581" t="n">
        <v>79</v>
      </c>
      <c r="AF18" s="582" t="n">
        <v>46</v>
      </c>
      <c r="AG18" s="581" t="n">
        <f aca="false">AG17</f>
        <v>0</v>
      </c>
      <c r="AH18" s="218"/>
      <c r="AI18" s="221" t="n">
        <f aca="false">(I18-P18-Q18)-(U18)</f>
        <v>-123.5215</v>
      </c>
      <c r="AJ18" s="341" t="n">
        <f aca="false">23.5*(V17*1.9835-U18*1.9835)/E18</f>
        <v>3.26993483973402</v>
      </c>
      <c r="AK18" s="216"/>
    </row>
    <row r="19" customFormat="false" ht="11.1" hidden="false" customHeight="true" outlineLevel="0" collapsed="false">
      <c r="A19" s="153" t="n">
        <v>8</v>
      </c>
      <c r="B19" s="583" t="n">
        <v>6881.46</v>
      </c>
      <c r="C19" s="575" t="n">
        <v>220598</v>
      </c>
      <c r="D19" s="581" t="n">
        <f aca="false">C19-C18</f>
        <v>-919</v>
      </c>
      <c r="E19" s="575" t="n">
        <f aca="false">C19-151978</f>
        <v>68620</v>
      </c>
      <c r="F19" s="594" t="n">
        <f aca="false">D19/$D$2</f>
        <v>-463.322409881523</v>
      </c>
      <c r="G19" s="595" t="n">
        <v>196</v>
      </c>
      <c r="H19" s="596" t="n">
        <v>0</v>
      </c>
      <c r="I19" s="595" t="n">
        <f aca="false">G19+H19</f>
        <v>196</v>
      </c>
      <c r="J19" s="597" t="n">
        <f aca="false">IF(L19&gt;0,L19,0)</f>
        <v>0</v>
      </c>
      <c r="K19" s="595" t="n">
        <f aca="false">I19+J19</f>
        <v>196</v>
      </c>
      <c r="L19" s="595" t="n">
        <f aca="false">F19-(I19-AA19)</f>
        <v>-64.3224098815226</v>
      </c>
      <c r="M19" s="598" t="n">
        <v>179</v>
      </c>
      <c r="N19" s="599" t="n">
        <v>0</v>
      </c>
      <c r="O19" s="595" t="n">
        <f aca="false">39.98*1.05</f>
        <v>41.979</v>
      </c>
      <c r="P19" s="578" t="n">
        <v>1.78</v>
      </c>
      <c r="Q19" s="600" t="n">
        <v>4.2</v>
      </c>
      <c r="R19" s="601" t="n">
        <v>0.23</v>
      </c>
      <c r="S19" s="595" t="n">
        <v>130</v>
      </c>
      <c r="T19" s="595" t="n">
        <v>59</v>
      </c>
      <c r="U19" s="595" t="n">
        <f aca="false">M19-N19-O19-P19-Q19-R19+S19+T19</f>
        <v>319.811</v>
      </c>
      <c r="V19" s="575" t="n">
        <f aca="false">V18+AI19-(AJ19/1.9835)</f>
        <v>4968.23190481144</v>
      </c>
      <c r="W19" s="575"/>
      <c r="X19" s="595" t="n">
        <v>152</v>
      </c>
      <c r="Y19" s="595" t="n">
        <v>75</v>
      </c>
      <c r="Z19" s="575" t="n">
        <f aca="false">Z18-Y19</f>
        <v>6249.98361482228</v>
      </c>
      <c r="AA19" s="602" t="n">
        <f aca="false">N19+O19+P19+Q19+R19+U19+X19+Y19</f>
        <v>595</v>
      </c>
      <c r="AB19" s="595" t="n">
        <f aca="false">IF(L19&lt;0,L19*-1,0)</f>
        <v>64.3224098815226</v>
      </c>
      <c r="AC19" s="595" t="n">
        <f aca="false">AA19+AB19</f>
        <v>659.322409881523</v>
      </c>
      <c r="AD19" s="580" t="n">
        <v>0</v>
      </c>
      <c r="AE19" s="581" t="n">
        <v>80</v>
      </c>
      <c r="AF19" s="582" t="n">
        <v>48</v>
      </c>
      <c r="AG19" s="581" t="n">
        <f aca="false">AG18</f>
        <v>0</v>
      </c>
      <c r="AH19" s="218"/>
      <c r="AI19" s="221" t="n">
        <f aca="false">(I19-P19-Q19)-(U19)</f>
        <v>-129.791</v>
      </c>
      <c r="AJ19" s="341" t="n">
        <f aca="false">23.5*(V18*1.9835-U19*1.9835)/E19</f>
        <v>3.24685964823347</v>
      </c>
      <c r="AK19" s="216"/>
    </row>
    <row r="20" customFormat="false" ht="11.1" hidden="false" customHeight="true" outlineLevel="0" collapsed="false">
      <c r="A20" s="153" t="n">
        <v>9</v>
      </c>
      <c r="B20" s="583" t="n">
        <v>6881.17</v>
      </c>
      <c r="C20" s="575" t="n">
        <v>219709</v>
      </c>
      <c r="D20" s="581" t="n">
        <f aca="false">C20-C19</f>
        <v>-889</v>
      </c>
      <c r="E20" s="575" t="n">
        <f aca="false">C20-151978</f>
        <v>67731</v>
      </c>
      <c r="F20" s="594" t="n">
        <f aca="false">D20/$D$2</f>
        <v>-448.197630451223</v>
      </c>
      <c r="G20" s="595" t="n">
        <v>198</v>
      </c>
      <c r="H20" s="596" t="n">
        <v>0</v>
      </c>
      <c r="I20" s="595" t="n">
        <f aca="false">G20+H20</f>
        <v>198</v>
      </c>
      <c r="J20" s="597" t="n">
        <f aca="false">IF(L20&gt;0,L20,0)</f>
        <v>0</v>
      </c>
      <c r="K20" s="595" t="n">
        <f aca="false">I20+J20</f>
        <v>198</v>
      </c>
      <c r="L20" s="595" t="n">
        <f aca="false">F20-(I20-AA20)</f>
        <v>-114.197630451223</v>
      </c>
      <c r="M20" s="598" t="n">
        <v>164</v>
      </c>
      <c r="N20" s="595" t="n">
        <v>0</v>
      </c>
      <c r="O20" s="595" t="n">
        <f aca="false">11.49*1.05</f>
        <v>12.0645</v>
      </c>
      <c r="P20" s="578" t="n">
        <v>1.78</v>
      </c>
      <c r="Q20" s="600" t="n">
        <v>4.12</v>
      </c>
      <c r="R20" s="601" t="n">
        <v>0</v>
      </c>
      <c r="S20" s="595" t="n">
        <v>124</v>
      </c>
      <c r="T20" s="595" t="n">
        <v>60</v>
      </c>
      <c r="U20" s="595" t="n">
        <f aca="false">M20-N20-O20-P20-Q20-R20+S20+T20</f>
        <v>330.0355</v>
      </c>
      <c r="V20" s="575" t="n">
        <f aca="false">V19+AI20-(AJ20/1.9835)</f>
        <v>4828.57262323782</v>
      </c>
      <c r="W20" s="575"/>
      <c r="X20" s="595" t="n">
        <v>118</v>
      </c>
      <c r="Y20" s="595" t="n">
        <v>66</v>
      </c>
      <c r="Z20" s="575" t="n">
        <f aca="false">Z19-Y20</f>
        <v>6183.98361482228</v>
      </c>
      <c r="AA20" s="602" t="n">
        <f aca="false">N20+O20+P20+Q20+R20+U20+X20+Y20</f>
        <v>532</v>
      </c>
      <c r="AB20" s="595" t="n">
        <f aca="false">IF(L20&lt;0,L20*-1,0)</f>
        <v>114.197630451223</v>
      </c>
      <c r="AC20" s="595" t="n">
        <f aca="false">AA20+AB20</f>
        <v>646.197630451223</v>
      </c>
      <c r="AD20" s="580" t="n">
        <v>0</v>
      </c>
      <c r="AE20" s="581" t="n">
        <v>82</v>
      </c>
      <c r="AF20" s="582" t="n">
        <v>50</v>
      </c>
      <c r="AG20" s="581" t="n">
        <f aca="false">AG19</f>
        <v>0</v>
      </c>
      <c r="AH20" s="218"/>
      <c r="AI20" s="221" t="n">
        <f aca="false">(I20-P20-Q20)-(U20)</f>
        <v>-137.9355</v>
      </c>
      <c r="AJ20" s="341" t="n">
        <f aca="false">23.5*(V19*1.9835)/E20</f>
        <v>3.4191207512815</v>
      </c>
      <c r="AK20" s="216"/>
    </row>
    <row r="21" customFormat="false" ht="11.1" hidden="false" customHeight="true" outlineLevel="0" collapsed="false">
      <c r="A21" s="153" t="n">
        <v>10</v>
      </c>
      <c r="B21" s="583" t="n">
        <v>6880.94</v>
      </c>
      <c r="C21" s="575" t="n">
        <v>219007</v>
      </c>
      <c r="D21" s="581" t="n">
        <f aca="false">C21-C20</f>
        <v>-702</v>
      </c>
      <c r="E21" s="575" t="n">
        <f aca="false">C21-151978</f>
        <v>67029</v>
      </c>
      <c r="F21" s="594" t="n">
        <f aca="false">D21/$D$2</f>
        <v>-353.919838669019</v>
      </c>
      <c r="G21" s="595" t="n">
        <v>216</v>
      </c>
      <c r="H21" s="596" t="n">
        <v>0</v>
      </c>
      <c r="I21" s="595" t="n">
        <f aca="false">G21+H21</f>
        <v>216</v>
      </c>
      <c r="J21" s="597" t="n">
        <f aca="false">IF(L21&gt;0,L21,0)</f>
        <v>0</v>
      </c>
      <c r="K21" s="595" t="n">
        <f aca="false">I21+J21</f>
        <v>216</v>
      </c>
      <c r="L21" s="595" t="n">
        <f aca="false">F21-(I21-AA21)</f>
        <v>-4.91983866901938</v>
      </c>
      <c r="M21" s="598" t="n">
        <v>164</v>
      </c>
      <c r="N21" s="595" t="n">
        <v>0</v>
      </c>
      <c r="O21" s="595" t="n">
        <f aca="false">1.16*1.05</f>
        <v>1.218</v>
      </c>
      <c r="P21" s="578" t="n">
        <v>1.78</v>
      </c>
      <c r="Q21" s="600" t="n">
        <v>4.2</v>
      </c>
      <c r="R21" s="601" t="n">
        <v>0.93</v>
      </c>
      <c r="S21" s="595" t="n">
        <v>122</v>
      </c>
      <c r="T21" s="595" t="n">
        <v>60</v>
      </c>
      <c r="U21" s="595" t="n">
        <f aca="false">M21-N21-O21-P21-Q21-R21+S21+T21</f>
        <v>337.872</v>
      </c>
      <c r="V21" s="575" t="n">
        <f aca="false">V20+AI21-(AJ21/1.9835)</f>
        <v>4699.02775214253</v>
      </c>
      <c r="W21" s="575"/>
      <c r="X21" s="595" t="n">
        <v>159</v>
      </c>
      <c r="Y21" s="595" t="n">
        <v>60</v>
      </c>
      <c r="Z21" s="575" t="n">
        <f aca="false">Z20-Y21</f>
        <v>6123.98361482228</v>
      </c>
      <c r="AA21" s="602" t="n">
        <f aca="false">N21+O21+P21+Q21+R21+U21+X21+Y21</f>
        <v>565</v>
      </c>
      <c r="AB21" s="595" t="n">
        <f aca="false">IF(L21&lt;0,L21*-1,0)</f>
        <v>4.91983866901938</v>
      </c>
      <c r="AC21" s="595" t="n">
        <f aca="false">AA21+AB21</f>
        <v>569.919838669019</v>
      </c>
      <c r="AD21" s="580" t="n">
        <v>0</v>
      </c>
      <c r="AE21" s="581" t="n">
        <v>78</v>
      </c>
      <c r="AF21" s="582" t="n">
        <v>54</v>
      </c>
      <c r="AG21" s="581" t="n">
        <f aca="false">AG20</f>
        <v>0</v>
      </c>
      <c r="AH21" s="218"/>
      <c r="AI21" s="221" t="n">
        <f aca="false">(I21-P21-Q21)-(U21)</f>
        <v>-127.852</v>
      </c>
      <c r="AJ21" s="341" t="n">
        <f aca="false">23.5*(V20*1.9835)/E21</f>
        <v>3.35780981750462</v>
      </c>
      <c r="AK21" s="216"/>
    </row>
    <row r="22" customFormat="false" ht="11.1" hidden="false" customHeight="true" outlineLevel="0" collapsed="false">
      <c r="A22" s="153" t="n">
        <v>11</v>
      </c>
      <c r="B22" s="583" t="n">
        <v>6880.74</v>
      </c>
      <c r="C22" s="575" t="n">
        <v>218402</v>
      </c>
      <c r="D22" s="581" t="n">
        <f aca="false">C22-C21</f>
        <v>-605</v>
      </c>
      <c r="E22" s="575" t="n">
        <f aca="false">C22-151978</f>
        <v>66424</v>
      </c>
      <c r="F22" s="594" t="n">
        <f aca="false">D22/$D$2</f>
        <v>-305.016385177716</v>
      </c>
      <c r="G22" s="595" t="n">
        <v>216</v>
      </c>
      <c r="H22" s="596" t="n">
        <v>0</v>
      </c>
      <c r="I22" s="595" t="n">
        <f aca="false">G22+H22</f>
        <v>216</v>
      </c>
      <c r="J22" s="597" t="n">
        <f aca="false">IF(L22&gt;0,L22,0)</f>
        <v>27.9836148222839</v>
      </c>
      <c r="K22" s="595" t="n">
        <f aca="false">I22+J22</f>
        <v>243.983614822284</v>
      </c>
      <c r="L22" s="595" t="n">
        <f aca="false">F22-(I22-AA22)</f>
        <v>27.9836148222839</v>
      </c>
      <c r="M22" s="598" t="n">
        <v>164</v>
      </c>
      <c r="N22" s="595" t="n">
        <v>0</v>
      </c>
      <c r="O22" s="595" t="n">
        <f aca="false">4.53*1.05</f>
        <v>4.7565</v>
      </c>
      <c r="P22" s="578" t="n">
        <v>1.78</v>
      </c>
      <c r="Q22" s="600" t="n">
        <v>4.2</v>
      </c>
      <c r="R22" s="601" t="n">
        <v>1.43</v>
      </c>
      <c r="S22" s="595" t="n">
        <v>122</v>
      </c>
      <c r="T22" s="595" t="n">
        <v>60</v>
      </c>
      <c r="U22" s="595" t="n">
        <f aca="false">M22-N22-O22-P22-Q22-R22+S22+T22</f>
        <v>333.8335</v>
      </c>
      <c r="V22" s="575" t="n">
        <f aca="false">V21+AI22-(AJ22/1.9835)</f>
        <v>4573.55179351048</v>
      </c>
      <c r="W22" s="575"/>
      <c r="X22" s="595" t="n">
        <v>142</v>
      </c>
      <c r="Y22" s="595" t="n">
        <v>61</v>
      </c>
      <c r="Z22" s="575" t="n">
        <f aca="false">Z21-Y22</f>
        <v>6062.98361482228</v>
      </c>
      <c r="AA22" s="602" t="n">
        <f aca="false">N22+O22+P22+Q22+R22+U22+X22+Y22</f>
        <v>549</v>
      </c>
      <c r="AB22" s="595" t="n">
        <f aca="false">IF(L22&lt;0,L22*-1,0)</f>
        <v>0</v>
      </c>
      <c r="AC22" s="595" t="n">
        <f aca="false">AA22+AB22</f>
        <v>549</v>
      </c>
      <c r="AD22" s="580" t="n">
        <v>0</v>
      </c>
      <c r="AE22" s="581" t="n">
        <v>83</v>
      </c>
      <c r="AF22" s="582" t="n">
        <v>51</v>
      </c>
      <c r="AG22" s="581" t="n">
        <f aca="false">AG21</f>
        <v>0</v>
      </c>
      <c r="AH22" s="218"/>
      <c r="AI22" s="221" t="n">
        <f aca="false">(I22-P22-Q22)-(U22)</f>
        <v>-123.8135</v>
      </c>
      <c r="AJ22" s="341" t="n">
        <f aca="false">23.5*(V21*1.9835)/E22</f>
        <v>3.29748669667297</v>
      </c>
      <c r="AK22" s="216"/>
    </row>
    <row r="23" customFormat="false" ht="11.1" hidden="false" customHeight="true" outlineLevel="0" collapsed="false">
      <c r="A23" s="153" t="n">
        <v>12</v>
      </c>
      <c r="B23" s="583" t="n">
        <v>6880.49</v>
      </c>
      <c r="C23" s="575" t="n">
        <v>217646</v>
      </c>
      <c r="D23" s="581" t="n">
        <f aca="false">C23-C22</f>
        <v>-756</v>
      </c>
      <c r="E23" s="575" t="n">
        <f aca="false">C23-151978</f>
        <v>65668</v>
      </c>
      <c r="F23" s="594" t="n">
        <f aca="false">D23/$D$2</f>
        <v>-381.144441643559</v>
      </c>
      <c r="G23" s="595" t="n">
        <v>197</v>
      </c>
      <c r="H23" s="596" t="n">
        <v>0</v>
      </c>
      <c r="I23" s="595" t="n">
        <f aca="false">G23+H23</f>
        <v>197</v>
      </c>
      <c r="J23" s="597" t="n">
        <f aca="false">IF(L23&gt;0,L23,0)</f>
        <v>0</v>
      </c>
      <c r="K23" s="595" t="n">
        <f aca="false">I23+J23</f>
        <v>197</v>
      </c>
      <c r="L23" s="595" t="n">
        <f aca="false">F23-(I23-AA23)</f>
        <v>-56.1444416435593</v>
      </c>
      <c r="M23" s="598" t="n">
        <v>161</v>
      </c>
      <c r="N23" s="595" t="n">
        <v>0</v>
      </c>
      <c r="O23" s="595" t="n">
        <f aca="false">3.15*1.05</f>
        <v>3.3075</v>
      </c>
      <c r="P23" s="578" t="n">
        <v>1.78</v>
      </c>
      <c r="Q23" s="600" t="n">
        <v>4.2</v>
      </c>
      <c r="R23" s="601" t="n">
        <v>1.17</v>
      </c>
      <c r="S23" s="595" t="n">
        <v>121</v>
      </c>
      <c r="T23" s="595" t="n">
        <v>59</v>
      </c>
      <c r="U23" s="595" t="n">
        <f aca="false">M23-N23-O23-P23-Q23-R23+S23+T23</f>
        <v>330.5425</v>
      </c>
      <c r="V23" s="575" t="n">
        <f aca="false">V22+AI23-(AJ23/1.9835)</f>
        <v>4432.39259881675</v>
      </c>
      <c r="W23" s="575"/>
      <c r="X23" s="595" t="n">
        <v>120</v>
      </c>
      <c r="Y23" s="595" t="n">
        <v>61</v>
      </c>
      <c r="Z23" s="575" t="n">
        <f aca="false">Z22-Y23</f>
        <v>6001.98361482228</v>
      </c>
      <c r="AA23" s="602" t="n">
        <f aca="false">N23+O23+P23+Q23+R23+U23+X23+Y23</f>
        <v>522</v>
      </c>
      <c r="AB23" s="595" t="n">
        <f aca="false">IF(L23&lt;0,L23*-1,0)</f>
        <v>56.1444416435593</v>
      </c>
      <c r="AC23" s="595" t="n">
        <f aca="false">AA23+AB23</f>
        <v>578.144441643559</v>
      </c>
      <c r="AD23" s="580" t="n">
        <v>0</v>
      </c>
      <c r="AE23" s="581" t="n">
        <v>82</v>
      </c>
      <c r="AF23" s="582" t="n">
        <v>54</v>
      </c>
      <c r="AG23" s="581" t="n">
        <f aca="false">AG22</f>
        <v>0</v>
      </c>
      <c r="AH23" s="218"/>
      <c r="AI23" s="221" t="n">
        <f aca="false">(I23-P23-Q23)-(U23)</f>
        <v>-139.5225</v>
      </c>
      <c r="AJ23" s="341" t="n">
        <f aca="false">23.5*(V22*1.9835)/E23</f>
        <v>3.24638392500242</v>
      </c>
      <c r="AK23" s="216"/>
    </row>
    <row r="24" customFormat="false" ht="11.1" hidden="false" customHeight="true" outlineLevel="0" collapsed="false">
      <c r="A24" s="153" t="n">
        <v>13</v>
      </c>
      <c r="B24" s="583" t="n">
        <v>6880.19</v>
      </c>
      <c r="C24" s="575" t="n">
        <v>216739</v>
      </c>
      <c r="D24" s="581" t="n">
        <f aca="false">C24-C23</f>
        <v>-907</v>
      </c>
      <c r="E24" s="575" t="n">
        <f aca="false">C24-151978</f>
        <v>64761</v>
      </c>
      <c r="F24" s="594" t="n">
        <f aca="false">D24/$D$2</f>
        <v>-457.272498109403</v>
      </c>
      <c r="G24" s="595" t="n">
        <v>173</v>
      </c>
      <c r="H24" s="596" t="n">
        <v>0</v>
      </c>
      <c r="I24" s="595" t="n">
        <f aca="false">G24+H24</f>
        <v>173</v>
      </c>
      <c r="J24" s="597" t="n">
        <f aca="false">IF(L24&gt;0,L24,0)</f>
        <v>0</v>
      </c>
      <c r="K24" s="595" t="n">
        <f aca="false">I24+J24</f>
        <v>173</v>
      </c>
      <c r="L24" s="595" t="n">
        <f aca="false">F24-(I24-AA24)</f>
        <v>-70.2724981094025</v>
      </c>
      <c r="M24" s="598" t="n">
        <v>195</v>
      </c>
      <c r="N24" s="595" t="n">
        <v>0</v>
      </c>
      <c r="O24" s="595" t="n">
        <f aca="false">28.01*1.05</f>
        <v>29.4105</v>
      </c>
      <c r="P24" s="578" t="n">
        <v>1.78</v>
      </c>
      <c r="Q24" s="600" t="n">
        <v>4.2</v>
      </c>
      <c r="R24" s="601" t="n">
        <v>1.28</v>
      </c>
      <c r="S24" s="595" t="n">
        <v>121</v>
      </c>
      <c r="T24" s="595" t="n">
        <v>58</v>
      </c>
      <c r="U24" s="595" t="n">
        <f aca="false">M24-N24-O24-P24-Q24-R24+S24+T24</f>
        <v>337.3295</v>
      </c>
      <c r="V24" s="575" t="n">
        <f aca="false">V23+AI24-(AJ24/1.9835)</f>
        <v>4260.47470447336</v>
      </c>
      <c r="W24" s="575"/>
      <c r="X24" s="595" t="n">
        <v>125</v>
      </c>
      <c r="Y24" s="595" t="n">
        <v>61</v>
      </c>
      <c r="Z24" s="575" t="n">
        <f aca="false">Z23-Y24</f>
        <v>5940.98361482228</v>
      </c>
      <c r="AA24" s="602" t="n">
        <f aca="false">N24+O24+P24+Q24+R24+U24+X24+Y24</f>
        <v>560</v>
      </c>
      <c r="AB24" s="595" t="n">
        <f aca="false">IF(L24&lt;0,L24*-1,0)</f>
        <v>70.2724981094025</v>
      </c>
      <c r="AC24" s="595" t="n">
        <f aca="false">AA24+AB24</f>
        <v>630.272498109403</v>
      </c>
      <c r="AD24" s="580" t="n">
        <v>0</v>
      </c>
      <c r="AE24" s="581" t="n">
        <v>79</v>
      </c>
      <c r="AF24" s="582" t="n">
        <v>50</v>
      </c>
      <c r="AG24" s="581" t="n">
        <f aca="false">AG23</f>
        <v>0</v>
      </c>
      <c r="AH24" s="218"/>
      <c r="AI24" s="221" t="n">
        <f aca="false">(I24-P24-Q24)-(U24)</f>
        <v>-170.3095</v>
      </c>
      <c r="AJ24" s="341" t="n">
        <f aca="false">23.5*(V23*1.9835)/E24</f>
        <v>3.19025018011143</v>
      </c>
      <c r="AK24" s="216"/>
    </row>
    <row r="25" customFormat="false" ht="11.1" hidden="false" customHeight="true" outlineLevel="0" collapsed="false">
      <c r="A25" s="153" t="n">
        <v>14</v>
      </c>
      <c r="B25" s="583" t="n">
        <v>6879.93</v>
      </c>
      <c r="C25" s="575" t="n">
        <v>215926</v>
      </c>
      <c r="D25" s="581" t="n">
        <f aca="false">C25-C24</f>
        <v>-813</v>
      </c>
      <c r="E25" s="575" t="n">
        <f aca="false">C25-151978</f>
        <v>63948</v>
      </c>
      <c r="F25" s="594" t="n">
        <f aca="false">D25/$D$2</f>
        <v>-409.881522561129</v>
      </c>
      <c r="G25" s="595" t="n">
        <v>148</v>
      </c>
      <c r="H25" s="596" t="n">
        <v>0</v>
      </c>
      <c r="I25" s="595" t="n">
        <f aca="false">G25+H25</f>
        <v>148</v>
      </c>
      <c r="J25" s="597" t="n">
        <f aca="false">IF(L25&gt;0,L25,0)</f>
        <v>48.1184774388707</v>
      </c>
      <c r="K25" s="595" t="n">
        <f aca="false">I25+J25</f>
        <v>196.118477438871</v>
      </c>
      <c r="L25" s="595" t="n">
        <f aca="false">F25-(I25-AA25)</f>
        <v>48.1184774388707</v>
      </c>
      <c r="M25" s="598" t="n">
        <v>216</v>
      </c>
      <c r="N25" s="595" t="n">
        <v>0</v>
      </c>
      <c r="O25" s="595" t="n">
        <f aca="false">60.13*1.05</f>
        <v>63.1365</v>
      </c>
      <c r="P25" s="578" t="n">
        <v>1.78</v>
      </c>
      <c r="Q25" s="600" t="n">
        <v>4.2</v>
      </c>
      <c r="R25" s="601" t="n">
        <v>2.28</v>
      </c>
      <c r="S25" s="595" t="n">
        <v>139</v>
      </c>
      <c r="T25" s="595" t="n">
        <v>59</v>
      </c>
      <c r="U25" s="595" t="n">
        <f aca="false">M25-N25-O25-P25-Q25-R25+S25+T25</f>
        <v>342.6035</v>
      </c>
      <c r="V25" s="575" t="n">
        <f aca="false">V24+AI25-(AJ25/1.9835)</f>
        <v>4058.32553931487</v>
      </c>
      <c r="W25" s="575"/>
      <c r="X25" s="595" t="n">
        <v>131</v>
      </c>
      <c r="Y25" s="595" t="n">
        <v>61</v>
      </c>
      <c r="Z25" s="575" t="n">
        <f aca="false">Z24-Y25</f>
        <v>5879.98361482228</v>
      </c>
      <c r="AA25" s="602" t="n">
        <f aca="false">N25+O25+P25+Q25+R25+U25+X25+Y25</f>
        <v>606</v>
      </c>
      <c r="AB25" s="595" t="n">
        <f aca="false">IF(L25&lt;0,L25*-1,0)</f>
        <v>0</v>
      </c>
      <c r="AC25" s="595" t="n">
        <f aca="false">AA25+AB25</f>
        <v>606</v>
      </c>
      <c r="AD25" s="580" t="n">
        <v>0</v>
      </c>
      <c r="AE25" s="581" t="n">
        <v>78</v>
      </c>
      <c r="AF25" s="582" t="n">
        <v>46</v>
      </c>
      <c r="AG25" s="581" t="n">
        <f aca="false">AG24</f>
        <v>0</v>
      </c>
      <c r="AH25" s="218"/>
      <c r="AI25" s="221" t="n">
        <f aca="false">(I25-P25-Q25)-(U25)</f>
        <v>-200.5835</v>
      </c>
      <c r="AJ25" s="341" t="n">
        <f aca="false">23.5*(V24*1.9835)/E25</f>
        <v>3.10549684186509</v>
      </c>
      <c r="AK25" s="216"/>
    </row>
    <row r="26" customFormat="false" ht="11.1" hidden="false" customHeight="true" outlineLevel="0" collapsed="false">
      <c r="A26" s="153" t="n">
        <v>15</v>
      </c>
      <c r="B26" s="583" t="n">
        <v>6879.58</v>
      </c>
      <c r="C26" s="575" t="n">
        <v>214911</v>
      </c>
      <c r="D26" s="581" t="n">
        <f aca="false">C26-C25</f>
        <v>-1015</v>
      </c>
      <c r="E26" s="575" t="n">
        <f aca="false">C26-151978</f>
        <v>62933</v>
      </c>
      <c r="F26" s="594" t="n">
        <f aca="false">D26/$D$2</f>
        <v>-511.721704058482</v>
      </c>
      <c r="G26" s="595" t="n">
        <v>118</v>
      </c>
      <c r="H26" s="596" t="n">
        <v>0</v>
      </c>
      <c r="I26" s="595" t="n">
        <f aca="false">G26+H26</f>
        <v>118</v>
      </c>
      <c r="J26" s="597" t="n">
        <f aca="false">IF(L26&gt;0,L26,0)</f>
        <v>0</v>
      </c>
      <c r="K26" s="595" t="n">
        <f aca="false">I26+J26</f>
        <v>118</v>
      </c>
      <c r="L26" s="595" t="n">
        <f aca="false">F26-(I26-AA26)</f>
        <v>-12.7217040584825</v>
      </c>
      <c r="M26" s="598" t="n">
        <v>223</v>
      </c>
      <c r="N26" s="595" t="n">
        <v>0</v>
      </c>
      <c r="O26" s="595" t="n">
        <f aca="false">50.29*1.05</f>
        <v>52.8045</v>
      </c>
      <c r="P26" s="578" t="n">
        <v>1.78</v>
      </c>
      <c r="Q26" s="600" t="n">
        <v>4.2</v>
      </c>
      <c r="R26" s="601" t="n">
        <v>1.95</v>
      </c>
      <c r="S26" s="595" t="n">
        <v>170</v>
      </c>
      <c r="T26" s="595" t="n">
        <v>60</v>
      </c>
      <c r="U26" s="595" t="n">
        <f aca="false">M26-N26-O26-P26-Q26-R26+S26+T26</f>
        <v>392.2655</v>
      </c>
      <c r="V26" s="575" t="n">
        <f aca="false">V25+AI26-(AJ26/1.9835)</f>
        <v>3776.56460782148</v>
      </c>
      <c r="W26" s="575"/>
      <c r="X26" s="595" t="n">
        <v>103</v>
      </c>
      <c r="Y26" s="595" t="n">
        <v>61</v>
      </c>
      <c r="Z26" s="575" t="n">
        <f aca="false">Z25-Y26</f>
        <v>5818.98361482228</v>
      </c>
      <c r="AA26" s="602" t="n">
        <f aca="false">N26+O26+P26+Q26+R26+U26+X26+Y26</f>
        <v>617</v>
      </c>
      <c r="AB26" s="595" t="n">
        <f aca="false">IF(L26&lt;0,L26*-1,0)</f>
        <v>12.7217040584825</v>
      </c>
      <c r="AC26" s="595" t="n">
        <f aca="false">AA26+AB26</f>
        <v>629.721704058483</v>
      </c>
      <c r="AD26" s="580" t="n">
        <v>0</v>
      </c>
      <c r="AE26" s="581" t="n">
        <v>73</v>
      </c>
      <c r="AF26" s="582" t="n">
        <v>46</v>
      </c>
      <c r="AG26" s="581" t="n">
        <f aca="false">AG25</f>
        <v>0</v>
      </c>
      <c r="AH26" s="218"/>
      <c r="AI26" s="221" t="n">
        <f aca="false">(I26-P26-Q26)-(U26)</f>
        <v>-280.2455</v>
      </c>
      <c r="AJ26" s="341" t="n">
        <f aca="false">23.5*(V25*1.9835)/E26</f>
        <v>3.00585836715125</v>
      </c>
      <c r="AK26" s="216"/>
    </row>
    <row r="27" customFormat="false" ht="11.1" hidden="false" customHeight="true" outlineLevel="0" collapsed="false">
      <c r="A27" s="153" t="n">
        <v>16</v>
      </c>
      <c r="B27" s="583" t="n">
        <v>6879.18</v>
      </c>
      <c r="C27" s="575" t="n">
        <v>213716</v>
      </c>
      <c r="D27" s="581" t="n">
        <f aca="false">C27-C26</f>
        <v>-1195</v>
      </c>
      <c r="E27" s="575" t="n">
        <f aca="false">C27-151978</f>
        <v>61738</v>
      </c>
      <c r="F27" s="594" t="n">
        <f aca="false">D27/$D$2</f>
        <v>-602.470380640282</v>
      </c>
      <c r="G27" s="595" t="n">
        <v>86</v>
      </c>
      <c r="H27" s="596" t="n">
        <v>0</v>
      </c>
      <c r="I27" s="595" t="n">
        <f aca="false">G27+H27</f>
        <v>86</v>
      </c>
      <c r="J27" s="597" t="n">
        <f aca="false">IF(L27&gt;0,L27,0)</f>
        <v>0</v>
      </c>
      <c r="K27" s="595" t="n">
        <f aca="false">I27+J27</f>
        <v>86</v>
      </c>
      <c r="L27" s="595" t="n">
        <f aca="false">F27-(I27-AA27)</f>
        <v>-74.4703806402823</v>
      </c>
      <c r="M27" s="598" t="n">
        <v>215</v>
      </c>
      <c r="N27" s="595" t="n">
        <v>0</v>
      </c>
      <c r="O27" s="595" t="n">
        <f aca="false">51.71*1.05</f>
        <v>54.2955</v>
      </c>
      <c r="P27" s="578" t="n">
        <v>1.78</v>
      </c>
      <c r="Q27" s="600" t="n">
        <v>4.2</v>
      </c>
      <c r="R27" s="601" t="n">
        <v>1.98</v>
      </c>
      <c r="S27" s="595" t="n">
        <v>177</v>
      </c>
      <c r="T27" s="595" t="n">
        <v>60</v>
      </c>
      <c r="U27" s="595" t="n">
        <f aca="false">M27-N27-O27-P27-Q27-R27+S27+T27</f>
        <v>389.7445</v>
      </c>
      <c r="V27" s="575" t="n">
        <f aca="false">V26+AI27-(AJ27/1.9835)</f>
        <v>3465.40259335253</v>
      </c>
      <c r="W27" s="575"/>
      <c r="X27" s="595" t="n">
        <v>116</v>
      </c>
      <c r="Y27" s="595" t="n">
        <v>46</v>
      </c>
      <c r="Z27" s="575" t="n">
        <f aca="false">Z26-Y27</f>
        <v>5772.98361482228</v>
      </c>
      <c r="AA27" s="602" t="n">
        <f aca="false">N27+O27+P27+Q27+R27+U27+X27+Y27</f>
        <v>614</v>
      </c>
      <c r="AB27" s="595" t="n">
        <f aca="false">IF(L27&lt;0,L27*-1,0)</f>
        <v>74.4703806402823</v>
      </c>
      <c r="AC27" s="595" t="n">
        <f aca="false">AA27+AB27</f>
        <v>688.470380640282</v>
      </c>
      <c r="AD27" s="580" t="n">
        <v>0</v>
      </c>
      <c r="AE27" s="581" t="n">
        <v>79</v>
      </c>
      <c r="AF27" s="582" t="n">
        <v>46</v>
      </c>
      <c r="AG27" s="581" t="n">
        <f aca="false">AG26</f>
        <v>0</v>
      </c>
      <c r="AH27" s="218"/>
      <c r="AI27" s="221" t="n">
        <f aca="false">(I27-P27-Q27)-(U27)</f>
        <v>-309.7245</v>
      </c>
      <c r="AJ27" s="341" t="n">
        <f aca="false">23.5*(V26*1.9835)/E27</f>
        <v>2.85130994915492</v>
      </c>
      <c r="AK27" s="216"/>
    </row>
    <row r="28" customFormat="false" ht="11.1" hidden="false" customHeight="true" outlineLevel="0" collapsed="false">
      <c r="A28" s="153" t="n">
        <v>17</v>
      </c>
      <c r="B28" s="583" t="n">
        <v>6878.86</v>
      </c>
      <c r="C28" s="575" t="n">
        <v>212765</v>
      </c>
      <c r="D28" s="581" t="n">
        <f aca="false">C28-C27</f>
        <v>-951</v>
      </c>
      <c r="E28" s="575" t="n">
        <f aca="false">C28-151978</f>
        <v>60787</v>
      </c>
      <c r="F28" s="594" t="n">
        <f aca="false">D28/$D$2</f>
        <v>-479.455507940509</v>
      </c>
      <c r="G28" s="595" t="n">
        <v>61</v>
      </c>
      <c r="H28" s="596" t="n">
        <v>0</v>
      </c>
      <c r="I28" s="595" t="n">
        <f aca="false">G28+H28</f>
        <v>61</v>
      </c>
      <c r="J28" s="597" t="n">
        <f aca="false">IF(L28&gt;0,L28,0)</f>
        <v>0</v>
      </c>
      <c r="K28" s="595" t="n">
        <f aca="false">I28+J28</f>
        <v>61</v>
      </c>
      <c r="L28" s="595" t="n">
        <f aca="false">F28-(I28-AA28)</f>
        <v>-12.4555079405092</v>
      </c>
      <c r="M28" s="598" t="n">
        <v>170</v>
      </c>
      <c r="N28" s="595" t="n">
        <v>0</v>
      </c>
      <c r="O28" s="595" t="n">
        <f aca="false">20.94*1.05</f>
        <v>21.987</v>
      </c>
      <c r="P28" s="578" t="n">
        <v>1.78</v>
      </c>
      <c r="Q28" s="600" t="n">
        <v>4.2</v>
      </c>
      <c r="R28" s="601" t="n">
        <v>1.7</v>
      </c>
      <c r="S28" s="595" t="n">
        <v>170</v>
      </c>
      <c r="T28" s="595" t="n">
        <v>61</v>
      </c>
      <c r="U28" s="595" t="n">
        <f aca="false">M28-N28-O28-P28-Q28-R28+S28+T28</f>
        <v>371.333</v>
      </c>
      <c r="V28" s="575" t="n">
        <f aca="false">V27+AI28-(AJ28/1.9835)</f>
        <v>3147.89343898657</v>
      </c>
      <c r="W28" s="575"/>
      <c r="X28" s="595" t="n">
        <v>82</v>
      </c>
      <c r="Y28" s="595" t="n">
        <v>45</v>
      </c>
      <c r="Z28" s="575" t="n">
        <f aca="false">Z27-Y28</f>
        <v>5727.98361482228</v>
      </c>
      <c r="AA28" s="602" t="n">
        <f aca="false">N28+O28+P28+Q28+R28+U28+X28+Y28</f>
        <v>528</v>
      </c>
      <c r="AB28" s="595" t="n">
        <f aca="false">IF(L28&lt;0,L28*-1,0)</f>
        <v>12.4555079405092</v>
      </c>
      <c r="AC28" s="595" t="n">
        <f aca="false">AA28+AB28</f>
        <v>540.455507940509</v>
      </c>
      <c r="AD28" s="580" t="n">
        <v>0</v>
      </c>
      <c r="AE28" s="581" t="n">
        <v>81</v>
      </c>
      <c r="AF28" s="582" t="n">
        <v>48</v>
      </c>
      <c r="AG28" s="581" t="n">
        <f aca="false">AG27</f>
        <v>0</v>
      </c>
      <c r="AH28" s="218"/>
      <c r="AI28" s="221" t="n">
        <f aca="false">(I28-P28-Q28)-(U28)</f>
        <v>-316.313</v>
      </c>
      <c r="AJ28" s="341" t="n">
        <f aca="false">23.5*(V27*1.9835-U28*1.9835)/E28</f>
        <v>2.37257218488734</v>
      </c>
      <c r="AK28" s="216"/>
    </row>
    <row r="29" customFormat="false" ht="11.1" hidden="false" customHeight="true" outlineLevel="0" collapsed="false">
      <c r="A29" s="153" t="n">
        <v>18</v>
      </c>
      <c r="B29" s="583" t="n">
        <v>6878.51</v>
      </c>
      <c r="C29" s="575" t="n">
        <v>211731</v>
      </c>
      <c r="D29" s="581" t="n">
        <f aca="false">C29-C28</f>
        <v>-1034</v>
      </c>
      <c r="E29" s="575" t="n">
        <f aca="false">C29-151978</f>
        <v>59753</v>
      </c>
      <c r="F29" s="594" t="n">
        <f aca="false">D29/$D$2</f>
        <v>-521.300731031006</v>
      </c>
      <c r="G29" s="595" t="n">
        <v>48</v>
      </c>
      <c r="H29" s="596" t="n">
        <v>0</v>
      </c>
      <c r="I29" s="595" t="n">
        <f aca="false">G29+H29</f>
        <v>48</v>
      </c>
      <c r="J29" s="597" t="n">
        <f aca="false">IF(L29&gt;0,L29,0)</f>
        <v>0</v>
      </c>
      <c r="K29" s="595" t="n">
        <f aca="false">I29+J29</f>
        <v>48</v>
      </c>
      <c r="L29" s="595" t="n">
        <f aca="false">F29-(I29-AA29)</f>
        <v>-33.3007310310057</v>
      </c>
      <c r="M29" s="598" t="n">
        <v>167</v>
      </c>
      <c r="N29" s="595" t="n">
        <v>0</v>
      </c>
      <c r="O29" s="595" t="n">
        <f aca="false">10.33*1.05</f>
        <v>10.8465</v>
      </c>
      <c r="P29" s="578" t="n">
        <v>1.78</v>
      </c>
      <c r="Q29" s="600" t="n">
        <v>4.2</v>
      </c>
      <c r="R29" s="601" t="n">
        <v>2.07</v>
      </c>
      <c r="S29" s="595" t="n">
        <v>170</v>
      </c>
      <c r="T29" s="595" t="n">
        <v>61</v>
      </c>
      <c r="U29" s="595" t="n">
        <f aca="false">M29-N29-O29-P29-Q29-R29+S29+T29</f>
        <v>379.1035</v>
      </c>
      <c r="V29" s="575" t="n">
        <f aca="false">V28+AI29-(AJ29/1.9835)</f>
        <v>2809.72101351728</v>
      </c>
      <c r="W29" s="575"/>
      <c r="X29" s="595" t="n">
        <v>93</v>
      </c>
      <c r="Y29" s="595" t="n">
        <v>45</v>
      </c>
      <c r="Z29" s="575" t="n">
        <f aca="false">Z28-Y29</f>
        <v>5682.98361482228</v>
      </c>
      <c r="AA29" s="602" t="n">
        <f aca="false">N29+O29+P29+Q29+R29+U29+X29+Y29</f>
        <v>536</v>
      </c>
      <c r="AB29" s="595" t="n">
        <f aca="false">IF(L29&lt;0,L29*-1,0)</f>
        <v>33.3007310310057</v>
      </c>
      <c r="AC29" s="595" t="n">
        <f aca="false">AA29+AB29</f>
        <v>569.300731031006</v>
      </c>
      <c r="AD29" s="580" t="n">
        <v>0</v>
      </c>
      <c r="AE29" s="581" t="n">
        <v>81</v>
      </c>
      <c r="AF29" s="582" t="n">
        <v>48</v>
      </c>
      <c r="AG29" s="581" t="n">
        <f aca="false">AG28</f>
        <v>0</v>
      </c>
      <c r="AH29" s="218"/>
      <c r="AI29" s="221" t="n">
        <f aca="false">(I29-P29-Q29)-(U29)</f>
        <v>-337.0835</v>
      </c>
      <c r="AJ29" s="341" t="n">
        <f aca="false">23.5*(V28*1.9835-U29*1.9835)/E29</f>
        <v>2.15988366832672</v>
      </c>
      <c r="AK29" s="216"/>
    </row>
    <row r="30" customFormat="false" ht="11.1" hidden="false" customHeight="true" outlineLevel="0" collapsed="false">
      <c r="A30" s="153" t="n">
        <v>19</v>
      </c>
      <c r="B30" s="583" t="n">
        <v>6878.33</v>
      </c>
      <c r="C30" s="575" t="n">
        <v>211200</v>
      </c>
      <c r="D30" s="581" t="n">
        <f aca="false">C30-C29</f>
        <v>-531</v>
      </c>
      <c r="E30" s="575" t="n">
        <f aca="false">C30-151978</f>
        <v>59222</v>
      </c>
      <c r="F30" s="594" t="n">
        <f aca="false">D30/$D$2</f>
        <v>-267.70859591631</v>
      </c>
      <c r="G30" s="595" t="n">
        <v>71</v>
      </c>
      <c r="H30" s="596" t="n">
        <v>0</v>
      </c>
      <c r="I30" s="595" t="n">
        <f aca="false">G30+H30</f>
        <v>71</v>
      </c>
      <c r="J30" s="597" t="n">
        <f aca="false">IF(L30&gt;0,L30,0)</f>
        <v>117.29140408369</v>
      </c>
      <c r="K30" s="595" t="n">
        <f aca="false">I30+J30</f>
        <v>188.29140408369</v>
      </c>
      <c r="L30" s="595" t="n">
        <f aca="false">F30-(I30-AA30)</f>
        <v>117.29140408369</v>
      </c>
      <c r="M30" s="598" t="n">
        <v>162</v>
      </c>
      <c r="N30" s="595" t="n">
        <v>0</v>
      </c>
      <c r="O30" s="595" t="n">
        <f aca="false">11.01*1.05</f>
        <v>11.5605</v>
      </c>
      <c r="P30" s="578" t="n">
        <v>1.78</v>
      </c>
      <c r="Q30" s="600" t="n">
        <v>4.08</v>
      </c>
      <c r="R30" s="601" t="n">
        <v>0</v>
      </c>
      <c r="S30" s="595" t="n">
        <v>170</v>
      </c>
      <c r="T30" s="595" t="n">
        <v>61</v>
      </c>
      <c r="U30" s="595" t="n">
        <f aca="false">M30-N30-O30-P30-Q30-R30+S30+T30</f>
        <v>375.5795</v>
      </c>
      <c r="V30" s="575" t="n">
        <f aca="false">V29+AI30-(AJ30/1.9835)</f>
        <v>2498.31561696587</v>
      </c>
      <c r="W30" s="575"/>
      <c r="X30" s="595" t="n">
        <v>23</v>
      </c>
      <c r="Y30" s="595" t="n">
        <v>40</v>
      </c>
      <c r="Z30" s="575" t="n">
        <f aca="false">Z29-Y30</f>
        <v>5642.98361482228</v>
      </c>
      <c r="AA30" s="602" t="n">
        <f aca="false">N30+O30+P30+Q30+R30+U30+X30+Y30</f>
        <v>456</v>
      </c>
      <c r="AB30" s="595" t="n">
        <f aca="false">IF(L30&lt;0,L30*-1,0)</f>
        <v>0</v>
      </c>
      <c r="AC30" s="595" t="n">
        <f aca="false">AA30+AB30</f>
        <v>456</v>
      </c>
      <c r="AD30" s="580" t="n">
        <v>0.97</v>
      </c>
      <c r="AE30" s="581" t="n">
        <v>60</v>
      </c>
      <c r="AF30" s="582" t="n">
        <v>48</v>
      </c>
      <c r="AG30" s="581" t="n">
        <f aca="false">AG29</f>
        <v>0</v>
      </c>
      <c r="AH30" s="218"/>
      <c r="AI30" s="221" t="n">
        <f aca="false">(I30-P30-Q30)-(U30)</f>
        <v>-310.4395</v>
      </c>
      <c r="AJ30" s="341" t="n">
        <f aca="false">23.5*(V29*1.9835-U30*1.9835)/E30</f>
        <v>1.91585580972351</v>
      </c>
      <c r="AK30" s="216"/>
    </row>
    <row r="31" customFormat="false" ht="11.1" hidden="false" customHeight="true" outlineLevel="0" collapsed="false">
      <c r="A31" s="153" t="n">
        <v>20</v>
      </c>
      <c r="B31" s="583" t="n">
        <v>6878.49</v>
      </c>
      <c r="C31" s="575" t="n">
        <v>211672</v>
      </c>
      <c r="D31" s="581" t="n">
        <f aca="false">C31-C30</f>
        <v>472</v>
      </c>
      <c r="E31" s="575" t="n">
        <f aca="false">C31-151978</f>
        <v>59694</v>
      </c>
      <c r="F31" s="594" t="n">
        <f aca="false">D31/$D$2</f>
        <v>237.963196370053</v>
      </c>
      <c r="G31" s="595" t="n">
        <v>553</v>
      </c>
      <c r="H31" s="596" t="n">
        <v>0</v>
      </c>
      <c r="I31" s="595" t="n">
        <f aca="false">G31+H31</f>
        <v>553</v>
      </c>
      <c r="J31" s="597" t="n">
        <f aca="false">IF(L31&gt;0,L31,0)</f>
        <v>40.9631963700529</v>
      </c>
      <c r="K31" s="595" t="n">
        <f aca="false">I31+J31</f>
        <v>593.963196370053</v>
      </c>
      <c r="L31" s="595" t="n">
        <f aca="false">F31-(I31-AA31)</f>
        <v>40.9631963700529</v>
      </c>
      <c r="M31" s="598" t="n">
        <v>101</v>
      </c>
      <c r="N31" s="595" t="n">
        <v>0</v>
      </c>
      <c r="O31" s="595" t="n">
        <f aca="false">5.27*1.05</f>
        <v>5.5335</v>
      </c>
      <c r="P31" s="578" t="n">
        <v>1.78</v>
      </c>
      <c r="Q31" s="600" t="n">
        <v>3.05</v>
      </c>
      <c r="R31" s="601" t="n">
        <v>0</v>
      </c>
      <c r="S31" s="595" t="n">
        <v>162</v>
      </c>
      <c r="T31" s="595" t="n">
        <v>52</v>
      </c>
      <c r="U31" s="595" t="n">
        <f aca="false">M31-N31-O31-P31-Q31-R31+S31+T31</f>
        <v>304.6365</v>
      </c>
      <c r="V31" s="575" t="n">
        <f aca="false">V30+AI31-(AJ31/1.9835)</f>
        <v>2497.45202164224</v>
      </c>
      <c r="W31" s="575"/>
      <c r="X31" s="595" t="n">
        <v>0</v>
      </c>
      <c r="Y31" s="595" t="n">
        <v>41</v>
      </c>
      <c r="Z31" s="575" t="n">
        <f aca="false">Z30-Y31</f>
        <v>5601.98361482228</v>
      </c>
      <c r="AA31" s="602" t="n">
        <f aca="false">N31+O31+P31+Q31+R31+U31+X31+Y31</f>
        <v>356</v>
      </c>
      <c r="AB31" s="595" t="n">
        <f aca="false">IF(L31&lt;0,L31*-1,0)</f>
        <v>0</v>
      </c>
      <c r="AC31" s="595" t="n">
        <f aca="false">AA31+AB31</f>
        <v>356</v>
      </c>
      <c r="AD31" s="580" t="n">
        <v>0.16</v>
      </c>
      <c r="AE31" s="581" t="n">
        <v>64</v>
      </c>
      <c r="AF31" s="582" t="n">
        <v>46</v>
      </c>
      <c r="AG31" s="581" t="n">
        <f aca="false">AG30</f>
        <v>0</v>
      </c>
      <c r="AH31" s="218"/>
      <c r="AI31" s="221" t="n">
        <v>0</v>
      </c>
      <c r="AJ31" s="341" t="n">
        <f aca="false">23.5*(V30*1.9835-U31*1.9835)/E31</f>
        <v>1.71294132441774</v>
      </c>
      <c r="AK31" s="216"/>
    </row>
    <row r="32" customFormat="false" ht="11.1" hidden="false" customHeight="true" outlineLevel="0" collapsed="false">
      <c r="A32" s="153" t="n">
        <v>21</v>
      </c>
      <c r="B32" s="583" t="n">
        <v>6878.59</v>
      </c>
      <c r="C32" s="575" t="n">
        <v>211968</v>
      </c>
      <c r="D32" s="581" t="n">
        <f aca="false">C32-C31</f>
        <v>296</v>
      </c>
      <c r="E32" s="575" t="n">
        <f aca="false">C32-151978</f>
        <v>59990</v>
      </c>
      <c r="F32" s="594" t="n">
        <f aca="false">D32/$D$2</f>
        <v>149.231157045626</v>
      </c>
      <c r="G32" s="595" t="n">
        <v>428</v>
      </c>
      <c r="H32" s="596" t="n">
        <v>0</v>
      </c>
      <c r="I32" s="595" t="n">
        <f aca="false">G32+H32</f>
        <v>428</v>
      </c>
      <c r="J32" s="597" t="n">
        <f aca="false">IF(L32&gt;0,L32,0)</f>
        <v>51.2311570456264</v>
      </c>
      <c r="K32" s="595" t="n">
        <f aca="false">I32+J32</f>
        <v>479.231157045626</v>
      </c>
      <c r="L32" s="595" t="n">
        <f aca="false">F32-(I32-AA32)</f>
        <v>51.2311570456264</v>
      </c>
      <c r="M32" s="598" t="n">
        <v>82</v>
      </c>
      <c r="N32" s="595" t="n">
        <v>0</v>
      </c>
      <c r="O32" s="595" t="n">
        <f aca="false">0.13*1.05</f>
        <v>0.1365</v>
      </c>
      <c r="P32" s="578" t="n">
        <v>1.78</v>
      </c>
      <c r="Q32" s="600" t="n">
        <v>4.2</v>
      </c>
      <c r="R32" s="601" t="n">
        <v>1.64</v>
      </c>
      <c r="S32" s="595" t="n">
        <v>141</v>
      </c>
      <c r="T32" s="595" t="n">
        <v>45</v>
      </c>
      <c r="U32" s="595" t="n">
        <f aca="false">M32-N32-O32-P32-Q32-R32+S32+T32</f>
        <v>260.2435</v>
      </c>
      <c r="V32" s="575" t="n">
        <f aca="false">V31+AI32-(AJ32/1.9835)</f>
        <v>2496.57563557359</v>
      </c>
      <c r="W32" s="575"/>
      <c r="X32" s="595" t="n">
        <v>19</v>
      </c>
      <c r="Y32" s="595" t="n">
        <v>43</v>
      </c>
      <c r="Z32" s="575" t="n">
        <f aca="false">Z31-Y32</f>
        <v>5558.98361482228</v>
      </c>
      <c r="AA32" s="602" t="n">
        <f aca="false">N32+O32+P32+Q32+R32+U32+X32+Y32</f>
        <v>330</v>
      </c>
      <c r="AB32" s="595" t="n">
        <f aca="false">IF(L32&lt;0,L32*-1,0)</f>
        <v>0</v>
      </c>
      <c r="AC32" s="595" t="n">
        <f aca="false">AA32+AB32</f>
        <v>330</v>
      </c>
      <c r="AD32" s="580" t="n">
        <v>0.12</v>
      </c>
      <c r="AE32" s="581" t="n">
        <v>52</v>
      </c>
      <c r="AF32" s="582" t="n">
        <v>35</v>
      </c>
      <c r="AG32" s="581" t="n">
        <f aca="false">AG31</f>
        <v>0</v>
      </c>
      <c r="AH32" s="218"/>
      <c r="AI32" s="221" t="n">
        <v>0</v>
      </c>
      <c r="AJ32" s="341" t="n">
        <f aca="false">23.5*(V31*1.9835-U32*1.9835)/E32</f>
        <v>1.73831176717651</v>
      </c>
      <c r="AK32" s="216"/>
    </row>
    <row r="33" customFormat="false" ht="11.1" hidden="false" customHeight="true" outlineLevel="0" collapsed="false">
      <c r="A33" s="153" t="n">
        <v>22</v>
      </c>
      <c r="B33" s="583" t="n">
        <v>6878.54</v>
      </c>
      <c r="C33" s="575" t="n">
        <v>211820</v>
      </c>
      <c r="D33" s="581" t="n">
        <f aca="false">C33-C32</f>
        <v>-148</v>
      </c>
      <c r="E33" s="575" t="n">
        <f aca="false">C33-151978</f>
        <v>59842</v>
      </c>
      <c r="F33" s="594" t="n">
        <f aca="false">D33/$D$2</f>
        <v>-74.6155785228132</v>
      </c>
      <c r="G33" s="595" t="n">
        <v>292</v>
      </c>
      <c r="H33" s="596" t="n">
        <v>0</v>
      </c>
      <c r="I33" s="595" t="n">
        <f aca="false">G33+H33</f>
        <v>292</v>
      </c>
      <c r="J33" s="597" t="n">
        <f aca="false">IF(L33&gt;0,L33,0)</f>
        <v>0</v>
      </c>
      <c r="K33" s="595" t="n">
        <f aca="false">I33+J33</f>
        <v>292</v>
      </c>
      <c r="L33" s="595" t="n">
        <f aca="false">F33-(I33-AA33)</f>
        <v>-8.61557852281321</v>
      </c>
      <c r="M33" s="598" t="n">
        <v>94</v>
      </c>
      <c r="N33" s="595" t="n">
        <v>0</v>
      </c>
      <c r="O33" s="595" t="n">
        <f aca="false">27.27*1.05</f>
        <v>28.6335</v>
      </c>
      <c r="P33" s="578" t="n">
        <v>1.78</v>
      </c>
      <c r="Q33" s="600" t="n">
        <v>2.45</v>
      </c>
      <c r="R33" s="601" t="n">
        <v>0</v>
      </c>
      <c r="S33" s="595" t="n">
        <v>134</v>
      </c>
      <c r="T33" s="595" t="n">
        <v>43</v>
      </c>
      <c r="U33" s="595" t="n">
        <f aca="false">M33-N33-O33-P33-Q33-R33+S33+T33</f>
        <v>238.1365</v>
      </c>
      <c r="V33" s="575" t="n">
        <f aca="false">V32+AI33-(AJ33/1.9835)</f>
        <v>2495.68874476636</v>
      </c>
      <c r="W33" s="575"/>
      <c r="X33" s="595" t="n">
        <v>44</v>
      </c>
      <c r="Y33" s="595" t="n">
        <v>43</v>
      </c>
      <c r="Z33" s="575" t="n">
        <f aca="false">Z32-Y33</f>
        <v>5515.98361482228</v>
      </c>
      <c r="AA33" s="602" t="n">
        <f aca="false">N33+O33+P33+Q33+R33+U33+X33+Y33</f>
        <v>358</v>
      </c>
      <c r="AB33" s="595" t="n">
        <f aca="false">IF(L33&lt;0,L33*-1,0)</f>
        <v>8.61557852281321</v>
      </c>
      <c r="AC33" s="595" t="n">
        <f aca="false">AA33+AB33</f>
        <v>366.615578522813</v>
      </c>
      <c r="AD33" s="580" t="n">
        <v>0</v>
      </c>
      <c r="AE33" s="581" t="n">
        <v>54</v>
      </c>
      <c r="AF33" s="582" t="n">
        <v>33</v>
      </c>
      <c r="AG33" s="581" t="n">
        <f aca="false">AG32</f>
        <v>0</v>
      </c>
      <c r="AH33" s="218"/>
      <c r="AI33" s="221" t="n">
        <v>0</v>
      </c>
      <c r="AJ33" s="341" t="n">
        <f aca="false">23.5*(V32*1.9835-U33*1.9835)/E33</f>
        <v>1.75914791613148</v>
      </c>
      <c r="AK33" s="216"/>
    </row>
    <row r="34" customFormat="false" ht="11.1" hidden="false" customHeight="true" outlineLevel="0" collapsed="false">
      <c r="A34" s="153" t="n">
        <v>23</v>
      </c>
      <c r="B34" s="583" t="n">
        <v>6878.48</v>
      </c>
      <c r="C34" s="575" t="n">
        <v>211643</v>
      </c>
      <c r="D34" s="581" t="n">
        <f aca="false">C34-C33</f>
        <v>-177</v>
      </c>
      <c r="E34" s="575" t="n">
        <f aca="false">C34-151978</f>
        <v>59665</v>
      </c>
      <c r="F34" s="594" t="n">
        <f aca="false">D34/$D$2</f>
        <v>-89.2361986387698</v>
      </c>
      <c r="G34" s="595" t="n">
        <v>209</v>
      </c>
      <c r="H34" s="596" t="n">
        <v>0</v>
      </c>
      <c r="I34" s="595" t="n">
        <f aca="false">G34+H34</f>
        <v>209</v>
      </c>
      <c r="J34" s="597" t="n">
        <f aca="false">IF(L34&gt;0,L34,0)</f>
        <v>0</v>
      </c>
      <c r="K34" s="595" t="n">
        <f aca="false">I34+J34</f>
        <v>209</v>
      </c>
      <c r="L34" s="595" t="n">
        <f aca="false">F34-(I34-AA34)</f>
        <v>-0.236198638769849</v>
      </c>
      <c r="M34" s="598" t="n">
        <v>91</v>
      </c>
      <c r="N34" s="595" t="n">
        <v>0</v>
      </c>
      <c r="O34" s="595" t="n">
        <f aca="false">35.02*1.05</f>
        <v>36.771</v>
      </c>
      <c r="P34" s="578" t="n">
        <v>1.78</v>
      </c>
      <c r="Q34" s="600" t="n">
        <v>2.51</v>
      </c>
      <c r="R34" s="601" t="n">
        <v>0</v>
      </c>
      <c r="S34" s="595" t="n">
        <v>123</v>
      </c>
      <c r="T34" s="595" t="n">
        <v>42</v>
      </c>
      <c r="U34" s="595" t="n">
        <f aca="false">M34-N34-O34-P34-Q34-R34+S34+T34</f>
        <v>214.939</v>
      </c>
      <c r="V34" s="575" t="n">
        <f aca="false">V33+AI34-(AJ34/1.9835)</f>
        <v>2484.56143555657</v>
      </c>
      <c r="W34" s="575"/>
      <c r="X34" s="595" t="n">
        <v>0</v>
      </c>
      <c r="Y34" s="595" t="n">
        <v>42</v>
      </c>
      <c r="Z34" s="575" t="n">
        <f aca="false">Z33-Y34</f>
        <v>5473.98361482228</v>
      </c>
      <c r="AA34" s="602" t="n">
        <f aca="false">N34+O34+P34+Q34+R34+U34+X34+Y34</f>
        <v>298</v>
      </c>
      <c r="AB34" s="595" t="n">
        <f aca="false">IF(L34&lt;0,L34*-1,0)</f>
        <v>0.236198638769849</v>
      </c>
      <c r="AC34" s="595" t="n">
        <f aca="false">AA34+AB34</f>
        <v>298.23619863877</v>
      </c>
      <c r="AD34" s="580" t="n">
        <v>0</v>
      </c>
      <c r="AE34" s="581" t="n">
        <v>63</v>
      </c>
      <c r="AF34" s="582" t="n">
        <v>34</v>
      </c>
      <c r="AG34" s="581" t="n">
        <f aca="false">AG33</f>
        <v>0</v>
      </c>
      <c r="AH34" s="218"/>
      <c r="AI34" s="221" t="n">
        <f aca="false">(I34-P34-Q34)-(U34)</f>
        <v>-10.229</v>
      </c>
      <c r="AJ34" s="341" t="n">
        <f aca="false">23.5*(V33*1.9835-U34*1.9835)/E34</f>
        <v>1.78179631761478</v>
      </c>
      <c r="AK34" s="216"/>
    </row>
    <row r="35" customFormat="false" ht="11.1" hidden="false" customHeight="true" outlineLevel="0" collapsed="false">
      <c r="A35" s="153" t="n">
        <v>24</v>
      </c>
      <c r="B35" s="583" t="n">
        <v>6878.36</v>
      </c>
      <c r="C35" s="575" t="n">
        <v>211288</v>
      </c>
      <c r="D35" s="581" t="n">
        <f aca="false">C35-C34</f>
        <v>-355</v>
      </c>
      <c r="E35" s="575" t="n">
        <f aca="false">C35-151978</f>
        <v>59310</v>
      </c>
      <c r="F35" s="594" t="n">
        <f aca="false">D35/$D$2</f>
        <v>-178.976556591883</v>
      </c>
      <c r="G35" s="595" t="n">
        <v>170</v>
      </c>
      <c r="H35" s="596" t="n">
        <v>0</v>
      </c>
      <c r="I35" s="595" t="n">
        <f aca="false">G35+H35</f>
        <v>170</v>
      </c>
      <c r="J35" s="597" t="n">
        <f aca="false">IF(L35&gt;0,L35,0)</f>
        <v>0</v>
      </c>
      <c r="K35" s="595" t="n">
        <f aca="false">I35+J35</f>
        <v>170</v>
      </c>
      <c r="L35" s="595" t="n">
        <f aca="false">F35-(I35-AA35)</f>
        <v>-52.976556591883</v>
      </c>
      <c r="M35" s="598" t="n">
        <v>80</v>
      </c>
      <c r="N35" s="595" t="n">
        <v>0</v>
      </c>
      <c r="O35" s="595" t="n">
        <f aca="false">10.92*1.05</f>
        <v>11.466</v>
      </c>
      <c r="P35" s="578" t="n">
        <v>1.78</v>
      </c>
      <c r="Q35" s="600" t="n">
        <v>3.36</v>
      </c>
      <c r="R35" s="601" t="n">
        <v>0</v>
      </c>
      <c r="S35" s="595" t="n">
        <v>116</v>
      </c>
      <c r="T35" s="595" t="n">
        <v>42</v>
      </c>
      <c r="U35" s="595" t="n">
        <f aca="false">M35-N35-O35-P35-Q35-R35+S35+T35</f>
        <v>221.394</v>
      </c>
      <c r="V35" s="575" t="n">
        <f aca="false">V34+AI35-(AJ35/1.9835)</f>
        <v>2427.1307160365</v>
      </c>
      <c r="W35" s="575"/>
      <c r="X35" s="595" t="n">
        <v>16</v>
      </c>
      <c r="Y35" s="595" t="n">
        <v>42</v>
      </c>
      <c r="Z35" s="575" t="n">
        <f aca="false">Z34-Y35</f>
        <v>5431.98361482228</v>
      </c>
      <c r="AA35" s="602" t="n">
        <f aca="false">N35+O35+P35+Q35+R35+U35+X35+Y35</f>
        <v>296</v>
      </c>
      <c r="AB35" s="595" t="n">
        <f aca="false">IF(L35&lt;0,L35*-1,0)</f>
        <v>52.976556591883</v>
      </c>
      <c r="AC35" s="595" t="n">
        <f aca="false">AA35+AB35</f>
        <v>348.976556591883</v>
      </c>
      <c r="AD35" s="580" t="n">
        <v>0</v>
      </c>
      <c r="AE35" s="581" t="n">
        <v>68</v>
      </c>
      <c r="AF35" s="582" t="n">
        <v>39</v>
      </c>
      <c r="AG35" s="581" t="n">
        <f aca="false">AG34</f>
        <v>0</v>
      </c>
      <c r="AH35" s="218"/>
      <c r="AI35" s="221" t="n">
        <f aca="false">(I35-P35-Q35)-(U35)</f>
        <v>-56.534</v>
      </c>
      <c r="AJ35" s="341" t="n">
        <f aca="false">23.5*(V34*1.9835-U35*1.9835)/E35</f>
        <v>1.77864316806646</v>
      </c>
      <c r="AK35" s="216"/>
    </row>
    <row r="36" customFormat="false" ht="11.1" hidden="false" customHeight="true" outlineLevel="0" collapsed="false">
      <c r="A36" s="153" t="n">
        <v>25</v>
      </c>
      <c r="B36" s="583" t="n">
        <v>6878.28</v>
      </c>
      <c r="C36" s="575" t="n">
        <v>211052</v>
      </c>
      <c r="D36" s="581" t="n">
        <f aca="false">C36-C35</f>
        <v>-236</v>
      </c>
      <c r="E36" s="575" t="n">
        <f aca="false">C36-151978</f>
        <v>59074</v>
      </c>
      <c r="F36" s="594" t="n">
        <f aca="false">D36/$D$2</f>
        <v>-118.981598185026</v>
      </c>
      <c r="G36" s="595" t="n">
        <v>150</v>
      </c>
      <c r="H36" s="596" t="n">
        <v>0</v>
      </c>
      <c r="I36" s="595" t="n">
        <f aca="false">G36+H36</f>
        <v>150</v>
      </c>
      <c r="J36" s="597" t="n">
        <f aca="false">IF(L36&gt;0,L36,0)</f>
        <v>15.0184018149735</v>
      </c>
      <c r="K36" s="595" t="n">
        <f aca="false">I36+J36</f>
        <v>165.018401814974</v>
      </c>
      <c r="L36" s="595" t="n">
        <f aca="false">F36-(I36-AA36)</f>
        <v>15.0184018149735</v>
      </c>
      <c r="M36" s="598" t="n">
        <v>84</v>
      </c>
      <c r="N36" s="595" t="n">
        <v>0</v>
      </c>
      <c r="O36" s="595" t="n">
        <f aca="false">6.86*1.05</f>
        <v>7.203</v>
      </c>
      <c r="P36" s="578" t="n">
        <v>1.78</v>
      </c>
      <c r="Q36" s="600" t="n">
        <v>2.81</v>
      </c>
      <c r="R36" s="601" t="n">
        <v>0</v>
      </c>
      <c r="S36" s="595" t="n">
        <v>116</v>
      </c>
      <c r="T36" s="595" t="n">
        <v>43</v>
      </c>
      <c r="U36" s="595" t="n">
        <f aca="false">M36-N36-O36-P36-Q36-R36+S36+T36</f>
        <v>231.207</v>
      </c>
      <c r="V36" s="575" t="n">
        <f aca="false">V35+AI36-(AJ36/1.9835)</f>
        <v>2340.46016409611</v>
      </c>
      <c r="W36" s="575"/>
      <c r="X36" s="595" t="n">
        <v>0</v>
      </c>
      <c r="Y36" s="595" t="n">
        <v>41</v>
      </c>
      <c r="Z36" s="575" t="n">
        <f aca="false">Z35-Y36</f>
        <v>5390.98361482228</v>
      </c>
      <c r="AA36" s="602" t="n">
        <f aca="false">N36+O36+P36+Q36+R36+U36+X36+Y36</f>
        <v>284</v>
      </c>
      <c r="AB36" s="595" t="n">
        <f aca="false">IF(L36&lt;0,L36*-1,0)</f>
        <v>0</v>
      </c>
      <c r="AC36" s="595" t="n">
        <f aca="false">AA36+AB36</f>
        <v>284</v>
      </c>
      <c r="AD36" s="580" t="n">
        <v>0</v>
      </c>
      <c r="AE36" s="581" t="n">
        <v>69</v>
      </c>
      <c r="AF36" s="582" t="n">
        <v>39</v>
      </c>
      <c r="AG36" s="581" t="n">
        <f aca="false">AG35</f>
        <v>0</v>
      </c>
      <c r="AH36" s="218"/>
      <c r="AI36" s="221" t="n">
        <f aca="false">(I36-P36-Q36)-(U36)</f>
        <v>-85.797</v>
      </c>
      <c r="AJ36" s="341" t="n">
        <f aca="false">23.5*(V35*1.9835-U36*1.9835)/E36</f>
        <v>1.73269027377226</v>
      </c>
      <c r="AK36" s="216"/>
    </row>
    <row r="37" customFormat="false" ht="11.1" hidden="false" customHeight="true" outlineLevel="0" collapsed="false">
      <c r="A37" s="153" t="n">
        <v>26</v>
      </c>
      <c r="B37" s="583" t="n">
        <v>6878.13</v>
      </c>
      <c r="C37" s="575" t="n">
        <v>210609</v>
      </c>
      <c r="D37" s="581" t="n">
        <f aca="false">C37-C36</f>
        <v>-443</v>
      </c>
      <c r="E37" s="575" t="n">
        <f aca="false">C37-151978</f>
        <v>58631</v>
      </c>
      <c r="F37" s="594" t="n">
        <f aca="false">D37/$D$2</f>
        <v>-223.342576254096</v>
      </c>
      <c r="G37" s="595" t="n">
        <v>134</v>
      </c>
      <c r="H37" s="596" t="n">
        <v>0</v>
      </c>
      <c r="I37" s="595" t="n">
        <f aca="false">G37+H37</f>
        <v>134</v>
      </c>
      <c r="J37" s="597" t="n">
        <f aca="false">IF(L37&gt;0,L37,0)</f>
        <v>0</v>
      </c>
      <c r="K37" s="595" t="n">
        <f aca="false">I37+J37</f>
        <v>134</v>
      </c>
      <c r="L37" s="595" t="n">
        <f aca="false">F37-(I37-AA37)</f>
        <v>-64.3425762540963</v>
      </c>
      <c r="M37" s="598" t="n">
        <v>86</v>
      </c>
      <c r="N37" s="595" t="n">
        <v>0</v>
      </c>
      <c r="O37" s="595" t="n">
        <f aca="false">6.25*1.05</f>
        <v>6.5625</v>
      </c>
      <c r="P37" s="578" t="n">
        <v>1.78</v>
      </c>
      <c r="Q37" s="600" t="n">
        <v>3.16</v>
      </c>
      <c r="R37" s="601" t="n">
        <v>0</v>
      </c>
      <c r="S37" s="595" t="n">
        <v>115</v>
      </c>
      <c r="T37" s="595" t="n">
        <v>42</v>
      </c>
      <c r="U37" s="595" t="n">
        <f aca="false">M37-N37-O37-P37-Q37-R37+S37+T37</f>
        <v>231.4975</v>
      </c>
      <c r="V37" s="575" t="n">
        <f aca="false">V36+AI37-(AJ37/1.9835)</f>
        <v>2237.17736685393</v>
      </c>
      <c r="W37" s="575"/>
      <c r="X37" s="595" t="n">
        <v>10</v>
      </c>
      <c r="Y37" s="595" t="n">
        <v>40</v>
      </c>
      <c r="Z37" s="575" t="n">
        <f aca="false">Z36-Y37</f>
        <v>5350.98361482228</v>
      </c>
      <c r="AA37" s="602" t="n">
        <f aca="false">N37+O37+P37+Q37+R37+U37+X37+Y37</f>
        <v>293</v>
      </c>
      <c r="AB37" s="595" t="n">
        <f aca="false">IF(L37&lt;0,L37*-1,0)</f>
        <v>64.3425762540963</v>
      </c>
      <c r="AC37" s="595" t="n">
        <f aca="false">AA37+AB37</f>
        <v>357.342576254096</v>
      </c>
      <c r="AD37" s="580" t="n">
        <v>0</v>
      </c>
      <c r="AE37" s="581" t="n">
        <v>70</v>
      </c>
      <c r="AF37" s="582" t="n">
        <v>39</v>
      </c>
      <c r="AG37" s="581" t="n">
        <f aca="false">AG36</f>
        <v>0</v>
      </c>
      <c r="AH37" s="218"/>
      <c r="AI37" s="221" t="n">
        <f aca="false">(I37-P37-Q37)-(U37)</f>
        <v>-102.4375</v>
      </c>
      <c r="AJ37" s="341" t="n">
        <f aca="false">23.5*(V36*1.9835-U37*1.9835)/E37</f>
        <v>1.67664707986413</v>
      </c>
      <c r="AK37" s="216"/>
    </row>
    <row r="38" customFormat="false" ht="11.1" hidden="false" customHeight="true" outlineLevel="0" collapsed="false">
      <c r="A38" s="153" t="n">
        <v>27</v>
      </c>
      <c r="B38" s="583" t="n">
        <v>6878.01</v>
      </c>
      <c r="C38" s="575" t="n">
        <v>210254</v>
      </c>
      <c r="D38" s="581" t="n">
        <f aca="false">C38-C37</f>
        <v>-355</v>
      </c>
      <c r="E38" s="575" t="n">
        <f aca="false">C38-151978</f>
        <v>58276</v>
      </c>
      <c r="F38" s="594" t="n">
        <f aca="false">D38/$D$2</f>
        <v>-178.976556591883</v>
      </c>
      <c r="G38" s="595" t="n">
        <v>121</v>
      </c>
      <c r="H38" s="596" t="n">
        <v>0</v>
      </c>
      <c r="I38" s="595" t="n">
        <f aca="false">G38+H38</f>
        <v>121</v>
      </c>
      <c r="J38" s="597" t="n">
        <f aca="false">IF(L38&gt;0,L38,0)</f>
        <v>11.023443408117</v>
      </c>
      <c r="K38" s="595" t="n">
        <f aca="false">I38+J38</f>
        <v>132.023443408117</v>
      </c>
      <c r="L38" s="595" t="n">
        <f aca="false">F38-(I38-AA38)</f>
        <v>11.023443408117</v>
      </c>
      <c r="M38" s="598" t="n">
        <v>109</v>
      </c>
      <c r="N38" s="595" t="n">
        <v>0</v>
      </c>
      <c r="O38" s="595" t="n">
        <f aca="false">26.08*1.05</f>
        <v>27.384</v>
      </c>
      <c r="P38" s="578" t="n">
        <v>1.78</v>
      </c>
      <c r="Q38" s="600" t="n">
        <v>4.2</v>
      </c>
      <c r="R38" s="601" t="n">
        <v>0.22</v>
      </c>
      <c r="S38" s="595" t="n">
        <v>109</v>
      </c>
      <c r="T38" s="595" t="n">
        <v>43</v>
      </c>
      <c r="U38" s="595" t="n">
        <f aca="false">M38-N38-O38-P38-Q38-R38+S38+T38</f>
        <v>227.416</v>
      </c>
      <c r="V38" s="575" t="n">
        <f aca="false">V37+AI38-(AJ38/1.9835)</f>
        <v>2123.97092358189</v>
      </c>
      <c r="W38" s="575"/>
      <c r="X38" s="595" t="n">
        <v>10</v>
      </c>
      <c r="Y38" s="595" t="n">
        <v>40</v>
      </c>
      <c r="Z38" s="575" t="n">
        <f aca="false">Z37-Y38</f>
        <v>5310.98361482228</v>
      </c>
      <c r="AA38" s="602" t="n">
        <f aca="false">N38+O38+P38+Q38+R38+U38+X38+Y38</f>
        <v>311</v>
      </c>
      <c r="AB38" s="595" t="n">
        <f aca="false">IF(L38&lt;0,L38*-1,0)</f>
        <v>0</v>
      </c>
      <c r="AC38" s="595" t="n">
        <f aca="false">AA38+AB38</f>
        <v>311</v>
      </c>
      <c r="AD38" s="580" t="n">
        <v>0</v>
      </c>
      <c r="AE38" s="581" t="n">
        <v>73</v>
      </c>
      <c r="AF38" s="582" t="n">
        <v>43</v>
      </c>
      <c r="AG38" s="581" t="n">
        <f aca="false">AG37</f>
        <v>0</v>
      </c>
      <c r="AH38" s="218"/>
      <c r="AI38" s="221" t="n">
        <f aca="false">(I38-P38-Q38)-(U38)</f>
        <v>-112.396</v>
      </c>
      <c r="AJ38" s="341" t="n">
        <f aca="false">23.5*(V37*1.9835-U38*1.9835)/E38</f>
        <v>1.60751423007991</v>
      </c>
      <c r="AK38" s="216"/>
    </row>
    <row r="39" customFormat="false" ht="11.1" hidden="false" customHeight="true" outlineLevel="0" collapsed="false">
      <c r="A39" s="153" t="n">
        <v>28</v>
      </c>
      <c r="B39" s="583" t="n">
        <v>6877.86</v>
      </c>
      <c r="C39" s="575" t="n">
        <v>209816</v>
      </c>
      <c r="D39" s="581" t="n">
        <f aca="false">C39-C38</f>
        <v>-438</v>
      </c>
      <c r="E39" s="575" t="n">
        <f aca="false">C39-151978</f>
        <v>57838</v>
      </c>
      <c r="F39" s="594" t="n">
        <f aca="false">D39/$D$2</f>
        <v>-220.82177968238</v>
      </c>
      <c r="G39" s="595" t="n">
        <v>113</v>
      </c>
      <c r="H39" s="596" t="n">
        <v>0</v>
      </c>
      <c r="I39" s="595" t="n">
        <f aca="false">G39+H39</f>
        <v>113</v>
      </c>
      <c r="J39" s="597" t="n">
        <f aca="false">IF(L39&gt;0,L39,0)</f>
        <v>0</v>
      </c>
      <c r="K39" s="595" t="n">
        <f aca="false">I39+J39</f>
        <v>113</v>
      </c>
      <c r="L39" s="595" t="n">
        <f aca="false">F39-(I39-AA39)</f>
        <v>-4.82177968237963</v>
      </c>
      <c r="M39" s="598" t="n">
        <v>141</v>
      </c>
      <c r="N39" s="595" t="n">
        <v>0</v>
      </c>
      <c r="O39" s="595" t="n">
        <f aca="false">46.456*1.05</f>
        <v>48.7788</v>
      </c>
      <c r="P39" s="578" t="n">
        <v>1.78</v>
      </c>
      <c r="Q39" s="600" t="n">
        <v>4.2</v>
      </c>
      <c r="R39" s="601" t="n">
        <v>0.58</v>
      </c>
      <c r="S39" s="595" t="n">
        <v>105</v>
      </c>
      <c r="T39" s="595" t="n">
        <v>43</v>
      </c>
      <c r="U39" s="595" t="n">
        <f aca="false">M39-N39-O39-P39-Q39-R39+S39+T39</f>
        <v>233.6612</v>
      </c>
      <c r="V39" s="575" t="n">
        <f aca="false">V38+AI39-(AJ39/1.9835)</f>
        <v>1996.5616769948</v>
      </c>
      <c r="W39" s="575"/>
      <c r="X39" s="595" t="n">
        <v>0</v>
      </c>
      <c r="Y39" s="595" t="n">
        <v>40</v>
      </c>
      <c r="Z39" s="575" t="n">
        <f aca="false">Z38-Y39</f>
        <v>5270.98361482228</v>
      </c>
      <c r="AA39" s="602" t="n">
        <f aca="false">N39+O39+P39+Q39+R39+U39+X39+Y39</f>
        <v>329</v>
      </c>
      <c r="AB39" s="595" t="n">
        <f aca="false">IF(L39&lt;0,L39*-1,0)</f>
        <v>4.82177968237963</v>
      </c>
      <c r="AC39" s="595" t="n">
        <f aca="false">AA39+AB39</f>
        <v>333.82177968238</v>
      </c>
      <c r="AD39" s="580" t="n">
        <v>0.02</v>
      </c>
      <c r="AE39" s="581" t="n">
        <v>72</v>
      </c>
      <c r="AF39" s="582" t="n">
        <v>45</v>
      </c>
      <c r="AG39" s="581" t="n">
        <f aca="false">AG38</f>
        <v>0</v>
      </c>
      <c r="AH39" s="218"/>
      <c r="AI39" s="221" t="n">
        <f aca="false">(I39-P39-Q39)-(U39)</f>
        <v>-126.6412</v>
      </c>
      <c r="AJ39" s="341" t="n">
        <f aca="false">23.5*(V38*1.9835-U39*1.9835)/E39</f>
        <v>1.52342040549518</v>
      </c>
      <c r="AK39" s="216"/>
    </row>
    <row r="40" customFormat="false" ht="11.1" hidden="false" customHeight="true" outlineLevel="0" collapsed="false">
      <c r="A40" s="153" t="n">
        <v>29</v>
      </c>
      <c r="B40" s="583" t="n">
        <v>6877.86</v>
      </c>
      <c r="C40" s="575" t="n">
        <v>209816</v>
      </c>
      <c r="D40" s="581" t="n">
        <f aca="false">C40-C39</f>
        <v>0</v>
      </c>
      <c r="E40" s="575" t="n">
        <f aca="false">C40-151978</f>
        <v>57838</v>
      </c>
      <c r="F40" s="594" t="n">
        <f aca="false">D40/$D$2</f>
        <v>0</v>
      </c>
      <c r="G40" s="595" t="n">
        <v>154</v>
      </c>
      <c r="H40" s="596" t="n">
        <v>0</v>
      </c>
      <c r="I40" s="595" t="n">
        <f aca="false">G40+H40</f>
        <v>154</v>
      </c>
      <c r="J40" s="597" t="n">
        <f aca="false">IF(L40&gt;0,L40,0)</f>
        <v>132</v>
      </c>
      <c r="K40" s="595" t="n">
        <f aca="false">I40+J40</f>
        <v>286</v>
      </c>
      <c r="L40" s="595" t="n">
        <f aca="false">F40-(I40-AA40)</f>
        <v>132</v>
      </c>
      <c r="M40" s="598" t="n">
        <v>103</v>
      </c>
      <c r="N40" s="595" t="n">
        <v>0</v>
      </c>
      <c r="O40" s="595" t="n">
        <f aca="false">42.88*1.05</f>
        <v>45.024</v>
      </c>
      <c r="P40" s="578" t="n">
        <v>1.78</v>
      </c>
      <c r="Q40" s="600" t="n">
        <v>2.743</v>
      </c>
      <c r="R40" s="601" t="n">
        <v>0</v>
      </c>
      <c r="S40" s="595" t="n">
        <v>101</v>
      </c>
      <c r="T40" s="595" t="n">
        <v>41</v>
      </c>
      <c r="U40" s="595" t="n">
        <f aca="false">M40-N40-O40-P40-Q40-R40+S40+T40</f>
        <v>195.453</v>
      </c>
      <c r="V40" s="575" t="n">
        <f aca="false">V39+AI40-(AJ40/1.9835)</f>
        <v>1949.85387344161</v>
      </c>
      <c r="W40" s="575"/>
      <c r="X40" s="595" t="n">
        <v>0</v>
      </c>
      <c r="Y40" s="595" t="n">
        <v>41</v>
      </c>
      <c r="Z40" s="575" t="n">
        <f aca="false">Z39-Y40</f>
        <v>5229.98361482228</v>
      </c>
      <c r="AA40" s="602" t="n">
        <f aca="false">N40+O40+P40+Q40+R40+U40+X40+Y40</f>
        <v>286</v>
      </c>
      <c r="AB40" s="595" t="n">
        <f aca="false">IF(L40&lt;0,L40*-1,0)</f>
        <v>0</v>
      </c>
      <c r="AC40" s="595" t="n">
        <f aca="false">AA40+AB40</f>
        <v>286</v>
      </c>
      <c r="AD40" s="580" t="n">
        <v>1.11</v>
      </c>
      <c r="AE40" s="581" t="n">
        <v>52</v>
      </c>
      <c r="AF40" s="582" t="n">
        <v>43</v>
      </c>
      <c r="AG40" s="581" t="n">
        <f aca="false">AG39</f>
        <v>0</v>
      </c>
      <c r="AH40" s="218"/>
      <c r="AI40" s="221" t="n">
        <f aca="false">(I40-P40-Q40)-(U40)</f>
        <v>-45.976</v>
      </c>
      <c r="AJ40" s="341" t="n">
        <f aca="false">23.5*(V39*1.9835-U40*1.9835)/E40</f>
        <v>1.45153234775149</v>
      </c>
      <c r="AK40" s="216"/>
    </row>
    <row r="41" customFormat="false" ht="11.1" hidden="false" customHeight="true" outlineLevel="0" collapsed="false">
      <c r="A41" s="153" t="n">
        <v>30</v>
      </c>
      <c r="B41" s="583" t="n">
        <v>6877.81</v>
      </c>
      <c r="C41" s="575" t="n">
        <v>209670</v>
      </c>
      <c r="D41" s="581" t="n">
        <f aca="false">C41-C40</f>
        <v>-146</v>
      </c>
      <c r="E41" s="575" t="n">
        <f aca="false">C41-151978</f>
        <v>57692</v>
      </c>
      <c r="F41" s="594" t="n">
        <f aca="false">D41/$D$2</f>
        <v>-73.6072598941265</v>
      </c>
      <c r="G41" s="595" t="n">
        <v>226</v>
      </c>
      <c r="H41" s="596" t="n">
        <v>0</v>
      </c>
      <c r="I41" s="595" t="n">
        <f aca="false">G41+H41</f>
        <v>226</v>
      </c>
      <c r="J41" s="597" t="n">
        <f aca="false">IF(L41&gt;0,L41,0)</f>
        <v>59.3927401058735</v>
      </c>
      <c r="K41" s="595" t="n">
        <f aca="false">I41+J41</f>
        <v>285.392740105873</v>
      </c>
      <c r="L41" s="595" t="n">
        <f aca="false">F41-(I41-AA41)</f>
        <v>59.3927401058735</v>
      </c>
      <c r="M41" s="598" t="n">
        <v>64</v>
      </c>
      <c r="N41" s="595" t="n">
        <v>0</v>
      </c>
      <c r="O41" s="595" t="n">
        <f aca="false">8.04*0.105</f>
        <v>0.8442</v>
      </c>
      <c r="P41" s="578" t="n">
        <v>1.78</v>
      </c>
      <c r="Q41" s="600" t="n">
        <v>3.08</v>
      </c>
      <c r="R41" s="601" t="n">
        <v>0</v>
      </c>
      <c r="S41" s="595" t="n">
        <v>84</v>
      </c>
      <c r="T41" s="595" t="n">
        <v>40</v>
      </c>
      <c r="U41" s="595" t="n">
        <f aca="false">M41-N41-O41-P41-Q41-R41+S41+T41</f>
        <v>182.2958</v>
      </c>
      <c r="V41" s="575" t="n">
        <f aca="false">V40+AI41-(AJ41/1.9835)</f>
        <v>1949.13388427975</v>
      </c>
      <c r="W41" s="575"/>
      <c r="X41" s="595" t="n">
        <v>0</v>
      </c>
      <c r="Y41" s="595" t="n">
        <v>171</v>
      </c>
      <c r="Z41" s="575" t="n">
        <f aca="false">Z40-Y41</f>
        <v>5058.98361482228</v>
      </c>
      <c r="AA41" s="602" t="n">
        <f aca="false">N41+O41+P41+Q41+R41+U41+X41+Y41</f>
        <v>359</v>
      </c>
      <c r="AB41" s="595" t="n">
        <f aca="false">IF(L41&lt;0,L41*-1,0)</f>
        <v>0</v>
      </c>
      <c r="AC41" s="595" t="n">
        <f aca="false">AA41+AB41</f>
        <v>359</v>
      </c>
      <c r="AD41" s="580" t="n">
        <v>0.42</v>
      </c>
      <c r="AE41" s="603" t="n">
        <v>59</v>
      </c>
      <c r="AF41" s="582" t="n">
        <v>39</v>
      </c>
      <c r="AG41" s="581" t="n">
        <f aca="false">AG40</f>
        <v>0</v>
      </c>
      <c r="AH41" s="218"/>
      <c r="AI41" s="221" t="n">
        <v>0</v>
      </c>
      <c r="AJ41" s="341" t="n">
        <f aca="false">23.5*(V40*1.9835-U41*1.9835)/E41</f>
        <v>1.42809850254418</v>
      </c>
      <c r="AK41" s="216"/>
    </row>
    <row r="42" customFormat="false" ht="3" hidden="false" customHeight="true" outlineLevel="0" collapsed="false">
      <c r="A42" s="227"/>
      <c r="B42" s="604"/>
      <c r="C42" s="586"/>
      <c r="D42" s="502"/>
      <c r="E42" s="586"/>
      <c r="F42" s="587"/>
      <c r="G42" s="502"/>
      <c r="H42" s="588"/>
      <c r="I42" s="502"/>
      <c r="J42" s="502"/>
      <c r="K42" s="502"/>
      <c r="L42" s="502"/>
      <c r="M42" s="589"/>
      <c r="N42" s="502"/>
      <c r="O42" s="502"/>
      <c r="P42" s="590"/>
      <c r="Q42" s="590"/>
      <c r="R42" s="591"/>
      <c r="S42" s="502"/>
      <c r="T42" s="502"/>
      <c r="U42" s="502"/>
      <c r="V42" s="586"/>
      <c r="W42" s="586"/>
      <c r="X42" s="502"/>
      <c r="Y42" s="502"/>
      <c r="Z42" s="502"/>
      <c r="AA42" s="502"/>
      <c r="AB42" s="502"/>
      <c r="AC42" s="502"/>
      <c r="AD42" s="592"/>
      <c r="AE42" s="504"/>
      <c r="AF42" s="593"/>
      <c r="AG42" s="504"/>
      <c r="AH42" s="237"/>
      <c r="AI42" s="235"/>
      <c r="AJ42" s="441"/>
      <c r="AK42" s="441"/>
    </row>
    <row r="43" customFormat="false" ht="11.1" hidden="false" customHeight="true" outlineLevel="0" collapsed="false">
      <c r="A43" s="154" t="s">
        <v>69</v>
      </c>
      <c r="B43" s="573"/>
      <c r="C43" s="575"/>
      <c r="D43" s="575"/>
      <c r="E43" s="575"/>
      <c r="F43" s="576" t="n">
        <f aca="false">SUM(F12:F41)</f>
        <v>-9004.28535417192</v>
      </c>
      <c r="G43" s="575" t="n">
        <f aca="false">SUM(G12:G41)</f>
        <v>5938</v>
      </c>
      <c r="H43" s="575" t="n">
        <f aca="false">SUM(H12:H41)</f>
        <v>0</v>
      </c>
      <c r="I43" s="575" t="n">
        <f aca="false">SUM(I12:I41)</f>
        <v>5938</v>
      </c>
      <c r="J43" s="575" t="n">
        <f aca="false">SUM(J12:J41)</f>
        <v>695.11494832367</v>
      </c>
      <c r="K43" s="575" t="n">
        <f aca="false">SUM(K12:K41)</f>
        <v>6633.11494832367</v>
      </c>
      <c r="L43" s="575" t="n">
        <f aca="false">SUM(L12:L41)</f>
        <v>-80.2853541719179</v>
      </c>
      <c r="M43" s="577" t="n">
        <f aca="false">SUM(M12:M41)</f>
        <v>4625</v>
      </c>
      <c r="N43" s="575" t="n">
        <f aca="false">SUM(N12:N41)</f>
        <v>0</v>
      </c>
      <c r="O43" s="575" t="n">
        <f aca="false">SUM(O12:O41)</f>
        <v>769.86</v>
      </c>
      <c r="P43" s="581" t="n">
        <f aca="false">SUM(P12:P41)</f>
        <v>53.4</v>
      </c>
      <c r="Q43" s="581" t="n">
        <f aca="false">SUM(Q12:Q41)</f>
        <v>115.363</v>
      </c>
      <c r="R43" s="584" t="n">
        <f aca="false">SUM(R12:R41)</f>
        <v>32.12</v>
      </c>
      <c r="S43" s="575" t="n">
        <f aca="false">SUM(S12:S41)</f>
        <v>4175</v>
      </c>
      <c r="T43" s="575" t="n">
        <f aca="false">SUM(T12:T41)</f>
        <v>1661</v>
      </c>
      <c r="U43" s="575" t="n">
        <f aca="false">SUM(U12:U41)</f>
        <v>9490.257</v>
      </c>
      <c r="V43" s="575"/>
      <c r="W43" s="575" t="n">
        <f aca="false">SUM(W12:W41)</f>
        <v>0</v>
      </c>
      <c r="X43" s="575" t="n">
        <f aca="false">SUM(X12:X41)</f>
        <v>2608</v>
      </c>
      <c r="Y43" s="575" t="n">
        <f aca="false">SUM(Y12:Y41)</f>
        <v>1793</v>
      </c>
      <c r="Z43" s="575"/>
      <c r="AA43" s="575" t="n">
        <f aca="false">SUM(AA12:AA41)</f>
        <v>14862</v>
      </c>
      <c r="AB43" s="575" t="n">
        <f aca="false">SUM(AB12:AB41)</f>
        <v>775.400302495588</v>
      </c>
      <c r="AC43" s="575" t="n">
        <f aca="false">SUM(AC12:AC41)</f>
        <v>15637.4003024956</v>
      </c>
      <c r="AD43" s="580" t="n">
        <f aca="false">SUM(AD12:AD41)</f>
        <v>4.01</v>
      </c>
      <c r="AE43" s="581" t="n">
        <f aca="false">AVERAGE(AE12:AE41)</f>
        <v>71.8</v>
      </c>
      <c r="AF43" s="582" t="n">
        <f aca="false">AVERAGE(AF12:AF41)</f>
        <v>44.8333333333333</v>
      </c>
      <c r="AG43" s="581" t="s">
        <v>98</v>
      </c>
      <c r="AH43" s="575" t="n">
        <f aca="false">SUM(AH12:AH41)</f>
        <v>0</v>
      </c>
      <c r="AI43" s="221"/>
      <c r="AJ43" s="341"/>
      <c r="AK43" s="218" t="n">
        <f aca="false">SUM(AK12:AK41)</f>
        <v>0</v>
      </c>
    </row>
    <row r="44" customFormat="false" ht="11.1" hidden="false" customHeight="true" outlineLevel="0" collapsed="false">
      <c r="A44" s="154" t="s">
        <v>71</v>
      </c>
      <c r="B44" s="573"/>
      <c r="C44" s="575"/>
      <c r="D44" s="575" t="n">
        <f aca="false">SUM(D12:D41)</f>
        <v>-17860</v>
      </c>
      <c r="E44" s="575"/>
      <c r="F44" s="576" t="n">
        <f aca="false">F43*$D$2</f>
        <v>-17860</v>
      </c>
      <c r="G44" s="575" t="n">
        <f aca="false">G43*$D$2</f>
        <v>11778.023</v>
      </c>
      <c r="H44" s="575" t="n">
        <f aca="false">H43*$D$2</f>
        <v>0</v>
      </c>
      <c r="I44" s="575" t="n">
        <f aca="false">I43*$D$2</f>
        <v>11778.023</v>
      </c>
      <c r="J44" s="575" t="n">
        <f aca="false">J43*$D$2</f>
        <v>1378.7605</v>
      </c>
      <c r="K44" s="575" t="n">
        <f aca="false">K43*$D$2</f>
        <v>13156.7835</v>
      </c>
      <c r="L44" s="575" t="n">
        <f aca="false">L43*$D$2</f>
        <v>-159.245999999999</v>
      </c>
      <c r="M44" s="577" t="n">
        <f aca="false">M43*$D$2</f>
        <v>9173.6875</v>
      </c>
      <c r="N44" s="575" t="n">
        <f aca="false">N43*$D$2</f>
        <v>0</v>
      </c>
      <c r="O44" s="575" t="n">
        <f aca="false">O43*$D$2</f>
        <v>1527.01731</v>
      </c>
      <c r="P44" s="581" t="n">
        <f aca="false">P43*$D$2</f>
        <v>105.9189</v>
      </c>
      <c r="Q44" s="581" t="n">
        <f aca="false">Q43*$D$2</f>
        <v>228.8225105</v>
      </c>
      <c r="R44" s="584" t="n">
        <f aca="false">R43*$D$2</f>
        <v>63.71002</v>
      </c>
      <c r="S44" s="575" t="n">
        <f aca="false">S43*$D$2</f>
        <v>8281.1125</v>
      </c>
      <c r="T44" s="575" t="n">
        <f aca="false">T43*$D$2</f>
        <v>3294.5935</v>
      </c>
      <c r="U44" s="575" t="n">
        <f aca="false">U43*$D$2</f>
        <v>18823.9247595</v>
      </c>
      <c r="V44" s="575"/>
      <c r="W44" s="575" t="n">
        <f aca="false">W43*$D$2</f>
        <v>0</v>
      </c>
      <c r="X44" s="575" t="n">
        <f aca="false">X43*$D$2</f>
        <v>5172.968</v>
      </c>
      <c r="Y44" s="575" t="n">
        <f aca="false">Y43*$D$2</f>
        <v>3556.4155</v>
      </c>
      <c r="Z44" s="575"/>
      <c r="AA44" s="575" t="n">
        <f aca="false">AA43*$D$2</f>
        <v>29478.777</v>
      </c>
      <c r="AB44" s="575" t="n">
        <f aca="false">AB43*$D$2</f>
        <v>1538.0065</v>
      </c>
      <c r="AC44" s="575" t="n">
        <f aca="false">AC43*$D$2</f>
        <v>31016.7835</v>
      </c>
      <c r="AD44" s="580"/>
      <c r="AE44" s="581" t="n">
        <f aca="false">MAX(AE12:AE41)</f>
        <v>83</v>
      </c>
      <c r="AF44" s="582" t="n">
        <f aca="false">MAX(AF12:AF41)</f>
        <v>54</v>
      </c>
      <c r="AG44" s="581" t="s">
        <v>72</v>
      </c>
      <c r="AH44" s="575" t="n">
        <f aca="false">AH43*$D$2</f>
        <v>0</v>
      </c>
      <c r="AI44" s="221"/>
      <c r="AJ44" s="341" t="n">
        <f aca="false">SUM(AJ12:AJ41)</f>
        <v>77.253817258418</v>
      </c>
      <c r="AK44" s="218" t="n">
        <f aca="false">AK43*$D$2</f>
        <v>0</v>
      </c>
    </row>
    <row r="45" customFormat="false" ht="3" hidden="false" customHeight="true" outlineLevel="0" collapsed="false">
      <c r="A45" s="247"/>
      <c r="B45" s="604"/>
      <c r="C45" s="586"/>
      <c r="D45" s="586"/>
      <c r="E45" s="586"/>
      <c r="F45" s="605"/>
      <c r="G45" s="586"/>
      <c r="H45" s="586"/>
      <c r="I45" s="586"/>
      <c r="J45" s="586"/>
      <c r="K45" s="586"/>
      <c r="L45" s="586"/>
      <c r="M45" s="606"/>
      <c r="N45" s="586"/>
      <c r="O45" s="586"/>
      <c r="P45" s="504"/>
      <c r="Q45" s="504"/>
      <c r="R45" s="607"/>
      <c r="S45" s="586"/>
      <c r="T45" s="586"/>
      <c r="U45" s="586"/>
      <c r="V45" s="586"/>
      <c r="W45" s="586"/>
      <c r="X45" s="586"/>
      <c r="Y45" s="586"/>
      <c r="Z45" s="502"/>
      <c r="AA45" s="586"/>
      <c r="AB45" s="586"/>
      <c r="AC45" s="586"/>
      <c r="AD45" s="608"/>
      <c r="AE45" s="586"/>
      <c r="AF45" s="605"/>
      <c r="AG45" s="586"/>
      <c r="AH45" s="229"/>
      <c r="AI45" s="235"/>
      <c r="AJ45" s="441"/>
      <c r="AK45" s="237"/>
    </row>
    <row r="46" customFormat="false" ht="11.1" hidden="false" customHeight="true" outlineLevel="0" collapsed="false">
      <c r="A46" s="154" t="s">
        <v>73</v>
      </c>
      <c r="B46" s="573"/>
      <c r="C46" s="575"/>
      <c r="D46" s="575"/>
      <c r="E46" s="575"/>
      <c r="F46" s="576" t="n">
        <f aca="false">F9+F43</f>
        <v>10497.1010839425</v>
      </c>
      <c r="G46" s="575" t="n">
        <f aca="false">G9+G43</f>
        <v>106772</v>
      </c>
      <c r="H46" s="575" t="n">
        <f aca="false">H9+H43</f>
        <v>1957.56</v>
      </c>
      <c r="I46" s="575" t="n">
        <f aca="false">I9+I43</f>
        <v>108729.56</v>
      </c>
      <c r="J46" s="575" t="n">
        <f aca="false">J9+J43</f>
        <v>9682.88076632216</v>
      </c>
      <c r="K46" s="575" t="n">
        <f aca="false">K9+K43</f>
        <v>118412.440766322</v>
      </c>
      <c r="L46" s="575" t="n">
        <f aca="false">L9+L43</f>
        <v>5201.74108394253</v>
      </c>
      <c r="M46" s="577" t="n">
        <f aca="false">M9+M43</f>
        <v>38442.2</v>
      </c>
      <c r="N46" s="575" t="n">
        <f aca="false">N9+N43</f>
        <v>102.85</v>
      </c>
      <c r="O46" s="575" t="n">
        <f aca="false">O9+O43</f>
        <v>11338.8555</v>
      </c>
      <c r="P46" s="581"/>
      <c r="Q46" s="581"/>
      <c r="R46" s="584"/>
      <c r="S46" s="575" t="n">
        <f aca="false">S9+S43</f>
        <v>18955</v>
      </c>
      <c r="T46" s="575" t="n">
        <f aca="false">T9+T43</f>
        <v>10403.7</v>
      </c>
      <c r="U46" s="575" t="n">
        <f aca="false">U9+U43</f>
        <v>54930.3835</v>
      </c>
      <c r="V46" s="575" t="n">
        <f aca="false">V41</f>
        <v>1949.13388427975</v>
      </c>
      <c r="W46" s="575" t="n">
        <f aca="false">W9+W43</f>
        <v>6257.62540962944</v>
      </c>
      <c r="X46" s="575" t="n">
        <f aca="false">X9+X43</f>
        <v>24997.3</v>
      </c>
      <c r="Y46" s="575"/>
      <c r="Z46" s="575"/>
      <c r="AA46" s="575" t="n">
        <f aca="false">AA9+AA43</f>
        <v>103434.2</v>
      </c>
      <c r="AB46" s="575" t="n">
        <f aca="false">AB9+AB43</f>
        <v>4481.13968237963</v>
      </c>
      <c r="AC46" s="575" t="n">
        <f aca="false">AC9+AC43</f>
        <v>107915.33968238</v>
      </c>
      <c r="AD46" s="580"/>
      <c r="AE46" s="581" t="n">
        <f aca="false">MIN(AE12:AE41)</f>
        <v>52</v>
      </c>
      <c r="AF46" s="582" t="n">
        <f aca="false">MIN(AF12:AF41)</f>
        <v>33</v>
      </c>
      <c r="AG46" s="581" t="s">
        <v>74</v>
      </c>
      <c r="AH46" s="218"/>
      <c r="AI46" s="221"/>
      <c r="AJ46" s="341"/>
      <c r="AK46" s="218" t="n">
        <f aca="false">AK9+AK43</f>
        <v>917.06</v>
      </c>
    </row>
    <row r="47" customFormat="false" ht="11.1" hidden="false" customHeight="true" outlineLevel="0" collapsed="false">
      <c r="A47" s="154" t="s">
        <v>75</v>
      </c>
      <c r="B47" s="573"/>
      <c r="C47" s="575"/>
      <c r="D47" s="575"/>
      <c r="E47" s="575"/>
      <c r="F47" s="576" t="n">
        <f aca="false">F46*$D$2</f>
        <v>20821</v>
      </c>
      <c r="G47" s="575" t="n">
        <f aca="false">G46*$D$2</f>
        <v>211782.262</v>
      </c>
      <c r="H47" s="575" t="n">
        <f aca="false">H46*$D$2</f>
        <v>3882.82026</v>
      </c>
      <c r="I47" s="575" t="n">
        <f aca="false">I46*$D$2</f>
        <v>215665.08226</v>
      </c>
      <c r="J47" s="575" t="n">
        <f aca="false">J46*$D$2</f>
        <v>19205.994</v>
      </c>
      <c r="K47" s="575" t="n">
        <f aca="false">K46*$D$2</f>
        <v>234871.07626</v>
      </c>
      <c r="L47" s="575" t="n">
        <f aca="false">L46*$D$2</f>
        <v>10317.65344</v>
      </c>
      <c r="M47" s="577" t="n">
        <f aca="false">M46*$D$2</f>
        <v>76250.1037</v>
      </c>
      <c r="N47" s="575" t="n">
        <f aca="false">N46*$D$2</f>
        <v>204.002975</v>
      </c>
      <c r="O47" s="575" t="n">
        <f aca="false">O46*$D$2</f>
        <v>22490.61988425</v>
      </c>
      <c r="P47" s="581"/>
      <c r="Q47" s="581"/>
      <c r="R47" s="584"/>
      <c r="S47" s="575" t="n">
        <f aca="false">S46*$D$2</f>
        <v>37597.2425</v>
      </c>
      <c r="T47" s="575" t="n">
        <f aca="false">T46*$D$2</f>
        <v>20635.73895</v>
      </c>
      <c r="U47" s="575" t="n">
        <f aca="false">U46*$D$2</f>
        <v>108954.41567225</v>
      </c>
      <c r="V47" s="575" t="n">
        <f aca="false">V46*$D$2</f>
        <v>3866.10705946889</v>
      </c>
      <c r="W47" s="575" t="n">
        <f aca="false">W46*$D$2</f>
        <v>12412</v>
      </c>
      <c r="X47" s="575" t="n">
        <f aca="false">X46*$D$2</f>
        <v>49582.14455</v>
      </c>
      <c r="Y47" s="575"/>
      <c r="Z47" s="575"/>
      <c r="AA47" s="575" t="n">
        <f aca="false">AA46*$D$2</f>
        <v>205161.7357</v>
      </c>
      <c r="AB47" s="575" t="n">
        <f aca="false">AB46*$D$2</f>
        <v>8888.34056</v>
      </c>
      <c r="AC47" s="575" t="n">
        <f aca="false">AC46*$D$2</f>
        <v>214050.07626</v>
      </c>
      <c r="AD47" s="580"/>
      <c r="AE47" s="581"/>
      <c r="AF47" s="582"/>
      <c r="AG47" s="581"/>
      <c r="AH47" s="218"/>
      <c r="AI47" s="221"/>
      <c r="AJ47" s="341" t="n">
        <f aca="false">AJ9+AJ44</f>
        <v>1156.03024508111</v>
      </c>
      <c r="AK47" s="218" t="n">
        <f aca="false">AK46*$D$2</f>
        <v>1818.98851</v>
      </c>
    </row>
    <row r="48" customFormat="false" ht="3" hidden="false" customHeight="true" outlineLevel="0" collapsed="false">
      <c r="A48" s="247"/>
      <c r="B48" s="604"/>
      <c r="C48" s="586"/>
      <c r="D48" s="586"/>
      <c r="E48" s="586"/>
      <c r="F48" s="605"/>
      <c r="G48" s="586"/>
      <c r="H48" s="504"/>
      <c r="I48" s="586"/>
      <c r="J48" s="586"/>
      <c r="K48" s="586"/>
      <c r="L48" s="586"/>
      <c r="M48" s="606"/>
      <c r="N48" s="586"/>
      <c r="O48" s="586"/>
      <c r="P48" s="504"/>
      <c r="Q48" s="504"/>
      <c r="R48" s="607"/>
      <c r="S48" s="586"/>
      <c r="T48" s="586"/>
      <c r="U48" s="586"/>
      <c r="V48" s="586"/>
      <c r="W48" s="586"/>
      <c r="X48" s="586"/>
      <c r="Y48" s="586"/>
      <c r="Z48" s="586"/>
      <c r="AA48" s="586"/>
      <c r="AB48" s="586"/>
      <c r="AC48" s="586"/>
      <c r="AD48" s="592"/>
      <c r="AE48" s="609"/>
      <c r="AF48" s="610"/>
      <c r="AG48" s="609"/>
      <c r="AH48" s="252"/>
      <c r="AI48" s="235"/>
      <c r="AJ48" s="441"/>
      <c r="AK48" s="237"/>
    </row>
    <row r="49" customFormat="false" ht="11.1" hidden="false" customHeight="true" outlineLevel="0" collapsed="false">
      <c r="A49" s="154" t="s">
        <v>76</v>
      </c>
      <c r="B49" s="573"/>
      <c r="C49" s="575"/>
      <c r="D49" s="575"/>
      <c r="E49" s="575"/>
      <c r="F49" s="576" t="n">
        <f aca="false">F10+F43</f>
        <v>18012.0998235442</v>
      </c>
      <c r="G49" s="575" t="n">
        <f aca="false">G10+G43</f>
        <v>120900</v>
      </c>
      <c r="H49" s="581" t="n">
        <f aca="false">H10+H43</f>
        <v>2261.16</v>
      </c>
      <c r="I49" s="575" t="n">
        <f aca="false">I10+I43</f>
        <v>123161.16</v>
      </c>
      <c r="J49" s="575" t="n">
        <f aca="false">J10+J43</f>
        <v>15320.4839135367</v>
      </c>
      <c r="K49" s="575" t="n">
        <f aca="false">K10+K43</f>
        <v>138481.643913537</v>
      </c>
      <c r="L49" s="575" t="n">
        <f aca="false">L10+L43</f>
        <v>10614.5948235442</v>
      </c>
      <c r="M49" s="577" t="n">
        <f aca="false">M10+M43</f>
        <v>39417.6</v>
      </c>
      <c r="N49" s="575" t="n">
        <f aca="false">N10+N43</f>
        <v>102.85</v>
      </c>
      <c r="O49" s="575" t="n">
        <f aca="false">O10+O43</f>
        <v>11338.8555</v>
      </c>
      <c r="P49" s="581" t="n">
        <f aca="false">P10+P43</f>
        <v>583.694</v>
      </c>
      <c r="Q49" s="581" t="n">
        <f aca="false">Q10+Q43</f>
        <v>1115.247</v>
      </c>
      <c r="R49" s="584" t="n">
        <f aca="false">R10+R43</f>
        <v>375.323</v>
      </c>
      <c r="S49" s="575" t="n">
        <f aca="false">S10+S43</f>
        <v>26935.2</v>
      </c>
      <c r="T49" s="575" t="n">
        <f aca="false">T10+T43</f>
        <v>10539.7</v>
      </c>
      <c r="U49" s="575" t="n">
        <f aca="false">U10+U43</f>
        <v>63370.46099</v>
      </c>
      <c r="V49" s="575"/>
      <c r="W49" s="575" t="n">
        <f aca="false">W46</f>
        <v>6257.62540962944</v>
      </c>
      <c r="X49" s="575" t="n">
        <f aca="false">X10+X43</f>
        <v>24997.3</v>
      </c>
      <c r="Y49" s="575" t="n">
        <f aca="false">Y10+Y43</f>
        <v>13842</v>
      </c>
      <c r="Z49" s="575" t="n">
        <f aca="false">Z41</f>
        <v>5058.98361482228</v>
      </c>
      <c r="AA49" s="575" t="n">
        <f aca="false">AA10+AA43</f>
        <v>115763.655</v>
      </c>
      <c r="AB49" s="575" t="n">
        <f aca="false">AB10+AB43</f>
        <v>4705.88908999244</v>
      </c>
      <c r="AC49" s="575" t="n">
        <f aca="false">AC10+AC43</f>
        <v>120469.544089992</v>
      </c>
      <c r="AD49" s="580" t="n">
        <f aca="false">AD10+AD43</f>
        <v>15.85</v>
      </c>
      <c r="AE49" s="581"/>
      <c r="AF49" s="582"/>
      <c r="AG49" s="581"/>
      <c r="AH49" s="575" t="n">
        <f aca="false">AH10+AH43</f>
        <v>346.51</v>
      </c>
      <c r="AI49" s="221"/>
      <c r="AJ49" s="341"/>
      <c r="AK49" s="581" t="n">
        <f aca="false">AK10+AK43</f>
        <v>917.06</v>
      </c>
    </row>
    <row r="50" customFormat="false" ht="11.1" hidden="false" customHeight="true" outlineLevel="0" collapsed="false">
      <c r="A50" s="154" t="s">
        <v>77</v>
      </c>
      <c r="B50" s="573"/>
      <c r="C50" s="575"/>
      <c r="D50" s="575" t="n">
        <f aca="false">D10+D44</f>
        <v>35727</v>
      </c>
      <c r="E50" s="575" t="n">
        <f aca="false">E41</f>
        <v>57692</v>
      </c>
      <c r="F50" s="576" t="n">
        <f aca="false">F49*$D$2</f>
        <v>35727</v>
      </c>
      <c r="G50" s="575" t="n">
        <f aca="false">G49*$D$2</f>
        <v>239805.15</v>
      </c>
      <c r="H50" s="581" t="n">
        <f aca="false">H49*$D$2</f>
        <v>4485.01086</v>
      </c>
      <c r="I50" s="575" t="n">
        <f aca="false">I49*$D$2</f>
        <v>244290.16086</v>
      </c>
      <c r="J50" s="575" t="n">
        <f aca="false">J49*$D$2</f>
        <v>30388.1798425</v>
      </c>
      <c r="K50" s="575" t="n">
        <f aca="false">K49*$D$2</f>
        <v>274678.3407025</v>
      </c>
      <c r="L50" s="575" t="n">
        <f aca="false">L49*$D$2</f>
        <v>21054.0488325</v>
      </c>
      <c r="M50" s="577" t="n">
        <f aca="false">M49*$D$2</f>
        <v>78184.8096</v>
      </c>
      <c r="N50" s="575" t="n">
        <f aca="false">N49*$D$2</f>
        <v>204.002975</v>
      </c>
      <c r="O50" s="575" t="n">
        <f aca="false">O49*$D$2</f>
        <v>22490.61988425</v>
      </c>
      <c r="P50" s="581" t="n">
        <f aca="false">P49*$D$2</f>
        <v>1157.757049</v>
      </c>
      <c r="Q50" s="581" t="n">
        <f aca="false">Q49*$D$2</f>
        <v>2212.0924245</v>
      </c>
      <c r="R50" s="584" t="n">
        <f aca="false">R49*$D$2</f>
        <v>744.4531705</v>
      </c>
      <c r="S50" s="575" t="n">
        <f aca="false">S49*$D$2</f>
        <v>53425.9692</v>
      </c>
      <c r="T50" s="575" t="n">
        <f aca="false">T49*$D$2</f>
        <v>20905.49495</v>
      </c>
      <c r="U50" s="575" t="n">
        <f aca="false">U49*$D$2</f>
        <v>125695.309373665</v>
      </c>
      <c r="V50" s="575"/>
      <c r="W50" s="575" t="n">
        <f aca="false">W49*$D$2</f>
        <v>12412</v>
      </c>
      <c r="X50" s="575" t="n">
        <f aca="false">X49*$D$2</f>
        <v>49582.14455</v>
      </c>
      <c r="Y50" s="575" t="n">
        <f aca="false">Y49*$D$2</f>
        <v>27455.607</v>
      </c>
      <c r="Z50" s="575" t="n">
        <f aca="false">Z49*$D$2</f>
        <v>10034.494</v>
      </c>
      <c r="AA50" s="575" t="n">
        <f aca="false">AA49*$D$2</f>
        <v>229617.2096925</v>
      </c>
      <c r="AB50" s="575" t="n">
        <f aca="false">AB49*$D$2</f>
        <v>9334.13101</v>
      </c>
      <c r="AC50" s="575" t="n">
        <f aca="false">AC49*$D$2</f>
        <v>238951.3407025</v>
      </c>
      <c r="AD50" s="580"/>
      <c r="AE50" s="581"/>
      <c r="AF50" s="582"/>
      <c r="AG50" s="581" t="n">
        <f aca="false">AG41</f>
        <v>0</v>
      </c>
      <c r="AH50" s="575" t="n">
        <f aca="false">AH49*$D$2</f>
        <v>687.302585</v>
      </c>
      <c r="AI50" s="221"/>
      <c r="AJ50" s="341" t="n">
        <f aca="false">AJ10+AJ44</f>
        <v>1156.03024508111</v>
      </c>
      <c r="AK50" s="581" t="n">
        <f aca="false">AK49*$D$2</f>
        <v>1818.98851</v>
      </c>
    </row>
    <row r="51" customFormat="false" ht="3" hidden="false" customHeight="true" outlineLevel="0" collapsed="false">
      <c r="A51" s="227"/>
      <c r="B51" s="604"/>
      <c r="C51" s="586"/>
      <c r="D51" s="502"/>
      <c r="E51" s="586"/>
      <c r="F51" s="587"/>
      <c r="G51" s="502"/>
      <c r="H51" s="588"/>
      <c r="I51" s="502"/>
      <c r="J51" s="502"/>
      <c r="K51" s="502"/>
      <c r="L51" s="502"/>
      <c r="M51" s="589"/>
      <c r="N51" s="502"/>
      <c r="O51" s="502"/>
      <c r="P51" s="590"/>
      <c r="Q51" s="590"/>
      <c r="R51" s="591"/>
      <c r="S51" s="502"/>
      <c r="T51" s="502"/>
      <c r="U51" s="502"/>
      <c r="V51" s="586"/>
      <c r="W51" s="586"/>
      <c r="X51" s="502"/>
      <c r="Y51" s="502"/>
      <c r="Z51" s="586"/>
      <c r="AA51" s="502"/>
      <c r="AB51" s="502"/>
      <c r="AC51" s="502"/>
      <c r="AD51" s="604"/>
      <c r="AE51" s="502"/>
      <c r="AF51" s="587"/>
      <c r="AG51" s="502"/>
      <c r="AH51" s="230"/>
      <c r="AI51" s="235"/>
      <c r="AJ51" s="441"/>
      <c r="AK51" s="441"/>
    </row>
    <row r="52" customFormat="false" ht="11.1" hidden="false" customHeight="true" outlineLevel="0" collapsed="false">
      <c r="A52" s="257"/>
      <c r="B52" s="257"/>
      <c r="C52" s="146"/>
      <c r="D52" s="257"/>
      <c r="E52" s="146"/>
      <c r="F52" s="257"/>
      <c r="G52" s="147"/>
      <c r="I52" s="135"/>
      <c r="J52" s="257"/>
      <c r="K52" s="257"/>
      <c r="L52" s="257"/>
      <c r="M52" s="149"/>
      <c r="N52" s="9"/>
      <c r="O52" s="149"/>
      <c r="P52" s="150"/>
      <c r="Q52" s="150"/>
      <c r="R52" s="150"/>
      <c r="S52" s="257"/>
      <c r="T52" s="257"/>
      <c r="U52" s="0"/>
      <c r="V52" s="146"/>
      <c r="W52" s="146"/>
      <c r="X52" s="140"/>
      <c r="Y52" s="146"/>
      <c r="Z52" s="257"/>
      <c r="AA52" s="257"/>
      <c r="AB52" s="257"/>
      <c r="AC52" s="150"/>
      <c r="AD52" s="151"/>
      <c r="AE52" s="152"/>
      <c r="AF52" s="153"/>
      <c r="AG52" s="316"/>
      <c r="AH52" s="316"/>
      <c r="AI52" s="505"/>
      <c r="AJ52" s="426"/>
    </row>
    <row r="53" customFormat="false" ht="11.1" hidden="false" customHeight="true" outlineLevel="0" collapsed="false">
      <c r="A53" s="145"/>
      <c r="B53" s="566"/>
      <c r="C53" s="9"/>
      <c r="D53" s="134"/>
      <c r="E53" s="453"/>
      <c r="F53" s="477"/>
      <c r="G53" s="0"/>
      <c r="H53" s="13"/>
      <c r="I53" s="10"/>
      <c r="J53" s="8"/>
      <c r="K53" s="135"/>
      <c r="L53" s="149"/>
      <c r="M53" s="8"/>
      <c r="N53" s="8"/>
      <c r="O53" s="8"/>
      <c r="P53" s="12"/>
      <c r="Q53" s="366"/>
      <c r="R53" s="366"/>
      <c r="S53" s="478"/>
      <c r="T53" s="114"/>
      <c r="U53" s="479"/>
      <c r="V53" s="146"/>
      <c r="W53" s="204"/>
      <c r="X53" s="611"/>
      <c r="Y53" s="8"/>
      <c r="Z53" s="9"/>
      <c r="AA53" s="9"/>
      <c r="AB53" s="145"/>
      <c r="AC53" s="150"/>
      <c r="AD53" s="152"/>
      <c r="AE53" s="152"/>
      <c r="AF53" s="152"/>
      <c r="AG53" s="567"/>
      <c r="AH53" s="567"/>
      <c r="AI53" s="505"/>
      <c r="AJ53" s="565"/>
      <c r="AK53" s="507"/>
    </row>
    <row r="54" customFormat="false" ht="11.1" hidden="false" customHeight="true" outlineLevel="0" collapsed="false">
      <c r="A54" s="257"/>
      <c r="B54" s="146"/>
      <c r="E54" s="453"/>
      <c r="F54" s="454"/>
      <c r="G54" s="0"/>
      <c r="H54" s="13"/>
      <c r="I54" s="134"/>
      <c r="J54" s="134"/>
      <c r="K54" s="480"/>
      <c r="L54" s="457"/>
      <c r="M54" s="112"/>
      <c r="N54" s="112"/>
      <c r="O54" s="453"/>
      <c r="P54" s="568"/>
      <c r="Q54" s="366"/>
      <c r="R54" s="366"/>
      <c r="S54" s="478"/>
      <c r="T54" s="114"/>
      <c r="U54" s="83"/>
      <c r="V54" s="146"/>
      <c r="W54" s="146"/>
      <c r="X54" s="146"/>
      <c r="Y54" s="9"/>
      <c r="Z54" s="478"/>
      <c r="AA54" s="478"/>
      <c r="AB54" s="257"/>
      <c r="AC54" s="150"/>
      <c r="AD54" s="152"/>
      <c r="AE54" s="152"/>
      <c r="AF54" s="153"/>
      <c r="AG54" s="316"/>
      <c r="AH54" s="316"/>
      <c r="AI54" s="505"/>
      <c r="AK54" s="507"/>
    </row>
    <row r="55" customFormat="false" ht="11.1" hidden="false" customHeight="true" outlineLevel="0" collapsed="false">
      <c r="A55" s="257"/>
      <c r="B55" s="257"/>
      <c r="C55" s="146"/>
      <c r="D55" s="146"/>
      <c r="E55" s="453"/>
      <c r="F55" s="0"/>
      <c r="G55" s="0"/>
      <c r="H55" s="146"/>
      <c r="I55" s="0"/>
      <c r="J55" s="134"/>
      <c r="K55" s="480"/>
      <c r="L55" s="152"/>
      <c r="M55" s="112"/>
      <c r="N55" s="112"/>
      <c r="O55" s="152"/>
      <c r="P55" s="150"/>
      <c r="Q55" s="366"/>
      <c r="R55" s="366"/>
      <c r="S55" s="425"/>
      <c r="T55" s="425"/>
      <c r="U55" s="83"/>
      <c r="V55" s="152"/>
      <c r="W55" s="152"/>
      <c r="X55" s="146"/>
      <c r="Y55" s="9"/>
      <c r="Z55" s="146"/>
      <c r="AA55" s="146"/>
      <c r="AB55" s="257"/>
      <c r="AC55" s="456"/>
      <c r="AD55" s="152"/>
      <c r="AE55" s="152"/>
      <c r="AF55" s="153"/>
      <c r="AG55" s="316"/>
      <c r="AH55" s="316"/>
      <c r="AI55" s="505"/>
      <c r="AK55" s="507"/>
    </row>
    <row r="56" customFormat="false" ht="11.1" hidden="false" customHeight="true" outlineLevel="0" collapsed="false">
      <c r="A56" s="257"/>
      <c r="B56" s="257"/>
      <c r="C56" s="146"/>
      <c r="D56" s="257"/>
      <c r="E56" s="146"/>
      <c r="F56" s="257"/>
      <c r="G56" s="258"/>
      <c r="H56" s="147"/>
      <c r="I56" s="257"/>
      <c r="J56" s="257"/>
      <c r="K56" s="257"/>
      <c r="L56" s="257"/>
      <c r="M56" s="149"/>
      <c r="N56" s="149"/>
      <c r="O56" s="149"/>
      <c r="P56" s="150"/>
      <c r="Q56" s="150"/>
      <c r="R56" s="150"/>
      <c r="S56" s="257"/>
      <c r="T56" s="257"/>
      <c r="U56" s="0"/>
      <c r="V56" s="146"/>
      <c r="W56" s="146"/>
      <c r="Y56" s="146"/>
      <c r="Z56" s="257"/>
      <c r="AA56" s="257"/>
      <c r="AB56" s="257"/>
      <c r="AC56" s="150"/>
      <c r="AD56" s="151"/>
      <c r="AE56" s="152"/>
      <c r="AF56" s="153"/>
      <c r="AG56" s="316"/>
      <c r="AH56" s="316"/>
      <c r="AI56" s="505"/>
      <c r="AK56" s="507"/>
    </row>
    <row r="57" customFormat="false" ht="11.1" hidden="false" customHeight="true" outlineLevel="0" collapsed="false">
      <c r="S57" s="569"/>
      <c r="T57" s="137"/>
      <c r="U57" s="146"/>
      <c r="V57" s="146"/>
      <c r="W57" s="146"/>
      <c r="Y57" s="138"/>
      <c r="AA57" s="137"/>
      <c r="AB57" s="137"/>
      <c r="AC57" s="141"/>
      <c r="AD57" s="139"/>
      <c r="AE57" s="142"/>
      <c r="AF57" s="143"/>
      <c r="AG57" s="570"/>
      <c r="AH57" s="570"/>
      <c r="AK57" s="507"/>
    </row>
    <row r="58" customFormat="false" ht="11.1" hidden="false" customHeight="true" outlineLevel="0" collapsed="false">
      <c r="T58" s="137"/>
      <c r="U58" s="138"/>
      <c r="W58" s="137"/>
      <c r="Y58" s="138"/>
      <c r="AA58" s="137"/>
      <c r="AB58" s="137"/>
      <c r="AC58" s="141"/>
      <c r="AD58" s="139"/>
      <c r="AE58" s="142"/>
      <c r="AF58" s="143"/>
      <c r="AJ58" s="426"/>
    </row>
    <row r="59" customFormat="false" ht="11.1" hidden="false" customHeight="true" outlineLevel="0" collapsed="false">
      <c r="Q59" s="612"/>
      <c r="R59" s="612"/>
    </row>
    <row r="60" customFormat="false" ht="11.1" hidden="false" customHeight="true" outlineLevel="0" collapsed="false">
      <c r="Q60" s="612"/>
      <c r="R60" s="612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C12" activeCellId="0" sqref="AC12"/>
    </sheetView>
  </sheetViews>
  <sheetFormatPr defaultColWidth="9.328125" defaultRowHeight="11.1" zeroHeight="false" outlineLevelRow="0" outlineLevelCol="0"/>
  <cols>
    <col collapsed="false" customWidth="true" hidden="false" outlineLevel="0" max="1" min="1" style="137" width="4.66"/>
    <col collapsed="false" customWidth="true" hidden="false" outlineLevel="0" max="2" min="2" style="137" width="6.99"/>
    <col collapsed="false" customWidth="true" hidden="false" outlineLevel="0" max="3" min="3" style="138" width="6.32"/>
    <col collapsed="false" customWidth="true" hidden="false" outlineLevel="0" max="4" min="4" style="137" width="6.99"/>
    <col collapsed="false" customWidth="true" hidden="false" outlineLevel="0" max="5" min="5" style="138" width="6.99"/>
    <col collapsed="false" customWidth="true" hidden="false" outlineLevel="0" max="6" min="6" style="137" width="7.32"/>
    <col collapsed="false" customWidth="true" hidden="false" outlineLevel="0" max="7" min="7" style="137" width="6.82"/>
    <col collapsed="false" customWidth="true" hidden="false" outlineLevel="0" max="8" min="8" style="613" width="5.66"/>
    <col collapsed="false" customWidth="true" hidden="false" outlineLevel="0" max="11" min="9" style="137" width="6.32"/>
    <col collapsed="false" customWidth="true" hidden="false" outlineLevel="0" max="12" min="12" style="137" width="7.16"/>
    <col collapsed="false" customWidth="true" hidden="false" outlineLevel="0" max="13" min="13" style="140" width="5.49"/>
    <col collapsed="false" customWidth="true" hidden="false" outlineLevel="0" max="14" min="14" style="140" width="4.49"/>
    <col collapsed="false" customWidth="true" hidden="false" outlineLevel="0" max="15" min="15" style="140" width="5.49"/>
    <col collapsed="false" customWidth="true" hidden="false" outlineLevel="0" max="18" min="16" style="137" width="4.32"/>
    <col collapsed="false" customWidth="true" hidden="false" outlineLevel="0" max="19" min="19" style="137" width="5.49"/>
    <col collapsed="false" customWidth="true" hidden="false" outlineLevel="0" max="20" min="20" style="138" width="5.49"/>
    <col collapsed="false" customWidth="true" hidden="false" outlineLevel="0" max="21" min="21" style="137" width="6.32"/>
    <col collapsed="false" customWidth="true" hidden="false" outlineLevel="0" max="22" min="22" style="137" width="5.49"/>
    <col collapsed="false" customWidth="true" hidden="false" outlineLevel="0" max="23" min="23" style="138" width="5.49"/>
    <col collapsed="false" customWidth="true" hidden="false" outlineLevel="0" max="26" min="24" style="137" width="5.49"/>
    <col collapsed="false" customWidth="true" hidden="false" outlineLevel="0" max="27" min="27" style="141" width="6.32"/>
    <col collapsed="false" customWidth="true" hidden="false" outlineLevel="0" max="29" min="28" style="142" width="6.99"/>
    <col collapsed="false" customWidth="true" hidden="false" outlineLevel="0" max="30" min="30" style="143" width="5.32"/>
    <col collapsed="false" customWidth="true" hidden="false" outlineLevel="0" max="31" min="31" style="137" width="3.82"/>
    <col collapsed="false" customWidth="true" hidden="false" outlineLevel="0" max="32" min="32" style="141" width="3.82"/>
    <col collapsed="false" customWidth="true" hidden="false" outlineLevel="0" max="34" min="33" style="137" width="5.49"/>
    <col collapsed="false" customWidth="true" hidden="false" outlineLevel="0" max="35" min="35" style="140" width="6.32"/>
    <col collapsed="false" customWidth="true" hidden="false" outlineLevel="0" max="36" min="36" style="141" width="6.32"/>
    <col collapsed="false" customWidth="true" hidden="false" outlineLevel="0" max="37" min="37" style="137" width="6.32"/>
    <col collapsed="false" customWidth="false" hidden="false" outlineLevel="0" max="257" min="38" style="137" width="9.32"/>
  </cols>
  <sheetData>
    <row r="1" customFormat="false" ht="14.1" hidden="false" customHeight="true" outlineLevel="0" collapsed="false">
      <c r="A1" s="145"/>
      <c r="B1" s="145"/>
      <c r="C1" s="146"/>
      <c r="D1" s="145"/>
      <c r="E1" s="146"/>
      <c r="F1" s="145"/>
      <c r="G1" s="145"/>
      <c r="H1" s="614"/>
      <c r="I1" s="145"/>
      <c r="J1" s="145"/>
      <c r="K1" s="148" t="s">
        <v>0</v>
      </c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5"/>
      <c r="W1" s="145"/>
      <c r="X1" s="145"/>
      <c r="Y1" s="146"/>
      <c r="Z1" s="145"/>
      <c r="AA1" s="145"/>
      <c r="AB1" s="145"/>
      <c r="AC1" s="150"/>
      <c r="AD1" s="152"/>
      <c r="AE1" s="152"/>
      <c r="AF1" s="153"/>
      <c r="AG1" s="261"/>
      <c r="AH1" s="261"/>
      <c r="AI1" s="505"/>
    </row>
    <row r="2" customFormat="false" ht="14.1" hidden="false" customHeight="true" outlineLevel="0" collapsed="false">
      <c r="A2" s="154" t="s">
        <v>1</v>
      </c>
      <c r="B2" s="145"/>
      <c r="C2" s="146"/>
      <c r="D2" s="155" t="n">
        <v>1.9835</v>
      </c>
      <c r="E2" s="146"/>
      <c r="F2" s="145"/>
      <c r="G2" s="145"/>
      <c r="H2" s="614"/>
      <c r="I2" s="145"/>
      <c r="J2" s="145"/>
      <c r="K2" s="156" t="s">
        <v>112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45"/>
      <c r="Y2" s="146"/>
      <c r="Z2" s="145"/>
      <c r="AA2" s="145"/>
      <c r="AB2" s="145"/>
      <c r="AC2" s="150"/>
      <c r="AD2" s="152"/>
      <c r="AE2" s="152"/>
      <c r="AF2" s="153"/>
      <c r="AG2" s="261"/>
      <c r="AH2" s="261"/>
      <c r="AI2" s="505"/>
    </row>
    <row r="3" customFormat="false" ht="14.1" hidden="false" customHeight="true" outlineLevel="0" collapsed="false">
      <c r="A3" s="157"/>
      <c r="B3" s="157"/>
      <c r="C3" s="158"/>
      <c r="D3" s="159"/>
      <c r="E3" s="158"/>
      <c r="F3" s="157"/>
      <c r="G3" s="157"/>
      <c r="H3" s="615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8"/>
      <c r="V3" s="157"/>
      <c r="W3" s="157"/>
      <c r="X3" s="157"/>
      <c r="Y3" s="158"/>
      <c r="Z3" s="157"/>
      <c r="AA3" s="157"/>
      <c r="AB3" s="157"/>
      <c r="AC3" s="162"/>
      <c r="AD3" s="164"/>
      <c r="AE3" s="164"/>
      <c r="AF3" s="165"/>
      <c r="AG3" s="264"/>
      <c r="AH3" s="264"/>
      <c r="AI3" s="571"/>
      <c r="AJ3" s="509"/>
      <c r="AK3" s="166"/>
    </row>
    <row r="4" s="181" customFormat="true" ht="14.1" hidden="false" customHeight="true" outlineLevel="0" collapsed="false">
      <c r="A4" s="168"/>
      <c r="B4" s="169"/>
      <c r="C4" s="170"/>
      <c r="D4" s="266" t="s">
        <v>3</v>
      </c>
      <c r="E4" s="170"/>
      <c r="F4" s="172"/>
      <c r="G4" s="168"/>
      <c r="H4" s="173"/>
      <c r="I4" s="168"/>
      <c r="J4" s="168"/>
      <c r="K4" s="168"/>
      <c r="L4" s="168"/>
      <c r="M4" s="168"/>
      <c r="N4" s="168"/>
      <c r="O4" s="168"/>
      <c r="P4" s="177"/>
      <c r="Q4" s="177"/>
      <c r="R4" s="177"/>
      <c r="S4" s="174" t="s">
        <v>4</v>
      </c>
      <c r="T4" s="168"/>
      <c r="U4" s="175"/>
      <c r="V4" s="168"/>
      <c r="W4" s="168"/>
      <c r="X4" s="168"/>
      <c r="Y4" s="175"/>
      <c r="Z4" s="168"/>
      <c r="AA4" s="168"/>
      <c r="AB4" s="168"/>
      <c r="AC4" s="177"/>
      <c r="AD4" s="178"/>
      <c r="AE4" s="179" t="s">
        <v>5</v>
      </c>
      <c r="AF4" s="180"/>
      <c r="AG4" s="168"/>
      <c r="AH4" s="168"/>
      <c r="AI4" s="511" t="s">
        <v>6</v>
      </c>
      <c r="AJ4" s="511"/>
      <c r="AK4" s="508"/>
    </row>
    <row r="5" s="490" customFormat="true" ht="11.1" hidden="false" customHeight="true" outlineLevel="0" collapsed="false">
      <c r="A5" s="209" t="s">
        <v>7</v>
      </c>
      <c r="B5" s="432" t="s">
        <v>8</v>
      </c>
      <c r="C5" s="205" t="s">
        <v>8</v>
      </c>
      <c r="D5" s="209" t="s">
        <v>9</v>
      </c>
      <c r="E5" s="205" t="s">
        <v>10</v>
      </c>
      <c r="F5" s="487" t="s">
        <v>11</v>
      </c>
      <c r="G5" s="209" t="s">
        <v>12</v>
      </c>
      <c r="H5" s="211" t="s">
        <v>13</v>
      </c>
      <c r="I5" s="209" t="s">
        <v>14</v>
      </c>
      <c r="J5" s="209" t="s">
        <v>15</v>
      </c>
      <c r="K5" s="209" t="s">
        <v>16</v>
      </c>
      <c r="L5" s="209" t="s">
        <v>15</v>
      </c>
      <c r="M5" s="190" t="s">
        <v>17</v>
      </c>
      <c r="N5" s="190"/>
      <c r="O5" s="190"/>
      <c r="P5" s="190"/>
      <c r="Q5" s="190"/>
      <c r="R5" s="190"/>
      <c r="S5" s="386" t="s">
        <v>18</v>
      </c>
      <c r="T5" s="386" t="s">
        <v>19</v>
      </c>
      <c r="U5" s="386" t="s">
        <v>16</v>
      </c>
      <c r="V5" s="73" t="s">
        <v>20</v>
      </c>
      <c r="W5" s="205" t="s">
        <v>20</v>
      </c>
      <c r="X5" s="386" t="s">
        <v>21</v>
      </c>
      <c r="Y5" s="386" t="s">
        <v>22</v>
      </c>
      <c r="Z5" s="205" t="s">
        <v>100</v>
      </c>
      <c r="AA5" s="209" t="s">
        <v>14</v>
      </c>
      <c r="AB5" s="209" t="s">
        <v>15</v>
      </c>
      <c r="AC5" s="209" t="s">
        <v>16</v>
      </c>
      <c r="AD5" s="489" t="s">
        <v>24</v>
      </c>
      <c r="AE5" s="201" t="s">
        <v>25</v>
      </c>
      <c r="AF5" s="325" t="s">
        <v>26</v>
      </c>
      <c r="AG5" s="61" t="s">
        <v>79</v>
      </c>
      <c r="AH5" s="61" t="s">
        <v>20</v>
      </c>
      <c r="AI5" s="62" t="s">
        <v>80</v>
      </c>
      <c r="AJ5" s="62" t="s">
        <v>80</v>
      </c>
      <c r="AK5" s="61" t="s">
        <v>28</v>
      </c>
    </row>
    <row r="6" s="490" customFormat="true" ht="11.1" hidden="false" customHeight="true" outlineLevel="0" collapsed="false">
      <c r="A6" s="436" t="s">
        <v>113</v>
      </c>
      <c r="B6" s="432" t="s">
        <v>30</v>
      </c>
      <c r="C6" s="205" t="s">
        <v>9</v>
      </c>
      <c r="D6" s="209" t="s">
        <v>31</v>
      </c>
      <c r="E6" s="205" t="s">
        <v>32</v>
      </c>
      <c r="F6" s="487" t="s">
        <v>33</v>
      </c>
      <c r="G6" s="209" t="s">
        <v>34</v>
      </c>
      <c r="H6" s="211" t="s">
        <v>35</v>
      </c>
      <c r="I6" s="209" t="s">
        <v>36</v>
      </c>
      <c r="J6" s="209" t="s">
        <v>36</v>
      </c>
      <c r="K6" s="209" t="s">
        <v>36</v>
      </c>
      <c r="L6" s="209" t="s">
        <v>37</v>
      </c>
      <c r="M6" s="437" t="s">
        <v>38</v>
      </c>
      <c r="N6" s="209" t="s">
        <v>39</v>
      </c>
      <c r="O6" s="209" t="s">
        <v>40</v>
      </c>
      <c r="P6" s="209" t="s">
        <v>41</v>
      </c>
      <c r="Q6" s="209" t="s">
        <v>42</v>
      </c>
      <c r="R6" s="210" t="s">
        <v>43</v>
      </c>
      <c r="S6" s="386" t="s">
        <v>44</v>
      </c>
      <c r="T6" s="386" t="s">
        <v>45</v>
      </c>
      <c r="U6" s="386" t="s">
        <v>20</v>
      </c>
      <c r="V6" s="73" t="s">
        <v>83</v>
      </c>
      <c r="W6" s="205" t="s">
        <v>65</v>
      </c>
      <c r="X6" s="386" t="s">
        <v>48</v>
      </c>
      <c r="Y6" s="386" t="s">
        <v>49</v>
      </c>
      <c r="Z6" s="205" t="s">
        <v>50</v>
      </c>
      <c r="AA6" s="209" t="s">
        <v>51</v>
      </c>
      <c r="AB6" s="209" t="s">
        <v>51</v>
      </c>
      <c r="AC6" s="209" t="s">
        <v>51</v>
      </c>
      <c r="AD6" s="491"/>
      <c r="AE6" s="201" t="s">
        <v>52</v>
      </c>
      <c r="AF6" s="325" t="s">
        <v>52</v>
      </c>
      <c r="AG6" s="61" t="s">
        <v>53</v>
      </c>
      <c r="AH6" s="61" t="s">
        <v>54</v>
      </c>
      <c r="AI6" s="62" t="s">
        <v>55</v>
      </c>
      <c r="AJ6" s="62" t="s">
        <v>55</v>
      </c>
      <c r="AK6" s="61" t="s">
        <v>56</v>
      </c>
    </row>
    <row r="7" s="490" customFormat="true" ht="11.1" hidden="false" customHeight="true" outlineLevel="0" collapsed="false">
      <c r="A7" s="209"/>
      <c r="B7" s="432"/>
      <c r="C7" s="205"/>
      <c r="D7" s="209"/>
      <c r="E7" s="205" t="s">
        <v>57</v>
      </c>
      <c r="F7" s="487"/>
      <c r="G7" s="209"/>
      <c r="H7" s="211"/>
      <c r="I7" s="209"/>
      <c r="J7" s="209"/>
      <c r="K7" s="209"/>
      <c r="L7" s="209"/>
      <c r="M7" s="437"/>
      <c r="N7" s="209" t="s">
        <v>58</v>
      </c>
      <c r="O7" s="209" t="s">
        <v>59</v>
      </c>
      <c r="P7" s="209"/>
      <c r="Q7" s="209"/>
      <c r="R7" s="210" t="s">
        <v>40</v>
      </c>
      <c r="S7" s="386"/>
      <c r="T7" s="386"/>
      <c r="U7" s="386"/>
      <c r="V7" s="73" t="s">
        <v>60</v>
      </c>
      <c r="W7" s="73"/>
      <c r="X7" s="386"/>
      <c r="Y7" s="386"/>
      <c r="Z7" s="73"/>
      <c r="AA7" s="386"/>
      <c r="AB7" s="386"/>
      <c r="AC7" s="386"/>
      <c r="AD7" s="491"/>
      <c r="AE7" s="201"/>
      <c r="AF7" s="325"/>
      <c r="AG7" s="61" t="s">
        <v>57</v>
      </c>
      <c r="AH7" s="61" t="s">
        <v>61</v>
      </c>
      <c r="AI7" s="62" t="s">
        <v>97</v>
      </c>
      <c r="AJ7" s="62" t="s">
        <v>84</v>
      </c>
      <c r="AK7" s="61" t="s">
        <v>64</v>
      </c>
    </row>
    <row r="8" s="490" customFormat="true" ht="11.1" hidden="false" customHeight="true" outlineLevel="0" collapsed="false">
      <c r="A8" s="209"/>
      <c r="B8" s="432"/>
      <c r="C8" s="205"/>
      <c r="D8" s="209"/>
      <c r="E8" s="205"/>
      <c r="F8" s="487"/>
      <c r="G8" s="209"/>
      <c r="H8" s="211"/>
      <c r="I8" s="209"/>
      <c r="J8" s="209"/>
      <c r="K8" s="209"/>
      <c r="L8" s="209"/>
      <c r="M8" s="437"/>
      <c r="N8" s="209"/>
      <c r="O8" s="209"/>
      <c r="P8" s="209"/>
      <c r="Q8" s="209"/>
      <c r="R8" s="210" t="s">
        <v>65</v>
      </c>
      <c r="S8" s="209"/>
      <c r="T8" s="209"/>
      <c r="U8" s="209"/>
      <c r="V8" s="205"/>
      <c r="W8" s="205"/>
      <c r="X8" s="209"/>
      <c r="Y8" s="209"/>
      <c r="Z8" s="205"/>
      <c r="AA8" s="209"/>
      <c r="AB8" s="209"/>
      <c r="AC8" s="209"/>
      <c r="AD8" s="491"/>
      <c r="AE8" s="201"/>
      <c r="AF8" s="325"/>
      <c r="AG8" s="61"/>
      <c r="AH8" s="61"/>
      <c r="AI8" s="62"/>
      <c r="AJ8" s="62" t="s">
        <v>61</v>
      </c>
      <c r="AK8" s="492"/>
    </row>
    <row r="9" customFormat="false" ht="11.1" hidden="false" customHeight="true" outlineLevel="0" collapsed="false">
      <c r="A9" s="154" t="s">
        <v>67</v>
      </c>
      <c r="B9" s="215"/>
      <c r="C9" s="216"/>
      <c r="D9" s="216"/>
      <c r="E9" s="216"/>
      <c r="F9" s="217" t="n">
        <f aca="false">SEP!F46</f>
        <v>10497.1010839425</v>
      </c>
      <c r="G9" s="216" t="n">
        <f aca="false">SEP!G46</f>
        <v>106772</v>
      </c>
      <c r="H9" s="616" t="n">
        <f aca="false">SEP!H46</f>
        <v>1957.56</v>
      </c>
      <c r="I9" s="216" t="n">
        <f aca="false">SEP!I46</f>
        <v>108729.56</v>
      </c>
      <c r="J9" s="216" t="n">
        <f aca="false">SEP!J46</f>
        <v>9682.88076632216</v>
      </c>
      <c r="K9" s="216" t="n">
        <f aca="false">SEP!K46</f>
        <v>118412.440766322</v>
      </c>
      <c r="L9" s="216" t="n">
        <f aca="false">SEP!L46</f>
        <v>5201.74108394253</v>
      </c>
      <c r="M9" s="219" t="n">
        <f aca="false">SEP!M46</f>
        <v>38442.2</v>
      </c>
      <c r="N9" s="216" t="n">
        <f aca="false">SEP!N46</f>
        <v>102.85</v>
      </c>
      <c r="O9" s="216" t="n">
        <f aca="false">SEP!O46</f>
        <v>11338.8555</v>
      </c>
      <c r="P9" s="216"/>
      <c r="Q9" s="216"/>
      <c r="R9" s="220"/>
      <c r="S9" s="216" t="n">
        <f aca="false">SEP!S46</f>
        <v>18955</v>
      </c>
      <c r="T9" s="216" t="n">
        <f aca="false">SEP!T46</f>
        <v>10403.7</v>
      </c>
      <c r="U9" s="216" t="n">
        <f aca="false">SEP!U46</f>
        <v>54930.3835</v>
      </c>
      <c r="V9" s="216" t="n">
        <f aca="false">SEP!V46</f>
        <v>1949.13388427975</v>
      </c>
      <c r="W9" s="216" t="n">
        <f aca="false">SEP!W46</f>
        <v>6257.62540962944</v>
      </c>
      <c r="X9" s="216" t="n">
        <f aca="false">SEP!X46</f>
        <v>24997.3</v>
      </c>
      <c r="Y9" s="216"/>
      <c r="Z9" s="216"/>
      <c r="AA9" s="216" t="n">
        <f aca="false">SEP!AA46</f>
        <v>103434.2</v>
      </c>
      <c r="AB9" s="216" t="n">
        <f aca="false">SEP!AB46</f>
        <v>4481.13968237963</v>
      </c>
      <c r="AC9" s="216" t="n">
        <f aca="false">SEP!AC46</f>
        <v>107915.33968238</v>
      </c>
      <c r="AD9" s="493"/>
      <c r="AE9" s="218"/>
      <c r="AF9" s="223"/>
      <c r="AG9" s="218"/>
      <c r="AH9" s="218"/>
      <c r="AI9" s="221"/>
      <c r="AJ9" s="341" t="n">
        <f aca="false">SEP!AJ47</f>
        <v>1156.03024508111</v>
      </c>
      <c r="AK9" s="218" t="n">
        <f aca="false">SEP!AK46</f>
        <v>917.06</v>
      </c>
    </row>
    <row r="10" s="138" customFormat="true" ht="11.1" hidden="false" customHeight="true" outlineLevel="0" collapsed="false">
      <c r="A10" s="225" t="s">
        <v>68</v>
      </c>
      <c r="B10" s="226" t="n">
        <f aca="false">SEP!B41</f>
        <v>6877.81</v>
      </c>
      <c r="C10" s="216" t="n">
        <f aca="false">SEP!C41</f>
        <v>209670</v>
      </c>
      <c r="D10" s="216" t="n">
        <f aca="false">SEP!D50</f>
        <v>35727</v>
      </c>
      <c r="E10" s="216" t="n">
        <f aca="false">SEP!E50</f>
        <v>57692</v>
      </c>
      <c r="F10" s="217" t="n">
        <f aca="false">SEP!F49</f>
        <v>18012.0998235442</v>
      </c>
      <c r="G10" s="216" t="n">
        <f aca="false">SEP!G49</f>
        <v>120900</v>
      </c>
      <c r="H10" s="616" t="n">
        <f aca="false">SEP!H49</f>
        <v>2261.16</v>
      </c>
      <c r="I10" s="216" t="n">
        <f aca="false">SEP!I49</f>
        <v>123161.16</v>
      </c>
      <c r="J10" s="216" t="n">
        <f aca="false">SEP!J49</f>
        <v>15320.4839135367</v>
      </c>
      <c r="K10" s="216" t="n">
        <f aca="false">SEP!K49</f>
        <v>138481.643913537</v>
      </c>
      <c r="L10" s="216" t="n">
        <f aca="false">SEP!L49</f>
        <v>10614.5948235442</v>
      </c>
      <c r="M10" s="219" t="n">
        <f aca="false">SEP!M49</f>
        <v>39417.6</v>
      </c>
      <c r="N10" s="216" t="n">
        <f aca="false">SEP!N49</f>
        <v>102.85</v>
      </c>
      <c r="O10" s="216" t="n">
        <f aca="false">SEP!O49</f>
        <v>11338.8555</v>
      </c>
      <c r="P10" s="216" t="n">
        <f aca="false">SEP!P49</f>
        <v>583.694</v>
      </c>
      <c r="Q10" s="218" t="n">
        <f aca="false">SEP!Q49</f>
        <v>1115.247</v>
      </c>
      <c r="R10" s="220" t="n">
        <f aca="false">SEP!R49</f>
        <v>375.323</v>
      </c>
      <c r="S10" s="216" t="n">
        <f aca="false">SEP!S49</f>
        <v>26935.2</v>
      </c>
      <c r="T10" s="216" t="n">
        <f aca="false">SEP!T49</f>
        <v>10539.7</v>
      </c>
      <c r="U10" s="216" t="n">
        <f aca="false">SEP!U49</f>
        <v>63370.46099</v>
      </c>
      <c r="V10" s="216"/>
      <c r="W10" s="216" t="n">
        <f aca="false">SEP!W49</f>
        <v>6257.62540962944</v>
      </c>
      <c r="X10" s="216" t="n">
        <f aca="false">SEP!X49</f>
        <v>24997.3</v>
      </c>
      <c r="Y10" s="216" t="n">
        <f aca="false">SEP!Y49</f>
        <v>13842</v>
      </c>
      <c r="Z10" s="216" t="n">
        <f aca="false">SEP!Z49</f>
        <v>5058.98361482228</v>
      </c>
      <c r="AA10" s="216" t="n">
        <f aca="false">SEP!AA49</f>
        <v>115763.655</v>
      </c>
      <c r="AB10" s="216" t="n">
        <f aca="false">SEP!AB49</f>
        <v>4705.88908999244</v>
      </c>
      <c r="AC10" s="216" t="n">
        <f aca="false">SEP!AC49</f>
        <v>120469.544089992</v>
      </c>
      <c r="AD10" s="493" t="n">
        <f aca="false">SEP!AD49</f>
        <v>15.85</v>
      </c>
      <c r="AE10" s="218"/>
      <c r="AF10" s="223"/>
      <c r="AG10" s="218" t="n">
        <f aca="false">SEP!AG50</f>
        <v>0</v>
      </c>
      <c r="AH10" s="218" t="n">
        <f aca="false">SEP!AH49</f>
        <v>346.51</v>
      </c>
      <c r="AI10" s="221"/>
      <c r="AJ10" s="341" t="n">
        <f aca="false">SEP!AJ50</f>
        <v>1156.03024508111</v>
      </c>
      <c r="AK10" s="218" t="n">
        <f aca="false">SEP!AK49</f>
        <v>917.06</v>
      </c>
    </row>
    <row r="11" customFormat="false" ht="3" hidden="false" customHeight="true" outlineLevel="0" collapsed="false">
      <c r="A11" s="227"/>
      <c r="B11" s="228"/>
      <c r="C11" s="229"/>
      <c r="D11" s="230"/>
      <c r="E11" s="229"/>
      <c r="F11" s="231"/>
      <c r="G11" s="230"/>
      <c r="H11" s="617"/>
      <c r="I11" s="230"/>
      <c r="J11" s="230"/>
      <c r="K11" s="230"/>
      <c r="L11" s="230"/>
      <c r="M11" s="233"/>
      <c r="N11" s="230"/>
      <c r="O11" s="230"/>
      <c r="P11" s="230"/>
      <c r="Q11" s="230"/>
      <c r="R11" s="234"/>
      <c r="S11" s="230"/>
      <c r="T11" s="230"/>
      <c r="U11" s="230"/>
      <c r="V11" s="229"/>
      <c r="W11" s="229"/>
      <c r="X11" s="230"/>
      <c r="Y11" s="230"/>
      <c r="Z11" s="229"/>
      <c r="AA11" s="230"/>
      <c r="AB11" s="230"/>
      <c r="AC11" s="230"/>
      <c r="AD11" s="495"/>
      <c r="AE11" s="237"/>
      <c r="AF11" s="238"/>
      <c r="AG11" s="237"/>
      <c r="AH11" s="237"/>
      <c r="AI11" s="235"/>
      <c r="AJ11" s="441"/>
      <c r="AK11" s="441"/>
    </row>
    <row r="12" customFormat="false" ht="11.1" hidden="false" customHeight="true" outlineLevel="0" collapsed="false">
      <c r="A12" s="153" t="n">
        <v>1</v>
      </c>
      <c r="B12" s="226" t="n">
        <v>6877.83</v>
      </c>
      <c r="C12" s="216" t="n">
        <v>209728</v>
      </c>
      <c r="D12" s="218" t="n">
        <f aca="false">C12-C10</f>
        <v>58</v>
      </c>
      <c r="E12" s="216" t="n">
        <f aca="false">C12-152000</f>
        <v>57728</v>
      </c>
      <c r="F12" s="239" t="n">
        <f aca="false">D12/$D$2</f>
        <v>29.2412402319133</v>
      </c>
      <c r="G12" s="240" t="n">
        <v>198</v>
      </c>
      <c r="H12" s="618" t="n">
        <v>0</v>
      </c>
      <c r="I12" s="240" t="n">
        <f aca="false">G12+H12</f>
        <v>198</v>
      </c>
      <c r="J12" s="221" t="n">
        <f aca="false">IF(L12&gt;0,L12,0)</f>
        <v>25.2412402319133</v>
      </c>
      <c r="K12" s="240" t="n">
        <f aca="false">I12+J12</f>
        <v>223.241240231913</v>
      </c>
      <c r="L12" s="240" t="n">
        <f aca="false">F12-(I12-AA12)</f>
        <v>25.2412402319133</v>
      </c>
      <c r="M12" s="242" t="n">
        <v>57</v>
      </c>
      <c r="N12" s="240" t="n">
        <v>0</v>
      </c>
      <c r="O12" s="240" t="n">
        <f aca="false">2.1*1.05</f>
        <v>2.205</v>
      </c>
      <c r="P12" s="357" t="n">
        <v>1.48</v>
      </c>
      <c r="Q12" s="115" t="n">
        <v>2.98</v>
      </c>
      <c r="R12" s="116" t="n">
        <v>0</v>
      </c>
      <c r="S12" s="240" t="n">
        <v>62</v>
      </c>
      <c r="T12" s="240" t="n">
        <v>40</v>
      </c>
      <c r="U12" s="240" t="n">
        <f aca="false">M12-N12-O12-P12-Q12-R12+S12+T12</f>
        <v>152.335</v>
      </c>
      <c r="V12" s="216" t="n">
        <f aca="false">V9+AI12-(AJ12/1.9835)</f>
        <v>1948.40244072064</v>
      </c>
      <c r="W12" s="216"/>
      <c r="X12" s="240" t="n">
        <v>0</v>
      </c>
      <c r="Y12" s="240" t="n">
        <v>35</v>
      </c>
      <c r="Z12" s="216" t="n">
        <f aca="false">Z10-Y12</f>
        <v>5023.98361482228</v>
      </c>
      <c r="AA12" s="602" t="n">
        <f aca="false">N12+O12+P12+Q12+R12+U12+X12+Y12</f>
        <v>194</v>
      </c>
      <c r="AB12" s="240" t="n">
        <f aca="false">IF(L12&lt;0,L12*-1,0)</f>
        <v>0</v>
      </c>
      <c r="AC12" s="240" t="n">
        <f aca="false">AA12+AB12</f>
        <v>194</v>
      </c>
      <c r="AD12" s="493" t="n">
        <v>0</v>
      </c>
      <c r="AE12" s="218" t="n">
        <v>63</v>
      </c>
      <c r="AF12" s="223" t="n">
        <v>36</v>
      </c>
      <c r="AG12" s="218" t="n">
        <f aca="false">AG10</f>
        <v>0</v>
      </c>
      <c r="AH12" s="218"/>
      <c r="AI12" s="221" t="n">
        <v>0</v>
      </c>
      <c r="AJ12" s="341" t="n">
        <f aca="false">23.5*(V9*1.9835-U12*1.9835)/E12</f>
        <v>1.45081829950404</v>
      </c>
      <c r="AK12" s="216"/>
    </row>
    <row r="13" customFormat="false" ht="11.1" hidden="false" customHeight="true" outlineLevel="0" collapsed="false">
      <c r="A13" s="153" t="n">
        <f aca="false">A12+1</f>
        <v>2</v>
      </c>
      <c r="B13" s="226" t="n">
        <v>6877.81</v>
      </c>
      <c r="C13" s="216" t="n">
        <v>209670</v>
      </c>
      <c r="D13" s="218" t="n">
        <f aca="false">C13-C12</f>
        <v>-58</v>
      </c>
      <c r="E13" s="216" t="n">
        <f aca="false">C13-152000</f>
        <v>57670</v>
      </c>
      <c r="F13" s="239" t="n">
        <f aca="false">D13/$D$2</f>
        <v>-29.2412402319133</v>
      </c>
      <c r="G13" s="240" t="n">
        <v>182</v>
      </c>
      <c r="H13" s="618" t="n">
        <v>0</v>
      </c>
      <c r="I13" s="240" t="n">
        <f aca="false">G13+H13</f>
        <v>182</v>
      </c>
      <c r="J13" s="221" t="n">
        <f aca="false">IF(L13&gt;0,L13,0)</f>
        <v>0</v>
      </c>
      <c r="K13" s="240" t="n">
        <f aca="false">I13+J13</f>
        <v>182</v>
      </c>
      <c r="L13" s="240" t="n">
        <f aca="false">F13-(I13-AA13)</f>
        <v>-29.2412402319133</v>
      </c>
      <c r="M13" s="242" t="n">
        <v>58</v>
      </c>
      <c r="N13" s="240" t="n">
        <v>0</v>
      </c>
      <c r="O13" s="240" t="n">
        <f aca="false">0.16*1.05</f>
        <v>0.168</v>
      </c>
      <c r="P13" s="357" t="n">
        <v>1.48</v>
      </c>
      <c r="Q13" s="115" t="n">
        <v>2.7</v>
      </c>
      <c r="R13" s="116" t="n">
        <v>0</v>
      </c>
      <c r="S13" s="240" t="n">
        <v>54</v>
      </c>
      <c r="T13" s="240" t="n">
        <v>35</v>
      </c>
      <c r="U13" s="240" t="n">
        <f aca="false">M13-N13-O13-P13-Q13-R13+S13+T13</f>
        <v>142.652</v>
      </c>
      <c r="V13" s="216" t="n">
        <f aca="false">V12+AI13-(AJ13/1.9835)</f>
        <v>1947.66661385473</v>
      </c>
      <c r="W13" s="216"/>
      <c r="X13" s="240" t="n">
        <v>0</v>
      </c>
      <c r="Y13" s="240" t="n">
        <v>35</v>
      </c>
      <c r="Z13" s="216" t="n">
        <f aca="false">Z12-Y13</f>
        <v>4988.98361482228</v>
      </c>
      <c r="AA13" s="602" t="n">
        <f aca="false">N13+O13+P13+Q13+R13+U13+X13+Y13</f>
        <v>182</v>
      </c>
      <c r="AB13" s="240" t="n">
        <f aca="false">IF(L13&lt;0,L13*-1,0)</f>
        <v>29.2412402319133</v>
      </c>
      <c r="AC13" s="240" t="n">
        <f aca="false">AA13+AB13</f>
        <v>211.241240231913</v>
      </c>
      <c r="AD13" s="493" t="n">
        <v>0</v>
      </c>
      <c r="AE13" s="218" t="n">
        <v>66</v>
      </c>
      <c r="AF13" s="223" t="n">
        <v>39</v>
      </c>
      <c r="AG13" s="218" t="n">
        <f aca="false">AG12</f>
        <v>0</v>
      </c>
      <c r="AH13" s="218"/>
      <c r="AI13" s="221" t="n">
        <v>0</v>
      </c>
      <c r="AJ13" s="341" t="n">
        <f aca="false">23.5*(V12*1.9835-U13*1.9835)/E13</f>
        <v>1.45951258852923</v>
      </c>
      <c r="AK13" s="216"/>
    </row>
    <row r="14" customFormat="false" ht="11.1" hidden="false" customHeight="true" outlineLevel="0" collapsed="false">
      <c r="A14" s="153" t="n">
        <f aca="false">A13+1</f>
        <v>3</v>
      </c>
      <c r="B14" s="226" t="n">
        <v>6877.8</v>
      </c>
      <c r="C14" s="216" t="n">
        <v>209641</v>
      </c>
      <c r="D14" s="218" t="n">
        <f aca="false">C14-C13</f>
        <v>-29</v>
      </c>
      <c r="E14" s="216" t="n">
        <f aca="false">C14-152000</f>
        <v>57641</v>
      </c>
      <c r="F14" s="239" t="n">
        <f aca="false">D14/$D$2</f>
        <v>-14.6206201159566</v>
      </c>
      <c r="G14" s="240" t="n">
        <v>165</v>
      </c>
      <c r="H14" s="618" t="n">
        <v>0</v>
      </c>
      <c r="I14" s="240" t="n">
        <f aca="false">G14+H14</f>
        <v>165</v>
      </c>
      <c r="J14" s="221" t="n">
        <f aca="false">IF(L14&gt;0,L14,0)</f>
        <v>7.37937988404336</v>
      </c>
      <c r="K14" s="240" t="n">
        <f aca="false">I14+J14</f>
        <v>172.379379884043</v>
      </c>
      <c r="L14" s="240" t="n">
        <f aca="false">F14-(I14-AA14)</f>
        <v>7.37937988404336</v>
      </c>
      <c r="M14" s="242" t="n">
        <v>65</v>
      </c>
      <c r="N14" s="240" t="n">
        <v>0</v>
      </c>
      <c r="O14" s="240" t="n">
        <v>0</v>
      </c>
      <c r="P14" s="357" t="n">
        <v>1.48</v>
      </c>
      <c r="Q14" s="115" t="n">
        <v>3.13</v>
      </c>
      <c r="R14" s="116" t="n">
        <v>0</v>
      </c>
      <c r="S14" s="240" t="n">
        <v>55</v>
      </c>
      <c r="T14" s="240" t="n">
        <v>32</v>
      </c>
      <c r="U14" s="240" t="n">
        <f aca="false">M14-N14-O14-P14-Q14-R14+S14+T14</f>
        <v>147.39</v>
      </c>
      <c r="V14" s="216" t="n">
        <f aca="false">V13+AI14-(AJ14/1.9835)</f>
        <v>1946.93264844078</v>
      </c>
      <c r="W14" s="216"/>
      <c r="X14" s="240" t="n">
        <v>0</v>
      </c>
      <c r="Y14" s="240" t="n">
        <v>35</v>
      </c>
      <c r="Z14" s="216" t="n">
        <f aca="false">Z13-Y14</f>
        <v>4953.98361482228</v>
      </c>
      <c r="AA14" s="602" t="n">
        <f aca="false">N14+O14+P14+Q14+R14+U14+X14+Y14</f>
        <v>187</v>
      </c>
      <c r="AB14" s="240" t="n">
        <f aca="false">IF(L14&lt;0,L14*-1,0)</f>
        <v>0</v>
      </c>
      <c r="AC14" s="240" t="n">
        <f aca="false">AA14+AB14</f>
        <v>187</v>
      </c>
      <c r="AD14" s="493" t="n">
        <v>0</v>
      </c>
      <c r="AE14" s="218" t="n">
        <v>68</v>
      </c>
      <c r="AF14" s="223" t="n">
        <v>41</v>
      </c>
      <c r="AG14" s="218" t="n">
        <f aca="false">AG13</f>
        <v>0</v>
      </c>
      <c r="AH14" s="218"/>
      <c r="AI14" s="221" t="n">
        <v>0</v>
      </c>
      <c r="AJ14" s="341" t="n">
        <f aca="false">23.5*(V13*1.9835-U14*1.9835)/E14</f>
        <v>1.45582039857307</v>
      </c>
      <c r="AK14" s="216"/>
    </row>
    <row r="15" customFormat="false" ht="11.1" hidden="false" customHeight="true" outlineLevel="0" collapsed="false">
      <c r="A15" s="153" t="n">
        <f aca="false">A14+1</f>
        <v>4</v>
      </c>
      <c r="B15" s="226" t="n">
        <v>6877.75</v>
      </c>
      <c r="C15" s="216" t="n">
        <v>209494</v>
      </c>
      <c r="D15" s="218" t="n">
        <f aca="false">C15-C14</f>
        <v>-147</v>
      </c>
      <c r="E15" s="216" t="n">
        <f aca="false">C15-152000</f>
        <v>57494</v>
      </c>
      <c r="F15" s="239" t="n">
        <f aca="false">D15/$D$2</f>
        <v>-74.1114192084699</v>
      </c>
      <c r="G15" s="240" t="n">
        <v>155</v>
      </c>
      <c r="H15" s="618" t="n">
        <v>0</v>
      </c>
      <c r="I15" s="240" t="n">
        <f aca="false">G15+H15</f>
        <v>155</v>
      </c>
      <c r="J15" s="221" t="n">
        <f aca="false">IF(L15&gt;0,L15,0)</f>
        <v>0</v>
      </c>
      <c r="K15" s="240" t="n">
        <f aca="false">I15+J15</f>
        <v>155</v>
      </c>
      <c r="L15" s="240" t="n">
        <f aca="false">F15-(I15-AA15)</f>
        <v>-12.1114192084699</v>
      </c>
      <c r="M15" s="242" t="n">
        <v>96</v>
      </c>
      <c r="N15" s="240" t="n">
        <v>0</v>
      </c>
      <c r="O15" s="240" t="n">
        <f aca="false">18.51*1.05</f>
        <v>19.4355</v>
      </c>
      <c r="P15" s="357" t="n">
        <v>1.48</v>
      </c>
      <c r="Q15" s="115" t="n">
        <v>2.6</v>
      </c>
      <c r="R15" s="116" t="n">
        <v>0</v>
      </c>
      <c r="S15" s="240" t="n">
        <v>55</v>
      </c>
      <c r="T15" s="240" t="n">
        <v>31</v>
      </c>
      <c r="U15" s="240" t="n">
        <f aca="false">M15-N15-O15-P15-Q15-R15+S15+T15</f>
        <v>158.4845</v>
      </c>
      <c r="V15" s="216" t="n">
        <f aca="false">V14+AI15-(AJ15/1.9835)</f>
        <v>1938.63714117935</v>
      </c>
      <c r="W15" s="216"/>
      <c r="X15" s="240" t="n">
        <v>0</v>
      </c>
      <c r="Y15" s="240" t="n">
        <v>35</v>
      </c>
      <c r="Z15" s="216" t="n">
        <f aca="false">Z14-Y15</f>
        <v>4918.98361482228</v>
      </c>
      <c r="AA15" s="602" t="n">
        <f aca="false">N15+O15+P15+Q15+R15+U15+X15+Y15</f>
        <v>217</v>
      </c>
      <c r="AB15" s="240" t="n">
        <f aca="false">IF(L15&lt;0,L15*-1,0)</f>
        <v>12.1114192084699</v>
      </c>
      <c r="AC15" s="240" t="n">
        <f aca="false">AA15+AB15</f>
        <v>229.11141920847</v>
      </c>
      <c r="AD15" s="493" t="n">
        <v>0</v>
      </c>
      <c r="AE15" s="218" t="n">
        <v>68</v>
      </c>
      <c r="AF15" s="223" t="n">
        <v>39</v>
      </c>
      <c r="AG15" s="218" t="n">
        <f aca="false">AG14</f>
        <v>0</v>
      </c>
      <c r="AH15" s="218"/>
      <c r="AI15" s="221" t="n">
        <f aca="false">(I15-P15-Q15)-U15</f>
        <v>-7.56449999999998</v>
      </c>
      <c r="AJ15" s="341" t="n">
        <f aca="false">23.5*(V14*1.9835-U15*1.9835)/E15</f>
        <v>1.44995290303612</v>
      </c>
      <c r="AK15" s="216"/>
    </row>
    <row r="16" customFormat="false" ht="11.1" hidden="false" customHeight="true" outlineLevel="0" collapsed="false">
      <c r="A16" s="153" t="n">
        <f aca="false">A15+1</f>
        <v>5</v>
      </c>
      <c r="B16" s="226" t="n">
        <v>6877.7</v>
      </c>
      <c r="C16" s="216" t="n">
        <v>209348</v>
      </c>
      <c r="D16" s="218" t="n">
        <f aca="false">C16-C15</f>
        <v>-146</v>
      </c>
      <c r="E16" s="216" t="n">
        <f aca="false">C16-152000</f>
        <v>57348</v>
      </c>
      <c r="F16" s="239" t="n">
        <f aca="false">D16/$D$2</f>
        <v>-73.6072598941265</v>
      </c>
      <c r="G16" s="240" t="n">
        <v>152</v>
      </c>
      <c r="H16" s="618" t="n">
        <v>0</v>
      </c>
      <c r="I16" s="240" t="n">
        <f aca="false">G16+H16</f>
        <v>152</v>
      </c>
      <c r="J16" s="221" t="n">
        <f aca="false">IF(L16&gt;0,L16,0)</f>
        <v>0</v>
      </c>
      <c r="K16" s="240" t="n">
        <f aca="false">I16+J16</f>
        <v>152</v>
      </c>
      <c r="L16" s="240" t="n">
        <f aca="false">F16-(I16-AA16)</f>
        <v>-12.6072598941265</v>
      </c>
      <c r="M16" s="242" t="n">
        <v>94</v>
      </c>
      <c r="N16" s="240" t="n">
        <v>0</v>
      </c>
      <c r="O16" s="240" t="n">
        <f aca="false">45.72*1.05</f>
        <v>48.006</v>
      </c>
      <c r="P16" s="357" t="n">
        <v>1.48</v>
      </c>
      <c r="Q16" s="115" t="n">
        <v>3.11</v>
      </c>
      <c r="R16" s="116" t="n">
        <v>0</v>
      </c>
      <c r="S16" s="240" t="n">
        <v>55</v>
      </c>
      <c r="T16" s="240" t="n">
        <v>28</v>
      </c>
      <c r="U16" s="240" t="n">
        <f aca="false">M16-N16-O16-P16-Q16-R16+S16+T16</f>
        <v>124.404</v>
      </c>
      <c r="V16" s="216" t="n">
        <f aca="false">V15+AI16-(AJ16/1.9835)</f>
        <v>1937.89370672972</v>
      </c>
      <c r="W16" s="216"/>
      <c r="X16" s="240" t="n">
        <v>0</v>
      </c>
      <c r="Y16" s="240" t="n">
        <v>36</v>
      </c>
      <c r="Z16" s="216" t="n">
        <f aca="false">Z15-Y16</f>
        <v>4882.98361482228</v>
      </c>
      <c r="AA16" s="602" t="n">
        <f aca="false">N16+O16+P16+Q16+R16+U16+X16+Y16</f>
        <v>213</v>
      </c>
      <c r="AB16" s="240" t="n">
        <f aca="false">IF(L16&lt;0,L16*-1,0)</f>
        <v>12.6072598941265</v>
      </c>
      <c r="AC16" s="240" t="n">
        <f aca="false">AA16+AB16</f>
        <v>225.607259894127</v>
      </c>
      <c r="AD16" s="493" t="n">
        <v>0</v>
      </c>
      <c r="AE16" s="218" t="n">
        <v>61</v>
      </c>
      <c r="AF16" s="223" t="n">
        <v>40</v>
      </c>
      <c r="AG16" s="218" t="n">
        <f aca="false">AG15</f>
        <v>0</v>
      </c>
      <c r="AH16" s="218"/>
      <c r="AI16" s="221" t="n">
        <v>0</v>
      </c>
      <c r="AJ16" s="341" t="n">
        <f aca="false">23.5*(V15*1.9835-U16*1.9835)/E16</f>
        <v>1.47460223085264</v>
      </c>
      <c r="AK16" s="216"/>
    </row>
    <row r="17" customFormat="false" ht="11.1" hidden="false" customHeight="true" outlineLevel="0" collapsed="false">
      <c r="A17" s="153" t="n">
        <f aca="false">A16+1</f>
        <v>6</v>
      </c>
      <c r="B17" s="226" t="n">
        <v>6877.66</v>
      </c>
      <c r="C17" s="216" t="n">
        <v>209232</v>
      </c>
      <c r="D17" s="218" t="n">
        <f aca="false">C17-C16</f>
        <v>-116</v>
      </c>
      <c r="E17" s="216" t="n">
        <f aca="false">C17-152000</f>
        <v>57232</v>
      </c>
      <c r="F17" s="239" t="n">
        <f aca="false">D17/$D$2</f>
        <v>-58.4824804638266</v>
      </c>
      <c r="G17" s="240" t="n">
        <v>155</v>
      </c>
      <c r="H17" s="618" t="n">
        <v>0</v>
      </c>
      <c r="I17" s="240" t="n">
        <f aca="false">G17+H17</f>
        <v>155</v>
      </c>
      <c r="J17" s="221" t="n">
        <f aca="false">IF(L17&gt;0,L17,0)</f>
        <v>2.51751953617343</v>
      </c>
      <c r="K17" s="240" t="n">
        <f aca="false">I17+J17</f>
        <v>157.517519536173</v>
      </c>
      <c r="L17" s="240" t="n">
        <f aca="false">F17-(I17-AA17)</f>
        <v>2.51751953617343</v>
      </c>
      <c r="M17" s="242" t="n">
        <v>94</v>
      </c>
      <c r="N17" s="240" t="n">
        <v>0</v>
      </c>
      <c r="O17" s="240" t="n">
        <f aca="false">43.37*1.05</f>
        <v>45.5385</v>
      </c>
      <c r="P17" s="357" t="n">
        <v>1.48</v>
      </c>
      <c r="Q17" s="115" t="n">
        <v>3.03</v>
      </c>
      <c r="R17" s="116" t="n">
        <v>0</v>
      </c>
      <c r="S17" s="240" t="n">
        <v>61</v>
      </c>
      <c r="T17" s="240" t="n">
        <v>25</v>
      </c>
      <c r="U17" s="240" t="n">
        <f aca="false">M17-N17-O17-P17-Q17-R17+S17+T17</f>
        <v>129.9515</v>
      </c>
      <c r="V17" s="216" t="n">
        <f aca="false">V16+AI17-(AJ17/1.9835)</f>
        <v>1937.15134857592</v>
      </c>
      <c r="W17" s="216"/>
      <c r="X17" s="240" t="n">
        <v>0</v>
      </c>
      <c r="Y17" s="240" t="n">
        <v>36</v>
      </c>
      <c r="Z17" s="216" t="n">
        <f aca="false">Z16-Y17</f>
        <v>4846.98361482228</v>
      </c>
      <c r="AA17" s="602" t="n">
        <f aca="false">N17+O17+P17+Q17+R17+U17+X17+Y17</f>
        <v>216</v>
      </c>
      <c r="AB17" s="240" t="n">
        <f aca="false">IF(L17&lt;0,L17*-1,0)</f>
        <v>0</v>
      </c>
      <c r="AC17" s="240" t="n">
        <f aca="false">AA17+AB17</f>
        <v>216</v>
      </c>
      <c r="AD17" s="493" t="n">
        <v>0.06</v>
      </c>
      <c r="AE17" s="218" t="n">
        <v>61</v>
      </c>
      <c r="AF17" s="223" t="n">
        <v>39</v>
      </c>
      <c r="AG17" s="218" t="n">
        <f aca="false">AG16</f>
        <v>0</v>
      </c>
      <c r="AH17" s="218"/>
      <c r="AI17" s="221" t="n">
        <v>0</v>
      </c>
      <c r="AJ17" s="341" t="n">
        <f aca="false">23.5*(V16*1.9835-U17*1.9835)/E17</f>
        <v>1.47246739805768</v>
      </c>
      <c r="AK17" s="216"/>
    </row>
    <row r="18" customFormat="false" ht="11.1" hidden="false" customHeight="true" outlineLevel="0" collapsed="false">
      <c r="A18" s="153" t="n">
        <f aca="false">A17+1</f>
        <v>7</v>
      </c>
      <c r="B18" s="226" t="n">
        <v>6877.63</v>
      </c>
      <c r="C18" s="216" t="n">
        <v>209144</v>
      </c>
      <c r="D18" s="218" t="n">
        <f aca="false">C18-C17</f>
        <v>-88</v>
      </c>
      <c r="E18" s="216" t="n">
        <f aca="false">C18-152000</f>
        <v>57144</v>
      </c>
      <c r="F18" s="239" t="n">
        <f aca="false">D18/$D$2</f>
        <v>-44.3660196622133</v>
      </c>
      <c r="G18" s="240" t="n">
        <v>145</v>
      </c>
      <c r="H18" s="618" t="n">
        <v>0</v>
      </c>
      <c r="I18" s="240" t="n">
        <f aca="false">G18+H18</f>
        <v>145</v>
      </c>
      <c r="J18" s="221" t="n">
        <f aca="false">IF(L18&gt;0,L18,0)</f>
        <v>27.6339803377867</v>
      </c>
      <c r="K18" s="240" t="n">
        <f aca="false">I18+J18</f>
        <v>172.633980337787</v>
      </c>
      <c r="L18" s="240" t="n">
        <f aca="false">F18-(I18-AA18)</f>
        <v>27.6339803377867</v>
      </c>
      <c r="M18" s="242" t="n">
        <v>94</v>
      </c>
      <c r="N18" s="240" t="n">
        <v>0</v>
      </c>
      <c r="O18" s="240" t="n">
        <f aca="false">36.17*1.05</f>
        <v>37.9785</v>
      </c>
      <c r="P18" s="357" t="n">
        <v>1.48</v>
      </c>
      <c r="Q18" s="115" t="n">
        <v>2.77</v>
      </c>
      <c r="R18" s="116" t="n">
        <v>0</v>
      </c>
      <c r="S18" s="240" t="n">
        <v>65</v>
      </c>
      <c r="T18" s="240" t="n">
        <v>22</v>
      </c>
      <c r="U18" s="240" t="n">
        <f aca="false">M18-N18-O18-P18-Q18-R18+S18+T18</f>
        <v>138.7715</v>
      </c>
      <c r="V18" s="216" t="n">
        <f aca="false">V17+AI18-(AJ18/1.9835)</f>
        <v>1938.39027965457</v>
      </c>
      <c r="W18" s="216"/>
      <c r="X18" s="240" t="n">
        <v>0</v>
      </c>
      <c r="Y18" s="240" t="n">
        <v>36</v>
      </c>
      <c r="Z18" s="216" t="n">
        <f aca="false">Z17-Y18</f>
        <v>4810.98361482228</v>
      </c>
      <c r="AA18" s="602" t="n">
        <f aca="false">N18+O18+P18+Q18+R18+U18+X18+Y18</f>
        <v>217</v>
      </c>
      <c r="AB18" s="240" t="n">
        <f aca="false">IF(L18&lt;0,L18*-1,0)</f>
        <v>0</v>
      </c>
      <c r="AC18" s="240" t="n">
        <f aca="false">AA18+AB18</f>
        <v>217</v>
      </c>
      <c r="AD18" s="493" t="n">
        <v>0</v>
      </c>
      <c r="AE18" s="218" t="n">
        <v>65</v>
      </c>
      <c r="AF18" s="223" t="n">
        <v>38</v>
      </c>
      <c r="AG18" s="218" t="n">
        <f aca="false">AG17</f>
        <v>0</v>
      </c>
      <c r="AH18" s="218"/>
      <c r="AI18" s="221" t="n">
        <f aca="false">(I18-P18-Q18)-U18</f>
        <v>1.9785</v>
      </c>
      <c r="AJ18" s="341" t="n">
        <f aca="false">23.5*(V17*1.9835-U18*1.9835)/E18</f>
        <v>1.46693495549459</v>
      </c>
      <c r="AK18" s="216"/>
    </row>
    <row r="19" customFormat="false" ht="11.1" hidden="false" customHeight="true" outlineLevel="0" collapsed="false">
      <c r="A19" s="153" t="n">
        <f aca="false">A18+1</f>
        <v>8</v>
      </c>
      <c r="B19" s="226" t="n">
        <v>6877.6</v>
      </c>
      <c r="C19" s="216" t="n">
        <v>209056</v>
      </c>
      <c r="D19" s="218" t="n">
        <f aca="false">C19-C18</f>
        <v>-88</v>
      </c>
      <c r="E19" s="216" t="n">
        <f aca="false">C19-152000</f>
        <v>57056</v>
      </c>
      <c r="F19" s="239" t="n">
        <f aca="false">D19/$D$2</f>
        <v>-44.3660196622133</v>
      </c>
      <c r="G19" s="240" t="n">
        <v>135</v>
      </c>
      <c r="H19" s="618" t="n">
        <v>0</v>
      </c>
      <c r="I19" s="240" t="n">
        <f aca="false">G19+H19</f>
        <v>135</v>
      </c>
      <c r="J19" s="221" t="n">
        <f aca="false">IF(L19&gt;0,L19,0)</f>
        <v>1.63398033778674</v>
      </c>
      <c r="K19" s="240" t="n">
        <f aca="false">I19+J19</f>
        <v>136.633980337787</v>
      </c>
      <c r="L19" s="240" t="n">
        <f aca="false">F19-(I19-AA19)</f>
        <v>1.63398033778674</v>
      </c>
      <c r="M19" s="242" t="n">
        <v>57</v>
      </c>
      <c r="N19" s="240" t="n">
        <v>0</v>
      </c>
      <c r="O19" s="240" t="n">
        <f aca="false">24.63*1.05</f>
        <v>25.8615</v>
      </c>
      <c r="P19" s="357" t="n">
        <v>1.48</v>
      </c>
      <c r="Q19" s="115" t="n">
        <v>3.37</v>
      </c>
      <c r="R19" s="116" t="n">
        <v>0</v>
      </c>
      <c r="S19" s="240" t="n">
        <v>68</v>
      </c>
      <c r="T19" s="240" t="n">
        <v>21</v>
      </c>
      <c r="U19" s="240" t="n">
        <f aca="false">M19-N19-O19-P19-Q19-R19+S19+T19</f>
        <v>115.2885</v>
      </c>
      <c r="V19" s="216" t="n">
        <f aca="false">V18+AI19-(AJ19/1.9835)</f>
        <v>1937.63938769191</v>
      </c>
      <c r="W19" s="216"/>
      <c r="X19" s="240" t="n">
        <v>0</v>
      </c>
      <c r="Y19" s="240" t="n">
        <v>35</v>
      </c>
      <c r="Z19" s="216" t="n">
        <f aca="false">Z18-Y19</f>
        <v>4775.98361482228</v>
      </c>
      <c r="AA19" s="602" t="n">
        <f aca="false">N19+O19+P19+Q19+R19+U19+X19+Y19</f>
        <v>181</v>
      </c>
      <c r="AB19" s="240" t="n">
        <f aca="false">IF(L19&lt;0,L19*-1,0)</f>
        <v>0</v>
      </c>
      <c r="AC19" s="240" t="n">
        <f aca="false">AA19+AB19</f>
        <v>181</v>
      </c>
      <c r="AD19" s="493" t="n">
        <v>0</v>
      </c>
      <c r="AE19" s="218" t="n">
        <v>70</v>
      </c>
      <c r="AF19" s="223" t="n">
        <v>40</v>
      </c>
      <c r="AG19" s="218" t="n">
        <f aca="false">AG18</f>
        <v>0</v>
      </c>
      <c r="AH19" s="218"/>
      <c r="AI19" s="221" t="n">
        <v>0</v>
      </c>
      <c r="AJ19" s="341" t="n">
        <f aca="false">23.5*(V18*1.9835-U19*1.9835)/E19</f>
        <v>1.4893942079484</v>
      </c>
      <c r="AK19" s="216"/>
    </row>
    <row r="20" customFormat="false" ht="11.1" hidden="false" customHeight="true" outlineLevel="0" collapsed="false">
      <c r="A20" s="153" t="n">
        <f aca="false">A19+1</f>
        <v>9</v>
      </c>
      <c r="B20" s="226" t="n">
        <v>6877.5</v>
      </c>
      <c r="C20" s="216" t="n">
        <v>208764</v>
      </c>
      <c r="D20" s="218" t="n">
        <f aca="false">C20-C19</f>
        <v>-292</v>
      </c>
      <c r="E20" s="216" t="n">
        <f aca="false">C20-152000</f>
        <v>56764</v>
      </c>
      <c r="F20" s="239" t="n">
        <f aca="false">D20/$D$2</f>
        <v>-147.214519788253</v>
      </c>
      <c r="G20" s="240" t="n">
        <v>122</v>
      </c>
      <c r="H20" s="618" t="n">
        <v>0</v>
      </c>
      <c r="I20" s="240" t="n">
        <f aca="false">G20+H20</f>
        <v>122</v>
      </c>
      <c r="J20" s="221" t="n">
        <f aca="false">IF(L20&gt;0,L20,0)</f>
        <v>0</v>
      </c>
      <c r="K20" s="240" t="n">
        <f aca="false">I20+J20</f>
        <v>122</v>
      </c>
      <c r="L20" s="240" t="n">
        <f aca="false">F20-(I20-AA20)</f>
        <v>-92.2145197882531</v>
      </c>
      <c r="M20" s="242" t="n">
        <v>51</v>
      </c>
      <c r="N20" s="240" t="n">
        <v>0</v>
      </c>
      <c r="O20" s="240" t="n">
        <f aca="false">12.05*1.05</f>
        <v>12.6525</v>
      </c>
      <c r="P20" s="357" t="n">
        <v>1.48</v>
      </c>
      <c r="Q20" s="115" t="n">
        <v>2.59</v>
      </c>
      <c r="R20" s="116" t="n">
        <v>0</v>
      </c>
      <c r="S20" s="240" t="n">
        <v>69</v>
      </c>
      <c r="T20" s="240" t="n">
        <v>21</v>
      </c>
      <c r="U20" s="240" t="n">
        <f aca="false">M20-N20-O20-P20-Q20-R20+S20+T20</f>
        <v>124.2775</v>
      </c>
      <c r="V20" s="216" t="n">
        <f aca="false">V19+AI20-(AJ20/1.9835)</f>
        <v>1930.54116532631</v>
      </c>
      <c r="W20" s="216"/>
      <c r="X20" s="240" t="n">
        <v>0</v>
      </c>
      <c r="Y20" s="240" t="n">
        <v>36</v>
      </c>
      <c r="Z20" s="216" t="n">
        <f aca="false">Z19-Y20</f>
        <v>4739.98361482228</v>
      </c>
      <c r="AA20" s="602" t="n">
        <f aca="false">N20+O20+P20+Q20+R20+U20+X20+Y20</f>
        <v>177</v>
      </c>
      <c r="AB20" s="240" t="n">
        <f aca="false">IF(L20&lt;0,L20*-1,0)</f>
        <v>92.2145197882531</v>
      </c>
      <c r="AC20" s="240" t="n">
        <f aca="false">AA20+AB20</f>
        <v>269.214519788253</v>
      </c>
      <c r="AD20" s="493" t="n">
        <v>0</v>
      </c>
      <c r="AE20" s="224" t="n">
        <v>71</v>
      </c>
      <c r="AF20" s="223" t="n">
        <v>41</v>
      </c>
      <c r="AG20" s="218" t="n">
        <f aca="false">AG19</f>
        <v>0</v>
      </c>
      <c r="AH20" s="218"/>
      <c r="AI20" s="221" t="n">
        <f aca="false">(I20-P20-Q20)-U20</f>
        <v>-6.34750000000001</v>
      </c>
      <c r="AJ20" s="341" t="n">
        <f aca="false">23.5*(V19*1.9835-U20*1.9835)/E20</f>
        <v>1.48905781216206</v>
      </c>
      <c r="AK20" s="216"/>
    </row>
    <row r="21" customFormat="false" ht="11.1" hidden="false" customHeight="true" outlineLevel="0" collapsed="false">
      <c r="A21" s="153" t="n">
        <f aca="false">A20+1</f>
        <v>10</v>
      </c>
      <c r="B21" s="226" t="n">
        <v>6877.45</v>
      </c>
      <c r="C21" s="216" t="n">
        <v>208618</v>
      </c>
      <c r="D21" s="218" t="n">
        <f aca="false">C21-C20</f>
        <v>-146</v>
      </c>
      <c r="E21" s="216" t="n">
        <f aca="false">C21-152000</f>
        <v>56618</v>
      </c>
      <c r="F21" s="239" t="n">
        <f aca="false">D21/$D$2</f>
        <v>-73.6072598941265</v>
      </c>
      <c r="G21" s="240" t="n">
        <v>117</v>
      </c>
      <c r="H21" s="618" t="n">
        <v>0</v>
      </c>
      <c r="I21" s="240" t="n">
        <f aca="false">G21+H21</f>
        <v>117</v>
      </c>
      <c r="J21" s="221" t="n">
        <f aca="false">IF(L21&gt;0,L21,0)</f>
        <v>0</v>
      </c>
      <c r="K21" s="240" t="n">
        <f aca="false">I21+J21</f>
        <v>117</v>
      </c>
      <c r="L21" s="240" t="n">
        <f aca="false">F21-(I21-AA21)</f>
        <v>-2.60725989412654</v>
      </c>
      <c r="M21" s="242" t="n">
        <v>60</v>
      </c>
      <c r="N21" s="240" t="n">
        <v>0</v>
      </c>
      <c r="O21" s="240" t="n">
        <f aca="false">10.17*1.05</f>
        <v>10.6785</v>
      </c>
      <c r="P21" s="357" t="n">
        <v>1.48</v>
      </c>
      <c r="Q21" s="115" t="n">
        <v>3.52</v>
      </c>
      <c r="R21" s="116" t="n">
        <v>0</v>
      </c>
      <c r="S21" s="240" t="n">
        <v>70</v>
      </c>
      <c r="T21" s="240" t="n">
        <v>22</v>
      </c>
      <c r="U21" s="240" t="n">
        <f aca="false">M21-N21-O21-P21-Q21-R21+S21+T21</f>
        <v>136.3215</v>
      </c>
      <c r="V21" s="216" t="n">
        <f aca="false">V20+AI21-(AJ21/1.9835)</f>
        <v>1906.21966532631</v>
      </c>
      <c r="W21" s="216"/>
      <c r="X21" s="240" t="n">
        <v>0</v>
      </c>
      <c r="Y21" s="240" t="n">
        <v>36</v>
      </c>
      <c r="Z21" s="216" t="n">
        <f aca="false">Z20-Y21</f>
        <v>4703.98361482228</v>
      </c>
      <c r="AA21" s="602" t="n">
        <f aca="false">N21+O21+P21+Q21+R21+U21+X21+Y21</f>
        <v>188</v>
      </c>
      <c r="AB21" s="240" t="n">
        <f aca="false">IF(L21&lt;0,L21*-1,0)</f>
        <v>2.60725989412654</v>
      </c>
      <c r="AC21" s="240" t="n">
        <f aca="false">AA21+AB21</f>
        <v>190.607259894127</v>
      </c>
      <c r="AD21" s="493" t="n">
        <v>0</v>
      </c>
      <c r="AE21" s="218" t="n">
        <v>69</v>
      </c>
      <c r="AF21" s="223" t="n">
        <v>41</v>
      </c>
      <c r="AG21" s="218" t="n">
        <f aca="false">AG20</f>
        <v>0</v>
      </c>
      <c r="AH21" s="218"/>
      <c r="AI21" s="221" t="n">
        <f aca="false">(I21-P21-Q21)-U21</f>
        <v>-24.3215</v>
      </c>
      <c r="AJ21" s="341" t="n">
        <v>0</v>
      </c>
      <c r="AK21" s="216"/>
    </row>
    <row r="22" customFormat="false" ht="11.1" hidden="false" customHeight="true" outlineLevel="0" collapsed="false">
      <c r="A22" s="153" t="n">
        <f aca="false">A21+1</f>
        <v>11</v>
      </c>
      <c r="B22" s="226" t="n">
        <v>6877.43</v>
      </c>
      <c r="C22" s="216" t="n">
        <v>208560</v>
      </c>
      <c r="D22" s="218" t="n">
        <f aca="false">C22-C21</f>
        <v>-58</v>
      </c>
      <c r="E22" s="216" t="n">
        <f aca="false">C22-152000</f>
        <v>56560</v>
      </c>
      <c r="F22" s="239" t="n">
        <f aca="false">D22/$D$2</f>
        <v>-29.2412402319133</v>
      </c>
      <c r="G22" s="240" t="n">
        <v>117</v>
      </c>
      <c r="H22" s="618" t="n">
        <v>0</v>
      </c>
      <c r="I22" s="240" t="n">
        <f aca="false">G22+H22</f>
        <v>117</v>
      </c>
      <c r="J22" s="221" t="n">
        <f aca="false">IF(L22&gt;0,L22,0)</f>
        <v>46.7587597680867</v>
      </c>
      <c r="K22" s="240" t="n">
        <f aca="false">I22+J22</f>
        <v>163.758759768087</v>
      </c>
      <c r="L22" s="240" t="n">
        <f aca="false">F22-(I22-AA22)</f>
        <v>46.7587597680867</v>
      </c>
      <c r="M22" s="242" t="n">
        <v>66</v>
      </c>
      <c r="N22" s="240" t="n">
        <v>0</v>
      </c>
      <c r="O22" s="240" t="n">
        <f aca="false">8.28*1.05</f>
        <v>8.694</v>
      </c>
      <c r="P22" s="357" t="n">
        <v>1.48</v>
      </c>
      <c r="Q22" s="115" t="n">
        <v>3.09</v>
      </c>
      <c r="R22" s="116" t="n">
        <v>0</v>
      </c>
      <c r="S22" s="240" t="n">
        <v>70</v>
      </c>
      <c r="T22" s="240" t="n">
        <v>22</v>
      </c>
      <c r="U22" s="240" t="n">
        <f aca="false">M22-N22-O22-P22-Q22-R22+S22+T22</f>
        <v>144.736</v>
      </c>
      <c r="V22" s="216" t="n">
        <f aca="false">V21+AI22-(AJ22/1.9835)</f>
        <v>1873.91366532631</v>
      </c>
      <c r="W22" s="216"/>
      <c r="X22" s="240" t="n">
        <v>0</v>
      </c>
      <c r="Y22" s="240" t="n">
        <v>35</v>
      </c>
      <c r="Z22" s="216" t="n">
        <f aca="false">Z21-Y22</f>
        <v>4668.98361482228</v>
      </c>
      <c r="AA22" s="602" t="n">
        <f aca="false">N22+O22+P22+Q22+R22+U22+X22+Y22</f>
        <v>193</v>
      </c>
      <c r="AB22" s="240" t="n">
        <f aca="false">IF(L22&lt;0,L22*-1,0)</f>
        <v>0</v>
      </c>
      <c r="AC22" s="240" t="n">
        <f aca="false">AA22+AB22</f>
        <v>193</v>
      </c>
      <c r="AD22" s="493" t="n">
        <v>0.48</v>
      </c>
      <c r="AE22" s="218" t="n">
        <v>59</v>
      </c>
      <c r="AF22" s="223" t="n">
        <v>37</v>
      </c>
      <c r="AG22" s="218" t="n">
        <f aca="false">AG21</f>
        <v>0</v>
      </c>
      <c r="AH22" s="218"/>
      <c r="AI22" s="221" t="n">
        <f aca="false">(I22-P22-Q22)-U22</f>
        <v>-32.306</v>
      </c>
      <c r="AJ22" s="341" t="n">
        <v>0</v>
      </c>
      <c r="AK22" s="216"/>
      <c r="AL22" s="619"/>
    </row>
    <row r="23" customFormat="false" ht="11.1" hidden="false" customHeight="true" outlineLevel="0" collapsed="false">
      <c r="A23" s="153" t="n">
        <f aca="false">A22+1</f>
        <v>12</v>
      </c>
      <c r="B23" s="226" t="n">
        <v>6877.38</v>
      </c>
      <c r="C23" s="216" t="n">
        <v>208414</v>
      </c>
      <c r="D23" s="218" t="n">
        <f aca="false">C23-C22</f>
        <v>-146</v>
      </c>
      <c r="E23" s="216" t="n">
        <f aca="false">C23-152000</f>
        <v>56414</v>
      </c>
      <c r="F23" s="239" t="n">
        <f aca="false">D23/$D$2</f>
        <v>-73.6072598941265</v>
      </c>
      <c r="G23" s="240" t="n">
        <v>124</v>
      </c>
      <c r="H23" s="618" t="n">
        <v>0</v>
      </c>
      <c r="I23" s="240" t="n">
        <f aca="false">G23+H23</f>
        <v>124</v>
      </c>
      <c r="J23" s="221" t="n">
        <f aca="false">IF(L23&gt;0,L23,0)</f>
        <v>29.3927401058735</v>
      </c>
      <c r="K23" s="240" t="n">
        <f aca="false">I23+J23</f>
        <v>153.392740105873</v>
      </c>
      <c r="L23" s="240" t="n">
        <f aca="false">F23-(I23-AA23)</f>
        <v>29.3927401058735</v>
      </c>
      <c r="M23" s="242" t="n">
        <v>105</v>
      </c>
      <c r="N23" s="240" t="n">
        <v>0</v>
      </c>
      <c r="O23" s="240" t="n">
        <f aca="false">23.52*1.05</f>
        <v>24.696</v>
      </c>
      <c r="P23" s="357" t="n">
        <v>1.48</v>
      </c>
      <c r="Q23" s="115" t="n">
        <v>2.72</v>
      </c>
      <c r="R23" s="116" t="n">
        <v>0</v>
      </c>
      <c r="S23" s="240" t="n">
        <v>66</v>
      </c>
      <c r="T23" s="240" t="n">
        <v>21</v>
      </c>
      <c r="U23" s="240" t="n">
        <f aca="false">M23-N23-O23-P23-Q23-R23+S23+T23</f>
        <v>163.104</v>
      </c>
      <c r="V23" s="216" t="n">
        <f aca="false">V22+AI23-(AJ23/1.9835)</f>
        <v>1830.60966532631</v>
      </c>
      <c r="W23" s="216"/>
      <c r="X23" s="240" t="n">
        <v>0</v>
      </c>
      <c r="Y23" s="240" t="n">
        <v>35</v>
      </c>
      <c r="Z23" s="216" t="n">
        <f aca="false">Z22-Y23</f>
        <v>4633.98361482228</v>
      </c>
      <c r="AA23" s="602" t="n">
        <f aca="false">N23+O23+P23+Q23+R23+U23+X23+Y23</f>
        <v>227</v>
      </c>
      <c r="AB23" s="240" t="n">
        <f aca="false">IF(L23&lt;0,L23*-1,0)</f>
        <v>0</v>
      </c>
      <c r="AC23" s="240" t="n">
        <f aca="false">AA23+AB23</f>
        <v>227</v>
      </c>
      <c r="AD23" s="493" t="n">
        <v>0</v>
      </c>
      <c r="AE23" s="218" t="n">
        <v>64</v>
      </c>
      <c r="AF23" s="223" t="n">
        <v>39</v>
      </c>
      <c r="AG23" s="218" t="n">
        <f aca="false">AG22</f>
        <v>0</v>
      </c>
      <c r="AH23" s="218"/>
      <c r="AI23" s="221" t="n">
        <f aca="false">(I23-P23-Q23)-U23</f>
        <v>-43.304</v>
      </c>
      <c r="AJ23" s="341" t="n">
        <v>0</v>
      </c>
      <c r="AK23" s="216"/>
    </row>
    <row r="24" customFormat="false" ht="11.1" hidden="false" customHeight="true" outlineLevel="0" collapsed="false">
      <c r="A24" s="153" t="n">
        <f aca="false">A23+1</f>
        <v>13</v>
      </c>
      <c r="B24" s="226" t="n">
        <v>6877.35</v>
      </c>
      <c r="C24" s="216" t="n">
        <v>208326</v>
      </c>
      <c r="D24" s="218" t="n">
        <f aca="false">C24-C23</f>
        <v>-88</v>
      </c>
      <c r="E24" s="216" t="n">
        <f aca="false">C24-152000</f>
        <v>56326</v>
      </c>
      <c r="F24" s="239" t="n">
        <f aca="false">D24/$D$2</f>
        <v>-44.3660196622133</v>
      </c>
      <c r="G24" s="240" t="n">
        <v>119</v>
      </c>
      <c r="H24" s="618" t="n">
        <v>0</v>
      </c>
      <c r="I24" s="240" t="n">
        <f aca="false">G24+H24</f>
        <v>119</v>
      </c>
      <c r="J24" s="221" t="n">
        <f aca="false">IF(L24&gt;0,L24,0)</f>
        <v>59.6339803377867</v>
      </c>
      <c r="K24" s="240" t="n">
        <f aca="false">I24+J24</f>
        <v>178.633980337787</v>
      </c>
      <c r="L24" s="240" t="n">
        <f aca="false">F24-(I24-AA24)</f>
        <v>59.6339803377867</v>
      </c>
      <c r="M24" s="242" t="n">
        <v>103</v>
      </c>
      <c r="N24" s="240" t="n">
        <v>0</v>
      </c>
      <c r="O24" s="240" t="n">
        <f aca="false">49.95*1.05</f>
        <v>52.4475</v>
      </c>
      <c r="P24" s="357" t="n">
        <v>1.48</v>
      </c>
      <c r="Q24" s="115" t="n">
        <v>3.33</v>
      </c>
      <c r="R24" s="116" t="n">
        <v>0</v>
      </c>
      <c r="S24" s="240" t="n">
        <v>64</v>
      </c>
      <c r="T24" s="240" t="n">
        <v>21</v>
      </c>
      <c r="U24" s="240" t="n">
        <f aca="false">M24-N24-O24-P24-Q24-R24+S24+T24</f>
        <v>130.7425</v>
      </c>
      <c r="V24" s="216" t="n">
        <f aca="false">V23+AI24-(AJ24/1.9835)</f>
        <v>1814.05716532631</v>
      </c>
      <c r="W24" s="216"/>
      <c r="X24" s="240" t="n">
        <v>0</v>
      </c>
      <c r="Y24" s="240" t="n">
        <v>35</v>
      </c>
      <c r="Z24" s="216" t="n">
        <f aca="false">Z23-Y24</f>
        <v>4598.98361482228</v>
      </c>
      <c r="AA24" s="602" t="n">
        <f aca="false">N24+O24+P24+Q24+R24+U24+X24+Y24</f>
        <v>223</v>
      </c>
      <c r="AB24" s="240" t="n">
        <f aca="false">IF(L24&lt;0,L24*-1,0)</f>
        <v>0</v>
      </c>
      <c r="AC24" s="240" t="n">
        <f aca="false">AA24+AB24</f>
        <v>223</v>
      </c>
      <c r="AD24" s="493" t="n">
        <v>0</v>
      </c>
      <c r="AE24" s="218" t="n">
        <v>58</v>
      </c>
      <c r="AF24" s="223" t="n">
        <v>40</v>
      </c>
      <c r="AG24" s="218" t="n">
        <f aca="false">AG23</f>
        <v>0</v>
      </c>
      <c r="AH24" s="218"/>
      <c r="AI24" s="221" t="n">
        <f aca="false">(I24-P24-Q24)-U24</f>
        <v>-16.5525</v>
      </c>
      <c r="AJ24" s="341" t="n">
        <v>0</v>
      </c>
      <c r="AK24" s="216"/>
    </row>
    <row r="25" customFormat="false" ht="11.1" hidden="false" customHeight="true" outlineLevel="0" collapsed="false">
      <c r="A25" s="153" t="n">
        <f aca="false">A24+1</f>
        <v>14</v>
      </c>
      <c r="B25" s="226" t="n">
        <v>6877.26</v>
      </c>
      <c r="C25" s="216" t="n">
        <v>208063</v>
      </c>
      <c r="D25" s="218" t="n">
        <f aca="false">C25-C24</f>
        <v>-263</v>
      </c>
      <c r="E25" s="216" t="n">
        <f aca="false">C25-152000</f>
        <v>56063</v>
      </c>
      <c r="F25" s="239" t="n">
        <f aca="false">D25/$D$2</f>
        <v>-132.593899672296</v>
      </c>
      <c r="G25" s="240" t="n">
        <v>113</v>
      </c>
      <c r="H25" s="618" t="n">
        <v>0</v>
      </c>
      <c r="I25" s="240" t="n">
        <f aca="false">G25+H25</f>
        <v>113</v>
      </c>
      <c r="J25" s="221" t="n">
        <f aca="false">IF(L25&gt;0,L25,0)</f>
        <v>0</v>
      </c>
      <c r="K25" s="240" t="n">
        <f aca="false">I25+J25</f>
        <v>113</v>
      </c>
      <c r="L25" s="240" t="n">
        <f aca="false">F25-(I25-AA25)</f>
        <v>-47.5938996722964</v>
      </c>
      <c r="M25" s="242" t="n">
        <v>80</v>
      </c>
      <c r="N25" s="240" t="n">
        <v>0</v>
      </c>
      <c r="O25" s="240" t="n">
        <f aca="false">29.47*1.05</f>
        <v>30.9435</v>
      </c>
      <c r="P25" s="357" t="n">
        <v>1.48</v>
      </c>
      <c r="Q25" s="115" t="n">
        <v>2.83</v>
      </c>
      <c r="R25" s="116" t="n">
        <v>0</v>
      </c>
      <c r="S25" s="240" t="n">
        <v>63</v>
      </c>
      <c r="T25" s="359" t="n">
        <v>20</v>
      </c>
      <c r="U25" s="240" t="n">
        <f aca="false">M25-N25-O25-P25-Q25-R25+S25+T25</f>
        <v>127.7465</v>
      </c>
      <c r="V25" s="216" t="n">
        <f aca="false">V24+AI25-(AJ25/1.9835)</f>
        <v>1795.00066532631</v>
      </c>
      <c r="W25" s="216"/>
      <c r="X25" s="240" t="n">
        <v>0</v>
      </c>
      <c r="Y25" s="240" t="n">
        <v>35</v>
      </c>
      <c r="Z25" s="216" t="n">
        <f aca="false">Z24-Y25</f>
        <v>4563.98361482228</v>
      </c>
      <c r="AA25" s="602" t="n">
        <f aca="false">N25+O25+P25+Q25+R25+U25+X25+Y25</f>
        <v>198</v>
      </c>
      <c r="AB25" s="240" t="n">
        <f aca="false">IF(L25&lt;0,L25*-1,0)</f>
        <v>47.5938996722964</v>
      </c>
      <c r="AC25" s="240" t="n">
        <f aca="false">AA25+AB25</f>
        <v>245.593899672296</v>
      </c>
      <c r="AD25" s="493" t="n">
        <v>0</v>
      </c>
      <c r="AE25" s="224" t="n">
        <v>65</v>
      </c>
      <c r="AF25" s="223" t="n">
        <v>32</v>
      </c>
      <c r="AG25" s="218" t="n">
        <f aca="false">AG24</f>
        <v>0</v>
      </c>
      <c r="AH25" s="218"/>
      <c r="AI25" s="221" t="n">
        <f aca="false">(I25-P25-Q25)-U25</f>
        <v>-19.0565</v>
      </c>
      <c r="AJ25" s="341" t="n">
        <v>0</v>
      </c>
      <c r="AK25" s="216"/>
    </row>
    <row r="26" customFormat="false" ht="11.1" hidden="false" customHeight="true" outlineLevel="0" collapsed="false">
      <c r="A26" s="153" t="n">
        <f aca="false">A25+1</f>
        <v>15</v>
      </c>
      <c r="B26" s="226" t="n">
        <v>6877.2</v>
      </c>
      <c r="C26" s="216" t="n">
        <v>207888</v>
      </c>
      <c r="D26" s="218" t="n">
        <f aca="false">C26-C25</f>
        <v>-175</v>
      </c>
      <c r="E26" s="216" t="n">
        <f aca="false">C26-152000</f>
        <v>55888</v>
      </c>
      <c r="F26" s="239" t="n">
        <f aca="false">D26/$D$2</f>
        <v>-88.2278800100832</v>
      </c>
      <c r="G26" s="240" t="n">
        <v>104</v>
      </c>
      <c r="H26" s="618" t="n">
        <v>0</v>
      </c>
      <c r="I26" s="240" t="n">
        <f aca="false">G26+H26</f>
        <v>104</v>
      </c>
      <c r="J26" s="221" t="n">
        <f aca="false">IF(L26&gt;0,L26,0)</f>
        <v>0</v>
      </c>
      <c r="K26" s="240" t="n">
        <f aca="false">I26+J26</f>
        <v>104</v>
      </c>
      <c r="L26" s="240" t="n">
        <f aca="false">F26-(I26-AA26)</f>
        <v>-28.2278800100832</v>
      </c>
      <c r="M26" s="242" t="n">
        <v>62</v>
      </c>
      <c r="N26" s="240" t="n">
        <v>48.4</v>
      </c>
      <c r="O26" s="240" t="n">
        <f aca="false">15.09*1.05</f>
        <v>15.8445</v>
      </c>
      <c r="P26" s="357" t="n">
        <v>1.48</v>
      </c>
      <c r="Q26" s="115" t="n">
        <v>3.11</v>
      </c>
      <c r="R26" s="116" t="n">
        <v>0</v>
      </c>
      <c r="S26" s="240" t="n">
        <v>46</v>
      </c>
      <c r="T26" s="359" t="n">
        <v>21</v>
      </c>
      <c r="U26" s="240" t="n">
        <f aca="false">M26-N26-O26-P26-Q26-R26+S26+T26</f>
        <v>60.1655</v>
      </c>
      <c r="V26" s="216" t="n">
        <f aca="false">V25+AI26-(AJ26/1.9835)</f>
        <v>1834.24516532631</v>
      </c>
      <c r="W26" s="216"/>
      <c r="X26" s="240" t="n">
        <v>0</v>
      </c>
      <c r="Y26" s="240" t="n">
        <v>35</v>
      </c>
      <c r="Z26" s="216" t="n">
        <f aca="false">Z25-Y26</f>
        <v>4528.98361482228</v>
      </c>
      <c r="AA26" s="602" t="n">
        <f aca="false">N26+O26+P26+Q26+R26+U26+X26+Y26</f>
        <v>164</v>
      </c>
      <c r="AB26" s="240" t="n">
        <f aca="false">IF(L26&lt;0,L26*-1,0)</f>
        <v>28.2278800100832</v>
      </c>
      <c r="AC26" s="240" t="n">
        <f aca="false">AA26+AB26</f>
        <v>192.227880010083</v>
      </c>
      <c r="AD26" s="493" t="n">
        <v>0</v>
      </c>
      <c r="AE26" s="224" t="n">
        <v>68</v>
      </c>
      <c r="AF26" s="223" t="n">
        <v>35</v>
      </c>
      <c r="AG26" s="218" t="n">
        <f aca="false">AG25</f>
        <v>0</v>
      </c>
      <c r="AH26" s="218"/>
      <c r="AI26" s="221" t="n">
        <f aca="false">(I26-P26-Q26)-U26</f>
        <v>39.2445</v>
      </c>
      <c r="AJ26" s="341" t="n">
        <v>0</v>
      </c>
      <c r="AK26" s="216"/>
    </row>
    <row r="27" customFormat="false" ht="11.1" hidden="false" customHeight="true" outlineLevel="0" collapsed="false">
      <c r="A27" s="153" t="n">
        <f aca="false">A26+1</f>
        <v>16</v>
      </c>
      <c r="B27" s="226" t="n">
        <v>6877.13</v>
      </c>
      <c r="C27" s="216" t="n">
        <v>207683</v>
      </c>
      <c r="D27" s="218" t="n">
        <f aca="false">C27-C26</f>
        <v>-205</v>
      </c>
      <c r="E27" s="216" t="n">
        <f aca="false">C27-152000</f>
        <v>55683</v>
      </c>
      <c r="F27" s="239" t="n">
        <f aca="false">D27/$D$2</f>
        <v>-103.352659440383</v>
      </c>
      <c r="G27" s="240" t="n">
        <v>99</v>
      </c>
      <c r="H27" s="618" t="n">
        <v>0</v>
      </c>
      <c r="I27" s="240" t="n">
        <f aca="false">G27+H27</f>
        <v>99</v>
      </c>
      <c r="J27" s="221" t="n">
        <f aca="false">IF(L27&gt;0,L27,0)</f>
        <v>0</v>
      </c>
      <c r="K27" s="240" t="n">
        <f aca="false">I27+J27</f>
        <v>99</v>
      </c>
      <c r="L27" s="240" t="n">
        <f aca="false">F27-(I27-AA27)</f>
        <v>-62.3526594403832</v>
      </c>
      <c r="M27" s="242" t="n">
        <v>52</v>
      </c>
      <c r="N27" s="240" t="n">
        <v>0</v>
      </c>
      <c r="O27" s="240" t="n">
        <f aca="false">5.71*1.05</f>
        <v>5.9955</v>
      </c>
      <c r="P27" s="357" t="n">
        <v>1.48</v>
      </c>
      <c r="Q27" s="115" t="n">
        <v>2.92</v>
      </c>
      <c r="R27" s="116" t="n">
        <v>0</v>
      </c>
      <c r="S27" s="240" t="n">
        <v>31</v>
      </c>
      <c r="T27" s="240" t="n">
        <v>22</v>
      </c>
      <c r="U27" s="240" t="n">
        <f aca="false">M27-N27-O27-P27-Q27-R27+S27+T27</f>
        <v>94.6045</v>
      </c>
      <c r="V27" s="216" t="n">
        <v>0</v>
      </c>
      <c r="W27" s="216"/>
      <c r="X27" s="240" t="n">
        <v>0</v>
      </c>
      <c r="Y27" s="240" t="n">
        <v>35</v>
      </c>
      <c r="Z27" s="216" t="n">
        <f aca="false">Z26-Y27</f>
        <v>4493.98361482228</v>
      </c>
      <c r="AA27" s="602" t="n">
        <f aca="false">N27+O27+P27+Q27+R27+U27+X27+Y27</f>
        <v>140</v>
      </c>
      <c r="AB27" s="240" t="n">
        <f aca="false">IF(L27&lt;0,L27*-1,0)</f>
        <v>62.3526594403832</v>
      </c>
      <c r="AC27" s="240" t="n">
        <f aca="false">AA27+AB27</f>
        <v>202.352659440383</v>
      </c>
      <c r="AD27" s="493" t="n">
        <v>0</v>
      </c>
      <c r="AE27" s="224" t="n">
        <v>67</v>
      </c>
      <c r="AF27" s="223" t="n">
        <v>37</v>
      </c>
      <c r="AG27" s="218" t="n">
        <f aca="false">AG26</f>
        <v>0</v>
      </c>
      <c r="AH27" s="218"/>
      <c r="AI27" s="221" t="n">
        <v>0</v>
      </c>
      <c r="AJ27" s="341" t="n">
        <v>0</v>
      </c>
      <c r="AK27" s="216"/>
    </row>
    <row r="28" customFormat="false" ht="11.1" hidden="false" customHeight="true" outlineLevel="0" collapsed="false">
      <c r="A28" s="153" t="n">
        <f aca="false">A27+1</f>
        <v>17</v>
      </c>
      <c r="B28" s="226" t="n">
        <v>6877.06</v>
      </c>
      <c r="C28" s="216" t="n">
        <v>207479</v>
      </c>
      <c r="D28" s="218" t="n">
        <f aca="false">C28-C27</f>
        <v>-204</v>
      </c>
      <c r="E28" s="216" t="n">
        <f aca="false">C28-152000</f>
        <v>55479</v>
      </c>
      <c r="F28" s="239" t="n">
        <f aca="false">D28/$D$2</f>
        <v>-102.84850012604</v>
      </c>
      <c r="G28" s="240" t="n">
        <v>94</v>
      </c>
      <c r="H28" s="618" t="n">
        <v>0</v>
      </c>
      <c r="I28" s="240" t="n">
        <f aca="false">G28+H28</f>
        <v>94</v>
      </c>
      <c r="J28" s="221" t="n">
        <f aca="false">IF(L28&gt;0,L28,0)</f>
        <v>0</v>
      </c>
      <c r="K28" s="240" t="n">
        <f aca="false">I28+J28</f>
        <v>94</v>
      </c>
      <c r="L28" s="240" t="n">
        <f aca="false">F28-(I28-AA28)</f>
        <v>-58.8485001260398</v>
      </c>
      <c r="M28" s="242" t="n">
        <v>49</v>
      </c>
      <c r="N28" s="240" t="n">
        <v>0</v>
      </c>
      <c r="O28" s="240" t="n">
        <f aca="false">3.35*1.05</f>
        <v>3.5175</v>
      </c>
      <c r="P28" s="357" t="n">
        <v>1.48</v>
      </c>
      <c r="Q28" s="115" t="n">
        <v>3.42</v>
      </c>
      <c r="R28" s="116" t="n">
        <v>0</v>
      </c>
      <c r="S28" s="240" t="n">
        <v>31</v>
      </c>
      <c r="T28" s="240" t="n">
        <v>23</v>
      </c>
      <c r="U28" s="240" t="n">
        <f aca="false">M28-N28-O28-P28-Q28-R28+S28+T28</f>
        <v>94.5825</v>
      </c>
      <c r="V28" s="216" t="n">
        <v>0</v>
      </c>
      <c r="W28" s="216"/>
      <c r="X28" s="240" t="n">
        <v>0</v>
      </c>
      <c r="Y28" s="240" t="n">
        <v>35</v>
      </c>
      <c r="Z28" s="216" t="n">
        <f aca="false">Z27-Y28</f>
        <v>4458.98361482228</v>
      </c>
      <c r="AA28" s="602" t="n">
        <f aca="false">N28+O28+P28+Q28+R28+U28+X28+Y28</f>
        <v>138</v>
      </c>
      <c r="AB28" s="240" t="n">
        <f aca="false">IF(L28&lt;0,L28*-1,0)</f>
        <v>58.8485001260398</v>
      </c>
      <c r="AC28" s="240" t="n">
        <f aca="false">AA28+AB28</f>
        <v>196.84850012604</v>
      </c>
      <c r="AD28" s="493" t="n">
        <v>0.03</v>
      </c>
      <c r="AE28" s="224" t="n">
        <v>59</v>
      </c>
      <c r="AF28" s="223" t="n">
        <v>40</v>
      </c>
      <c r="AG28" s="218" t="n">
        <f aca="false">AG27</f>
        <v>0</v>
      </c>
      <c r="AH28" s="218"/>
      <c r="AI28" s="221" t="n">
        <v>0</v>
      </c>
      <c r="AJ28" s="341" t="n">
        <v>0</v>
      </c>
      <c r="AK28" s="216"/>
    </row>
    <row r="29" customFormat="false" ht="11.1" hidden="false" customHeight="true" outlineLevel="0" collapsed="false">
      <c r="A29" s="153" t="n">
        <f aca="false">A28+1</f>
        <v>18</v>
      </c>
      <c r="B29" s="226" t="n">
        <v>6877.04</v>
      </c>
      <c r="C29" s="216" t="n">
        <v>207420</v>
      </c>
      <c r="D29" s="218" t="n">
        <f aca="false">C29-C28</f>
        <v>-59</v>
      </c>
      <c r="E29" s="216" t="n">
        <f aca="false">C29-152000</f>
        <v>55420</v>
      </c>
      <c r="F29" s="239" t="n">
        <f aca="false">D29/$D$2</f>
        <v>-29.7453995462566</v>
      </c>
      <c r="G29" s="240" t="n">
        <v>99</v>
      </c>
      <c r="H29" s="618" t="n">
        <v>0</v>
      </c>
      <c r="I29" s="240" t="n">
        <f aca="false">G29+H29</f>
        <v>99</v>
      </c>
      <c r="J29" s="221" t="n">
        <f aca="false">IF(L29&gt;0,L29,0)</f>
        <v>30.2546004537434</v>
      </c>
      <c r="K29" s="240" t="n">
        <f aca="false">I29+J29</f>
        <v>129.254600453743</v>
      </c>
      <c r="L29" s="240" t="n">
        <f aca="false">F29-(I29-AA29)</f>
        <v>30.2546004537434</v>
      </c>
      <c r="M29" s="242" t="n">
        <v>71</v>
      </c>
      <c r="N29" s="240" t="n">
        <v>0</v>
      </c>
      <c r="O29" s="240" t="n">
        <f aca="false">26*1.05</f>
        <v>27.3</v>
      </c>
      <c r="P29" s="357" t="n">
        <v>1.48</v>
      </c>
      <c r="Q29" s="115" t="n">
        <v>2.7</v>
      </c>
      <c r="R29" s="116" t="n">
        <v>0</v>
      </c>
      <c r="S29" s="240" t="n">
        <v>31</v>
      </c>
      <c r="T29" s="240" t="n">
        <v>22</v>
      </c>
      <c r="U29" s="240" t="n">
        <f aca="false">M29-N29-O29-P29-Q29-R29+S29+T29</f>
        <v>92.52</v>
      </c>
      <c r="V29" s="216" t="n">
        <v>0</v>
      </c>
      <c r="W29" s="216"/>
      <c r="X29" s="240" t="n">
        <v>0</v>
      </c>
      <c r="Y29" s="240" t="n">
        <v>35</v>
      </c>
      <c r="Z29" s="216" t="n">
        <f aca="false">Z28-Y29</f>
        <v>4423.98361482228</v>
      </c>
      <c r="AA29" s="602" t="n">
        <f aca="false">N29+O29+P29+Q29+R29+U29+X29+Y29</f>
        <v>159</v>
      </c>
      <c r="AB29" s="240" t="n">
        <f aca="false">IF(L29&lt;0,L29*-1,0)</f>
        <v>0</v>
      </c>
      <c r="AC29" s="240" t="n">
        <f aca="false">AA29+AB29</f>
        <v>159</v>
      </c>
      <c r="AD29" s="493" t="n">
        <v>0</v>
      </c>
      <c r="AE29" s="224" t="n">
        <v>52</v>
      </c>
      <c r="AF29" s="223" t="n">
        <v>44</v>
      </c>
      <c r="AG29" s="218" t="n">
        <f aca="false">AG28</f>
        <v>0</v>
      </c>
      <c r="AH29" s="218"/>
      <c r="AI29" s="221" t="n">
        <v>0</v>
      </c>
      <c r="AJ29" s="341" t="n">
        <v>0</v>
      </c>
      <c r="AK29" s="216"/>
    </row>
    <row r="30" customFormat="false" ht="11.1" hidden="false" customHeight="true" outlineLevel="0" collapsed="false">
      <c r="A30" s="153" t="n">
        <f aca="false">A29+1</f>
        <v>19</v>
      </c>
      <c r="B30" s="226" t="n">
        <v>6877.01</v>
      </c>
      <c r="C30" s="344" t="n">
        <v>207333</v>
      </c>
      <c r="D30" s="218" t="n">
        <f aca="false">C30-C29</f>
        <v>-87</v>
      </c>
      <c r="E30" s="216" t="n">
        <f aca="false">C30-152000</f>
        <v>55333</v>
      </c>
      <c r="F30" s="239" t="n">
        <f aca="false">D30/$D$2</f>
        <v>-43.8618603478699</v>
      </c>
      <c r="G30" s="240" t="n">
        <v>110</v>
      </c>
      <c r="H30" s="618" t="n">
        <v>0</v>
      </c>
      <c r="I30" s="240" t="n">
        <f aca="false">G30+H30</f>
        <v>110</v>
      </c>
      <c r="J30" s="221" t="n">
        <f aca="false">IF(L30&gt;0,L30,0)</f>
        <v>6.13813965213007</v>
      </c>
      <c r="K30" s="240" t="n">
        <f aca="false">I30+J30</f>
        <v>116.13813965213</v>
      </c>
      <c r="L30" s="240" t="n">
        <f aca="false">F30-(I30-AA30)</f>
        <v>6.13813965213007</v>
      </c>
      <c r="M30" s="242" t="n">
        <v>73</v>
      </c>
      <c r="N30" s="240" t="n">
        <v>0</v>
      </c>
      <c r="O30" s="240" t="n">
        <f aca="false">42.24*1.05</f>
        <v>44.352</v>
      </c>
      <c r="P30" s="357" t="n">
        <v>1.48</v>
      </c>
      <c r="Q30" s="115" t="n">
        <v>2.9</v>
      </c>
      <c r="R30" s="116" t="n">
        <v>0</v>
      </c>
      <c r="S30" s="240" t="n">
        <v>31</v>
      </c>
      <c r="T30" s="240" t="n">
        <v>21</v>
      </c>
      <c r="U30" s="240" t="n">
        <f aca="false">M30-N30-O30-P30-Q30-R30+S30+T30</f>
        <v>76.268</v>
      </c>
      <c r="V30" s="216" t="n">
        <v>0</v>
      </c>
      <c r="W30" s="216"/>
      <c r="X30" s="240" t="n">
        <v>0</v>
      </c>
      <c r="Y30" s="240" t="n">
        <v>35</v>
      </c>
      <c r="Z30" s="216" t="n">
        <f aca="false">Z29-Y30</f>
        <v>4388.98361482228</v>
      </c>
      <c r="AA30" s="602" t="n">
        <f aca="false">N30+O30+P30+Q30+R30+U30+X30+Y30</f>
        <v>160</v>
      </c>
      <c r="AB30" s="240" t="n">
        <f aca="false">IF(L30&lt;0,L30*-1,0)</f>
        <v>0</v>
      </c>
      <c r="AC30" s="240" t="n">
        <f aca="false">AA30+AB30</f>
        <v>160</v>
      </c>
      <c r="AD30" s="493" t="n">
        <v>0.1</v>
      </c>
      <c r="AE30" s="224" t="n">
        <v>50</v>
      </c>
      <c r="AF30" s="223" t="n">
        <v>41</v>
      </c>
      <c r="AG30" s="218" t="n">
        <f aca="false">AG29</f>
        <v>0</v>
      </c>
      <c r="AH30" s="218"/>
      <c r="AI30" s="221" t="n">
        <v>0</v>
      </c>
      <c r="AJ30" s="341" t="n">
        <v>0</v>
      </c>
      <c r="AK30" s="216"/>
    </row>
    <row r="31" customFormat="false" ht="11.1" hidden="false" customHeight="true" outlineLevel="0" collapsed="false">
      <c r="A31" s="153" t="n">
        <f aca="false">A30+1</f>
        <v>20</v>
      </c>
      <c r="B31" s="226" t="n">
        <v>6876.98</v>
      </c>
      <c r="C31" s="216" t="n">
        <v>207246</v>
      </c>
      <c r="D31" s="218" t="n">
        <f aca="false">C31-C30</f>
        <v>-87</v>
      </c>
      <c r="E31" s="216" t="n">
        <f aca="false">C31-152000</f>
        <v>55246</v>
      </c>
      <c r="F31" s="239" t="n">
        <f aca="false">D31/$D$2</f>
        <v>-43.8618603478699</v>
      </c>
      <c r="G31" s="240" t="n">
        <v>102</v>
      </c>
      <c r="H31" s="618" t="n">
        <v>0</v>
      </c>
      <c r="I31" s="240" t="n">
        <f aca="false">G31+H31</f>
        <v>102</v>
      </c>
      <c r="J31" s="221" t="n">
        <f aca="false">IF(L31&gt;0,L31,0)</f>
        <v>28.1381396521301</v>
      </c>
      <c r="K31" s="240" t="n">
        <f aca="false">I31+J31</f>
        <v>130.13813965213</v>
      </c>
      <c r="L31" s="240" t="n">
        <f aca="false">F31-(I31-AA31)</f>
        <v>28.1381396521301</v>
      </c>
      <c r="M31" s="242" t="n">
        <v>88</v>
      </c>
      <c r="N31" s="240" t="n">
        <v>0</v>
      </c>
      <c r="O31" s="240" t="n">
        <f aca="false">54.46*1.05</f>
        <v>57.183</v>
      </c>
      <c r="P31" s="357" t="n">
        <v>1.48</v>
      </c>
      <c r="Q31" s="115" t="n">
        <v>2.81</v>
      </c>
      <c r="R31" s="116" t="n">
        <v>0</v>
      </c>
      <c r="S31" s="240" t="n">
        <v>31</v>
      </c>
      <c r="T31" s="240" t="n">
        <v>20</v>
      </c>
      <c r="U31" s="240" t="n">
        <f aca="false">M31-N31-O31-P31-Q31-R31+S31+T31</f>
        <v>77.527</v>
      </c>
      <c r="V31" s="216" t="n">
        <v>0</v>
      </c>
      <c r="W31" s="216"/>
      <c r="X31" s="240" t="n">
        <v>0</v>
      </c>
      <c r="Y31" s="240" t="n">
        <v>35</v>
      </c>
      <c r="Z31" s="216" t="n">
        <f aca="false">Z30-Y31</f>
        <v>4353.98361482228</v>
      </c>
      <c r="AA31" s="602" t="n">
        <f aca="false">N31+O31+P31+Q31+R31+U31+X31+Y31</f>
        <v>174</v>
      </c>
      <c r="AB31" s="240" t="n">
        <f aca="false">IF(L31&lt;0,L31*-1,0)</f>
        <v>0</v>
      </c>
      <c r="AC31" s="240" t="n">
        <f aca="false">AA31+AB31</f>
        <v>174</v>
      </c>
      <c r="AD31" s="493" t="n">
        <v>0</v>
      </c>
      <c r="AE31" s="224" t="n">
        <v>62</v>
      </c>
      <c r="AF31" s="223" t="n">
        <v>45</v>
      </c>
      <c r="AG31" s="218" t="n">
        <f aca="false">AG30</f>
        <v>0</v>
      </c>
      <c r="AH31" s="218"/>
      <c r="AI31" s="221" t="n">
        <v>0</v>
      </c>
      <c r="AJ31" s="341" t="n">
        <v>0</v>
      </c>
      <c r="AK31" s="216"/>
    </row>
    <row r="32" customFormat="false" ht="11.1" hidden="false" customHeight="true" outlineLevel="0" collapsed="false">
      <c r="A32" s="153" t="n">
        <f aca="false">A31+1</f>
        <v>21</v>
      </c>
      <c r="B32" s="226" t="n">
        <v>6876.94</v>
      </c>
      <c r="C32" s="216" t="n">
        <v>207130</v>
      </c>
      <c r="D32" s="218" t="n">
        <f aca="false">C32-C31</f>
        <v>-116</v>
      </c>
      <c r="E32" s="216" t="n">
        <f aca="false">C32-152000</f>
        <v>55130</v>
      </c>
      <c r="F32" s="239" t="n">
        <f aca="false">D32/$D$2</f>
        <v>-58.4824804638266</v>
      </c>
      <c r="G32" s="240" t="n">
        <v>97</v>
      </c>
      <c r="H32" s="618" t="n">
        <v>0</v>
      </c>
      <c r="I32" s="240" t="n">
        <f aca="false">G32+H32</f>
        <v>97</v>
      </c>
      <c r="J32" s="221" t="n">
        <f aca="false">IF(L32&gt;0,L32,0)</f>
        <v>40.5175195361734</v>
      </c>
      <c r="K32" s="240" t="n">
        <f aca="false">I32+J32</f>
        <v>137.517519536173</v>
      </c>
      <c r="L32" s="240" t="n">
        <f aca="false">F32-(I32-AA32)</f>
        <v>40.5175195361734</v>
      </c>
      <c r="M32" s="242" t="n">
        <v>111</v>
      </c>
      <c r="N32" s="240" t="n">
        <v>0</v>
      </c>
      <c r="O32" s="240" t="n">
        <f aca="false">65.61*1.05</f>
        <v>68.8905</v>
      </c>
      <c r="P32" s="357" t="n">
        <v>1.48</v>
      </c>
      <c r="Q32" s="115" t="n">
        <v>2.94</v>
      </c>
      <c r="R32" s="116" t="n">
        <v>0</v>
      </c>
      <c r="S32" s="240" t="n">
        <v>31</v>
      </c>
      <c r="T32" s="240" t="n">
        <v>19</v>
      </c>
      <c r="U32" s="240" t="n">
        <f aca="false">M32-N32-O32-P32-Q32-R32+S32+T32</f>
        <v>87.6895</v>
      </c>
      <c r="V32" s="216" t="n">
        <v>0</v>
      </c>
      <c r="W32" s="216"/>
      <c r="X32" s="240" t="n">
        <v>0</v>
      </c>
      <c r="Y32" s="240" t="n">
        <v>35</v>
      </c>
      <c r="Z32" s="216" t="n">
        <f aca="false">Z31-Y32</f>
        <v>4318.98361482228</v>
      </c>
      <c r="AA32" s="602" t="n">
        <f aca="false">N32+O32+P32+Q32+R32+U32+X32+Y32</f>
        <v>196</v>
      </c>
      <c r="AB32" s="240" t="n">
        <f aca="false">IF(L32&lt;0,L32*-1,0)</f>
        <v>0</v>
      </c>
      <c r="AC32" s="240" t="n">
        <f aca="false">AA32+AB32</f>
        <v>196</v>
      </c>
      <c r="AD32" s="493" t="n">
        <v>0.1</v>
      </c>
      <c r="AE32" s="218" t="n">
        <v>61</v>
      </c>
      <c r="AF32" s="223" t="n">
        <v>40</v>
      </c>
      <c r="AG32" s="218" t="n">
        <f aca="false">AG31</f>
        <v>0</v>
      </c>
      <c r="AH32" s="218"/>
      <c r="AI32" s="221" t="n">
        <v>0</v>
      </c>
      <c r="AJ32" s="341" t="n">
        <v>0</v>
      </c>
      <c r="AK32" s="216"/>
    </row>
    <row r="33" customFormat="false" ht="11.1" hidden="false" customHeight="true" outlineLevel="0" collapsed="false">
      <c r="A33" s="153" t="n">
        <f aca="false">A32+1</f>
        <v>22</v>
      </c>
      <c r="B33" s="226" t="n">
        <v>6876.9</v>
      </c>
      <c r="C33" s="216" t="n">
        <v>207015</v>
      </c>
      <c r="D33" s="218" t="n">
        <f aca="false">C33-C32</f>
        <v>-115</v>
      </c>
      <c r="E33" s="216" t="n">
        <f aca="false">C33-152000</f>
        <v>55015</v>
      </c>
      <c r="F33" s="239" t="n">
        <f aca="false">D33/$D$2</f>
        <v>-57.9783211494832</v>
      </c>
      <c r="G33" s="240" t="n">
        <v>112</v>
      </c>
      <c r="H33" s="618" t="n">
        <v>0</v>
      </c>
      <c r="I33" s="240" t="n">
        <f aca="false">G33+H33</f>
        <v>112</v>
      </c>
      <c r="J33" s="221" t="n">
        <f aca="false">IF(L33&gt;0,L33,0)</f>
        <v>25.0216788505168</v>
      </c>
      <c r="K33" s="240" t="n">
        <f aca="false">I33+J33</f>
        <v>137.021678850517</v>
      </c>
      <c r="L33" s="240" t="n">
        <f aca="false">F33-(I33-AA33)</f>
        <v>25.0216788505168</v>
      </c>
      <c r="M33" s="242" t="n">
        <v>110</v>
      </c>
      <c r="N33" s="240" t="n">
        <v>0</v>
      </c>
      <c r="O33" s="240" t="n">
        <f aca="false">68.5*1.05</f>
        <v>71.925</v>
      </c>
      <c r="P33" s="357" t="n">
        <v>1.48</v>
      </c>
      <c r="Q33" s="115" t="n">
        <v>2.79</v>
      </c>
      <c r="R33" s="116" t="n">
        <v>0</v>
      </c>
      <c r="S33" s="240" t="n">
        <v>31</v>
      </c>
      <c r="T33" s="240" t="n">
        <v>19</v>
      </c>
      <c r="U33" s="240" t="n">
        <f aca="false">M33-N33-O33-P33-Q33-R33+S33+T33</f>
        <v>83.805</v>
      </c>
      <c r="V33" s="216" t="n">
        <v>0</v>
      </c>
      <c r="W33" s="216"/>
      <c r="X33" s="240" t="n">
        <v>0</v>
      </c>
      <c r="Y33" s="240" t="n">
        <v>35</v>
      </c>
      <c r="Z33" s="216" t="n">
        <f aca="false">Z32-Y33</f>
        <v>4283.98361482228</v>
      </c>
      <c r="AA33" s="602" t="n">
        <f aca="false">N33+O33+P33+Q33+R33+U33+X33+Y33</f>
        <v>195</v>
      </c>
      <c r="AB33" s="240" t="n">
        <f aca="false">IF(L33&lt;0,L33*-1,0)</f>
        <v>0</v>
      </c>
      <c r="AC33" s="240" t="n">
        <f aca="false">AA33+AB33</f>
        <v>195</v>
      </c>
      <c r="AD33" s="493" t="n">
        <v>0.04</v>
      </c>
      <c r="AE33" s="218" t="n">
        <v>42</v>
      </c>
      <c r="AF33" s="223" t="n">
        <v>32</v>
      </c>
      <c r="AG33" s="218" t="n">
        <f aca="false">AG32</f>
        <v>0</v>
      </c>
      <c r="AH33" s="218"/>
      <c r="AI33" s="221" t="n">
        <v>0</v>
      </c>
      <c r="AJ33" s="341" t="n">
        <v>0</v>
      </c>
      <c r="AK33" s="216"/>
      <c r="AL33" s="619"/>
    </row>
    <row r="34" customFormat="false" ht="11.1" hidden="false" customHeight="true" outlineLevel="0" collapsed="false">
      <c r="A34" s="153" t="n">
        <f aca="false">A33+1</f>
        <v>23</v>
      </c>
      <c r="B34" s="226" t="n">
        <v>6876.85</v>
      </c>
      <c r="C34" s="216" t="n">
        <v>206870</v>
      </c>
      <c r="D34" s="218" t="n">
        <f aca="false">C34-C33</f>
        <v>-145</v>
      </c>
      <c r="E34" s="216" t="n">
        <f aca="false">C34-152000</f>
        <v>54870</v>
      </c>
      <c r="F34" s="239" t="n">
        <f aca="false">D34/$D$2</f>
        <v>-73.1031005797832</v>
      </c>
      <c r="G34" s="240" t="n">
        <v>111</v>
      </c>
      <c r="H34" s="618" t="n">
        <v>0</v>
      </c>
      <c r="I34" s="240" t="n">
        <f aca="false">G34+H34</f>
        <v>111</v>
      </c>
      <c r="J34" s="221" t="n">
        <f aca="false">IF(L34&gt;0,L34,0)</f>
        <v>3.89689942021678</v>
      </c>
      <c r="K34" s="240" t="n">
        <f aca="false">I34+J34</f>
        <v>114.896899420217</v>
      </c>
      <c r="L34" s="240" t="n">
        <f aca="false">F34-(I34-AA34)</f>
        <v>3.89689942021678</v>
      </c>
      <c r="M34" s="242" t="n">
        <v>104</v>
      </c>
      <c r="N34" s="240" t="n">
        <v>0</v>
      </c>
      <c r="O34" s="240" t="n">
        <f aca="false">72.75*1.05</f>
        <v>76.3875</v>
      </c>
      <c r="P34" s="357" t="n">
        <v>1.48</v>
      </c>
      <c r="Q34" s="115" t="n">
        <v>2.75</v>
      </c>
      <c r="R34" s="116" t="n">
        <v>0</v>
      </c>
      <c r="S34" s="240" t="n">
        <v>31</v>
      </c>
      <c r="T34" s="240" t="n">
        <v>18</v>
      </c>
      <c r="U34" s="240" t="n">
        <f aca="false">M34-N34-O34-P34-Q34-R34+S34+T34</f>
        <v>72.3825</v>
      </c>
      <c r="V34" s="216" t="n">
        <v>0</v>
      </c>
      <c r="W34" s="216"/>
      <c r="X34" s="240" t="n">
        <v>0</v>
      </c>
      <c r="Y34" s="240" t="n">
        <v>35</v>
      </c>
      <c r="Z34" s="216" t="n">
        <f aca="false">Z33-Y34</f>
        <v>4248.98361482228</v>
      </c>
      <c r="AA34" s="602" t="n">
        <f aca="false">N34+O34+P34+Q34+R34+U34+X34+Y34</f>
        <v>188</v>
      </c>
      <c r="AB34" s="240" t="n">
        <f aca="false">IF(L34&lt;0,L34*-1,0)</f>
        <v>0</v>
      </c>
      <c r="AC34" s="240" t="n">
        <f aca="false">AA34+AB34</f>
        <v>188</v>
      </c>
      <c r="AD34" s="493" t="n">
        <v>0</v>
      </c>
      <c r="AE34" s="218" t="n">
        <v>54</v>
      </c>
      <c r="AF34" s="243" t="n">
        <v>26</v>
      </c>
      <c r="AG34" s="218" t="n">
        <f aca="false">AG33</f>
        <v>0</v>
      </c>
      <c r="AH34" s="218"/>
      <c r="AI34" s="221" t="n">
        <v>0</v>
      </c>
      <c r="AJ34" s="341" t="n">
        <v>0</v>
      </c>
      <c r="AK34" s="216"/>
      <c r="AL34" s="569" t="s">
        <v>85</v>
      </c>
    </row>
    <row r="35" customFormat="false" ht="11.1" hidden="false" customHeight="true" outlineLevel="0" collapsed="false">
      <c r="A35" s="153" t="n">
        <f aca="false">A34+1</f>
        <v>24</v>
      </c>
      <c r="B35" s="226" t="n">
        <v>6876.8</v>
      </c>
      <c r="C35" s="216" t="n">
        <v>206726</v>
      </c>
      <c r="D35" s="218" t="n">
        <f aca="false">C35-C34</f>
        <v>-144</v>
      </c>
      <c r="E35" s="216" t="n">
        <f aca="false">C35-152000</f>
        <v>54726</v>
      </c>
      <c r="F35" s="239" t="n">
        <f aca="false">D35/$D$2</f>
        <v>-72.5989412654399</v>
      </c>
      <c r="G35" s="240" t="n">
        <v>114</v>
      </c>
      <c r="H35" s="618" t="n">
        <v>0</v>
      </c>
      <c r="I35" s="240" t="n">
        <f aca="false">G35+H35</f>
        <v>114</v>
      </c>
      <c r="J35" s="221" t="n">
        <f aca="false">IF(L35&gt;0,L35,0)</f>
        <v>0</v>
      </c>
      <c r="K35" s="240" t="n">
        <f aca="false">I35+J35</f>
        <v>114</v>
      </c>
      <c r="L35" s="240" t="n">
        <f aca="false">F35-(I35-AA35)</f>
        <v>-24.5989412654399</v>
      </c>
      <c r="M35" s="242" t="n">
        <v>79</v>
      </c>
      <c r="N35" s="240" t="n">
        <v>0</v>
      </c>
      <c r="O35" s="240" t="n">
        <f aca="false">57.44*1.05</f>
        <v>60.312</v>
      </c>
      <c r="P35" s="357" t="n">
        <v>1.48</v>
      </c>
      <c r="Q35" s="115" t="n">
        <v>3.02</v>
      </c>
      <c r="R35" s="116" t="n">
        <v>0</v>
      </c>
      <c r="S35" s="240" t="n">
        <v>31</v>
      </c>
      <c r="T35" s="240" t="n">
        <v>17</v>
      </c>
      <c r="U35" s="240" t="n">
        <f aca="false">M35-N35-O35-P35-Q35-R35+S35+T35</f>
        <v>62.188</v>
      </c>
      <c r="V35" s="216" t="n">
        <v>0</v>
      </c>
      <c r="W35" s="216"/>
      <c r="X35" s="240" t="n">
        <v>0</v>
      </c>
      <c r="Y35" s="240" t="n">
        <v>35</v>
      </c>
      <c r="Z35" s="216" t="n">
        <f aca="false">Z34-Y35</f>
        <v>4213.98361482228</v>
      </c>
      <c r="AA35" s="602" t="n">
        <f aca="false">N35+O35+P35+Q35+R35+U35+X35+Y35</f>
        <v>162</v>
      </c>
      <c r="AB35" s="240" t="n">
        <f aca="false">IF(L35&lt;0,L35*-1,0)</f>
        <v>24.5989412654399</v>
      </c>
      <c r="AC35" s="240" t="n">
        <f aca="false">AA35+AB35</f>
        <v>186.59894126544</v>
      </c>
      <c r="AD35" s="493" t="n">
        <v>0</v>
      </c>
      <c r="AE35" s="218" t="n">
        <v>53</v>
      </c>
      <c r="AF35" s="243" t="n">
        <v>33</v>
      </c>
      <c r="AG35" s="218" t="n">
        <f aca="false">AG34</f>
        <v>0</v>
      </c>
      <c r="AH35" s="218"/>
      <c r="AI35" s="221" t="n">
        <v>0</v>
      </c>
      <c r="AJ35" s="341" t="n">
        <v>0</v>
      </c>
      <c r="AK35" s="216"/>
    </row>
    <row r="36" customFormat="false" ht="11.1" hidden="false" customHeight="true" outlineLevel="0" collapsed="false">
      <c r="A36" s="153" t="n">
        <v>25</v>
      </c>
      <c r="B36" s="226" t="n">
        <v>6876.75</v>
      </c>
      <c r="C36" s="216" t="n">
        <v>206581</v>
      </c>
      <c r="D36" s="218" t="n">
        <f aca="false">C36-C35</f>
        <v>-145</v>
      </c>
      <c r="E36" s="216" t="n">
        <f aca="false">C36-152000</f>
        <v>54581</v>
      </c>
      <c r="F36" s="239" t="n">
        <f aca="false">D36/$D$2</f>
        <v>-73.1031005797832</v>
      </c>
      <c r="G36" s="240" t="n">
        <v>114</v>
      </c>
      <c r="H36" s="618" t="n">
        <v>0</v>
      </c>
      <c r="I36" s="240" t="n">
        <f aca="false">G36+H36</f>
        <v>114</v>
      </c>
      <c r="J36" s="221" t="n">
        <f aca="false">IF(L36&gt;0,L36,0)</f>
        <v>0</v>
      </c>
      <c r="K36" s="240" t="n">
        <f aca="false">I36+J36</f>
        <v>114</v>
      </c>
      <c r="L36" s="240" t="n">
        <f aca="false">F36-(I36-AA36)</f>
        <v>-0.103100579783217</v>
      </c>
      <c r="M36" s="242" t="n">
        <v>104</v>
      </c>
      <c r="N36" s="240" t="n">
        <v>0</v>
      </c>
      <c r="O36" s="240" t="n">
        <f aca="false">60.79*1.05</f>
        <v>63.8295</v>
      </c>
      <c r="P36" s="357" t="n">
        <v>1.48</v>
      </c>
      <c r="Q36" s="115" t="n">
        <v>2.74</v>
      </c>
      <c r="R36" s="116" t="n">
        <v>0</v>
      </c>
      <c r="S36" s="240" t="n">
        <v>31</v>
      </c>
      <c r="T36" s="240" t="n">
        <v>17</v>
      </c>
      <c r="U36" s="240" t="n">
        <f aca="false">M36-N36-O36-P36-Q36-R36+S36+T36</f>
        <v>83.9505</v>
      </c>
      <c r="V36" s="216" t="n">
        <v>0</v>
      </c>
      <c r="W36" s="216"/>
      <c r="X36" s="240" t="n">
        <v>0</v>
      </c>
      <c r="Y36" s="240" t="n">
        <v>35</v>
      </c>
      <c r="Z36" s="216" t="n">
        <f aca="false">Z35-Y36</f>
        <v>4178.98361482228</v>
      </c>
      <c r="AA36" s="602" t="n">
        <f aca="false">N36+O36+P36+Q36+R36+U36+X36+Y36</f>
        <v>187</v>
      </c>
      <c r="AB36" s="240" t="n">
        <f aca="false">IF(L36&lt;0,L36*-1,0)</f>
        <v>0.103100579783217</v>
      </c>
      <c r="AC36" s="240" t="n">
        <f aca="false">AA36+AB36</f>
        <v>187.103100579783</v>
      </c>
      <c r="AD36" s="493" t="n">
        <v>0.18</v>
      </c>
      <c r="AE36" s="218" t="n">
        <v>55</v>
      </c>
      <c r="AF36" s="243" t="n">
        <v>35</v>
      </c>
      <c r="AG36" s="218" t="n">
        <f aca="false">AG35</f>
        <v>0</v>
      </c>
      <c r="AH36" s="218"/>
      <c r="AI36" s="221" t="n">
        <v>0</v>
      </c>
      <c r="AJ36" s="341" t="n">
        <v>0</v>
      </c>
      <c r="AK36" s="216"/>
    </row>
    <row r="37" customFormat="false" ht="11.1" hidden="false" customHeight="true" outlineLevel="0" collapsed="false">
      <c r="A37" s="153" t="n">
        <v>26</v>
      </c>
      <c r="B37" s="226" t="n">
        <v>6876.7</v>
      </c>
      <c r="C37" s="216" t="n">
        <v>206437</v>
      </c>
      <c r="D37" s="218" t="n">
        <f aca="false">C37-C36</f>
        <v>-144</v>
      </c>
      <c r="E37" s="216" t="n">
        <f aca="false">C37-152000</f>
        <v>54437</v>
      </c>
      <c r="F37" s="239" t="n">
        <f aca="false">D37/$D$2</f>
        <v>-72.5989412654399</v>
      </c>
      <c r="G37" s="240" t="n">
        <v>109</v>
      </c>
      <c r="H37" s="618" t="n">
        <v>0</v>
      </c>
      <c r="I37" s="240" t="n">
        <f aca="false">G37+H37</f>
        <v>109</v>
      </c>
      <c r="J37" s="221" t="n">
        <f aca="false">IF(L37&gt;0,L37,0)</f>
        <v>17.4010587345601</v>
      </c>
      <c r="K37" s="240" t="n">
        <f aca="false">I37+J37</f>
        <v>126.40105873456</v>
      </c>
      <c r="L37" s="240" t="n">
        <f aca="false">F37-(I37-AA37)</f>
        <v>17.4010587345601</v>
      </c>
      <c r="M37" s="242" t="n">
        <v>116</v>
      </c>
      <c r="N37" s="240" t="n">
        <v>0</v>
      </c>
      <c r="O37" s="240" t="n">
        <f aca="false">79.8*1.05</f>
        <v>83.79</v>
      </c>
      <c r="P37" s="357" t="n">
        <v>1.48</v>
      </c>
      <c r="Q37" s="115" t="n">
        <v>3.04</v>
      </c>
      <c r="R37" s="116" t="n">
        <v>0</v>
      </c>
      <c r="S37" s="240" t="n">
        <v>31</v>
      </c>
      <c r="T37" s="240" t="n">
        <v>17</v>
      </c>
      <c r="U37" s="240" t="n">
        <f aca="false">M37-N37-O37-P37-Q37-R37+S37+T37</f>
        <v>75.69</v>
      </c>
      <c r="V37" s="216" t="n">
        <v>0</v>
      </c>
      <c r="W37" s="216"/>
      <c r="X37" s="240" t="n">
        <v>0</v>
      </c>
      <c r="Y37" s="240" t="n">
        <v>35</v>
      </c>
      <c r="Z37" s="216" t="n">
        <f aca="false">Z36-Y37</f>
        <v>4143.98361482228</v>
      </c>
      <c r="AA37" s="602" t="n">
        <f aca="false">N37+O37+P37+Q37+R37+U37+X37+Y37</f>
        <v>199</v>
      </c>
      <c r="AB37" s="240" t="n">
        <f aca="false">IF(L37&lt;0,L37*-1,0)</f>
        <v>0</v>
      </c>
      <c r="AC37" s="240" t="n">
        <f aca="false">AA37+AB37</f>
        <v>199</v>
      </c>
      <c r="AD37" s="493" t="n">
        <v>0</v>
      </c>
      <c r="AE37" s="218" t="n">
        <v>60</v>
      </c>
      <c r="AF37" s="243" t="n">
        <v>42</v>
      </c>
      <c r="AG37" s="218" t="n">
        <f aca="false">AG36</f>
        <v>0</v>
      </c>
      <c r="AH37" s="218"/>
      <c r="AI37" s="221" t="n">
        <v>0</v>
      </c>
      <c r="AJ37" s="341" t="n">
        <v>0</v>
      </c>
      <c r="AK37" s="216"/>
    </row>
    <row r="38" customFormat="false" ht="11.1" hidden="false" customHeight="true" outlineLevel="0" collapsed="false">
      <c r="A38" s="153" t="n">
        <v>27</v>
      </c>
      <c r="B38" s="226" t="n">
        <v>6876.7</v>
      </c>
      <c r="C38" s="216" t="n">
        <v>206437</v>
      </c>
      <c r="D38" s="218" t="n">
        <f aca="false">C38-C37</f>
        <v>0</v>
      </c>
      <c r="E38" s="216" t="n">
        <f aca="false">C38-152000</f>
        <v>54437</v>
      </c>
      <c r="F38" s="239" t="n">
        <f aca="false">D38/$D$2</f>
        <v>0</v>
      </c>
      <c r="G38" s="240" t="n">
        <v>112</v>
      </c>
      <c r="H38" s="618" t="n">
        <v>0</v>
      </c>
      <c r="I38" s="240" t="n">
        <f aca="false">G38+H38</f>
        <v>112</v>
      </c>
      <c r="J38" s="221" t="n">
        <f aca="false">IF(L38&gt;0,L38,0)</f>
        <v>34</v>
      </c>
      <c r="K38" s="240" t="n">
        <f aca="false">I38+J38</f>
        <v>146</v>
      </c>
      <c r="L38" s="240" t="n">
        <f aca="false">F38-(I38-AA38)</f>
        <v>34</v>
      </c>
      <c r="M38" s="242" t="n">
        <v>63</v>
      </c>
      <c r="N38" s="240" t="n">
        <v>0</v>
      </c>
      <c r="O38" s="240" t="n">
        <f aca="false">61.46*1.05</f>
        <v>64.533</v>
      </c>
      <c r="P38" s="357" t="n">
        <v>1.48</v>
      </c>
      <c r="Q38" s="115" t="n">
        <v>2.98</v>
      </c>
      <c r="R38" s="116" t="n">
        <v>0</v>
      </c>
      <c r="S38" s="240" t="n">
        <v>31</v>
      </c>
      <c r="T38" s="240" t="n">
        <v>17</v>
      </c>
      <c r="U38" s="240" t="n">
        <f aca="false">M38-N38-O38-P38-Q38-R38+S38+T38</f>
        <v>42.007</v>
      </c>
      <c r="V38" s="216" t="n">
        <v>0</v>
      </c>
      <c r="W38" s="216"/>
      <c r="X38" s="240" t="n">
        <v>0</v>
      </c>
      <c r="Y38" s="240" t="n">
        <v>35</v>
      </c>
      <c r="Z38" s="216" t="n">
        <f aca="false">Z37-Y38</f>
        <v>4108.98361482228</v>
      </c>
      <c r="AA38" s="602" t="n">
        <f aca="false">N38+O38+P38+Q38+R38+U38+X38+Y38</f>
        <v>146</v>
      </c>
      <c r="AB38" s="240" t="n">
        <f aca="false">IF(L38&lt;0,L38*-1,0)</f>
        <v>0</v>
      </c>
      <c r="AC38" s="240" t="n">
        <f aca="false">AA38+AB38</f>
        <v>146</v>
      </c>
      <c r="AD38" s="493" t="n">
        <v>0.72</v>
      </c>
      <c r="AE38" s="218" t="n">
        <v>56</v>
      </c>
      <c r="AF38" s="243" t="n">
        <v>42</v>
      </c>
      <c r="AG38" s="218" t="n">
        <f aca="false">AG37</f>
        <v>0</v>
      </c>
      <c r="AH38" s="218"/>
      <c r="AI38" s="221" t="n">
        <v>0</v>
      </c>
      <c r="AJ38" s="341" t="n">
        <v>0</v>
      </c>
      <c r="AK38" s="216"/>
    </row>
    <row r="39" customFormat="false" ht="11.1" hidden="false" customHeight="true" outlineLevel="0" collapsed="false">
      <c r="A39" s="153" t="n">
        <v>28</v>
      </c>
      <c r="B39" s="226" t="n">
        <v>6876.81</v>
      </c>
      <c r="C39" s="216" t="n">
        <v>206755</v>
      </c>
      <c r="D39" s="218" t="n">
        <f aca="false">C39-C38</f>
        <v>318</v>
      </c>
      <c r="E39" s="216" t="n">
        <f aca="false">C39-152000</f>
        <v>54755</v>
      </c>
      <c r="F39" s="239" t="n">
        <f aca="false">D39/$D$2</f>
        <v>160.32266196118</v>
      </c>
      <c r="G39" s="240" t="n">
        <v>214</v>
      </c>
      <c r="H39" s="618" t="n">
        <v>0</v>
      </c>
      <c r="I39" s="240" t="n">
        <f aca="false">G39+H39</f>
        <v>214</v>
      </c>
      <c r="J39" s="221" t="n">
        <f aca="false">IF(L39&gt;0,L39,0)</f>
        <v>87.3226619611797</v>
      </c>
      <c r="K39" s="240" t="n">
        <f aca="false">I39+J39</f>
        <v>301.32266196118</v>
      </c>
      <c r="L39" s="240" t="n">
        <f aca="false">F39-(I39-AA39)</f>
        <v>87.3226619611797</v>
      </c>
      <c r="M39" s="242" t="n">
        <v>57</v>
      </c>
      <c r="N39" s="240" t="n">
        <v>0</v>
      </c>
      <c r="O39" s="240" t="n">
        <f aca="false">28.07*1.05</f>
        <v>29.4735</v>
      </c>
      <c r="P39" s="357" t="n">
        <v>1.48</v>
      </c>
      <c r="Q39" s="115" t="n">
        <v>2.08</v>
      </c>
      <c r="R39" s="116" t="n">
        <v>0</v>
      </c>
      <c r="S39" s="240" t="n">
        <v>31</v>
      </c>
      <c r="T39" s="240" t="n">
        <v>17</v>
      </c>
      <c r="U39" s="240" t="n">
        <f aca="false">M39-N39-O39-P39-Q39-R39+S39+T39</f>
        <v>71.9665</v>
      </c>
      <c r="V39" s="216" t="n">
        <v>0</v>
      </c>
      <c r="W39" s="216"/>
      <c r="X39" s="240" t="n">
        <v>0</v>
      </c>
      <c r="Y39" s="240" t="n">
        <v>36</v>
      </c>
      <c r="Z39" s="216" t="n">
        <f aca="false">Z38-Y39</f>
        <v>4072.98361482228</v>
      </c>
      <c r="AA39" s="602" t="n">
        <f aca="false">N39+O39+P39+Q39+R39+U39+X39+Y39</f>
        <v>141</v>
      </c>
      <c r="AB39" s="240" t="n">
        <f aca="false">IF(L39&lt;0,L39*-1,0)</f>
        <v>0</v>
      </c>
      <c r="AC39" s="240" t="n">
        <f aca="false">AA39+AB39</f>
        <v>141</v>
      </c>
      <c r="AD39" s="493" t="n">
        <v>0.44</v>
      </c>
      <c r="AE39" s="218" t="n">
        <v>49</v>
      </c>
      <c r="AF39" s="243" t="n">
        <v>32</v>
      </c>
      <c r="AG39" s="218" t="n">
        <f aca="false">AG38</f>
        <v>0</v>
      </c>
      <c r="AH39" s="218"/>
      <c r="AI39" s="221" t="n">
        <v>0</v>
      </c>
      <c r="AJ39" s="341" t="n">
        <v>0</v>
      </c>
      <c r="AK39" s="216"/>
    </row>
    <row r="40" customFormat="false" ht="11.1" hidden="false" customHeight="true" outlineLevel="0" collapsed="false">
      <c r="A40" s="153" t="n">
        <v>29</v>
      </c>
      <c r="B40" s="226" t="n">
        <v>6876.91</v>
      </c>
      <c r="C40" s="216" t="n">
        <v>207044</v>
      </c>
      <c r="D40" s="218" t="n">
        <f aca="false">C40-C39</f>
        <v>289</v>
      </c>
      <c r="E40" s="216" t="n">
        <f aca="false">C40-152000</f>
        <v>55044</v>
      </c>
      <c r="F40" s="239" t="n">
        <f aca="false">D40/$D$2</f>
        <v>145.702041845223</v>
      </c>
      <c r="G40" s="240" t="n">
        <v>225</v>
      </c>
      <c r="H40" s="618" t="n">
        <v>0</v>
      </c>
      <c r="I40" s="240" t="n">
        <f aca="false">G40+H40</f>
        <v>225</v>
      </c>
      <c r="J40" s="221" t="n">
        <f aca="false">IF(L40&gt;0,L40,0)</f>
        <v>58.7020418452231</v>
      </c>
      <c r="K40" s="240" t="n">
        <f aca="false">I40+J40</f>
        <v>283.702041845223</v>
      </c>
      <c r="L40" s="240" t="n">
        <f aca="false">F40-(I40-AA40)</f>
        <v>58.7020418452231</v>
      </c>
      <c r="M40" s="242" t="n">
        <v>57</v>
      </c>
      <c r="N40" s="240" t="n">
        <v>0</v>
      </c>
      <c r="O40" s="240" t="n">
        <f aca="false">14.48*1.05</f>
        <v>15.204</v>
      </c>
      <c r="P40" s="357" t="n">
        <v>1.48</v>
      </c>
      <c r="Q40" s="115" t="n">
        <v>2.13</v>
      </c>
      <c r="R40" s="116" t="n">
        <v>0</v>
      </c>
      <c r="S40" s="240" t="n">
        <v>29</v>
      </c>
      <c r="T40" s="240" t="n">
        <v>16</v>
      </c>
      <c r="U40" s="240" t="n">
        <f aca="false">M40-N40-O40-P40-Q40-R40+S40+T40</f>
        <v>83.186</v>
      </c>
      <c r="V40" s="216" t="n">
        <v>0</v>
      </c>
      <c r="W40" s="216"/>
      <c r="X40" s="240" t="n">
        <v>0</v>
      </c>
      <c r="Y40" s="240" t="n">
        <v>36</v>
      </c>
      <c r="Z40" s="216" t="n">
        <f aca="false">Z39-Y40</f>
        <v>4036.98361482228</v>
      </c>
      <c r="AA40" s="602" t="n">
        <f aca="false">N40+O40+P40+Q40+R40+U40+X40+Y40</f>
        <v>138</v>
      </c>
      <c r="AB40" s="240" t="n">
        <f aca="false">IF(L40&lt;0,L40*-1,0)</f>
        <v>0</v>
      </c>
      <c r="AC40" s="240" t="n">
        <f aca="false">AA40+AB40</f>
        <v>138</v>
      </c>
      <c r="AD40" s="493" t="n">
        <v>0.01</v>
      </c>
      <c r="AE40" s="218" t="n">
        <v>40</v>
      </c>
      <c r="AF40" s="243" t="n">
        <v>29</v>
      </c>
      <c r="AG40" s="218" t="n">
        <f aca="false">AG39</f>
        <v>0</v>
      </c>
      <c r="AH40" s="218"/>
      <c r="AI40" s="221" t="n">
        <v>0</v>
      </c>
      <c r="AJ40" s="341" t="n">
        <v>0</v>
      </c>
      <c r="AK40" s="216"/>
    </row>
    <row r="41" customFormat="false" ht="11.1" hidden="false" customHeight="true" outlineLevel="0" collapsed="false">
      <c r="A41" s="153" t="n">
        <v>30</v>
      </c>
      <c r="B41" s="226" t="n">
        <v>6876.91</v>
      </c>
      <c r="C41" s="216" t="n">
        <v>207044</v>
      </c>
      <c r="D41" s="218" t="n">
        <f aca="false">C41-C40</f>
        <v>0</v>
      </c>
      <c r="E41" s="216" t="n">
        <f aca="false">C41-152000</f>
        <v>55044</v>
      </c>
      <c r="F41" s="239" t="n">
        <f aca="false">D41/$D$2</f>
        <v>0</v>
      </c>
      <c r="G41" s="240" t="n">
        <v>175</v>
      </c>
      <c r="H41" s="618" t="n">
        <v>0</v>
      </c>
      <c r="I41" s="240" t="n">
        <f aca="false">G41+H41</f>
        <v>175</v>
      </c>
      <c r="J41" s="221" t="n">
        <f aca="false">IF(L41&gt;0,L41,0)</f>
        <v>0</v>
      </c>
      <c r="K41" s="240" t="n">
        <f aca="false">I41+J41</f>
        <v>175</v>
      </c>
      <c r="L41" s="240" t="n">
        <f aca="false">F41-(I41-AA41)</f>
        <v>-69</v>
      </c>
      <c r="M41" s="242" t="n">
        <v>29</v>
      </c>
      <c r="N41" s="240" t="n">
        <v>0</v>
      </c>
      <c r="O41" s="240" t="n">
        <f aca="false">3.06*1.05</f>
        <v>3.213</v>
      </c>
      <c r="P41" s="357" t="n">
        <v>1.48</v>
      </c>
      <c r="Q41" s="115" t="n">
        <v>2.17</v>
      </c>
      <c r="R41" s="116" t="n">
        <v>0</v>
      </c>
      <c r="S41" s="240" t="n">
        <v>26</v>
      </c>
      <c r="T41" s="240" t="n">
        <v>15</v>
      </c>
      <c r="U41" s="240" t="n">
        <f aca="false">M41-N41-O41-P41-Q41-R41+S41+T41</f>
        <v>63.137</v>
      </c>
      <c r="V41" s="216" t="n">
        <v>0</v>
      </c>
      <c r="W41" s="216"/>
      <c r="X41" s="240" t="n">
        <v>0</v>
      </c>
      <c r="Y41" s="240" t="n">
        <v>36</v>
      </c>
      <c r="Z41" s="216" t="n">
        <f aca="false">Z40-Y41</f>
        <v>4000.98361482228</v>
      </c>
      <c r="AA41" s="602" t="n">
        <f aca="false">N41+O41+P41+Q41+R41+U41+X41+Y41</f>
        <v>106</v>
      </c>
      <c r="AB41" s="240" t="n">
        <f aca="false">IF(L41&lt;0,L41*-1,0)</f>
        <v>69</v>
      </c>
      <c r="AC41" s="240" t="n">
        <f aca="false">AA41+AB41</f>
        <v>175</v>
      </c>
      <c r="AD41" s="493" t="n">
        <v>0</v>
      </c>
      <c r="AE41" s="218" t="n">
        <v>47</v>
      </c>
      <c r="AF41" s="243" t="n">
        <v>24</v>
      </c>
      <c r="AG41" s="218" t="n">
        <f aca="false">AG40</f>
        <v>0</v>
      </c>
      <c r="AH41" s="218"/>
      <c r="AI41" s="221" t="n">
        <v>0</v>
      </c>
      <c r="AJ41" s="341" t="n">
        <v>0</v>
      </c>
      <c r="AK41" s="216"/>
    </row>
    <row r="42" customFormat="false" ht="11.1" hidden="false" customHeight="true" outlineLevel="0" collapsed="false">
      <c r="A42" s="153" t="n">
        <v>31</v>
      </c>
      <c r="B42" s="226" t="n">
        <v>6876.98</v>
      </c>
      <c r="C42" s="216" t="n">
        <v>207246</v>
      </c>
      <c r="D42" s="218" t="n">
        <f aca="false">C42-C41</f>
        <v>202</v>
      </c>
      <c r="E42" s="216" t="n">
        <f aca="false">C42-152000</f>
        <v>55246</v>
      </c>
      <c r="F42" s="239" t="n">
        <f aca="false">D42/$D$2</f>
        <v>101.840181497353</v>
      </c>
      <c r="G42" s="240" t="n">
        <v>160</v>
      </c>
      <c r="H42" s="618" t="n">
        <v>0</v>
      </c>
      <c r="I42" s="240" t="n">
        <f aca="false">G42+H42</f>
        <v>160</v>
      </c>
      <c r="J42" s="221" t="n">
        <f aca="false">IF(L42&gt;0,L42,0)</f>
        <v>13.5401814973531</v>
      </c>
      <c r="K42" s="240" t="n">
        <f aca="false">I42+J42</f>
        <v>173.540181497353</v>
      </c>
      <c r="L42" s="240" t="n">
        <f aca="false">F42-(I42-AA42)</f>
        <v>13.5401814973531</v>
      </c>
      <c r="M42" s="242" t="n">
        <v>16</v>
      </c>
      <c r="N42" s="240" t="n">
        <v>0</v>
      </c>
      <c r="O42" s="240" t="n">
        <v>0</v>
      </c>
      <c r="P42" s="357" t="n">
        <v>1.48</v>
      </c>
      <c r="Q42" s="115" t="n">
        <v>2.07</v>
      </c>
      <c r="R42" s="116" t="n">
        <v>0</v>
      </c>
      <c r="S42" s="240" t="n">
        <v>12</v>
      </c>
      <c r="T42" s="240" t="n">
        <v>7.7</v>
      </c>
      <c r="U42" s="240" t="n">
        <f aca="false">M42-N42-O42-P42-Q42-R42+S42+T42</f>
        <v>32.15</v>
      </c>
      <c r="V42" s="216" t="n">
        <v>0</v>
      </c>
      <c r="W42" s="216"/>
      <c r="X42" s="240" t="n">
        <v>0</v>
      </c>
      <c r="Y42" s="240" t="n">
        <v>36</v>
      </c>
      <c r="Z42" s="216" t="n">
        <f aca="false">Z41-Y42</f>
        <v>3964.98361482228</v>
      </c>
      <c r="AA42" s="602" t="n">
        <f aca="false">N42+O42+P42+Q42+R42+U42+X42+Y42</f>
        <v>71.7</v>
      </c>
      <c r="AB42" s="240" t="n">
        <f aca="false">IF(L42&lt;0,L42*-1,0)</f>
        <v>0</v>
      </c>
      <c r="AC42" s="240" t="n">
        <f aca="false">AA42+AB42</f>
        <v>71.7</v>
      </c>
      <c r="AD42" s="493" t="n">
        <v>0</v>
      </c>
      <c r="AE42" s="218" t="n">
        <v>42</v>
      </c>
      <c r="AF42" s="243" t="n">
        <v>26</v>
      </c>
      <c r="AG42" s="218" t="n">
        <f aca="false">AG41</f>
        <v>0</v>
      </c>
      <c r="AH42" s="218"/>
      <c r="AI42" s="221" t="n">
        <v>0</v>
      </c>
      <c r="AJ42" s="341" t="n">
        <v>0</v>
      </c>
      <c r="AK42" s="216"/>
    </row>
    <row r="43" customFormat="false" ht="3" hidden="false" customHeight="true" outlineLevel="0" collapsed="false">
      <c r="A43" s="227"/>
      <c r="B43" s="244"/>
      <c r="C43" s="229"/>
      <c r="D43" s="230"/>
      <c r="E43" s="229"/>
      <c r="F43" s="231"/>
      <c r="G43" s="230"/>
      <c r="H43" s="617"/>
      <c r="I43" s="230"/>
      <c r="J43" s="230"/>
      <c r="K43" s="230"/>
      <c r="L43" s="230"/>
      <c r="M43" s="233" t="n">
        <v>0</v>
      </c>
      <c r="N43" s="230"/>
      <c r="O43" s="230"/>
      <c r="P43" s="230"/>
      <c r="Q43" s="230"/>
      <c r="R43" s="234"/>
      <c r="S43" s="230"/>
      <c r="T43" s="230" t="n">
        <v>0</v>
      </c>
      <c r="U43" s="230"/>
      <c r="V43" s="229"/>
      <c r="W43" s="229"/>
      <c r="X43" s="230"/>
      <c r="Y43" s="230"/>
      <c r="Z43" s="230"/>
      <c r="AA43" s="230"/>
      <c r="AB43" s="230"/>
      <c r="AC43" s="230"/>
      <c r="AD43" s="495"/>
      <c r="AE43" s="237"/>
      <c r="AF43" s="238"/>
      <c r="AG43" s="237"/>
      <c r="AH43" s="237"/>
      <c r="AI43" s="235"/>
      <c r="AJ43" s="441"/>
      <c r="AK43" s="237"/>
    </row>
    <row r="44" customFormat="false" ht="11.1" hidden="false" customHeight="true" outlineLevel="0" collapsed="false">
      <c r="A44" s="154" t="s">
        <v>69</v>
      </c>
      <c r="B44" s="215"/>
      <c r="C44" s="216"/>
      <c r="D44" s="216"/>
      <c r="E44" s="216"/>
      <c r="F44" s="217" t="n">
        <f aca="false">SUM(F12:F42)</f>
        <v>-1222.08217796824</v>
      </c>
      <c r="G44" s="216" t="n">
        <f aca="false">SUM(G12:G42)</f>
        <v>4150</v>
      </c>
      <c r="H44" s="218" t="n">
        <f aca="false">SUM(H12:H42)</f>
        <v>0</v>
      </c>
      <c r="I44" s="216" t="n">
        <f aca="false">SUM(I12:I42)</f>
        <v>4150</v>
      </c>
      <c r="J44" s="216" t="n">
        <f aca="false">SUM(J12:J42)</f>
        <v>545.124502142677</v>
      </c>
      <c r="K44" s="216" t="n">
        <f aca="false">SUM(K12:K42)</f>
        <v>4695.12450214268</v>
      </c>
      <c r="L44" s="216" t="n">
        <f aca="false">SUM(L12:L42)</f>
        <v>105.617822031762</v>
      </c>
      <c r="M44" s="219" t="n">
        <f aca="false">SUM(M12:M42)</f>
        <v>2321</v>
      </c>
      <c r="N44" s="216" t="n">
        <f aca="false">SUM(N12:N42)</f>
        <v>48.4</v>
      </c>
      <c r="O44" s="216" t="n">
        <f aca="false">SUM(O12:O42)</f>
        <v>1011.0555</v>
      </c>
      <c r="P44" s="216" t="n">
        <f aca="false">SUM(P12:P42)</f>
        <v>45.88</v>
      </c>
      <c r="Q44" s="216" t="n">
        <f aca="false">SUM(Q12:Q42)</f>
        <v>88.34</v>
      </c>
      <c r="R44" s="220" t="n">
        <f aca="false">SUM(R12:R42)</f>
        <v>0</v>
      </c>
      <c r="S44" s="216" t="n">
        <f aca="false">SUM(S12:S42)</f>
        <v>1393</v>
      </c>
      <c r="T44" s="216" t="n">
        <f aca="false">SUM(T12:T42)</f>
        <v>669.7</v>
      </c>
      <c r="U44" s="216" t="n">
        <f aca="false">SUM(U12:U42)</f>
        <v>3190.0245</v>
      </c>
      <c r="V44" s="216"/>
      <c r="W44" s="216" t="n">
        <f aca="false">SUM(W12:W42)</f>
        <v>0</v>
      </c>
      <c r="X44" s="216" t="n">
        <f aca="false">SUM(X12:X42)</f>
        <v>0</v>
      </c>
      <c r="Y44" s="216" t="n">
        <f aca="false">SUM(Y12:Y42)</f>
        <v>1094</v>
      </c>
      <c r="Z44" s="216"/>
      <c r="AA44" s="216" t="n">
        <f aca="false">SUM(AA12:AA42)</f>
        <v>5477.7</v>
      </c>
      <c r="AB44" s="216" t="n">
        <f aca="false">SUM(AB12:AB42)</f>
        <v>439.506680110915</v>
      </c>
      <c r="AC44" s="216" t="n">
        <f aca="false">SUM(AC12:AC42)</f>
        <v>5917.20668011092</v>
      </c>
      <c r="AD44" s="493" t="n">
        <f aca="false">SUM(AD12:AD42)</f>
        <v>2.16</v>
      </c>
      <c r="AE44" s="218" t="n">
        <f aca="false">AVERAGE(AE12:AE42)</f>
        <v>58.8709677419355</v>
      </c>
      <c r="AF44" s="223" t="n">
        <f aca="false">AVERAGE(AF12:AF42)</f>
        <v>36.9354838709677</v>
      </c>
      <c r="AG44" s="218" t="s">
        <v>98</v>
      </c>
      <c r="AH44" s="216" t="n">
        <f aca="false">SUM(AH12:AH42)</f>
        <v>0</v>
      </c>
      <c r="AI44" s="221"/>
      <c r="AJ44" s="341"/>
      <c r="AK44" s="218" t="n">
        <f aca="false">SUM(AK12:AK42)</f>
        <v>0</v>
      </c>
    </row>
    <row r="45" customFormat="false" ht="11.1" hidden="false" customHeight="true" outlineLevel="0" collapsed="false">
      <c r="A45" s="154" t="s">
        <v>71</v>
      </c>
      <c r="B45" s="215"/>
      <c r="C45" s="216"/>
      <c r="D45" s="216" t="n">
        <f aca="false">SUM(D12:D42)</f>
        <v>-2424</v>
      </c>
      <c r="E45" s="216"/>
      <c r="F45" s="217" t="n">
        <f aca="false">F44*$D$2</f>
        <v>-2424</v>
      </c>
      <c r="G45" s="216" t="n">
        <f aca="false">G44*$D$2</f>
        <v>8231.525</v>
      </c>
      <c r="H45" s="218" t="n">
        <f aca="false">H44*$D$2</f>
        <v>0</v>
      </c>
      <c r="I45" s="216" t="n">
        <f aca="false">I44*$D$2</f>
        <v>8231.525</v>
      </c>
      <c r="J45" s="216" t="n">
        <f aca="false">J44*$D$2</f>
        <v>1081.25445</v>
      </c>
      <c r="K45" s="216" t="n">
        <f aca="false">K44*$D$2</f>
        <v>9312.77945</v>
      </c>
      <c r="L45" s="216" t="n">
        <f aca="false">L44*$D$2</f>
        <v>209.49295</v>
      </c>
      <c r="M45" s="219" t="n">
        <f aca="false">M44*$D$2</f>
        <v>4603.7035</v>
      </c>
      <c r="N45" s="216" t="n">
        <f aca="false">N44*$D$2</f>
        <v>96.0014</v>
      </c>
      <c r="O45" s="216" t="n">
        <f aca="false">O44*$D$2</f>
        <v>2005.42858425</v>
      </c>
      <c r="P45" s="216" t="n">
        <f aca="false">P44*$D$2</f>
        <v>91.00298</v>
      </c>
      <c r="Q45" s="216" t="n">
        <f aca="false">Q44*$D$2</f>
        <v>175.22239</v>
      </c>
      <c r="R45" s="220" t="n">
        <f aca="false">R44*$D$2</f>
        <v>0</v>
      </c>
      <c r="S45" s="216" t="n">
        <f aca="false">S44*$D$2</f>
        <v>2763.0155</v>
      </c>
      <c r="T45" s="216" t="n">
        <f aca="false">T44*$D$2</f>
        <v>1328.34995</v>
      </c>
      <c r="U45" s="216" t="n">
        <f aca="false">U44*$D$2</f>
        <v>6327.41359575</v>
      </c>
      <c r="V45" s="216"/>
      <c r="W45" s="216" t="n">
        <f aca="false">W44*$D$2</f>
        <v>0</v>
      </c>
      <c r="X45" s="216" t="n">
        <f aca="false">X44*$D$2</f>
        <v>0</v>
      </c>
      <c r="Y45" s="216" t="n">
        <f aca="false">Y44*$D$2</f>
        <v>2169.949</v>
      </c>
      <c r="Z45" s="216"/>
      <c r="AA45" s="216" t="n">
        <f aca="false">AA44*$D$2</f>
        <v>10865.01795</v>
      </c>
      <c r="AB45" s="216" t="n">
        <f aca="false">AB44*$D$2</f>
        <v>871.7615</v>
      </c>
      <c r="AC45" s="216" t="n">
        <f aca="false">AC44*$D$2</f>
        <v>11736.77945</v>
      </c>
      <c r="AD45" s="493"/>
      <c r="AE45" s="218" t="n">
        <f aca="false">MAX(AE12:AE42)</f>
        <v>71</v>
      </c>
      <c r="AF45" s="223" t="n">
        <f aca="false">MAX(AF12:AF42)</f>
        <v>45</v>
      </c>
      <c r="AG45" s="218" t="s">
        <v>72</v>
      </c>
      <c r="AH45" s="216" t="n">
        <f aca="false">AH44*$D$2</f>
        <v>0</v>
      </c>
      <c r="AI45" s="221"/>
      <c r="AJ45" s="341" t="n">
        <f aca="false">SUM(AJ12:AJ42)</f>
        <v>13.2085607941578</v>
      </c>
      <c r="AK45" s="218" t="n">
        <f aca="false">AK44*$D$2</f>
        <v>0</v>
      </c>
    </row>
    <row r="46" customFormat="false" ht="3" hidden="false" customHeight="true" outlineLevel="0" collapsed="false">
      <c r="A46" s="247"/>
      <c r="B46" s="244"/>
      <c r="C46" s="229"/>
      <c r="D46" s="229"/>
      <c r="E46" s="229"/>
      <c r="F46" s="248"/>
      <c r="G46" s="229"/>
      <c r="H46" s="237"/>
      <c r="I46" s="229"/>
      <c r="J46" s="229"/>
      <c r="K46" s="229"/>
      <c r="L46" s="229"/>
      <c r="M46" s="249"/>
      <c r="N46" s="229"/>
      <c r="O46" s="229"/>
      <c r="P46" s="229"/>
      <c r="Q46" s="229"/>
      <c r="R46" s="250"/>
      <c r="S46" s="229"/>
      <c r="T46" s="229"/>
      <c r="U46" s="229"/>
      <c r="V46" s="229"/>
      <c r="W46" s="229"/>
      <c r="X46" s="229"/>
      <c r="Y46" s="229"/>
      <c r="Z46" s="230"/>
      <c r="AA46" s="229"/>
      <c r="AB46" s="229"/>
      <c r="AC46" s="229"/>
      <c r="AD46" s="251"/>
      <c r="AE46" s="229"/>
      <c r="AF46" s="248"/>
      <c r="AG46" s="229"/>
      <c r="AH46" s="229"/>
      <c r="AI46" s="235"/>
      <c r="AJ46" s="441"/>
      <c r="AK46" s="237"/>
    </row>
    <row r="47" customFormat="false" ht="11.1" hidden="false" customHeight="true" outlineLevel="0" collapsed="false">
      <c r="A47" s="154" t="s">
        <v>73</v>
      </c>
      <c r="B47" s="215"/>
      <c r="C47" s="216"/>
      <c r="D47" s="216"/>
      <c r="E47" s="216"/>
      <c r="F47" s="217" t="n">
        <f aca="false">F9+F44</f>
        <v>9275.0189059743</v>
      </c>
      <c r="G47" s="216" t="n">
        <f aca="false">G9+G44</f>
        <v>110922</v>
      </c>
      <c r="H47" s="218" t="n">
        <f aca="false">H9+H44</f>
        <v>1957.56</v>
      </c>
      <c r="I47" s="216" t="n">
        <f aca="false">I9+I44</f>
        <v>112879.56</v>
      </c>
      <c r="J47" s="216" t="n">
        <f aca="false">J9+J44</f>
        <v>10228.0052684648</v>
      </c>
      <c r="K47" s="216" t="n">
        <f aca="false">K9+K44</f>
        <v>123107.565268465</v>
      </c>
      <c r="L47" s="216" t="n">
        <f aca="false">L9+L44</f>
        <v>5307.35890597429</v>
      </c>
      <c r="M47" s="219" t="n">
        <f aca="false">M9+M44</f>
        <v>40763.2</v>
      </c>
      <c r="N47" s="216" t="n">
        <f aca="false">N9+N44</f>
        <v>151.25</v>
      </c>
      <c r="O47" s="216" t="n">
        <f aca="false">O9+O44</f>
        <v>12349.911</v>
      </c>
      <c r="P47" s="216"/>
      <c r="Q47" s="216"/>
      <c r="R47" s="220"/>
      <c r="S47" s="216" t="n">
        <f aca="false">S9+S44</f>
        <v>20348</v>
      </c>
      <c r="T47" s="216" t="n">
        <f aca="false">T9+T44</f>
        <v>11073.4</v>
      </c>
      <c r="U47" s="216" t="n">
        <f aca="false">U9+U44</f>
        <v>58120.408</v>
      </c>
      <c r="V47" s="216" t="n">
        <f aca="false">V26</f>
        <v>1834.24516532631</v>
      </c>
      <c r="W47" s="216" t="n">
        <f aca="false">W9+W44</f>
        <v>6257.62540962944</v>
      </c>
      <c r="X47" s="216" t="n">
        <f aca="false">X9+X44</f>
        <v>24997.3</v>
      </c>
      <c r="Y47" s="216"/>
      <c r="Z47" s="216"/>
      <c r="AA47" s="216" t="n">
        <f aca="false">AA9+AA44</f>
        <v>108911.9</v>
      </c>
      <c r="AB47" s="216" t="n">
        <f aca="false">AB9+AB44</f>
        <v>4920.64636249055</v>
      </c>
      <c r="AC47" s="216" t="n">
        <f aca="false">AC9+AC44</f>
        <v>113832.546362491</v>
      </c>
      <c r="AD47" s="493"/>
      <c r="AE47" s="218" t="n">
        <f aca="false">MIN(AE12:AE42)</f>
        <v>40</v>
      </c>
      <c r="AF47" s="223" t="n">
        <f aca="false">MIN(AF12:AF42)</f>
        <v>24</v>
      </c>
      <c r="AG47" s="218" t="s">
        <v>74</v>
      </c>
      <c r="AH47" s="218"/>
      <c r="AI47" s="221"/>
      <c r="AJ47" s="341"/>
      <c r="AK47" s="218" t="n">
        <f aca="false">AK9+AK44</f>
        <v>917.06</v>
      </c>
    </row>
    <row r="48" customFormat="false" ht="11.1" hidden="false" customHeight="true" outlineLevel="0" collapsed="false">
      <c r="A48" s="154" t="s">
        <v>75</v>
      </c>
      <c r="B48" s="215"/>
      <c r="C48" s="216"/>
      <c r="D48" s="216"/>
      <c r="E48" s="216"/>
      <c r="F48" s="217" t="n">
        <f aca="false">F47*$D$2</f>
        <v>18397</v>
      </c>
      <c r="G48" s="216" t="n">
        <f aca="false">G47*$D$2</f>
        <v>220013.787</v>
      </c>
      <c r="H48" s="218" t="n">
        <f aca="false">H47*$D$2</f>
        <v>3882.82026</v>
      </c>
      <c r="I48" s="216" t="n">
        <f aca="false">I47*$D$2</f>
        <v>223896.60726</v>
      </c>
      <c r="J48" s="216" t="n">
        <f aca="false">J47*$D$2</f>
        <v>20287.24845</v>
      </c>
      <c r="K48" s="216" t="n">
        <f aca="false">K47*$D$2</f>
        <v>244183.85571</v>
      </c>
      <c r="L48" s="216" t="n">
        <f aca="false">L47*$D$2</f>
        <v>10527.14639</v>
      </c>
      <c r="M48" s="219" t="n">
        <f aca="false">M47*$D$2</f>
        <v>80853.8072</v>
      </c>
      <c r="N48" s="216" t="n">
        <f aca="false">N47*$D$2</f>
        <v>300.004375</v>
      </c>
      <c r="O48" s="216" t="n">
        <f aca="false">O47*$D$2</f>
        <v>24496.0484685</v>
      </c>
      <c r="P48" s="216"/>
      <c r="Q48" s="216"/>
      <c r="R48" s="220"/>
      <c r="S48" s="216" t="n">
        <f aca="false">S47*$D$2</f>
        <v>40360.258</v>
      </c>
      <c r="T48" s="216" t="n">
        <f aca="false">T47*$D$2</f>
        <v>21964.0889</v>
      </c>
      <c r="U48" s="216" t="n">
        <f aca="false">U47*$D$2</f>
        <v>115281.829268</v>
      </c>
      <c r="V48" s="216" t="n">
        <f aca="false">V47*$D$2</f>
        <v>3638.22528542473</v>
      </c>
      <c r="W48" s="216" t="n">
        <f aca="false">W47*$D$2</f>
        <v>12412</v>
      </c>
      <c r="X48" s="216" t="n">
        <f aca="false">X47*$D$2</f>
        <v>49582.14455</v>
      </c>
      <c r="Y48" s="216"/>
      <c r="Z48" s="216"/>
      <c r="AA48" s="216" t="n">
        <f aca="false">AA47*$D$2</f>
        <v>216026.75365</v>
      </c>
      <c r="AB48" s="216" t="n">
        <f aca="false">AB47*$D$2</f>
        <v>9760.10206</v>
      </c>
      <c r="AC48" s="216" t="n">
        <f aca="false">AC47*$D$2</f>
        <v>225786.85571</v>
      </c>
      <c r="AD48" s="493"/>
      <c r="AE48" s="218"/>
      <c r="AF48" s="223"/>
      <c r="AG48" s="218"/>
      <c r="AH48" s="218"/>
      <c r="AI48" s="221"/>
      <c r="AJ48" s="341" t="n">
        <f aca="false">AJ9+AJ45</f>
        <v>1169.23880587527</v>
      </c>
      <c r="AK48" s="218" t="n">
        <f aca="false">AK47*$D$2</f>
        <v>1818.98851</v>
      </c>
    </row>
    <row r="49" customFormat="false" ht="3" hidden="false" customHeight="true" outlineLevel="0" collapsed="false">
      <c r="A49" s="247"/>
      <c r="B49" s="244"/>
      <c r="C49" s="229"/>
      <c r="D49" s="229"/>
      <c r="E49" s="229"/>
      <c r="F49" s="248"/>
      <c r="G49" s="229"/>
      <c r="H49" s="237"/>
      <c r="I49" s="229"/>
      <c r="J49" s="229"/>
      <c r="K49" s="229"/>
      <c r="L49" s="229"/>
      <c r="M49" s="249"/>
      <c r="N49" s="229"/>
      <c r="O49" s="229"/>
      <c r="P49" s="229"/>
      <c r="Q49" s="229"/>
      <c r="R49" s="250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495"/>
      <c r="AE49" s="441"/>
      <c r="AF49" s="620"/>
      <c r="AG49" s="441"/>
      <c r="AH49" s="441"/>
      <c r="AI49" s="235"/>
      <c r="AJ49" s="441"/>
      <c r="AK49" s="237"/>
    </row>
    <row r="50" customFormat="false" ht="11.1" hidden="false" customHeight="true" outlineLevel="0" collapsed="false">
      <c r="A50" s="154" t="s">
        <v>76</v>
      </c>
      <c r="B50" s="215"/>
      <c r="C50" s="216"/>
      <c r="D50" s="216"/>
      <c r="E50" s="216"/>
      <c r="F50" s="217" t="n">
        <f aca="false">F10+F44</f>
        <v>16790.017645576</v>
      </c>
      <c r="G50" s="216" t="n">
        <f aca="false">G10+G44</f>
        <v>125050</v>
      </c>
      <c r="H50" s="218" t="n">
        <f aca="false">H10+H44</f>
        <v>2261.16</v>
      </c>
      <c r="I50" s="216" t="n">
        <f aca="false">I10+I44</f>
        <v>127311.16</v>
      </c>
      <c r="J50" s="216" t="n">
        <f aca="false">J10+J44</f>
        <v>15865.6084156794</v>
      </c>
      <c r="K50" s="216" t="n">
        <f aca="false">K10+K44</f>
        <v>143176.768415679</v>
      </c>
      <c r="L50" s="216" t="n">
        <f aca="false">L10+L44</f>
        <v>10720.212645576</v>
      </c>
      <c r="M50" s="219" t="n">
        <f aca="false">M10+M44</f>
        <v>41738.6</v>
      </c>
      <c r="N50" s="216" t="n">
        <f aca="false">N10+N44</f>
        <v>151.25</v>
      </c>
      <c r="O50" s="216" t="n">
        <f aca="false">O10+O44</f>
        <v>12349.911</v>
      </c>
      <c r="P50" s="216" t="n">
        <f aca="false">P10+P44</f>
        <v>629.574</v>
      </c>
      <c r="Q50" s="218" t="n">
        <f aca="false">Q10+Q44</f>
        <v>1203.587</v>
      </c>
      <c r="R50" s="220" t="n">
        <f aca="false">R10+R44</f>
        <v>375.323</v>
      </c>
      <c r="S50" s="216" t="n">
        <f aca="false">S10+S44</f>
        <v>28328.2</v>
      </c>
      <c r="T50" s="216" t="n">
        <f aca="false">T10+T44</f>
        <v>11209.4</v>
      </c>
      <c r="U50" s="216" t="n">
        <f aca="false">U10+U44</f>
        <v>66560.48549</v>
      </c>
      <c r="V50" s="216"/>
      <c r="W50" s="216" t="n">
        <f aca="false">W10+W44</f>
        <v>6257.62540962944</v>
      </c>
      <c r="X50" s="216" t="n">
        <f aca="false">X10+X44</f>
        <v>24997.3</v>
      </c>
      <c r="Y50" s="216" t="n">
        <f aca="false">Y10+Y44</f>
        <v>14936</v>
      </c>
      <c r="Z50" s="216" t="n">
        <f aca="false">Z42</f>
        <v>3964.98361482228</v>
      </c>
      <c r="AA50" s="216" t="n">
        <f aca="false">AA10+AA44</f>
        <v>121241.355</v>
      </c>
      <c r="AB50" s="216" t="n">
        <f aca="false">AB10+AB44</f>
        <v>5145.39577010335</v>
      </c>
      <c r="AC50" s="216" t="n">
        <f aca="false">AC10+AC44</f>
        <v>126386.750770103</v>
      </c>
      <c r="AD50" s="494" t="n">
        <f aca="false">AD10+AD44</f>
        <v>18.01</v>
      </c>
      <c r="AE50" s="218"/>
      <c r="AF50" s="223"/>
      <c r="AG50" s="218"/>
      <c r="AH50" s="216" t="n">
        <f aca="false">AH10+AH44</f>
        <v>346.51</v>
      </c>
      <c r="AI50" s="221"/>
      <c r="AJ50" s="341"/>
      <c r="AK50" s="218" t="n">
        <f aca="false">AK10+AK44</f>
        <v>917.06</v>
      </c>
    </row>
    <row r="51" customFormat="false" ht="11.1" hidden="false" customHeight="true" outlineLevel="0" collapsed="false">
      <c r="A51" s="154" t="s">
        <v>77</v>
      </c>
      <c r="B51" s="215"/>
      <c r="C51" s="216"/>
      <c r="D51" s="216" t="n">
        <f aca="false">D10+D45</f>
        <v>33303</v>
      </c>
      <c r="E51" s="216" t="n">
        <f aca="false">E42</f>
        <v>55246</v>
      </c>
      <c r="F51" s="217" t="n">
        <f aca="false">F50*$D$2</f>
        <v>33303</v>
      </c>
      <c r="G51" s="216" t="n">
        <f aca="false">G50*$D$2</f>
        <v>248036.675</v>
      </c>
      <c r="H51" s="218" t="n">
        <f aca="false">H50*$D$2</f>
        <v>4485.01086</v>
      </c>
      <c r="I51" s="216" t="n">
        <f aca="false">I50*$D$2</f>
        <v>252521.68586</v>
      </c>
      <c r="J51" s="216" t="n">
        <f aca="false">J50*$D$2</f>
        <v>31469.4342925</v>
      </c>
      <c r="K51" s="216" t="n">
        <f aca="false">K50*$D$2</f>
        <v>283991.1201525</v>
      </c>
      <c r="L51" s="216" t="n">
        <f aca="false">L50*$D$2</f>
        <v>21263.5417825</v>
      </c>
      <c r="M51" s="219" t="n">
        <f aca="false">M50*$D$2</f>
        <v>82788.5131</v>
      </c>
      <c r="N51" s="216" t="n">
        <f aca="false">N50*$D$2</f>
        <v>300.004375</v>
      </c>
      <c r="O51" s="216" t="n">
        <f aca="false">O50*$D$2</f>
        <v>24496.0484685</v>
      </c>
      <c r="P51" s="218" t="n">
        <f aca="false">P50*$D$2</f>
        <v>1248.760029</v>
      </c>
      <c r="Q51" s="218" t="n">
        <f aca="false">Q50*$D$2</f>
        <v>2387.3148145</v>
      </c>
      <c r="R51" s="254" t="n">
        <f aca="false">R50*$D$2</f>
        <v>744.4531705</v>
      </c>
      <c r="S51" s="216" t="n">
        <f aca="false">S50*$D$2</f>
        <v>56188.9847</v>
      </c>
      <c r="T51" s="216" t="n">
        <f aca="false">T50*$D$2</f>
        <v>22233.8449</v>
      </c>
      <c r="U51" s="216" t="n">
        <f aca="false">U50*$D$2</f>
        <v>132022.722969415</v>
      </c>
      <c r="V51" s="216"/>
      <c r="W51" s="216" t="n">
        <f aca="false">W50*$D$2</f>
        <v>12412</v>
      </c>
      <c r="X51" s="216" t="n">
        <f aca="false">X50*$D$2</f>
        <v>49582.14455</v>
      </c>
      <c r="Y51" s="216" t="n">
        <f aca="false">Y50*$D$2</f>
        <v>29625.556</v>
      </c>
      <c r="Z51" s="216" t="n">
        <f aca="false">Z50*$D$2</f>
        <v>7864.545</v>
      </c>
      <c r="AA51" s="216" t="n">
        <f aca="false">AA50*$D$2</f>
        <v>240482.2276425</v>
      </c>
      <c r="AB51" s="216" t="n">
        <f aca="false">AB50*$D$2</f>
        <v>10205.89251</v>
      </c>
      <c r="AC51" s="216" t="n">
        <f aca="false">AC50*$D$2</f>
        <v>250688.1201525</v>
      </c>
      <c r="AD51" s="493"/>
      <c r="AE51" s="218"/>
      <c r="AF51" s="223"/>
      <c r="AG51" s="218" t="n">
        <f aca="false">AG42</f>
        <v>0</v>
      </c>
      <c r="AH51" s="216" t="n">
        <f aca="false">AH50*$D$2</f>
        <v>687.302585</v>
      </c>
      <c r="AI51" s="221"/>
      <c r="AJ51" s="341" t="n">
        <f aca="false">AJ10+AJ45</f>
        <v>1169.23880587527</v>
      </c>
      <c r="AK51" s="218" t="n">
        <f aca="false">AK50*$D$2</f>
        <v>1818.98851</v>
      </c>
    </row>
    <row r="52" customFormat="false" ht="3" hidden="false" customHeight="true" outlineLevel="0" collapsed="false">
      <c r="A52" s="227"/>
      <c r="B52" s="306"/>
      <c r="C52" s="290"/>
      <c r="D52" s="227"/>
      <c r="E52" s="290"/>
      <c r="F52" s="291"/>
      <c r="G52" s="227"/>
      <c r="H52" s="621"/>
      <c r="I52" s="227"/>
      <c r="J52" s="227"/>
      <c r="K52" s="227"/>
      <c r="L52" s="227"/>
      <c r="M52" s="501"/>
      <c r="N52" s="227"/>
      <c r="O52" s="227"/>
      <c r="P52" s="227"/>
      <c r="Q52" s="294"/>
      <c r="R52" s="227"/>
      <c r="S52" s="227"/>
      <c r="T52" s="227"/>
      <c r="U52" s="227"/>
      <c r="V52" s="290"/>
      <c r="W52" s="290"/>
      <c r="X52" s="227"/>
      <c r="Y52" s="227"/>
      <c r="Z52" s="290"/>
      <c r="AA52" s="227"/>
      <c r="AB52" s="227"/>
      <c r="AC52" s="227"/>
      <c r="AD52" s="306"/>
      <c r="AE52" s="227"/>
      <c r="AF52" s="291"/>
      <c r="AG52" s="227"/>
      <c r="AH52" s="227"/>
      <c r="AI52" s="500"/>
      <c r="AJ52" s="562"/>
      <c r="AK52" s="227"/>
    </row>
    <row r="53" customFormat="false" ht="11.1" hidden="false" customHeight="true" outlineLevel="0" collapsed="false">
      <c r="A53" s="257"/>
      <c r="B53" s="257"/>
      <c r="C53" s="146"/>
      <c r="D53" s="257"/>
      <c r="E53" s="146"/>
      <c r="F53" s="257"/>
      <c r="G53" s="147"/>
      <c r="H53" s="622"/>
      <c r="I53" s="135"/>
      <c r="J53" s="257"/>
      <c r="K53" s="257"/>
      <c r="L53" s="257"/>
      <c r="M53" s="149"/>
      <c r="N53" s="9"/>
      <c r="O53" s="149"/>
      <c r="P53" s="149"/>
      <c r="Q53" s="257"/>
      <c r="R53" s="257"/>
      <c r="S53" s="257"/>
      <c r="T53" s="257"/>
      <c r="U53" s="0"/>
      <c r="V53" s="146"/>
      <c r="W53" s="146"/>
      <c r="X53" s="140"/>
      <c r="Y53" s="146"/>
      <c r="Z53" s="257"/>
      <c r="AA53" s="257"/>
      <c r="AB53" s="257"/>
      <c r="AC53" s="150"/>
      <c r="AD53" s="151"/>
      <c r="AE53" s="152"/>
      <c r="AF53" s="153"/>
      <c r="AG53" s="316"/>
      <c r="AH53" s="316"/>
      <c r="AI53" s="505"/>
      <c r="AJ53" s="426"/>
    </row>
    <row r="54" customFormat="false" ht="11.1" hidden="false" customHeight="true" outlineLevel="0" collapsed="false">
      <c r="A54" s="145"/>
      <c r="B54" s="566"/>
      <c r="C54" s="9"/>
      <c r="D54" s="134"/>
      <c r="E54" s="453"/>
      <c r="F54" s="477"/>
      <c r="G54" s="0"/>
      <c r="H54" s="623"/>
      <c r="I54" s="10"/>
      <c r="J54" s="8"/>
      <c r="K54" s="135"/>
      <c r="L54" s="8" t="s">
        <v>114</v>
      </c>
      <c r="M54" s="8"/>
      <c r="N54" s="8"/>
      <c r="O54" s="14" t="n">
        <f aca="false">800-N51</f>
        <v>499.995625</v>
      </c>
      <c r="P54" s="14"/>
      <c r="Q54" s="366"/>
      <c r="R54" s="366"/>
      <c r="S54" s="478"/>
      <c r="T54" s="114"/>
      <c r="U54" s="479"/>
      <c r="V54" s="146"/>
      <c r="W54" s="204"/>
      <c r="X54" s="36"/>
      <c r="Y54" s="8"/>
      <c r="Z54" s="9"/>
      <c r="AA54" s="9"/>
      <c r="AB54" s="145"/>
      <c r="AC54" s="150"/>
      <c r="AD54" s="152"/>
      <c r="AE54" s="152"/>
      <c r="AF54" s="152"/>
      <c r="AG54" s="567"/>
      <c r="AH54" s="567"/>
      <c r="AI54" s="505"/>
      <c r="AJ54" s="565"/>
      <c r="AK54" s="507"/>
    </row>
    <row r="55" customFormat="false" ht="11.1" hidden="false" customHeight="true" outlineLevel="0" collapsed="false">
      <c r="A55" s="257"/>
      <c r="B55" s="146"/>
      <c r="E55" s="453"/>
      <c r="F55" s="454"/>
      <c r="G55" s="0"/>
      <c r="H55" s="623"/>
      <c r="I55" s="134"/>
      <c r="J55" s="134"/>
      <c r="K55" s="480"/>
      <c r="L55" s="112" t="s">
        <v>115</v>
      </c>
      <c r="M55" s="112"/>
      <c r="N55" s="112"/>
      <c r="O55" s="453" t="n">
        <f aca="false">24497-O51</f>
        <v>0.951531499995326</v>
      </c>
      <c r="P55" s="568"/>
      <c r="Q55" s="366"/>
      <c r="R55" s="366"/>
      <c r="S55" s="478"/>
      <c r="T55" s="114"/>
      <c r="U55" s="83"/>
      <c r="V55" s="146"/>
      <c r="W55" s="146"/>
      <c r="X55" s="146"/>
      <c r="Y55" s="9"/>
      <c r="Z55" s="478"/>
      <c r="AA55" s="478"/>
      <c r="AB55" s="257"/>
      <c r="AC55" s="150"/>
      <c r="AD55" s="152"/>
      <c r="AE55" s="152"/>
      <c r="AF55" s="153"/>
      <c r="AG55" s="316"/>
      <c r="AH55" s="316"/>
      <c r="AI55" s="505"/>
      <c r="AK55" s="507"/>
    </row>
    <row r="56" customFormat="false" ht="11.1" hidden="false" customHeight="true" outlineLevel="0" collapsed="false">
      <c r="A56" s="257"/>
      <c r="B56" s="257"/>
      <c r="C56" s="146"/>
      <c r="D56" s="146"/>
      <c r="E56" s="453"/>
      <c r="F56" s="0"/>
      <c r="G56" s="0"/>
      <c r="H56" s="204"/>
      <c r="I56" s="0"/>
      <c r="J56" s="134"/>
      <c r="K56" s="480"/>
      <c r="L56" s="152"/>
      <c r="M56" s="112"/>
      <c r="N56" s="112"/>
      <c r="O56" s="152"/>
      <c r="P56" s="150"/>
      <c r="Q56" s="366"/>
      <c r="R56" s="366"/>
      <c r="S56" s="425"/>
      <c r="T56" s="425"/>
      <c r="U56" s="83"/>
      <c r="V56" s="152"/>
      <c r="W56" s="152"/>
      <c r="X56" s="146"/>
      <c r="Y56" s="9"/>
      <c r="Z56" s="146"/>
      <c r="AA56" s="146"/>
      <c r="AB56" s="257"/>
      <c r="AC56" s="456"/>
      <c r="AD56" s="152"/>
      <c r="AE56" s="152"/>
      <c r="AF56" s="153"/>
      <c r="AG56" s="316"/>
      <c r="AH56" s="316"/>
      <c r="AI56" s="505"/>
      <c r="AK56" s="507"/>
    </row>
    <row r="57" customFormat="false" ht="11.1" hidden="false" customHeight="true" outlineLevel="0" collapsed="false">
      <c r="A57" s="257"/>
      <c r="B57" s="257"/>
      <c r="C57" s="146"/>
      <c r="D57" s="257"/>
      <c r="E57" s="146"/>
      <c r="F57" s="257"/>
      <c r="G57" s="258"/>
      <c r="H57" s="207"/>
      <c r="I57" s="257"/>
      <c r="J57" s="257"/>
      <c r="K57" s="257"/>
      <c r="L57" s="257" t="s">
        <v>116</v>
      </c>
      <c r="M57" s="149"/>
      <c r="N57" s="149"/>
      <c r="O57" s="149"/>
      <c r="P57" s="150"/>
      <c r="Q57" s="150"/>
      <c r="R57" s="150"/>
      <c r="S57" s="257"/>
      <c r="T57" s="257"/>
      <c r="U57" s="0"/>
      <c r="V57" s="146"/>
      <c r="W57" s="146"/>
      <c r="Y57" s="146"/>
      <c r="Z57" s="257"/>
      <c r="AA57" s="257"/>
      <c r="AB57" s="257"/>
      <c r="AC57" s="150"/>
      <c r="AD57" s="151"/>
      <c r="AE57" s="152"/>
      <c r="AF57" s="153"/>
      <c r="AG57" s="316"/>
      <c r="AH57" s="316"/>
      <c r="AI57" s="505"/>
      <c r="AK57" s="507"/>
    </row>
    <row r="58" customFormat="false" ht="11.1" hidden="false" customHeight="true" outlineLevel="0" collapsed="false">
      <c r="H58" s="622"/>
      <c r="P58" s="141"/>
      <c r="Q58" s="141"/>
      <c r="R58" s="141"/>
      <c r="S58" s="569"/>
      <c r="T58" s="137"/>
      <c r="U58" s="146"/>
      <c r="V58" s="146"/>
      <c r="W58" s="146"/>
      <c r="Y58" s="138"/>
      <c r="AA58" s="137"/>
      <c r="AB58" s="137"/>
      <c r="AC58" s="141"/>
      <c r="AD58" s="139"/>
      <c r="AE58" s="142"/>
      <c r="AF58" s="143"/>
      <c r="AG58" s="570"/>
      <c r="AH58" s="570"/>
      <c r="AK58" s="507"/>
    </row>
    <row r="59" customFormat="false" ht="11.1" hidden="false" customHeight="true" outlineLevel="0" collapsed="false">
      <c r="H59" s="622"/>
      <c r="P59" s="140"/>
      <c r="T59" s="137"/>
      <c r="U59" s="138"/>
      <c r="W59" s="137"/>
      <c r="Y59" s="138"/>
      <c r="AA59" s="137"/>
      <c r="AB59" s="137"/>
      <c r="AC59" s="141"/>
      <c r="AD59" s="139"/>
      <c r="AE59" s="142"/>
      <c r="AF59" s="143"/>
      <c r="AJ59" s="426"/>
    </row>
  </sheetData>
  <mergeCells count="2">
    <mergeCell ref="K2:W2"/>
    <mergeCell ref="M5:R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LaVon Millard</cp:lastModifiedBy>
  <cp:lastPrinted>2012-12-02T13:16:13Z</cp:lastPrinted>
  <dcterms:modified xsi:type="dcterms:W3CDTF">2012-12-02T13:16:45Z</dcterms:modified>
  <cp:revision>0</cp:revision>
  <dc:subject>MCPHEE IN/OUT FLOW</dc:subject>
  <dc:title>RIVER</dc:title>
</cp:coreProperties>
</file>