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10.xml" ContentType="application/vnd.openxmlformats-officedocument.spreadsheetml.comments+xml"/>
  <Override PartName="/xl/comments9.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9.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APR!$A$1:$AS$50</definedName>
    <definedName function="false" hidden="false" localSheetId="9" name="_xlnm.Print_Area" vbProcedure="false">AUG!$A$1:$AS$52</definedName>
    <definedName function="false" hidden="false" localSheetId="1" name="_xlnm.Print_Area" vbProcedure="false">DEC!$A$1:$AS$52</definedName>
    <definedName function="false" hidden="false" localSheetId="3" name="_xlnm.Print_Area" vbProcedure="false">FEB!$A$1:$AS$50</definedName>
    <definedName function="false" hidden="false" localSheetId="2" name="_xlnm.Print_Area" vbProcedure="false">JAN!$A$1:$AS$52</definedName>
    <definedName function="false" hidden="false" localSheetId="8" name="_xlnm.Print_Area" vbProcedure="false">JUL!$A$1:$AS$52</definedName>
    <definedName function="false" hidden="false" localSheetId="7" name="_xlnm.Print_Area" vbProcedure="false">JUN!$A$1:$AS$51</definedName>
    <definedName function="false" hidden="false" localSheetId="4" name="_xlnm.Print_Area" vbProcedure="false">MAR!$A$1:$AS$52</definedName>
    <definedName function="false" hidden="false" localSheetId="6" name="_xlnm.Print_Area" vbProcedure="false">MAY!$A$1:$AS$51</definedName>
    <definedName function="false" hidden="false" localSheetId="0" name="_xlnm.Print_Area" vbProcedure="false">NOV!$A$1:$AS$50</definedName>
    <definedName function="false" hidden="false" localSheetId="11" name="_xlnm.Print_Area" vbProcedure="false">OCT!$A$1:$AS$52</definedName>
    <definedName function="false" hidden="false" localSheetId="10" name="_xlnm.Print_Area" vbProcedure="false">SEP!$A$1:$AS$51</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T6" authorId="0">
      <text>
        <r>
          <rPr>
            <b val="true"/>
            <sz val="8"/>
            <color rgb="FF000000"/>
            <rFont val="Tahoma"/>
            <family val="0"/>
          </rPr>
          <t xml:space="preserve">E. A. Birk:
</t>
        </r>
        <r>
          <rPr>
            <sz val="8"/>
            <color rgb="FF000000"/>
            <rFont val="Tahoma"/>
            <family val="0"/>
          </rPr>
          <t xml:space="preserve">Spill is calibrated only when MWC &amp; City is pulling water only.</t>
        </r>
      </text>
    </comment>
  </commentList>
</comments>
</file>

<file path=xl/comments4.xml><?xml version="1.0" encoding="utf-8"?>
<comments xmlns="http://schemas.openxmlformats.org/spreadsheetml/2006/main" xmlns:xdr="http://schemas.openxmlformats.org/drawingml/2006/spreadsheetDrawing">
  <authors>
    <author> </author>
  </authors>
  <commentList>
    <comment ref="AM27" authorId="0">
      <text>
        <r>
          <rPr>
            <b val="true"/>
            <sz val="8"/>
            <color rgb="FF000000"/>
            <rFont val="Tahoma"/>
            <family val="0"/>
          </rPr>
          <t xml:space="preserve">E. A. Birk:
</t>
        </r>
        <r>
          <rPr>
            <sz val="8"/>
            <color rgb="FF000000"/>
            <rFont val="Tahoma"/>
            <family val="0"/>
          </rPr>
          <t xml:space="preserve">Brad called to get the Lone Pine shut down, still approx. two feet to fill before the end on June.</t>
        </r>
      </text>
    </comment>
  </commentList>
</comments>
</file>

<file path=xl/comments5.xml><?xml version="1.0" encoding="utf-8"?>
<comments xmlns="http://schemas.openxmlformats.org/spreadsheetml/2006/main" xmlns:xdr="http://schemas.openxmlformats.org/drawingml/2006/spreadsheetDrawing">
  <authors>
    <author> </author>
  </authors>
  <commentList>
    <comment ref="M35" authorId="0">
      <text>
        <r>
          <rPr>
            <b val="true"/>
            <sz val="8"/>
            <color rgb="FF000000"/>
            <rFont val="Tahoma"/>
            <family val="0"/>
          </rPr>
          <t xml:space="preserve">EA BIRK:
</t>
        </r>
        <r>
          <rPr>
            <sz val="8"/>
            <color rgb="FF000000"/>
            <rFont val="Tahoma"/>
            <family val="0"/>
          </rPr>
          <t xml:space="preserve">Began to fill Towaoc Canal</t>
        </r>
      </text>
    </comment>
  </commentList>
</comments>
</file>

<file path=xl/comments6.xml><?xml version="1.0" encoding="utf-8"?>
<comments xmlns="http://schemas.openxmlformats.org/spreadsheetml/2006/main" xmlns:xdr="http://schemas.openxmlformats.org/drawingml/2006/spreadsheetDrawing">
  <authors>
    <author> </author>
  </authors>
  <commentList>
    <comment ref="U12" authorId="0">
      <text>
        <r>
          <rPr>
            <b val="true"/>
            <sz val="8"/>
            <color rgb="FF000000"/>
            <rFont val="Tahoma"/>
            <family val="0"/>
          </rPr>
          <t xml:space="preserve">EA BIRK:
</t>
        </r>
        <r>
          <rPr>
            <sz val="8"/>
            <color rgb="FF000000"/>
            <rFont val="Tahoma"/>
            <family val="0"/>
          </rPr>
          <t xml:space="preserve">Began to fill Narr. Res. again.</t>
        </r>
      </text>
    </comment>
    <comment ref="W46" authorId="0">
      <text>
        <r>
          <rPr>
            <b val="true"/>
            <sz val="8"/>
            <color rgb="FF000000"/>
            <rFont val="Tahoma"/>
            <family val="0"/>
          </rPr>
          <t xml:space="preserve">E. A. Birk:
</t>
        </r>
        <r>
          <rPr>
            <sz val="8"/>
            <color rgb="FF000000"/>
            <rFont val="Tahoma"/>
            <family val="0"/>
          </rPr>
          <t xml:space="preserve">Beginning on 4/1/08, MVIC started to completed their frist fill of Narr. (1083 Ac. Ft. or 546 cfs).  This amount  will be substracted from their total season amount so to keep tract of their 72,000 ac.ft. for the months of Apr-Jun.This was completed on the 8th.</t>
        </r>
      </text>
    </comment>
    <comment ref="Y12" authorId="0">
      <text>
        <r>
          <rPr>
            <b val="true"/>
            <sz val="8"/>
            <color rgb="FF000000"/>
            <rFont val="Tahoma"/>
            <family val="0"/>
          </rPr>
          <t xml:space="preserve">E. A. Birk:
</t>
        </r>
        <r>
          <rPr>
            <sz val="8"/>
            <color rgb="FF000000"/>
            <rFont val="Tahoma"/>
            <family val="0"/>
          </rPr>
          <t xml:space="preserve">3400 Ac. Ft. Totten Exchange-3400/1.9835=1714.15 cfs</t>
        </r>
      </text>
    </comment>
    <comment ref="AE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M19" authorId="0">
      <text>
        <r>
          <rPr>
            <b val="true"/>
            <sz val="8"/>
            <color rgb="FF000000"/>
            <rFont val="Tahoma"/>
            <family val="0"/>
          </rPr>
          <t xml:space="preserve">E. A. Birk:
</t>
        </r>
        <r>
          <rPr>
            <sz val="8"/>
            <color rgb="FF000000"/>
            <rFont val="Tahoma"/>
            <family val="0"/>
          </rPr>
          <t xml:space="preserve">Narr. filling on hold for now.l</t>
        </r>
      </text>
    </comment>
    <comment ref="AR41" authorId="0">
      <text>
        <r>
          <rPr>
            <b val="true"/>
            <sz val="8"/>
            <color rgb="FF000000"/>
            <rFont val="Tahoma"/>
            <family val="0"/>
          </rPr>
          <t xml:space="preserve">E. A. Birk:
</t>
        </r>
        <r>
          <rPr>
            <sz val="8"/>
            <color rgb="FF000000"/>
            <rFont val="Tahoma"/>
            <family val="0"/>
          </rPr>
          <t xml:space="preserve">Plus 1 cfs F&amp;W water will match the Rocky Ford #2 reading.</t>
        </r>
      </text>
    </comment>
  </commentList>
</comments>
</file>

<file path=xl/comments7.xml><?xml version="1.0" encoding="utf-8"?>
<comments xmlns="http://schemas.openxmlformats.org/spreadsheetml/2006/main" xmlns:xdr="http://schemas.openxmlformats.org/drawingml/2006/spreadsheetDrawing">
  <authors>
    <author> </author>
  </authors>
  <commentList>
    <comment ref="P18" authorId="0">
      <text>
        <r>
          <rPr>
            <b val="true"/>
            <sz val="8"/>
            <color rgb="FF000000"/>
            <rFont val="Tahoma"/>
            <family val="0"/>
          </rPr>
          <t xml:space="preserve">E. A. Birk:
</t>
        </r>
        <r>
          <rPr>
            <sz val="8"/>
            <color rgb="FF000000"/>
            <rFont val="Tahoma"/>
            <family val="0"/>
          </rPr>
          <t xml:space="preserve">This fullfills the Questar Water for the year.</t>
        </r>
      </text>
    </comment>
    <comment ref="AR16" authorId="0">
      <text>
        <r>
          <rPr>
            <b val="true"/>
            <sz val="8"/>
            <color rgb="FF000000"/>
            <rFont val="Tahoma"/>
            <family val="0"/>
          </rPr>
          <t xml:space="preserve">E. A. Birk:
</t>
        </r>
        <r>
          <rPr>
            <sz val="8"/>
            <color rgb="FF000000"/>
            <rFont val="Tahoma"/>
            <family val="0"/>
          </rPr>
          <t xml:space="preserve">A total of 41.8 is in the Rocky Ford, 1.16cfs to Questor ,1 cfs fish &amp; wildlife water and 39.6 for refresh water.</t>
        </r>
      </text>
    </comment>
    <comment ref="AR17" authorId="0">
      <text>
        <r>
          <rPr>
            <b val="true"/>
            <sz val="8"/>
            <color rgb="FF000000"/>
            <rFont val="Tahoma"/>
            <family val="0"/>
          </rPr>
          <t xml:space="preserve">E. A. Birk:
</t>
        </r>
        <r>
          <rPr>
            <sz val="8"/>
            <color rgb="FF000000"/>
            <rFont val="Tahoma"/>
            <family val="0"/>
          </rPr>
          <t xml:space="preserve">A total of 44.5 cfs, 3.71 cfs for Questor, 1 cfs f&amp;w water and 39.79 for refresh.</t>
        </r>
      </text>
    </comment>
  </commentList>
</comments>
</file>

<file path=xl/comments8.xml><?xml version="1.0" encoding="utf-8"?>
<comments xmlns="http://schemas.openxmlformats.org/spreadsheetml/2006/main" xmlns:xdr="http://schemas.openxmlformats.org/drawingml/2006/spreadsheetDrawing">
  <authors>
    <author> </author>
  </authors>
  <commentList>
    <comment ref="O14" authorId="0">
      <text>
        <r>
          <rPr>
            <b val="true"/>
            <sz val="8"/>
            <color rgb="FF000000"/>
            <rFont val="Tahoma"/>
            <family val="0"/>
          </rPr>
          <t xml:space="preserve">E. A. Birk:
</t>
        </r>
        <r>
          <rPr>
            <sz val="8"/>
            <color rgb="FF000000"/>
            <rFont val="Tahoma"/>
            <family val="0"/>
          </rPr>
          <t xml:space="preserve">41.8 cfs is leased from MVIC to get MVIC's 795 cfs.</t>
        </r>
      </text>
    </comment>
    <comment ref="W14" authorId="0">
      <text>
        <r>
          <rPr>
            <b val="true"/>
            <sz val="8"/>
            <color rgb="FF000000"/>
            <rFont val="Tahoma"/>
            <family val="0"/>
          </rPr>
          <t xml:space="preserve">E. A. Birk:
</t>
        </r>
        <r>
          <rPr>
            <sz val="8"/>
            <color rgb="FF000000"/>
            <rFont val="Tahoma"/>
            <family val="0"/>
          </rPr>
          <t xml:space="preserve">Leased 82.7 cfs to Ute Farm &amp; Ranch to get their 795 cfs</t>
        </r>
      </text>
    </comment>
    <comment ref="AF36" authorId="0">
      <text>
        <r>
          <rPr>
            <b val="true"/>
            <sz val="8"/>
            <color rgb="FF000000"/>
            <rFont val="Tahoma"/>
            <family val="0"/>
          </rPr>
          <t xml:space="preserve">E. A. Birk:
</t>
        </r>
        <r>
          <rPr>
            <sz val="8"/>
            <color rgb="FF000000"/>
            <rFont val="Tahoma"/>
            <family val="0"/>
          </rPr>
          <t xml:space="preserve">Spill over.</t>
        </r>
      </text>
    </comment>
    <comment ref="AM36" authorId="0">
      <text>
        <r>
          <rPr>
            <b val="true"/>
            <sz val="8"/>
            <color rgb="FF000000"/>
            <rFont val="Tahoma"/>
            <family val="0"/>
          </rPr>
          <t xml:space="preserve">E. A. Birk:
</t>
        </r>
        <r>
          <rPr>
            <sz val="8"/>
            <color rgb="FF000000"/>
            <rFont val="Tahoma"/>
            <family val="0"/>
          </rPr>
          <t xml:space="preserve">In process of finishing filling Narr.</t>
        </r>
      </text>
    </comment>
    <comment ref="AM37" authorId="0">
      <text>
        <r>
          <rPr>
            <b val="true"/>
            <sz val="8"/>
            <color rgb="FF000000"/>
            <rFont val="Tahoma"/>
            <family val="0"/>
          </rPr>
          <t xml:space="preserve">E. A. Birk:
</t>
        </r>
        <r>
          <rPr>
            <sz val="8"/>
            <color rgb="FF000000"/>
            <rFont val="Tahoma"/>
            <family val="0"/>
          </rPr>
          <t xml:space="preserve">Finished filling Narr.</t>
        </r>
      </text>
    </comment>
    <comment ref="AS14" authorId="0">
      <text>
        <r>
          <rPr>
            <b val="true"/>
            <sz val="8"/>
            <color rgb="FF000000"/>
            <rFont val="Tahoma"/>
            <family val="0"/>
          </rPr>
          <t xml:space="preserve">E. A. Birk:
</t>
        </r>
        <r>
          <rPr>
            <sz val="8"/>
            <color rgb="FF000000"/>
            <rFont val="Tahoma"/>
            <family val="0"/>
          </rPr>
          <t xml:space="preserve">This 41.8 cfs was leased to Farm &amp; Ranch so that MVIC could show their 795 cfs.</t>
        </r>
      </text>
    </comment>
  </commentList>
</comments>
</file>

<file path=xl/comments9.xml><?xml version="1.0" encoding="utf-8"?>
<comments xmlns="http://schemas.openxmlformats.org/spreadsheetml/2006/main" xmlns:xdr="http://schemas.openxmlformats.org/drawingml/2006/spreadsheetDrawing">
  <authors>
    <author> </author>
  </authors>
  <commentList>
    <comment ref="Z8" authorId="0">
      <text>
        <r>
          <rPr>
            <b val="true"/>
            <sz val="8"/>
            <color rgb="FF000000"/>
            <rFont val="Tahoma"/>
            <family val="0"/>
          </rPr>
          <t xml:space="preserve">EA BIRK:
</t>
        </r>
        <r>
          <rPr>
            <sz val="8"/>
            <color rgb="FF000000"/>
            <rFont val="Tahoma"/>
            <family val="0"/>
          </rPr>
          <t xml:space="preserve">This amount was adjusted monthly as real &amp; approved data was available</t>
        </r>
      </text>
    </comment>
    <comment ref="AO35" authorId="0">
      <text>
        <r>
          <rPr>
            <b val="true"/>
            <sz val="8"/>
            <color rgb="FF000000"/>
            <rFont val="Tahoma"/>
            <family val="0"/>
          </rPr>
          <t xml:space="preserve">EA BIRK:
</t>
        </r>
        <r>
          <rPr>
            <sz val="8"/>
            <color rgb="FF000000"/>
            <rFont val="Tahoma"/>
            <family val="0"/>
          </rPr>
          <t xml:space="preserve">Water that MVIC could've used from river flow if they would haven't took the water out of Narr staorage.</t>
        </r>
      </text>
    </comment>
    <comment ref="AO36" authorId="0">
      <text>
        <r>
          <rPr>
            <b val="true"/>
            <sz val="8"/>
            <color rgb="FF000000"/>
            <rFont val="Tahoma"/>
            <family val="0"/>
          </rPr>
          <t xml:space="preserve">EA BIRK:
</t>
        </r>
        <r>
          <rPr>
            <sz val="8"/>
            <color rgb="FF000000"/>
            <rFont val="Tahoma"/>
            <family val="0"/>
          </rPr>
          <t xml:space="preserve">Water that MVIC could.ve used from river flow if they would haven't took water out o Narr. storage. </t>
        </r>
      </text>
    </comment>
    <comment ref="AO37" authorId="0">
      <text>
        <r>
          <rPr>
            <b val="true"/>
            <sz val="8"/>
            <color rgb="FF000000"/>
            <rFont val="Tahoma"/>
            <family val="0"/>
          </rPr>
          <t xml:space="preserve">EA BIRK:
</t>
        </r>
        <r>
          <rPr>
            <sz val="8"/>
            <color rgb="FF000000"/>
            <rFont val="Tahoma"/>
            <family val="0"/>
          </rPr>
          <t xml:space="preserve">Water that MVIC could've used from river flow if they would haven't took water out of Narr. storage.</t>
        </r>
      </text>
    </comment>
    <comment ref="AO38" authorId="0">
      <text>
        <r>
          <rPr>
            <b val="true"/>
            <sz val="8"/>
            <color rgb="FF000000"/>
            <rFont val="Tahoma"/>
            <family val="0"/>
          </rPr>
          <t xml:space="preserve">EA BIRK:
</t>
        </r>
        <r>
          <rPr>
            <sz val="8"/>
            <color rgb="FF000000"/>
            <rFont val="Tahoma"/>
            <family val="0"/>
          </rPr>
          <t xml:space="preserve">Water that MVIC could've used out of river flow if they would haven't took water out of Narr. storage.</t>
        </r>
      </text>
    </comment>
    <comment ref="AO39" authorId="0">
      <text>
        <r>
          <rPr>
            <b val="true"/>
            <sz val="8"/>
            <color rgb="FF000000"/>
            <rFont val="Tahoma"/>
            <family val="0"/>
          </rPr>
          <t xml:space="preserve">EA BIRK:
</t>
        </r>
        <r>
          <rPr>
            <sz val="8"/>
            <color rgb="FF000000"/>
            <rFont val="Tahoma"/>
            <family val="0"/>
          </rPr>
          <t xml:space="preserve">Water that MVIC could've used out of river flow if they would haven't took water out of Narr. storage.</t>
        </r>
      </text>
    </comment>
    <comment ref="AO40" authorId="0">
      <text>
        <r>
          <rPr>
            <b val="true"/>
            <sz val="8"/>
            <color rgb="FF000000"/>
            <rFont val="Tahoma"/>
            <family val="0"/>
          </rPr>
          <t xml:space="preserve">EA BIRK:
</t>
        </r>
        <r>
          <rPr>
            <sz val="8"/>
            <color rgb="FF000000"/>
            <rFont val="Tahoma"/>
            <family val="0"/>
          </rPr>
          <t xml:space="preserve">Water that MVIC could've used out of river flow if they would haven't took water out of Narr. storage. The inflow is below MVIC use so that we are taking the excess use out of this water.</t>
        </r>
      </text>
    </comment>
    <comment ref="AO41" authorId="0">
      <text>
        <r>
          <rPr>
            <b val="true"/>
            <sz val="8"/>
            <color rgb="FF000000"/>
            <rFont val="Tahoma"/>
            <family val="0"/>
          </rPr>
          <t xml:space="preserve">EA BIRK:
</t>
        </r>
        <r>
          <rPr>
            <sz val="8"/>
            <color rgb="FF000000"/>
            <rFont val="Tahoma"/>
            <family val="0"/>
          </rPr>
          <t xml:space="preserve">Water that MVIC could've used out of river flow if they would haven't took water out of Narr. storage. The inflow is below MVIC use so that we aretaking the excess use out of this water.</t>
        </r>
      </text>
    </comment>
    <comment ref="AO42" authorId="0">
      <text>
        <r>
          <rPr>
            <b val="true"/>
            <sz val="8"/>
            <color rgb="FF000000"/>
            <rFont val="Tahoma"/>
            <family val="0"/>
          </rPr>
          <t xml:space="preserve">EA BIRK:
</t>
        </r>
        <r>
          <rPr>
            <sz val="8"/>
            <color rgb="FF000000"/>
            <rFont val="Tahoma"/>
            <family val="0"/>
          </rPr>
          <t xml:space="preserve">Water that MVIC could've used out of river flow if they would haven't took water out of Narr. storage. The inflow is below MVIC use so that we aretaking the excess use out of this water.</t>
        </r>
      </text>
    </comment>
  </commentList>
</comments>
</file>

<file path=xl/comments10.xml><?xml version="1.0" encoding="utf-8"?>
<comments xmlns="http://schemas.openxmlformats.org/spreadsheetml/2006/main" xmlns:xdr="http://schemas.openxmlformats.org/drawingml/2006/spreadsheetDrawing">
  <authors>
    <author> </author>
  </authors>
  <commentList>
    <comment ref="AO20" authorId="0">
      <text>
        <r>
          <rPr>
            <b val="true"/>
            <sz val="8"/>
            <color rgb="FF000000"/>
            <rFont val="Tahoma"/>
            <family val="0"/>
          </rPr>
          <t xml:space="preserve">EA BIRK:
</t>
        </r>
        <r>
          <rPr>
            <sz val="8"/>
            <color rgb="FF000000"/>
            <rFont val="Tahoma"/>
            <family val="0"/>
          </rPr>
          <t xml:space="preserve">Water that MVIC could've used from river flow if they would haven't took the water out of Narr staorage.</t>
        </r>
      </text>
    </comment>
    <comment ref="AO21" authorId="0">
      <text>
        <r>
          <rPr>
            <b val="true"/>
            <sz val="8"/>
            <color rgb="FF000000"/>
            <rFont val="Tahoma"/>
            <family val="0"/>
          </rPr>
          <t xml:space="preserve">EA BIRK:
</t>
        </r>
        <r>
          <rPr>
            <sz val="8"/>
            <color rgb="FF000000"/>
            <rFont val="Tahoma"/>
            <family val="0"/>
          </rPr>
          <t xml:space="preserve">Water that MVIC could've used from river flow if they would haven't took the water out of Narr staorage.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O23" authorId="0">
      <text>
        <r>
          <rPr>
            <b val="true"/>
            <sz val="8"/>
            <color rgb="FF000000"/>
            <rFont val="Tahoma"/>
            <family val="0"/>
          </rPr>
          <t xml:space="preserve">EA BIRK:
</t>
        </r>
        <r>
          <rPr>
            <sz val="8"/>
            <color rgb="FF000000"/>
            <rFont val="Tahoma"/>
            <family val="0"/>
          </rPr>
          <t xml:space="preserve">Farm &amp; ranch used all of their allocated water up and started leasing from 
MVIC-50.87 cfs on this date.</t>
        </r>
      </text>
    </comment>
    <comment ref="AO12" authorId="0">
      <text>
        <r>
          <rPr>
            <b val="true"/>
            <sz val="8"/>
            <color rgb="FF000000"/>
            <rFont val="Tahoma"/>
            <family val="0"/>
          </rPr>
          <t xml:space="preserve">EA BIRK:
</t>
        </r>
        <r>
          <rPr>
            <sz val="8"/>
            <color rgb="FF000000"/>
            <rFont val="Tahoma"/>
            <family val="0"/>
          </rPr>
          <t xml:space="preserve">Water that MVIC could've used from rhe river if they would haven't took the water from Narr.
</t>
        </r>
      </text>
    </comment>
  </commentList>
</comments>
</file>

<file path=xl/comments12.xml><?xml version="1.0" encoding="utf-8"?>
<comments xmlns="http://schemas.openxmlformats.org/spreadsheetml/2006/main" xmlns:xdr="http://schemas.openxmlformats.org/drawingml/2006/spreadsheetDrawing">
  <authors>
    <author> </author>
  </authors>
  <commentList>
    <comment ref="G25" authorId="0">
      <text>
        <r>
          <rPr>
            <b val="true"/>
            <sz val="8"/>
            <color rgb="FF000000"/>
            <rFont val="Tahoma"/>
            <family val="0"/>
          </rPr>
          <t xml:space="preserve">EA BIRK:
</t>
        </r>
        <r>
          <rPr>
            <sz val="8"/>
            <color rgb="FF000000"/>
            <rFont val="Tahoma"/>
            <family val="0"/>
          </rPr>
          <t xml:space="preserve">MVIC shut off flow out of Groundhog Res. @ 9:00 AM</t>
        </r>
      </text>
    </comment>
  </commentList>
</comments>
</file>

<file path=xl/sharedStrings.xml><?xml version="1.0" encoding="utf-8"?>
<sst xmlns="http://schemas.openxmlformats.org/spreadsheetml/2006/main" count="1337" uniqueCount="130">
  <si>
    <t xml:space="preserve">MCPHEE  RESERVOIR  INFLOW/OUTFLOW  TABULATION</t>
  </si>
  <si>
    <t xml:space="preserve">AF/cfs  CONVERT FACTOR</t>
  </si>
  <si>
    <t xml:space="preserve">                     NOVEMBER  "2007"</t>
  </si>
  <si>
    <t xml:space="preserve">RESERVOIR</t>
  </si>
  <si>
    <t xml:space="preserve">INFLOW/OUTFLOW (CFS)</t>
  </si>
  <si>
    <t xml:space="preserve">WEATHER</t>
  </si>
  <si>
    <t xml:space="preserve">ADJUSTMENTS</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</si>
  <si>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</si>
  <si>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</si>
  <si>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</si>
  <si>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</si>
  <si>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</si>
  <si>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</si>
  <si>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</si>
  <si>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</si>
  <si>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</si>
  <si>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</si>
  <si>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</si>
  <si>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</si>
  <si>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</si>
  <si>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</si>
  <si>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</si>
  <si>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</si>
  <si>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</si>
  <si>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</si>
  <si>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</si>
  <si>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</si>
  <si>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RAIN</t>
  </si>
  <si>
    <t xml:space="preserve">MAX</t>
  </si>
  <si>
    <t xml:space="preserve">MIN</t>
  </si>
  <si>
    <t xml:space="preserve">NAR.</t>
  </si>
  <si>
    <t xml:space="preserve">U/S</t>
  </si>
  <si>
    <t xml:space="preserve">TOTTEN</t>
  </si>
  <si>
    <t xml:space="preserve">UTES</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</si>
  <si>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</si>
  <si>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</si>
  <si>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</si>
  <si>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</si>
  <si>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</si>
  <si>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</si>
  <si>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</si>
  <si>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</si>
  <si>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</si>
  <si>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</si>
  <si>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</si>
  <si>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</si>
  <si>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</si>
  <si>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</si>
  <si>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CTZ</t>
  </si>
  <si>
    <t xml:space="preserve">CTZ &amp;</t>
  </si>
  <si>
    <t xml:space="preserve">F-BAY</t>
  </si>
  <si>
    <t xml:space="preserve">PINE</t>
  </si>
  <si>
    <t xml:space="preserve">LAT</t>
  </si>
  <si>
    <t xml:space="preserve">CALL  </t>
  </si>
  <si>
    <t xml:space="preserve">U/S EX</t>
  </si>
  <si>
    <t xml:space="preserve">PROJ</t>
  </si>
  <si>
    <t xml:space="preserve">CANAL</t>
  </si>
  <si>
    <t xml:space="preserve">MVIC</t>
  </si>
  <si>
    <t xml:space="preserve">MCP</t>
  </si>
  <si>
    <t xml:space="preserve">LEFT</t>
  </si>
  <si>
    <t xml:space="preserve">OTF</t>
  </si>
  <si>
    <t xml:space="preserve">TMP</t>
  </si>
  <si>
    <t xml:space="preserve">CALL</t>
  </si>
  <si>
    <t xml:space="preserve">STOCK</t>
  </si>
  <si>
    <t xml:space="preserve">STORED</t>
  </si>
  <si>
    <t xml:space="preserve">USERS</t>
  </si>
  <si>
    <t xml:space="preserve">(FRESH</t>
  </si>
  <si>
    <t xml:space="preserve">FROM</t>
  </si>
  <si>
    <t xml:space="preserve">AC FT</t>
  </si>
  <si>
    <t xml:space="preserve">LAND</t>
  </si>
  <si>
    <t xml:space="preserve">F&amp;R</t>
  </si>
  <si>
    <t xml:space="preserve">AC.FT.</t>
  </si>
  <si>
    <t xml:space="preserve">Apr-Jun</t>
  </si>
  <si>
    <t xml:space="preserve">EVAP </t>
  </si>
  <si>
    <t xml:space="preserve">EXCH</t>
  </si>
  <si>
    <t xml:space="preserve">WATER)</t>
  </si>
  <si>
    <t xml:space="preserve">AC.FT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</si>
  <si>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</si>
  <si>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</si>
  <si>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</si>
  <si>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</si>
  <si>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</si>
  <si>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</si>
  <si>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</si>
  <si>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</si>
  <si>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</si>
  <si>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</si>
  <si>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</si>
  <si>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"2007"</t>
  </si>
  <si>
    <t xml:space="preserve"> D/S SENIOR</t>
  </si>
  <si>
    <t xml:space="preserve">NAR</t>
  </si>
  <si>
    <t xml:space="preserve">MVI </t>
  </si>
  <si>
    <t xml:space="preserve">DEC</t>
  </si>
  <si>
    <t xml:space="preserve">UTE </t>
  </si>
  <si>
    <t xml:space="preserve">CALL </t>
  </si>
  <si>
    <t xml:space="preserve">EVAP</t>
  </si>
  <si>
    <t xml:space="preserve"> </t>
  </si>
  <si>
    <t xml:space="preserve">JANUARY  "2008"</t>
  </si>
  <si>
    <t xml:space="preserve">       D/S SENIOR</t>
  </si>
  <si>
    <t xml:space="preserve">JAN</t>
  </si>
  <si>
    <t xml:space="preserve">PROJ </t>
  </si>
  <si>
    <t xml:space="preserve">AVE</t>
  </si>
  <si>
    <t xml:space="preserve">FEBRUARY  "2008"</t>
  </si>
  <si>
    <t xml:space="preserve">FEB</t>
  </si>
  <si>
    <t xml:space="preserve">MARCH  "2008"</t>
  </si>
  <si>
    <t xml:space="preserve">MAR</t>
  </si>
  <si>
    <t xml:space="preserve">MCPHEE  RESERVOIR  INFLOW/OUTFLOW TABULATION</t>
  </si>
  <si>
    <t xml:space="preserve">                               APRIL "2008"</t>
  </si>
  <si>
    <t xml:space="preserve">APR</t>
  </si>
  <si>
    <t xml:space="preserve">Apr - Jun</t>
  </si>
  <si>
    <t xml:space="preserve">AVG</t>
  </si>
  <si>
    <t xml:space="preserve">MAY  "2008"</t>
  </si>
  <si>
    <t xml:space="preserve">FISH </t>
  </si>
  <si>
    <t xml:space="preserve">MAY</t>
  </si>
  <si>
    <t xml:space="preserve">                                    JUNE  "2008"</t>
  </si>
  <si>
    <t xml:space="preserve">JUN</t>
  </si>
  <si>
    <t xml:space="preserve">July-Oct</t>
  </si>
  <si>
    <t xml:space="preserve">JULY  "2008"</t>
  </si>
  <si>
    <t xml:space="preserve">JUL</t>
  </si>
  <si>
    <t xml:space="preserve">F&amp;W</t>
  </si>
  <si>
    <t xml:space="preserve">(FRESH </t>
  </si>
  <si>
    <t xml:space="preserve">AUGUST  "2008"</t>
  </si>
  <si>
    <t xml:space="preserve">AUG</t>
  </si>
  <si>
    <t xml:space="preserve">SEPTEMBER  "2008"</t>
  </si>
  <si>
    <t xml:space="preserve">D/S SENIOR </t>
  </si>
  <si>
    <t xml:space="preserve">"SEP"</t>
  </si>
  <si>
    <t xml:space="preserve">c</t>
  </si>
  <si>
    <t xml:space="preserve">OCTOBER  "2008"</t>
  </si>
  <si>
    <t xml:space="preserve">PRECIP</t>
  </si>
  <si>
    <t xml:space="preserve">OCT</t>
  </si>
</sst>
</file>

<file path=xl/styles.xml><?xml version="1.0" encoding="utf-8"?>
<styleSheet xmlns="http://schemas.openxmlformats.org/spreadsheetml/2006/main">
  <numFmts count="19">
    <numFmt numFmtId="164" formatCode="General"/>
    <numFmt numFmtId="165" formatCode="#,##0"/>
    <numFmt numFmtId="166" formatCode="0.00"/>
    <numFmt numFmtId="167" formatCode="0.0"/>
    <numFmt numFmtId="168" formatCode="0.00_);\(0.00\)"/>
    <numFmt numFmtId="169" formatCode="0"/>
    <numFmt numFmtId="170" formatCode="#,##0.0"/>
    <numFmt numFmtId="171" formatCode="0.0000"/>
    <numFmt numFmtId="172" formatCode="0.000"/>
    <numFmt numFmtId="173" formatCode="#,##0.00"/>
    <numFmt numFmtId="174" formatCode="[$-409]d\-mmm"/>
    <numFmt numFmtId="175" formatCode="##0.0"/>
    <numFmt numFmtId="176" formatCode="0%"/>
    <numFmt numFmtId="177" formatCode="0.0_);\(0.0\)"/>
    <numFmt numFmtId="178" formatCode="0_);\(0\)"/>
    <numFmt numFmtId="179" formatCode="[$-409]mmm\-yy"/>
    <numFmt numFmtId="180" formatCode="#,##0.0000"/>
    <numFmt numFmtId="181" formatCode="0.00_);[RED]\(0.00\)"/>
    <numFmt numFmtId="182" formatCode="0_);[RED]\(0\)"/>
  </numFmts>
  <fonts count="31">
    <font>
      <sz val="8"/>
      <name val="LinePrinter"/>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800080"/>
      <name val="Calibri"/>
      <family val="2"/>
    </font>
    <font>
      <b val="true"/>
      <sz val="11"/>
      <color rgb="FFFF0000"/>
      <name val="Calibri"/>
      <family val="2"/>
    </font>
    <font>
      <b val="true"/>
      <sz val="11"/>
      <color rgb="FFFFFFFF"/>
      <name val="Calibri"/>
      <family val="2"/>
    </font>
    <font>
      <i val="true"/>
      <sz val="11"/>
      <color rgb="FF808080"/>
      <name val="Calibri"/>
      <family val="2"/>
    </font>
    <font>
      <sz val="11"/>
      <color rgb="FF008000"/>
      <name val="Calibri"/>
      <family val="2"/>
    </font>
    <font>
      <b val="true"/>
      <sz val="15"/>
      <color rgb="FF333399"/>
      <name val="Calibri"/>
      <family val="2"/>
    </font>
    <font>
      <b val="true"/>
      <sz val="13"/>
      <color rgb="FF333399"/>
      <name val="Calibri"/>
      <family val="2"/>
    </font>
    <font>
      <b val="true"/>
      <sz val="11"/>
      <color rgb="FF333399"/>
      <name val="Calibri"/>
      <family val="2"/>
    </font>
    <font>
      <sz val="11"/>
      <color rgb="FF333399"/>
      <name val="Calibri"/>
      <family val="2"/>
    </font>
    <font>
      <sz val="11"/>
      <color rgb="FFFF0000"/>
      <name val="Calibri"/>
      <family val="2"/>
    </font>
    <font>
      <sz val="11"/>
      <color rgb="FF808000"/>
      <name val="Calibri"/>
      <family val="2"/>
    </font>
    <font>
      <b val="true"/>
      <sz val="11"/>
      <color rgb="FF424242"/>
      <name val="Calibri"/>
      <family val="2"/>
    </font>
    <font>
      <b val="true"/>
      <sz val="18"/>
      <color rgb="FF333399"/>
      <name val="Cambria"/>
      <family val="2"/>
    </font>
    <font>
      <b val="true"/>
      <sz val="11"/>
      <color rgb="FF000000"/>
      <name val="Calibri"/>
      <family val="2"/>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b val="true"/>
      <sz val="9"/>
      <name val="Arial Narrow"/>
      <family val="2"/>
    </font>
    <font>
      <b val="true"/>
      <sz val="8"/>
      <color rgb="FF000000"/>
      <name val="Tahoma"/>
      <family val="0"/>
    </font>
    <font>
      <sz val="8"/>
      <color rgb="FF000000"/>
      <name val="Tahoma"/>
      <family val="0"/>
    </font>
    <font>
      <sz val="8"/>
      <color rgb="FF000000"/>
      <name val="LinePrinter"/>
      <family val="0"/>
    </font>
    <font>
      <b val="true"/>
      <sz val="12"/>
      <name val="Arial Narrow"/>
      <family val="2"/>
    </font>
    <font>
      <sz val="4"/>
      <color rgb="FF000000"/>
      <name val="LinePrinter"/>
      <family val="0"/>
    </font>
  </fonts>
  <fills count="20">
    <fill>
      <patternFill patternType="none"/>
    </fill>
    <fill>
      <patternFill patternType="gray125"/>
    </fill>
    <fill>
      <patternFill patternType="solid">
        <fgColor rgb="FFA6CAF0"/>
        <bgColor rgb="FFA0E0E0"/>
      </patternFill>
    </fill>
    <fill>
      <patternFill patternType="solid">
        <fgColor rgb="FFFF8080"/>
        <bgColor rgb="FFCC9CCC"/>
      </patternFill>
    </fill>
    <fill>
      <patternFill patternType="solid">
        <fgColor rgb="FFFFFFC0"/>
        <bgColor rgb="FFFFFF99"/>
      </patternFill>
    </fill>
    <fill>
      <patternFill patternType="solid">
        <fgColor rgb="FFE3E3E3"/>
        <bgColor rgb="FFEEEEEC"/>
      </patternFill>
    </fill>
    <fill>
      <patternFill patternType="solid">
        <fgColor rgb="FFA0E0E0"/>
        <bgColor rgb="FFA6CAF0"/>
      </patternFill>
    </fill>
    <fill>
      <patternFill patternType="solid">
        <fgColor rgb="FFFFFF99"/>
        <bgColor rgb="FFFFFFC0"/>
      </patternFill>
    </fill>
    <fill>
      <patternFill patternType="solid">
        <fgColor rgb="FFCC9CCC"/>
        <bgColor rgb="FFCC99FF"/>
      </patternFill>
    </fill>
    <fill>
      <patternFill patternType="solid">
        <fgColor rgb="FF996666"/>
        <bgColor rgb="FF808080"/>
      </patternFill>
    </fill>
    <fill>
      <patternFill patternType="solid">
        <fgColor rgb="FF999933"/>
        <bgColor rgb="FF808000"/>
      </patternFill>
    </fill>
    <fill>
      <patternFill patternType="solid">
        <fgColor rgb="FF3333CC"/>
        <bgColor rgb="FF333399"/>
      </patternFill>
    </fill>
    <fill>
      <patternFill patternType="solid">
        <fgColor rgb="FF666699"/>
        <bgColor rgb="FF808080"/>
      </patternFill>
    </fill>
    <fill>
      <patternFill patternType="solid">
        <fgColor rgb="FF33CCCC"/>
        <bgColor rgb="FF00CCFF"/>
      </patternFill>
    </fill>
    <fill>
      <patternFill patternType="solid">
        <fgColor rgb="FFFF0000"/>
        <bgColor rgb="FF993300"/>
      </patternFill>
    </fill>
    <fill>
      <patternFill patternType="solid">
        <fgColor rgb="FFCC99FF"/>
        <bgColor rgb="FFCC9CCC"/>
      </patternFill>
    </fill>
    <fill>
      <patternFill patternType="solid">
        <fgColor rgb="FFFFFFFF"/>
        <bgColor rgb="FFEEEEEC"/>
      </patternFill>
    </fill>
    <fill>
      <patternFill patternType="solid">
        <fgColor rgb="FF969696"/>
        <bgColor rgb="FF808080"/>
      </patternFill>
    </fill>
    <fill>
      <patternFill patternType="solid">
        <fgColor rgb="FF464648"/>
        <bgColor rgb="FF424242"/>
      </patternFill>
    </fill>
    <fill>
      <patternFill patternType="solid">
        <fgColor rgb="FFCCFFCC"/>
        <bgColor rgb="FFEEEEEC"/>
      </patternFill>
    </fill>
  </fills>
  <borders count="3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424242"/>
      </left>
      <right style="double">
        <color rgb="FF424242"/>
      </right>
      <top style="double">
        <color rgb="FF424242"/>
      </top>
      <bottom style="double">
        <color rgb="FF424242"/>
      </bottom>
      <diagonal/>
    </border>
    <border diagonalUp="false" diagonalDown="false">
      <left/>
      <right/>
      <top/>
      <bottom style="thick">
        <color rgb="FF3333CC"/>
      </bottom>
      <diagonal/>
    </border>
    <border diagonalUp="false" diagonalDown="false">
      <left/>
      <right/>
      <top/>
      <bottom style="thick">
        <color rgb="FFA0E0E0"/>
      </bottom>
      <diagonal/>
    </border>
    <border diagonalUp="false" diagonalDown="false">
      <left/>
      <right/>
      <top/>
      <bottom style="medium">
        <color rgb="FFA0E0E0"/>
      </bottom>
      <diagonal/>
    </border>
    <border diagonalUp="false" diagonalDown="false">
      <left/>
      <right/>
      <top/>
      <bottom style="double">
        <color rgb="FFFF00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424242"/>
      </left>
      <right style="thin">
        <color rgb="FF424242"/>
      </right>
      <top style="thin">
        <color rgb="FF424242"/>
      </top>
      <bottom style="thin">
        <color rgb="FF424242"/>
      </bottom>
      <diagonal/>
    </border>
    <border diagonalUp="false" diagonalDown="false">
      <left/>
      <right/>
      <top style="thin">
        <color rgb="FF3333CC"/>
      </top>
      <bottom style="double">
        <color rgb="FF3333CC"/>
      </bottom>
      <diagonal/>
    </border>
    <border diagonalUp="false" diagonalDown="false">
      <left/>
      <right/>
      <top/>
      <bottom style="thick">
        <color rgb="FFEEEEEC"/>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top style="medium">
        <color rgb="FFEEEEEC"/>
      </top>
      <bottom/>
      <diagonal/>
    </border>
    <border diagonalUp="false" diagonalDown="false">
      <left/>
      <right style="medium">
        <color rgb="FFEEEEEC"/>
      </right>
      <top style="medium">
        <color rgb="FFEEEEEC"/>
      </top>
      <bottom/>
      <diagonal/>
    </border>
    <border diagonalUp="false" diagonalDown="false">
      <left style="medium">
        <color rgb="FFEEEEEC"/>
      </left>
      <right style="medium">
        <color rgb="FFEEEEEC"/>
      </right>
      <top style="medium">
        <color rgb="FFEEEEEC"/>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right style="medium">
        <color rgb="FFEEEEEC"/>
      </right>
      <top/>
      <bottom style="thin">
        <color rgb="FFEEEEEC"/>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style="thick">
        <color rgb="FFEEEEEC"/>
      </left>
      <right/>
      <top/>
      <bottom style="thin">
        <color rgb="FFEEEEEC"/>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top style="thin">
        <color rgb="FFEEEEEC"/>
      </top>
      <bottom/>
      <diagonal/>
    </border>
    <border diagonalUp="false" diagonalDown="false">
      <left/>
      <right/>
      <top style="hair">
        <color rgb="FFEEEEEC"/>
      </top>
      <bottom style="hair">
        <color rgb="FFEEEEEC"/>
      </bottom>
      <diagonal/>
    </border>
  </borders>
  <cellStyleXfs count="6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3"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4" borderId="0" applyFont="true" applyBorder="false" applyAlignment="false" applyProtection="false"/>
    <xf numFmtId="164" fontId="4" fillId="6" borderId="0" applyFont="true" applyBorder="false" applyAlignment="false" applyProtection="false"/>
    <xf numFmtId="164" fontId="4" fillId="3"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6" borderId="0" applyFont="true" applyBorder="false" applyAlignment="false" applyProtection="false"/>
    <xf numFmtId="164" fontId="4" fillId="4" borderId="0" applyFont="true" applyBorder="false" applyAlignment="false" applyProtection="false"/>
    <xf numFmtId="164" fontId="5" fillId="6"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8" borderId="0" applyFont="true" applyBorder="false" applyAlignment="false" applyProtection="false"/>
    <xf numFmtId="164" fontId="5" fillId="6" borderId="0" applyFont="true" applyBorder="false" applyAlignment="false" applyProtection="false"/>
    <xf numFmtId="164" fontId="5" fillId="3" borderId="0" applyFont="true" applyBorder="false" applyAlignment="false" applyProtection="false"/>
    <xf numFmtId="164" fontId="5" fillId="11"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12"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6" fillId="15" borderId="0" applyFont="true" applyBorder="false" applyAlignment="false" applyProtection="false"/>
    <xf numFmtId="164" fontId="7" fillId="16" borderId="1" applyFont="true" applyBorder="true" applyAlignment="false" applyProtection="false"/>
    <xf numFmtId="164" fontId="8" fillId="17" borderId="2" applyFont="true" applyBorder="true" applyAlignment="false" applyProtection="false"/>
    <xf numFmtId="164" fontId="9" fillId="0" borderId="0" applyFont="true" applyBorder="false" applyAlignment="false" applyProtection="false"/>
    <xf numFmtId="164" fontId="10" fillId="6" borderId="0" applyFont="true" applyBorder="false" applyAlignment="false" applyProtection="false"/>
    <xf numFmtId="164" fontId="11" fillId="0" borderId="3" applyFont="true" applyBorder="true" applyAlignment="false" applyProtection="false"/>
    <xf numFmtId="164" fontId="12" fillId="0" borderId="4" applyFont="true" applyBorder="true" applyAlignment="false" applyProtection="false"/>
    <xf numFmtId="164" fontId="13" fillId="0" borderId="5" applyFont="true" applyBorder="true" applyAlignment="false" applyProtection="false"/>
    <xf numFmtId="164" fontId="13" fillId="0" borderId="0" applyFont="true" applyBorder="false" applyAlignment="false" applyProtection="false"/>
    <xf numFmtId="164" fontId="14" fillId="7" borderId="1" applyFont="true" applyBorder="true" applyAlignment="false" applyProtection="false"/>
    <xf numFmtId="164" fontId="15" fillId="0" borderId="6" applyFont="true" applyBorder="true" applyAlignment="false" applyProtection="false"/>
    <xf numFmtId="164" fontId="16" fillId="7"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xf numFmtId="164" fontId="0" fillId="4" borderId="7" applyFont="true" applyBorder="true" applyAlignment="false" applyProtection="false"/>
    <xf numFmtId="164" fontId="17" fillId="16" borderId="8" applyFont="true" applyBorder="true" applyAlignment="false" applyProtection="false"/>
    <xf numFmtId="164" fontId="18" fillId="0" borderId="0" applyFont="true" applyBorder="false" applyAlignment="false" applyProtection="false"/>
    <xf numFmtId="164" fontId="19" fillId="0" borderId="9" applyFont="true" applyBorder="true" applyAlignment="false" applyProtection="false"/>
    <xf numFmtId="164" fontId="15" fillId="0" borderId="0" applyFont="true" applyBorder="false" applyAlignment="false" applyProtection="false"/>
  </cellStyleXfs>
  <cellXfs count="527">
    <xf numFmtId="164" fontId="0" fillId="0"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true" applyProtection="false">
      <alignment horizontal="center" vertical="bottom" textRotation="0" wrapText="false" indent="0"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0" fillId="0" borderId="0" xfId="56" applyFont="true" applyBorder="tru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70" fontId="20" fillId="0" borderId="10" xfId="0" applyFont="true" applyBorder="true" applyAlignment="false" applyProtection="false">
      <alignment horizontal="general" vertical="bottom" textRotation="0" wrapText="false" indent="0" shrinkToFit="false"/>
      <protection locked="true" hidden="false"/>
    </xf>
    <xf numFmtId="165" fontId="20" fillId="0" borderId="10" xfId="0" applyFont="true" applyBorder="true" applyAlignment="false" applyProtection="false">
      <alignment horizontal="general" vertical="bottom" textRotation="0" wrapText="false" indent="0" shrinkToFit="false"/>
      <protection locked="true" hidden="false"/>
    </xf>
    <xf numFmtId="172" fontId="20" fillId="0" borderId="10" xfId="0" applyFont="true" applyBorder="true" applyAlignment="false" applyProtection="false">
      <alignment horizontal="general" vertical="bottom" textRotation="0" wrapText="false" indent="0" shrinkToFit="false"/>
      <protection locked="true" hidden="false"/>
    </xf>
    <xf numFmtId="166" fontId="20" fillId="0" borderId="10" xfId="0" applyFont="true" applyBorder="true" applyAlignment="false" applyProtection="false">
      <alignment horizontal="general" vertical="bottom" textRotation="0" wrapText="false" indent="0" shrinkToFit="false"/>
      <protection locked="true" hidden="false"/>
    </xf>
    <xf numFmtId="166" fontId="20" fillId="0" borderId="10" xfId="0" applyFont="true" applyBorder="true" applyAlignment="true" applyProtection="false">
      <alignment horizontal="center" vertical="bottom" textRotation="0" wrapText="false" indent="0" shrinkToFit="false"/>
      <protection locked="true" hidden="false"/>
    </xf>
    <xf numFmtId="168" fontId="20" fillId="0" borderId="10" xfId="0" applyFont="true" applyBorder="true" applyAlignment="false" applyProtection="false">
      <alignment horizontal="general" vertical="bottom" textRotation="0" wrapText="false" indent="0" shrinkToFit="false"/>
      <protection locked="true" hidden="false"/>
    </xf>
    <xf numFmtId="169" fontId="20" fillId="0" borderId="10" xfId="0" applyFont="true" applyBorder="true" applyAlignment="false" applyProtection="false">
      <alignment horizontal="general" vertical="bottom" textRotation="0" wrapText="false" indent="0" shrinkToFit="false"/>
      <protection locked="true" hidden="false"/>
    </xf>
    <xf numFmtId="169" fontId="20" fillId="0" borderId="10" xfId="0" applyFont="true" applyBorder="true" applyAlignment="true" applyProtection="false">
      <alignment horizontal="center" vertical="bottom" textRotation="0" wrapText="false" indent="0" shrinkToFit="false"/>
      <protection locked="true" hidden="false"/>
    </xf>
    <xf numFmtId="167" fontId="20" fillId="0" borderId="10" xfId="0" applyFont="true" applyBorder="true" applyAlignment="false" applyProtection="false">
      <alignment horizontal="general" vertical="bottom" textRotation="0" wrapText="false" indent="0" shrinkToFit="false"/>
      <protection locked="true" hidden="false"/>
    </xf>
    <xf numFmtId="164" fontId="20" fillId="0" borderId="10" xfId="0" applyFont="true" applyBorder="true" applyAlignment="false" applyProtection="false">
      <alignment horizontal="general" vertical="bottom" textRotation="0" wrapText="false" indent="0" shrinkToFit="false"/>
      <protection locked="true" hidden="false"/>
    </xf>
    <xf numFmtId="164" fontId="20" fillId="0" borderId="1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70" fontId="20" fillId="0" borderId="11" xfId="0" applyFont="true" applyBorder="true" applyAlignment="false" applyProtection="false">
      <alignment horizontal="general" vertical="bottom" textRotation="0" wrapText="false" indent="0" shrinkToFit="false"/>
      <protection locked="true" hidden="false"/>
    </xf>
    <xf numFmtId="165" fontId="20" fillId="0" borderId="12" xfId="0" applyFont="true" applyBorder="true" applyAlignment="false" applyProtection="false">
      <alignment horizontal="general" vertical="bottom" textRotation="0" wrapText="false" indent="0" shrinkToFit="false"/>
      <protection locked="true" hidden="false"/>
    </xf>
    <xf numFmtId="172" fontId="23" fillId="0" borderId="12" xfId="0" applyFont="true" applyBorder="true" applyAlignment="false" applyProtection="false">
      <alignment horizontal="general" vertical="bottom" textRotation="0" wrapText="false" indent="0" shrinkToFit="false"/>
      <protection locked="true" hidden="false"/>
    </xf>
    <xf numFmtId="170" fontId="20" fillId="0" borderId="13"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center" vertical="bottom" textRotation="0" wrapText="false" indent="0" shrinkToFit="false"/>
      <protection locked="true" hidden="false"/>
    </xf>
    <xf numFmtId="168" fontId="20" fillId="0" borderId="11" xfId="0" applyFont="true" applyBorder="true" applyAlignment="false" applyProtection="false">
      <alignment horizontal="general" vertical="bottom" textRotation="0" wrapText="false" indent="0" shrinkToFit="false"/>
      <protection locked="true" hidden="false"/>
    </xf>
    <xf numFmtId="169" fontId="23" fillId="0" borderId="12" xfId="0" applyFont="true" applyBorder="true" applyAlignment="true" applyProtection="false">
      <alignment horizontal="center" vertical="bottom" textRotation="0" wrapText="false" indent="0" shrinkToFit="false"/>
      <protection locked="true" hidden="false"/>
    </xf>
    <xf numFmtId="169" fontId="20" fillId="0" borderId="13"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20" fillId="0" borderId="12" xfId="0" applyFont="true" applyBorder="true" applyAlignment="false" applyProtection="false">
      <alignment horizontal="general" vertical="bottom" textRotation="0" wrapText="false" indent="0" shrinkToFit="false"/>
      <protection locked="true" hidden="false"/>
    </xf>
    <xf numFmtId="164" fontId="20" fillId="0" borderId="12" xfId="56" applyFont="true" applyBorder="true" applyAlignment="false" applyProtection="false">
      <alignment horizontal="general" vertical="bottom" textRotation="0" wrapText="false" indent="0" shrinkToFit="false"/>
      <protection locked="true" hidden="false"/>
    </xf>
    <xf numFmtId="170" fontId="22" fillId="0" borderId="0" xfId="0" applyFont="true" applyBorder="false" applyAlignment="true" applyProtection="false">
      <alignment horizontal="center" vertical="bottom" textRotation="0" wrapText="false" indent="0" shrinkToFit="false"/>
      <protection locked="true" hidden="false"/>
    </xf>
    <xf numFmtId="170" fontId="22" fillId="0" borderId="14" xfId="0" applyFont="true" applyBorder="true" applyAlignment="true" applyProtection="false">
      <alignment horizontal="center" vertical="bottom" textRotation="0" wrapText="false" indent="0" shrinkToFit="false"/>
      <protection locked="true" hidden="false"/>
    </xf>
    <xf numFmtId="165" fontId="22" fillId="0" borderId="0" xfId="0" applyFont="true" applyBorder="true" applyAlignment="true" applyProtection="false">
      <alignment horizontal="center" vertical="bottom" textRotation="0" wrapText="false" indent="0" shrinkToFit="false"/>
      <protection locked="true" hidden="false"/>
    </xf>
    <xf numFmtId="170" fontId="22" fillId="0" borderId="0" xfId="0" applyFont="true" applyBorder="true" applyAlignment="true" applyProtection="false">
      <alignment horizontal="center" vertical="bottom" textRotation="0" wrapText="false" indent="0" shrinkToFit="false"/>
      <protection locked="true" hidden="false"/>
    </xf>
    <xf numFmtId="170" fontId="22" fillId="0" borderId="15" xfId="0" applyFont="true" applyBorder="true" applyAlignment="true" applyProtection="false">
      <alignment horizontal="center" vertical="bottom" textRotation="0" wrapText="false" indent="0" shrinkToFit="false"/>
      <protection locked="true" hidden="false"/>
    </xf>
    <xf numFmtId="166" fontId="22" fillId="0" borderId="0" xfId="0" applyFont="true" applyBorder="false" applyAlignment="true" applyProtection="false">
      <alignment horizontal="center" vertical="bottom" textRotation="0" wrapText="false" indent="0" shrinkToFit="false"/>
      <protection locked="true" hidden="false"/>
    </xf>
    <xf numFmtId="170" fontId="24" fillId="0" borderId="16" xfId="0" applyFont="true" applyBorder="true" applyAlignment="true" applyProtection="false">
      <alignment horizontal="center" vertical="bottom" textRotation="0" wrapText="false" indent="0" shrinkToFit="false"/>
      <protection locked="true" hidden="false"/>
    </xf>
    <xf numFmtId="166" fontId="22" fillId="0" borderId="17" xfId="0" applyFont="true" applyBorder="true" applyAlignment="true" applyProtection="false">
      <alignment horizontal="center" vertical="bottom" textRotation="0" wrapText="false" indent="0" shrinkToFit="false"/>
      <protection locked="true" hidden="false"/>
    </xf>
    <xf numFmtId="165" fontId="22" fillId="0" borderId="0" xfId="0" applyFont="true" applyBorder="false" applyAlignment="true" applyProtection="false">
      <alignment horizontal="center" vertical="bottom" textRotation="0" wrapText="false" indent="0" shrinkToFit="false"/>
      <protection locked="true" hidden="false"/>
    </xf>
    <xf numFmtId="170" fontId="24" fillId="0" borderId="18" xfId="0" applyFont="true" applyBorder="true" applyAlignment="true" applyProtection="false">
      <alignment horizontal="left" vertical="bottom" textRotation="0" wrapText="false" indent="0" shrinkToFit="false"/>
      <protection locked="true" hidden="false"/>
    </xf>
    <xf numFmtId="170" fontId="24" fillId="0" borderId="18" xfId="0" applyFont="true" applyBorder="true" applyAlignment="true" applyProtection="false">
      <alignment horizontal="right" vertical="bottom" textRotation="0" wrapText="false" indent="0" shrinkToFit="false"/>
      <protection locked="true" hidden="false"/>
    </xf>
    <xf numFmtId="168" fontId="22" fillId="0" borderId="14" xfId="0" applyFont="true" applyBorder="true" applyAlignment="true" applyProtection="false">
      <alignment horizontal="center" vertical="bottom" textRotation="0" wrapText="false" indent="0" shrinkToFit="false"/>
      <protection locked="true" hidden="false"/>
    </xf>
    <xf numFmtId="169" fontId="22" fillId="0" borderId="0" xfId="0" applyFont="true" applyBorder="true" applyAlignment="true" applyProtection="false">
      <alignment horizontal="center" vertical="bottom" textRotation="0" wrapText="false" indent="0" shrinkToFit="false"/>
      <protection locked="true" hidden="false"/>
    </xf>
    <xf numFmtId="169" fontId="22" fillId="0" borderId="15" xfId="0" applyFont="true" applyBorder="true" applyAlignment="true" applyProtection="false">
      <alignment horizontal="center" vertical="bottom" textRotation="0" wrapText="false" indent="0" shrinkToFit="false"/>
      <protection locked="true" hidden="false"/>
    </xf>
    <xf numFmtId="167" fontId="22" fillId="0" borderId="0" xfId="0" applyFont="true" applyBorder="false" applyAlignment="true" applyProtection="false">
      <alignment horizontal="center" vertical="bottom" textRotation="0" wrapText="false" indent="0" shrinkToFit="false"/>
      <protection locked="true" hidden="false"/>
    </xf>
    <xf numFmtId="169" fontId="22" fillId="0" borderId="0" xfId="0" applyFont="true" applyBorder="false" applyAlignment="true" applyProtection="false">
      <alignment horizontal="center" vertical="bottom" textRotation="0" wrapText="false" indent="0" shrinkToFit="false"/>
      <protection locked="true" hidden="false"/>
    </xf>
    <xf numFmtId="169" fontId="22" fillId="0" borderId="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0" borderId="0" xfId="56" applyFont="true" applyBorder="true" applyAlignment="true" applyProtection="false">
      <alignment horizontal="center" vertical="bottom" textRotation="0" wrapText="false" indent="0" shrinkToFit="false"/>
      <protection locked="true" hidden="false"/>
    </xf>
    <xf numFmtId="170" fontId="24" fillId="0" borderId="0" xfId="0" applyFont="true" applyBorder="false" applyAlignment="true" applyProtection="false">
      <alignment horizontal="center" vertical="bottom" textRotation="0" wrapText="false" indent="0" shrinkToFit="false"/>
      <protection locked="true" hidden="false"/>
    </xf>
    <xf numFmtId="170" fontId="22" fillId="0" borderId="19" xfId="0" applyFont="true" applyBorder="true" applyAlignment="true" applyProtection="false">
      <alignment horizontal="center" vertical="bottom" textRotation="0" wrapText="false" indent="0" shrinkToFit="false"/>
      <protection locked="true" hidden="false"/>
    </xf>
    <xf numFmtId="166" fontId="22" fillId="0" borderId="0" xfId="0" applyFont="true" applyBorder="true" applyAlignment="true" applyProtection="false">
      <alignment horizontal="center" vertical="bottom" textRotation="0" wrapText="false" indent="0" shrinkToFit="false"/>
      <protection locked="true" hidden="false"/>
    </xf>
    <xf numFmtId="166" fontId="22" fillId="0" borderId="20" xfId="0" applyFont="true" applyBorder="true" applyAlignment="true" applyProtection="false">
      <alignment horizontal="center" vertical="bottom" textRotation="0" wrapText="false" indent="0" shrinkToFit="false"/>
      <protection locked="true" hidden="false"/>
    </xf>
    <xf numFmtId="170" fontId="22" fillId="0" borderId="20" xfId="0" applyFont="true" applyBorder="true" applyAlignment="true" applyProtection="false">
      <alignment horizontal="center" vertical="bottom" textRotation="0" wrapText="false" indent="0" shrinkToFit="false"/>
      <protection locked="true" hidden="false"/>
    </xf>
    <xf numFmtId="168" fontId="22" fillId="0" borderId="14" xfId="0" applyFont="true" applyBorder="true" applyAlignment="fals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center" vertical="bottom" textRotation="0" wrapText="false" indent="0" shrinkToFit="false"/>
      <protection locked="true" hidden="false"/>
    </xf>
    <xf numFmtId="170" fontId="20" fillId="0" borderId="14" xfId="0" applyFont="true" applyBorder="true" applyAlignment="true" applyProtection="false">
      <alignment horizontal="center" vertical="bottom" textRotation="0" wrapText="false" indent="0" shrinkToFit="false"/>
      <protection locked="true" hidden="false"/>
    </xf>
    <xf numFmtId="165" fontId="20" fillId="0" borderId="0" xfId="0" applyFont="true" applyBorder="true" applyAlignment="true" applyProtection="false">
      <alignment horizontal="center" vertical="bottom" textRotation="0" wrapText="false" indent="0" shrinkToFit="false"/>
      <protection locked="true" hidden="false"/>
    </xf>
    <xf numFmtId="170" fontId="20" fillId="0" borderId="0" xfId="0" applyFont="true" applyBorder="true" applyAlignment="true" applyProtection="false">
      <alignment horizontal="center" vertical="bottom" textRotation="0" wrapText="false" indent="0" shrinkToFit="false"/>
      <protection locked="true" hidden="false"/>
    </xf>
    <xf numFmtId="170" fontId="20" fillId="0" borderId="15" xfId="0" applyFont="true" applyBorder="true" applyAlignment="true" applyProtection="false">
      <alignment horizontal="center" vertical="bottom" textRotation="0" wrapText="false" indent="0" shrinkToFit="false"/>
      <protection locked="true" hidden="false"/>
    </xf>
    <xf numFmtId="170" fontId="20" fillId="0" borderId="19" xfId="0" applyFont="true" applyBorder="true" applyAlignment="true" applyProtection="false">
      <alignment horizontal="center" vertical="bottom" textRotation="0" wrapText="false" indent="0" shrinkToFit="false"/>
      <protection locked="true" hidden="false"/>
    </xf>
    <xf numFmtId="170" fontId="20" fillId="0" borderId="20" xfId="0" applyFont="true" applyBorder="true" applyAlignment="true" applyProtection="false">
      <alignment horizontal="center" vertical="bottom" textRotation="0" wrapText="false" indent="0" shrinkToFit="false"/>
      <protection locked="true" hidden="false"/>
    </xf>
    <xf numFmtId="165" fontId="22" fillId="0" borderId="0" xfId="0" applyFont="true" applyBorder="false" applyAlignment="true" applyProtection="false">
      <alignment horizontal="right" vertical="bottom" textRotation="0" wrapText="false" indent="0" shrinkToFit="false"/>
      <protection locked="true" hidden="false"/>
    </xf>
    <xf numFmtId="168" fontId="20" fillId="0" borderId="14" xfId="0" applyFont="true" applyBorder="true" applyAlignment="false" applyProtection="false">
      <alignment horizontal="general" vertical="bottom" textRotation="0" wrapText="false" indent="0" shrinkToFit="false"/>
      <protection locked="true" hidden="false"/>
    </xf>
    <xf numFmtId="169" fontId="20" fillId="0" borderId="15" xfId="0" applyFont="true" applyBorder="true" applyAlignment="true" applyProtection="false">
      <alignment horizontal="center" vertical="bottom" textRotation="0" wrapText="false" indent="0" shrinkToFit="false"/>
      <protection locked="true" hidden="false"/>
    </xf>
    <xf numFmtId="166" fontId="20" fillId="0" borderId="0" xfId="0" applyFont="true" applyBorder="true" applyAlignment="true" applyProtection="false">
      <alignment horizontal="center" vertical="bottom" textRotation="0" wrapText="false" indent="0" shrinkToFit="false"/>
      <protection locked="true" hidden="false"/>
    </xf>
    <xf numFmtId="165" fontId="20" fillId="0" borderId="0" xfId="0" applyFont="true" applyBorder="false" applyAlignment="true" applyProtection="false">
      <alignment horizontal="center" vertical="bottom" textRotation="0" wrapText="false" indent="0" shrinkToFit="false"/>
      <protection locked="true" hidden="false"/>
    </xf>
    <xf numFmtId="165" fontId="22" fillId="0" borderId="0" xfId="0" applyFont="true" applyBorder="false" applyAlignment="true" applyProtection="false">
      <alignment horizontal="left" vertical="bottom" textRotation="0" wrapText="false" indent="0" shrinkToFit="false"/>
      <protection locked="true" hidden="false"/>
    </xf>
    <xf numFmtId="169" fontId="20" fillId="0" borderId="0" xfId="0" applyFont="true" applyBorder="true" applyAlignment="true" applyProtection="false">
      <alignment horizontal="center" vertical="bottom" textRotation="0" wrapText="false" indent="0" shrinkToFit="false"/>
      <protection locked="true" hidden="false"/>
    </xf>
    <xf numFmtId="167" fontId="20" fillId="0" borderId="0" xfId="0" applyFont="true" applyBorder="false" applyAlignment="true" applyProtection="false">
      <alignment horizontal="center" vertical="bottom" textRotation="0" wrapText="false" indent="0" shrinkToFit="false"/>
      <protection locked="true" hidden="false"/>
    </xf>
    <xf numFmtId="170" fontId="20" fillId="0" borderId="14"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false" applyProtection="false">
      <alignment horizontal="general" vertical="bottom" textRotation="0" wrapText="false" indent="0" shrinkToFit="false"/>
      <protection locked="true" hidden="false"/>
    </xf>
    <xf numFmtId="165" fontId="20" fillId="0" borderId="15" xfId="0" applyFont="true" applyBorder="true" applyAlignment="false" applyProtection="false">
      <alignment horizontal="general" vertical="bottom" textRotation="0" wrapText="false" indent="0" shrinkToFit="false"/>
      <protection locked="true" hidden="false"/>
    </xf>
    <xf numFmtId="165" fontId="20" fillId="0" borderId="19" xfId="0" applyFont="true" applyBorder="true" applyAlignment="false" applyProtection="false">
      <alignment horizontal="general" vertical="bottom" textRotation="0" wrapText="false" indent="0" shrinkToFit="false"/>
      <protection locked="true" hidden="false"/>
    </xf>
    <xf numFmtId="166" fontId="20" fillId="0" borderId="0"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true" applyProtection="false">
      <alignment horizontal="right" vertical="bottom" textRotation="0" wrapText="false" indent="0" shrinkToFit="false"/>
      <protection locked="true" hidden="false"/>
    </xf>
    <xf numFmtId="166" fontId="20" fillId="0" borderId="20" xfId="0" applyFont="true" applyBorder="true" applyAlignment="true" applyProtection="false">
      <alignment horizontal="center"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65" fontId="20" fillId="0" borderId="19" xfId="0" applyFont="true" applyBorder="true" applyAlignment="true" applyProtection="false">
      <alignment horizontal="right" vertical="bottom" textRotation="0" wrapText="false" indent="0" shrinkToFit="false"/>
      <protection locked="true" hidden="false"/>
    </xf>
    <xf numFmtId="165" fontId="20" fillId="0" borderId="20" xfId="0" applyFont="true" applyBorder="true" applyAlignment="true" applyProtection="false">
      <alignment horizontal="right" vertical="bottom" textRotation="0" wrapText="false" indent="0" shrinkToFit="false"/>
      <protection locked="true" hidden="false"/>
    </xf>
    <xf numFmtId="168" fontId="20" fillId="0" borderId="14" xfId="0" applyFont="true" applyBorder="true" applyAlignment="true" applyProtection="false">
      <alignment horizontal="right" vertical="bottom" textRotation="0" wrapText="false" indent="0" shrinkToFit="false"/>
      <protection locked="true" hidden="false"/>
    </xf>
    <xf numFmtId="169" fontId="20" fillId="0" borderId="0" xfId="0" applyFont="true" applyBorder="true" applyAlignment="true" applyProtection="false">
      <alignment horizontal="right" vertical="bottom" textRotation="0" wrapText="false" indent="0" shrinkToFit="false"/>
      <protection locked="true" hidden="false"/>
    </xf>
    <xf numFmtId="169" fontId="20" fillId="0" borderId="15" xfId="0" applyFont="true" applyBorder="true" applyAlignment="true" applyProtection="false">
      <alignment horizontal="right" vertical="bottom" textRotation="0" wrapText="false" indent="0" shrinkToFit="false"/>
      <protection locked="true" hidden="false"/>
    </xf>
    <xf numFmtId="167"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73" fontId="20" fillId="0" borderId="14"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20" fillId="18" borderId="21" xfId="0" applyFont="true" applyBorder="true" applyAlignment="false" applyProtection="false">
      <alignment horizontal="general" vertical="bottom" textRotation="0" wrapText="false" indent="0" shrinkToFit="false"/>
      <protection locked="true" hidden="false"/>
    </xf>
    <xf numFmtId="173" fontId="20" fillId="18" borderId="22" xfId="0" applyFont="true" applyBorder="true" applyAlignment="false" applyProtection="false">
      <alignment horizontal="general" vertical="bottom" textRotation="0" wrapText="false" indent="0" shrinkToFit="false"/>
      <protection locked="true" hidden="false"/>
    </xf>
    <xf numFmtId="165" fontId="20" fillId="18" borderId="21" xfId="0" applyFont="true" applyBorder="true" applyAlignment="false" applyProtection="false">
      <alignment horizontal="general" vertical="bottom" textRotation="0" wrapText="false" indent="0" shrinkToFit="false"/>
      <protection locked="true" hidden="false"/>
    </xf>
    <xf numFmtId="170" fontId="20" fillId="18" borderId="23" xfId="0" applyFont="true" applyBorder="true" applyAlignment="false" applyProtection="false">
      <alignment horizontal="general" vertical="bottom" textRotation="0" wrapText="false" indent="0" shrinkToFit="false"/>
      <protection locked="true" hidden="false"/>
    </xf>
    <xf numFmtId="166" fontId="20" fillId="18" borderId="21" xfId="0" applyFont="true" applyBorder="true" applyAlignment="false" applyProtection="false">
      <alignment horizontal="general" vertical="bottom" textRotation="0" wrapText="false" indent="0" shrinkToFit="false"/>
      <protection locked="true" hidden="false"/>
    </xf>
    <xf numFmtId="170" fontId="20" fillId="18" borderId="24" xfId="0" applyFont="true" applyBorder="true" applyAlignment="false" applyProtection="false">
      <alignment horizontal="general" vertical="bottom" textRotation="0" wrapText="false" indent="0" shrinkToFit="false"/>
      <protection locked="true" hidden="false"/>
    </xf>
    <xf numFmtId="170" fontId="20" fillId="18" borderId="21" xfId="0" applyFont="true" applyBorder="true" applyAlignment="true" applyProtection="false">
      <alignment horizontal="right" vertical="bottom" textRotation="0" wrapText="false" indent="0" shrinkToFit="false"/>
      <protection locked="true" hidden="false"/>
    </xf>
    <xf numFmtId="166" fontId="20" fillId="18" borderId="25" xfId="0" applyFont="true" applyBorder="true" applyAlignment="true" applyProtection="false">
      <alignment horizontal="center" vertical="bottom" textRotation="0" wrapText="false" indent="0" shrinkToFit="false"/>
      <protection locked="true" hidden="false"/>
    </xf>
    <xf numFmtId="165" fontId="20" fillId="18" borderId="21" xfId="0" applyFont="true" applyBorder="true" applyAlignment="true" applyProtection="false">
      <alignment horizontal="right" vertical="bottom" textRotation="0" wrapText="false" indent="0" shrinkToFit="false"/>
      <protection locked="true" hidden="false"/>
    </xf>
    <xf numFmtId="170" fontId="20" fillId="18" borderId="24" xfId="0" applyFont="true" applyBorder="true" applyAlignment="true" applyProtection="false">
      <alignment horizontal="right" vertical="bottom" textRotation="0" wrapText="false" indent="0" shrinkToFit="false"/>
      <protection locked="true" hidden="false"/>
    </xf>
    <xf numFmtId="170" fontId="20" fillId="18" borderId="25" xfId="0" applyFont="true" applyBorder="true" applyAlignment="true" applyProtection="false">
      <alignment horizontal="right" vertical="bottom" textRotation="0" wrapText="false" indent="0" shrinkToFit="false"/>
      <protection locked="true" hidden="false"/>
    </xf>
    <xf numFmtId="168" fontId="20" fillId="18" borderId="22" xfId="0" applyFont="true" applyBorder="true" applyAlignment="true" applyProtection="false">
      <alignment horizontal="right" vertical="bottom" textRotation="0" wrapText="false" indent="0" shrinkToFit="false"/>
      <protection locked="true" hidden="false"/>
    </xf>
    <xf numFmtId="169" fontId="20" fillId="18" borderId="21" xfId="0" applyFont="true" applyBorder="true" applyAlignment="true" applyProtection="false">
      <alignment horizontal="right" vertical="bottom" textRotation="0" wrapText="false" indent="0" shrinkToFit="false"/>
      <protection locked="true" hidden="false"/>
    </xf>
    <xf numFmtId="169" fontId="20" fillId="18" borderId="23" xfId="0" applyFont="true" applyBorder="true" applyAlignment="true" applyProtection="false">
      <alignment horizontal="right" vertical="bottom" textRotation="0" wrapText="false" indent="0" shrinkToFit="false"/>
      <protection locked="true" hidden="false"/>
    </xf>
    <xf numFmtId="167" fontId="20" fillId="18" borderId="21" xfId="0" applyFont="true" applyBorder="true" applyAlignment="true" applyProtection="false">
      <alignment horizontal="right" vertical="bottom" textRotation="0" wrapText="false" indent="0" shrinkToFit="false"/>
      <protection locked="true" hidden="false"/>
    </xf>
    <xf numFmtId="167" fontId="20" fillId="18" borderId="21" xfId="56" applyFont="true" applyBorder="true" applyAlignment="true" applyProtection="false">
      <alignment horizontal="center" vertical="bottom" textRotation="0" wrapText="false" indent="0" shrinkToFit="false"/>
      <protection locked="true" hidden="false"/>
    </xf>
    <xf numFmtId="173" fontId="20" fillId="0" borderId="14" xfId="0" applyFont="true" applyBorder="true" applyAlignment="false" applyProtection="false">
      <alignment horizontal="general" vertical="bottom" textRotation="0" wrapText="false" indent="0" shrinkToFit="false"/>
      <protection locked="true" hidden="false"/>
    </xf>
    <xf numFmtId="169" fontId="20" fillId="0" borderId="0" xfId="0" applyFont="true" applyBorder="true" applyAlignment="false" applyProtection="false">
      <alignment horizontal="general" vertical="bottom" textRotation="0" wrapText="false" indent="0" shrinkToFit="false"/>
      <protection locked="true" hidden="false"/>
    </xf>
    <xf numFmtId="170" fontId="20" fillId="0" borderId="15" xfId="0" applyFont="true" applyBorder="true" applyAlignment="false" applyProtection="false">
      <alignment horizontal="general" vertical="bottom" textRotation="0" wrapText="false" indent="0" shrinkToFit="false"/>
      <protection locked="true" hidden="false"/>
    </xf>
    <xf numFmtId="170" fontId="20" fillId="0" borderId="19" xfId="0" applyFont="true" applyBorder="true" applyAlignment="false" applyProtection="false">
      <alignment horizontal="general" vertical="bottom" textRotation="0" wrapText="false" indent="0" shrinkToFit="false"/>
      <protection locked="true" hidden="false"/>
    </xf>
    <xf numFmtId="170" fontId="20" fillId="0" borderId="0" xfId="0" applyFont="true" applyBorder="true" applyAlignment="false" applyProtection="false">
      <alignment horizontal="general" vertical="bottom" textRotation="0" wrapText="false" indent="0" shrinkToFit="false"/>
      <protection locked="true" hidden="false"/>
    </xf>
    <xf numFmtId="173" fontId="20" fillId="0" borderId="0" xfId="0" applyFont="true" applyBorder="true" applyAlignment="true" applyProtection="false">
      <alignment horizontal="right" vertical="bottom" textRotation="0" wrapText="false" indent="0" shrinkToFit="false"/>
      <protection locked="true" hidden="false"/>
    </xf>
    <xf numFmtId="170" fontId="20" fillId="0" borderId="26" xfId="0" applyFont="true" applyBorder="true" applyAlignment="fals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70" fontId="20" fillId="0" borderId="0" xfId="56" applyFont="true" applyBorder="true" applyAlignment="true" applyProtection="false">
      <alignment horizontal="right" vertical="bottom" textRotation="0" wrapText="false" indent="0" shrinkToFit="false"/>
      <protection locked="true" hidden="false"/>
    </xf>
    <xf numFmtId="170" fontId="20" fillId="0" borderId="19" xfId="0" applyFont="true" applyBorder="true" applyAlignment="true" applyProtection="false">
      <alignment horizontal="right" vertical="bottom" textRotation="0" wrapText="false" indent="0" shrinkToFit="false"/>
      <protection locked="true" hidden="false"/>
    </xf>
    <xf numFmtId="170" fontId="20" fillId="0" borderId="20" xfId="0" applyFont="true" applyBorder="true" applyAlignment="true" applyProtection="false">
      <alignment horizontal="right" vertical="bottom" textRotation="0" wrapText="false" indent="0" shrinkToFit="false"/>
      <protection locked="true" hidden="false"/>
    </xf>
    <xf numFmtId="173" fontId="20" fillId="0" borderId="14" xfId="15" applyFont="true" applyBorder="true" applyAlignment="true" applyProtection="true">
      <alignment horizontal="general" vertical="bottom" textRotation="0" wrapText="false" indent="0" shrinkToFit="false"/>
      <protection locked="true" hidden="false"/>
    </xf>
    <xf numFmtId="170" fontId="20" fillId="0" borderId="0" xfId="0" applyFont="true" applyBorder="true" applyAlignment="false" applyProtection="false">
      <alignment horizontal="general" vertical="bottom" textRotation="0" wrapText="false" indent="0" shrinkToFit="false"/>
      <protection locked="true" hidden="false"/>
    </xf>
    <xf numFmtId="166" fontId="20" fillId="0" borderId="20"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right" vertical="bottom" textRotation="0" wrapText="false" indent="0" shrinkToFit="false"/>
      <protection locked="true" hidden="false"/>
    </xf>
    <xf numFmtId="164" fontId="20" fillId="0" borderId="15" xfId="0" applyFont="true" applyBorder="true" applyAlignment="true" applyProtection="false">
      <alignment horizontal="right" vertical="bottom" textRotation="0" wrapText="false" indent="0" shrinkToFit="false"/>
      <protection locked="true" hidden="false"/>
    </xf>
    <xf numFmtId="170" fontId="20" fillId="18" borderId="22" xfId="0" applyFont="true" applyBorder="true" applyAlignment="false" applyProtection="false">
      <alignment horizontal="general" vertical="bottom" textRotation="0" wrapText="false" indent="0" shrinkToFit="false"/>
      <protection locked="true" hidden="false"/>
    </xf>
    <xf numFmtId="165" fontId="20" fillId="0" borderId="15" xfId="0" applyFont="true" applyBorder="true" applyAlignment="true" applyProtection="false">
      <alignment horizontal="right" vertical="bottom" textRotation="0" wrapText="false" indent="0" shrinkToFit="false"/>
      <protection locked="true" hidden="false"/>
    </xf>
    <xf numFmtId="168" fontId="20" fillId="0" borderId="0" xfId="0" applyFont="true" applyBorder="true" applyAlignment="true" applyProtection="false">
      <alignment horizontal="right" vertical="bottom" textRotation="0" wrapText="false" indent="0" shrinkToFit="false"/>
      <protection locked="true" hidden="false"/>
    </xf>
    <xf numFmtId="169" fontId="20" fillId="0" borderId="0" xfId="56" applyFont="true" applyBorder="true" applyAlignment="true" applyProtection="false">
      <alignment horizontal="right" vertical="bottom" textRotation="0" wrapText="false" indent="0" shrinkToFit="false"/>
      <protection locked="true" hidden="false"/>
    </xf>
    <xf numFmtId="165" fontId="20" fillId="18" borderId="23" xfId="0" applyFont="true" applyBorder="true" applyAlignment="false" applyProtection="false">
      <alignment horizontal="general" vertical="bottom" textRotation="0" wrapText="false" indent="0" shrinkToFit="false"/>
      <protection locked="true" hidden="false"/>
    </xf>
    <xf numFmtId="165" fontId="20" fillId="18" borderId="24" xfId="0" applyFont="true" applyBorder="true" applyAlignment="false" applyProtection="false">
      <alignment horizontal="general" vertical="bottom" textRotation="0" wrapText="false" indent="0" shrinkToFit="false"/>
      <protection locked="true" hidden="false"/>
    </xf>
    <xf numFmtId="165" fontId="20" fillId="18" borderId="24" xfId="0" applyFont="true" applyBorder="true" applyAlignment="true" applyProtection="false">
      <alignment horizontal="right" vertical="bottom" textRotation="0" wrapText="false" indent="0" shrinkToFit="false"/>
      <protection locked="true" hidden="false"/>
    </xf>
    <xf numFmtId="165" fontId="20" fillId="18" borderId="25" xfId="0" applyFont="true" applyBorder="true" applyAlignment="true" applyProtection="false">
      <alignment horizontal="right" vertical="bottom" textRotation="0" wrapText="false" indent="0" shrinkToFit="false"/>
      <protection locked="true" hidden="false"/>
    </xf>
    <xf numFmtId="165" fontId="20" fillId="18" borderId="23" xfId="0" applyFont="true" applyBorder="true" applyAlignment="true" applyProtection="false">
      <alignment horizontal="right" vertical="bottom" textRotation="0" wrapText="false" indent="0" shrinkToFit="false"/>
      <protection locked="true" hidden="false"/>
    </xf>
    <xf numFmtId="169" fontId="20" fillId="0" borderId="27" xfId="0" applyFont="true" applyBorder="true" applyAlignment="true" applyProtection="false">
      <alignment horizontal="right" vertical="bottom" textRotation="0" wrapText="false" indent="0" shrinkToFit="false"/>
      <protection locked="true" hidden="false"/>
    </xf>
    <xf numFmtId="170" fontId="20" fillId="18" borderId="25" xfId="0" applyFont="true" applyBorder="true" applyAlignment="false" applyProtection="false">
      <alignment horizontal="general" vertical="bottom" textRotation="0" wrapText="false" indent="0" shrinkToFit="false"/>
      <protection locked="true" hidden="false"/>
    </xf>
    <xf numFmtId="167" fontId="20" fillId="18" borderId="21" xfId="0" applyFont="true" applyBorder="true" applyAlignment="false" applyProtection="false">
      <alignment horizontal="general" vertical="bottom" textRotation="0" wrapText="false" indent="0" shrinkToFit="false"/>
      <protection locked="true" hidden="false"/>
    </xf>
    <xf numFmtId="170" fontId="20" fillId="18" borderId="21" xfId="0" applyFont="true" applyBorder="true" applyAlignment="true" applyProtection="false">
      <alignment horizontal="center" vertical="bottom" textRotation="0" wrapText="false" indent="0" shrinkToFit="false"/>
      <protection locked="true" hidden="false"/>
    </xf>
    <xf numFmtId="165" fontId="20" fillId="18" borderId="21"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75" fontId="20" fillId="0" borderId="0" xfId="0" applyFont="true" applyBorder="false" applyAlignment="false" applyProtection="false">
      <alignment horizontal="general" vertical="bottom" textRotation="0" wrapText="false" indent="0" shrinkToFit="false"/>
      <protection locked="true" hidden="false"/>
    </xf>
    <xf numFmtId="176" fontId="20" fillId="0" borderId="0" xfId="19" applyFont="true" applyBorder="true" applyAlignment="true" applyProtection="true">
      <alignment horizontal="general" vertical="bottom" textRotation="0" wrapText="false" indent="0" shrinkToFit="false"/>
      <protection locked="true" hidden="false"/>
    </xf>
    <xf numFmtId="176"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56" applyFont="true" applyBorder="true" applyAlignment="false" applyProtection="false">
      <alignment horizontal="general" vertical="bottom" textRotation="0" wrapText="false" indent="0" shrinkToFit="false"/>
      <protection locked="true" hidden="false"/>
    </xf>
    <xf numFmtId="167" fontId="20" fillId="0" borderId="0" xfId="56" applyFont="true" applyBorder="true" applyAlignment="false" applyProtection="false">
      <alignment horizontal="general" vertical="bottom" textRotation="0" wrapText="false" indent="0" shrinkToFit="false"/>
      <protection locked="true" hidden="false"/>
    </xf>
    <xf numFmtId="164" fontId="22" fillId="0" borderId="0" xfId="56" applyFont="true" applyBorder="true" applyAlignment="false" applyProtection="false">
      <alignment horizontal="general" vertical="bottom" textRotation="0" wrapText="false" indent="0" shrinkToFit="false"/>
      <protection locked="true" hidden="false"/>
    </xf>
    <xf numFmtId="168" fontId="20" fillId="0" borderId="0"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true" applyProtection="false">
      <alignment horizontal="center" vertical="bottom" textRotation="0" wrapText="false" indent="0" shrinkToFit="false"/>
      <protection locked="true" hidden="false"/>
    </xf>
    <xf numFmtId="164" fontId="20" fillId="0" borderId="0" xfId="56" applyFont="true" applyBorder="true" applyAlignment="true" applyProtection="false">
      <alignment horizontal="general" vertical="bottom" textRotation="0" wrapText="false" indent="0" shrinkToFit="false"/>
      <protection locked="true" hidden="false"/>
    </xf>
    <xf numFmtId="164" fontId="0" fillId="0" borderId="0" xfId="56" applyFont="false" applyBorder="true" applyAlignment="false" applyProtection="false">
      <alignment horizontal="general" vertical="bottom" textRotation="0" wrapText="false" indent="0" shrinkToFit="false"/>
      <protection locked="true" hidden="false"/>
    </xf>
    <xf numFmtId="170" fontId="20" fillId="0" borderId="0" xfId="56" applyFont="true" applyBorder="true" applyAlignment="false" applyProtection="false">
      <alignment horizontal="general" vertical="bottom" textRotation="0" wrapText="false" indent="0" shrinkToFit="false"/>
      <protection locked="true" hidden="false"/>
    </xf>
    <xf numFmtId="170" fontId="21" fillId="0" borderId="0" xfId="56" applyFont="true" applyBorder="true" applyAlignment="false" applyProtection="false">
      <alignment horizontal="general" vertical="bottom" textRotation="0" wrapText="false" indent="0" shrinkToFit="false"/>
      <protection locked="true" hidden="false"/>
    </xf>
    <xf numFmtId="170" fontId="22" fillId="0" borderId="0" xfId="56" applyFont="true" applyBorder="true" applyAlignment="false" applyProtection="false">
      <alignment horizontal="general" vertical="bottom" textRotation="0" wrapText="false" indent="0" shrinkToFit="false"/>
      <protection locked="true" hidden="false"/>
    </xf>
    <xf numFmtId="171" fontId="20" fillId="0" borderId="0" xfId="56" applyFont="true" applyBorder="true" applyAlignment="false" applyProtection="false">
      <alignment horizontal="general" vertical="bottom" textRotation="0" wrapText="false" indent="0" shrinkToFit="false"/>
      <protection locked="true" hidden="false"/>
    </xf>
    <xf numFmtId="170" fontId="21" fillId="0" borderId="0" xfId="56" applyFont="true" applyBorder="true" applyAlignment="true" applyProtection="false">
      <alignment horizontal="center" vertical="bottom" textRotation="0" wrapText="false" indent="0" shrinkToFit="false"/>
      <protection locked="true" hidden="false"/>
    </xf>
    <xf numFmtId="170" fontId="20" fillId="0" borderId="10" xfId="56" applyFont="true" applyBorder="true" applyAlignment="false" applyProtection="false">
      <alignment horizontal="general" vertical="bottom" textRotation="0" wrapText="false" indent="0" shrinkToFit="false"/>
      <protection locked="true" hidden="false"/>
    </xf>
    <xf numFmtId="165" fontId="20" fillId="0" borderId="10" xfId="56" applyFont="true" applyBorder="true" applyAlignment="false" applyProtection="false">
      <alignment horizontal="general" vertical="bottom" textRotation="0" wrapText="false" indent="0" shrinkToFit="false"/>
      <protection locked="true" hidden="false"/>
    </xf>
    <xf numFmtId="172" fontId="20" fillId="0" borderId="10" xfId="56" applyFont="true" applyBorder="true" applyAlignment="false" applyProtection="false">
      <alignment horizontal="general" vertical="bottom" textRotation="0" wrapText="false" indent="0" shrinkToFit="false"/>
      <protection locked="true" hidden="false"/>
    </xf>
    <xf numFmtId="166" fontId="20" fillId="0" borderId="10" xfId="56" applyFont="true" applyBorder="true" applyAlignment="false" applyProtection="false">
      <alignment horizontal="general" vertical="bottom" textRotation="0" wrapText="false" indent="0" shrinkToFit="false"/>
      <protection locked="true" hidden="false"/>
    </xf>
    <xf numFmtId="167" fontId="20" fillId="0" borderId="10" xfId="56" applyFont="true" applyBorder="true" applyAlignment="false" applyProtection="false">
      <alignment horizontal="general" vertical="bottom" textRotation="0" wrapText="false" indent="0" shrinkToFit="false"/>
      <protection locked="true" hidden="false"/>
    </xf>
    <xf numFmtId="170" fontId="22" fillId="0" borderId="10" xfId="56" applyFont="true" applyBorder="true" applyAlignment="false" applyProtection="false">
      <alignment horizontal="general" vertical="bottom" textRotation="0" wrapText="false" indent="0" shrinkToFit="false"/>
      <protection locked="true" hidden="false"/>
    </xf>
    <xf numFmtId="168" fontId="20" fillId="0" borderId="10" xfId="56" applyFont="true" applyBorder="true" applyAlignment="false" applyProtection="false">
      <alignment horizontal="general" vertical="bottom" textRotation="0" wrapText="false" indent="0" shrinkToFit="false"/>
      <protection locked="true" hidden="false"/>
    </xf>
    <xf numFmtId="169" fontId="20" fillId="0" borderId="10" xfId="56" applyFont="true" applyBorder="true" applyAlignment="false" applyProtection="false">
      <alignment horizontal="general" vertical="bottom" textRotation="0" wrapText="false" indent="0" shrinkToFit="false"/>
      <protection locked="true" hidden="false"/>
    </xf>
    <xf numFmtId="169" fontId="20" fillId="0" borderId="10" xfId="56" applyFont="true" applyBorder="true" applyAlignment="true" applyProtection="false">
      <alignment horizontal="center" vertical="bottom" textRotation="0" wrapText="false" indent="0" shrinkToFit="false"/>
      <protection locked="true" hidden="false"/>
    </xf>
    <xf numFmtId="164" fontId="20" fillId="0" borderId="10" xfId="56" applyFont="true" applyBorder="true" applyAlignment="false" applyProtection="false">
      <alignment horizontal="general" vertical="bottom" textRotation="0" wrapText="false" indent="0" shrinkToFit="false"/>
      <protection locked="true" hidden="false"/>
    </xf>
    <xf numFmtId="164" fontId="20" fillId="0" borderId="10" xfId="56" applyFont="true" applyBorder="true" applyAlignment="true" applyProtection="false">
      <alignment horizontal="general" vertical="bottom" textRotation="0" wrapText="false" indent="0" shrinkToFit="false"/>
      <protection locked="true" hidden="false"/>
    </xf>
    <xf numFmtId="170" fontId="20" fillId="0" borderId="11" xfId="56" applyFont="true" applyBorder="true" applyAlignment="false" applyProtection="false">
      <alignment horizontal="general" vertical="bottom" textRotation="0" wrapText="false" indent="0" shrinkToFit="false"/>
      <protection locked="true" hidden="false"/>
    </xf>
    <xf numFmtId="165" fontId="20" fillId="0" borderId="12" xfId="56" applyFont="true" applyBorder="true" applyAlignment="false" applyProtection="false">
      <alignment horizontal="general" vertical="bottom" textRotation="0" wrapText="false" indent="0" shrinkToFit="false"/>
      <protection locked="true" hidden="false"/>
    </xf>
    <xf numFmtId="172" fontId="23" fillId="0" borderId="12" xfId="56" applyFont="true" applyBorder="true" applyAlignment="false" applyProtection="false">
      <alignment horizontal="general" vertical="bottom" textRotation="0" wrapText="false" indent="0" shrinkToFit="false"/>
      <protection locked="true" hidden="false"/>
    </xf>
    <xf numFmtId="170" fontId="20" fillId="0" borderId="13" xfId="56" applyFont="true" applyBorder="true" applyAlignment="false" applyProtection="false">
      <alignment horizontal="general" vertical="bottom" textRotation="0" wrapText="false" indent="0" shrinkToFit="false"/>
      <protection locked="true" hidden="false"/>
    </xf>
    <xf numFmtId="170" fontId="23" fillId="0" borderId="0" xfId="56" applyFont="true" applyBorder="true" applyAlignment="true" applyProtection="false">
      <alignment horizontal="center" vertical="bottom" textRotation="0" wrapText="false" indent="0" shrinkToFit="false"/>
      <protection locked="true" hidden="false"/>
    </xf>
    <xf numFmtId="168" fontId="20" fillId="0" borderId="11" xfId="56" applyFont="true" applyBorder="true" applyAlignment="false" applyProtection="false">
      <alignment horizontal="general" vertical="bottom" textRotation="0" wrapText="false" indent="0" shrinkToFit="false"/>
      <protection locked="true" hidden="false"/>
    </xf>
    <xf numFmtId="169" fontId="23" fillId="0" borderId="12" xfId="56" applyFont="true" applyBorder="true" applyAlignment="true" applyProtection="false">
      <alignment horizontal="center" vertical="bottom" textRotation="0" wrapText="false" indent="0" shrinkToFit="false"/>
      <protection locked="true" hidden="false"/>
    </xf>
    <xf numFmtId="169" fontId="20" fillId="0" borderId="13" xfId="56" applyFont="true" applyBorder="true" applyAlignment="true" applyProtection="false">
      <alignment horizontal="center" vertical="bottom" textRotation="0" wrapText="false" indent="0" shrinkToFit="false"/>
      <protection locked="true" hidden="false"/>
    </xf>
    <xf numFmtId="164" fontId="23" fillId="0" borderId="0" xfId="56" applyFont="true" applyBorder="true" applyAlignment="true" applyProtection="false">
      <alignment horizontal="center" vertical="bottom" textRotation="0" wrapText="false" indent="0" shrinkToFit="false"/>
      <protection locked="true" hidden="false"/>
    </xf>
    <xf numFmtId="164" fontId="20" fillId="0" borderId="12" xfId="56" applyFont="true" applyBorder="true" applyAlignment="true" applyProtection="false">
      <alignment horizontal="general" vertical="bottom" textRotation="0" wrapText="false" indent="0" shrinkToFit="false"/>
      <protection locked="true" hidden="false"/>
    </xf>
    <xf numFmtId="170" fontId="22" fillId="0" borderId="0" xfId="56" applyFont="true" applyBorder="true" applyAlignment="true" applyProtection="false">
      <alignment horizontal="center" vertical="bottom" textRotation="0" wrapText="false" indent="0" shrinkToFit="false"/>
      <protection locked="true" hidden="false"/>
    </xf>
    <xf numFmtId="170" fontId="22" fillId="0" borderId="14" xfId="56" applyFont="true" applyBorder="true" applyAlignment="true" applyProtection="false">
      <alignment horizontal="center" vertical="bottom" textRotation="0" wrapText="false" indent="0" shrinkToFit="false"/>
      <protection locked="true" hidden="false"/>
    </xf>
    <xf numFmtId="165" fontId="22" fillId="0" borderId="0" xfId="56" applyFont="true" applyBorder="true" applyAlignment="true" applyProtection="false">
      <alignment horizontal="center" vertical="bottom" textRotation="0" wrapText="false" indent="0" shrinkToFit="false"/>
      <protection locked="true" hidden="false"/>
    </xf>
    <xf numFmtId="170" fontId="22" fillId="0" borderId="15" xfId="56" applyFont="true" applyBorder="true" applyAlignment="true" applyProtection="false">
      <alignment horizontal="center" vertical="bottom" textRotation="0" wrapText="false" indent="0" shrinkToFit="false"/>
      <protection locked="true" hidden="false"/>
    </xf>
    <xf numFmtId="166" fontId="22" fillId="0" borderId="0" xfId="56" applyFont="true" applyBorder="true" applyAlignment="true" applyProtection="false">
      <alignment horizontal="center" vertical="bottom" textRotation="0" wrapText="false" indent="0" shrinkToFit="false"/>
      <protection locked="true" hidden="false"/>
    </xf>
    <xf numFmtId="170" fontId="24" fillId="0" borderId="18" xfId="56" applyFont="true" applyBorder="true" applyAlignment="true" applyProtection="false">
      <alignment horizontal="center" vertical="bottom" textRotation="0" wrapText="false" indent="0" shrinkToFit="false"/>
      <protection locked="true" hidden="false"/>
    </xf>
    <xf numFmtId="167" fontId="22" fillId="0" borderId="0" xfId="56" applyFont="true" applyBorder="true" applyAlignment="true" applyProtection="false">
      <alignment horizontal="center" vertical="bottom" textRotation="0" wrapText="false" indent="0" shrinkToFit="false"/>
      <protection locked="true" hidden="false"/>
    </xf>
    <xf numFmtId="170" fontId="24" fillId="0" borderId="18" xfId="56" applyFont="true" applyBorder="true" applyAlignment="true" applyProtection="false">
      <alignment horizontal="left" vertical="bottom" textRotation="0" wrapText="false" indent="0" shrinkToFit="false"/>
      <protection locked="true" hidden="false"/>
    </xf>
    <xf numFmtId="170" fontId="24" fillId="0" borderId="18" xfId="56" applyFont="true" applyBorder="true" applyAlignment="true" applyProtection="false">
      <alignment horizontal="right" vertical="bottom" textRotation="0" wrapText="false" indent="0" shrinkToFit="false"/>
      <protection locked="true" hidden="false"/>
    </xf>
    <xf numFmtId="168" fontId="22" fillId="0" borderId="14" xfId="56" applyFont="true" applyBorder="true" applyAlignment="true" applyProtection="false">
      <alignment horizontal="center" vertical="bottom" textRotation="0" wrapText="false" indent="0" shrinkToFit="false"/>
      <protection locked="true" hidden="false"/>
    </xf>
    <xf numFmtId="169" fontId="22" fillId="0" borderId="0" xfId="56" applyFont="true" applyBorder="true" applyAlignment="true" applyProtection="false">
      <alignment horizontal="center" vertical="bottom" textRotation="0" wrapText="false" indent="0" shrinkToFit="false"/>
      <protection locked="true" hidden="false"/>
    </xf>
    <xf numFmtId="169" fontId="22" fillId="0" borderId="15" xfId="56" applyFont="true" applyBorder="true" applyAlignment="true" applyProtection="false">
      <alignment horizontal="center" vertical="bottom" textRotation="0" wrapText="false" indent="0" shrinkToFit="false"/>
      <protection locked="true" hidden="false"/>
    </xf>
    <xf numFmtId="170" fontId="24" fillId="0" borderId="0" xfId="56" applyFont="true" applyBorder="true" applyAlignment="true" applyProtection="false">
      <alignment horizontal="center" vertical="bottom" textRotation="0" wrapText="false" indent="0" shrinkToFit="false"/>
      <protection locked="true" hidden="false"/>
    </xf>
    <xf numFmtId="170" fontId="22" fillId="0" borderId="19" xfId="56" applyFont="true" applyBorder="true" applyAlignment="true" applyProtection="false">
      <alignment horizontal="center" vertical="bottom" textRotation="0" wrapText="false" indent="0" shrinkToFit="false"/>
      <protection locked="true" hidden="false"/>
    </xf>
    <xf numFmtId="166" fontId="22" fillId="0" borderId="20" xfId="56" applyFont="true" applyBorder="true" applyAlignment="true" applyProtection="false">
      <alignment horizontal="center" vertical="bottom" textRotation="0" wrapText="false" indent="0" shrinkToFit="false"/>
      <protection locked="true" hidden="false"/>
    </xf>
    <xf numFmtId="170" fontId="22" fillId="0" borderId="20" xfId="56" applyFont="true" applyBorder="true" applyAlignment="true" applyProtection="false">
      <alignment horizontal="center" vertical="bottom" textRotation="0" wrapText="false" indent="0" shrinkToFit="false"/>
      <protection locked="true" hidden="false"/>
    </xf>
    <xf numFmtId="168" fontId="22" fillId="0" borderId="14" xfId="56" applyFont="true" applyBorder="true" applyAlignment="false" applyProtection="false">
      <alignment horizontal="general" vertical="bottom" textRotation="0" wrapText="false" indent="0" shrinkToFit="false"/>
      <protection locked="true" hidden="false"/>
    </xf>
    <xf numFmtId="170" fontId="20" fillId="0" borderId="0" xfId="56" applyFont="true" applyBorder="true" applyAlignment="true" applyProtection="false">
      <alignment horizontal="center" vertical="bottom" textRotation="0" wrapText="false" indent="0" shrinkToFit="false"/>
      <protection locked="true" hidden="false"/>
    </xf>
    <xf numFmtId="170" fontId="20" fillId="0" borderId="14" xfId="56" applyFont="true" applyBorder="true" applyAlignment="true" applyProtection="false">
      <alignment horizontal="center" vertical="bottom" textRotation="0" wrapText="false" indent="0" shrinkToFit="false"/>
      <protection locked="true" hidden="false"/>
    </xf>
    <xf numFmtId="165" fontId="20" fillId="0" borderId="0" xfId="56" applyFont="true" applyBorder="true" applyAlignment="true" applyProtection="false">
      <alignment horizontal="center" vertical="bottom" textRotation="0" wrapText="false" indent="0" shrinkToFit="false"/>
      <protection locked="true" hidden="false"/>
    </xf>
    <xf numFmtId="170" fontId="20" fillId="0" borderId="15" xfId="56" applyFont="true" applyBorder="true" applyAlignment="true" applyProtection="false">
      <alignment horizontal="center" vertical="bottom" textRotation="0" wrapText="false" indent="0" shrinkToFit="false"/>
      <protection locked="true" hidden="false"/>
    </xf>
    <xf numFmtId="166" fontId="20" fillId="0" borderId="0" xfId="56" applyFont="true" applyBorder="true" applyAlignment="true" applyProtection="false">
      <alignment horizontal="center" vertical="bottom" textRotation="0" wrapText="false" indent="0" shrinkToFit="false"/>
      <protection locked="true" hidden="false"/>
    </xf>
    <xf numFmtId="170" fontId="20" fillId="0" borderId="19" xfId="56" applyFont="true" applyBorder="true" applyAlignment="true" applyProtection="false">
      <alignment horizontal="center" vertical="bottom" textRotation="0" wrapText="false" indent="0" shrinkToFit="false"/>
      <protection locked="true" hidden="false"/>
    </xf>
    <xf numFmtId="170" fontId="20" fillId="0" borderId="20" xfId="56" applyFont="true" applyBorder="true" applyAlignment="true" applyProtection="false">
      <alignment horizontal="center" vertical="bottom" textRotation="0" wrapText="false" indent="0" shrinkToFit="false"/>
      <protection locked="true" hidden="false"/>
    </xf>
    <xf numFmtId="168" fontId="20" fillId="0" borderId="14"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true" applyProtection="false">
      <alignment horizontal="center" vertical="bottom" textRotation="0" wrapText="false" indent="0" shrinkToFit="false"/>
      <protection locked="true" hidden="false"/>
    </xf>
    <xf numFmtId="173" fontId="22" fillId="0" borderId="0" xfId="56" applyFont="true" applyBorder="true" applyAlignment="true" applyProtection="false">
      <alignment horizontal="center" vertical="bottom" textRotation="0" wrapText="false" indent="0" shrinkToFit="false"/>
      <protection locked="true" hidden="false"/>
    </xf>
    <xf numFmtId="167" fontId="20" fillId="0" borderId="0" xfId="56" applyFont="true" applyBorder="true" applyAlignment="true" applyProtection="false">
      <alignment horizontal="center" vertical="bottom" textRotation="0" wrapText="false" indent="0" shrinkToFit="false"/>
      <protection locked="true" hidden="false"/>
    </xf>
    <xf numFmtId="164" fontId="20" fillId="0" borderId="0" xfId="56" applyFont="true" applyBorder="true" applyAlignment="true" applyProtection="false">
      <alignment horizontal="center" vertical="bottom" textRotation="0" wrapText="false" indent="0" shrinkToFit="false"/>
      <protection locked="true" hidden="false"/>
    </xf>
    <xf numFmtId="170" fontId="20" fillId="0" borderId="14" xfId="56" applyFont="true" applyBorder="true" applyAlignment="true" applyProtection="false">
      <alignment horizontal="right" vertical="bottom" textRotation="0" wrapText="false" indent="0" shrinkToFit="false"/>
      <protection locked="true" hidden="false"/>
    </xf>
    <xf numFmtId="165" fontId="20" fillId="0" borderId="15" xfId="56" applyFont="true" applyBorder="true" applyAlignment="true" applyProtection="false">
      <alignment horizontal="right" vertical="bottom" textRotation="0" wrapText="false" indent="0" shrinkToFit="false"/>
      <protection locked="true" hidden="false"/>
    </xf>
    <xf numFmtId="166" fontId="20" fillId="0" borderId="0" xfId="56" applyFont="true" applyBorder="true" applyAlignment="true" applyProtection="false">
      <alignment horizontal="right" vertical="bottom" textRotation="0" wrapText="false" indent="0" shrinkToFit="false"/>
      <protection locked="true" hidden="false"/>
    </xf>
    <xf numFmtId="165" fontId="20" fillId="0" borderId="19" xfId="56" applyFont="true" applyBorder="true" applyAlignment="true" applyProtection="false">
      <alignment horizontal="right" vertical="bottom" textRotation="0" wrapText="false" indent="0" shrinkToFit="false"/>
      <protection locked="true" hidden="false"/>
    </xf>
    <xf numFmtId="166" fontId="20" fillId="0" borderId="20" xfId="56" applyFont="true" applyBorder="true" applyAlignment="true" applyProtection="false">
      <alignment horizontal="right" vertical="bottom" textRotation="0" wrapText="false" indent="0" shrinkToFit="false"/>
      <protection locked="true" hidden="false"/>
    </xf>
    <xf numFmtId="167" fontId="20" fillId="0" borderId="0" xfId="56" applyFont="true" applyBorder="true" applyAlignment="true" applyProtection="false">
      <alignment horizontal="right" vertical="bottom" textRotation="0" wrapText="false" indent="0" shrinkToFit="false"/>
      <protection locked="true" hidden="false"/>
    </xf>
    <xf numFmtId="165" fontId="20" fillId="0" borderId="20" xfId="56" applyFont="true" applyBorder="true" applyAlignment="true" applyProtection="false">
      <alignment horizontal="right" vertical="bottom" textRotation="0" wrapText="false" indent="0" shrinkToFit="false"/>
      <protection locked="true" hidden="false"/>
    </xf>
    <xf numFmtId="165" fontId="22" fillId="0" borderId="0" xfId="56" applyFont="true" applyBorder="true" applyAlignment="true" applyProtection="false">
      <alignment horizontal="right" vertical="bottom" textRotation="0" wrapText="false" indent="0" shrinkToFit="false"/>
      <protection locked="true" hidden="false"/>
    </xf>
    <xf numFmtId="168" fontId="20" fillId="0" borderId="14" xfId="56" applyFont="true" applyBorder="true" applyAlignment="true" applyProtection="false">
      <alignment horizontal="right" vertical="bottom" textRotation="0" wrapText="false" indent="0" shrinkToFit="false"/>
      <protection locked="true" hidden="false"/>
    </xf>
    <xf numFmtId="169" fontId="20" fillId="0" borderId="15" xfId="56" applyFont="true" applyBorder="true" applyAlignment="true" applyProtection="false">
      <alignment horizontal="right" vertical="bottom" textRotation="0" wrapText="false" indent="0" shrinkToFit="false"/>
      <protection locked="true" hidden="false"/>
    </xf>
    <xf numFmtId="164" fontId="20" fillId="0" borderId="0" xfId="56" applyFont="true" applyBorder="true" applyAlignment="true" applyProtection="false">
      <alignment horizontal="right" vertical="bottom" textRotation="0" wrapText="false" indent="0" shrinkToFit="false"/>
      <protection locked="true" hidden="false"/>
    </xf>
    <xf numFmtId="165" fontId="22" fillId="0" borderId="0" xfId="56" applyFont="true" applyBorder="true" applyAlignment="false" applyProtection="false">
      <alignment horizontal="general" vertical="bottom" textRotation="0" wrapText="false" indent="0" shrinkToFit="false"/>
      <protection locked="true" hidden="false"/>
    </xf>
    <xf numFmtId="165" fontId="20" fillId="0" borderId="28" xfId="56" applyFont="true" applyBorder="true" applyAlignment="true" applyProtection="false">
      <alignment horizontal="right" vertical="bottom" textRotation="0" wrapText="false" indent="0" shrinkToFit="false"/>
      <protection locked="true" hidden="false"/>
    </xf>
    <xf numFmtId="166" fontId="20" fillId="0" borderId="29"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true" applyProtection="false">
      <alignment horizontal="general" vertical="bottom" textRotation="0" wrapText="false" indent="0" shrinkToFit="false"/>
      <protection locked="true" hidden="false"/>
    </xf>
    <xf numFmtId="165" fontId="0" fillId="0" borderId="0" xfId="56" applyFont="false" applyBorder="true" applyAlignment="false" applyProtection="false">
      <alignment horizontal="general" vertical="bottom" textRotation="0" wrapText="false" indent="0" shrinkToFit="false"/>
      <protection locked="true" hidden="false"/>
    </xf>
    <xf numFmtId="170" fontId="20" fillId="18" borderId="21" xfId="56" applyFont="true" applyBorder="true" applyAlignment="false" applyProtection="false">
      <alignment horizontal="general" vertical="bottom" textRotation="0" wrapText="false" indent="0" shrinkToFit="false"/>
      <protection locked="true" hidden="false"/>
    </xf>
    <xf numFmtId="173" fontId="20" fillId="18" borderId="22" xfId="56" applyFont="true" applyBorder="true" applyAlignment="true" applyProtection="false">
      <alignment horizontal="right" vertical="bottom" textRotation="0" wrapText="false" indent="0" shrinkToFit="false"/>
      <protection locked="true" hidden="false"/>
    </xf>
    <xf numFmtId="165"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3" xfId="56" applyFont="true" applyBorder="true" applyAlignment="true" applyProtection="false">
      <alignment horizontal="right" vertical="bottom" textRotation="0" wrapText="false" indent="0" shrinkToFit="false"/>
      <protection locked="true" hidden="false"/>
    </xf>
    <xf numFmtId="166"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4" xfId="56" applyFont="true" applyBorder="true" applyAlignment="true" applyProtection="false">
      <alignment horizontal="right" vertical="bottom" textRotation="0" wrapText="false" indent="0" shrinkToFit="false"/>
      <protection locked="true" hidden="false"/>
    </xf>
    <xf numFmtId="166" fontId="20" fillId="18" borderId="25" xfId="56" applyFont="true" applyBorder="true" applyAlignment="true" applyProtection="false">
      <alignment horizontal="right" vertical="bottom" textRotation="0" wrapText="false" indent="0" shrinkToFit="false"/>
      <protection locked="true" hidden="false"/>
    </xf>
    <xf numFmtId="167" fontId="20" fillId="18" borderId="21" xfId="56" applyFont="true" applyBorder="true" applyAlignment="true" applyProtection="false">
      <alignment horizontal="right" vertical="bottom" textRotation="0" wrapText="false" indent="0" shrinkToFit="false"/>
      <protection locked="true" hidden="false"/>
    </xf>
    <xf numFmtId="170" fontId="20" fillId="18" borderId="25" xfId="56" applyFont="true" applyBorder="true" applyAlignment="true" applyProtection="false">
      <alignment horizontal="right" vertical="bottom" textRotation="0" wrapText="false" indent="0" shrinkToFit="false"/>
      <protection locked="true" hidden="false"/>
    </xf>
    <xf numFmtId="168" fontId="20" fillId="18" borderId="22" xfId="56" applyFont="true" applyBorder="true" applyAlignment="true" applyProtection="false">
      <alignment horizontal="right" vertical="bottom" textRotation="0" wrapText="false" indent="0" shrinkToFit="false"/>
      <protection locked="true" hidden="false"/>
    </xf>
    <xf numFmtId="169" fontId="20" fillId="18" borderId="21" xfId="56" applyFont="true" applyBorder="true" applyAlignment="true" applyProtection="false">
      <alignment horizontal="right" vertical="bottom" textRotation="0" wrapText="false" indent="0" shrinkToFit="false"/>
      <protection locked="true" hidden="false"/>
    </xf>
    <xf numFmtId="169" fontId="20" fillId="18" borderId="23" xfId="56" applyFont="true" applyBorder="true" applyAlignment="true" applyProtection="false">
      <alignment horizontal="right" vertical="bottom" textRotation="0" wrapText="false" indent="0" shrinkToFit="false"/>
      <protection locked="true" hidden="false"/>
    </xf>
    <xf numFmtId="169" fontId="20" fillId="18" borderId="21" xfId="56" applyFont="true" applyBorder="true" applyAlignment="true" applyProtection="false">
      <alignment horizontal="general" vertical="bottom" textRotation="0" wrapText="false" indent="0" shrinkToFit="false"/>
      <protection locked="true" hidden="false"/>
    </xf>
    <xf numFmtId="170" fontId="20" fillId="0" borderId="15" xfId="56" applyFont="true" applyBorder="true" applyAlignment="true" applyProtection="false">
      <alignment horizontal="right" vertical="bottom" textRotation="0" wrapText="false" indent="0" shrinkToFit="false"/>
      <protection locked="true" hidden="false"/>
    </xf>
    <xf numFmtId="170" fontId="20" fillId="0" borderId="19" xfId="56" applyFont="true" applyBorder="true" applyAlignment="true" applyProtection="false">
      <alignment horizontal="right" vertical="bottom" textRotation="0" wrapText="false" indent="0" shrinkToFit="false"/>
      <protection locked="true" hidden="false"/>
    </xf>
    <xf numFmtId="170" fontId="20" fillId="0" borderId="20" xfId="56" applyFont="true" applyBorder="true" applyAlignment="true" applyProtection="false">
      <alignment horizontal="right" vertical="bottom" textRotation="0" wrapText="false" indent="0" shrinkToFit="false"/>
      <protection locked="true" hidden="false"/>
    </xf>
    <xf numFmtId="164" fontId="20" fillId="0" borderId="15" xfId="56" applyFont="true" applyBorder="true" applyAlignment="true" applyProtection="false">
      <alignment horizontal="right" vertical="bottom" textRotation="0" wrapText="false" indent="0" shrinkToFit="false"/>
      <protection locked="true" hidden="false"/>
    </xf>
    <xf numFmtId="170" fontId="20" fillId="18" borderId="22" xfId="56" applyFont="true" applyBorder="true" applyAlignment="true" applyProtection="false">
      <alignment horizontal="right" vertical="bottom" textRotation="0" wrapText="false" indent="0" shrinkToFit="false"/>
      <protection locked="true" hidden="false"/>
    </xf>
    <xf numFmtId="170" fontId="20" fillId="0" borderId="21" xfId="56" applyFont="true" applyBorder="true" applyAlignment="true" applyProtection="false">
      <alignment horizontal="right" vertical="bottom" textRotation="0" wrapText="false" indent="0" shrinkToFit="false"/>
      <protection locked="true" hidden="false"/>
    </xf>
    <xf numFmtId="170" fontId="20" fillId="0" borderId="24" xfId="56" applyFont="true" applyBorder="true" applyAlignment="true" applyProtection="false">
      <alignment horizontal="right" vertical="bottom" textRotation="0" wrapText="false" indent="0" shrinkToFit="false"/>
      <protection locked="true" hidden="false"/>
    </xf>
    <xf numFmtId="165" fontId="20" fillId="18" borderId="23" xfId="56" applyFont="true" applyBorder="true" applyAlignment="true" applyProtection="false">
      <alignment horizontal="right" vertical="bottom" textRotation="0" wrapText="false" indent="0" shrinkToFit="false"/>
      <protection locked="true" hidden="false"/>
    </xf>
    <xf numFmtId="165" fontId="20" fillId="18" borderId="24" xfId="56" applyFont="true" applyBorder="true" applyAlignment="true" applyProtection="false">
      <alignment horizontal="right" vertical="bottom" textRotation="0" wrapText="false" indent="0" shrinkToFit="false"/>
      <protection locked="true" hidden="false"/>
    </xf>
    <xf numFmtId="165" fontId="20" fillId="18" borderId="25" xfId="56" applyFont="true" applyBorder="true" applyAlignment="true" applyProtection="false">
      <alignment horizontal="right" vertical="bottom" textRotation="0" wrapText="false" indent="0" shrinkToFit="false"/>
      <protection locked="true" hidden="false"/>
    </xf>
    <xf numFmtId="165" fontId="20" fillId="18" borderId="22" xfId="56" applyFont="true" applyBorder="true" applyAlignment="true" applyProtection="false">
      <alignment horizontal="right" vertical="bottom" textRotation="0" wrapText="false" indent="0" shrinkToFit="false"/>
      <protection locked="true" hidden="false"/>
    </xf>
    <xf numFmtId="165" fontId="20" fillId="18" borderId="21" xfId="56" applyFont="true" applyBorder="true" applyAlignment="true" applyProtection="false">
      <alignment horizontal="general" vertical="bottom" textRotation="0" wrapText="false" indent="0" shrinkToFit="false"/>
      <protection locked="true" hidden="false"/>
    </xf>
    <xf numFmtId="168" fontId="20" fillId="18" borderId="21" xfId="56" applyFont="true" applyBorder="true" applyAlignment="true" applyProtection="false">
      <alignment horizontal="right" vertical="bottom" textRotation="0" wrapText="false" indent="0" shrinkToFit="false"/>
      <protection locked="true" hidden="false"/>
    </xf>
    <xf numFmtId="168" fontId="20" fillId="18" borderId="23" xfId="56" applyFont="true" applyBorder="true" applyAlignment="true" applyProtection="false">
      <alignment horizontal="right" vertical="bottom" textRotation="0" wrapText="false" indent="0" shrinkToFit="false"/>
      <protection locked="true" hidden="false"/>
    </xf>
    <xf numFmtId="168" fontId="20" fillId="18" borderId="21" xfId="56" applyFont="true" applyBorder="true" applyAlignment="true" applyProtection="false">
      <alignment horizontal="general" vertical="bottom" textRotation="0" wrapText="false" indent="0" shrinkToFit="false"/>
      <protection locked="true" hidden="false"/>
    </xf>
    <xf numFmtId="169" fontId="20" fillId="0" borderId="29" xfId="56" applyFont="true" applyBorder="true" applyAlignment="true" applyProtection="false">
      <alignment horizontal="right" vertical="bottom" textRotation="0" wrapText="false" indent="0" shrinkToFit="false"/>
      <protection locked="true" hidden="false"/>
    </xf>
    <xf numFmtId="165" fontId="20" fillId="0" borderId="30" xfId="56" applyFont="true" applyBorder="true" applyAlignment="true" applyProtection="false">
      <alignment horizontal="right" vertical="bottom" textRotation="0" wrapText="false" indent="0" shrinkToFit="false"/>
      <protection locked="true" hidden="false"/>
    </xf>
    <xf numFmtId="165" fontId="20" fillId="0" borderId="29" xfId="56" applyFont="true" applyBorder="true" applyAlignment="true" applyProtection="false">
      <alignment horizontal="right" vertical="bottom" textRotation="0" wrapText="false" indent="0" shrinkToFit="false"/>
      <protection locked="true" hidden="false"/>
    </xf>
    <xf numFmtId="170" fontId="20" fillId="18" borderId="21" xfId="56" applyFont="true" applyBorder="true" applyAlignment="true" applyProtection="false">
      <alignment horizontal="general" vertical="bottom" textRotation="0" wrapText="false" indent="0" shrinkToFit="false"/>
      <protection locked="true" hidden="false"/>
    </xf>
    <xf numFmtId="174" fontId="20" fillId="0" borderId="0" xfId="56" applyFont="true" applyBorder="true" applyAlignment="false" applyProtection="false">
      <alignment horizontal="general" vertical="bottom" textRotation="0" wrapText="false" indent="0" shrinkToFit="false"/>
      <protection locked="true" hidden="false"/>
    </xf>
    <xf numFmtId="173" fontId="20" fillId="0" borderId="0" xfId="56" applyFont="true" applyBorder="true" applyAlignment="false" applyProtection="false">
      <alignment horizontal="general" vertical="bottom" textRotation="0" wrapText="false" indent="0" shrinkToFit="false"/>
      <protection locked="true" hidden="false"/>
    </xf>
    <xf numFmtId="175" fontId="20" fillId="0" borderId="0" xfId="56" applyFont="true" applyBorder="true" applyAlignment="false" applyProtection="false">
      <alignment horizontal="general" vertical="bottom" textRotation="0" wrapText="false" indent="0" shrinkToFit="false"/>
      <protection locked="true" hidden="false"/>
    </xf>
    <xf numFmtId="176" fontId="20" fillId="0" borderId="0" xfId="56" applyFont="true" applyBorder="true" applyAlignment="false" applyProtection="false">
      <alignment horizontal="general" vertical="bottom" textRotation="0" wrapText="false" indent="0" shrinkToFit="false"/>
      <protection locked="true" hidden="false"/>
    </xf>
    <xf numFmtId="177" fontId="20" fillId="0" borderId="0" xfId="56" applyFont="true" applyBorder="true" applyAlignment="false" applyProtection="false">
      <alignment horizontal="general" vertical="bottom" textRotation="0" wrapText="false" indent="0" shrinkToFit="false"/>
      <protection locked="true" hidden="false"/>
    </xf>
    <xf numFmtId="177" fontId="20" fillId="0" borderId="10" xfId="56" applyFont="true" applyBorder="true" applyAlignment="false" applyProtection="false">
      <alignment horizontal="general" vertical="bottom" textRotation="0" wrapText="false" indent="0" shrinkToFit="false"/>
      <protection locked="true" hidden="false"/>
    </xf>
    <xf numFmtId="170" fontId="22" fillId="0" borderId="10" xfId="56" applyFont="true" applyBorder="true" applyAlignment="true" applyProtection="false">
      <alignment horizontal="center" vertical="bottom" textRotation="0" wrapText="false" indent="0" shrinkToFit="false"/>
      <protection locked="true" hidden="false"/>
    </xf>
    <xf numFmtId="164" fontId="20" fillId="0" borderId="10" xfId="56" applyFont="true" applyBorder="true" applyAlignment="true" applyProtection="false">
      <alignment horizontal="center" vertical="bottom" textRotation="0" wrapText="false" indent="0" shrinkToFit="false"/>
      <protection locked="true" hidden="false"/>
    </xf>
    <xf numFmtId="172" fontId="23" fillId="0" borderId="12" xfId="56" applyFont="true" applyBorder="true" applyAlignment="true" applyProtection="false">
      <alignment horizontal="center" vertical="bottom" textRotation="0" wrapText="false" indent="0" shrinkToFit="false"/>
      <protection locked="true" hidden="false"/>
    </xf>
    <xf numFmtId="164" fontId="20" fillId="0" borderId="12" xfId="56" applyFont="true" applyBorder="true" applyAlignment="true" applyProtection="false">
      <alignment horizontal="center" vertical="bottom" textRotation="0" wrapText="false" indent="0" shrinkToFit="false"/>
      <protection locked="true" hidden="false"/>
    </xf>
    <xf numFmtId="168" fontId="22" fillId="0" borderId="0" xfId="56" applyFont="true" applyBorder="true" applyAlignment="true" applyProtection="false">
      <alignment horizontal="center" vertical="bottom" textRotation="0" wrapText="false" indent="0" shrinkToFit="false"/>
      <protection locked="true" hidden="false"/>
    </xf>
    <xf numFmtId="177" fontId="24" fillId="0" borderId="18" xfId="56" applyFont="true" applyBorder="true" applyAlignment="true" applyProtection="false">
      <alignment horizontal="center" vertical="bottom" textRotation="0" wrapText="false" indent="0" shrinkToFit="false"/>
      <protection locked="true" hidden="false"/>
    </xf>
    <xf numFmtId="177" fontId="22" fillId="0" borderId="19" xfId="56" applyFont="true" applyBorder="true" applyAlignment="true" applyProtection="false">
      <alignment horizontal="center" vertical="bottom" textRotation="0" wrapText="false" indent="0" shrinkToFit="false"/>
      <protection locked="true" hidden="false"/>
    </xf>
    <xf numFmtId="168" fontId="20" fillId="0" borderId="0" xfId="56" applyFont="true" applyBorder="true" applyAlignment="true" applyProtection="false">
      <alignment horizontal="center" vertical="bottom" textRotation="0" wrapText="false" indent="0" shrinkToFit="false"/>
      <protection locked="true" hidden="false"/>
    </xf>
    <xf numFmtId="177" fontId="20" fillId="0" borderId="19" xfId="56" applyFont="true" applyBorder="true" applyAlignment="true" applyProtection="false">
      <alignment horizontal="center" vertical="bottom" textRotation="0" wrapText="false" indent="0" shrinkToFit="false"/>
      <protection locked="true" hidden="false"/>
    </xf>
    <xf numFmtId="173" fontId="20" fillId="0" borderId="0" xfId="56" applyFont="true" applyBorder="true" applyAlignment="true" applyProtection="false">
      <alignment horizontal="center" vertical="bottom" textRotation="0" wrapText="false" indent="0" shrinkToFit="false"/>
      <protection locked="true" hidden="false"/>
    </xf>
    <xf numFmtId="170" fontId="20" fillId="0" borderId="14" xfId="56" applyFont="true" applyBorder="true" applyAlignment="false" applyProtection="false">
      <alignment horizontal="general" vertical="bottom" textRotation="0" wrapText="false" indent="0" shrinkToFit="false"/>
      <protection locked="true" hidden="false"/>
    </xf>
    <xf numFmtId="165" fontId="20" fillId="0" borderId="15" xfId="56" applyFont="true" applyBorder="true" applyAlignment="false" applyProtection="false">
      <alignment horizontal="general" vertical="bottom" textRotation="0" wrapText="false" indent="0" shrinkToFit="false"/>
      <protection locked="true" hidden="false"/>
    </xf>
    <xf numFmtId="177" fontId="20" fillId="0" borderId="19" xfId="56" applyFont="true" applyBorder="true" applyAlignment="false" applyProtection="false">
      <alignment horizontal="general" vertical="bottom" textRotation="0" wrapText="false" indent="0" shrinkToFit="false"/>
      <protection locked="true" hidden="false"/>
    </xf>
    <xf numFmtId="166" fontId="20" fillId="0" borderId="20"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false" applyProtection="false">
      <alignment horizontal="general" vertical="bottom" textRotation="0" wrapText="false" indent="0" shrinkToFit="false"/>
      <protection locked="true" hidden="false"/>
    </xf>
    <xf numFmtId="173" fontId="20" fillId="0" borderId="14" xfId="56" applyFont="true" applyBorder="true" applyAlignment="false" applyProtection="false">
      <alignment horizontal="general" vertical="bottom" textRotation="0" wrapText="false" indent="0" shrinkToFit="false"/>
      <protection locked="true" hidden="false"/>
    </xf>
    <xf numFmtId="178" fontId="20" fillId="0" borderId="0" xfId="56" applyFont="true" applyBorder="true" applyAlignment="false" applyProtection="false">
      <alignment horizontal="general" vertical="bottom" textRotation="0" wrapText="false" indent="0" shrinkToFit="false"/>
      <protection locked="true" hidden="false"/>
    </xf>
    <xf numFmtId="178" fontId="20" fillId="0" borderId="19" xfId="56" applyFont="true" applyBorder="true" applyAlignment="false" applyProtection="false">
      <alignment horizontal="general" vertical="bottom" textRotation="0" wrapText="false" indent="0" shrinkToFit="false"/>
      <protection locked="true" hidden="false"/>
    </xf>
    <xf numFmtId="165" fontId="20" fillId="0" borderId="28" xfId="56" applyFont="true" applyBorder="true" applyAlignment="false" applyProtection="false">
      <alignment horizontal="general" vertical="bottom" textRotation="0" wrapText="false" indent="0" shrinkToFit="false"/>
      <protection locked="true" hidden="false"/>
    </xf>
    <xf numFmtId="166" fontId="20" fillId="0" borderId="29" xfId="56" applyFont="true" applyBorder="true" applyAlignment="false" applyProtection="false">
      <alignment horizontal="general" vertical="bottom" textRotation="0" wrapText="false" indent="0" shrinkToFit="false"/>
      <protection locked="true" hidden="false"/>
    </xf>
    <xf numFmtId="173" fontId="20" fillId="18" borderId="22" xfId="56" applyFont="true" applyBorder="true" applyAlignment="false" applyProtection="false">
      <alignment horizontal="general" vertical="bottom" textRotation="0" wrapText="false" indent="0" shrinkToFit="false"/>
      <protection locked="true" hidden="false"/>
    </xf>
    <xf numFmtId="165" fontId="20" fillId="18" borderId="21" xfId="56" applyFont="true" applyBorder="true" applyAlignment="false" applyProtection="false">
      <alignment horizontal="general" vertical="bottom" textRotation="0" wrapText="false" indent="0" shrinkToFit="false"/>
      <protection locked="true" hidden="false"/>
    </xf>
    <xf numFmtId="170" fontId="20" fillId="18" borderId="23" xfId="56" applyFont="true" applyBorder="true" applyAlignment="false" applyProtection="false">
      <alignment horizontal="general" vertical="bottom" textRotation="0" wrapText="false" indent="0" shrinkToFit="false"/>
      <protection locked="true" hidden="false"/>
    </xf>
    <xf numFmtId="168" fontId="20" fillId="18" borderId="21" xfId="56" applyFont="true" applyBorder="true" applyAlignment="false" applyProtection="false">
      <alignment horizontal="general" vertical="bottom" textRotation="0" wrapText="false" indent="0" shrinkToFit="false"/>
      <protection locked="true" hidden="false"/>
    </xf>
    <xf numFmtId="177" fontId="20" fillId="18" borderId="24" xfId="56" applyFont="true" applyBorder="true" applyAlignment="false" applyProtection="false">
      <alignment horizontal="general" vertical="bottom" textRotation="0" wrapText="false" indent="0" shrinkToFit="false"/>
      <protection locked="true" hidden="false"/>
    </xf>
    <xf numFmtId="166" fontId="20" fillId="18" borderId="21" xfId="56" applyFont="true" applyBorder="true" applyAlignment="false" applyProtection="false">
      <alignment horizontal="general" vertical="bottom" textRotation="0" wrapText="false" indent="0" shrinkToFit="false"/>
      <protection locked="true" hidden="false"/>
    </xf>
    <xf numFmtId="166" fontId="20" fillId="18" borderId="25" xfId="56" applyFont="true" applyBorder="true" applyAlignment="false" applyProtection="false">
      <alignment horizontal="general" vertical="bottom" textRotation="0" wrapText="false" indent="0" shrinkToFit="false"/>
      <protection locked="true" hidden="false"/>
    </xf>
    <xf numFmtId="168" fontId="20" fillId="18" borderId="22" xfId="56" applyFont="true" applyBorder="true" applyAlignment="false" applyProtection="false">
      <alignment horizontal="general" vertical="bottom" textRotation="0" wrapText="false" indent="0" shrinkToFit="false"/>
      <protection locked="true" hidden="false"/>
    </xf>
    <xf numFmtId="169" fontId="20" fillId="18" borderId="21" xfId="56" applyFont="true" applyBorder="true" applyAlignment="false" applyProtection="false">
      <alignment horizontal="general" vertical="bottom" textRotation="0" wrapText="false" indent="0" shrinkToFit="false"/>
      <protection locked="true" hidden="false"/>
    </xf>
    <xf numFmtId="169" fontId="20" fillId="18" borderId="23" xfId="56" applyFont="true" applyBorder="true" applyAlignment="false" applyProtection="false">
      <alignment horizontal="general" vertical="bottom" textRotation="0" wrapText="false" indent="0" shrinkToFit="false"/>
      <protection locked="true" hidden="false"/>
    </xf>
    <xf numFmtId="169" fontId="20" fillId="18" borderId="21" xfId="56" applyFont="true" applyBorder="true" applyAlignment="true" applyProtection="false">
      <alignment horizontal="center" vertical="bottom" textRotation="0" wrapText="false" indent="0" shrinkToFit="false"/>
      <protection locked="true" hidden="false"/>
    </xf>
    <xf numFmtId="170" fontId="20" fillId="0" borderId="15" xfId="56" applyFont="true" applyBorder="true" applyAlignment="false" applyProtection="false">
      <alignment horizontal="general" vertical="bottom" textRotation="0" wrapText="false" indent="0" shrinkToFit="false"/>
      <protection locked="true" hidden="false"/>
    </xf>
    <xf numFmtId="173" fontId="20" fillId="0" borderId="0" xfId="0" applyFont="true" applyBorder="true" applyAlignment="false" applyProtection="false">
      <alignment horizontal="general" vertical="bottom" textRotation="0" wrapText="false" indent="0" shrinkToFit="false"/>
      <protection locked="true" hidden="false"/>
    </xf>
    <xf numFmtId="164" fontId="20" fillId="0" borderId="15" xfId="56" applyFont="true" applyBorder="true" applyAlignment="false" applyProtection="false">
      <alignment horizontal="general" vertical="bottom" textRotation="0" wrapText="false" indent="0" shrinkToFit="false"/>
      <protection locked="true" hidden="false"/>
    </xf>
    <xf numFmtId="170" fontId="20" fillId="18" borderId="22" xfId="56" applyFont="true" applyBorder="true" applyAlignment="false" applyProtection="false">
      <alignment horizontal="general" vertical="bottom" textRotation="0" wrapText="false" indent="0" shrinkToFit="false"/>
      <protection locked="true" hidden="false"/>
    </xf>
    <xf numFmtId="165" fontId="20" fillId="18" borderId="23" xfId="56" applyFont="true" applyBorder="true" applyAlignment="false" applyProtection="false">
      <alignment horizontal="general" vertical="bottom" textRotation="0" wrapText="false" indent="0" shrinkToFit="false"/>
      <protection locked="true" hidden="false"/>
    </xf>
    <xf numFmtId="178" fontId="20" fillId="18" borderId="21" xfId="56" applyFont="true" applyBorder="true" applyAlignment="false" applyProtection="false">
      <alignment horizontal="general" vertical="bottom" textRotation="0" wrapText="false" indent="0" shrinkToFit="false"/>
      <protection locked="true" hidden="false"/>
    </xf>
    <xf numFmtId="178" fontId="20" fillId="18" borderId="24" xfId="56" applyFont="true" applyBorder="true" applyAlignment="false" applyProtection="false">
      <alignment horizontal="general" vertical="bottom" textRotation="0" wrapText="false" indent="0" shrinkToFit="false"/>
      <protection locked="true" hidden="false"/>
    </xf>
    <xf numFmtId="165" fontId="20" fillId="18" borderId="22" xfId="56" applyFont="true" applyBorder="true" applyAlignment="false" applyProtection="false">
      <alignment horizontal="general" vertical="bottom" textRotation="0" wrapText="false" indent="0" shrinkToFit="false"/>
      <protection locked="true" hidden="false"/>
    </xf>
    <xf numFmtId="165" fontId="20" fillId="18" borderId="21" xfId="56" applyFont="true" applyBorder="true" applyAlignment="true" applyProtection="false">
      <alignment horizontal="center" vertical="bottom" textRotation="0" wrapText="false" indent="0" shrinkToFit="false"/>
      <protection locked="true" hidden="false"/>
    </xf>
    <xf numFmtId="168" fontId="20" fillId="18" borderId="23" xfId="56" applyFont="true" applyBorder="true" applyAlignment="false" applyProtection="false">
      <alignment horizontal="general" vertical="bottom" textRotation="0" wrapText="false" indent="0" shrinkToFit="false"/>
      <protection locked="true" hidden="false"/>
    </xf>
    <xf numFmtId="168" fontId="20" fillId="18" borderId="21" xfId="56" applyFont="true" applyBorder="true" applyAlignment="true" applyProtection="false">
      <alignment horizontal="center" vertical="bottom" textRotation="0" wrapText="false" indent="0" shrinkToFit="false"/>
      <protection locked="true" hidden="false"/>
    </xf>
    <xf numFmtId="169" fontId="20" fillId="0" borderId="20" xfId="56" applyFont="true" applyBorder="true" applyAlignment="false" applyProtection="false">
      <alignment horizontal="general" vertical="bottom" textRotation="0" wrapText="false" indent="0" shrinkToFit="false"/>
      <protection locked="true" hidden="false"/>
    </xf>
    <xf numFmtId="170" fontId="20" fillId="18" borderId="21" xfId="56"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9" fontId="22" fillId="0" borderId="0" xfId="56" applyFont="true" applyBorder="true" applyAlignment="false" applyProtection="false">
      <alignment horizontal="general" vertical="bottom" textRotation="0" wrapText="false" indent="0" shrinkToFit="false"/>
      <protection locked="true" hidden="false"/>
    </xf>
    <xf numFmtId="169" fontId="22" fillId="0" borderId="10" xfId="56" applyFont="true" applyBorder="true" applyAlignment="false" applyProtection="false">
      <alignment horizontal="general" vertical="bottom" textRotation="0" wrapText="false" indent="0" shrinkToFit="false"/>
      <protection locked="true" hidden="false"/>
    </xf>
    <xf numFmtId="164" fontId="22" fillId="0" borderId="12" xfId="56" applyFont="true" applyBorder="true" applyAlignment="false" applyProtection="false">
      <alignment horizontal="general" vertical="bottom" textRotation="0" wrapText="false" indent="0" shrinkToFit="false"/>
      <protection locked="true" hidden="false"/>
    </xf>
    <xf numFmtId="177" fontId="22" fillId="0" borderId="0" xfId="56" applyFont="true" applyBorder="true" applyAlignment="true" applyProtection="false">
      <alignment horizontal="center" vertical="bottom" textRotation="0" wrapText="false" indent="0" shrinkToFit="false"/>
      <protection locked="true" hidden="false"/>
    </xf>
    <xf numFmtId="177" fontId="20" fillId="0" borderId="0" xfId="56" applyFont="true" applyBorder="true" applyAlignment="true" applyProtection="false">
      <alignment horizontal="center" vertical="bottom" textRotation="0" wrapText="false" indent="0" shrinkToFit="false"/>
      <protection locked="true" hidden="false"/>
    </xf>
    <xf numFmtId="177" fontId="20" fillId="0" borderId="0" xfId="56" applyFont="true" applyBorder="true" applyAlignment="true" applyProtection="false">
      <alignment horizontal="right" vertical="bottom" textRotation="0" wrapText="false" indent="0" shrinkToFit="false"/>
      <protection locked="true" hidden="false"/>
    </xf>
    <xf numFmtId="164" fontId="22" fillId="0" borderId="0" xfId="56" applyFont="true" applyBorder="true" applyAlignment="true" applyProtection="false">
      <alignment horizontal="right" vertical="bottom" textRotation="0" wrapText="false" indent="0" shrinkToFit="false"/>
      <protection locked="true" hidden="false"/>
    </xf>
    <xf numFmtId="178" fontId="20" fillId="0" borderId="0" xfId="56" applyFont="true" applyBorder="true" applyAlignment="true" applyProtection="false">
      <alignment horizontal="right" vertical="bottom" textRotation="0" wrapText="false" indent="0" shrinkToFit="false"/>
      <protection locked="true" hidden="false"/>
    </xf>
    <xf numFmtId="177" fontId="20" fillId="18" borderId="21" xfId="56" applyFont="true" applyBorder="true" applyAlignment="true" applyProtection="false">
      <alignment horizontal="right" vertical="bottom" textRotation="0" wrapText="false" indent="0" shrinkToFit="false"/>
      <protection locked="true" hidden="false"/>
    </xf>
    <xf numFmtId="165" fontId="22" fillId="18" borderId="21" xfId="56" applyFont="true" applyBorder="true" applyAlignment="true" applyProtection="false">
      <alignment horizontal="right" vertical="bottom" textRotation="0" wrapText="false" indent="0" shrinkToFit="false"/>
      <protection locked="true" hidden="false"/>
    </xf>
    <xf numFmtId="169" fontId="22" fillId="18" borderId="21" xfId="56" applyFont="true" applyBorder="true" applyAlignment="true" applyProtection="false">
      <alignment horizontal="right" vertical="bottom" textRotation="0" wrapText="false" indent="0" shrinkToFit="false"/>
      <protection locked="true" hidden="false"/>
    </xf>
    <xf numFmtId="166" fontId="20" fillId="0" borderId="0" xfId="0" applyFont="true" applyBorder="true" applyAlignment="true" applyProtection="false">
      <alignment horizontal="right" vertical="bottom" textRotation="0" wrapText="false" indent="0" shrinkToFit="false"/>
      <protection locked="true" hidden="false"/>
    </xf>
    <xf numFmtId="165" fontId="20" fillId="0" borderId="0" xfId="15" applyFont="true" applyBorder="true" applyAlignment="true" applyProtection="true">
      <alignment horizontal="right" vertical="bottom" textRotation="0" wrapText="false" indent="0" shrinkToFit="false"/>
      <protection locked="true" hidden="false"/>
    </xf>
    <xf numFmtId="168" fontId="20" fillId="0" borderId="14" xfId="56" applyFont="true" applyBorder="true" applyAlignment="true" applyProtection="false">
      <alignment horizontal="right" vertical="bottom" textRotation="0" wrapText="false" indent="0" shrinkToFit="false"/>
      <protection locked="true" hidden="false"/>
    </xf>
    <xf numFmtId="170" fontId="22" fillId="18" borderId="21" xfId="56" applyFont="true" applyBorder="true" applyAlignment="false" applyProtection="false">
      <alignment horizontal="general" vertical="bottom" textRotation="0" wrapText="false" indent="0" shrinkToFit="false"/>
      <protection locked="true" hidden="false"/>
    </xf>
    <xf numFmtId="170" fontId="22" fillId="18" borderId="21" xfId="56" applyFont="true" applyBorder="true" applyAlignment="true" applyProtection="false">
      <alignment horizontal="right" vertical="bottom" textRotation="0" wrapText="false" indent="0" shrinkToFit="false"/>
      <protection locked="true" hidden="false"/>
    </xf>
    <xf numFmtId="169" fontId="20" fillId="0" borderId="14" xfId="56" applyFont="true" applyBorder="true" applyAlignment="true" applyProtection="false">
      <alignment horizontal="right" vertical="bottom" textRotation="0" wrapText="false" indent="0" shrinkToFit="false"/>
      <protection locked="true" hidden="false"/>
    </xf>
    <xf numFmtId="169" fontId="20" fillId="0" borderId="31" xfId="56" applyFont="true" applyBorder="true" applyAlignment="true" applyProtection="false">
      <alignment horizontal="right" vertical="bottom" textRotation="0" wrapText="false" indent="0" shrinkToFit="false"/>
      <protection locked="true" hidden="false"/>
    </xf>
    <xf numFmtId="166" fontId="20" fillId="0" borderId="32" xfId="56" applyFont="true" applyBorder="true" applyAlignment="true" applyProtection="false">
      <alignment horizontal="right" vertical="bottom" textRotation="0" wrapText="false" indent="0" shrinkToFit="false"/>
      <protection locked="true" hidden="false"/>
    </xf>
    <xf numFmtId="169" fontId="20" fillId="0" borderId="19" xfId="56" applyFont="true" applyBorder="true" applyAlignment="true" applyProtection="false">
      <alignment horizontal="right" vertical="bottom" textRotation="0" wrapText="false" indent="0" shrinkToFit="false"/>
      <protection locked="true" hidden="false"/>
    </xf>
    <xf numFmtId="169" fontId="22" fillId="0" borderId="0" xfId="56" applyFont="true" applyBorder="true" applyAlignment="true" applyProtection="false">
      <alignment horizontal="right" vertical="bottom" textRotation="0" wrapText="false" indent="0" shrinkToFit="false"/>
      <protection locked="true" hidden="false"/>
    </xf>
    <xf numFmtId="169" fontId="20" fillId="18" borderId="22" xfId="56" applyFont="true" applyBorder="true" applyAlignment="true" applyProtection="false">
      <alignment horizontal="right" vertical="bottom" textRotation="0" wrapText="false" indent="0" shrinkToFit="false"/>
      <protection locked="true" hidden="false"/>
    </xf>
    <xf numFmtId="169" fontId="20" fillId="18" borderId="24" xfId="56" applyFont="true" applyBorder="true" applyAlignment="true" applyProtection="false">
      <alignment horizontal="right" vertical="bottom" textRotation="0" wrapText="false" indent="0" shrinkToFit="false"/>
      <protection locked="true" hidden="false"/>
    </xf>
    <xf numFmtId="169" fontId="20" fillId="18" borderId="25" xfId="56" applyFont="true" applyBorder="true" applyAlignment="true" applyProtection="false">
      <alignment horizontal="right" vertical="bottom" textRotation="0" wrapText="false" indent="0" shrinkToFit="false"/>
      <protection locked="true" hidden="false"/>
    </xf>
    <xf numFmtId="166" fontId="20" fillId="0" borderId="14" xfId="56" applyFont="true" applyBorder="true" applyAlignment="true" applyProtection="false">
      <alignment horizontal="right" vertical="bottom" textRotation="0" wrapText="false" indent="0" shrinkToFit="false"/>
      <protection locked="true" hidden="false"/>
    </xf>
    <xf numFmtId="169" fontId="20" fillId="0" borderId="20" xfId="56" applyFont="true" applyBorder="true" applyAlignment="true" applyProtection="false">
      <alignment horizontal="right" vertical="bottom" textRotation="0" wrapText="false" indent="0" shrinkToFit="false"/>
      <protection locked="true" hidden="false"/>
    </xf>
    <xf numFmtId="177" fontId="20" fillId="0" borderId="0" xfId="0" applyFont="true" applyBorder="false" applyAlignment="false" applyProtection="false">
      <alignment horizontal="general" vertical="bottom" textRotation="0" wrapText="false" indent="0" shrinkToFit="false"/>
      <protection locked="true" hidden="false"/>
    </xf>
    <xf numFmtId="167" fontId="22" fillId="0" borderId="0" xfId="56" applyFont="true" applyBorder="true" applyAlignment="false" applyProtection="false">
      <alignment horizontal="general" vertical="bottom" textRotation="0" wrapText="false" indent="0" shrinkToFit="false"/>
      <protection locked="true" hidden="false"/>
    </xf>
    <xf numFmtId="166" fontId="20" fillId="0" borderId="10" xfId="56" applyFont="true" applyBorder="true" applyAlignment="true" applyProtection="false">
      <alignment horizontal="center" vertical="bottom" textRotation="0" wrapText="false" indent="0" shrinkToFit="false"/>
      <protection locked="true" hidden="false"/>
    </xf>
    <xf numFmtId="167" fontId="22" fillId="0" borderId="10" xfId="56" applyFont="true" applyBorder="true" applyAlignment="false" applyProtection="false">
      <alignment horizontal="general" vertical="bottom" textRotation="0" wrapText="false" indent="0" shrinkToFit="false"/>
      <protection locked="true" hidden="false"/>
    </xf>
    <xf numFmtId="170" fontId="22" fillId="2" borderId="0" xfId="56" applyFont="true" applyBorder="true" applyAlignment="true" applyProtection="false">
      <alignment horizontal="center" vertical="bottom" textRotation="0" wrapText="false" indent="0" shrinkToFit="false"/>
      <protection locked="true" hidden="false"/>
    </xf>
    <xf numFmtId="168" fontId="22" fillId="2" borderId="0" xfId="56" applyFont="true" applyBorder="true" applyAlignment="true" applyProtection="false">
      <alignment horizontal="center" vertical="bottom" textRotation="0" wrapText="false" indent="0" shrinkToFit="false"/>
      <protection locked="true" hidden="false"/>
    </xf>
    <xf numFmtId="170" fontId="24" fillId="0" borderId="16" xfId="56" applyFont="true" applyBorder="true" applyAlignment="true" applyProtection="false">
      <alignment horizontal="center" vertical="bottom" textRotation="0" wrapText="false" indent="0" shrinkToFit="false"/>
      <protection locked="true" hidden="false"/>
    </xf>
    <xf numFmtId="166" fontId="22" fillId="0" borderId="17" xfId="56" applyFont="true" applyBorder="true" applyAlignment="true" applyProtection="false">
      <alignment horizontal="center" vertical="bottom" textRotation="0" wrapText="false" indent="0" shrinkToFit="false"/>
      <protection locked="true" hidden="false"/>
    </xf>
    <xf numFmtId="168" fontId="20" fillId="0" borderId="0" xfId="56" applyFont="true" applyBorder="true" applyAlignment="true" applyProtection="false">
      <alignment horizontal="right" vertical="bottom" textRotation="0" wrapText="false" indent="0" shrinkToFit="false"/>
      <protection locked="true" hidden="false"/>
    </xf>
    <xf numFmtId="166" fontId="20" fillId="0" borderId="20" xfId="56" applyFont="true" applyBorder="true" applyAlignment="true" applyProtection="false">
      <alignment horizontal="center" vertical="bottom" textRotation="0" wrapText="false" indent="0" shrinkToFit="false"/>
      <protection locked="true" hidden="false"/>
    </xf>
    <xf numFmtId="167" fontId="22" fillId="0" borderId="0" xfId="56" applyFont="true" applyBorder="true" applyAlignment="true" applyProtection="false">
      <alignment horizontal="right" vertical="bottom" textRotation="0" wrapText="false" indent="0" shrinkToFit="false"/>
      <protection locked="true" hidden="false"/>
    </xf>
    <xf numFmtId="166" fontId="20" fillId="18" borderId="25" xfId="56" applyFont="true" applyBorder="true" applyAlignment="true" applyProtection="false">
      <alignment horizontal="center" vertical="bottom" textRotation="0" wrapText="false" indent="0" shrinkToFit="false"/>
      <protection locked="true" hidden="false"/>
    </xf>
    <xf numFmtId="168" fontId="20" fillId="0" borderId="0" xfId="56" applyFont="true" applyBorder="true" applyAlignment="true" applyProtection="false">
      <alignment horizontal="right" vertical="bottom" textRotation="0" wrapText="false" indent="0" shrinkToFit="false"/>
      <protection locked="true" hidden="false"/>
    </xf>
    <xf numFmtId="173" fontId="20" fillId="0" borderId="0" xfId="56" applyFont="true" applyBorder="true" applyAlignment="true" applyProtection="false">
      <alignment horizontal="right" vertical="bottom" textRotation="0" wrapText="false" indent="0" shrinkToFit="false"/>
      <protection locked="true" hidden="false"/>
    </xf>
    <xf numFmtId="165" fontId="20" fillId="7" borderId="0" xfId="56" applyFont="true" applyBorder="true" applyAlignment="true" applyProtection="false">
      <alignment horizontal="right" vertical="bottom" textRotation="0" wrapText="false" indent="0" shrinkToFit="false"/>
      <protection locked="true" hidden="false"/>
    </xf>
    <xf numFmtId="167" fontId="20" fillId="19" borderId="0" xfId="56" applyFont="true" applyBorder="true" applyAlignment="true" applyProtection="false">
      <alignment horizontal="right" vertical="bottom" textRotation="0" wrapText="false" indent="0" shrinkToFit="false"/>
      <protection locked="true" hidden="false"/>
    </xf>
    <xf numFmtId="170" fontId="20" fillId="0" borderId="0" xfId="56" applyFont="true" applyBorder="true" applyAlignment="true" applyProtection="false">
      <alignment horizontal="right" vertical="bottom" textRotation="0" wrapText="false" indent="0" shrinkToFit="false"/>
      <protection locked="true" hidden="false"/>
    </xf>
    <xf numFmtId="178" fontId="20" fillId="18" borderId="21" xfId="56" applyFont="true" applyBorder="true" applyAlignment="true" applyProtection="false">
      <alignment horizontal="right" vertical="bottom" textRotation="0" wrapText="false" indent="0" shrinkToFit="false"/>
      <protection locked="true" hidden="false"/>
    </xf>
    <xf numFmtId="168" fontId="20" fillId="0" borderId="0" xfId="0" applyFont="true" applyBorder="true" applyAlignment="false" applyProtection="false">
      <alignment horizontal="general" vertical="bottom" textRotation="0" wrapText="false" indent="0" shrinkToFit="false"/>
      <protection locked="true" hidden="false"/>
    </xf>
    <xf numFmtId="169" fontId="22" fillId="0" borderId="0" xfId="0" applyFont="true" applyBorder="false" applyAlignment="fals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left" vertical="bottom" textRotation="0" wrapText="false" indent="0" shrinkToFit="false"/>
      <protection locked="true" hidden="false"/>
    </xf>
    <xf numFmtId="170" fontId="21" fillId="0" borderId="0" xfId="0" applyFont="true" applyBorder="false" applyAlignment="true" applyProtection="false">
      <alignment horizontal="center" vertical="bottom" textRotation="0" wrapText="false" indent="0" shrinkToFit="false"/>
      <protection locked="true" hidden="false"/>
    </xf>
    <xf numFmtId="170" fontId="20" fillId="0" borderId="0" xfId="0" applyFont="true" applyBorder="false" applyAlignment="true" applyProtection="false">
      <alignment horizontal="left" vertical="bottom" textRotation="0" wrapText="false" indent="0" shrinkToFit="false"/>
      <protection locked="true" hidden="false"/>
    </xf>
    <xf numFmtId="170" fontId="29" fillId="0" borderId="0" xfId="0" applyFont="true" applyBorder="false" applyAlignment="true" applyProtection="false">
      <alignment horizontal="center" vertical="bottom" textRotation="0" wrapText="false" indent="0" shrinkToFit="false"/>
      <protection locked="true" hidden="false"/>
    </xf>
    <xf numFmtId="165" fontId="23" fillId="0" borderId="0" xfId="0" applyFont="true" applyBorder="false" applyAlignment="true" applyProtection="false">
      <alignment horizontal="center" vertical="bottom" textRotation="0" wrapText="false" indent="0" shrinkToFit="false"/>
      <protection locked="true" hidden="false"/>
    </xf>
    <xf numFmtId="167" fontId="20" fillId="0" borderId="10" xfId="0" applyFont="true" applyBorder="true" applyAlignment="true" applyProtection="false">
      <alignment horizontal="center" vertical="bottom" textRotation="0" wrapText="false" indent="0" shrinkToFit="false"/>
      <protection locked="true" hidden="false"/>
    </xf>
    <xf numFmtId="169" fontId="22" fillId="0" borderId="10" xfId="0" applyFont="true" applyBorder="true" applyAlignment="false" applyProtection="false">
      <alignment horizontal="general" vertical="bottom" textRotation="0" wrapText="false" indent="0" shrinkToFit="false"/>
      <protection locked="true" hidden="false"/>
    </xf>
    <xf numFmtId="172" fontId="23" fillId="0" borderId="12" xfId="0" applyFont="true" applyBorder="true" applyAlignment="true" applyProtection="false">
      <alignment horizontal="center" vertical="bottom" textRotation="0" wrapText="false" indent="0" shrinkToFit="false"/>
      <protection locked="true" hidden="false"/>
    </xf>
    <xf numFmtId="170" fontId="20" fillId="0" borderId="12" xfId="0" applyFont="true" applyBorder="true" applyAlignment="false" applyProtection="false">
      <alignment horizontal="general" vertical="bottom" textRotation="0" wrapText="false" indent="0" shrinkToFit="false"/>
      <protection locked="true" hidden="false"/>
    </xf>
    <xf numFmtId="166" fontId="20" fillId="0" borderId="12" xfId="0" applyFont="true" applyBorder="true" applyAlignment="false" applyProtection="false">
      <alignment horizontal="general" vertical="bottom" textRotation="0" wrapText="false" indent="0" shrinkToFit="false"/>
      <protection locked="true" hidden="false"/>
    </xf>
    <xf numFmtId="165" fontId="23" fillId="0" borderId="12" xfId="0" applyFont="true" applyBorder="true" applyAlignment="true" applyProtection="false">
      <alignment horizontal="right" vertical="bottom" textRotation="0" wrapText="false" indent="0" shrinkToFit="false"/>
      <protection locked="true" hidden="false"/>
    </xf>
    <xf numFmtId="169" fontId="20" fillId="0" borderId="12" xfId="0" applyFont="true" applyBorder="true" applyAlignment="false" applyProtection="false">
      <alignment horizontal="general" vertical="bottom" textRotation="0" wrapText="false" indent="0" shrinkToFit="false"/>
      <protection locked="true" hidden="false"/>
    </xf>
    <xf numFmtId="167" fontId="20" fillId="0" borderId="12" xfId="0" applyFont="true" applyBorder="true" applyAlignment="false" applyProtection="false">
      <alignment horizontal="general" vertical="bottom" textRotation="0" wrapText="false" indent="0" shrinkToFit="false"/>
      <protection locked="true" hidden="false"/>
    </xf>
    <xf numFmtId="170" fontId="22" fillId="0" borderId="12" xfId="0" applyFont="true" applyBorder="true" applyAlignment="false" applyProtection="false">
      <alignment horizontal="general" vertical="bottom" textRotation="0" wrapText="false" indent="0" shrinkToFit="false"/>
      <protection locked="true" hidden="false"/>
    </xf>
    <xf numFmtId="165" fontId="20" fillId="0" borderId="12" xfId="0" applyFont="true" applyBorder="true" applyAlignment="true" applyProtection="false">
      <alignment horizontal="center" vertical="bottom" textRotation="0" wrapText="false" indent="0" shrinkToFit="false"/>
      <protection locked="true" hidden="false"/>
    </xf>
    <xf numFmtId="167" fontId="20" fillId="0" borderId="0" xfId="0" applyFont="true" applyBorder="true" applyAlignment="true" applyProtection="false">
      <alignment horizontal="center" vertical="bottom" textRotation="0" wrapText="false" indent="0" shrinkToFit="false"/>
      <protection locked="true" hidden="false"/>
    </xf>
    <xf numFmtId="169" fontId="23" fillId="0" borderId="0" xfId="56" applyFont="true" applyBorder="true" applyAlignment="true" applyProtection="false">
      <alignment horizontal="center" vertical="bottom" textRotation="0" wrapText="false" indent="0" shrinkToFit="false"/>
      <protection locked="true" hidden="false"/>
    </xf>
    <xf numFmtId="164" fontId="22" fillId="0" borderId="12" xfId="0" applyFont="true" applyBorder="true" applyAlignment="false" applyProtection="false">
      <alignment horizontal="general" vertical="bottom" textRotation="0" wrapText="false" indent="0" shrinkToFit="false"/>
      <protection locked="true" hidden="false"/>
    </xf>
    <xf numFmtId="170" fontId="22" fillId="2" borderId="0" xfId="0" applyFont="true" applyBorder="false" applyAlignment="true" applyProtection="false">
      <alignment horizontal="center" vertical="bottom" textRotation="0" wrapText="false" indent="0" shrinkToFit="false"/>
      <protection locked="true" hidden="false"/>
    </xf>
    <xf numFmtId="170" fontId="24" fillId="0" borderId="18" xfId="0" applyFont="true" applyBorder="true" applyAlignment="true" applyProtection="false">
      <alignment horizontal="center" vertical="bottom" textRotation="0" wrapText="false" indent="0" shrinkToFit="false"/>
      <protection locked="true" hidden="false"/>
    </xf>
    <xf numFmtId="173" fontId="20" fillId="0" borderId="0" xfId="0" applyFont="true" applyBorder="true" applyAlignment="true" applyProtection="false">
      <alignment horizontal="center" vertical="bottom" textRotation="0" wrapText="false" indent="0" shrinkToFit="false"/>
      <protection locked="true" hidden="false"/>
    </xf>
    <xf numFmtId="170" fontId="20" fillId="0" borderId="14" xfId="0" applyFont="true" applyBorder="true" applyAlignment="true" applyProtection="false">
      <alignment horizontal="right" vertical="bottom" textRotation="0" wrapText="false" indent="0" shrinkToFit="false"/>
      <protection locked="true" hidden="false"/>
    </xf>
    <xf numFmtId="166" fontId="20" fillId="0" borderId="20" xfId="0" applyFont="true" applyBorder="true" applyAlignment="true" applyProtection="false">
      <alignment horizontal="right" vertical="bottom" textRotation="0" wrapText="false" indent="0" shrinkToFit="false"/>
      <protection locked="true" hidden="false"/>
    </xf>
    <xf numFmtId="169" fontId="20" fillId="0" borderId="0" xfId="0" applyFont="true" applyBorder="false" applyAlignment="true" applyProtection="false">
      <alignment horizontal="right" vertical="bottom" textRotation="0" wrapText="false" indent="0" shrinkToFit="false"/>
      <protection locked="true" hidden="false"/>
    </xf>
    <xf numFmtId="166" fontId="20" fillId="0" borderId="0" xfId="0" applyFont="true" applyBorder="false" applyAlignment="true" applyProtection="false">
      <alignment horizontal="right" vertical="bottom" textRotation="0" wrapText="false" indent="0" shrinkToFit="false"/>
      <protection locked="true" hidden="false"/>
    </xf>
    <xf numFmtId="173" fontId="20" fillId="0" borderId="14" xfId="0" applyFont="true" applyBorder="true" applyAlignment="true" applyProtection="false">
      <alignment horizontal="right" vertical="bottom" textRotation="0" wrapText="false" indent="0" shrinkToFit="false"/>
      <protection locked="true" hidden="false"/>
    </xf>
    <xf numFmtId="173" fontId="20" fillId="18" borderId="22" xfId="0" applyFont="true" applyBorder="true" applyAlignment="true" applyProtection="false">
      <alignment horizontal="right" vertical="bottom" textRotation="0" wrapText="false" indent="0" shrinkToFit="false"/>
      <protection locked="true" hidden="false"/>
    </xf>
    <xf numFmtId="170" fontId="20" fillId="18" borderId="23" xfId="0" applyFont="true" applyBorder="true" applyAlignment="true" applyProtection="false">
      <alignment horizontal="right" vertical="bottom" textRotation="0" wrapText="false" indent="0" shrinkToFit="false"/>
      <protection locked="true" hidden="false"/>
    </xf>
    <xf numFmtId="166" fontId="20" fillId="18" borderId="21" xfId="0" applyFont="true" applyBorder="true" applyAlignment="true" applyProtection="false">
      <alignment horizontal="right" vertical="bottom" textRotation="0" wrapText="false" indent="0" shrinkToFit="false"/>
      <protection locked="true" hidden="false"/>
    </xf>
    <xf numFmtId="166" fontId="20" fillId="18" borderId="25" xfId="0" applyFont="true" applyBorder="true" applyAlignment="true" applyProtection="false">
      <alignment horizontal="right" vertical="bottom" textRotation="0" wrapText="false" indent="0" shrinkToFit="false"/>
      <protection locked="true" hidden="false"/>
    </xf>
    <xf numFmtId="170" fontId="20" fillId="0" borderId="15" xfId="0" applyFont="true" applyBorder="true" applyAlignment="true" applyProtection="false">
      <alignment horizontal="right" vertical="bottom" textRotation="0" wrapText="false" indent="0" shrinkToFit="false"/>
      <protection locked="true" hidden="false"/>
    </xf>
    <xf numFmtId="170" fontId="20" fillId="0" borderId="0" xfId="15" applyFont="true" applyBorder="true" applyAlignment="true" applyProtection="true">
      <alignment horizontal="right" vertical="bottom" textRotation="0" wrapText="false" indent="0" shrinkToFit="false"/>
      <protection locked="true" hidden="false"/>
    </xf>
    <xf numFmtId="170" fontId="20" fillId="0" borderId="0" xfId="0" applyFont="true" applyBorder="true" applyAlignment="true" applyProtection="false">
      <alignment horizontal="right" vertical="bottom" textRotation="0" wrapText="false" indent="0" shrinkToFit="false"/>
      <protection locked="true" hidden="false"/>
    </xf>
    <xf numFmtId="170" fontId="20" fillId="19" borderId="0" xfId="0" applyFont="true" applyBorder="false" applyAlignment="true" applyProtection="false">
      <alignment horizontal="right" vertical="bottom" textRotation="0" wrapText="false" indent="0" shrinkToFit="false"/>
      <protection locked="true" hidden="false"/>
    </xf>
    <xf numFmtId="165" fontId="20" fillId="7" borderId="0" xfId="0" applyFont="true" applyBorder="false" applyAlignment="true" applyProtection="false">
      <alignment horizontal="right" vertical="bottom" textRotation="0" wrapText="false" indent="0" shrinkToFit="false"/>
      <protection locked="true" hidden="false"/>
    </xf>
    <xf numFmtId="165" fontId="20" fillId="19" borderId="0" xfId="0" applyFont="true" applyBorder="false" applyAlignment="true" applyProtection="false">
      <alignment horizontal="right" vertical="bottom" textRotation="0" wrapText="false" indent="0" shrinkToFit="false"/>
      <protection locked="true" hidden="false"/>
    </xf>
    <xf numFmtId="170" fontId="20" fillId="18" borderId="22" xfId="0" applyFont="true" applyBorder="true" applyAlignment="true" applyProtection="false">
      <alignment horizontal="right" vertical="bottom" textRotation="0" wrapText="false" indent="0" shrinkToFit="false"/>
      <protection locked="true" hidden="false"/>
    </xf>
    <xf numFmtId="167" fontId="20" fillId="0" borderId="0" xfId="0" applyFont="true" applyBorder="true" applyAlignment="true" applyProtection="false">
      <alignment horizontal="right" vertical="bottom" textRotation="0" wrapText="false" indent="0" shrinkToFit="false"/>
      <protection locked="true" hidden="false"/>
    </xf>
    <xf numFmtId="165" fontId="20" fillId="18" borderId="22" xfId="0" applyFont="true" applyBorder="true" applyAlignment="true" applyProtection="false">
      <alignment horizontal="right" vertical="bottom" textRotation="0" wrapText="false" indent="0" shrinkToFit="false"/>
      <protection locked="true" hidden="false"/>
    </xf>
    <xf numFmtId="168" fontId="20" fillId="18" borderId="21" xfId="0" applyFont="true" applyBorder="true" applyAlignment="true" applyProtection="false">
      <alignment horizontal="right" vertical="bottom" textRotation="0" wrapText="false" indent="0" shrinkToFit="false"/>
      <protection locked="true" hidden="false"/>
    </xf>
    <xf numFmtId="168" fontId="20" fillId="18" borderId="23" xfId="0" applyFont="true" applyBorder="true" applyAlignment="true" applyProtection="false">
      <alignment horizontal="right" vertical="bottom" textRotation="0" wrapText="false" indent="0" shrinkToFit="false"/>
      <protection locked="true" hidden="false"/>
    </xf>
    <xf numFmtId="169" fontId="20" fillId="0" borderId="20" xfId="0" applyFont="true" applyBorder="true" applyAlignment="true" applyProtection="false">
      <alignment horizontal="right" vertical="bottom" textRotation="0" wrapText="false" indent="0" shrinkToFit="false"/>
      <protection locked="true" hidden="false"/>
    </xf>
    <xf numFmtId="166" fontId="20" fillId="18" borderId="25" xfId="0" applyFont="true" applyBorder="true" applyAlignment="false" applyProtection="false">
      <alignment horizontal="general" vertical="bottom" textRotation="0" wrapText="false" indent="0" shrinkToFit="false"/>
      <protection locked="true" hidden="false"/>
    </xf>
    <xf numFmtId="169" fontId="20" fillId="18" borderId="21" xfId="0" applyFont="true" applyBorder="true" applyAlignment="false" applyProtection="false">
      <alignment horizontal="general" vertical="bottom" textRotation="0" wrapText="false" indent="0" shrinkToFit="false"/>
      <protection locked="true" hidden="false"/>
    </xf>
    <xf numFmtId="165" fontId="22" fillId="18" borderId="21" xfId="0" applyFont="true" applyBorder="true" applyAlignment="false" applyProtection="false">
      <alignment horizontal="general" vertical="bottom" textRotation="0" wrapText="false" indent="0" shrinkToFit="false"/>
      <protection locked="true" hidden="false"/>
    </xf>
    <xf numFmtId="166" fontId="22" fillId="18" borderId="21" xfId="0" applyFont="true" applyBorder="true" applyAlignment="false" applyProtection="false">
      <alignment horizontal="general" vertical="bottom" textRotation="0" wrapText="false" indent="0" shrinkToFit="false"/>
      <protection locked="true" hidden="false"/>
    </xf>
    <xf numFmtId="166" fontId="22" fillId="18" borderId="21" xfId="0" applyFont="true" applyBorder="true" applyAlignment="true" applyProtection="false">
      <alignment horizontal="right" vertical="bottom" textRotation="0" wrapText="false" indent="0" shrinkToFit="false"/>
      <protection locked="true" hidden="false"/>
    </xf>
    <xf numFmtId="172"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2" xfId="56" applyFont="true" applyBorder="true" applyAlignment="false" applyProtection="false">
      <alignment horizontal="general" vertical="bottom" textRotation="0" wrapText="false" indent="0" shrinkToFit="false"/>
      <protection locked="true" hidden="false"/>
    </xf>
    <xf numFmtId="167" fontId="20" fillId="0" borderId="12" xfId="56" applyFont="true" applyBorder="true" applyAlignment="false" applyProtection="false">
      <alignment horizontal="general" vertical="bottom" textRotation="0" wrapText="false" indent="0" shrinkToFit="false"/>
      <protection locked="true" hidden="false"/>
    </xf>
    <xf numFmtId="166" fontId="20" fillId="0" borderId="12" xfId="56" applyFont="true" applyBorder="true" applyAlignment="false" applyProtection="false">
      <alignment horizontal="general" vertical="bottom" textRotation="0" wrapText="false" indent="0" shrinkToFit="false"/>
      <protection locked="true" hidden="false"/>
    </xf>
    <xf numFmtId="170" fontId="23" fillId="0" borderId="12" xfId="56" applyFont="true" applyBorder="true" applyAlignment="false" applyProtection="false">
      <alignment horizontal="general" vertical="bottom" textRotation="0" wrapText="false" indent="0" shrinkToFit="false"/>
      <protection locked="true" hidden="false"/>
    </xf>
    <xf numFmtId="169" fontId="20" fillId="0" borderId="12" xfId="56" applyFont="true" applyBorder="true" applyAlignment="false" applyProtection="false">
      <alignment horizontal="general" vertical="bottom" textRotation="0" wrapText="false" indent="0" shrinkToFit="false"/>
      <protection locked="true" hidden="false"/>
    </xf>
    <xf numFmtId="170" fontId="22" fillId="0" borderId="12" xfId="56" applyFont="true" applyBorder="true" applyAlignment="false" applyProtection="false">
      <alignment horizontal="general" vertical="bottom" textRotation="0" wrapText="false" indent="0" shrinkToFit="false"/>
      <protection locked="true" hidden="false"/>
    </xf>
    <xf numFmtId="169" fontId="20" fillId="0" borderId="12" xfId="0" applyFont="true" applyBorder="true" applyAlignment="true" applyProtection="false">
      <alignment horizontal="center" vertical="bottom" textRotation="0" wrapText="false" indent="0" shrinkToFit="false"/>
      <protection locked="true" hidden="false"/>
    </xf>
    <xf numFmtId="166" fontId="20" fillId="0" borderId="12" xfId="0" applyFont="true" applyBorder="true" applyAlignment="true" applyProtection="false">
      <alignment horizontal="center" vertical="bottom" textRotation="0" wrapText="false" indent="0" shrinkToFit="false"/>
      <protection locked="true" hidden="false"/>
    </xf>
    <xf numFmtId="167" fontId="22" fillId="0" borderId="12" xfId="56" applyFont="true" applyBorder="true" applyAlignment="false" applyProtection="false">
      <alignment horizontal="general" vertical="bottom" textRotation="0" wrapText="false" indent="0" shrinkToFit="false"/>
      <protection locked="true" hidden="false"/>
    </xf>
    <xf numFmtId="170" fontId="22" fillId="2" borderId="14" xfId="56" applyFont="true" applyBorder="true" applyAlignment="true" applyProtection="false">
      <alignment horizontal="center" vertical="bottom" textRotation="0" wrapText="false" indent="0" shrinkToFit="false"/>
      <protection locked="true" hidden="false"/>
    </xf>
    <xf numFmtId="167" fontId="22" fillId="2" borderId="0" xfId="56" applyFont="true" applyBorder="true" applyAlignment="true" applyProtection="false">
      <alignment horizontal="center" vertical="bottom" textRotation="0" wrapText="false" indent="0" shrinkToFit="false"/>
      <protection locked="true" hidden="false"/>
    </xf>
    <xf numFmtId="165" fontId="20" fillId="0" borderId="14" xfId="56" applyFont="true" applyBorder="true" applyAlignment="true" applyProtection="false">
      <alignment horizontal="right" vertical="bottom" textRotation="0" wrapText="false" indent="0" shrinkToFit="false"/>
      <protection locked="true" hidden="false"/>
    </xf>
    <xf numFmtId="165" fontId="20" fillId="0" borderId="33" xfId="56" applyFont="true" applyBorder="true" applyAlignment="true" applyProtection="false">
      <alignment horizontal="right" vertical="bottom" textRotation="0" wrapText="false" indent="0" shrinkToFit="false"/>
      <protection locked="true" hidden="false"/>
    </xf>
    <xf numFmtId="173" fontId="20" fillId="0" borderId="14" xfId="56" applyFont="true" applyBorder="true" applyAlignment="true" applyProtection="false">
      <alignment horizontal="right" vertical="bottom" textRotation="0" wrapText="false" indent="0" shrinkToFit="false"/>
      <protection locked="true" hidden="false"/>
    </xf>
    <xf numFmtId="165" fontId="20" fillId="0" borderId="0" xfId="56" applyFont="true" applyBorder="true" applyAlignment="true" applyProtection="false">
      <alignment horizontal="right" vertical="bottom" textRotation="0" wrapText="false" indent="0" shrinkToFit="false"/>
      <protection locked="true" hidden="false"/>
    </xf>
    <xf numFmtId="168" fontId="20" fillId="18" borderId="34" xfId="56" applyFont="true" applyBorder="true" applyAlignment="true" applyProtection="false">
      <alignment horizontal="right" vertical="bottom" textRotation="0" wrapText="false" indent="0" shrinkToFit="false"/>
      <protection locked="true" hidden="false"/>
    </xf>
    <xf numFmtId="170" fontId="20" fillId="18" borderId="26" xfId="56" applyFont="true" applyBorder="true" applyAlignment="true" applyProtection="false">
      <alignment horizontal="right" vertical="bottom" textRotation="0" wrapText="false" indent="0" shrinkToFit="false"/>
      <protection locked="true" hidden="false"/>
    </xf>
    <xf numFmtId="170" fontId="20" fillId="18" borderId="35" xfId="56" applyFont="true" applyBorder="true" applyAlignment="true" applyProtection="false">
      <alignment horizontal="right" vertical="bottom" textRotation="0" wrapText="false" indent="0" shrinkToFit="false"/>
      <protection locked="true" hidden="false"/>
    </xf>
    <xf numFmtId="167" fontId="20" fillId="18" borderId="26" xfId="56" applyFont="true" applyBorder="true" applyAlignment="true" applyProtection="false">
      <alignment horizontal="right" vertical="bottom" textRotation="0" wrapText="false" indent="0" shrinkToFit="false"/>
      <protection locked="true" hidden="false"/>
    </xf>
    <xf numFmtId="179" fontId="20" fillId="0" borderId="0" xfId="56" applyFont="true" applyBorder="true" applyAlignment="false" applyProtection="false">
      <alignment horizontal="general" vertical="bottom" textRotation="0" wrapText="false" indent="0" shrinkToFit="false"/>
      <protection locked="true" hidden="false"/>
    </xf>
    <xf numFmtId="166" fontId="20" fillId="0" borderId="26" xfId="56" applyFont="true" applyBorder="true" applyAlignment="false" applyProtection="false">
      <alignment horizontal="general" vertical="bottom" textRotation="0" wrapText="false" indent="0" shrinkToFit="false"/>
      <protection locked="true" hidden="false"/>
    </xf>
    <xf numFmtId="167" fontId="20" fillId="0" borderId="26" xfId="56" applyFont="true" applyBorder="true" applyAlignment="false" applyProtection="false">
      <alignment horizontal="general" vertical="bottom" textRotation="0" wrapText="false" indent="0" shrinkToFit="false"/>
      <protection locked="true" hidden="false"/>
    </xf>
    <xf numFmtId="165" fontId="20" fillId="0" borderId="0" xfId="15" applyFont="true" applyBorder="true" applyAlignment="true" applyProtection="true">
      <alignment horizontal="general" vertical="bottom" textRotation="0" wrapText="false" indent="0" shrinkToFit="false"/>
      <protection locked="true" hidden="false"/>
    </xf>
    <xf numFmtId="165" fontId="20" fillId="0" borderId="0" xfId="56" applyFont="true" applyBorder="true" applyAlignment="false" applyProtection="false">
      <alignment horizontal="general" vertical="bottom" textRotation="0" wrapText="false" indent="0" shrinkToFit="false"/>
      <protection locked="true" hidden="false"/>
    </xf>
    <xf numFmtId="165" fontId="22" fillId="0" borderId="0" xfId="56" applyFont="true" applyBorder="true" applyAlignment="false" applyProtection="false">
      <alignment horizontal="general" vertical="bottom" textRotation="0" wrapText="false" indent="0" shrinkToFit="false"/>
      <protection locked="true" hidden="false"/>
    </xf>
    <xf numFmtId="166" fontId="22" fillId="0" borderId="0" xfId="56" applyFont="true" applyBorder="true" applyAlignment="false" applyProtection="false">
      <alignment horizontal="general" vertical="bottom" textRotation="0" wrapText="false" indent="0" shrinkToFit="false"/>
      <protection locked="true" hidden="false"/>
    </xf>
    <xf numFmtId="176" fontId="23" fillId="0" borderId="0" xfId="56" applyFont="true" applyBorder="true" applyAlignment="false" applyProtection="false">
      <alignment horizontal="general" vertical="bottom" textRotation="0" wrapText="false" indent="0" shrinkToFit="false"/>
      <protection locked="true" hidden="false"/>
    </xf>
    <xf numFmtId="167" fontId="23" fillId="0" borderId="0" xfId="56" applyFont="true" applyBorder="true" applyAlignment="false" applyProtection="false">
      <alignment horizontal="general" vertical="bottom" textRotation="0" wrapText="false" indent="0" shrinkToFit="false"/>
      <protection locked="true" hidden="false"/>
    </xf>
    <xf numFmtId="165" fontId="23" fillId="0" borderId="0" xfId="56" applyFont="true" applyBorder="true" applyAlignment="false" applyProtection="false">
      <alignment horizontal="general" vertical="bottom" textRotation="0" wrapText="false" indent="0" shrinkToFit="false"/>
      <protection locked="true" hidden="false"/>
    </xf>
    <xf numFmtId="170" fontId="22" fillId="0" borderId="10" xfId="0" applyFont="true" applyBorder="tru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70" fontId="20" fillId="7" borderId="0" xfId="0" applyFont="true" applyBorder="false" applyAlignment="true" applyProtection="false">
      <alignment horizontal="right" vertical="bottom" textRotation="0" wrapText="false" indent="0" shrinkToFit="false"/>
      <protection locked="true" hidden="false"/>
    </xf>
    <xf numFmtId="170" fontId="20" fillId="0" borderId="0" xfId="0" applyFont="true" applyBorder="false" applyAlignment="true" applyProtection="false">
      <alignment horizontal="right" vertical="bottom" textRotation="0" wrapText="false" indent="0" shrinkToFit="false"/>
      <protection locked="true" hidden="false"/>
    </xf>
    <xf numFmtId="170" fontId="20" fillId="7" borderId="21" xfId="0" applyFont="true" applyBorder="true" applyAlignment="true" applyProtection="false">
      <alignment horizontal="right"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70" fontId="20" fillId="18" borderId="26" xfId="0" applyFont="true" applyBorder="true" applyAlignment="true" applyProtection="false">
      <alignment horizontal="right" vertical="bottom" textRotation="0" wrapText="false" indent="0" shrinkToFit="false"/>
      <protection locked="true" hidden="false"/>
    </xf>
    <xf numFmtId="165" fontId="22" fillId="18" borderId="21" xfId="0" applyFont="true" applyBorder="true" applyAlignment="true" applyProtection="false">
      <alignment horizontal="right"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5" fontId="22" fillId="0" borderId="26" xfId="0" applyFont="true" applyBorder="tru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true" applyAlignment="false" applyProtection="false">
      <alignment horizontal="general" vertical="bottom" textRotation="0" wrapText="false" indent="0" shrinkToFit="false"/>
      <protection locked="true" hidden="false"/>
    </xf>
    <xf numFmtId="165" fontId="22" fillId="0" borderId="0" xfId="0" applyFont="true" applyBorder="true" applyAlignment="false" applyProtection="false">
      <alignment horizontal="general" vertical="bottom" textRotation="0" wrapText="false" indent="0" shrinkToFit="false"/>
      <protection locked="true" hidden="false"/>
    </xf>
    <xf numFmtId="167" fontId="20" fillId="0" borderId="0" xfId="0" applyFont="true" applyBorder="true" applyAlignment="false" applyProtection="false">
      <alignment horizontal="general" vertical="bottom" textRotation="0" wrapText="false" indent="0" shrinkToFit="false"/>
      <protection locked="true" hidden="false"/>
    </xf>
    <xf numFmtId="167" fontId="20" fillId="0" borderId="0" xfId="15" applyFont="true" applyBorder="true" applyAlignment="true" applyProtection="true">
      <alignment horizontal="general" vertical="bottom" textRotation="0" wrapText="false" indent="0" shrinkToFit="false"/>
      <protection locked="true" hidden="false"/>
    </xf>
    <xf numFmtId="166" fontId="20" fillId="0" borderId="0" xfId="15"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70" fontId="29" fillId="0" borderId="0" xfId="0" applyFont="true" applyBorder="true" applyAlignment="true" applyProtection="false">
      <alignment horizontal="center" vertical="bottom" textRotation="0" wrapText="false" indent="0" shrinkToFit="false"/>
      <protection locked="true" hidden="false"/>
    </xf>
    <xf numFmtId="167" fontId="22" fillId="0" borderId="10" xfId="0" applyFont="true" applyBorder="true" applyAlignment="false" applyProtection="false">
      <alignment horizontal="general" vertical="bottom" textRotation="0" wrapText="false" indent="0" shrinkToFit="false"/>
      <protection locked="true" hidden="false"/>
    </xf>
    <xf numFmtId="167" fontId="23" fillId="0" borderId="0" xfId="56" applyFont="true" applyBorder="true" applyAlignment="true" applyProtection="false">
      <alignment horizontal="center" vertical="bottom" textRotation="0" wrapText="false" indent="0" shrinkToFit="false"/>
      <protection locked="true" hidden="false"/>
    </xf>
    <xf numFmtId="166" fontId="22" fillId="0" borderId="12" xfId="0" applyFont="true" applyBorder="true" applyAlignment="false" applyProtection="false">
      <alignment horizontal="general" vertical="bottom" textRotation="0" wrapText="false" indent="0" shrinkToFit="false"/>
      <protection locked="true" hidden="false"/>
    </xf>
    <xf numFmtId="167" fontId="22" fillId="0" borderId="12" xfId="0" applyFont="true" applyBorder="true" applyAlignment="false" applyProtection="false">
      <alignment horizontal="general" vertical="bottom" textRotation="0" wrapText="false" indent="0" shrinkToFit="false"/>
      <protection locked="true" hidden="false"/>
    </xf>
    <xf numFmtId="166" fontId="22" fillId="0" borderId="14" xfId="56" applyFont="true" applyBorder="true" applyAlignment="true" applyProtection="false">
      <alignment horizontal="center" vertical="bottom" textRotation="0" wrapText="false" indent="0" shrinkToFit="false"/>
      <protection locked="true" hidden="false"/>
    </xf>
    <xf numFmtId="166" fontId="22" fillId="0" borderId="14" xfId="56" applyFont="true" applyBorder="true" applyAlignment="false" applyProtection="false">
      <alignment horizontal="general" vertical="bottom" textRotation="0" wrapText="false" indent="0" shrinkToFit="false"/>
      <protection locked="true" hidden="false"/>
    </xf>
    <xf numFmtId="166" fontId="20" fillId="0" borderId="14" xfId="56" applyFont="true" applyBorder="true" applyAlignment="false" applyProtection="false">
      <alignment horizontal="general" vertical="bottom" textRotation="0" wrapText="false" indent="0" shrinkToFit="false"/>
      <protection locked="true" hidden="false"/>
    </xf>
    <xf numFmtId="167" fontId="20" fillId="0" borderId="14" xfId="56" applyFont="true" applyBorder="true" applyAlignment="true" applyProtection="false">
      <alignment horizontal="right" vertical="bottom" textRotation="0" wrapText="false" indent="0" shrinkToFit="false"/>
      <protection locked="true" hidden="false"/>
    </xf>
    <xf numFmtId="166" fontId="20" fillId="18" borderId="22" xfId="56" applyFont="true" applyBorder="true" applyAlignment="true" applyProtection="false">
      <alignment horizontal="right" vertical="bottom" textRotation="0" wrapText="false" indent="0" shrinkToFit="false"/>
      <protection locked="true" hidden="false"/>
    </xf>
    <xf numFmtId="170" fontId="20" fillId="7" borderId="0" xfId="56" applyFont="true" applyBorder="true" applyAlignment="true" applyProtection="false">
      <alignment horizontal="right" vertical="bottom" textRotation="0" wrapText="false" indent="0" shrinkToFit="false"/>
      <protection locked="true" hidden="false"/>
    </xf>
    <xf numFmtId="169" fontId="20" fillId="0" borderId="0" xfId="56" applyFont="true" applyBorder="true" applyAlignment="true" applyProtection="false">
      <alignment horizontal="right" vertical="bottom" textRotation="0" wrapText="false" indent="0" shrinkToFit="false"/>
      <protection locked="true" hidden="false"/>
    </xf>
    <xf numFmtId="169" fontId="20" fillId="0" borderId="15" xfId="56" applyFont="true" applyBorder="true" applyAlignment="true" applyProtection="false">
      <alignment horizontal="right" vertical="bottom" textRotation="0" wrapText="false" indent="0" shrinkToFit="false"/>
      <protection locked="true" hidden="false"/>
    </xf>
    <xf numFmtId="165" fontId="20" fillId="0" borderId="31" xfId="56" applyFont="true" applyBorder="true" applyAlignment="true" applyProtection="false">
      <alignment horizontal="right" vertical="bottom" textRotation="0" wrapText="false" indent="0" shrinkToFit="false"/>
      <protection locked="true" hidden="false"/>
    </xf>
    <xf numFmtId="165" fontId="20" fillId="0" borderId="32" xfId="56" applyFont="true" applyBorder="true" applyAlignment="true" applyProtection="false">
      <alignment horizontal="right" vertical="bottom" textRotation="0" wrapText="false" indent="0" shrinkToFit="false"/>
      <protection locked="true" hidden="false"/>
    </xf>
    <xf numFmtId="166" fontId="20" fillId="0" borderId="36" xfId="56" applyFont="true" applyBorder="true" applyAlignment="true" applyProtection="false">
      <alignment horizontal="right" vertical="bottom" textRotation="0" wrapText="false" indent="0" shrinkToFit="false"/>
      <protection locked="true" hidden="false"/>
    </xf>
    <xf numFmtId="167" fontId="20" fillId="18" borderId="21" xfId="56" applyFont="true" applyBorder="true" applyAlignment="false" applyProtection="false">
      <alignment horizontal="general" vertical="bottom" textRotation="0" wrapText="false" indent="0" shrinkToFit="false"/>
      <protection locked="true" hidden="false"/>
    </xf>
    <xf numFmtId="170" fontId="20" fillId="18" borderId="24" xfId="56" applyFont="true" applyBorder="true" applyAlignment="false" applyProtection="false">
      <alignment horizontal="general" vertical="bottom" textRotation="0" wrapText="false" indent="0" shrinkToFit="false"/>
      <protection locked="true" hidden="false"/>
    </xf>
    <xf numFmtId="175" fontId="20" fillId="0" borderId="10" xfId="56" applyFont="true" applyBorder="true" applyAlignment="false" applyProtection="false">
      <alignment horizontal="general" vertical="bottom" textRotation="0" wrapText="false" indent="0" shrinkToFit="false"/>
      <protection locked="true" hidden="false"/>
    </xf>
    <xf numFmtId="169" fontId="22" fillId="0" borderId="10" xfId="56" applyFont="true" applyBorder="true" applyAlignment="true" applyProtection="false">
      <alignment horizontal="center" vertical="bottom" textRotation="0" wrapText="false" indent="0" shrinkToFit="false"/>
      <protection locked="true" hidden="false"/>
    </xf>
    <xf numFmtId="166" fontId="22" fillId="0" borderId="10" xfId="56" applyFont="true" applyBorder="true" applyAlignment="false" applyProtection="false">
      <alignment horizontal="general" vertical="bottom" textRotation="0" wrapText="false" indent="0" shrinkToFit="false"/>
      <protection locked="true" hidden="false"/>
    </xf>
    <xf numFmtId="169" fontId="24" fillId="0" borderId="0" xfId="56" applyFont="true" applyBorder="true" applyAlignment="true" applyProtection="false">
      <alignment horizontal="center" vertical="bottom" textRotation="0" wrapText="false" indent="0" shrinkToFit="false"/>
      <protection locked="true" hidden="false"/>
    </xf>
    <xf numFmtId="166" fontId="24" fillId="0" borderId="0" xfId="56" applyFont="true" applyBorder="true" applyAlignment="true" applyProtection="false">
      <alignment horizontal="center" vertical="bottom" textRotation="0" wrapText="false" indent="0" shrinkToFit="false"/>
      <protection locked="true" hidden="false"/>
    </xf>
    <xf numFmtId="167" fontId="22" fillId="0" borderId="12" xfId="56" applyFont="true" applyBorder="true" applyAlignment="true" applyProtection="false">
      <alignment horizontal="center" vertical="bottom" textRotation="0" wrapText="false" indent="0" shrinkToFit="false"/>
      <protection locked="true" hidden="false"/>
    </xf>
    <xf numFmtId="165" fontId="20" fillId="0" borderId="19" xfId="56" applyFont="true" applyBorder="true" applyAlignment="false" applyProtection="false">
      <alignment horizontal="general" vertical="bottom" textRotation="0" wrapText="false" indent="0" shrinkToFit="false"/>
      <protection locked="true" hidden="false"/>
    </xf>
    <xf numFmtId="165" fontId="20" fillId="0" borderId="20" xfId="56" applyFont="true" applyBorder="true" applyAlignment="false" applyProtection="false">
      <alignment horizontal="general" vertical="bottom" textRotation="0" wrapText="false" indent="0" shrinkToFit="false"/>
      <protection locked="true" hidden="false"/>
    </xf>
    <xf numFmtId="175" fontId="20" fillId="18" borderId="21" xfId="56" applyFont="true" applyBorder="true" applyAlignment="false" applyProtection="false">
      <alignment horizontal="general" vertical="bottom" textRotation="0" wrapText="false" indent="0" shrinkToFit="false"/>
      <protection locked="true" hidden="false"/>
    </xf>
    <xf numFmtId="166" fontId="20" fillId="18" borderId="21" xfId="56" applyFont="true" applyBorder="true" applyAlignment="true" applyProtection="false">
      <alignment horizontal="center" vertical="bottom" textRotation="0" wrapText="false" indent="0" shrinkToFit="false"/>
      <protection locked="true" hidden="false"/>
    </xf>
    <xf numFmtId="170" fontId="20" fillId="0" borderId="19" xfId="56" applyFont="true" applyBorder="true" applyAlignment="false" applyProtection="false">
      <alignment horizontal="general" vertical="bottom" textRotation="0" wrapText="false" indent="0" shrinkToFit="false"/>
      <protection locked="true" hidden="false"/>
    </xf>
    <xf numFmtId="170" fontId="20" fillId="7" borderId="0" xfId="56" applyFont="true" applyBorder="true" applyAlignment="false" applyProtection="false">
      <alignment horizontal="general" vertical="bottom" textRotation="0" wrapText="false" indent="0" shrinkToFit="false"/>
      <protection locked="true" hidden="false"/>
    </xf>
    <xf numFmtId="165" fontId="20" fillId="7" borderId="0" xfId="56" applyFont="true" applyBorder="true" applyAlignment="false" applyProtection="false">
      <alignment horizontal="general" vertical="bottom" textRotation="0" wrapText="false" indent="0" shrinkToFit="false"/>
      <protection locked="true" hidden="false"/>
    </xf>
    <xf numFmtId="170" fontId="20" fillId="0" borderId="0"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true" applyProtection="false">
      <alignment horizontal="center" vertical="bottom" textRotation="0" wrapText="false" indent="0" shrinkToFit="false"/>
      <protection locked="true" hidden="false"/>
    </xf>
    <xf numFmtId="173" fontId="20" fillId="0" borderId="14" xfId="56" applyFont="true" applyBorder="true" applyAlignment="false" applyProtection="false">
      <alignment horizontal="general" vertical="bottom" textRotation="0" wrapText="false" indent="0" shrinkToFit="false"/>
      <protection locked="true" hidden="false"/>
    </xf>
    <xf numFmtId="169"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5" xfId="56" applyFont="true" applyBorder="true" applyAlignment="false" applyProtection="false">
      <alignment horizontal="general" vertical="bottom" textRotation="0" wrapText="false" indent="0" shrinkToFit="false"/>
      <protection locked="true" hidden="false"/>
    </xf>
    <xf numFmtId="167" fontId="20" fillId="0" borderId="0" xfId="56" applyFont="true" applyBorder="true" applyAlignment="false" applyProtection="false">
      <alignment horizontal="general" vertical="bottom" textRotation="0" wrapText="false" indent="0" shrinkToFit="false"/>
      <protection locked="true" hidden="false"/>
    </xf>
    <xf numFmtId="170" fontId="20" fillId="0" borderId="19" xfId="56" applyFont="true" applyBorder="true" applyAlignment="false" applyProtection="false">
      <alignment horizontal="general" vertical="bottom" textRotation="0" wrapText="false" indent="0" shrinkToFit="false"/>
      <protection locked="true" hidden="false"/>
    </xf>
    <xf numFmtId="168" fontId="20" fillId="0" borderId="14" xfId="56" applyFont="true" applyBorder="true" applyAlignment="false" applyProtection="false">
      <alignment horizontal="general" vertical="bottom" textRotation="0" wrapText="false" indent="0" shrinkToFit="false"/>
      <protection locked="true" hidden="false"/>
    </xf>
    <xf numFmtId="169" fontId="20" fillId="0" borderId="15" xfId="56" applyFont="true" applyBorder="true" applyAlignment="false" applyProtection="false">
      <alignment horizontal="general" vertical="bottom" textRotation="0" wrapText="false" indent="0" shrinkToFit="false"/>
      <protection locked="true" hidden="false"/>
    </xf>
    <xf numFmtId="166" fontId="20" fillId="0" borderId="0" xfId="56" applyFont="true" applyBorder="true" applyAlignment="false" applyProtection="false">
      <alignment horizontal="general" vertical="bottom" textRotation="0" wrapText="false" indent="0" shrinkToFit="false"/>
      <protection locked="true" hidden="false"/>
    </xf>
    <xf numFmtId="165" fontId="20" fillId="18" borderId="24" xfId="56" applyFont="true" applyBorder="true" applyAlignment="false" applyProtection="false">
      <alignment horizontal="general" vertical="bottom" textRotation="0" wrapText="false" indent="0" shrinkToFit="false"/>
      <protection locked="true" hidden="false"/>
    </xf>
    <xf numFmtId="165" fontId="20" fillId="18" borderId="25" xfId="56" applyFont="true" applyBorder="true" applyAlignment="false" applyProtection="false">
      <alignment horizontal="general" vertical="bottom" textRotation="0" wrapText="false" indent="0" shrinkToFit="false"/>
      <protection locked="true" hidden="false"/>
    </xf>
    <xf numFmtId="169" fontId="20" fillId="0" borderId="28" xfId="56" applyFont="true" applyBorder="true" applyAlignment="false" applyProtection="false">
      <alignment horizontal="general" vertical="bottom" textRotation="0" wrapText="false" indent="0" shrinkToFit="false"/>
      <protection locked="true" hidden="false"/>
    </xf>
    <xf numFmtId="169" fontId="20" fillId="0" borderId="29" xfId="56" applyFont="true" applyBorder="true" applyAlignment="false" applyProtection="false">
      <alignment horizontal="general" vertical="bottom" textRotation="0" wrapText="false" indent="0" shrinkToFit="false"/>
      <protection locked="true" hidden="false"/>
    </xf>
    <xf numFmtId="170" fontId="20" fillId="18" borderId="26" xfId="56" applyFont="true" applyBorder="true" applyAlignment="false" applyProtection="false">
      <alignment horizontal="general" vertical="bottom" textRotation="0" wrapText="false" indent="0" shrinkToFit="false"/>
      <protection locked="true" hidden="false"/>
    </xf>
    <xf numFmtId="170" fontId="23" fillId="0" borderId="0" xfId="56" applyFont="true" applyBorder="true" applyAlignment="false" applyProtection="false">
      <alignment horizontal="general" vertical="bottom" textRotation="0" wrapText="false" indent="0" shrinkToFit="false"/>
      <protection locked="true" hidden="false"/>
    </xf>
    <xf numFmtId="165" fontId="23" fillId="0" borderId="0" xfId="56" applyFont="true" applyBorder="true" applyAlignment="false" applyProtection="false">
      <alignment horizontal="general" vertical="bottom" textRotation="0" wrapText="false" indent="0" shrinkToFit="false"/>
      <protection locked="true" hidden="false"/>
    </xf>
    <xf numFmtId="169" fontId="22" fillId="0" borderId="0" xfId="56" applyFont="true" applyBorder="true" applyAlignment="true" applyProtection="false">
      <alignment horizontal="left" vertical="bottom" textRotation="0" wrapText="false" indent="0" shrinkToFit="false"/>
      <protection locked="true" hidden="false"/>
    </xf>
    <xf numFmtId="166" fontId="23" fillId="0" borderId="0" xfId="56" applyFont="true" applyBorder="true" applyAlignment="true" applyProtection="false">
      <alignment horizontal="center" vertical="bottom" textRotation="0" wrapText="false" indent="0" shrinkToFit="false"/>
      <protection locked="true" hidden="false"/>
    </xf>
    <xf numFmtId="167" fontId="20" fillId="0" borderId="12" xfId="56" applyFont="true" applyBorder="true" applyAlignment="true" applyProtection="false">
      <alignment horizontal="center" vertical="bottom" textRotation="0" wrapText="false" indent="0" shrinkToFit="false"/>
      <protection locked="true" hidden="false"/>
    </xf>
    <xf numFmtId="180" fontId="20" fillId="0" borderId="0" xfId="56" applyFont="true" applyBorder="true" applyAlignment="true" applyProtection="false">
      <alignment horizontal="right" vertical="bottom" textRotation="0" wrapText="false" indent="0" shrinkToFit="false"/>
      <protection locked="true" hidden="false"/>
    </xf>
    <xf numFmtId="175" fontId="20" fillId="18" borderId="21" xfId="56" applyFont="true" applyBorder="true" applyAlignment="true" applyProtection="false">
      <alignment horizontal="right" vertical="bottom" textRotation="0" wrapText="false" indent="0" shrinkToFit="false"/>
      <protection locked="true" hidden="false"/>
    </xf>
    <xf numFmtId="166" fontId="20" fillId="0" borderId="26" xfId="56" applyFont="true" applyBorder="true" applyAlignment="true" applyProtection="false">
      <alignment horizontal="right" vertical="bottom" textRotation="0" wrapText="false" indent="0" shrinkToFit="false"/>
      <protection locked="true" hidden="false"/>
    </xf>
    <xf numFmtId="169" fontId="20" fillId="0" borderId="0" xfId="56" applyFont="true" applyBorder="true" applyAlignment="true" applyProtection="false">
      <alignment horizontal="left" vertical="bottom" textRotation="0" wrapText="false" indent="0" shrinkToFit="false"/>
      <protection locked="true" hidden="false"/>
    </xf>
    <xf numFmtId="181" fontId="20" fillId="0" borderId="0" xfId="56" applyFont="true" applyBorder="true" applyAlignment="true" applyProtection="false">
      <alignment horizontal="center" vertical="bottom" textRotation="0" wrapText="false" indent="0" shrinkToFit="false"/>
      <protection locked="true" hidden="false"/>
    </xf>
    <xf numFmtId="181" fontId="20" fillId="0" borderId="10" xfId="56" applyFont="true" applyBorder="true" applyAlignment="true" applyProtection="false">
      <alignment horizontal="center" vertical="bottom" textRotation="0" wrapText="false" indent="0" shrinkToFit="false"/>
      <protection locked="true" hidden="false"/>
    </xf>
    <xf numFmtId="168" fontId="22" fillId="0" borderId="11" xfId="56" applyFont="true" applyBorder="true" applyAlignment="false" applyProtection="false">
      <alignment horizontal="general" vertical="bottom" textRotation="0" wrapText="false" indent="0" shrinkToFit="false"/>
      <protection locked="true" hidden="false"/>
    </xf>
    <xf numFmtId="169" fontId="24" fillId="0" borderId="12" xfId="56" applyFont="true" applyBorder="true" applyAlignment="true" applyProtection="false">
      <alignment horizontal="center" vertical="bottom" textRotation="0" wrapText="false" indent="0" shrinkToFit="false"/>
      <protection locked="true" hidden="false"/>
    </xf>
    <xf numFmtId="169" fontId="22" fillId="0" borderId="13" xfId="56" applyFont="true" applyBorder="true" applyAlignment="true" applyProtection="false">
      <alignment horizontal="center" vertical="bottom" textRotation="0" wrapText="false" indent="0" shrinkToFit="false"/>
      <protection locked="true" hidden="false"/>
    </xf>
    <xf numFmtId="169" fontId="22" fillId="0" borderId="12" xfId="56" applyFont="true" applyBorder="true" applyAlignment="false" applyProtection="false">
      <alignment horizontal="general" vertical="bottom" textRotation="0" wrapText="false" indent="0" shrinkToFit="false"/>
      <protection locked="true" hidden="false"/>
    </xf>
    <xf numFmtId="182" fontId="20" fillId="0" borderId="0" xfId="56" applyFont="true" applyBorder="true" applyAlignment="true" applyProtection="false">
      <alignment horizontal="right" vertical="bottom" textRotation="0" wrapText="false" indent="0" shrinkToFit="false"/>
      <protection locked="true" hidden="false"/>
    </xf>
    <xf numFmtId="181" fontId="20" fillId="18" borderId="21" xfId="56" applyFont="true" applyBorder="true" applyAlignment="true" applyProtection="false">
      <alignment horizontal="right" vertical="bottom" textRotation="0" wrapText="false" indent="0" shrinkToFit="false"/>
      <protection locked="true" hidden="false"/>
    </xf>
    <xf numFmtId="181" fontId="20" fillId="0" borderId="0" xfId="56" applyFont="true" applyBorder="true" applyAlignment="true" applyProtection="false">
      <alignment horizontal="right" vertical="bottom" textRotation="0" wrapText="false" indent="0" shrinkToFit="false"/>
      <protection locked="true" hidden="false"/>
    </xf>
    <xf numFmtId="166" fontId="20" fillId="18" borderId="23" xfId="56" applyFont="true" applyBorder="true" applyAlignment="true" applyProtection="false">
      <alignment horizontal="right" vertical="bottom" textRotation="0" wrapText="false" indent="0" shrinkToFit="false"/>
      <protection locked="true" hidden="false"/>
    </xf>
    <xf numFmtId="181" fontId="20" fillId="18" borderId="21" xfId="56" applyFont="true" applyBorder="true" applyAlignment="true" applyProtection="false">
      <alignment horizontal="center" vertical="bottom" textRotation="0" wrapText="false" indent="0" shrinkToFit="false"/>
      <protection locked="true" hidden="false"/>
    </xf>
    <xf numFmtId="170" fontId="20" fillId="18" borderId="34" xfId="56" applyFont="true" applyBorder="true" applyAlignment="false" applyProtection="false">
      <alignment horizontal="general" vertical="bottom" textRotation="0" wrapText="false" indent="0" shrinkToFit="false"/>
      <protection locked="true" hidden="false"/>
    </xf>
    <xf numFmtId="175" fontId="20" fillId="0" borderId="0" xfId="56" applyFont="true" applyBorder="true" applyAlignment="true" applyProtection="false">
      <alignment horizontal="center" vertical="bottom" textRotation="0" wrapText="false" indent="0" shrinkToFit="false"/>
      <protection locked="true" hidden="false"/>
    </xf>
    <xf numFmtId="168" fontId="22" fillId="0" borderId="0" xfId="56" applyFont="true" applyBorder="tru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6" fontId="22" fillId="0" borderId="0" xfId="15" applyFont="true" applyBorder="true" applyAlignment="true" applyProtection="true">
      <alignment horizontal="general" vertical="bottom" textRotation="0" wrapText="false" indent="0" shrinkToFit="false"/>
      <protection locked="true" hidden="false"/>
    </xf>
    <xf numFmtId="167" fontId="22" fillId="0" borderId="0" xfId="56" applyFont="true" applyBorder="true" applyAlignment="true" applyProtection="false">
      <alignment horizontal="left" vertical="bottom" textRotation="0" wrapText="false" indent="0" shrinkToFit="false"/>
      <protection locked="true" hidden="false"/>
    </xf>
    <xf numFmtId="165" fontId="22" fillId="0" borderId="0" xfId="15" applyFont="true" applyBorder="true" applyAlignment="true" applyProtection="true">
      <alignment horizontal="general" vertical="bottom" textRotation="0" wrapText="false" indent="0" shrinkToFit="false"/>
      <protection locked="true" hidden="false"/>
    </xf>
  </cellXfs>
  <cellStyles count="48">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1" xfId="44"/>
    <cellStyle name="Calculation" xfId="45"/>
    <cellStyle name="Check Cell" xfId="46"/>
    <cellStyle name="Explanatory Text" xfId="47"/>
    <cellStyle name="Good 1" xfId="48"/>
    <cellStyle name="Heading 1 1" xfId="49"/>
    <cellStyle name="Heading 2 1" xfId="50"/>
    <cellStyle name="Heading 3" xfId="51"/>
    <cellStyle name="Heading 4" xfId="52"/>
    <cellStyle name="Input" xfId="53"/>
    <cellStyle name="Linked Cell" xfId="54"/>
    <cellStyle name="Neutral 1" xfId="55"/>
    <cellStyle name="Normal_RIVER054" xfId="56"/>
    <cellStyle name="Note 1" xfId="57"/>
    <cellStyle name="Output" xfId="58"/>
    <cellStyle name="Title" xfId="59"/>
    <cellStyle name="Total" xfId="60"/>
    <cellStyle name="Warning Text" xfId="6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6666"/>
      <rgbColor rgb="FFFFFFC0"/>
      <rgbColor rgb="FFEEEEEC"/>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A0E0E0"/>
      <rgbColor rgb="FFCCFFCC"/>
      <rgbColor rgb="FFFFFF99"/>
      <rgbColor rgb="FFA6CAF0"/>
      <rgbColor rgb="FFCC9CCC"/>
      <rgbColor rgb="FFCC99FF"/>
      <rgbColor rgb="FFFFCC99"/>
      <rgbColor rgb="FF3333CC"/>
      <rgbColor rgb="FF33CCCC"/>
      <rgbColor rgb="FF999933"/>
      <rgbColor rgb="FFFFCC00"/>
      <rgbColor rgb="FFFF9900"/>
      <rgbColor rgb="FFFF6600"/>
      <rgbColor rgb="FF666699"/>
      <rgbColor rgb="FF969696"/>
      <rgbColor rgb="FF003366"/>
      <rgbColor rgb="FF339966"/>
      <rgbColor rgb="FF003300"/>
      <rgbColor rgb="FF464648"/>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30</xdr:row>
      <xdr:rowOff>0</xdr:rowOff>
    </xdr:from>
    <xdr:to>
      <xdr:col>7</xdr:col>
      <xdr:colOff>21960</xdr:colOff>
      <xdr:row>31</xdr:row>
      <xdr:rowOff>28800</xdr:rowOff>
    </xdr:to>
    <xdr:sp>
      <xdr:nvSpPr>
        <xdr:cNvPr id="0" name="Text 1"/>
        <xdr:cNvSpPr/>
      </xdr:nvSpPr>
      <xdr:spPr>
        <a:xfrm>
          <a:off x="2543760" y="4866120"/>
          <a:ext cx="464040" cy="19332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txBody>
        <a:bodyPr lIns="27360" rIns="0" tIns="22680" bIns="0" anchor="t">
          <a:noAutofit/>
        </a:bodyPr>
        <a:p>
          <a:r>
            <a:rPr b="0" lang="en-US" sz="800" spc="-1" strike="noStrike">
              <a:solidFill>
                <a:srgbClr val="000000"/>
              </a:solidFill>
              <a:latin typeface="LinePrinter"/>
            </a:rPr>
            <a:t>thawed</a:t>
          </a:r>
          <a:endParaRPr b="0" lang="en-US" sz="800" spc="-1" strike="noStrike">
            <a:latin typeface="Times New Roman"/>
          </a:endParaRPr>
        </a:p>
        <a:p>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129240</xdr:colOff>
      <xdr:row>11</xdr:row>
      <xdr:rowOff>56880</xdr:rowOff>
    </xdr:from>
    <xdr:to>
      <xdr:col>32</xdr:col>
      <xdr:colOff>216000</xdr:colOff>
      <xdr:row>13</xdr:row>
      <xdr:rowOff>19440</xdr:rowOff>
    </xdr:to>
    <xdr:sp>
      <xdr:nvSpPr>
        <xdr:cNvPr id="1" name="Text 2"/>
        <xdr:cNvSpPr/>
      </xdr:nvSpPr>
      <xdr:spPr>
        <a:xfrm>
          <a:off x="11477160" y="1798200"/>
          <a:ext cx="852120" cy="29124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txBody>
        <a:bodyPr lIns="18000" rIns="0" tIns="18000" bIns="0" anchor="t">
          <a:noAutofit/>
        </a:bodyPr>
        <a:p>
          <a:r>
            <a:rPr b="0" lang="en-US" sz="400" spc="-1" strike="noStrike">
              <a:solidFill>
                <a:srgbClr val="000000"/>
              </a:solidFill>
              <a:latin typeface="LinePrinter"/>
            </a:rPr>
            <a:t>SPILL STARTED</a:t>
          </a:r>
          <a:endParaRPr b="0" lang="en-US" sz="400" spc="-1" strike="noStrike">
            <a:latin typeface="Times New Roman"/>
          </a:endParaRPr>
        </a:p>
        <a:p>
          <a:r>
            <a:rPr b="0" lang="en-US" sz="400" spc="-1" strike="noStrike">
              <a:solidFill>
                <a:srgbClr val="000000"/>
              </a:solidFill>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36</xdr:row>
      <xdr:rowOff>0</xdr:rowOff>
    </xdr:from>
    <xdr:to>
      <xdr:col>15</xdr:col>
      <xdr:colOff>360</xdr:colOff>
      <xdr:row>36</xdr:row>
      <xdr:rowOff>164520</xdr:rowOff>
    </xdr:to>
    <xdr:sp>
      <xdr:nvSpPr>
        <xdr:cNvPr id="2" name="Rectangle 1"/>
        <xdr:cNvSpPr/>
      </xdr:nvSpPr>
      <xdr:spPr>
        <a:xfrm>
          <a:off x="57232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3" name="Rectangle 3"/>
        <xdr:cNvSpPr/>
      </xdr:nvSpPr>
      <xdr:spPr>
        <a:xfrm>
          <a:off x="57232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4" name="Rectangle 4"/>
        <xdr:cNvSpPr/>
      </xdr:nvSpPr>
      <xdr:spPr>
        <a:xfrm>
          <a:off x="5723280" y="585288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5" name="Rectangle 6"/>
        <xdr:cNvSpPr/>
      </xdr:nvSpPr>
      <xdr:spPr>
        <a:xfrm>
          <a:off x="5723280" y="585288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6" name="Rectangle 8"/>
        <xdr:cNvSpPr/>
      </xdr:nvSpPr>
      <xdr:spPr>
        <a:xfrm>
          <a:off x="5723280" y="585288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36</xdr:row>
      <xdr:rowOff>123840</xdr:rowOff>
    </xdr:from>
    <xdr:to>
      <xdr:col>14</xdr:col>
      <xdr:colOff>11160</xdr:colOff>
      <xdr:row>36</xdr:row>
      <xdr:rowOff>164520</xdr:rowOff>
    </xdr:to>
    <xdr:sp>
      <xdr:nvSpPr>
        <xdr:cNvPr id="7" name="Rectangle 10"/>
        <xdr:cNvSpPr/>
      </xdr:nvSpPr>
      <xdr:spPr>
        <a:xfrm>
          <a:off x="5723280" y="5976720"/>
          <a:ext cx="11160" cy="4068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36</xdr:row>
      <xdr:rowOff>0</xdr:rowOff>
    </xdr:from>
    <xdr:to>
      <xdr:col>15</xdr:col>
      <xdr:colOff>360</xdr:colOff>
      <xdr:row>36</xdr:row>
      <xdr:rowOff>164520</xdr:rowOff>
    </xdr:to>
    <xdr:sp>
      <xdr:nvSpPr>
        <xdr:cNvPr id="8" name="Rectangle 11"/>
        <xdr:cNvSpPr/>
      </xdr:nvSpPr>
      <xdr:spPr>
        <a:xfrm>
          <a:off x="5723280" y="5852880"/>
          <a:ext cx="356040" cy="164520"/>
        </a:xfrm>
        <a:prstGeom prst="rect">
          <a:avLst/>
        </a:prstGeom>
        <a:noFill/>
        <a:ln w="0">
          <a:noFill/>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164520</xdr:rowOff>
    </xdr:to>
    <xdr:sp>
      <xdr:nvSpPr>
        <xdr:cNvPr id="9" name="Rectangle 12"/>
        <xdr:cNvSpPr/>
      </xdr:nvSpPr>
      <xdr:spPr>
        <a:xfrm>
          <a:off x="5723280" y="4866120"/>
          <a:ext cx="356040" cy="164520"/>
        </a:xfrm>
        <a:prstGeom prst="rect">
          <a:avLst/>
        </a:prstGeom>
        <a:noFill/>
        <a:ln w="9360">
          <a:solidFill>
            <a:srgbClr val="000000"/>
          </a:solidFill>
          <a:miter/>
        </a:ln>
      </xdr:spPr>
      <xdr:style>
        <a:lnRef idx="0"/>
        <a:fillRef idx="0"/>
        <a:effectRef idx="0"/>
        <a:fontRef idx="minor"/>
      </xdr:style>
    </xdr:sp>
    <xdr:clientData/>
  </xdr:twoCellAnchor>
  <xdr:twoCellAnchor editAs="oneCell">
    <xdr:from>
      <xdr:col>14</xdr:col>
      <xdr:colOff>0</xdr:colOff>
      <xdr:row>30</xdr:row>
      <xdr:rowOff>0</xdr:rowOff>
    </xdr:from>
    <xdr:to>
      <xdr:col>15</xdr:col>
      <xdr:colOff>360</xdr:colOff>
      <xdr:row>30</xdr:row>
      <xdr:rowOff>164520</xdr:rowOff>
    </xdr:to>
    <xdr:sp>
      <xdr:nvSpPr>
        <xdr:cNvPr id="10" name="Rectangle 13"/>
        <xdr:cNvSpPr/>
      </xdr:nvSpPr>
      <xdr:spPr>
        <a:xfrm>
          <a:off x="5723280" y="4866120"/>
          <a:ext cx="356040" cy="164520"/>
        </a:xfrm>
        <a:prstGeom prst="rect">
          <a:avLst/>
        </a:prstGeom>
        <a:noFill/>
        <a:ln w="9360">
          <a:solidFill>
            <a:srgbClr val="000000"/>
          </a:solidFill>
          <a:miter/>
        </a:ln>
        <a:effectLst>
          <a:outerShdw dist="17819" dir="2700000" blurRad="0" rotWithShape="0">
            <a:srgbClr val="000000"/>
          </a:outerShdw>
        </a:effectLst>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9.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0.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23" activePane="bottomRight" state="frozen"/>
      <selection pane="topLeft" activeCell="A1" activeCellId="0" sqref="A1"/>
      <selection pane="topRight" activeCell="B1" activeCellId="0" sqref="B1"/>
      <selection pane="bottomLeft" activeCell="A23" activeCellId="0" sqref="A23"/>
      <selection pane="bottomRight" activeCell="A1" activeCellId="0" sqref="A1"/>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82"/>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3" width="4.82"/>
    <col collapsed="false" customWidth="true" hidden="false" outlineLevel="0" max="18" min="17" style="4" width="4.32"/>
    <col collapsed="false" customWidth="true" hidden="false" outlineLevel="0" max="19" min="19" style="1" width="4.32"/>
    <col collapsed="false" customWidth="true" hidden="false" outlineLevel="0" max="20" min="20" style="5" width="5.49"/>
    <col collapsed="false" customWidth="true" hidden="false" outlineLevel="0" max="22" min="21" style="1" width="5.49"/>
    <col collapsed="false" customWidth="true" hidden="false" outlineLevel="0" max="23" min="23" style="2" width="6.32"/>
    <col collapsed="false" customWidth="true" hidden="false" outlineLevel="0" max="24" min="24" style="1" width="5.49"/>
    <col collapsed="false" customWidth="true" hidden="false" outlineLevel="0" max="25" min="25" style="1" width="5.82"/>
    <col collapsed="false" customWidth="true" hidden="false" outlineLevel="0" max="27" min="26" style="1" width="5.49"/>
    <col collapsed="false" customWidth="true" hidden="false" outlineLevel="0" max="29" min="28" style="2" width="5.49"/>
    <col collapsed="false" customWidth="true" hidden="false" outlineLevel="0" max="30" min="30" style="2" width="6.49"/>
    <col collapsed="false" customWidth="true" hidden="false" outlineLevel="0" max="31" min="31" style="1" width="5.49"/>
    <col collapsed="false" customWidth="true" hidden="false" outlineLevel="0" max="33" min="32" style="1" width="6.32"/>
    <col collapsed="false" customWidth="true" hidden="false" outlineLevel="0" max="34" min="34" style="1" width="6.99"/>
    <col collapsed="false" customWidth="true" hidden="false" outlineLevel="0" max="35" min="35" style="6" width="6.99"/>
    <col collapsed="false" customWidth="true" hidden="false" outlineLevel="0" max="36" min="36" style="6" width="5.32"/>
    <col collapsed="false" customWidth="true" hidden="false" outlineLevel="0" max="37" min="37" style="7" width="3.82"/>
    <col collapsed="false" customWidth="true" hidden="false" outlineLevel="0" max="38" min="38" style="8" width="3.82"/>
    <col collapsed="false" customWidth="true" hidden="false" outlineLevel="0" max="40" min="39" style="4" width="5.49"/>
    <col collapsed="false" customWidth="true" hidden="false" outlineLevel="0" max="41" min="41" style="1" width="6.32"/>
    <col collapsed="false" customWidth="true" hidden="false" outlineLevel="0" max="42" min="42" style="9" width="6.32"/>
    <col collapsed="false" customWidth="true" hidden="false" outlineLevel="0" max="43" min="43" style="1" width="6.32"/>
    <col collapsed="false" customWidth="true" hidden="false" outlineLevel="0" max="44" min="44" style="1" width="5.82"/>
    <col collapsed="false" customWidth="true" hidden="false" outlineLevel="0" max="45" min="45" style="10" width="4.99"/>
  </cols>
  <sheetData>
    <row r="1" customFormat="false" ht="14.1" hidden="false" customHeight="true" outlineLevel="0" collapsed="false">
      <c r="A1" s="11"/>
      <c r="B1" s="11"/>
      <c r="D1" s="11"/>
      <c r="F1" s="11"/>
      <c r="G1" s="11"/>
      <c r="I1" s="11"/>
      <c r="J1" s="11"/>
      <c r="K1" s="12" t="s">
        <v>0</v>
      </c>
      <c r="L1" s="11"/>
      <c r="M1" s="11"/>
      <c r="N1" s="11"/>
      <c r="O1" s="11"/>
      <c r="Q1" s="11"/>
      <c r="R1" s="11"/>
      <c r="S1" s="11"/>
      <c r="U1" s="11"/>
      <c r="V1" s="11"/>
      <c r="X1" s="11"/>
      <c r="Y1" s="11"/>
      <c r="Z1" s="11"/>
      <c r="AA1" s="11"/>
      <c r="AE1" s="11"/>
      <c r="AF1" s="11"/>
      <c r="AG1" s="11"/>
      <c r="AH1" s="11"/>
      <c r="AI1" s="3"/>
    </row>
    <row r="2" customFormat="false" ht="14.1" hidden="false" customHeight="true" outlineLevel="0" collapsed="false">
      <c r="A2" s="13" t="s">
        <v>1</v>
      </c>
      <c r="B2" s="11"/>
      <c r="D2" s="14" t="n">
        <v>1.9835</v>
      </c>
      <c r="F2" s="11"/>
      <c r="G2" s="11"/>
      <c r="I2" s="11"/>
      <c r="J2" s="11"/>
      <c r="K2" s="11"/>
      <c r="L2" s="12" t="s">
        <v>2</v>
      </c>
      <c r="M2" s="11"/>
      <c r="N2" s="11"/>
      <c r="O2" s="11"/>
      <c r="Q2" s="11"/>
      <c r="R2" s="11"/>
      <c r="S2" s="11"/>
      <c r="U2" s="11"/>
      <c r="V2" s="11"/>
      <c r="X2" s="11"/>
      <c r="Y2" s="11"/>
      <c r="Z2" s="11"/>
      <c r="AA2" s="11"/>
      <c r="AE2" s="11"/>
      <c r="AF2" s="11"/>
      <c r="AG2" s="11"/>
      <c r="AH2" s="11"/>
      <c r="AI2" s="3"/>
    </row>
    <row r="3" customFormat="false" ht="14.1" hidden="false" customHeight="true" outlineLevel="0" collapsed="false">
      <c r="A3" s="15"/>
      <c r="B3" s="15"/>
      <c r="C3" s="16"/>
      <c r="D3" s="17"/>
      <c r="E3" s="16"/>
      <c r="F3" s="15"/>
      <c r="G3" s="15"/>
      <c r="H3" s="18"/>
      <c r="I3" s="15"/>
      <c r="J3" s="15"/>
      <c r="K3" s="15"/>
      <c r="L3" s="15"/>
      <c r="M3" s="15"/>
      <c r="N3" s="15"/>
      <c r="O3" s="15"/>
      <c r="P3" s="18"/>
      <c r="Q3" s="15"/>
      <c r="R3" s="15"/>
      <c r="S3" s="15"/>
      <c r="T3" s="19"/>
      <c r="U3" s="15"/>
      <c r="V3" s="15"/>
      <c r="W3" s="16"/>
      <c r="X3" s="15"/>
      <c r="Y3" s="15"/>
      <c r="Z3" s="15"/>
      <c r="AA3" s="15"/>
      <c r="AB3" s="16"/>
      <c r="AC3" s="16"/>
      <c r="AD3" s="16"/>
      <c r="AE3" s="15"/>
      <c r="AF3" s="15"/>
      <c r="AG3" s="15"/>
      <c r="AH3" s="15"/>
      <c r="AI3" s="18"/>
      <c r="AJ3" s="20"/>
      <c r="AK3" s="21"/>
      <c r="AL3" s="22"/>
      <c r="AM3" s="23"/>
      <c r="AN3" s="23"/>
      <c r="AO3" s="24"/>
      <c r="AP3" s="25"/>
      <c r="AQ3" s="26"/>
    </row>
    <row r="4" s="1" customFormat="true" ht="14.1" hidden="false" customHeight="true" outlineLevel="0" collapsed="false">
      <c r="A4" s="11"/>
      <c r="B4" s="27"/>
      <c r="C4" s="28"/>
      <c r="D4" s="29" t="s">
        <v>3</v>
      </c>
      <c r="E4" s="28"/>
      <c r="F4" s="30"/>
      <c r="G4" s="11"/>
      <c r="H4" s="3"/>
      <c r="I4" s="11"/>
      <c r="J4" s="11"/>
      <c r="K4" s="11"/>
      <c r="L4" s="11"/>
      <c r="M4" s="11"/>
      <c r="N4" s="11"/>
      <c r="O4" s="11"/>
      <c r="P4" s="3"/>
      <c r="Q4" s="11"/>
      <c r="R4" s="11"/>
      <c r="S4" s="11"/>
      <c r="T4" s="5"/>
      <c r="U4" s="31" t="s">
        <v>4</v>
      </c>
      <c r="V4" s="11"/>
      <c r="W4" s="2"/>
      <c r="X4" s="11"/>
      <c r="Y4" s="11"/>
      <c r="Z4" s="11"/>
      <c r="AA4" s="11"/>
      <c r="AB4" s="2"/>
      <c r="AC4" s="2"/>
      <c r="AD4" s="2"/>
      <c r="AE4" s="11"/>
      <c r="AF4" s="11"/>
      <c r="AG4" s="11"/>
      <c r="AH4" s="11"/>
      <c r="AI4" s="3"/>
      <c r="AJ4" s="32"/>
      <c r="AK4" s="33" t="s">
        <v>5</v>
      </c>
      <c r="AL4" s="34"/>
      <c r="AM4" s="4"/>
      <c r="AN4" s="4"/>
      <c r="AO4" s="35" t="s">
        <v>6</v>
      </c>
      <c r="AP4" s="35"/>
      <c r="AQ4" s="36"/>
      <c r="AR4" s="36"/>
      <c r="AS4" s="37"/>
    </row>
    <row r="5" customFormat="false" ht="12.95" hidden="false" customHeight="true" outlineLevel="0" collapsed="false">
      <c r="A5" s="38" t="s">
        <v>7</v>
      </c>
      <c r="B5" s="39" t="s">
        <v>8</v>
      </c>
      <c r="C5" s="40" t="s">
        <v>8</v>
      </c>
      <c r="D5" s="41" t="s">
        <v>9</v>
      </c>
      <c r="E5" s="40" t="s">
        <v>10</v>
      </c>
      <c r="F5" s="42" t="s">
        <v>11</v>
      </c>
      <c r="G5" s="38" t="s">
        <v>12</v>
      </c>
      <c r="H5" s="43" t="s">
        <v>13</v>
      </c>
      <c r="I5" s="38" t="s">
        <v>14</v>
      </c>
      <c r="J5" s="38" t="s">
        <v>15</v>
      </c>
      <c r="K5" s="38" t="s">
        <v>16</v>
      </c>
      <c r="L5" s="38" t="s">
        <v>15</v>
      </c>
      <c r="M5" s="44" t="s">
        <v>17</v>
      </c>
      <c r="N5" s="44"/>
      <c r="O5" s="44"/>
      <c r="P5" s="44"/>
      <c r="Q5" s="44"/>
      <c r="R5" s="44"/>
      <c r="S5" s="44"/>
      <c r="T5" s="45"/>
      <c r="U5" s="38" t="s">
        <v>18</v>
      </c>
      <c r="V5" s="38" t="s">
        <v>19</v>
      </c>
      <c r="W5" s="38" t="s">
        <v>16</v>
      </c>
      <c r="X5" s="46" t="s">
        <v>20</v>
      </c>
      <c r="Y5" s="46" t="s">
        <v>21</v>
      </c>
      <c r="Z5" s="46" t="s">
        <v>20</v>
      </c>
      <c r="AA5" s="38" t="s">
        <v>22</v>
      </c>
      <c r="AB5" s="47" t="s">
        <v>23</v>
      </c>
      <c r="AC5" s="48"/>
      <c r="AD5" s="38" t="s">
        <v>24</v>
      </c>
      <c r="AE5" s="46" t="s">
        <v>25</v>
      </c>
      <c r="AF5" s="46" t="s">
        <v>26</v>
      </c>
      <c r="AG5" s="38" t="s">
        <v>14</v>
      </c>
      <c r="AH5" s="38" t="s">
        <v>15</v>
      </c>
      <c r="AI5" s="38" t="s">
        <v>16</v>
      </c>
      <c r="AJ5" s="49" t="s">
        <v>27</v>
      </c>
      <c r="AK5" s="50" t="s">
        <v>28</v>
      </c>
      <c r="AL5" s="51" t="s">
        <v>29</v>
      </c>
      <c r="AM5" s="52" t="s">
        <v>30</v>
      </c>
      <c r="AN5" s="52" t="s">
        <v>20</v>
      </c>
      <c r="AO5" s="53" t="s">
        <v>20</v>
      </c>
      <c r="AP5" s="54" t="s">
        <v>20</v>
      </c>
      <c r="AQ5" s="54" t="s">
        <v>31</v>
      </c>
      <c r="AR5" s="55" t="s">
        <v>32</v>
      </c>
      <c r="AS5" s="56" t="s">
        <v>33</v>
      </c>
    </row>
    <row r="6" customFormat="false" ht="12.95" hidden="false" customHeight="true" outlineLevel="0" collapsed="false">
      <c r="A6" s="57" t="s">
        <v>34</v>
      </c>
      <c r="B6" s="39" t="s">
        <v>35</v>
      </c>
      <c r="C6" s="40" t="s">
        <v>9</v>
      </c>
      <c r="D6" s="41" t="s">
        <v>36</v>
      </c>
      <c r="E6" s="40" t="s">
        <v>37</v>
      </c>
      <c r="F6" s="42" t="s">
        <v>38</v>
      </c>
      <c r="G6" s="38" t="s">
        <v>39</v>
      </c>
      <c r="H6" s="43" t="s">
        <v>40</v>
      </c>
      <c r="I6" s="38" t="s">
        <v>41</v>
      </c>
      <c r="J6" s="38" t="s">
        <v>41</v>
      </c>
      <c r="K6" s="38" t="s">
        <v>41</v>
      </c>
      <c r="L6" s="38" t="s">
        <v>42</v>
      </c>
      <c r="M6" s="58" t="s">
        <v>43</v>
      </c>
      <c r="N6" s="41" t="s">
        <v>44</v>
      </c>
      <c r="O6" s="41" t="s">
        <v>45</v>
      </c>
      <c r="P6" s="59" t="s">
        <v>46</v>
      </c>
      <c r="Q6" s="41" t="s">
        <v>47</v>
      </c>
      <c r="R6" s="41" t="s">
        <v>48</v>
      </c>
      <c r="S6" s="41" t="s">
        <v>49</v>
      </c>
      <c r="T6" s="60" t="s">
        <v>50</v>
      </c>
      <c r="U6" s="38" t="s">
        <v>51</v>
      </c>
      <c r="V6" s="38" t="s">
        <v>52</v>
      </c>
      <c r="W6" s="38" t="s">
        <v>20</v>
      </c>
      <c r="X6" s="46" t="s">
        <v>53</v>
      </c>
      <c r="Y6" s="46" t="s">
        <v>54</v>
      </c>
      <c r="Z6" s="46" t="s">
        <v>55</v>
      </c>
      <c r="AA6" s="38" t="s">
        <v>56</v>
      </c>
      <c r="AB6" s="58" t="s">
        <v>57</v>
      </c>
      <c r="AC6" s="61" t="s">
        <v>55</v>
      </c>
      <c r="AD6" s="38" t="s">
        <v>58</v>
      </c>
      <c r="AE6" s="46" t="s">
        <v>59</v>
      </c>
      <c r="AF6" s="46"/>
      <c r="AG6" s="38" t="s">
        <v>60</v>
      </c>
      <c r="AH6" s="38" t="s">
        <v>60</v>
      </c>
      <c r="AI6" s="38" t="s">
        <v>60</v>
      </c>
      <c r="AJ6" s="62"/>
      <c r="AK6" s="50" t="s">
        <v>61</v>
      </c>
      <c r="AL6" s="51" t="s">
        <v>61</v>
      </c>
      <c r="AM6" s="52" t="s">
        <v>62</v>
      </c>
      <c r="AN6" s="52" t="s">
        <v>63</v>
      </c>
      <c r="AO6" s="53" t="s">
        <v>64</v>
      </c>
      <c r="AP6" s="54" t="s">
        <v>64</v>
      </c>
      <c r="AQ6" s="54" t="s">
        <v>65</v>
      </c>
      <c r="AR6" s="55" t="s">
        <v>66</v>
      </c>
      <c r="AS6" s="56" t="s">
        <v>67</v>
      </c>
    </row>
    <row r="7" customFormat="false" ht="12.95" hidden="false" customHeight="true" outlineLevel="0" collapsed="false">
      <c r="A7" s="63"/>
      <c r="B7" s="64"/>
      <c r="C7" s="65"/>
      <c r="D7" s="66"/>
      <c r="E7" s="40" t="s">
        <v>68</v>
      </c>
      <c r="F7" s="67"/>
      <c r="G7" s="63"/>
      <c r="H7" s="5"/>
      <c r="I7" s="63"/>
      <c r="J7" s="63"/>
      <c r="K7" s="63"/>
      <c r="L7" s="63"/>
      <c r="M7" s="68"/>
      <c r="N7" s="41" t="s">
        <v>69</v>
      </c>
      <c r="O7" s="41" t="s">
        <v>70</v>
      </c>
      <c r="P7" s="59"/>
      <c r="Q7" s="66"/>
      <c r="R7" s="66"/>
      <c r="S7" s="41" t="s">
        <v>45</v>
      </c>
      <c r="T7" s="60" t="s">
        <v>26</v>
      </c>
      <c r="U7" s="63"/>
      <c r="V7" s="63"/>
      <c r="W7" s="63"/>
      <c r="X7" s="46"/>
      <c r="Y7" s="46"/>
      <c r="Z7" s="46"/>
      <c r="AA7" s="63"/>
      <c r="AB7" s="68"/>
      <c r="AC7" s="69"/>
      <c r="AD7" s="63"/>
      <c r="AE7" s="70"/>
      <c r="AF7" s="70"/>
      <c r="AG7" s="63"/>
      <c r="AH7" s="63"/>
      <c r="AI7" s="63"/>
      <c r="AJ7" s="71"/>
      <c r="AK7" s="50"/>
      <c r="AL7" s="72"/>
      <c r="AM7" s="52" t="s">
        <v>71</v>
      </c>
      <c r="AN7" s="52" t="s">
        <v>38</v>
      </c>
      <c r="AO7" s="55" t="s">
        <v>72</v>
      </c>
      <c r="AP7" s="55" t="s">
        <v>73</v>
      </c>
      <c r="AQ7" s="55" t="s">
        <v>74</v>
      </c>
      <c r="AR7" s="55" t="s">
        <v>75</v>
      </c>
      <c r="AS7" s="56" t="s">
        <v>57</v>
      </c>
    </row>
    <row r="8" customFormat="false" ht="12.95" hidden="false" customHeight="true" outlineLevel="0" collapsed="false">
      <c r="A8" s="63"/>
      <c r="B8" s="64"/>
      <c r="C8" s="65"/>
      <c r="D8" s="66"/>
      <c r="E8" s="65"/>
      <c r="F8" s="67"/>
      <c r="G8" s="63"/>
      <c r="H8" s="5"/>
      <c r="I8" s="63"/>
      <c r="J8" s="63"/>
      <c r="K8" s="63"/>
      <c r="L8" s="63"/>
      <c r="M8" s="68"/>
      <c r="N8" s="73" t="n">
        <v>1.03</v>
      </c>
      <c r="O8" s="73" t="n">
        <v>1.05</v>
      </c>
      <c r="P8" s="73" t="n">
        <v>1.02</v>
      </c>
      <c r="Q8" s="73" t="n">
        <v>1.02</v>
      </c>
      <c r="R8" s="73" t="n">
        <v>1.04</v>
      </c>
      <c r="S8" s="41" t="s">
        <v>55</v>
      </c>
      <c r="T8" s="60"/>
      <c r="U8" s="63"/>
      <c r="V8" s="63"/>
      <c r="W8" s="63"/>
      <c r="X8" s="74"/>
      <c r="Y8" s="74"/>
      <c r="Z8" s="46"/>
      <c r="AA8" s="63"/>
      <c r="AB8" s="68"/>
      <c r="AC8" s="69"/>
      <c r="AD8" s="63"/>
      <c r="AE8" s="75"/>
      <c r="AF8" s="75"/>
      <c r="AG8" s="63"/>
      <c r="AH8" s="63"/>
      <c r="AI8" s="63"/>
      <c r="AJ8" s="71"/>
      <c r="AK8" s="76"/>
      <c r="AL8" s="72"/>
      <c r="AM8" s="52" t="s">
        <v>16</v>
      </c>
      <c r="AN8" s="77"/>
      <c r="AP8" s="55" t="s">
        <v>76</v>
      </c>
      <c r="AS8" s="43"/>
    </row>
    <row r="9" customFormat="false" ht="12.95" hidden="false" customHeight="true" outlineLevel="0" collapsed="false">
      <c r="A9" s="13" t="s">
        <v>77</v>
      </c>
      <c r="B9" s="78"/>
      <c r="C9" s="79"/>
      <c r="D9" s="79"/>
      <c r="E9" s="79"/>
      <c r="F9" s="80"/>
      <c r="G9" s="2"/>
      <c r="I9" s="2"/>
      <c r="J9" s="2"/>
      <c r="K9" s="2"/>
      <c r="L9" s="2"/>
      <c r="M9" s="81"/>
      <c r="N9" s="79"/>
      <c r="O9" s="79"/>
      <c r="P9" s="82"/>
      <c r="Q9" s="83"/>
      <c r="R9" s="83"/>
      <c r="S9" s="83"/>
      <c r="T9" s="84"/>
      <c r="U9" s="85"/>
      <c r="V9" s="85"/>
      <c r="W9" s="85"/>
      <c r="X9" s="85"/>
      <c r="Y9" s="85"/>
      <c r="Z9" s="85"/>
      <c r="AA9" s="85"/>
      <c r="AB9" s="86"/>
      <c r="AC9" s="87"/>
      <c r="AD9" s="85"/>
      <c r="AE9" s="70"/>
      <c r="AF9" s="70"/>
      <c r="AG9" s="85"/>
      <c r="AH9" s="85"/>
      <c r="AI9" s="85"/>
      <c r="AJ9" s="88"/>
      <c r="AK9" s="89"/>
      <c r="AL9" s="90"/>
      <c r="AM9" s="91"/>
      <c r="AN9" s="91"/>
      <c r="AO9" s="92"/>
      <c r="AP9" s="92"/>
      <c r="AQ9" s="92"/>
    </row>
    <row r="10" s="97" customFormat="true" ht="12.95" hidden="false" customHeight="true" outlineLevel="0" collapsed="false">
      <c r="A10" s="93" t="s">
        <v>78</v>
      </c>
      <c r="B10" s="94" t="n">
        <v>6901.16</v>
      </c>
      <c r="C10" s="95" t="n">
        <v>287879</v>
      </c>
      <c r="D10" s="79"/>
      <c r="E10" s="79"/>
      <c r="F10" s="80"/>
      <c r="G10" s="2"/>
      <c r="H10" s="3"/>
      <c r="I10" s="2"/>
      <c r="J10" s="2"/>
      <c r="K10" s="2"/>
      <c r="L10" s="2"/>
      <c r="M10" s="81"/>
      <c r="N10" s="79"/>
      <c r="O10" s="79"/>
      <c r="P10" s="82"/>
      <c r="Q10" s="83"/>
      <c r="R10" s="83"/>
      <c r="S10" s="83"/>
      <c r="T10" s="84"/>
      <c r="U10" s="85"/>
      <c r="V10" s="85"/>
      <c r="W10" s="85"/>
      <c r="X10" s="85"/>
      <c r="Y10" s="85"/>
      <c r="Z10" s="85"/>
      <c r="AA10" s="85"/>
      <c r="AB10" s="86"/>
      <c r="AC10" s="87"/>
      <c r="AD10" s="95"/>
      <c r="AE10" s="95" t="n">
        <v>4939</v>
      </c>
      <c r="AF10" s="95"/>
      <c r="AG10" s="85"/>
      <c r="AH10" s="85"/>
      <c r="AI10" s="85"/>
      <c r="AJ10" s="88"/>
      <c r="AK10" s="89"/>
      <c r="AL10" s="90"/>
      <c r="AM10" s="91"/>
      <c r="AN10" s="91" t="n">
        <v>321</v>
      </c>
      <c r="AO10" s="85"/>
      <c r="AP10" s="85"/>
      <c r="AQ10" s="85"/>
      <c r="AR10" s="2"/>
      <c r="AS10" s="96"/>
    </row>
    <row r="11" customFormat="false" ht="3" hidden="false" customHeight="true" outlineLevel="0" collapsed="false">
      <c r="A11" s="98"/>
      <c r="B11" s="99"/>
      <c r="C11" s="100"/>
      <c r="D11" s="98"/>
      <c r="E11" s="100"/>
      <c r="F11" s="101"/>
      <c r="G11" s="98"/>
      <c r="H11" s="102"/>
      <c r="I11" s="98"/>
      <c r="J11" s="98"/>
      <c r="K11" s="98"/>
      <c r="L11" s="98"/>
      <c r="M11" s="103"/>
      <c r="N11" s="98"/>
      <c r="O11" s="98"/>
      <c r="P11" s="102"/>
      <c r="Q11" s="104"/>
      <c r="R11" s="104"/>
      <c r="S11" s="104"/>
      <c r="T11" s="105"/>
      <c r="U11" s="104"/>
      <c r="V11" s="104"/>
      <c r="W11" s="104"/>
      <c r="X11" s="106"/>
      <c r="Y11" s="106"/>
      <c r="Z11" s="106"/>
      <c r="AA11" s="104"/>
      <c r="AB11" s="107"/>
      <c r="AC11" s="108"/>
      <c r="AD11" s="104"/>
      <c r="AE11" s="106"/>
      <c r="AF11" s="106"/>
      <c r="AG11" s="104"/>
      <c r="AH11" s="104"/>
      <c r="AI11" s="104"/>
      <c r="AJ11" s="109"/>
      <c r="AK11" s="110"/>
      <c r="AL11" s="111"/>
      <c r="AM11" s="112"/>
      <c r="AN11" s="112"/>
      <c r="AO11" s="110"/>
      <c r="AP11" s="110"/>
      <c r="AQ11" s="110"/>
      <c r="AR11" s="110"/>
      <c r="AS11" s="113"/>
    </row>
    <row r="12" customFormat="false" ht="12.95" hidden="false" customHeight="true" outlineLevel="0" collapsed="false">
      <c r="A12" s="8" t="n">
        <v>1</v>
      </c>
      <c r="B12" s="114" t="n">
        <v>6901.14</v>
      </c>
      <c r="C12" s="79" t="n">
        <v>287804</v>
      </c>
      <c r="D12" s="115" t="n">
        <f aca="false">C12-C10</f>
        <v>-75</v>
      </c>
      <c r="E12" s="79" t="n">
        <f aca="false">C12-152000</f>
        <v>135804</v>
      </c>
      <c r="F12" s="116" t="n">
        <f aca="false">D12/$D$2</f>
        <v>-37.8119485757499</v>
      </c>
      <c r="G12" s="11" t="n">
        <v>102</v>
      </c>
      <c r="H12" s="3" t="n">
        <v>2</v>
      </c>
      <c r="I12" s="11" t="n">
        <f aca="false">G12+H12</f>
        <v>104</v>
      </c>
      <c r="J12" s="4" t="n">
        <f aca="false">IF(L12&gt;0,L12,0)</f>
        <v>0</v>
      </c>
      <c r="K12" s="11" t="n">
        <f aca="false">I12+J12</f>
        <v>104</v>
      </c>
      <c r="L12" s="11" t="n">
        <f aca="false">F12-(I12-AG12)</f>
        <v>-35.8119485757499</v>
      </c>
      <c r="M12" s="117" t="n">
        <v>40</v>
      </c>
      <c r="N12" s="118" t="n">
        <v>0</v>
      </c>
      <c r="O12" s="118" t="n">
        <v>0</v>
      </c>
      <c r="P12" s="82" t="n">
        <v>0</v>
      </c>
      <c r="Q12" s="119" t="n">
        <f aca="false">1.56*1.02</f>
        <v>1.5912</v>
      </c>
      <c r="R12" s="119" t="n">
        <v>2.49</v>
      </c>
      <c r="S12" s="120" t="n">
        <v>0</v>
      </c>
      <c r="T12" s="84" t="n">
        <v>0</v>
      </c>
      <c r="U12" s="121" t="n">
        <v>22</v>
      </c>
      <c r="V12" s="121" t="n">
        <v>11</v>
      </c>
      <c r="W12" s="122" t="n">
        <f aca="false">M12-N12-P12-O12-Q12-R12-S12-T12+U12+V12</f>
        <v>68.9188</v>
      </c>
      <c r="X12" s="85"/>
      <c r="Y12" s="85"/>
      <c r="Z12" s="85"/>
      <c r="AA12" s="121" t="n">
        <v>0</v>
      </c>
      <c r="AB12" s="123"/>
      <c r="AC12" s="124"/>
      <c r="AD12" s="121" t="n">
        <v>33</v>
      </c>
      <c r="AE12" s="85" t="n">
        <f aca="false">AE10-AD12</f>
        <v>4906</v>
      </c>
      <c r="AF12" s="85"/>
      <c r="AG12" s="121" t="n">
        <f aca="false">N12+O12+P12+Q12+R12+S12+T12+W12+AA12+AD12</f>
        <v>106</v>
      </c>
      <c r="AH12" s="121" t="n">
        <f aca="false">IF(L12&lt;0,L12*-1,0)</f>
        <v>35.8119485757499</v>
      </c>
      <c r="AI12" s="121" t="n">
        <f aca="false">AG12+AH12</f>
        <v>141.81194857575</v>
      </c>
      <c r="AJ12" s="88" t="n">
        <v>0</v>
      </c>
      <c r="AK12" s="89" t="n">
        <v>60</v>
      </c>
      <c r="AL12" s="90" t="n">
        <v>28</v>
      </c>
      <c r="AM12" s="91"/>
      <c r="AN12" s="91" t="n">
        <f aca="false">W12</f>
        <v>68.9188</v>
      </c>
      <c r="AO12" s="92"/>
      <c r="AP12" s="92"/>
      <c r="AQ12" s="92"/>
      <c r="AS12" s="1"/>
    </row>
    <row r="13" customFormat="false" ht="12.95" hidden="false" customHeight="true" outlineLevel="0" collapsed="false">
      <c r="A13" s="8" t="n">
        <f aca="false">A12+1</f>
        <v>2</v>
      </c>
      <c r="B13" s="125" t="n">
        <v>6901.12</v>
      </c>
      <c r="C13" s="79" t="n">
        <v>287730</v>
      </c>
      <c r="D13" s="115" t="n">
        <f aca="false">C13-C12</f>
        <v>-74</v>
      </c>
      <c r="E13" s="79" t="n">
        <f aca="false">C13-152000</f>
        <v>135730</v>
      </c>
      <c r="F13" s="116" t="n">
        <f aca="false">D13/$D$2</f>
        <v>-37.3077892614066</v>
      </c>
      <c r="G13" s="11" t="n">
        <v>96</v>
      </c>
      <c r="H13" s="3" t="n">
        <v>1.6</v>
      </c>
      <c r="I13" s="11" t="n">
        <f aca="false">G13+H13</f>
        <v>97.6</v>
      </c>
      <c r="J13" s="4" t="n">
        <f aca="false">IF(L13&gt;0,L13,0)</f>
        <v>0</v>
      </c>
      <c r="K13" s="11" t="n">
        <f aca="false">I13+J13</f>
        <v>97.6</v>
      </c>
      <c r="L13" s="11" t="n">
        <f aca="false">F13-(I13-AG13)</f>
        <v>-12.9077892614066</v>
      </c>
      <c r="M13" s="117" t="n">
        <v>46</v>
      </c>
      <c r="N13" s="118" t="n">
        <v>0</v>
      </c>
      <c r="O13" s="118" t="n">
        <v>0</v>
      </c>
      <c r="P13" s="82" t="n">
        <v>0</v>
      </c>
      <c r="Q13" s="119" t="n">
        <f aca="false">1.56*1.02</f>
        <v>1.5912</v>
      </c>
      <c r="R13" s="119" t="n">
        <v>2.3</v>
      </c>
      <c r="S13" s="126" t="n">
        <v>0</v>
      </c>
      <c r="T13" s="84" t="n">
        <v>0</v>
      </c>
      <c r="U13" s="121" t="n">
        <v>29</v>
      </c>
      <c r="V13" s="121" t="n">
        <v>16</v>
      </c>
      <c r="W13" s="122" t="n">
        <f aca="false">M13-N13-P13-O13-Q13-R13-S13-T13+U13+V13</f>
        <v>87.1088</v>
      </c>
      <c r="X13" s="85"/>
      <c r="Y13" s="85"/>
      <c r="Z13" s="85"/>
      <c r="AA13" s="121" t="n">
        <v>0</v>
      </c>
      <c r="AB13" s="123"/>
      <c r="AC13" s="124"/>
      <c r="AD13" s="121" t="n">
        <v>31</v>
      </c>
      <c r="AE13" s="85" t="n">
        <f aca="false">AE12-AD13</f>
        <v>4875</v>
      </c>
      <c r="AF13" s="85"/>
      <c r="AG13" s="121" t="n">
        <f aca="false">N13+O13+P13+Q13+R13+S13+T13+W13+AA13+AD13</f>
        <v>122</v>
      </c>
      <c r="AH13" s="121" t="n">
        <f aca="false">IF(L13&lt;0,L13*-1,0)</f>
        <v>12.9077892614066</v>
      </c>
      <c r="AI13" s="121" t="n">
        <f aca="false">AG13+AH13</f>
        <v>134.907789261407</v>
      </c>
      <c r="AJ13" s="88" t="n">
        <v>0</v>
      </c>
      <c r="AK13" s="89" t="n">
        <v>61</v>
      </c>
      <c r="AL13" s="90" t="n">
        <v>25</v>
      </c>
      <c r="AM13" s="91"/>
      <c r="AN13" s="91" t="n">
        <f aca="false">W13</f>
        <v>87.1088</v>
      </c>
      <c r="AO13" s="92"/>
      <c r="AP13" s="92"/>
      <c r="AQ13" s="92"/>
      <c r="AS13" s="1"/>
    </row>
    <row r="14" customFormat="false" ht="12.95" hidden="false" customHeight="true" outlineLevel="0" collapsed="false">
      <c r="A14" s="8" t="n">
        <f aca="false">A13+1</f>
        <v>3</v>
      </c>
      <c r="B14" s="114" t="n">
        <v>6901.1</v>
      </c>
      <c r="C14" s="79" t="n">
        <v>287655</v>
      </c>
      <c r="D14" s="115" t="n">
        <f aca="false">C14-C13</f>
        <v>-75</v>
      </c>
      <c r="E14" s="79" t="n">
        <f aca="false">C14-152000</f>
        <v>135655</v>
      </c>
      <c r="F14" s="116" t="n">
        <f aca="false">D14/$D$2</f>
        <v>-37.8119485757499</v>
      </c>
      <c r="G14" s="11" t="n">
        <v>89</v>
      </c>
      <c r="H14" s="3" t="n">
        <v>1.4</v>
      </c>
      <c r="I14" s="11" t="n">
        <f aca="false">G14+H14</f>
        <v>90.4</v>
      </c>
      <c r="J14" s="4" t="n">
        <f aca="false">IF(L14&gt;0,L14,0)</f>
        <v>0</v>
      </c>
      <c r="K14" s="11" t="n">
        <f aca="false">I14+J14</f>
        <v>90.4</v>
      </c>
      <c r="L14" s="11" t="n">
        <f aca="false">F14-(I14-AG14)</f>
        <v>-0.251948575749935</v>
      </c>
      <c r="M14" s="117" t="n">
        <v>48</v>
      </c>
      <c r="N14" s="118" t="n">
        <v>0</v>
      </c>
      <c r="O14" s="118" t="n">
        <v>0</v>
      </c>
      <c r="P14" s="82" t="n">
        <v>0</v>
      </c>
      <c r="Q14" s="119" t="n">
        <f aca="false">1.56*1.02</f>
        <v>1.5912</v>
      </c>
      <c r="R14" s="119" t="n">
        <v>2.48</v>
      </c>
      <c r="S14" s="126" t="n">
        <v>0</v>
      </c>
      <c r="T14" s="84" t="n">
        <v>0</v>
      </c>
      <c r="U14" s="121" t="n">
        <v>32.96</v>
      </c>
      <c r="V14" s="121" t="n">
        <v>16</v>
      </c>
      <c r="W14" s="122" t="n">
        <f aca="false">M14-N14-P14-O14-Q14-R14-S14-T14+U14+V14</f>
        <v>92.8888</v>
      </c>
      <c r="X14" s="85"/>
      <c r="Y14" s="85"/>
      <c r="Z14" s="85"/>
      <c r="AA14" s="121" t="n">
        <v>0</v>
      </c>
      <c r="AB14" s="123"/>
      <c r="AC14" s="124"/>
      <c r="AD14" s="121" t="n">
        <v>31</v>
      </c>
      <c r="AE14" s="85" t="n">
        <f aca="false">AE13-AD14</f>
        <v>4844</v>
      </c>
      <c r="AF14" s="85"/>
      <c r="AG14" s="121" t="n">
        <f aca="false">N14+O14+P14+Q14+R14+S14+T14+W14+AA14+AD14</f>
        <v>127.96</v>
      </c>
      <c r="AH14" s="121" t="n">
        <f aca="false">IF(L14&lt;0,L14*-1,0)</f>
        <v>0.251948575749935</v>
      </c>
      <c r="AI14" s="121" t="n">
        <f aca="false">AG14+AH14</f>
        <v>128.21194857575</v>
      </c>
      <c r="AJ14" s="88" t="n">
        <v>0</v>
      </c>
      <c r="AK14" s="89" t="n">
        <v>62</v>
      </c>
      <c r="AL14" s="90" t="n">
        <v>27</v>
      </c>
      <c r="AM14" s="91"/>
      <c r="AN14" s="91" t="n">
        <f aca="false">W14</f>
        <v>92.8888</v>
      </c>
      <c r="AO14" s="92"/>
      <c r="AP14" s="92"/>
      <c r="AQ14" s="92"/>
      <c r="AS14" s="1"/>
    </row>
    <row r="15" customFormat="false" ht="12.95" hidden="false" customHeight="true" outlineLevel="0" collapsed="false">
      <c r="A15" s="8" t="n">
        <f aca="false">A14+1</f>
        <v>4</v>
      </c>
      <c r="B15" s="114" t="n">
        <v>6901.07</v>
      </c>
      <c r="C15" s="79" t="n">
        <v>287543</v>
      </c>
      <c r="D15" s="115" t="n">
        <f aca="false">C15-C14</f>
        <v>-112</v>
      </c>
      <c r="E15" s="79" t="n">
        <f aca="false">C15-152000</f>
        <v>135543</v>
      </c>
      <c r="F15" s="116" t="n">
        <f aca="false">D15/$D$2</f>
        <v>-56.4658432064532</v>
      </c>
      <c r="G15" s="11" t="n">
        <v>80</v>
      </c>
      <c r="H15" s="3" t="n">
        <v>1</v>
      </c>
      <c r="I15" s="11" t="n">
        <f aca="false">G15+H15</f>
        <v>81</v>
      </c>
      <c r="J15" s="4" t="n">
        <f aca="false">IF(L15&gt;0,L15,0)</f>
        <v>0</v>
      </c>
      <c r="K15" s="11" t="n">
        <f aca="false">I15+J15</f>
        <v>81</v>
      </c>
      <c r="L15" s="11" t="n">
        <f aca="false">F15-(I15-AG15)</f>
        <v>-9.46584320645324</v>
      </c>
      <c r="M15" s="117" t="n">
        <v>48</v>
      </c>
      <c r="N15" s="118" t="n">
        <v>0</v>
      </c>
      <c r="O15" s="118" t="n">
        <v>0</v>
      </c>
      <c r="P15" s="82" t="n">
        <v>0</v>
      </c>
      <c r="Q15" s="119" t="n">
        <f aca="false">1.56*1.02</f>
        <v>1.5912</v>
      </c>
      <c r="R15" s="119" t="n">
        <v>2.43</v>
      </c>
      <c r="S15" s="126" t="n">
        <v>0</v>
      </c>
      <c r="T15" s="84" t="n">
        <v>0</v>
      </c>
      <c r="U15" s="121" t="n">
        <v>32</v>
      </c>
      <c r="V15" s="121" t="n">
        <v>17</v>
      </c>
      <c r="W15" s="122" t="n">
        <f aca="false">M15-N15-P15-O15-Q15-R15-S15-T15+U15+V15</f>
        <v>92.9788</v>
      </c>
      <c r="X15" s="85"/>
      <c r="Y15" s="85"/>
      <c r="Z15" s="85"/>
      <c r="AA15" s="121" t="n">
        <v>0</v>
      </c>
      <c r="AB15" s="123"/>
      <c r="AC15" s="124"/>
      <c r="AD15" s="121" t="n">
        <v>31</v>
      </c>
      <c r="AE15" s="85" t="n">
        <f aca="false">AE14-AD15</f>
        <v>4813</v>
      </c>
      <c r="AF15" s="85"/>
      <c r="AG15" s="121" t="n">
        <f aca="false">N15+O15+P15+Q15+R15+S15+T15+W15+AA15+AD15</f>
        <v>128</v>
      </c>
      <c r="AH15" s="121" t="n">
        <f aca="false">IF(L15&lt;0,L15*-1,0)</f>
        <v>9.46584320645324</v>
      </c>
      <c r="AI15" s="121" t="n">
        <f aca="false">AG15+AH15</f>
        <v>137.465843206453</v>
      </c>
      <c r="AJ15" s="88" t="n">
        <v>0</v>
      </c>
      <c r="AK15" s="89" t="n">
        <v>64</v>
      </c>
      <c r="AL15" s="90" t="n">
        <v>27</v>
      </c>
      <c r="AM15" s="91"/>
      <c r="AN15" s="91" t="n">
        <f aca="false">W15</f>
        <v>92.9788</v>
      </c>
      <c r="AO15" s="92"/>
      <c r="AP15" s="92"/>
      <c r="AQ15" s="92"/>
      <c r="AS15" s="1"/>
    </row>
    <row r="16" customFormat="false" ht="12.95" hidden="false" customHeight="true" outlineLevel="0" collapsed="false">
      <c r="A16" s="8" t="n">
        <f aca="false">A15+1</f>
        <v>5</v>
      </c>
      <c r="B16" s="114" t="n">
        <v>6901.04</v>
      </c>
      <c r="C16" s="79" t="n">
        <v>287431</v>
      </c>
      <c r="D16" s="115" t="n">
        <f aca="false">C16-C15</f>
        <v>-112</v>
      </c>
      <c r="E16" s="79" t="n">
        <f aca="false">C16-152000</f>
        <v>135431</v>
      </c>
      <c r="F16" s="116" t="n">
        <f aca="false">D16/$D$2</f>
        <v>-56.4658432064532</v>
      </c>
      <c r="G16" s="11" t="n">
        <v>80</v>
      </c>
      <c r="H16" s="3" t="n">
        <v>0.79</v>
      </c>
      <c r="I16" s="11" t="n">
        <f aca="false">G16+H16</f>
        <v>80.79</v>
      </c>
      <c r="J16" s="4" t="n">
        <f aca="false">IF(L16&gt;0,L16,0)</f>
        <v>0</v>
      </c>
      <c r="K16" s="11" t="n">
        <f aca="false">I16+J16</f>
        <v>80.79</v>
      </c>
      <c r="L16" s="11" t="n">
        <f aca="false">F16-(I16-AG16)</f>
        <v>-34.2558432064532</v>
      </c>
      <c r="M16" s="117" t="n">
        <v>21</v>
      </c>
      <c r="N16" s="118" t="n">
        <v>0</v>
      </c>
      <c r="O16" s="118" t="n">
        <v>0</v>
      </c>
      <c r="P16" s="82" t="n">
        <v>0</v>
      </c>
      <c r="Q16" s="119" t="n">
        <f aca="false">1.56*1.02</f>
        <v>1.5912</v>
      </c>
      <c r="R16" s="119" t="n">
        <v>2.94</v>
      </c>
      <c r="S16" s="126" t="n">
        <v>0</v>
      </c>
      <c r="T16" s="84" t="n">
        <v>0</v>
      </c>
      <c r="U16" s="121" t="n">
        <v>32</v>
      </c>
      <c r="V16" s="121" t="n">
        <v>19</v>
      </c>
      <c r="W16" s="122" t="n">
        <f aca="false">M16-N16-P16-O16-Q16-R16-S16-T16+U16+V16</f>
        <v>67.4688</v>
      </c>
      <c r="X16" s="85"/>
      <c r="Y16" s="85"/>
      <c r="Z16" s="85"/>
      <c r="AA16" s="121" t="n">
        <v>0</v>
      </c>
      <c r="AB16" s="123"/>
      <c r="AC16" s="124"/>
      <c r="AD16" s="121" t="n">
        <v>31</v>
      </c>
      <c r="AE16" s="85" t="n">
        <f aca="false">AE15-AD16</f>
        <v>4782</v>
      </c>
      <c r="AF16" s="85"/>
      <c r="AG16" s="121" t="n">
        <f aca="false">N16+O16+P16+Q16+R16+S16+T16+W16+AA16+AD16</f>
        <v>103</v>
      </c>
      <c r="AH16" s="121" t="n">
        <f aca="false">IF(L16&lt;0,L16*-1,0)</f>
        <v>34.2558432064532</v>
      </c>
      <c r="AI16" s="121" t="n">
        <f aca="false">AG16+AH16</f>
        <v>137.255843206453</v>
      </c>
      <c r="AJ16" s="88" t="n">
        <v>0</v>
      </c>
      <c r="AK16" s="89" t="n">
        <v>65</v>
      </c>
      <c r="AL16" s="90" t="n">
        <v>23</v>
      </c>
      <c r="AM16" s="91"/>
      <c r="AN16" s="91" t="n">
        <f aca="false">W16</f>
        <v>67.4688</v>
      </c>
      <c r="AO16" s="92"/>
      <c r="AP16" s="92"/>
      <c r="AQ16" s="92"/>
      <c r="AS16" s="1"/>
    </row>
    <row r="17" customFormat="false" ht="12.95" hidden="false" customHeight="true" outlineLevel="0" collapsed="false">
      <c r="A17" s="8" t="n">
        <f aca="false">A16+1</f>
        <v>6</v>
      </c>
      <c r="B17" s="114" t="n">
        <v>6901.02</v>
      </c>
      <c r="C17" s="79" t="n">
        <v>287357</v>
      </c>
      <c r="D17" s="115" t="n">
        <f aca="false">C17-C16</f>
        <v>-74</v>
      </c>
      <c r="E17" s="79" t="n">
        <f aca="false">C17-152000</f>
        <v>135357</v>
      </c>
      <c r="F17" s="116" t="n">
        <f aca="false">D17/$D$2</f>
        <v>-37.3077892614066</v>
      </c>
      <c r="G17" s="11" t="n">
        <v>79</v>
      </c>
      <c r="H17" s="3" t="n">
        <v>0.58</v>
      </c>
      <c r="I17" s="11" t="n">
        <f aca="false">G17+H17</f>
        <v>79.58</v>
      </c>
      <c r="J17" s="4" t="n">
        <f aca="false">IF(L17&gt;0,L17,0)</f>
        <v>0</v>
      </c>
      <c r="K17" s="11" t="n">
        <f aca="false">I17+J17</f>
        <v>79.58</v>
      </c>
      <c r="L17" s="11" t="n">
        <f aca="false">F17-(I17-AG17)</f>
        <v>-16.6877892614066</v>
      </c>
      <c r="M17" s="117" t="n">
        <v>7.4</v>
      </c>
      <c r="N17" s="118" t="n">
        <v>0</v>
      </c>
      <c r="O17" s="118" t="n">
        <v>0</v>
      </c>
      <c r="P17" s="82" t="n">
        <v>0</v>
      </c>
      <c r="Q17" s="119" t="n">
        <f aca="false">1.56*1.02</f>
        <v>1.5912</v>
      </c>
      <c r="R17" s="119" t="n">
        <v>3.01</v>
      </c>
      <c r="S17" s="126" t="n">
        <v>0</v>
      </c>
      <c r="T17" s="127" t="n">
        <v>0</v>
      </c>
      <c r="U17" s="121" t="n">
        <v>56</v>
      </c>
      <c r="V17" s="121" t="n">
        <v>5.8</v>
      </c>
      <c r="W17" s="122" t="n">
        <f aca="false">M17-N17-P17-O17-Q17-R17-S17-T17+U17+V17</f>
        <v>64.5988</v>
      </c>
      <c r="X17" s="85"/>
      <c r="Y17" s="85"/>
      <c r="Z17" s="85"/>
      <c r="AA17" s="121" t="n">
        <v>0</v>
      </c>
      <c r="AB17" s="123"/>
      <c r="AC17" s="124"/>
      <c r="AD17" s="121" t="n">
        <v>31</v>
      </c>
      <c r="AE17" s="85" t="n">
        <f aca="false">AE16-AD17</f>
        <v>4751</v>
      </c>
      <c r="AF17" s="85"/>
      <c r="AG17" s="121" t="n">
        <f aca="false">N17+O17+P17+Q17+R17+S17+T17+W17+AA17+AD17</f>
        <v>100.2</v>
      </c>
      <c r="AH17" s="121" t="n">
        <f aca="false">IF(L17&lt;0,L17*-1,0)</f>
        <v>16.6877892614066</v>
      </c>
      <c r="AI17" s="121" t="n">
        <f aca="false">AG17+AH17</f>
        <v>116.887789261407</v>
      </c>
      <c r="AJ17" s="88" t="n">
        <v>0</v>
      </c>
      <c r="AK17" s="89" t="n">
        <v>65</v>
      </c>
      <c r="AL17" s="90" t="n">
        <v>28</v>
      </c>
      <c r="AM17" s="91" t="n">
        <f aca="false">44.3*1.9835</f>
        <v>87.86905</v>
      </c>
      <c r="AN17" s="91" t="n">
        <f aca="false">W17-AM17/1.9835</f>
        <v>20.2988</v>
      </c>
      <c r="AO17" s="92"/>
      <c r="AP17" s="92"/>
      <c r="AQ17" s="92"/>
      <c r="AS17" s="1"/>
    </row>
    <row r="18" customFormat="false" ht="12.95" hidden="false" customHeight="true" outlineLevel="0" collapsed="false">
      <c r="A18" s="8" t="n">
        <f aca="false">A17+1</f>
        <v>7</v>
      </c>
      <c r="B18" s="114" t="n">
        <v>6900.99</v>
      </c>
      <c r="C18" s="79" t="n">
        <v>287245</v>
      </c>
      <c r="D18" s="115" t="n">
        <f aca="false">C18-C17</f>
        <v>-112</v>
      </c>
      <c r="E18" s="79" t="n">
        <f aca="false">C18-152000</f>
        <v>135245</v>
      </c>
      <c r="F18" s="116" t="n">
        <f aca="false">D18/$D$2</f>
        <v>-56.4658432064532</v>
      </c>
      <c r="G18" s="11" t="n">
        <v>80</v>
      </c>
      <c r="H18" s="3" t="n">
        <v>0.46</v>
      </c>
      <c r="I18" s="11" t="n">
        <f aca="false">G18+H18</f>
        <v>80.46</v>
      </c>
      <c r="J18" s="4" t="n">
        <f aca="false">IF(L18&gt;0,L18,0)</f>
        <v>0</v>
      </c>
      <c r="K18" s="11" t="n">
        <f aca="false">I18+J18</f>
        <v>80.46</v>
      </c>
      <c r="L18" s="11" t="n">
        <f aca="false">F18-(I18-AG18)</f>
        <v>-19.3258432064532</v>
      </c>
      <c r="M18" s="117" t="n">
        <v>6.6</v>
      </c>
      <c r="N18" s="118" t="n">
        <v>0</v>
      </c>
      <c r="O18" s="118" t="n">
        <v>0</v>
      </c>
      <c r="P18" s="82" t="n">
        <v>0</v>
      </c>
      <c r="Q18" s="119" t="n">
        <f aca="false">1.56*1.02</f>
        <v>1.5912</v>
      </c>
      <c r="R18" s="119" t="n">
        <v>2.47</v>
      </c>
      <c r="S18" s="126" t="n">
        <v>0</v>
      </c>
      <c r="T18" s="84" t="n">
        <f aca="false">M18-(Q18+R18+S18)</f>
        <v>2.5388</v>
      </c>
      <c r="U18" s="121" t="n">
        <v>80</v>
      </c>
      <c r="V18" s="121" t="n">
        <v>0</v>
      </c>
      <c r="W18" s="122" t="n">
        <f aca="false">M18-N18-P18-O18-Q18-R18-S18-T18+U18+V18</f>
        <v>80</v>
      </c>
      <c r="X18" s="85"/>
      <c r="Y18" s="85"/>
      <c r="Z18" s="85"/>
      <c r="AA18" s="121" t="n">
        <v>0</v>
      </c>
      <c r="AB18" s="123"/>
      <c r="AC18" s="124"/>
      <c r="AD18" s="121" t="n">
        <v>31</v>
      </c>
      <c r="AE18" s="85" t="n">
        <f aca="false">AE17-AD18</f>
        <v>4720</v>
      </c>
      <c r="AF18" s="85"/>
      <c r="AG18" s="121" t="n">
        <f aca="false">N18+O18+P18+Q18+R18+S18+T18+W18+AA18+AD18</f>
        <v>117.6</v>
      </c>
      <c r="AH18" s="121" t="n">
        <f aca="false">IF(L18&lt;0,L18*-1,0)</f>
        <v>19.3258432064532</v>
      </c>
      <c r="AI18" s="121" t="n">
        <f aca="false">AG18+AH18</f>
        <v>136.925843206453</v>
      </c>
      <c r="AJ18" s="88" t="n">
        <v>0</v>
      </c>
      <c r="AK18" s="89" t="n">
        <v>68</v>
      </c>
      <c r="AL18" s="90" t="n">
        <v>26</v>
      </c>
      <c r="AM18" s="91" t="n">
        <f aca="false">AM17+W18*1.9835</f>
        <v>246.54905</v>
      </c>
      <c r="AN18" s="91"/>
      <c r="AO18" s="92"/>
      <c r="AP18" s="92"/>
      <c r="AQ18" s="92"/>
      <c r="AS18" s="1"/>
    </row>
    <row r="19" customFormat="false" ht="12.95" hidden="false" customHeight="true" outlineLevel="0" collapsed="false">
      <c r="A19" s="8" t="n">
        <f aca="false">A18+1</f>
        <v>8</v>
      </c>
      <c r="B19" s="114" t="n">
        <v>6900.96</v>
      </c>
      <c r="C19" s="79" t="n">
        <v>287134</v>
      </c>
      <c r="D19" s="115" t="n">
        <f aca="false">C19-C18</f>
        <v>-111</v>
      </c>
      <c r="E19" s="79" t="n">
        <f aca="false">C19-152000</f>
        <v>135134</v>
      </c>
      <c r="F19" s="116" t="n">
        <f aca="false">D19/$D$2</f>
        <v>-55.9616838921099</v>
      </c>
      <c r="G19" s="11" t="n">
        <v>78</v>
      </c>
      <c r="H19" s="3" t="n">
        <v>0.67</v>
      </c>
      <c r="I19" s="11" t="n">
        <f aca="false">G19+H19</f>
        <v>78.67</v>
      </c>
      <c r="J19" s="4" t="n">
        <f aca="false">IF(L19&gt;0,L19,0)</f>
        <v>0</v>
      </c>
      <c r="K19" s="11" t="n">
        <f aca="false">I19+J19</f>
        <v>78.67</v>
      </c>
      <c r="L19" s="11" t="n">
        <f aca="false">F19-(I19-AG19)</f>
        <v>-17.4316838921099</v>
      </c>
      <c r="M19" s="117" t="n">
        <v>6.2</v>
      </c>
      <c r="N19" s="118" t="n">
        <v>0</v>
      </c>
      <c r="O19" s="118" t="n">
        <v>0</v>
      </c>
      <c r="P19" s="82" t="n">
        <v>0</v>
      </c>
      <c r="Q19" s="119" t="n">
        <f aca="false">1.56*1.02</f>
        <v>1.5912</v>
      </c>
      <c r="R19" s="119" t="n">
        <v>2.36</v>
      </c>
      <c r="S19" s="126" t="n">
        <v>0</v>
      </c>
      <c r="T19" s="84" t="n">
        <f aca="false">M19-(Q19+R19+S19)</f>
        <v>2.2488</v>
      </c>
      <c r="U19" s="121" t="n">
        <v>80</v>
      </c>
      <c r="V19" s="121" t="n">
        <v>0</v>
      </c>
      <c r="W19" s="122" t="n">
        <f aca="false">M19-N19-P19-O19-Q19-R19-S19-T19+U19+V19</f>
        <v>80</v>
      </c>
      <c r="X19" s="85"/>
      <c r="Y19" s="85"/>
      <c r="Z19" s="85"/>
      <c r="AA19" s="121" t="n">
        <v>0</v>
      </c>
      <c r="AB19" s="123"/>
      <c r="AC19" s="124"/>
      <c r="AD19" s="121" t="n">
        <v>31</v>
      </c>
      <c r="AE19" s="85" t="n">
        <f aca="false">AE18-AD19</f>
        <v>4689</v>
      </c>
      <c r="AF19" s="85"/>
      <c r="AG19" s="121" t="n">
        <f aca="false">N19+O19+P19+Q19+R19+S19+T19+W19+AA19+AD19</f>
        <v>117.2</v>
      </c>
      <c r="AH19" s="121" t="n">
        <f aca="false">IF(L19&lt;0,L19*-1,0)</f>
        <v>17.4316838921099</v>
      </c>
      <c r="AI19" s="121" t="n">
        <f aca="false">AG19+AH19</f>
        <v>134.63168389211</v>
      </c>
      <c r="AJ19" s="88" t="n">
        <v>0</v>
      </c>
      <c r="AK19" s="89" t="n">
        <v>69</v>
      </c>
      <c r="AL19" s="90" t="n">
        <v>24</v>
      </c>
      <c r="AM19" s="91" t="n">
        <f aca="false">AM18+W19*1.9835</f>
        <v>405.22905</v>
      </c>
      <c r="AN19" s="91"/>
      <c r="AO19" s="92"/>
      <c r="AP19" s="92"/>
      <c r="AQ19" s="92"/>
      <c r="AS19" s="1"/>
    </row>
    <row r="20" customFormat="false" ht="12.95" hidden="false" customHeight="true" outlineLevel="0" collapsed="false">
      <c r="A20" s="8" t="n">
        <f aca="false">A19+1</f>
        <v>9</v>
      </c>
      <c r="B20" s="114" t="n">
        <v>6900.93</v>
      </c>
      <c r="C20" s="79" t="n">
        <v>287023</v>
      </c>
      <c r="D20" s="115" t="n">
        <f aca="false">C20-C19</f>
        <v>-111</v>
      </c>
      <c r="E20" s="79" t="n">
        <f aca="false">C20-152000</f>
        <v>135023</v>
      </c>
      <c r="F20" s="116" t="n">
        <f aca="false">D20/$D$2</f>
        <v>-55.9616838921099</v>
      </c>
      <c r="G20" s="11" t="n">
        <v>75</v>
      </c>
      <c r="H20" s="3" t="n">
        <v>0.74</v>
      </c>
      <c r="I20" s="11" t="n">
        <f aca="false">G20+H20</f>
        <v>75.74</v>
      </c>
      <c r="J20" s="4" t="n">
        <f aca="false">IF(L20&gt;0,L20,0)</f>
        <v>0</v>
      </c>
      <c r="K20" s="11" t="n">
        <f aca="false">I20+J20</f>
        <v>75.74</v>
      </c>
      <c r="L20" s="11" t="n">
        <f aca="false">F20-(I20-AG20)</f>
        <v>-15.4016838921099</v>
      </c>
      <c r="M20" s="117" t="n">
        <v>5.3</v>
      </c>
      <c r="N20" s="118" t="n">
        <v>0</v>
      </c>
      <c r="O20" s="118" t="n">
        <v>0</v>
      </c>
      <c r="P20" s="82" t="n">
        <v>0</v>
      </c>
      <c r="Q20" s="119" t="n">
        <f aca="false">1.56*1.02</f>
        <v>1.5912</v>
      </c>
      <c r="R20" s="119" t="n">
        <v>2.45</v>
      </c>
      <c r="S20" s="126" t="n">
        <v>0</v>
      </c>
      <c r="T20" s="84" t="n">
        <f aca="false">M20-(Q20+R20+S20)</f>
        <v>1.2588</v>
      </c>
      <c r="U20" s="121" t="n">
        <v>80</v>
      </c>
      <c r="V20" s="121" t="n">
        <v>0</v>
      </c>
      <c r="W20" s="122" t="n">
        <f aca="false">M20-N20-P20-O20-Q20-R20-S20-T20+U20+V20</f>
        <v>80</v>
      </c>
      <c r="X20" s="85"/>
      <c r="Y20" s="85"/>
      <c r="Z20" s="85"/>
      <c r="AA20" s="121" t="n">
        <v>0</v>
      </c>
      <c r="AB20" s="123"/>
      <c r="AC20" s="124"/>
      <c r="AD20" s="121" t="n">
        <v>31</v>
      </c>
      <c r="AE20" s="85" t="n">
        <f aca="false">AE19-AD20</f>
        <v>4658</v>
      </c>
      <c r="AF20" s="85"/>
      <c r="AG20" s="121" t="n">
        <f aca="false">N20+O20+P20+Q20+R20+S20+T20+W20+AA20+AD20</f>
        <v>116.3</v>
      </c>
      <c r="AH20" s="121" t="n">
        <f aca="false">IF(L20&lt;0,L20*-1,0)</f>
        <v>15.4016838921099</v>
      </c>
      <c r="AI20" s="121" t="n">
        <f aca="false">AG20+AH20</f>
        <v>131.70168389211</v>
      </c>
      <c r="AJ20" s="88" t="n">
        <v>0</v>
      </c>
      <c r="AK20" s="128" t="n">
        <v>64</v>
      </c>
      <c r="AL20" s="90" t="n">
        <v>27</v>
      </c>
      <c r="AM20" s="91" t="n">
        <f aca="false">AM19+W20*1.9835</f>
        <v>563.90905</v>
      </c>
      <c r="AN20" s="91"/>
      <c r="AO20" s="92"/>
      <c r="AP20" s="92"/>
      <c r="AQ20" s="92"/>
      <c r="AS20" s="1"/>
    </row>
    <row r="21" customFormat="false" ht="12.95" hidden="false" customHeight="true" outlineLevel="0" collapsed="false">
      <c r="A21" s="8" t="n">
        <f aca="false">A20+1</f>
        <v>10</v>
      </c>
      <c r="B21" s="114" t="n">
        <v>6900.91</v>
      </c>
      <c r="C21" s="79" t="n">
        <v>286949</v>
      </c>
      <c r="D21" s="115" t="n">
        <f aca="false">C21-C20</f>
        <v>-74</v>
      </c>
      <c r="E21" s="79" t="n">
        <f aca="false">C21-152000</f>
        <v>134949</v>
      </c>
      <c r="F21" s="116" t="n">
        <f aca="false">D21/$D$2</f>
        <v>-37.3077892614066</v>
      </c>
      <c r="G21" s="11" t="n">
        <v>75</v>
      </c>
      <c r="H21" s="3" t="n">
        <v>0.74</v>
      </c>
      <c r="I21" s="11" t="n">
        <f aca="false">G21+H21</f>
        <v>75.74</v>
      </c>
      <c r="J21" s="4" t="n">
        <f aca="false">IF(L21&gt;0,L21,0)</f>
        <v>2.85221073859341</v>
      </c>
      <c r="K21" s="11" t="n">
        <f aca="false">I21+J21</f>
        <v>78.5922107385934</v>
      </c>
      <c r="L21" s="11" t="n">
        <f aca="false">F21-(I21-AG21)</f>
        <v>2.85221073859341</v>
      </c>
      <c r="M21" s="117" t="n">
        <v>4.9</v>
      </c>
      <c r="N21" s="118" t="n">
        <v>0</v>
      </c>
      <c r="O21" s="118" t="n">
        <v>0</v>
      </c>
      <c r="P21" s="82" t="n">
        <v>0</v>
      </c>
      <c r="Q21" s="119" t="n">
        <f aca="false">1.56*1.02</f>
        <v>1.5912</v>
      </c>
      <c r="R21" s="119" t="n">
        <v>2.56</v>
      </c>
      <c r="S21" s="126" t="n">
        <v>0</v>
      </c>
      <c r="T21" s="84" t="n">
        <f aca="false">M21-(Q21+R21+S21)</f>
        <v>0.7488</v>
      </c>
      <c r="U21" s="121" t="n">
        <v>80</v>
      </c>
      <c r="V21" s="121" t="n">
        <v>0</v>
      </c>
      <c r="W21" s="122" t="n">
        <f aca="false">M21-N21-P21-O21-Q21-R21-S21-T21+U21+V21</f>
        <v>80</v>
      </c>
      <c r="X21" s="85"/>
      <c r="Y21" s="85"/>
      <c r="Z21" s="85"/>
      <c r="AA21" s="121" t="n">
        <v>0</v>
      </c>
      <c r="AB21" s="123"/>
      <c r="AC21" s="124"/>
      <c r="AD21" s="121" t="n">
        <v>31</v>
      </c>
      <c r="AE21" s="85" t="n">
        <f aca="false">AE20-AD21</f>
        <v>4627</v>
      </c>
      <c r="AF21" s="85"/>
      <c r="AG21" s="121" t="n">
        <f aca="false">N21+O21+P21+Q21+R21+S21+T21+W21+AA21+AD21</f>
        <v>115.9</v>
      </c>
      <c r="AH21" s="121" t="n">
        <f aca="false">IF(L21&lt;0,L21*-1,0)</f>
        <v>0</v>
      </c>
      <c r="AI21" s="121" t="n">
        <f aca="false">AG21+AH21</f>
        <v>115.9</v>
      </c>
      <c r="AJ21" s="88" t="n">
        <v>0</v>
      </c>
      <c r="AK21" s="89" t="n">
        <v>66</v>
      </c>
      <c r="AL21" s="90" t="n">
        <v>29</v>
      </c>
      <c r="AM21" s="91" t="n">
        <f aca="false">AM20+W21*1.9835</f>
        <v>722.58905</v>
      </c>
      <c r="AN21" s="91"/>
      <c r="AO21" s="92"/>
      <c r="AP21" s="92"/>
      <c r="AQ21" s="92"/>
      <c r="AS21" s="1"/>
    </row>
    <row r="22" customFormat="false" ht="12.95" hidden="false" customHeight="true" outlineLevel="0" collapsed="false">
      <c r="A22" s="8" t="n">
        <f aca="false">A21+1</f>
        <v>11</v>
      </c>
      <c r="B22" s="114" t="n">
        <v>6900.89</v>
      </c>
      <c r="C22" s="79" t="n">
        <v>286875</v>
      </c>
      <c r="D22" s="115" t="n">
        <f aca="false">C22-C21</f>
        <v>-74</v>
      </c>
      <c r="E22" s="79" t="n">
        <f aca="false">C22-152000</f>
        <v>134875</v>
      </c>
      <c r="F22" s="116" t="n">
        <f aca="false">D22/$D$2</f>
        <v>-37.3077892614066</v>
      </c>
      <c r="G22" s="11" t="n">
        <v>74</v>
      </c>
      <c r="H22" s="3" t="n">
        <v>0.73</v>
      </c>
      <c r="I22" s="11" t="n">
        <f aca="false">G22+H22</f>
        <v>74.73</v>
      </c>
      <c r="J22" s="4" t="n">
        <f aca="false">IF(L22&gt;0,L22,0)</f>
        <v>3.66221073859339</v>
      </c>
      <c r="K22" s="11" t="n">
        <f aca="false">I22+J22</f>
        <v>78.3922107385934</v>
      </c>
      <c r="L22" s="11" t="n">
        <f aca="false">F22-(I22-AG22)</f>
        <v>3.66221073859339</v>
      </c>
      <c r="M22" s="117" t="n">
        <v>4.7</v>
      </c>
      <c r="N22" s="118" t="n">
        <v>0</v>
      </c>
      <c r="O22" s="118" t="n">
        <v>0</v>
      </c>
      <c r="P22" s="82" t="n">
        <v>0</v>
      </c>
      <c r="Q22" s="119" t="n">
        <f aca="false">1.56*1.02</f>
        <v>1.5912</v>
      </c>
      <c r="R22" s="119" t="n">
        <v>2.53</v>
      </c>
      <c r="S22" s="126" t="n">
        <v>0</v>
      </c>
      <c r="T22" s="84" t="n">
        <f aca="false">M22-(Q22+R22+S22)</f>
        <v>0.5788</v>
      </c>
      <c r="U22" s="121" t="n">
        <v>80</v>
      </c>
      <c r="V22" s="121" t="n">
        <v>0</v>
      </c>
      <c r="W22" s="122" t="n">
        <f aca="false">M22-N22-P22-O22-Q22-R22-S22-T22+U22+V22</f>
        <v>80</v>
      </c>
      <c r="X22" s="85"/>
      <c r="Y22" s="85"/>
      <c r="Z22" s="85"/>
      <c r="AA22" s="121" t="n">
        <v>0</v>
      </c>
      <c r="AB22" s="123"/>
      <c r="AC22" s="124"/>
      <c r="AD22" s="121" t="n">
        <v>31</v>
      </c>
      <c r="AE22" s="85" t="n">
        <f aca="false">AE21-AD22</f>
        <v>4596</v>
      </c>
      <c r="AF22" s="85"/>
      <c r="AG22" s="121" t="n">
        <f aca="false">N22+O22+P22+Q22+R22+S22+T22+W22+AA22+AD22</f>
        <v>115.7</v>
      </c>
      <c r="AH22" s="121" t="n">
        <f aca="false">IF(L22&lt;0,L22*-1,0)</f>
        <v>0</v>
      </c>
      <c r="AI22" s="121" t="n">
        <f aca="false">AG22+AH22</f>
        <v>115.7</v>
      </c>
      <c r="AJ22" s="88" t="n">
        <v>0</v>
      </c>
      <c r="AK22" s="89" t="n">
        <v>64</v>
      </c>
      <c r="AL22" s="90" t="n">
        <v>26</v>
      </c>
      <c r="AM22" s="91" t="n">
        <f aca="false">AM21+W22*1.9835</f>
        <v>881.26905</v>
      </c>
      <c r="AN22" s="91"/>
      <c r="AO22" s="92"/>
      <c r="AP22" s="92"/>
      <c r="AQ22" s="92"/>
      <c r="AS22" s="1"/>
    </row>
    <row r="23" customFormat="false" ht="12.95" hidden="false" customHeight="true" outlineLevel="0" collapsed="false">
      <c r="A23" s="8" t="n">
        <f aca="false">A22+1</f>
        <v>12</v>
      </c>
      <c r="B23" s="114" t="n">
        <v>6900.86</v>
      </c>
      <c r="C23" s="79" t="n">
        <v>286764</v>
      </c>
      <c r="D23" s="115" t="n">
        <f aca="false">C23-C22</f>
        <v>-111</v>
      </c>
      <c r="E23" s="79" t="n">
        <f aca="false">C23-152000</f>
        <v>134764</v>
      </c>
      <c r="F23" s="116" t="n">
        <f aca="false">D23/$D$2</f>
        <v>-55.9616838921099</v>
      </c>
      <c r="G23" s="11" t="n">
        <v>72</v>
      </c>
      <c r="H23" s="3" t="n">
        <v>0.79</v>
      </c>
      <c r="I23" s="11" t="n">
        <f aca="false">G23+H23</f>
        <v>72.79</v>
      </c>
      <c r="J23" s="4" t="n">
        <f aca="false">IF(L23&gt;0,L23,0)</f>
        <v>0</v>
      </c>
      <c r="K23" s="11" t="n">
        <f aca="false">I23+J23</f>
        <v>72.79</v>
      </c>
      <c r="L23" s="11" t="n">
        <f aca="false">F23-(I23-AG23)</f>
        <v>-20.6516838921099</v>
      </c>
      <c r="M23" s="117" t="n">
        <v>5.1</v>
      </c>
      <c r="N23" s="118" t="n">
        <v>0</v>
      </c>
      <c r="O23" s="118" t="n">
        <v>0</v>
      </c>
      <c r="P23" s="82" t="n">
        <v>0</v>
      </c>
      <c r="Q23" s="119" t="n">
        <f aca="false">1.56*1.02</f>
        <v>1.5912</v>
      </c>
      <c r="R23" s="119" t="n">
        <v>2.46</v>
      </c>
      <c r="S23" s="126" t="n">
        <v>0</v>
      </c>
      <c r="T23" s="84" t="n">
        <f aca="false">M23-(Q23+R23+S23)</f>
        <v>1.0488</v>
      </c>
      <c r="U23" s="121" t="n">
        <v>72</v>
      </c>
      <c r="V23" s="121" t="n">
        <v>0</v>
      </c>
      <c r="W23" s="122" t="n">
        <f aca="false">M23-N23-P23-O23-Q23-R23-S23-T23+U23+V23</f>
        <v>72</v>
      </c>
      <c r="X23" s="85"/>
      <c r="Y23" s="85"/>
      <c r="Z23" s="85"/>
      <c r="AA23" s="121" t="n">
        <v>0</v>
      </c>
      <c r="AB23" s="123"/>
      <c r="AC23" s="124"/>
      <c r="AD23" s="121" t="n">
        <v>31</v>
      </c>
      <c r="AE23" s="85" t="n">
        <f aca="false">AE22-AD23</f>
        <v>4565</v>
      </c>
      <c r="AF23" s="85"/>
      <c r="AG23" s="121" t="n">
        <f aca="false">N23+O23+P23+Q23+R23+S23+T23+W23+AA23+AD23</f>
        <v>108.1</v>
      </c>
      <c r="AH23" s="121" t="n">
        <f aca="false">IF(L23&lt;0,L23*-1,0)</f>
        <v>20.6516838921099</v>
      </c>
      <c r="AI23" s="121" t="n">
        <f aca="false">AG23+AH23</f>
        <v>128.75168389211</v>
      </c>
      <c r="AJ23" s="88" t="n">
        <v>0</v>
      </c>
      <c r="AK23" s="89" t="n">
        <v>62</v>
      </c>
      <c r="AL23" s="90" t="n">
        <v>28</v>
      </c>
      <c r="AM23" s="91" t="n">
        <f aca="false">AM22+W23*1.9835</f>
        <v>1024.08105</v>
      </c>
      <c r="AN23" s="91"/>
      <c r="AO23" s="92"/>
      <c r="AP23" s="92"/>
      <c r="AQ23" s="92"/>
      <c r="AS23" s="1"/>
    </row>
    <row r="24" customFormat="false" ht="12.95" hidden="false" customHeight="true" outlineLevel="0" collapsed="false">
      <c r="A24" s="8" t="n">
        <f aca="false">A23+1</f>
        <v>13</v>
      </c>
      <c r="B24" s="114" t="n">
        <v>6900.84</v>
      </c>
      <c r="C24" s="79" t="n">
        <v>286690</v>
      </c>
      <c r="D24" s="115" t="n">
        <f aca="false">C24-C23</f>
        <v>-74</v>
      </c>
      <c r="E24" s="79" t="n">
        <f aca="false">C24-152000</f>
        <v>134690</v>
      </c>
      <c r="F24" s="116" t="n">
        <f aca="false">D24/$D$2</f>
        <v>-37.3077892614066</v>
      </c>
      <c r="G24" s="11" t="n">
        <v>68</v>
      </c>
      <c r="H24" s="3" t="n">
        <v>0.73</v>
      </c>
      <c r="I24" s="11" t="n">
        <f aca="false">G24+H24</f>
        <v>68.73</v>
      </c>
      <c r="J24" s="4" t="n">
        <f aca="false">IF(L24&gt;0,L24,0)</f>
        <v>2.76221073859339</v>
      </c>
      <c r="K24" s="11" t="n">
        <f aca="false">I24+J24</f>
        <v>71.4922107385934</v>
      </c>
      <c r="L24" s="11" t="n">
        <f aca="false">F24-(I24-AG24)</f>
        <v>2.76221073859339</v>
      </c>
      <c r="M24" s="117" t="n">
        <v>8.8</v>
      </c>
      <c r="N24" s="118" t="n">
        <v>0</v>
      </c>
      <c r="O24" s="118" t="n">
        <v>0</v>
      </c>
      <c r="P24" s="82" t="n">
        <v>0</v>
      </c>
      <c r="Q24" s="119" t="n">
        <f aca="false">1.56*1.02</f>
        <v>1.5912</v>
      </c>
      <c r="R24" s="119" t="n">
        <v>2.42</v>
      </c>
      <c r="S24" s="126" t="n">
        <v>0</v>
      </c>
      <c r="T24" s="84" t="n">
        <f aca="false">M24-(Q24+R24+S24)</f>
        <v>4.7888</v>
      </c>
      <c r="U24" s="121" t="n">
        <v>69</v>
      </c>
      <c r="V24" s="121" t="n">
        <v>0</v>
      </c>
      <c r="W24" s="122" t="n">
        <f aca="false">M24-N24-P24-O24-Q24-R24-S24-T24+U24+V24</f>
        <v>69</v>
      </c>
      <c r="X24" s="85"/>
      <c r="Y24" s="85"/>
      <c r="Z24" s="85"/>
      <c r="AA24" s="121" t="n">
        <v>0</v>
      </c>
      <c r="AB24" s="123"/>
      <c r="AC24" s="124"/>
      <c r="AD24" s="121" t="n">
        <v>31</v>
      </c>
      <c r="AE24" s="85" t="n">
        <f aca="false">AE23-AD24</f>
        <v>4534</v>
      </c>
      <c r="AF24" s="85"/>
      <c r="AG24" s="121" t="n">
        <f aca="false">N24+O24+P24+Q24+R24+S24+T24+W24+AA24+AD24</f>
        <v>108.8</v>
      </c>
      <c r="AH24" s="121" t="n">
        <f aca="false">IF(L24&lt;0,L24*-1,0)</f>
        <v>0</v>
      </c>
      <c r="AI24" s="121" t="n">
        <f aca="false">AG24+AH24</f>
        <v>108.8</v>
      </c>
      <c r="AJ24" s="88" t="n">
        <v>0</v>
      </c>
      <c r="AK24" s="89" t="n">
        <v>63</v>
      </c>
      <c r="AL24" s="90" t="n">
        <v>25</v>
      </c>
      <c r="AM24" s="91" t="n">
        <f aca="false">AM23+W24*1.9835</f>
        <v>1160.94255</v>
      </c>
      <c r="AN24" s="91"/>
      <c r="AO24" s="92"/>
      <c r="AP24" s="92"/>
      <c r="AQ24" s="92"/>
      <c r="AS24" s="1"/>
    </row>
    <row r="25" customFormat="false" ht="12.95" hidden="false" customHeight="true" outlineLevel="0" collapsed="false">
      <c r="A25" s="8" t="n">
        <f aca="false">A24+1</f>
        <v>14</v>
      </c>
      <c r="B25" s="114" t="n">
        <v>6900.82</v>
      </c>
      <c r="C25" s="79" t="n">
        <v>286616</v>
      </c>
      <c r="D25" s="115" t="n">
        <f aca="false">C25-C24</f>
        <v>-74</v>
      </c>
      <c r="E25" s="79" t="n">
        <f aca="false">C25-152000</f>
        <v>134616</v>
      </c>
      <c r="F25" s="116" t="n">
        <f aca="false">D25/$D$2</f>
        <v>-37.3077892614066</v>
      </c>
      <c r="G25" s="11" t="n">
        <v>61</v>
      </c>
      <c r="H25" s="3" t="n">
        <v>0.62</v>
      </c>
      <c r="I25" s="11" t="n">
        <f aca="false">G25+H25</f>
        <v>61.62</v>
      </c>
      <c r="J25" s="4" t="n">
        <f aca="false">IF(L25&gt;0,L25,0)</f>
        <v>0.472210738593404</v>
      </c>
      <c r="K25" s="11" t="n">
        <f aca="false">I25+J25</f>
        <v>62.0922107385934</v>
      </c>
      <c r="L25" s="11" t="n">
        <f aca="false">F25-(I25-AG25)</f>
        <v>0.472210738593404</v>
      </c>
      <c r="M25" s="117" t="n">
        <v>4.4</v>
      </c>
      <c r="N25" s="118" t="n">
        <v>0</v>
      </c>
      <c r="O25" s="118" t="n">
        <v>0</v>
      </c>
      <c r="P25" s="82" t="n">
        <v>0</v>
      </c>
      <c r="Q25" s="119" t="n">
        <f aca="false">1.56*1.02</f>
        <v>1.5912</v>
      </c>
      <c r="R25" s="119" t="n">
        <v>2.33</v>
      </c>
      <c r="S25" s="126" t="n">
        <v>0</v>
      </c>
      <c r="T25" s="84" t="n">
        <f aca="false">M25-(Q25+R25+S25)</f>
        <v>0.4788</v>
      </c>
      <c r="U25" s="121" t="n">
        <v>64</v>
      </c>
      <c r="V25" s="121" t="n">
        <v>0</v>
      </c>
      <c r="W25" s="122" t="n">
        <f aca="false">M25-N25-P25-O25-Q25-R25-S25-T25+U25+V25</f>
        <v>64</v>
      </c>
      <c r="X25" s="85"/>
      <c r="Y25" s="85"/>
      <c r="Z25" s="85"/>
      <c r="AA25" s="121" t="n">
        <v>0</v>
      </c>
      <c r="AB25" s="123"/>
      <c r="AC25" s="124"/>
      <c r="AD25" s="121" t="n">
        <v>31</v>
      </c>
      <c r="AE25" s="85" t="n">
        <f aca="false">AE24-AD25</f>
        <v>4503</v>
      </c>
      <c r="AF25" s="85"/>
      <c r="AG25" s="121" t="n">
        <f aca="false">N25+O25+P25+Q25+R25+S25+T25+W25+AA25+AD25</f>
        <v>99.4</v>
      </c>
      <c r="AH25" s="121" t="n">
        <f aca="false">IF(L25&lt;0,L25*-1,0)</f>
        <v>0</v>
      </c>
      <c r="AI25" s="121" t="n">
        <f aca="false">AG25+AH25</f>
        <v>99.4</v>
      </c>
      <c r="AJ25" s="88" t="n">
        <v>0</v>
      </c>
      <c r="AK25" s="128" t="n">
        <v>64</v>
      </c>
      <c r="AL25" s="90" t="n">
        <v>27</v>
      </c>
      <c r="AM25" s="91" t="n">
        <f aca="false">AM24+W25*1.9835</f>
        <v>1287.88655</v>
      </c>
      <c r="AN25" s="91"/>
      <c r="AO25" s="92"/>
      <c r="AP25" s="92"/>
      <c r="AQ25" s="92"/>
      <c r="AS25" s="1"/>
    </row>
    <row r="26" customFormat="false" ht="12.95" hidden="false" customHeight="true" outlineLevel="0" collapsed="false">
      <c r="A26" s="8" t="n">
        <f aca="false">A25+1</f>
        <v>15</v>
      </c>
      <c r="B26" s="114" t="n">
        <v>6900.8</v>
      </c>
      <c r="C26" s="79" t="n">
        <v>286541</v>
      </c>
      <c r="D26" s="115" t="n">
        <f aca="false">C26-C25</f>
        <v>-75</v>
      </c>
      <c r="E26" s="79" t="n">
        <f aca="false">C26-152000</f>
        <v>134541</v>
      </c>
      <c r="F26" s="116" t="n">
        <f aca="false">D26/$D$2</f>
        <v>-37.8119485757499</v>
      </c>
      <c r="G26" s="11" t="n">
        <v>59</v>
      </c>
      <c r="H26" s="3" t="n">
        <v>0.67</v>
      </c>
      <c r="I26" s="11" t="n">
        <f aca="false">G26+H26</f>
        <v>59.67</v>
      </c>
      <c r="J26" s="4" t="n">
        <f aca="false">IF(L26&gt;0,L26,0)</f>
        <v>0</v>
      </c>
      <c r="K26" s="11" t="n">
        <f aca="false">I26+J26</f>
        <v>59.67</v>
      </c>
      <c r="L26" s="11" t="n">
        <f aca="false">F26-(I26-AG26)</f>
        <v>-1.78194857574994</v>
      </c>
      <c r="M26" s="117" t="n">
        <v>3.7</v>
      </c>
      <c r="N26" s="118" t="n">
        <v>0</v>
      </c>
      <c r="O26" s="118" t="n">
        <v>0</v>
      </c>
      <c r="P26" s="82" t="n">
        <v>0</v>
      </c>
      <c r="Q26" s="119" t="n">
        <f aca="false">1.56*1.02</f>
        <v>1.5912</v>
      </c>
      <c r="R26" s="119" t="n">
        <v>2.33</v>
      </c>
      <c r="S26" s="126" t="n">
        <v>0</v>
      </c>
      <c r="T26" s="84" t="n">
        <f aca="false">M26-(Q26+R26+S26)</f>
        <v>-0.2212</v>
      </c>
      <c r="U26" s="121" t="n">
        <v>61</v>
      </c>
      <c r="V26" s="121" t="n">
        <v>0</v>
      </c>
      <c r="W26" s="122" t="n">
        <f aca="false">M26-N26-P26-O26-Q26-R26-S26-T26+U26+V26</f>
        <v>61</v>
      </c>
      <c r="X26" s="85"/>
      <c r="Y26" s="85"/>
      <c r="Z26" s="85"/>
      <c r="AA26" s="121" t="n">
        <v>0</v>
      </c>
      <c r="AB26" s="123"/>
      <c r="AC26" s="124"/>
      <c r="AD26" s="121" t="n">
        <v>31</v>
      </c>
      <c r="AE26" s="85" t="n">
        <f aca="false">AE25-AD26</f>
        <v>4472</v>
      </c>
      <c r="AF26" s="85"/>
      <c r="AG26" s="121" t="n">
        <f aca="false">N26+O26+P26+Q26+R26+S26+T26+W26+AA26+AD26</f>
        <v>95.7</v>
      </c>
      <c r="AH26" s="121" t="n">
        <f aca="false">IF(L26&lt;0,L26*-1,0)</f>
        <v>1.78194857574994</v>
      </c>
      <c r="AI26" s="121" t="n">
        <f aca="false">AG26+AH26</f>
        <v>97.4819485757499</v>
      </c>
      <c r="AJ26" s="88" t="n">
        <v>0</v>
      </c>
      <c r="AK26" s="128" t="n">
        <v>62</v>
      </c>
      <c r="AL26" s="90" t="n">
        <v>25</v>
      </c>
      <c r="AM26" s="91" t="n">
        <f aca="false">AM25+W26*1.9835</f>
        <v>1408.88005</v>
      </c>
      <c r="AN26" s="91"/>
      <c r="AO26" s="92"/>
      <c r="AP26" s="92"/>
      <c r="AQ26" s="92"/>
      <c r="AS26" s="1"/>
    </row>
    <row r="27" customFormat="false" ht="12.95" hidden="false" customHeight="true" outlineLevel="0" collapsed="false">
      <c r="A27" s="8" t="n">
        <f aca="false">A26+1</f>
        <v>16</v>
      </c>
      <c r="B27" s="114" t="n">
        <v>6900.78</v>
      </c>
      <c r="C27" s="79" t="n">
        <v>286467</v>
      </c>
      <c r="D27" s="115" t="n">
        <f aca="false">C27-C26</f>
        <v>-74</v>
      </c>
      <c r="E27" s="79" t="n">
        <f aca="false">C27-152000</f>
        <v>134467</v>
      </c>
      <c r="F27" s="116" t="n">
        <f aca="false">D27/$D$2</f>
        <v>-37.3077892614066</v>
      </c>
      <c r="G27" s="11" t="n">
        <v>58</v>
      </c>
      <c r="H27" s="3" t="n">
        <v>0.48</v>
      </c>
      <c r="I27" s="11" t="n">
        <f aca="false">G27+H27</f>
        <v>58.48</v>
      </c>
      <c r="J27" s="4" t="n">
        <f aca="false">IF(L27&gt;0,L27,0)</f>
        <v>0</v>
      </c>
      <c r="K27" s="11" t="n">
        <f aca="false">I27+J27</f>
        <v>58.48</v>
      </c>
      <c r="L27" s="11" t="n">
        <f aca="false">F27-(I27-AG27)</f>
        <v>-0.387789261406596</v>
      </c>
      <c r="M27" s="117" t="n">
        <v>3.4</v>
      </c>
      <c r="N27" s="118" t="n">
        <v>0</v>
      </c>
      <c r="O27" s="118" t="n">
        <v>0</v>
      </c>
      <c r="P27" s="82" t="n">
        <v>0</v>
      </c>
      <c r="Q27" s="119" t="n">
        <f aca="false">1.56*1.02</f>
        <v>1.5912</v>
      </c>
      <c r="R27" s="119" t="n">
        <v>2.53</v>
      </c>
      <c r="S27" s="126" t="n">
        <v>0</v>
      </c>
      <c r="T27" s="84" t="n">
        <f aca="false">M27-(Q27+R27+S27)</f>
        <v>-0.7212</v>
      </c>
      <c r="U27" s="121" t="n">
        <v>61</v>
      </c>
      <c r="V27" s="121" t="n">
        <v>0</v>
      </c>
      <c r="W27" s="122" t="n">
        <f aca="false">M27-N27-P27-O27-Q27-R27-S27-T27+U27+V27</f>
        <v>61</v>
      </c>
      <c r="X27" s="85"/>
      <c r="Y27" s="85"/>
      <c r="Z27" s="85"/>
      <c r="AA27" s="121" t="n">
        <v>0</v>
      </c>
      <c r="AB27" s="123"/>
      <c r="AC27" s="124"/>
      <c r="AD27" s="121" t="n">
        <v>31</v>
      </c>
      <c r="AE27" s="85" t="n">
        <f aca="false">AE26-AD27</f>
        <v>4441</v>
      </c>
      <c r="AF27" s="85"/>
      <c r="AG27" s="121" t="n">
        <f aca="false">N27+O27+P27+Q27+R27+S27+T27+W27+AA27+AD27</f>
        <v>95.4</v>
      </c>
      <c r="AH27" s="121" t="n">
        <f aca="false">IF(L27&lt;0,L27*-1,0)</f>
        <v>0.387789261406596</v>
      </c>
      <c r="AI27" s="121" t="n">
        <f aca="false">AG27+AH27</f>
        <v>95.7877892614066</v>
      </c>
      <c r="AJ27" s="88" t="n">
        <v>0</v>
      </c>
      <c r="AK27" s="128" t="n">
        <v>63</v>
      </c>
      <c r="AL27" s="90" t="n">
        <v>26</v>
      </c>
      <c r="AM27" s="91" t="n">
        <f aca="false">AM26+W27*1.9835</f>
        <v>1529.87355</v>
      </c>
      <c r="AN27" s="91"/>
      <c r="AO27" s="92"/>
      <c r="AP27" s="92"/>
      <c r="AQ27" s="92"/>
      <c r="AS27" s="1"/>
    </row>
    <row r="28" customFormat="false" ht="12.95" hidden="false" customHeight="true" outlineLevel="0" collapsed="false">
      <c r="A28" s="8" t="n">
        <f aca="false">A27+1</f>
        <v>17</v>
      </c>
      <c r="B28" s="114" t="n">
        <v>6900.76</v>
      </c>
      <c r="C28" s="79" t="n">
        <v>286393</v>
      </c>
      <c r="D28" s="115" t="n">
        <f aca="false">C28-C27</f>
        <v>-74</v>
      </c>
      <c r="E28" s="79" t="n">
        <f aca="false">C28-152000</f>
        <v>134393</v>
      </c>
      <c r="F28" s="116" t="n">
        <f aca="false">D28/$D$2</f>
        <v>-37.3077892614066</v>
      </c>
      <c r="G28" s="11" t="n">
        <v>57</v>
      </c>
      <c r="H28" s="3" t="n">
        <v>0.37</v>
      </c>
      <c r="I28" s="11" t="n">
        <f aca="false">G28+H28</f>
        <v>57.37</v>
      </c>
      <c r="J28" s="4" t="n">
        <f aca="false">IF(L28&gt;0,L28,0)</f>
        <v>0.622210738593395</v>
      </c>
      <c r="K28" s="11" t="n">
        <f aca="false">I28+J28</f>
        <v>57.9922107385934</v>
      </c>
      <c r="L28" s="11" t="n">
        <f aca="false">F28-(I28-AG28)</f>
        <v>0.622210738593395</v>
      </c>
      <c r="M28" s="117" t="n">
        <v>3.3</v>
      </c>
      <c r="N28" s="118" t="n">
        <v>0</v>
      </c>
      <c r="O28" s="118" t="n">
        <v>0</v>
      </c>
      <c r="P28" s="82" t="n">
        <v>0</v>
      </c>
      <c r="Q28" s="119" t="n">
        <f aca="false">1.56*1.02</f>
        <v>1.5912</v>
      </c>
      <c r="R28" s="119" t="n">
        <v>3.05</v>
      </c>
      <c r="S28" s="126" t="n">
        <v>0</v>
      </c>
      <c r="T28" s="84" t="n">
        <f aca="false">M28-(Q28+R28+S28)</f>
        <v>-1.3412</v>
      </c>
      <c r="U28" s="121" t="n">
        <v>61</v>
      </c>
      <c r="V28" s="121" t="n">
        <v>0</v>
      </c>
      <c r="W28" s="122" t="n">
        <f aca="false">M28-N28-P28-O28-Q28-R28-S28-T28+U28+V28</f>
        <v>61</v>
      </c>
      <c r="X28" s="85"/>
      <c r="Y28" s="85"/>
      <c r="Z28" s="85"/>
      <c r="AA28" s="121" t="n">
        <v>0</v>
      </c>
      <c r="AB28" s="123"/>
      <c r="AC28" s="124"/>
      <c r="AD28" s="121" t="n">
        <v>31</v>
      </c>
      <c r="AE28" s="85" t="n">
        <f aca="false">AE27-AD28</f>
        <v>4410</v>
      </c>
      <c r="AF28" s="85"/>
      <c r="AG28" s="121" t="n">
        <f aca="false">N28+O28+P28+Q28+R28+S28+T28+W28+AA28+AD28</f>
        <v>95.3</v>
      </c>
      <c r="AH28" s="121" t="n">
        <f aca="false">IF(L28&lt;0,L28*-1,0)</f>
        <v>0</v>
      </c>
      <c r="AI28" s="121" t="n">
        <f aca="false">AG28+AH28</f>
        <v>95.3</v>
      </c>
      <c r="AJ28" s="88" t="n">
        <v>0</v>
      </c>
      <c r="AK28" s="128" t="n">
        <v>63</v>
      </c>
      <c r="AL28" s="90" t="n">
        <v>30</v>
      </c>
      <c r="AM28" s="91" t="n">
        <f aca="false">AM27+W28*1.9835</f>
        <v>1650.86705</v>
      </c>
      <c r="AN28" s="91"/>
      <c r="AO28" s="92"/>
      <c r="AP28" s="92"/>
      <c r="AQ28" s="92"/>
      <c r="AS28" s="1"/>
    </row>
    <row r="29" customFormat="false" ht="12.95" hidden="false" customHeight="true" outlineLevel="0" collapsed="false">
      <c r="A29" s="8" t="n">
        <f aca="false">A28+1</f>
        <v>18</v>
      </c>
      <c r="B29" s="114" t="n">
        <v>6900.74</v>
      </c>
      <c r="C29" s="79" t="n">
        <v>286319</v>
      </c>
      <c r="D29" s="115" t="n">
        <f aca="false">C29-C28</f>
        <v>-74</v>
      </c>
      <c r="E29" s="79" t="n">
        <f aca="false">C29-152000</f>
        <v>134319</v>
      </c>
      <c r="F29" s="116" t="n">
        <f aca="false">D29/$D$2</f>
        <v>-37.3077892614066</v>
      </c>
      <c r="G29" s="11" t="n">
        <v>56</v>
      </c>
      <c r="H29" s="3" t="n">
        <v>0.25</v>
      </c>
      <c r="I29" s="11" t="n">
        <f aca="false">G29+H29</f>
        <v>56.25</v>
      </c>
      <c r="J29" s="4" t="n">
        <f aca="false">IF(L29&gt;0,L29,0)</f>
        <v>1.54221073859339</v>
      </c>
      <c r="K29" s="11" t="n">
        <f aca="false">I29+J29</f>
        <v>57.7922107385934</v>
      </c>
      <c r="L29" s="11" t="n">
        <f aca="false">F29-(I29-AG29)</f>
        <v>1.54221073859339</v>
      </c>
      <c r="M29" s="117" t="n">
        <v>3.1</v>
      </c>
      <c r="N29" s="118" t="n">
        <v>0</v>
      </c>
      <c r="O29" s="118" t="n">
        <v>0</v>
      </c>
      <c r="P29" s="82" t="n">
        <v>0</v>
      </c>
      <c r="Q29" s="119" t="n">
        <f aca="false">1.56*1.02</f>
        <v>1.5912</v>
      </c>
      <c r="R29" s="119" t="n">
        <v>2.743</v>
      </c>
      <c r="S29" s="126" t="n">
        <v>0</v>
      </c>
      <c r="T29" s="84" t="n">
        <f aca="false">M29-(Q29+R29+S29)</f>
        <v>-1.2342</v>
      </c>
      <c r="U29" s="121" t="n">
        <v>61</v>
      </c>
      <c r="V29" s="121" t="n">
        <v>0</v>
      </c>
      <c r="W29" s="122" t="n">
        <f aca="false">M29-N29-P29-O29-Q29-R29-S29-T29+U29+V29</f>
        <v>61</v>
      </c>
      <c r="X29" s="85"/>
      <c r="Y29" s="85"/>
      <c r="Z29" s="85"/>
      <c r="AA29" s="121" t="n">
        <v>0</v>
      </c>
      <c r="AB29" s="123"/>
      <c r="AC29" s="124"/>
      <c r="AD29" s="121" t="n">
        <v>31</v>
      </c>
      <c r="AE29" s="85" t="n">
        <f aca="false">AE28-AD29</f>
        <v>4379</v>
      </c>
      <c r="AF29" s="85"/>
      <c r="AG29" s="121" t="n">
        <f aca="false">N29+O29+P29+Q29+R29+S29+T29+W29+AA29+AD29</f>
        <v>95.1</v>
      </c>
      <c r="AH29" s="121" t="n">
        <f aca="false">IF(L29&lt;0,L29*-1,0)</f>
        <v>0</v>
      </c>
      <c r="AI29" s="121" t="n">
        <f aca="false">AG29+AH29</f>
        <v>95.1</v>
      </c>
      <c r="AJ29" s="88" t="n">
        <v>0</v>
      </c>
      <c r="AK29" s="128" t="n">
        <v>62</v>
      </c>
      <c r="AL29" s="90" t="n">
        <v>28</v>
      </c>
      <c r="AM29" s="91" t="n">
        <f aca="false">AM28+W29*1.9835</f>
        <v>1771.86055</v>
      </c>
      <c r="AN29" s="91"/>
      <c r="AO29" s="92"/>
      <c r="AP29" s="92"/>
      <c r="AQ29" s="92"/>
      <c r="AS29" s="1"/>
    </row>
    <row r="30" customFormat="false" ht="12.95" hidden="false" customHeight="true" outlineLevel="0" collapsed="false">
      <c r="A30" s="8" t="n">
        <f aca="false">A29+1</f>
        <v>19</v>
      </c>
      <c r="B30" s="114" t="n">
        <v>6900.72</v>
      </c>
      <c r="C30" s="79" t="n">
        <v>286245</v>
      </c>
      <c r="D30" s="115" t="n">
        <f aca="false">C30-C29</f>
        <v>-74</v>
      </c>
      <c r="E30" s="79" t="n">
        <f aca="false">C30-152000</f>
        <v>134245</v>
      </c>
      <c r="F30" s="116" t="n">
        <f aca="false">D30/$D$2</f>
        <v>-37.3077892614066</v>
      </c>
      <c r="G30" s="11" t="n">
        <v>55</v>
      </c>
      <c r="H30" s="3" t="n">
        <v>0.19</v>
      </c>
      <c r="I30" s="11" t="n">
        <f aca="false">G30+H30</f>
        <v>55.19</v>
      </c>
      <c r="J30" s="4" t="n">
        <f aca="false">IF(L30&gt;0,L30,0)</f>
        <v>2.60221073859339</v>
      </c>
      <c r="K30" s="11" t="n">
        <f aca="false">I30+J30</f>
        <v>57.7922107385934</v>
      </c>
      <c r="L30" s="11" t="n">
        <f aca="false">F30-(I30-AG30)</f>
        <v>2.60221073859339</v>
      </c>
      <c r="M30" s="117" t="n">
        <v>3.1</v>
      </c>
      <c r="N30" s="118" t="n">
        <v>0</v>
      </c>
      <c r="O30" s="118" t="n">
        <v>0</v>
      </c>
      <c r="P30" s="82" t="n">
        <v>0</v>
      </c>
      <c r="Q30" s="119" t="n">
        <f aca="false">1.56*1.02</f>
        <v>1.5912</v>
      </c>
      <c r="R30" s="119" t="n">
        <v>2.7</v>
      </c>
      <c r="S30" s="126" t="n">
        <v>0</v>
      </c>
      <c r="T30" s="84" t="n">
        <f aca="false">M30-(Q30+R30+S30)</f>
        <v>-1.1912</v>
      </c>
      <c r="U30" s="121" t="n">
        <v>61</v>
      </c>
      <c r="V30" s="121" t="n">
        <v>0</v>
      </c>
      <c r="W30" s="122" t="n">
        <f aca="false">M30-N30-P30-O30-Q30-R30-S30-T30+U30+V30</f>
        <v>61</v>
      </c>
      <c r="X30" s="85"/>
      <c r="Y30" s="85"/>
      <c r="Z30" s="85"/>
      <c r="AA30" s="121" t="n">
        <v>0</v>
      </c>
      <c r="AB30" s="123"/>
      <c r="AC30" s="124"/>
      <c r="AD30" s="121" t="n">
        <v>31</v>
      </c>
      <c r="AE30" s="85" t="n">
        <f aca="false">AE29-AD30</f>
        <v>4348</v>
      </c>
      <c r="AF30" s="85"/>
      <c r="AG30" s="121" t="n">
        <f aca="false">N30+O30+P30+Q30+R30+S30+T30+W30+AA30+AD30</f>
        <v>95.1</v>
      </c>
      <c r="AH30" s="121" t="n">
        <f aca="false">IF(L30&lt;0,L30*-1,0)</f>
        <v>0</v>
      </c>
      <c r="AI30" s="121" t="n">
        <f aca="false">AG30+AH30</f>
        <v>95.1</v>
      </c>
      <c r="AJ30" s="88" t="n">
        <v>0</v>
      </c>
      <c r="AK30" s="128" t="n">
        <v>66</v>
      </c>
      <c r="AL30" s="90" t="n">
        <v>25</v>
      </c>
      <c r="AM30" s="91" t="n">
        <f aca="false">AM29+W30*1.9835</f>
        <v>1892.85405</v>
      </c>
      <c r="AN30" s="91"/>
      <c r="AO30" s="92"/>
      <c r="AP30" s="92"/>
      <c r="AQ30" s="92"/>
      <c r="AS30" s="1"/>
    </row>
    <row r="31" customFormat="false" ht="12.95" hidden="false" customHeight="true" outlineLevel="0" collapsed="false">
      <c r="A31" s="8" t="n">
        <f aca="false">A30+1</f>
        <v>20</v>
      </c>
      <c r="B31" s="114" t="n">
        <v>6900.7</v>
      </c>
      <c r="C31" s="79" t="n">
        <v>286171</v>
      </c>
      <c r="D31" s="115" t="n">
        <f aca="false">C31-C30</f>
        <v>-74</v>
      </c>
      <c r="E31" s="79" t="n">
        <f aca="false">C31-152000</f>
        <v>134171</v>
      </c>
      <c r="F31" s="116" t="n">
        <f aca="false">D31/$D$2</f>
        <v>-37.3077892614066</v>
      </c>
      <c r="G31" s="11" t="n">
        <v>57</v>
      </c>
      <c r="H31" s="3" t="n">
        <v>0.42</v>
      </c>
      <c r="I31" s="11" t="n">
        <f aca="false">G31+H31</f>
        <v>57.42</v>
      </c>
      <c r="J31" s="4" t="n">
        <f aca="false">IF(L31&gt;0,L31,0)</f>
        <v>0.372210738593388</v>
      </c>
      <c r="K31" s="11" t="n">
        <f aca="false">I31+J31</f>
        <v>57.7922107385934</v>
      </c>
      <c r="L31" s="11" t="n">
        <f aca="false">F31-(I31-AG31)</f>
        <v>0.372210738593388</v>
      </c>
      <c r="M31" s="117" t="n">
        <v>3.1</v>
      </c>
      <c r="N31" s="118" t="n">
        <v>0</v>
      </c>
      <c r="O31" s="118" t="n">
        <v>0</v>
      </c>
      <c r="P31" s="82" t="n">
        <v>0</v>
      </c>
      <c r="Q31" s="119" t="n">
        <f aca="false">1.56*1.02</f>
        <v>1.5912</v>
      </c>
      <c r="R31" s="119" t="n">
        <v>3.99</v>
      </c>
      <c r="S31" s="126" t="n">
        <v>0</v>
      </c>
      <c r="T31" s="84" t="n">
        <f aca="false">M31-(Q31+R31+S31)</f>
        <v>-2.4812</v>
      </c>
      <c r="U31" s="121" t="n">
        <v>61</v>
      </c>
      <c r="V31" s="121" t="n">
        <v>0</v>
      </c>
      <c r="W31" s="122" t="n">
        <f aca="false">M31-N31-P31-O31-Q31-R31-S31-T31+U31+V31</f>
        <v>61</v>
      </c>
      <c r="X31" s="85"/>
      <c r="Y31" s="85"/>
      <c r="Z31" s="85"/>
      <c r="AA31" s="121" t="n">
        <v>0</v>
      </c>
      <c r="AB31" s="123"/>
      <c r="AC31" s="124"/>
      <c r="AD31" s="121" t="n">
        <v>31</v>
      </c>
      <c r="AE31" s="85" t="n">
        <f aca="false">AE30-AD31</f>
        <v>4317</v>
      </c>
      <c r="AF31" s="85"/>
      <c r="AG31" s="121" t="n">
        <f aca="false">N31+O31+P31+Q31+R31+S31+T31+W31+AA31+AD31</f>
        <v>95.1</v>
      </c>
      <c r="AH31" s="121" t="n">
        <f aca="false">IF(L31&lt;0,L31*-1,0)</f>
        <v>0</v>
      </c>
      <c r="AI31" s="121" t="n">
        <f aca="false">AG31+AH31</f>
        <v>95.1</v>
      </c>
      <c r="AJ31" s="88" t="n">
        <v>0</v>
      </c>
      <c r="AK31" s="128" t="n">
        <v>59</v>
      </c>
      <c r="AL31" s="90" t="n">
        <v>21</v>
      </c>
      <c r="AM31" s="91" t="n">
        <f aca="false">AM30+W31*1.9835</f>
        <v>2013.84755</v>
      </c>
      <c r="AN31" s="91"/>
      <c r="AO31" s="92"/>
      <c r="AP31" s="92"/>
      <c r="AQ31" s="92"/>
      <c r="AS31" s="1"/>
    </row>
    <row r="32" customFormat="false" ht="12.95" hidden="false" customHeight="true" outlineLevel="0" collapsed="false">
      <c r="A32" s="8" t="n">
        <f aca="false">A31+1</f>
        <v>21</v>
      </c>
      <c r="B32" s="114" t="n">
        <v>6900.67</v>
      </c>
      <c r="C32" s="79" t="n">
        <v>286060</v>
      </c>
      <c r="D32" s="115" t="n">
        <f aca="false">C32-C31</f>
        <v>-111</v>
      </c>
      <c r="E32" s="79" t="n">
        <f aca="false">C32-152000</f>
        <v>134060</v>
      </c>
      <c r="F32" s="116" t="n">
        <f aca="false">D32/$D$2</f>
        <v>-55.9616838921099</v>
      </c>
      <c r="G32" s="11" t="n">
        <v>52</v>
      </c>
      <c r="H32" s="3" t="n">
        <v>0.4</v>
      </c>
      <c r="I32" s="11" t="n">
        <f aca="false">G32+H32</f>
        <v>52.4</v>
      </c>
      <c r="J32" s="4" t="n">
        <f aca="false">IF(L32&gt;0,L32,0)</f>
        <v>0</v>
      </c>
      <c r="K32" s="11" t="n">
        <f aca="false">I32+J32</f>
        <v>52.4</v>
      </c>
      <c r="L32" s="11" t="n">
        <f aca="false">F32-(I32-AG32)</f>
        <v>-13.2616838921099</v>
      </c>
      <c r="M32" s="117" t="n">
        <v>3.1</v>
      </c>
      <c r="N32" s="118" t="n">
        <v>0</v>
      </c>
      <c r="O32" s="118" t="n">
        <v>0</v>
      </c>
      <c r="P32" s="82" t="n">
        <v>0</v>
      </c>
      <c r="Q32" s="119" t="n">
        <f aca="false">1.56*1.02</f>
        <v>1.5912</v>
      </c>
      <c r="R32" s="119" t="n">
        <v>2.51</v>
      </c>
      <c r="S32" s="126" t="n">
        <v>0</v>
      </c>
      <c r="T32" s="84" t="n">
        <f aca="false">M32-(Q32+R32+S32)</f>
        <v>-1.0012</v>
      </c>
      <c r="U32" s="121" t="n">
        <v>61</v>
      </c>
      <c r="V32" s="121" t="n">
        <v>0</v>
      </c>
      <c r="W32" s="122" t="n">
        <f aca="false">M32-N32-P32-O32-Q32-R32-S32-T32+U32+V32</f>
        <v>61</v>
      </c>
      <c r="X32" s="85"/>
      <c r="Y32" s="85"/>
      <c r="Z32" s="85"/>
      <c r="AA32" s="121" t="n">
        <v>0</v>
      </c>
      <c r="AB32" s="123"/>
      <c r="AC32" s="124"/>
      <c r="AD32" s="121" t="n">
        <v>31</v>
      </c>
      <c r="AE32" s="85" t="n">
        <f aca="false">AE31-AD32</f>
        <v>4286</v>
      </c>
      <c r="AF32" s="85"/>
      <c r="AG32" s="121" t="n">
        <f aca="false">N32+O32+P32+Q32+R32+S32+T32+W32+AA32+AD32</f>
        <v>95.1</v>
      </c>
      <c r="AH32" s="121" t="n">
        <f aca="false">IF(L32&lt;0,L32*-1,0)</f>
        <v>13.2616838921099</v>
      </c>
      <c r="AI32" s="121" t="n">
        <f aca="false">AG32+AH32</f>
        <v>108.36168389211</v>
      </c>
      <c r="AJ32" s="88" t="n">
        <v>0</v>
      </c>
      <c r="AK32" s="89" t="n">
        <v>42</v>
      </c>
      <c r="AL32" s="90" t="n">
        <v>23</v>
      </c>
      <c r="AM32" s="91" t="n">
        <f aca="false">AM31+W32*1.9835</f>
        <v>2134.84105</v>
      </c>
      <c r="AN32" s="91"/>
      <c r="AO32" s="92"/>
      <c r="AP32" s="92"/>
      <c r="AQ32" s="92"/>
      <c r="AS32" s="1"/>
    </row>
    <row r="33" customFormat="false" ht="12.95" hidden="false" customHeight="true" outlineLevel="0" collapsed="false">
      <c r="A33" s="8" t="n">
        <f aca="false">A32+1</f>
        <v>22</v>
      </c>
      <c r="B33" s="114" t="n">
        <v>6900.64</v>
      </c>
      <c r="C33" s="79" t="n">
        <v>285949</v>
      </c>
      <c r="D33" s="115" t="n">
        <f aca="false">C33-C32</f>
        <v>-111</v>
      </c>
      <c r="E33" s="79" t="n">
        <f aca="false">C33-152000</f>
        <v>133949</v>
      </c>
      <c r="F33" s="116" t="n">
        <f aca="false">D33/$D$2</f>
        <v>-55.9616838921099</v>
      </c>
      <c r="G33" s="11" t="n">
        <v>38</v>
      </c>
      <c r="H33" s="3" t="n">
        <v>0.3</v>
      </c>
      <c r="I33" s="11" t="n">
        <f aca="false">G33+H33</f>
        <v>38.3</v>
      </c>
      <c r="J33" s="4" t="n">
        <f aca="false">IF(L33&gt;0,L33,0)</f>
        <v>0.838316107890094</v>
      </c>
      <c r="K33" s="11" t="n">
        <f aca="false">I33+J33</f>
        <v>39.1383161078901</v>
      </c>
      <c r="L33" s="11" t="n">
        <f aca="false">F33-(I33-AG33)</f>
        <v>0.838316107890094</v>
      </c>
      <c r="M33" s="117" t="n">
        <v>3.1</v>
      </c>
      <c r="N33" s="118" t="n">
        <v>0</v>
      </c>
      <c r="O33" s="118" t="n">
        <v>0</v>
      </c>
      <c r="P33" s="82" t="n">
        <v>0</v>
      </c>
      <c r="Q33" s="119" t="n">
        <f aca="false">1.56*1.02</f>
        <v>1.5912</v>
      </c>
      <c r="R33" s="119" t="n">
        <v>2.55</v>
      </c>
      <c r="S33" s="126" t="n">
        <v>0</v>
      </c>
      <c r="T33" s="84" t="n">
        <f aca="false">M33-(Q33+R33+S33)</f>
        <v>-1.0412</v>
      </c>
      <c r="U33" s="121" t="n">
        <v>61</v>
      </c>
      <c r="V33" s="121" t="n">
        <v>0</v>
      </c>
      <c r="W33" s="122" t="n">
        <f aca="false">M33-N33-P33-O33-Q33-R33-S33-T33+U33+V33</f>
        <v>61</v>
      </c>
      <c r="X33" s="85"/>
      <c r="Y33" s="85"/>
      <c r="Z33" s="85"/>
      <c r="AA33" s="121" t="n">
        <v>0</v>
      </c>
      <c r="AB33" s="123"/>
      <c r="AC33" s="124"/>
      <c r="AD33" s="121" t="n">
        <v>31</v>
      </c>
      <c r="AE33" s="85" t="n">
        <f aca="false">AE32-AD33</f>
        <v>4255</v>
      </c>
      <c r="AF33" s="85"/>
      <c r="AG33" s="121" t="n">
        <f aca="false">N33+O33+P33+Q33+R33+S33+T33+W33+AA33+AD33</f>
        <v>95.1</v>
      </c>
      <c r="AH33" s="121" t="n">
        <f aca="false">IF(L33&lt;0,L33*-1,0)</f>
        <v>0</v>
      </c>
      <c r="AI33" s="121" t="n">
        <f aca="false">AG33+AH33</f>
        <v>95.1</v>
      </c>
      <c r="AJ33" s="88" t="n">
        <v>0</v>
      </c>
      <c r="AK33" s="89" t="n">
        <v>44</v>
      </c>
      <c r="AL33" s="90" t="n">
        <v>12</v>
      </c>
      <c r="AM33" s="91" t="n">
        <f aca="false">AM32+W33*1.9835</f>
        <v>2255.83455</v>
      </c>
      <c r="AN33" s="91"/>
      <c r="AO33" s="92"/>
      <c r="AP33" s="92"/>
      <c r="AQ33" s="92"/>
      <c r="AS33" s="1"/>
    </row>
    <row r="34" customFormat="false" ht="12.95" hidden="false" customHeight="true" outlineLevel="0" collapsed="false">
      <c r="A34" s="8" t="n">
        <f aca="false">A33+1</f>
        <v>23</v>
      </c>
      <c r="B34" s="114" t="n">
        <v>6900.61</v>
      </c>
      <c r="C34" s="79" t="n">
        <v>285838</v>
      </c>
      <c r="D34" s="115" t="n">
        <f aca="false">C34-C33</f>
        <v>-111</v>
      </c>
      <c r="E34" s="79" t="n">
        <f aca="false">C34-152000</f>
        <v>133838</v>
      </c>
      <c r="F34" s="116" t="n">
        <f aca="false">D34/$D$2</f>
        <v>-55.9616838921099</v>
      </c>
      <c r="G34" s="11" t="n">
        <v>42</v>
      </c>
      <c r="H34" s="3" t="n">
        <v>0.3</v>
      </c>
      <c r="I34" s="11" t="n">
        <f aca="false">G34+H34</f>
        <v>42.3</v>
      </c>
      <c r="J34" s="4" t="n">
        <f aca="false">IF(L34&gt;0,L34,0)</f>
        <v>0</v>
      </c>
      <c r="K34" s="11" t="n">
        <f aca="false">I34+J34</f>
        <v>42.3</v>
      </c>
      <c r="L34" s="11" t="n">
        <f aca="false">F34-(I34-AG34)</f>
        <v>-3.4616838921099</v>
      </c>
      <c r="M34" s="117" t="n">
        <v>2.8</v>
      </c>
      <c r="N34" s="118" t="n">
        <v>0</v>
      </c>
      <c r="O34" s="118" t="n">
        <v>0</v>
      </c>
      <c r="P34" s="82" t="n">
        <v>0</v>
      </c>
      <c r="Q34" s="119" t="n">
        <f aca="false">1.56*1.02</f>
        <v>1.5912</v>
      </c>
      <c r="R34" s="119" t="n">
        <v>2.31</v>
      </c>
      <c r="S34" s="126" t="n">
        <v>0</v>
      </c>
      <c r="T34" s="84" t="n">
        <f aca="false">M34-(Q34+R34+S34)</f>
        <v>-1.1012</v>
      </c>
      <c r="U34" s="121" t="n">
        <v>61</v>
      </c>
      <c r="V34" s="121" t="n">
        <v>0</v>
      </c>
      <c r="W34" s="122" t="n">
        <f aca="false">M34-N34-P34-O34-Q34-R34-S34-T34+U34+V34</f>
        <v>61</v>
      </c>
      <c r="X34" s="85"/>
      <c r="Y34" s="85"/>
      <c r="Z34" s="85"/>
      <c r="AA34" s="121" t="n">
        <v>0</v>
      </c>
      <c r="AB34" s="123"/>
      <c r="AC34" s="124"/>
      <c r="AD34" s="121" t="n">
        <v>31</v>
      </c>
      <c r="AE34" s="85" t="n">
        <f aca="false">AE33-AD34</f>
        <v>4224</v>
      </c>
      <c r="AF34" s="85"/>
      <c r="AG34" s="121" t="n">
        <f aca="false">N34+O34+P34+Q34+R34+S34+T34+W34+AA34+AD34</f>
        <v>94.8</v>
      </c>
      <c r="AH34" s="121" t="n">
        <f aca="false">IF(L34&lt;0,L34*-1,0)</f>
        <v>3.4616838921099</v>
      </c>
      <c r="AI34" s="121" t="n">
        <f aca="false">AG34+AH34</f>
        <v>98.2616838921099</v>
      </c>
      <c r="AJ34" s="88" t="n">
        <v>0.24</v>
      </c>
      <c r="AK34" s="89" t="n">
        <v>38</v>
      </c>
      <c r="AL34" s="129" t="n">
        <v>20</v>
      </c>
      <c r="AM34" s="91" t="n">
        <f aca="false">AM33+W34*1.9835</f>
        <v>2376.82805</v>
      </c>
      <c r="AN34" s="91"/>
      <c r="AO34" s="92"/>
      <c r="AP34" s="92"/>
      <c r="AQ34" s="92"/>
      <c r="AS34" s="1"/>
    </row>
    <row r="35" customFormat="false" ht="12.95" hidden="false" customHeight="true" outlineLevel="0" collapsed="false">
      <c r="A35" s="8" t="n">
        <f aca="false">A34+1</f>
        <v>24</v>
      </c>
      <c r="B35" s="114" t="n">
        <v>6900.58</v>
      </c>
      <c r="C35" s="79" t="n">
        <v>285727</v>
      </c>
      <c r="D35" s="115" t="n">
        <f aca="false">C35-C34</f>
        <v>-111</v>
      </c>
      <c r="E35" s="79" t="n">
        <f aca="false">C35-152000</f>
        <v>133727</v>
      </c>
      <c r="F35" s="116" t="n">
        <f aca="false">D35/$D$2</f>
        <v>-55.9616838921099</v>
      </c>
      <c r="G35" s="11" t="n">
        <v>49</v>
      </c>
      <c r="H35" s="3" t="n">
        <v>0.24</v>
      </c>
      <c r="I35" s="11" t="n">
        <f aca="false">G35+H35</f>
        <v>49.24</v>
      </c>
      <c r="J35" s="4" t="n">
        <f aca="false">IF(L35&gt;0,L35,0)</f>
        <v>0</v>
      </c>
      <c r="K35" s="11" t="n">
        <f aca="false">I35+J35</f>
        <v>49.24</v>
      </c>
      <c r="L35" s="11" t="n">
        <f aca="false">F35-(I35-AG35)</f>
        <v>-11.4016838921099</v>
      </c>
      <c r="M35" s="117" t="n">
        <v>2.8</v>
      </c>
      <c r="N35" s="118" t="n">
        <v>0</v>
      </c>
      <c r="O35" s="118" t="n">
        <v>0</v>
      </c>
      <c r="P35" s="82" t="n">
        <v>0</v>
      </c>
      <c r="Q35" s="119" t="n">
        <f aca="false">1.56*1.02</f>
        <v>1.5912</v>
      </c>
      <c r="R35" s="119" t="n">
        <v>2.35</v>
      </c>
      <c r="S35" s="126" t="n">
        <v>0</v>
      </c>
      <c r="T35" s="84" t="n">
        <f aca="false">M35-(Q35+R35+S35)</f>
        <v>-1.1412</v>
      </c>
      <c r="U35" s="121" t="n">
        <v>60</v>
      </c>
      <c r="V35" s="121" t="n">
        <v>0</v>
      </c>
      <c r="W35" s="122" t="n">
        <f aca="false">M35-N35-P35-O35-Q35-R35-S35-T35+U35+V35</f>
        <v>60</v>
      </c>
      <c r="X35" s="85"/>
      <c r="Y35" s="85"/>
      <c r="Z35" s="85"/>
      <c r="AA35" s="121" t="n">
        <v>0</v>
      </c>
      <c r="AB35" s="123"/>
      <c r="AC35" s="124"/>
      <c r="AD35" s="121" t="n">
        <v>31</v>
      </c>
      <c r="AE35" s="85" t="n">
        <f aca="false">AE34-AD35</f>
        <v>4193</v>
      </c>
      <c r="AF35" s="85"/>
      <c r="AG35" s="121" t="n">
        <f aca="false">N35+O35+P35+Q35+R35+S35+T35+W35+AA35+AD35</f>
        <v>93.8</v>
      </c>
      <c r="AH35" s="121" t="n">
        <f aca="false">IF(L35&lt;0,L35*-1,0)</f>
        <v>11.4016838921099</v>
      </c>
      <c r="AI35" s="121" t="n">
        <f aca="false">AG35+AH35</f>
        <v>105.20168389211</v>
      </c>
      <c r="AJ35" s="88" t="n">
        <v>0</v>
      </c>
      <c r="AK35" s="89" t="n">
        <v>36</v>
      </c>
      <c r="AL35" s="129" t="n">
        <v>12</v>
      </c>
      <c r="AM35" s="91" t="n">
        <f aca="false">AM34+W35*1.9835</f>
        <v>2495.83805</v>
      </c>
      <c r="AN35" s="91"/>
      <c r="AO35" s="92"/>
      <c r="AP35" s="92"/>
      <c r="AQ35" s="92"/>
      <c r="AS35" s="1"/>
    </row>
    <row r="36" customFormat="false" ht="12.95" hidden="false" customHeight="true" outlineLevel="0" collapsed="false">
      <c r="A36" s="8" t="n">
        <f aca="false">A35+1</f>
        <v>25</v>
      </c>
      <c r="B36" s="114" t="n">
        <v>6900.55</v>
      </c>
      <c r="C36" s="79" t="n">
        <v>285616</v>
      </c>
      <c r="D36" s="115" t="n">
        <f aca="false">C36-C35</f>
        <v>-111</v>
      </c>
      <c r="E36" s="79" t="n">
        <f aca="false">C36-152000</f>
        <v>133616</v>
      </c>
      <c r="F36" s="116" t="n">
        <f aca="false">D36/$D$2</f>
        <v>-55.9616838921099</v>
      </c>
      <c r="G36" s="11" t="n">
        <v>55</v>
      </c>
      <c r="H36" s="3" t="n">
        <v>0.19</v>
      </c>
      <c r="I36" s="11" t="n">
        <f aca="false">G36+H36</f>
        <v>55.19</v>
      </c>
      <c r="J36" s="4" t="n">
        <f aca="false">IF(L36&gt;0,L36,0)</f>
        <v>0</v>
      </c>
      <c r="K36" s="11" t="n">
        <f aca="false">I36+J36</f>
        <v>55.19</v>
      </c>
      <c r="L36" s="11" t="n">
        <f aca="false">F36-(I36-AG36)</f>
        <v>-16.0516838921099</v>
      </c>
      <c r="M36" s="117" t="n">
        <v>3.1</v>
      </c>
      <c r="N36" s="118" t="n">
        <v>0</v>
      </c>
      <c r="O36" s="118" t="n">
        <v>0</v>
      </c>
      <c r="P36" s="82" t="n">
        <v>0</v>
      </c>
      <c r="Q36" s="119" t="n">
        <f aca="false">1.56*1.02</f>
        <v>1.5912</v>
      </c>
      <c r="R36" s="119" t="n">
        <v>2.14</v>
      </c>
      <c r="S36" s="126" t="n">
        <v>0</v>
      </c>
      <c r="T36" s="84" t="n">
        <f aca="false">M36-(Q36+R36+S36)</f>
        <v>-0.6312</v>
      </c>
      <c r="U36" s="121" t="n">
        <v>61</v>
      </c>
      <c r="V36" s="121" t="n">
        <v>0</v>
      </c>
      <c r="W36" s="122" t="n">
        <f aca="false">M36-N36-P36-O36-Q36-R36-S36-T36+U36+V36</f>
        <v>61</v>
      </c>
      <c r="X36" s="85"/>
      <c r="Y36" s="85"/>
      <c r="Z36" s="85"/>
      <c r="AA36" s="121" t="n">
        <v>0</v>
      </c>
      <c r="AB36" s="123"/>
      <c r="AC36" s="124"/>
      <c r="AD36" s="121" t="n">
        <v>31</v>
      </c>
      <c r="AE36" s="85" t="n">
        <f aca="false">AE35-AD36</f>
        <v>4162</v>
      </c>
      <c r="AF36" s="85"/>
      <c r="AG36" s="121" t="n">
        <f aca="false">N36+O36+P36+Q36+R36+S36+T36+W36+AA36+AD36</f>
        <v>95.1</v>
      </c>
      <c r="AH36" s="121" t="n">
        <f aca="false">IF(L36&lt;0,L36*-1,0)</f>
        <v>16.0516838921099</v>
      </c>
      <c r="AI36" s="121" t="n">
        <f aca="false">AG36+AH36</f>
        <v>111.15168389211</v>
      </c>
      <c r="AJ36" s="88" t="n">
        <v>0</v>
      </c>
      <c r="AK36" s="89" t="n">
        <v>37</v>
      </c>
      <c r="AL36" s="129" t="n">
        <v>10</v>
      </c>
      <c r="AM36" s="91" t="n">
        <f aca="false">AM35+W36*1.9835</f>
        <v>2616.83155</v>
      </c>
      <c r="AN36" s="91"/>
      <c r="AO36" s="92"/>
      <c r="AP36" s="92"/>
      <c r="AQ36" s="92"/>
      <c r="AS36" s="1"/>
    </row>
    <row r="37" customFormat="false" ht="12.95" hidden="false" customHeight="true" outlineLevel="0" collapsed="false">
      <c r="A37" s="8" t="n">
        <f aca="false">A36+1</f>
        <v>26</v>
      </c>
      <c r="B37" s="114" t="n">
        <v>6900.51</v>
      </c>
      <c r="C37" s="79" t="n">
        <v>285468</v>
      </c>
      <c r="D37" s="115" t="n">
        <f aca="false">C37-C36</f>
        <v>-148</v>
      </c>
      <c r="E37" s="79" t="n">
        <f aca="false">C37-152000</f>
        <v>133468</v>
      </c>
      <c r="F37" s="116" t="n">
        <f aca="false">D37/$D$2</f>
        <v>-74.6155785228132</v>
      </c>
      <c r="G37" s="11" t="n">
        <v>54</v>
      </c>
      <c r="H37" s="3" t="n">
        <v>0.16</v>
      </c>
      <c r="I37" s="11" t="n">
        <f aca="false">G37+H37</f>
        <v>54.16</v>
      </c>
      <c r="J37" s="4" t="n">
        <f aca="false">IF(L37&gt;0,L37,0)</f>
        <v>0</v>
      </c>
      <c r="K37" s="11" t="n">
        <f aca="false">I37+J37</f>
        <v>54.16</v>
      </c>
      <c r="L37" s="11" t="n">
        <f aca="false">F37-(I37-AG37)</f>
        <v>-33.5755785228132</v>
      </c>
      <c r="M37" s="117" t="n">
        <v>3.2</v>
      </c>
      <c r="N37" s="118" t="n">
        <v>0</v>
      </c>
      <c r="O37" s="118" t="n">
        <v>0</v>
      </c>
      <c r="P37" s="82" t="n">
        <v>0</v>
      </c>
      <c r="Q37" s="119" t="n">
        <f aca="false">1.56*1.02</f>
        <v>1.5912</v>
      </c>
      <c r="R37" s="119" t="n">
        <v>1.69</v>
      </c>
      <c r="S37" s="126" t="n">
        <v>0</v>
      </c>
      <c r="T37" s="84" t="n">
        <f aca="false">M37-(Q37+R37+S37)</f>
        <v>-0.0811999999999999</v>
      </c>
      <c r="U37" s="121" t="n">
        <v>61</v>
      </c>
      <c r="V37" s="121" t="n">
        <v>0</v>
      </c>
      <c r="W37" s="122" t="n">
        <f aca="false">M37-N37-P37-O37-Q37-R37-S37-T37+U37+V37</f>
        <v>61</v>
      </c>
      <c r="X37" s="85"/>
      <c r="Y37" s="85"/>
      <c r="Z37" s="85"/>
      <c r="AA37" s="121" t="n">
        <v>0</v>
      </c>
      <c r="AB37" s="123"/>
      <c r="AC37" s="124"/>
      <c r="AD37" s="121" t="n">
        <v>31</v>
      </c>
      <c r="AE37" s="85" t="n">
        <f aca="false">AE36-AD37</f>
        <v>4131</v>
      </c>
      <c r="AF37" s="85"/>
      <c r="AG37" s="121" t="n">
        <f aca="false">N37+O37+P37+Q37+R37+S37+T37+W37+AA37+AD37</f>
        <v>95.2</v>
      </c>
      <c r="AH37" s="121" t="n">
        <f aca="false">IF(L37&lt;0,L37*-1,0)</f>
        <v>33.5755785228132</v>
      </c>
      <c r="AI37" s="121" t="n">
        <f aca="false">AG37+AH37</f>
        <v>128.775578522813</v>
      </c>
      <c r="AJ37" s="88" t="n">
        <v>0</v>
      </c>
      <c r="AK37" s="89" t="n">
        <v>42</v>
      </c>
      <c r="AL37" s="90" t="n">
        <v>20</v>
      </c>
      <c r="AM37" s="91" t="n">
        <f aca="false">AM36+W37*1.9835</f>
        <v>2737.82505</v>
      </c>
      <c r="AN37" s="91"/>
      <c r="AO37" s="92"/>
      <c r="AP37" s="92"/>
      <c r="AQ37" s="92"/>
      <c r="AS37" s="1"/>
    </row>
    <row r="38" customFormat="false" ht="12.95" hidden="false" customHeight="true" outlineLevel="0" collapsed="false">
      <c r="A38" s="8" t="n">
        <f aca="false">A37+1</f>
        <v>27</v>
      </c>
      <c r="B38" s="114" t="n">
        <v>6900.48</v>
      </c>
      <c r="C38" s="79" t="n">
        <v>285357</v>
      </c>
      <c r="D38" s="115" t="n">
        <f aca="false">C38-C37</f>
        <v>-111</v>
      </c>
      <c r="E38" s="79" t="n">
        <f aca="false">C38-152000</f>
        <v>133357</v>
      </c>
      <c r="F38" s="116" t="n">
        <f aca="false">D38/$D$2</f>
        <v>-55.9616838921099</v>
      </c>
      <c r="G38" s="11" t="n">
        <v>54</v>
      </c>
      <c r="H38" s="3" t="n">
        <v>0.15</v>
      </c>
      <c r="I38" s="11" t="n">
        <f aca="false">G38+H38</f>
        <v>54.15</v>
      </c>
      <c r="J38" s="4" t="n">
        <f aca="false">IF(L38&gt;0,L38,0)</f>
        <v>0</v>
      </c>
      <c r="K38" s="11" t="n">
        <f aca="false">I38+J38</f>
        <v>54.15</v>
      </c>
      <c r="L38" s="11" t="n">
        <f aca="false">F38-(I38-AG38)</f>
        <v>-16.2116838921099</v>
      </c>
      <c r="M38" s="117" t="n">
        <v>3.9</v>
      </c>
      <c r="N38" s="118" t="n">
        <v>0</v>
      </c>
      <c r="O38" s="118" t="n">
        <v>0</v>
      </c>
      <c r="P38" s="82" t="n">
        <v>0</v>
      </c>
      <c r="Q38" s="119" t="n">
        <f aca="false">1.56*1.02</f>
        <v>1.5912</v>
      </c>
      <c r="R38" s="119" t="n">
        <v>2.1</v>
      </c>
      <c r="S38" s="126" t="n">
        <v>0</v>
      </c>
      <c r="T38" s="84" t="n">
        <f aca="false">M38-(Q38+R38+S38)</f>
        <v>0.2088</v>
      </c>
      <c r="U38" s="121" t="n">
        <v>60</v>
      </c>
      <c r="V38" s="121" t="n">
        <v>0</v>
      </c>
      <c r="W38" s="122" t="n">
        <f aca="false">M38-N38-P38-O38-Q38-R38-S38-T38+U38+V38</f>
        <v>60</v>
      </c>
      <c r="X38" s="85"/>
      <c r="Y38" s="85"/>
      <c r="Z38" s="85"/>
      <c r="AA38" s="121" t="n">
        <v>0</v>
      </c>
      <c r="AB38" s="123"/>
      <c r="AC38" s="124"/>
      <c r="AD38" s="121" t="n">
        <v>30</v>
      </c>
      <c r="AE38" s="85" t="n">
        <f aca="false">AE37-AD38</f>
        <v>4101</v>
      </c>
      <c r="AF38" s="85"/>
      <c r="AG38" s="121" t="n">
        <f aca="false">N38+O38+P38+Q38+R38+S38+T38+W38+AA38+AD38</f>
        <v>93.9</v>
      </c>
      <c r="AH38" s="121" t="n">
        <f aca="false">IF(L38&lt;0,L38*-1,0)</f>
        <v>16.2116838921099</v>
      </c>
      <c r="AI38" s="121" t="n">
        <f aca="false">AG38+AH38</f>
        <v>110.11168389211</v>
      </c>
      <c r="AJ38" s="88" t="n">
        <v>0</v>
      </c>
      <c r="AK38" s="89" t="n">
        <v>44</v>
      </c>
      <c r="AL38" s="90" t="n">
        <v>15</v>
      </c>
      <c r="AM38" s="91" t="n">
        <f aca="false">AM37+W38*1.9835</f>
        <v>2856.83505</v>
      </c>
      <c r="AN38" s="91"/>
      <c r="AO38" s="92"/>
      <c r="AP38" s="92"/>
      <c r="AQ38" s="92"/>
      <c r="AS38" s="1"/>
    </row>
    <row r="39" customFormat="false" ht="12.95" hidden="false" customHeight="true" outlineLevel="0" collapsed="false">
      <c r="A39" s="8" t="n">
        <f aca="false">A38+1</f>
        <v>28</v>
      </c>
      <c r="B39" s="114" t="n">
        <v>6900.44</v>
      </c>
      <c r="C39" s="79" t="n">
        <v>285209</v>
      </c>
      <c r="D39" s="115" t="n">
        <f aca="false">C39-C38</f>
        <v>-148</v>
      </c>
      <c r="E39" s="79" t="n">
        <f aca="false">C39-152000</f>
        <v>133209</v>
      </c>
      <c r="F39" s="116" t="n">
        <f aca="false">D39/$D$2</f>
        <v>-74.6155785228132</v>
      </c>
      <c r="G39" s="11" t="n">
        <v>51</v>
      </c>
      <c r="H39" s="3" t="n">
        <v>0.21</v>
      </c>
      <c r="I39" s="11" t="n">
        <f aca="false">G39+H39</f>
        <v>51.21</v>
      </c>
      <c r="J39" s="4" t="n">
        <f aca="false">IF(L39&gt;0,L39,0)</f>
        <v>0</v>
      </c>
      <c r="K39" s="11" t="n">
        <f aca="false">I39+J39</f>
        <v>51.21</v>
      </c>
      <c r="L39" s="11" t="n">
        <f aca="false">F39-(I39-AG39)</f>
        <v>-31.3255785228132</v>
      </c>
      <c r="M39" s="117" t="n">
        <v>3.5</v>
      </c>
      <c r="N39" s="118" t="n">
        <v>0</v>
      </c>
      <c r="O39" s="118" t="n">
        <v>0</v>
      </c>
      <c r="P39" s="82" t="n">
        <v>0</v>
      </c>
      <c r="Q39" s="119" t="n">
        <f aca="false">1.56*1.02</f>
        <v>1.5912</v>
      </c>
      <c r="R39" s="119" t="n">
        <v>2.75</v>
      </c>
      <c r="S39" s="126" t="n">
        <v>0</v>
      </c>
      <c r="T39" s="84" t="n">
        <f aca="false">M39-(Q39+R39+S39)</f>
        <v>-0.841200000000001</v>
      </c>
      <c r="U39" s="121" t="n">
        <v>60</v>
      </c>
      <c r="V39" s="121" t="n">
        <v>0</v>
      </c>
      <c r="W39" s="122" t="n">
        <f aca="false">M39-N39-P39-O39-Q39-R39-S39-T39+U39+V39</f>
        <v>60</v>
      </c>
      <c r="X39" s="85"/>
      <c r="Y39" s="85"/>
      <c r="Z39" s="85"/>
      <c r="AA39" s="121" t="n">
        <v>0</v>
      </c>
      <c r="AB39" s="123"/>
      <c r="AC39" s="124"/>
      <c r="AD39" s="121" t="n">
        <v>31</v>
      </c>
      <c r="AE39" s="85" t="n">
        <f aca="false">AE38-AD39</f>
        <v>4070</v>
      </c>
      <c r="AF39" s="85"/>
      <c r="AG39" s="121" t="n">
        <f aca="false">N39+O39+P39+Q39+R39+S39+T39+W39+AA39+AD39</f>
        <v>94.5</v>
      </c>
      <c r="AH39" s="121" t="n">
        <f aca="false">IF(L39&lt;0,L39*-1,0)</f>
        <v>31.3255785228132</v>
      </c>
      <c r="AI39" s="121" t="n">
        <f aca="false">AG39+AH39</f>
        <v>125.825578522813</v>
      </c>
      <c r="AJ39" s="88" t="n">
        <v>0</v>
      </c>
      <c r="AK39" s="89" t="n">
        <v>40</v>
      </c>
      <c r="AL39" s="90" t="n">
        <v>15</v>
      </c>
      <c r="AM39" s="91" t="n">
        <f aca="false">AM38+W39*1.9835</f>
        <v>2975.84505</v>
      </c>
      <c r="AN39" s="91"/>
      <c r="AO39" s="92"/>
      <c r="AP39" s="92"/>
      <c r="AQ39" s="92"/>
      <c r="AS39" s="1"/>
    </row>
    <row r="40" customFormat="false" ht="12.95" hidden="false" customHeight="true" outlineLevel="0" collapsed="false">
      <c r="A40" s="8" t="n">
        <f aca="false">A39+1</f>
        <v>29</v>
      </c>
      <c r="B40" s="114" t="n">
        <v>6900.4</v>
      </c>
      <c r="C40" s="79" t="n">
        <v>285061</v>
      </c>
      <c r="D40" s="115" t="n">
        <f aca="false">C40-C39</f>
        <v>-148</v>
      </c>
      <c r="E40" s="79" t="n">
        <f aca="false">C40-152000</f>
        <v>133061</v>
      </c>
      <c r="F40" s="116" t="n">
        <f aca="false">D40/$D$2</f>
        <v>-74.6155785228132</v>
      </c>
      <c r="G40" s="11" t="n">
        <v>49</v>
      </c>
      <c r="H40" s="3" t="n">
        <v>0.27</v>
      </c>
      <c r="I40" s="11" t="n">
        <f aca="false">G40+H40</f>
        <v>49.27</v>
      </c>
      <c r="J40" s="4" t="n">
        <f aca="false">IF(L40&gt;0,L40,0)</f>
        <v>0</v>
      </c>
      <c r="K40" s="11" t="n">
        <f aca="false">I40+J40</f>
        <v>49.27</v>
      </c>
      <c r="L40" s="11" t="n">
        <f aca="false">F40-(I40-AG40)</f>
        <v>-30.3855785228132</v>
      </c>
      <c r="M40" s="117" t="n">
        <v>3.5</v>
      </c>
      <c r="N40" s="118" t="n">
        <v>0</v>
      </c>
      <c r="O40" s="118" t="n">
        <v>0</v>
      </c>
      <c r="P40" s="82" t="n">
        <v>0</v>
      </c>
      <c r="Q40" s="119" t="n">
        <f aca="false">1.56*1.02</f>
        <v>1.5912</v>
      </c>
      <c r="R40" s="119" t="n">
        <v>2.29</v>
      </c>
      <c r="S40" s="126" t="n">
        <v>0</v>
      </c>
      <c r="T40" s="84" t="n">
        <f aca="false">M40-(Q40+R40+S40)</f>
        <v>-0.3812</v>
      </c>
      <c r="U40" s="121" t="n">
        <v>60</v>
      </c>
      <c r="V40" s="121" t="n">
        <v>0</v>
      </c>
      <c r="W40" s="122" t="n">
        <f aca="false">M40-N40-P40-O40-Q40-R40-S40-T40+U40+V40</f>
        <v>60</v>
      </c>
      <c r="X40" s="85"/>
      <c r="Y40" s="85"/>
      <c r="Z40" s="85"/>
      <c r="AA40" s="121" t="n">
        <v>0</v>
      </c>
      <c r="AB40" s="123"/>
      <c r="AC40" s="124"/>
      <c r="AD40" s="121" t="n">
        <v>30</v>
      </c>
      <c r="AE40" s="85" t="n">
        <f aca="false">AE39-AD40</f>
        <v>4040</v>
      </c>
      <c r="AF40" s="85"/>
      <c r="AG40" s="121" t="n">
        <f aca="false">N40+O40+P40+Q40+R40+S40+T40+W40+AA40+AD40</f>
        <v>93.5</v>
      </c>
      <c r="AH40" s="121" t="n">
        <f aca="false">IF(L40&lt;0,L40*-1,0)</f>
        <v>30.3855785228132</v>
      </c>
      <c r="AI40" s="121" t="n">
        <f aca="false">AG40+AH40</f>
        <v>123.885578522813</v>
      </c>
      <c r="AJ40" s="88" t="n">
        <v>0</v>
      </c>
      <c r="AK40" s="128" t="n">
        <v>44</v>
      </c>
      <c r="AL40" s="90" t="n">
        <v>12</v>
      </c>
      <c r="AM40" s="91" t="n">
        <f aca="false">AM39+W40*1.9835</f>
        <v>3094.85505</v>
      </c>
      <c r="AN40" s="91"/>
      <c r="AO40" s="92"/>
      <c r="AP40" s="92"/>
      <c r="AQ40" s="92"/>
      <c r="AS40" s="1"/>
    </row>
    <row r="41" customFormat="false" ht="12.95" hidden="false" customHeight="true" outlineLevel="0" collapsed="false">
      <c r="A41" s="8" t="n">
        <v>30</v>
      </c>
      <c r="B41" s="114" t="n">
        <v>6900.47</v>
      </c>
      <c r="C41" s="79" t="n">
        <v>285320</v>
      </c>
      <c r="D41" s="115" t="n">
        <f aca="false">C41-C40</f>
        <v>259</v>
      </c>
      <c r="E41" s="79" t="n">
        <f aca="false">C41-152000</f>
        <v>133320</v>
      </c>
      <c r="F41" s="116" t="n">
        <f aca="false">D41/$D$2</f>
        <v>130.577262414923</v>
      </c>
      <c r="G41" s="11" t="n">
        <v>55</v>
      </c>
      <c r="H41" s="3" t="n">
        <v>0.99</v>
      </c>
      <c r="I41" s="11" t="n">
        <f aca="false">G41+H41</f>
        <v>55.99</v>
      </c>
      <c r="J41" s="4" t="n">
        <f aca="false">IF(L41&gt;0,L41,0)</f>
        <v>168.987262414923</v>
      </c>
      <c r="K41" s="11" t="n">
        <f aca="false">I41+J41</f>
        <v>224.977262414923</v>
      </c>
      <c r="L41" s="11" t="n">
        <f aca="false">F41-(I41-AG41)</f>
        <v>168.987262414923</v>
      </c>
      <c r="M41" s="117" t="n">
        <v>3.4</v>
      </c>
      <c r="N41" s="118" t="n">
        <v>0</v>
      </c>
      <c r="O41" s="118" t="n">
        <v>0</v>
      </c>
      <c r="P41" s="82" t="n">
        <v>0</v>
      </c>
      <c r="Q41" s="119" t="n">
        <f aca="false">1.56*1.02</f>
        <v>1.5912</v>
      </c>
      <c r="R41" s="119" t="n">
        <v>2.29</v>
      </c>
      <c r="S41" s="126" t="n">
        <v>0</v>
      </c>
      <c r="T41" s="84" t="n">
        <f aca="false">M41-(Q41+R41+S41)</f>
        <v>-0.4812</v>
      </c>
      <c r="U41" s="121" t="n">
        <v>60</v>
      </c>
      <c r="V41" s="121" t="n">
        <v>0</v>
      </c>
      <c r="W41" s="122" t="n">
        <f aca="false">M41-N41-P41-O41-Q41-R41-S41-T41+U41+V41</f>
        <v>60</v>
      </c>
      <c r="X41" s="85"/>
      <c r="Y41" s="85"/>
      <c r="Z41" s="85"/>
      <c r="AA41" s="121" t="n">
        <v>0</v>
      </c>
      <c r="AB41" s="123"/>
      <c r="AC41" s="124"/>
      <c r="AD41" s="121" t="n">
        <v>31</v>
      </c>
      <c r="AE41" s="85" t="n">
        <f aca="false">AE40-AD41</f>
        <v>4009</v>
      </c>
      <c r="AF41" s="85"/>
      <c r="AG41" s="121" t="n">
        <f aca="false">N41+O41+P41+Q41+R41+S41+T41+W41+AA41+AD41</f>
        <v>94.4</v>
      </c>
      <c r="AH41" s="121" t="n">
        <f aca="false">IF(L41&lt;0,L41*-1,0)</f>
        <v>0</v>
      </c>
      <c r="AI41" s="121" t="n">
        <f aca="false">AG41+AH41</f>
        <v>94.4</v>
      </c>
      <c r="AJ41" s="88" t="n">
        <v>1</v>
      </c>
      <c r="AK41" s="128" t="n">
        <v>44</v>
      </c>
      <c r="AL41" s="90" t="n">
        <v>30</v>
      </c>
      <c r="AM41" s="91" t="n">
        <f aca="false">AM40+W41*1.9835</f>
        <v>3213.86505</v>
      </c>
      <c r="AN41" s="91"/>
      <c r="AO41" s="92"/>
      <c r="AP41" s="92"/>
      <c r="AQ41" s="92"/>
      <c r="AS41" s="1"/>
    </row>
    <row r="42" customFormat="false" ht="3" hidden="false" customHeight="true" outlineLevel="0" collapsed="false">
      <c r="A42" s="98"/>
      <c r="B42" s="130"/>
      <c r="C42" s="100"/>
      <c r="D42" s="98"/>
      <c r="E42" s="100"/>
      <c r="F42" s="101"/>
      <c r="G42" s="98"/>
      <c r="H42" s="102"/>
      <c r="I42" s="98"/>
      <c r="J42" s="98"/>
      <c r="K42" s="98"/>
      <c r="L42" s="98"/>
      <c r="M42" s="103"/>
      <c r="N42" s="98"/>
      <c r="O42" s="98"/>
      <c r="P42" s="102"/>
      <c r="Q42" s="104"/>
      <c r="R42" s="104"/>
      <c r="S42" s="104"/>
      <c r="T42" s="105"/>
      <c r="U42" s="104"/>
      <c r="V42" s="104"/>
      <c r="W42" s="104"/>
      <c r="X42" s="106"/>
      <c r="Y42" s="106"/>
      <c r="Z42" s="106"/>
      <c r="AA42" s="104"/>
      <c r="AB42" s="107"/>
      <c r="AC42" s="108"/>
      <c r="AD42" s="104"/>
      <c r="AE42" s="104"/>
      <c r="AF42" s="104"/>
      <c r="AG42" s="104"/>
      <c r="AH42" s="104"/>
      <c r="AI42" s="104"/>
      <c r="AJ42" s="109"/>
      <c r="AK42" s="110"/>
      <c r="AL42" s="111"/>
      <c r="AM42" s="112"/>
      <c r="AN42" s="112"/>
      <c r="AO42" s="110"/>
      <c r="AP42" s="110"/>
      <c r="AQ42" s="110"/>
      <c r="AR42" s="110"/>
      <c r="AS42" s="113"/>
    </row>
    <row r="43" customFormat="false" ht="12.95" hidden="false" customHeight="true" outlineLevel="0" collapsed="false">
      <c r="A43" s="11" t="s">
        <v>79</v>
      </c>
      <c r="B43" s="78"/>
      <c r="C43" s="79"/>
      <c r="D43" s="79"/>
      <c r="E43" s="79"/>
      <c r="F43" s="80" t="n">
        <f aca="false">SUM(F12:F41)</f>
        <v>-1290.14368540459</v>
      </c>
      <c r="G43" s="2" t="n">
        <f aca="false">SUM(G12:G41)</f>
        <v>1950</v>
      </c>
      <c r="H43" s="3" t="n">
        <f aca="false">SUM(H12:H41)</f>
        <v>18.44</v>
      </c>
      <c r="I43" s="2" t="n">
        <f aca="false">SUM(I12:I41)</f>
        <v>1968.44</v>
      </c>
      <c r="J43" s="2" t="n">
        <f aca="false">SUM(J12:J41)</f>
        <v>184.71326443156</v>
      </c>
      <c r="K43" s="2" t="n">
        <f aca="false">SUM(K12:K41)</f>
        <v>2153.15326443156</v>
      </c>
      <c r="L43" s="2" t="n">
        <f aca="false">SUM(L12:L41)</f>
        <v>-155.323685404588</v>
      </c>
      <c r="M43" s="81" t="n">
        <f aca="false">SUM(M12:M41)</f>
        <v>308.5</v>
      </c>
      <c r="N43" s="79" t="n">
        <f aca="false">SUM(N12:N41)</f>
        <v>0</v>
      </c>
      <c r="O43" s="79" t="n">
        <f aca="false">SUM(O12:O41)</f>
        <v>0</v>
      </c>
      <c r="P43" s="82"/>
      <c r="Q43" s="83" t="n">
        <f aca="false">SUM(Q12:Q41)</f>
        <v>47.736</v>
      </c>
      <c r="R43" s="83" t="n">
        <f aca="false">SUM(R12:R41)</f>
        <v>75.553</v>
      </c>
      <c r="S43" s="83" t="n">
        <f aca="false">SUM(S13:S41)</f>
        <v>0</v>
      </c>
      <c r="T43" s="84" t="n">
        <f aca="false">SUM(T13:T41)</f>
        <v>0.00819999999999732</v>
      </c>
      <c r="U43" s="85" t="n">
        <f aca="false">SUM(U12:U41)</f>
        <v>1779.96</v>
      </c>
      <c r="V43" s="85" t="n">
        <f aca="false">SUM(V12:V41)</f>
        <v>84.8</v>
      </c>
      <c r="W43" s="85" t="n">
        <f aca="false">SUM(W12:W41)-AN43</f>
        <v>1620.3</v>
      </c>
      <c r="X43" s="85"/>
      <c r="Y43" s="85"/>
      <c r="Z43" s="85"/>
      <c r="AA43" s="85"/>
      <c r="AB43" s="86"/>
      <c r="AC43" s="87"/>
      <c r="AD43" s="85" t="n">
        <f aca="false">SUM(AD12:AD41)</f>
        <v>930</v>
      </c>
      <c r="AE43" s="85"/>
      <c r="AF43" s="85" t="n">
        <f aca="false">SUM(AF12:AF41)</f>
        <v>0</v>
      </c>
      <c r="AG43" s="85" t="n">
        <f aca="false">SUM(AG12:AG41)</f>
        <v>3103.26</v>
      </c>
      <c r="AH43" s="85" t="n">
        <f aca="false">SUM(AH12:AH41)</f>
        <v>340.036949836148</v>
      </c>
      <c r="AI43" s="85" t="n">
        <f aca="false">SUM(AI12:AI41)</f>
        <v>3443.29694983615</v>
      </c>
      <c r="AJ43" s="88" t="n">
        <f aca="false">SUM(AJ12:AJ41)</f>
        <v>1.24</v>
      </c>
      <c r="AK43" s="89" t="n">
        <f aca="false">AVERAGE(AK12:AK41)</f>
        <v>56.1</v>
      </c>
      <c r="AL43" s="90" t="n">
        <f aca="false">AVERAGE(AL12:AL42)</f>
        <v>23.1333333333333</v>
      </c>
      <c r="AM43" s="91" t="s">
        <v>80</v>
      </c>
      <c r="AN43" s="91" t="n">
        <f aca="false">SUM(AN12:AN41)</f>
        <v>429.6628</v>
      </c>
      <c r="AO43" s="92"/>
      <c r="AP43" s="92"/>
      <c r="AQ43" s="92"/>
      <c r="AS43" s="9"/>
    </row>
    <row r="44" customFormat="false" ht="12.95" hidden="false" customHeight="true" outlineLevel="0" collapsed="false">
      <c r="A44" s="11" t="s">
        <v>81</v>
      </c>
      <c r="B44" s="78"/>
      <c r="C44" s="79"/>
      <c r="D44" s="79" t="n">
        <f aca="false">SUM(D12:D41)</f>
        <v>-2559</v>
      </c>
      <c r="E44" s="79"/>
      <c r="F44" s="80" t="n">
        <f aca="false">F43*$D$2</f>
        <v>-2559</v>
      </c>
      <c r="G44" s="2" t="n">
        <f aca="false">G43*$D$2</f>
        <v>3867.825</v>
      </c>
      <c r="H44" s="3" t="n">
        <f aca="false">H43*$D$2</f>
        <v>36.57574</v>
      </c>
      <c r="I44" s="2" t="n">
        <f aca="false">I43*$D$2</f>
        <v>3904.40074</v>
      </c>
      <c r="J44" s="2" t="n">
        <f aca="false">J43*$D$2</f>
        <v>366.37876</v>
      </c>
      <c r="K44" s="2" t="n">
        <f aca="false">K43*$D$2</f>
        <v>4270.7795</v>
      </c>
      <c r="L44" s="2" t="n">
        <f aca="false">L43*$D$2</f>
        <v>-308.08453</v>
      </c>
      <c r="M44" s="81" t="n">
        <f aca="false">M43*$D$2</f>
        <v>611.90975</v>
      </c>
      <c r="N44" s="79" t="n">
        <f aca="false">N43*$D$2</f>
        <v>0</v>
      </c>
      <c r="O44" s="79" t="n">
        <f aca="false">O43*$D$2</f>
        <v>0</v>
      </c>
      <c r="P44" s="82"/>
      <c r="Q44" s="83" t="n">
        <f aca="false">Q43*$D$2</f>
        <v>94.684356</v>
      </c>
      <c r="R44" s="83" t="n">
        <f aca="false">R43*$D$2</f>
        <v>149.8593755</v>
      </c>
      <c r="S44" s="83" t="n">
        <f aca="false">S43*$D$2</f>
        <v>0</v>
      </c>
      <c r="T44" s="84" t="n">
        <f aca="false">T43*$D$2</f>
        <v>0.0162646999999947</v>
      </c>
      <c r="U44" s="85" t="n">
        <f aca="false">U43*$D$2</f>
        <v>3530.55066</v>
      </c>
      <c r="V44" s="85" t="n">
        <f aca="false">V43*$D$2</f>
        <v>168.2008</v>
      </c>
      <c r="W44" s="85" t="n">
        <f aca="false">W43*$D$2</f>
        <v>3213.86505</v>
      </c>
      <c r="X44" s="85"/>
      <c r="Y44" s="85"/>
      <c r="Z44" s="85"/>
      <c r="AA44" s="85"/>
      <c r="AB44" s="86"/>
      <c r="AC44" s="87"/>
      <c r="AD44" s="85" t="n">
        <f aca="false">AD43*$D$2</f>
        <v>1844.655</v>
      </c>
      <c r="AE44" s="85"/>
      <c r="AF44" s="85" t="n">
        <f aca="false">AF43*$D$2</f>
        <v>0</v>
      </c>
      <c r="AG44" s="85" t="n">
        <f aca="false">AG43*$D$2</f>
        <v>6155.31621</v>
      </c>
      <c r="AH44" s="85" t="n">
        <f aca="false">AH43*$D$2</f>
        <v>674.46329</v>
      </c>
      <c r="AI44" s="131" t="n">
        <f aca="false">AI43*$D$2</f>
        <v>6829.7795</v>
      </c>
      <c r="AJ44" s="132"/>
      <c r="AK44" s="89" t="n">
        <f aca="false">MAX(AK12:AK41)</f>
        <v>69</v>
      </c>
      <c r="AL44" s="90" t="n">
        <f aca="false">MAX(AL12:AL42)</f>
        <v>30</v>
      </c>
      <c r="AM44" s="91" t="s">
        <v>82</v>
      </c>
      <c r="AN44" s="91" t="n">
        <f aca="false">AN43*$D$2</f>
        <v>852.2361638</v>
      </c>
      <c r="AO44" s="92"/>
      <c r="AP44" s="92"/>
      <c r="AQ44" s="92"/>
      <c r="AS44" s="133"/>
    </row>
    <row r="45" customFormat="false" ht="3" hidden="false" customHeight="true" outlineLevel="0" collapsed="false">
      <c r="A45" s="98"/>
      <c r="B45" s="130"/>
      <c r="C45" s="100"/>
      <c r="D45" s="100"/>
      <c r="E45" s="100"/>
      <c r="F45" s="134"/>
      <c r="G45" s="100"/>
      <c r="H45" s="102"/>
      <c r="I45" s="100"/>
      <c r="J45" s="100"/>
      <c r="K45" s="100"/>
      <c r="L45" s="100"/>
      <c r="M45" s="135"/>
      <c r="N45" s="100"/>
      <c r="O45" s="100"/>
      <c r="P45" s="102"/>
      <c r="Q45" s="106"/>
      <c r="R45" s="106"/>
      <c r="S45" s="106"/>
      <c r="T45" s="105"/>
      <c r="U45" s="106"/>
      <c r="V45" s="106"/>
      <c r="W45" s="106"/>
      <c r="X45" s="106"/>
      <c r="Y45" s="106"/>
      <c r="Z45" s="106"/>
      <c r="AA45" s="106"/>
      <c r="AB45" s="136"/>
      <c r="AC45" s="137"/>
      <c r="AD45" s="106"/>
      <c r="AE45" s="104"/>
      <c r="AF45" s="106"/>
      <c r="AG45" s="106"/>
      <c r="AH45" s="106"/>
      <c r="AI45" s="138"/>
      <c r="AJ45" s="106"/>
      <c r="AK45" s="106"/>
      <c r="AL45" s="138"/>
      <c r="AM45" s="112"/>
      <c r="AN45" s="112"/>
      <c r="AO45" s="106"/>
      <c r="AP45" s="106"/>
      <c r="AQ45" s="106"/>
      <c r="AR45" s="106"/>
      <c r="AS45" s="113"/>
    </row>
    <row r="46" customFormat="false" ht="12.95" hidden="false" customHeight="true" outlineLevel="0" collapsed="false">
      <c r="A46" s="11" t="s">
        <v>83</v>
      </c>
      <c r="B46" s="78"/>
      <c r="C46" s="79"/>
      <c r="D46" s="79"/>
      <c r="E46" s="79"/>
      <c r="F46" s="80"/>
      <c r="G46" s="2"/>
      <c r="I46" s="2"/>
      <c r="J46" s="2"/>
      <c r="K46" s="2"/>
      <c r="L46" s="2"/>
      <c r="M46" s="81"/>
      <c r="N46" s="79"/>
      <c r="O46" s="79"/>
      <c r="P46" s="82"/>
      <c r="Q46" s="83"/>
      <c r="R46" s="83"/>
      <c r="S46" s="83"/>
      <c r="T46" s="84"/>
      <c r="U46" s="85"/>
      <c r="V46" s="85"/>
      <c r="W46" s="85"/>
      <c r="X46" s="85"/>
      <c r="Y46" s="85"/>
      <c r="Z46" s="85"/>
      <c r="AA46" s="85"/>
      <c r="AB46" s="86"/>
      <c r="AC46" s="87"/>
      <c r="AD46" s="85"/>
      <c r="AE46" s="85"/>
      <c r="AF46" s="85"/>
      <c r="AG46" s="85"/>
      <c r="AH46" s="85"/>
      <c r="AI46" s="131"/>
      <c r="AJ46" s="132"/>
      <c r="AK46" s="89" t="n">
        <f aca="false">MIN(AK12:AK41)</f>
        <v>36</v>
      </c>
      <c r="AL46" s="90" t="n">
        <f aca="false">MIN(AL12:AL42)</f>
        <v>10</v>
      </c>
      <c r="AM46" s="91" t="s">
        <v>84</v>
      </c>
      <c r="AN46" s="91"/>
      <c r="AO46" s="92"/>
      <c r="AP46" s="92"/>
      <c r="AQ46" s="92"/>
      <c r="AS46" s="1"/>
    </row>
    <row r="47" customFormat="false" ht="12.95" hidden="false" customHeight="true" outlineLevel="0" collapsed="false">
      <c r="A47" s="11" t="s">
        <v>85</v>
      </c>
      <c r="B47" s="78"/>
      <c r="C47" s="79"/>
      <c r="D47" s="79"/>
      <c r="E47" s="79"/>
      <c r="F47" s="80"/>
      <c r="G47" s="2"/>
      <c r="I47" s="2"/>
      <c r="J47" s="2"/>
      <c r="K47" s="2"/>
      <c r="L47" s="2"/>
      <c r="M47" s="81"/>
      <c r="N47" s="79"/>
      <c r="O47" s="79"/>
      <c r="P47" s="82"/>
      <c r="Q47" s="83"/>
      <c r="R47" s="83"/>
      <c r="S47" s="83"/>
      <c r="T47" s="84"/>
      <c r="U47" s="85"/>
      <c r="V47" s="85"/>
      <c r="W47" s="85"/>
      <c r="X47" s="85"/>
      <c r="Y47" s="85"/>
      <c r="Z47" s="85"/>
      <c r="AA47" s="85"/>
      <c r="AB47" s="86"/>
      <c r="AC47" s="87"/>
      <c r="AD47" s="85"/>
      <c r="AE47" s="85"/>
      <c r="AF47" s="85"/>
      <c r="AG47" s="85"/>
      <c r="AH47" s="85"/>
      <c r="AI47" s="85"/>
      <c r="AJ47" s="88"/>
      <c r="AK47" s="89"/>
      <c r="AL47" s="90"/>
      <c r="AM47" s="91"/>
      <c r="AN47" s="91"/>
      <c r="AO47" s="92"/>
      <c r="AP47" s="92"/>
      <c r="AQ47" s="92"/>
      <c r="AS47" s="133"/>
    </row>
    <row r="48" customFormat="false" ht="3" hidden="false" customHeight="true" outlineLevel="0" collapsed="false">
      <c r="A48" s="98"/>
      <c r="B48" s="130"/>
      <c r="C48" s="100"/>
      <c r="D48" s="100"/>
      <c r="E48" s="100"/>
      <c r="F48" s="134"/>
      <c r="G48" s="100"/>
      <c r="H48" s="102"/>
      <c r="I48" s="100"/>
      <c r="J48" s="100"/>
      <c r="K48" s="100"/>
      <c r="L48" s="100"/>
      <c r="M48" s="135"/>
      <c r="N48" s="100"/>
      <c r="O48" s="100"/>
      <c r="P48" s="102"/>
      <c r="Q48" s="106"/>
      <c r="R48" s="106"/>
      <c r="S48" s="106"/>
      <c r="T48" s="105"/>
      <c r="U48" s="106"/>
      <c r="V48" s="106"/>
      <c r="W48" s="106"/>
      <c r="X48" s="106"/>
      <c r="Y48" s="106"/>
      <c r="Z48" s="106"/>
      <c r="AA48" s="106"/>
      <c r="AB48" s="136"/>
      <c r="AC48" s="137"/>
      <c r="AD48" s="106"/>
      <c r="AE48" s="106"/>
      <c r="AF48" s="106"/>
      <c r="AG48" s="106"/>
      <c r="AH48" s="106"/>
      <c r="AI48" s="106"/>
      <c r="AJ48" s="109"/>
      <c r="AK48" s="106"/>
      <c r="AL48" s="138"/>
      <c r="AM48" s="112"/>
      <c r="AN48" s="112"/>
      <c r="AO48" s="106"/>
      <c r="AP48" s="106"/>
      <c r="AQ48" s="106"/>
      <c r="AR48" s="106"/>
      <c r="AS48" s="113"/>
    </row>
    <row r="49" customFormat="false" ht="12.95" hidden="false" customHeight="true" outlineLevel="0" collapsed="false">
      <c r="A49" s="11" t="s">
        <v>86</v>
      </c>
      <c r="B49" s="78"/>
      <c r="C49" s="79"/>
      <c r="D49" s="79"/>
      <c r="E49" s="79"/>
      <c r="F49" s="80" t="n">
        <f aca="false">F10+F43</f>
        <v>-1290.14368540459</v>
      </c>
      <c r="G49" s="2" t="n">
        <f aca="false">G10+G43</f>
        <v>1950</v>
      </c>
      <c r="H49" s="3" t="n">
        <f aca="false">H10+H43</f>
        <v>18.44</v>
      </c>
      <c r="I49" s="2" t="n">
        <f aca="false">I10+I43</f>
        <v>1968.44</v>
      </c>
      <c r="J49" s="2" t="n">
        <f aca="false">J10+J43</f>
        <v>184.71326443156</v>
      </c>
      <c r="K49" s="2" t="n">
        <f aca="false">K10+K43</f>
        <v>2153.15326443156</v>
      </c>
      <c r="L49" s="2" t="n">
        <f aca="false">L10+L43</f>
        <v>-155.323685404588</v>
      </c>
      <c r="M49" s="81" t="n">
        <f aca="false">M10+M43</f>
        <v>308.5</v>
      </c>
      <c r="N49" s="79" t="n">
        <f aca="false">N10+N43</f>
        <v>0</v>
      </c>
      <c r="O49" s="79" t="n">
        <v>0</v>
      </c>
      <c r="P49" s="82"/>
      <c r="Q49" s="83" t="n">
        <f aca="false">Q10+Q43</f>
        <v>47.736</v>
      </c>
      <c r="R49" s="83" t="n">
        <f aca="false">R10+R43</f>
        <v>75.553</v>
      </c>
      <c r="S49" s="83" t="n">
        <f aca="false">S10+S43</f>
        <v>0</v>
      </c>
      <c r="T49" s="84" t="n">
        <f aca="false">T10+T43</f>
        <v>0.00819999999999732</v>
      </c>
      <c r="U49" s="85" t="n">
        <f aca="false">U10+U43</f>
        <v>1779.96</v>
      </c>
      <c r="V49" s="85" t="n">
        <f aca="false">V10+V43</f>
        <v>84.8</v>
      </c>
      <c r="W49" s="85" t="n">
        <f aca="false">W10+W43</f>
        <v>1620.3</v>
      </c>
      <c r="X49" s="85"/>
      <c r="Y49" s="85"/>
      <c r="Z49" s="85"/>
      <c r="AA49" s="85"/>
      <c r="AB49" s="86"/>
      <c r="AC49" s="87"/>
      <c r="AD49" s="85" t="n">
        <f aca="false">AD10+AD43</f>
        <v>930</v>
      </c>
      <c r="AE49" s="85" t="n">
        <f aca="false">AE41</f>
        <v>4009</v>
      </c>
      <c r="AF49" s="85" t="n">
        <f aca="false">AF10+AF43</f>
        <v>0</v>
      </c>
      <c r="AG49" s="85" t="n">
        <f aca="false">AG10+AG43</f>
        <v>3103.26</v>
      </c>
      <c r="AH49" s="85" t="n">
        <f aca="false">AH10+AH43</f>
        <v>340.036949836148</v>
      </c>
      <c r="AI49" s="85" t="n">
        <f aca="false">AI10+AI43</f>
        <v>3443.29694983615</v>
      </c>
      <c r="AJ49" s="88" t="n">
        <f aca="false">AJ10+AJ43</f>
        <v>1.24</v>
      </c>
      <c r="AK49" s="89"/>
      <c r="AL49" s="90"/>
      <c r="AM49" s="91"/>
      <c r="AN49" s="91" t="n">
        <f aca="false">AN10+AN43</f>
        <v>750.6628</v>
      </c>
      <c r="AO49" s="92"/>
      <c r="AP49" s="92"/>
      <c r="AQ49" s="92"/>
      <c r="AS49" s="1"/>
    </row>
    <row r="50" customFormat="false" ht="12.95" hidden="false" customHeight="true" outlineLevel="0" collapsed="false">
      <c r="A50" s="11" t="s">
        <v>87</v>
      </c>
      <c r="B50" s="78"/>
      <c r="C50" s="79"/>
      <c r="D50" s="79" t="n">
        <f aca="false">D10+D44</f>
        <v>-2559</v>
      </c>
      <c r="E50" s="79" t="n">
        <f aca="false">E41</f>
        <v>133320</v>
      </c>
      <c r="F50" s="80" t="n">
        <f aca="false">F49*$D$2</f>
        <v>-2559</v>
      </c>
      <c r="G50" s="2" t="n">
        <f aca="false">G49*$D$2</f>
        <v>3867.825</v>
      </c>
      <c r="H50" s="3" t="n">
        <f aca="false">H49*$D$2</f>
        <v>36.57574</v>
      </c>
      <c r="I50" s="2" t="n">
        <f aca="false">I49*$D$2</f>
        <v>3904.40074</v>
      </c>
      <c r="J50" s="2" t="n">
        <f aca="false">J49*$D$2</f>
        <v>366.37876</v>
      </c>
      <c r="K50" s="2" t="n">
        <f aca="false">K49*$D$2</f>
        <v>4270.7795</v>
      </c>
      <c r="L50" s="2" t="n">
        <f aca="false">L49*$D$2</f>
        <v>-308.08453</v>
      </c>
      <c r="M50" s="81" t="n">
        <f aca="false">M49*$D$2</f>
        <v>611.90975</v>
      </c>
      <c r="N50" s="79" t="n">
        <f aca="false">N49*$D$2</f>
        <v>0</v>
      </c>
      <c r="O50" s="79" t="n">
        <f aca="false">O49*$D$2</f>
        <v>0</v>
      </c>
      <c r="P50" s="82"/>
      <c r="Q50" s="83" t="n">
        <f aca="false">Q49*$D$2</f>
        <v>94.684356</v>
      </c>
      <c r="R50" s="83" t="n">
        <f aca="false">R49*$D$2</f>
        <v>149.8593755</v>
      </c>
      <c r="S50" s="83" t="n">
        <f aca="false">S49*$D$2</f>
        <v>0</v>
      </c>
      <c r="T50" s="84" t="n">
        <f aca="false">T49*$D$2</f>
        <v>0.0162646999999947</v>
      </c>
      <c r="U50" s="85" t="n">
        <f aca="false">U49*$D$2</f>
        <v>3530.55066</v>
      </c>
      <c r="V50" s="85" t="n">
        <f aca="false">V49*$D$2</f>
        <v>168.2008</v>
      </c>
      <c r="W50" s="85" t="n">
        <f aca="false">W49*$D$2</f>
        <v>3213.86505</v>
      </c>
      <c r="X50" s="85"/>
      <c r="Y50" s="85"/>
      <c r="Z50" s="85"/>
      <c r="AA50" s="85"/>
      <c r="AB50" s="86"/>
      <c r="AC50" s="87"/>
      <c r="AD50" s="85" t="n">
        <f aca="false">AD49*$D$2</f>
        <v>1844.655</v>
      </c>
      <c r="AE50" s="85" t="n">
        <f aca="false">AE49*$D$2</f>
        <v>7951.8515</v>
      </c>
      <c r="AF50" s="85" t="n">
        <f aca="false">AF49*$D$2</f>
        <v>0</v>
      </c>
      <c r="AG50" s="85" t="n">
        <f aca="false">AG49*$D$2</f>
        <v>6155.31621</v>
      </c>
      <c r="AH50" s="85" t="n">
        <f aca="false">AH49*$D$2</f>
        <v>674.46329</v>
      </c>
      <c r="AI50" s="85" t="n">
        <f aca="false">AI49*$D$2</f>
        <v>6829.7795</v>
      </c>
      <c r="AJ50" s="88"/>
      <c r="AK50" s="89"/>
      <c r="AL50" s="139"/>
      <c r="AM50" s="91" t="n">
        <f aca="false">AM41</f>
        <v>3213.86505</v>
      </c>
      <c r="AN50" s="91" t="n">
        <f aca="false">AN49*$D$2</f>
        <v>1488.9396638</v>
      </c>
      <c r="AO50" s="92"/>
      <c r="AP50" s="92"/>
      <c r="AQ50" s="92"/>
    </row>
    <row r="51" customFormat="false" ht="3" hidden="false" customHeight="true" outlineLevel="0" collapsed="false">
      <c r="A51" s="98"/>
      <c r="B51" s="130"/>
      <c r="C51" s="100"/>
      <c r="D51" s="98"/>
      <c r="E51" s="100"/>
      <c r="F51" s="101"/>
      <c r="G51" s="98"/>
      <c r="H51" s="102"/>
      <c r="I51" s="98"/>
      <c r="J51" s="98"/>
      <c r="K51" s="98"/>
      <c r="L51" s="98"/>
      <c r="M51" s="103"/>
      <c r="N51" s="98"/>
      <c r="O51" s="98"/>
      <c r="P51" s="102"/>
      <c r="Q51" s="98"/>
      <c r="R51" s="98"/>
      <c r="S51" s="140"/>
      <c r="T51" s="105"/>
      <c r="U51" s="98"/>
      <c r="V51" s="98"/>
      <c r="W51" s="98"/>
      <c r="X51" s="100"/>
      <c r="Y51" s="100"/>
      <c r="Z51" s="100"/>
      <c r="AA51" s="98"/>
      <c r="AB51" s="103"/>
      <c r="AC51" s="140"/>
      <c r="AD51" s="98"/>
      <c r="AE51" s="100"/>
      <c r="AF51" s="100"/>
      <c r="AG51" s="98"/>
      <c r="AH51" s="98"/>
      <c r="AI51" s="98"/>
      <c r="AJ51" s="98"/>
      <c r="AK51" s="98"/>
      <c r="AL51" s="98"/>
      <c r="AM51" s="141"/>
      <c r="AN51" s="141"/>
      <c r="AO51" s="98"/>
      <c r="AP51" s="142"/>
      <c r="AQ51" s="143"/>
      <c r="AR51" s="143"/>
      <c r="AS51" s="113"/>
    </row>
    <row r="52" customFormat="false" ht="14.1" hidden="false" customHeight="true" outlineLevel="0" collapsed="false">
      <c r="A52" s="144"/>
      <c r="B52" s="145"/>
      <c r="D52" s="11"/>
      <c r="F52" s="11"/>
      <c r="G52" s="11"/>
      <c r="I52" s="11"/>
      <c r="J52" s="11"/>
      <c r="K52" s="11"/>
      <c r="L52" s="11"/>
      <c r="M52" s="11"/>
      <c r="N52" s="11"/>
      <c r="O52" s="11"/>
      <c r="Q52" s="11"/>
      <c r="R52" s="11"/>
      <c r="S52" s="11"/>
      <c r="U52" s="11"/>
      <c r="V52" s="11"/>
      <c r="W52" s="11"/>
      <c r="X52" s="2"/>
      <c r="Y52" s="2"/>
      <c r="Z52" s="2"/>
      <c r="AA52" s="11"/>
      <c r="AB52" s="11"/>
      <c r="AC52" s="11"/>
      <c r="AD52" s="11"/>
      <c r="AE52" s="2"/>
      <c r="AF52" s="2"/>
      <c r="AG52" s="11"/>
      <c r="AH52" s="11"/>
      <c r="AL52" s="7"/>
      <c r="AM52" s="77"/>
      <c r="AN52" s="77"/>
      <c r="AS52" s="9"/>
    </row>
    <row r="53" customFormat="false" ht="11.1" hidden="false" customHeight="true" outlineLevel="0" collapsed="false">
      <c r="A53" s="11"/>
      <c r="B53" s="146"/>
      <c r="F53" s="11"/>
      <c r="G53" s="11"/>
      <c r="I53" s="147"/>
      <c r="J53" s="11"/>
      <c r="K53" s="148"/>
      <c r="L53" s="11"/>
      <c r="M53" s="11"/>
      <c r="N53" s="11"/>
      <c r="O53" s="11"/>
      <c r="Q53" s="11"/>
      <c r="R53" s="11"/>
      <c r="S53" s="11"/>
      <c r="U53" s="11"/>
      <c r="V53" s="11"/>
      <c r="W53" s="11"/>
      <c r="X53" s="2"/>
      <c r="Y53" s="2"/>
      <c r="Z53" s="2"/>
      <c r="AA53" s="11"/>
      <c r="AB53" s="11"/>
      <c r="AC53" s="11"/>
      <c r="AD53" s="11"/>
      <c r="AE53" s="2"/>
      <c r="AF53" s="2"/>
      <c r="AG53" s="11"/>
      <c r="AH53" s="11"/>
      <c r="AL53" s="7"/>
      <c r="AM53" s="77"/>
      <c r="AN53" s="77"/>
      <c r="AS53" s="1"/>
    </row>
    <row r="54" customFormat="false" ht="11.1" hidden="false" customHeight="true" outlineLevel="0" collapsed="false">
      <c r="D54" s="2"/>
      <c r="S54" s="4"/>
      <c r="W54" s="1"/>
      <c r="X54" s="2"/>
      <c r="Y54" s="2"/>
      <c r="Z54" s="2"/>
      <c r="AB54" s="1"/>
      <c r="AC54" s="1"/>
      <c r="AD54" s="1"/>
      <c r="AE54" s="2"/>
      <c r="AF54" s="2"/>
      <c r="AL54" s="7"/>
      <c r="AM54" s="77"/>
      <c r="AN54" s="77"/>
    </row>
    <row r="55" customFormat="false" ht="11.1" hidden="false" customHeight="true" outlineLevel="0" collapsed="false">
      <c r="B55" s="3"/>
      <c r="D55" s="2"/>
      <c r="S55" s="4"/>
      <c r="W55" s="1"/>
      <c r="X55" s="2"/>
      <c r="Y55" s="2"/>
      <c r="Z55" s="2"/>
      <c r="AB55" s="1"/>
      <c r="AC55" s="1"/>
      <c r="AD55" s="1"/>
      <c r="AE55" s="2"/>
      <c r="AF55" s="2"/>
      <c r="AL55" s="7"/>
      <c r="AM55" s="77"/>
      <c r="AN55" s="77"/>
    </row>
    <row r="56" customFormat="false" ht="11.1" hidden="false" customHeight="true" outlineLevel="0" collapsed="false">
      <c r="G56" s="149"/>
    </row>
  </sheetData>
  <mergeCells count="1">
    <mergeCell ref="M5:S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32" activePane="bottomRight" state="frozen"/>
      <selection pane="topLeft" activeCell="A1" activeCellId="0" sqref="A1"/>
      <selection pane="topRight" activeCell="F1" activeCellId="0" sqref="F1"/>
      <selection pane="bottomLeft" activeCell="A32" activeCellId="0" sqref="A32"/>
      <selection pane="bottomRight" activeCell="T51" activeCellId="0" sqref="T51"/>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150"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9" min="17" style="10" width="4.32"/>
    <col collapsed="false" customWidth="true" hidden="false" outlineLevel="0" max="20" min="20" style="150" width="5.49"/>
    <col collapsed="false" customWidth="true" hidden="false" outlineLevel="0" max="22" min="21" style="10" width="5.49"/>
    <col collapsed="false" customWidth="true" hidden="false" outlineLevel="0" max="23" min="23" style="96" width="6.32"/>
    <col collapsed="false" customWidth="true" hidden="false" outlineLevel="0" max="24" min="24" style="151" width="5.49"/>
    <col collapsed="false" customWidth="true" hidden="false" outlineLevel="0" max="25" min="25" style="151" width="5.66"/>
    <col collapsed="false" customWidth="true" hidden="false" outlineLevel="0" max="29" min="26" style="10" width="5.49"/>
    <col collapsed="false" customWidth="true" hidden="false" outlineLevel="0" max="30" min="30" style="96" width="6.82"/>
    <col collapsed="false" customWidth="true" hidden="false" outlineLevel="0" max="31" min="31" style="10" width="5.49"/>
    <col collapsed="false" customWidth="true" hidden="false" outlineLevel="0" max="32" min="32" style="152" width="6.32"/>
    <col collapsed="false" customWidth="true" hidden="false" outlineLevel="0" max="33" min="33" style="10" width="6.32"/>
    <col collapsed="false" customWidth="true" hidden="false" outlineLevel="0" max="34" min="34" style="10" width="6.99"/>
    <col collapsed="false" customWidth="true" hidden="false" outlineLevel="0" max="35" min="35" style="150" width="6.99"/>
    <col collapsed="false" customWidth="true" hidden="false" outlineLevel="0" max="36" min="36" style="153" width="5.32"/>
    <col collapsed="false" customWidth="true" hidden="false" outlineLevel="0" max="37" min="37" style="154" width="3.82"/>
    <col collapsed="false" customWidth="true" hidden="false" outlineLevel="0" max="38" min="38" style="155" width="3.82"/>
    <col collapsed="false" customWidth="true" hidden="false" outlineLevel="0" max="39" min="39" style="10" width="5.49"/>
    <col collapsed="false" customWidth="true" hidden="false" outlineLevel="0" max="40" min="40" style="151" width="5.49"/>
    <col collapsed="false" customWidth="true" hidden="false" outlineLevel="0" max="41" min="41" style="10" width="6.32"/>
    <col collapsed="false" customWidth="true" hidden="false" outlineLevel="0" max="43" min="42" style="156" width="6.32"/>
    <col collapsed="false" customWidth="true" hidden="false" outlineLevel="0" max="44" min="44" style="156" width="5.82"/>
    <col collapsed="false" customWidth="true" hidden="false" outlineLevel="0" max="45" min="45" style="10"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N1" s="158"/>
      <c r="O1" s="158"/>
      <c r="Q1" s="158"/>
      <c r="R1" s="158"/>
      <c r="S1" s="158"/>
      <c r="U1" s="158"/>
      <c r="V1" s="158"/>
      <c r="Z1" s="158"/>
      <c r="AA1" s="158"/>
      <c r="AB1" s="158"/>
      <c r="AC1" s="158"/>
      <c r="AE1" s="158"/>
      <c r="AF1" s="160"/>
      <c r="AG1" s="158"/>
      <c r="AH1" s="158"/>
    </row>
    <row r="2" customFormat="false" ht="14.1" hidden="false" customHeight="true" outlineLevel="0" collapsed="false">
      <c r="A2" s="160" t="s">
        <v>1</v>
      </c>
      <c r="B2" s="158"/>
      <c r="D2" s="161" t="n">
        <v>1.9835</v>
      </c>
      <c r="F2" s="158"/>
      <c r="G2" s="158"/>
      <c r="I2" s="158"/>
      <c r="J2" s="158"/>
      <c r="K2" s="162" t="s">
        <v>88</v>
      </c>
      <c r="L2" s="162"/>
      <c r="M2" s="162"/>
      <c r="N2" s="162"/>
      <c r="O2" s="162"/>
      <c r="P2" s="162"/>
      <c r="Q2" s="162"/>
      <c r="R2" s="162"/>
      <c r="S2" s="162"/>
      <c r="T2" s="162"/>
      <c r="U2" s="162"/>
      <c r="V2" s="162"/>
      <c r="W2" s="162"/>
      <c r="X2" s="162"/>
      <c r="Y2" s="162"/>
      <c r="Z2" s="162"/>
      <c r="AA2" s="158"/>
      <c r="AB2" s="158"/>
      <c r="AC2" s="158"/>
      <c r="AE2" s="158"/>
      <c r="AF2" s="160"/>
      <c r="AG2" s="158"/>
      <c r="AH2" s="158"/>
    </row>
    <row r="3" customFormat="false" ht="14.1" hidden="false" customHeight="true" outlineLevel="0" collapsed="false">
      <c r="A3" s="163"/>
      <c r="B3" s="163"/>
      <c r="C3" s="164"/>
      <c r="D3" s="165"/>
      <c r="E3" s="164"/>
      <c r="F3" s="163"/>
      <c r="G3" s="163"/>
      <c r="H3" s="166"/>
      <c r="I3" s="163"/>
      <c r="J3" s="163"/>
      <c r="K3" s="163"/>
      <c r="L3" s="163"/>
      <c r="M3" s="163"/>
      <c r="N3" s="163"/>
      <c r="O3" s="163"/>
      <c r="P3" s="166"/>
      <c r="Q3" s="163"/>
      <c r="R3" s="163"/>
      <c r="S3" s="163"/>
      <c r="T3" s="166"/>
      <c r="U3" s="163"/>
      <c r="V3" s="163"/>
      <c r="W3" s="164"/>
      <c r="X3" s="167"/>
      <c r="Y3" s="167"/>
      <c r="Z3" s="163"/>
      <c r="AA3" s="163"/>
      <c r="AB3" s="163"/>
      <c r="AC3" s="163"/>
      <c r="AD3" s="164"/>
      <c r="AE3" s="163"/>
      <c r="AF3" s="168"/>
      <c r="AG3" s="163"/>
      <c r="AH3" s="163"/>
      <c r="AI3" s="166"/>
      <c r="AJ3" s="169"/>
      <c r="AK3" s="170"/>
      <c r="AL3" s="171"/>
      <c r="AM3" s="172"/>
      <c r="AN3" s="167"/>
      <c r="AO3" s="172"/>
      <c r="AP3" s="173"/>
    </row>
    <row r="4" s="10" customFormat="true" ht="14.1" hidden="false" customHeight="true" outlineLevel="0" collapsed="false">
      <c r="A4" s="158"/>
      <c r="B4" s="174"/>
      <c r="C4" s="175"/>
      <c r="D4" s="176" t="s">
        <v>3</v>
      </c>
      <c r="E4" s="175"/>
      <c r="F4" s="177"/>
      <c r="G4" s="158"/>
      <c r="H4" s="150"/>
      <c r="I4" s="158"/>
      <c r="J4" s="158"/>
      <c r="K4" s="158"/>
      <c r="L4" s="158"/>
      <c r="M4" s="158"/>
      <c r="N4" s="158"/>
      <c r="O4" s="158"/>
      <c r="P4" s="150"/>
      <c r="Q4" s="158"/>
      <c r="R4" s="158"/>
      <c r="S4" s="158"/>
      <c r="T4" s="150"/>
      <c r="U4" s="178" t="s">
        <v>4</v>
      </c>
      <c r="V4" s="158"/>
      <c r="W4" s="96"/>
      <c r="X4" s="151"/>
      <c r="Y4" s="151"/>
      <c r="Z4" s="158"/>
      <c r="AA4" s="158"/>
      <c r="AB4" s="158"/>
      <c r="AC4" s="158"/>
      <c r="AD4" s="96"/>
      <c r="AE4" s="158"/>
      <c r="AF4" s="160"/>
      <c r="AG4" s="158"/>
      <c r="AH4" s="158"/>
      <c r="AI4" s="150"/>
      <c r="AJ4" s="179"/>
      <c r="AK4" s="180" t="s">
        <v>5</v>
      </c>
      <c r="AL4" s="181"/>
      <c r="AN4" s="151"/>
      <c r="AO4" s="182" t="s">
        <v>6</v>
      </c>
      <c r="AP4" s="156"/>
      <c r="AQ4" s="183"/>
      <c r="AR4" s="183"/>
      <c r="AS4" s="37"/>
    </row>
    <row r="5" customFormat="false" ht="12.95" hidden="false" customHeight="true" outlineLevel="0" collapsed="false">
      <c r="A5" s="184" t="s">
        <v>7</v>
      </c>
      <c r="B5" s="185" t="s">
        <v>8</v>
      </c>
      <c r="C5" s="186" t="s">
        <v>8</v>
      </c>
      <c r="D5" s="184" t="s">
        <v>9</v>
      </c>
      <c r="E5" s="186" t="s">
        <v>10</v>
      </c>
      <c r="F5" s="187" t="s">
        <v>11</v>
      </c>
      <c r="G5" s="184" t="s">
        <v>12</v>
      </c>
      <c r="H5" s="188" t="s">
        <v>13</v>
      </c>
      <c r="I5" s="184" t="s">
        <v>14</v>
      </c>
      <c r="J5" s="184" t="s">
        <v>15</v>
      </c>
      <c r="K5" s="184" t="s">
        <v>16</v>
      </c>
      <c r="L5" s="184" t="s">
        <v>15</v>
      </c>
      <c r="M5" s="189" t="s">
        <v>17</v>
      </c>
      <c r="N5" s="189"/>
      <c r="O5" s="189"/>
      <c r="P5" s="189"/>
      <c r="Q5" s="189"/>
      <c r="R5" s="189"/>
      <c r="S5" s="189"/>
      <c r="T5" s="189"/>
      <c r="U5" s="184" t="s">
        <v>18</v>
      </c>
      <c r="V5" s="184" t="s">
        <v>19</v>
      </c>
      <c r="W5" s="184" t="s">
        <v>16</v>
      </c>
      <c r="X5" s="190" t="s">
        <v>20</v>
      </c>
      <c r="Y5" s="190" t="s">
        <v>21</v>
      </c>
      <c r="Z5" s="186" t="s">
        <v>20</v>
      </c>
      <c r="AA5" s="184" t="s">
        <v>22</v>
      </c>
      <c r="AB5" s="191" t="s">
        <v>89</v>
      </c>
      <c r="AC5" s="192"/>
      <c r="AD5" s="184" t="s">
        <v>24</v>
      </c>
      <c r="AE5" s="186" t="s">
        <v>25</v>
      </c>
      <c r="AF5" s="186" t="s">
        <v>26</v>
      </c>
      <c r="AG5" s="184" t="s">
        <v>14</v>
      </c>
      <c r="AH5" s="184" t="s">
        <v>15</v>
      </c>
      <c r="AI5" s="184" t="s">
        <v>16</v>
      </c>
      <c r="AJ5" s="193" t="s">
        <v>27</v>
      </c>
      <c r="AK5" s="194" t="s">
        <v>28</v>
      </c>
      <c r="AL5" s="195" t="s">
        <v>29</v>
      </c>
      <c r="AM5" s="194" t="s">
        <v>90</v>
      </c>
      <c r="AN5" s="190" t="s">
        <v>20</v>
      </c>
      <c r="AO5" s="56" t="s">
        <v>91</v>
      </c>
      <c r="AP5" s="56" t="s">
        <v>20</v>
      </c>
      <c r="AQ5" s="56" t="s">
        <v>31</v>
      </c>
      <c r="AR5" s="56" t="s">
        <v>32</v>
      </c>
      <c r="AS5" s="56" t="s">
        <v>33</v>
      </c>
    </row>
    <row r="6" customFormat="false" ht="12.95" hidden="false" customHeight="true" outlineLevel="0" collapsed="false">
      <c r="A6" s="196" t="s">
        <v>92</v>
      </c>
      <c r="B6" s="185" t="s">
        <v>35</v>
      </c>
      <c r="C6" s="186" t="s">
        <v>9</v>
      </c>
      <c r="D6" s="184" t="s">
        <v>36</v>
      </c>
      <c r="E6" s="186" t="s">
        <v>37</v>
      </c>
      <c r="F6" s="187" t="s">
        <v>38</v>
      </c>
      <c r="G6" s="184" t="s">
        <v>39</v>
      </c>
      <c r="H6" s="188" t="s">
        <v>40</v>
      </c>
      <c r="I6" s="184" t="s">
        <v>41</v>
      </c>
      <c r="J6" s="184" t="s">
        <v>41</v>
      </c>
      <c r="K6" s="184" t="s">
        <v>41</v>
      </c>
      <c r="L6" s="184" t="s">
        <v>42</v>
      </c>
      <c r="M6" s="197" t="s">
        <v>43</v>
      </c>
      <c r="N6" s="184" t="s">
        <v>44</v>
      </c>
      <c r="O6" s="184" t="s">
        <v>93</v>
      </c>
      <c r="P6" s="188" t="s">
        <v>46</v>
      </c>
      <c r="Q6" s="184" t="s">
        <v>47</v>
      </c>
      <c r="R6" s="184" t="s">
        <v>48</v>
      </c>
      <c r="S6" s="184" t="s">
        <v>49</v>
      </c>
      <c r="T6" s="198" t="s">
        <v>50</v>
      </c>
      <c r="U6" s="184" t="s">
        <v>51</v>
      </c>
      <c r="V6" s="184" t="s">
        <v>52</v>
      </c>
      <c r="W6" s="184" t="s">
        <v>20</v>
      </c>
      <c r="X6" s="190" t="s">
        <v>94</v>
      </c>
      <c r="Y6" s="190" t="s">
        <v>54</v>
      </c>
      <c r="Z6" s="186" t="s">
        <v>55</v>
      </c>
      <c r="AA6" s="184" t="s">
        <v>56</v>
      </c>
      <c r="AB6" s="197"/>
      <c r="AC6" s="199"/>
      <c r="AD6" s="184" t="s">
        <v>58</v>
      </c>
      <c r="AE6" s="186" t="s">
        <v>59</v>
      </c>
      <c r="AF6" s="186"/>
      <c r="AG6" s="184" t="s">
        <v>60</v>
      </c>
      <c r="AH6" s="184" t="s">
        <v>60</v>
      </c>
      <c r="AI6" s="184" t="s">
        <v>60</v>
      </c>
      <c r="AJ6" s="200"/>
      <c r="AK6" s="194" t="s">
        <v>61</v>
      </c>
      <c r="AL6" s="195" t="s">
        <v>61</v>
      </c>
      <c r="AM6" s="194" t="s">
        <v>62</v>
      </c>
      <c r="AN6" s="190" t="s">
        <v>63</v>
      </c>
      <c r="AO6" s="56" t="s">
        <v>64</v>
      </c>
      <c r="AP6" s="56" t="s">
        <v>64</v>
      </c>
      <c r="AQ6" s="56" t="s">
        <v>65</v>
      </c>
      <c r="AR6" s="56" t="s">
        <v>66</v>
      </c>
      <c r="AS6" s="56" t="s">
        <v>67</v>
      </c>
    </row>
    <row r="7" customFormat="false" ht="12.95" hidden="false" customHeight="true" outlineLevel="0" collapsed="false">
      <c r="A7" s="201"/>
      <c r="B7" s="202"/>
      <c r="C7" s="203"/>
      <c r="D7" s="201"/>
      <c r="E7" s="186" t="s">
        <v>68</v>
      </c>
      <c r="F7" s="204"/>
      <c r="G7" s="201"/>
      <c r="H7" s="205"/>
      <c r="I7" s="201"/>
      <c r="J7" s="201"/>
      <c r="K7" s="201"/>
      <c r="L7" s="201"/>
      <c r="M7" s="206"/>
      <c r="N7" s="184" t="s">
        <v>69</v>
      </c>
      <c r="O7" s="184" t="s">
        <v>70</v>
      </c>
      <c r="P7" s="188"/>
      <c r="Q7" s="184"/>
      <c r="R7" s="184"/>
      <c r="S7" s="184" t="s">
        <v>45</v>
      </c>
      <c r="T7" s="198" t="s">
        <v>26</v>
      </c>
      <c r="U7" s="201"/>
      <c r="V7" s="201"/>
      <c r="W7" s="201"/>
      <c r="X7" s="190"/>
      <c r="Y7" s="190"/>
      <c r="Z7" s="186"/>
      <c r="AA7" s="201"/>
      <c r="AB7" s="206"/>
      <c r="AC7" s="207"/>
      <c r="AD7" s="201"/>
      <c r="AE7" s="203"/>
      <c r="AF7" s="186"/>
      <c r="AG7" s="201"/>
      <c r="AH7" s="201"/>
      <c r="AI7" s="201"/>
      <c r="AJ7" s="208"/>
      <c r="AK7" s="194"/>
      <c r="AL7" s="209"/>
      <c r="AM7" s="194" t="s">
        <v>71</v>
      </c>
      <c r="AN7" s="190" t="s">
        <v>38</v>
      </c>
      <c r="AO7" s="56" t="s">
        <v>72</v>
      </c>
      <c r="AP7" s="56" t="s">
        <v>95</v>
      </c>
      <c r="AQ7" s="56" t="s">
        <v>74</v>
      </c>
      <c r="AR7" s="56" t="s">
        <v>75</v>
      </c>
      <c r="AS7" s="56" t="s">
        <v>57</v>
      </c>
    </row>
    <row r="8" customFormat="false" ht="12.95" hidden="false" customHeight="true" outlineLevel="0" collapsed="false">
      <c r="A8" s="201"/>
      <c r="B8" s="202"/>
      <c r="C8" s="203"/>
      <c r="D8" s="201"/>
      <c r="E8" s="203"/>
      <c r="F8" s="204"/>
      <c r="G8" s="201"/>
      <c r="H8" s="205"/>
      <c r="I8" s="201"/>
      <c r="J8" s="201"/>
      <c r="K8" s="201"/>
      <c r="L8" s="201"/>
      <c r="M8" s="206"/>
      <c r="N8" s="210" t="n">
        <v>1.03</v>
      </c>
      <c r="O8" s="210" t="n">
        <v>1.05</v>
      </c>
      <c r="P8" s="188" t="n">
        <v>1.02</v>
      </c>
      <c r="Q8" s="210" t="n">
        <v>1.02</v>
      </c>
      <c r="R8" s="210" t="n">
        <v>1.04</v>
      </c>
      <c r="S8" s="184" t="s">
        <v>55</v>
      </c>
      <c r="T8" s="198"/>
      <c r="U8" s="201"/>
      <c r="V8" s="201"/>
      <c r="W8" s="201"/>
      <c r="X8" s="211"/>
      <c r="Y8" s="211"/>
      <c r="Z8" s="186"/>
      <c r="AA8" s="201"/>
      <c r="AB8" s="206"/>
      <c r="AC8" s="207"/>
      <c r="AD8" s="201"/>
      <c r="AE8" s="203"/>
      <c r="AF8" s="186"/>
      <c r="AG8" s="201"/>
      <c r="AH8" s="201"/>
      <c r="AI8" s="201"/>
      <c r="AJ8" s="208"/>
      <c r="AK8" s="155"/>
      <c r="AL8" s="209"/>
      <c r="AM8" s="155"/>
      <c r="AN8" s="211"/>
      <c r="AO8" s="56"/>
      <c r="AP8" s="56" t="s">
        <v>71</v>
      </c>
      <c r="AQ8" s="212"/>
      <c r="AR8" s="212"/>
      <c r="AS8" s="212"/>
    </row>
    <row r="9" customFormat="false" ht="12.95" hidden="false" customHeight="true" outlineLevel="0" collapsed="false">
      <c r="A9" s="160" t="s">
        <v>77</v>
      </c>
      <c r="B9" s="213"/>
      <c r="C9" s="95"/>
      <c r="D9" s="95"/>
      <c r="E9" s="95"/>
      <c r="F9" s="214"/>
      <c r="G9" s="95"/>
      <c r="H9" s="215"/>
      <c r="I9" s="95"/>
      <c r="J9" s="95"/>
      <c r="K9" s="95"/>
      <c r="L9" s="95"/>
      <c r="M9" s="216"/>
      <c r="N9" s="95"/>
      <c r="O9" s="95"/>
      <c r="P9" s="215"/>
      <c r="Q9" s="95"/>
      <c r="R9" s="95"/>
      <c r="S9" s="95"/>
      <c r="T9" s="217"/>
      <c r="U9" s="95"/>
      <c r="V9" s="95"/>
      <c r="W9" s="95"/>
      <c r="X9" s="218"/>
      <c r="Y9" s="218"/>
      <c r="Z9" s="95"/>
      <c r="AA9" s="95"/>
      <c r="AB9" s="216"/>
      <c r="AC9" s="219"/>
      <c r="AD9" s="95"/>
      <c r="AE9" s="95"/>
      <c r="AF9" s="220"/>
      <c r="AG9" s="95"/>
      <c r="AH9" s="95"/>
      <c r="AI9" s="95"/>
      <c r="AJ9" s="221"/>
      <c r="AK9" s="133"/>
      <c r="AL9" s="222"/>
      <c r="AM9" s="133"/>
      <c r="AN9" s="218"/>
      <c r="AO9" s="223"/>
    </row>
    <row r="10" s="228" customFormat="true" ht="12.95" hidden="false" customHeight="true" outlineLevel="0" collapsed="false">
      <c r="A10" s="224" t="s">
        <v>78</v>
      </c>
      <c r="B10" s="94" t="n">
        <f aca="false">NOV!B41</f>
        <v>6900.47</v>
      </c>
      <c r="C10" s="95" t="n">
        <f aca="false">NOV!C41</f>
        <v>285320</v>
      </c>
      <c r="D10" s="95" t="n">
        <f aca="false">NOV!D50</f>
        <v>-2559</v>
      </c>
      <c r="E10" s="95" t="n">
        <f aca="false">NOV!E50</f>
        <v>133320</v>
      </c>
      <c r="F10" s="214" t="n">
        <f aca="false">NOV!F49</f>
        <v>-1290.14368540459</v>
      </c>
      <c r="G10" s="95" t="n">
        <f aca="false">NOV!G49</f>
        <v>1950</v>
      </c>
      <c r="H10" s="215" t="n">
        <f aca="false">NOV!H49</f>
        <v>18.44</v>
      </c>
      <c r="I10" s="95" t="n">
        <f aca="false">NOV!I49</f>
        <v>1968.44</v>
      </c>
      <c r="J10" s="95" t="n">
        <f aca="false">NOV!J49</f>
        <v>184.71326443156</v>
      </c>
      <c r="K10" s="95" t="n">
        <f aca="false">NOV!K49</f>
        <v>2153.15326443156</v>
      </c>
      <c r="L10" s="95" t="n">
        <f aca="false">NOV!L49</f>
        <v>-155.323685404588</v>
      </c>
      <c r="M10" s="216" t="n">
        <f aca="false">NOV!M49</f>
        <v>308.5</v>
      </c>
      <c r="N10" s="95" t="n">
        <f aca="false">NOV!N49</f>
        <v>0</v>
      </c>
      <c r="O10" s="95" t="n">
        <f aca="false">NOV!O49</f>
        <v>0</v>
      </c>
      <c r="P10" s="215"/>
      <c r="Q10" s="95" t="n">
        <f aca="false">NOV!Q49</f>
        <v>47.736</v>
      </c>
      <c r="R10" s="95" t="n">
        <f aca="false">NOV!R49</f>
        <v>75.553</v>
      </c>
      <c r="S10" s="225" t="n">
        <f aca="false">NOV!S49</f>
        <v>0</v>
      </c>
      <c r="T10" s="226" t="n">
        <f aca="false">NOV!T49</f>
        <v>0.00819999999999732</v>
      </c>
      <c r="U10" s="95" t="n">
        <f aca="false">NOV!U49</f>
        <v>1779.96</v>
      </c>
      <c r="V10" s="95" t="n">
        <f aca="false">NOV!V49</f>
        <v>84.8</v>
      </c>
      <c r="W10" s="95" t="n">
        <f aca="false">NOV!W49</f>
        <v>1620.3</v>
      </c>
      <c r="X10" s="218"/>
      <c r="Y10" s="218"/>
      <c r="Z10" s="95"/>
      <c r="AA10" s="95"/>
      <c r="AB10" s="216"/>
      <c r="AC10" s="219"/>
      <c r="AD10" s="95" t="n">
        <f aca="false">NOV!AD49</f>
        <v>930</v>
      </c>
      <c r="AE10" s="95" t="n">
        <f aca="false">NOV!AE49</f>
        <v>4009</v>
      </c>
      <c r="AF10" s="95" t="n">
        <f aca="false">NOV!AF49</f>
        <v>0</v>
      </c>
      <c r="AG10" s="95" t="n">
        <f aca="false">NOV!AG49</f>
        <v>3103.26</v>
      </c>
      <c r="AH10" s="95" t="n">
        <f aca="false">NOV!AH49</f>
        <v>340.036949836148</v>
      </c>
      <c r="AI10" s="95" t="n">
        <f aca="false">NOV!AI49</f>
        <v>3443.29694983615</v>
      </c>
      <c r="AJ10" s="221" t="n">
        <f aca="false">NOV!AJ49</f>
        <v>1.24</v>
      </c>
      <c r="AK10" s="133"/>
      <c r="AL10" s="222"/>
      <c r="AM10" s="133" t="n">
        <f aca="false">NOV!AM50</f>
        <v>3213.86505</v>
      </c>
      <c r="AN10" s="218" t="n">
        <f aca="false">NOV!AN49</f>
        <v>750.6628</v>
      </c>
      <c r="AO10" s="95"/>
      <c r="AP10" s="227"/>
      <c r="AQ10" s="227"/>
      <c r="AR10" s="227"/>
      <c r="AS10" s="96"/>
    </row>
    <row r="11" customFormat="false" ht="3" hidden="false" customHeight="true" outlineLevel="0" collapsed="false">
      <c r="A11" s="229"/>
      <c r="B11" s="230"/>
      <c r="C11" s="231"/>
      <c r="D11" s="232"/>
      <c r="E11" s="231"/>
      <c r="F11" s="233"/>
      <c r="G11" s="232"/>
      <c r="H11" s="234"/>
      <c r="I11" s="232"/>
      <c r="J11" s="232"/>
      <c r="K11" s="232"/>
      <c r="L11" s="232"/>
      <c r="M11" s="235"/>
      <c r="N11" s="232"/>
      <c r="O11" s="232"/>
      <c r="P11" s="234"/>
      <c r="Q11" s="232"/>
      <c r="R11" s="232"/>
      <c r="S11" s="232"/>
      <c r="T11" s="236"/>
      <c r="U11" s="232"/>
      <c r="V11" s="232"/>
      <c r="W11" s="232"/>
      <c r="X11" s="237"/>
      <c r="Y11" s="237"/>
      <c r="Z11" s="231"/>
      <c r="AA11" s="232"/>
      <c r="AB11" s="235"/>
      <c r="AC11" s="238"/>
      <c r="AD11" s="232"/>
      <c r="AE11" s="231"/>
      <c r="AF11" s="231"/>
      <c r="AG11" s="232"/>
      <c r="AH11" s="232"/>
      <c r="AI11" s="232"/>
      <c r="AJ11" s="239"/>
      <c r="AK11" s="240"/>
      <c r="AL11" s="241"/>
      <c r="AM11" s="240"/>
      <c r="AN11" s="237"/>
      <c r="AO11" s="240"/>
      <c r="AP11" s="242"/>
      <c r="AQ11" s="242"/>
      <c r="AR11" s="242"/>
      <c r="AS11" s="240"/>
    </row>
    <row r="12" customFormat="false" ht="12.95" hidden="false" customHeight="true" outlineLevel="0" collapsed="false">
      <c r="A12" s="155" t="n">
        <v>1</v>
      </c>
      <c r="B12" s="94" t="n">
        <v>6900.7</v>
      </c>
      <c r="C12" s="95" t="n">
        <v>286171</v>
      </c>
      <c r="D12" s="133" t="n">
        <f aca="false">C12-C10</f>
        <v>851</v>
      </c>
      <c r="E12" s="95" t="n">
        <f aca="false">C12-152000</f>
        <v>134171</v>
      </c>
      <c r="F12" s="243" t="n">
        <f aca="false">D12/$D$2</f>
        <v>429.039576506176</v>
      </c>
      <c r="G12" s="122" t="n">
        <v>251</v>
      </c>
      <c r="H12" s="215" t="n">
        <v>12</v>
      </c>
      <c r="I12" s="122" t="n">
        <f aca="false">G12+H12</f>
        <v>263</v>
      </c>
      <c r="J12" s="218" t="n">
        <f aca="false">IF(L12&gt;0,L12,0)</f>
        <v>261.139576506176</v>
      </c>
      <c r="K12" s="122" t="n">
        <f aca="false">I12+J12</f>
        <v>524.139576506176</v>
      </c>
      <c r="L12" s="122" t="n">
        <f aca="false">F12-(I12-AG12)</f>
        <v>261.139576506176</v>
      </c>
      <c r="M12" s="244" t="n">
        <v>3.1</v>
      </c>
      <c r="N12" s="122" t="n">
        <v>0</v>
      </c>
      <c r="O12" s="122" t="n">
        <v>0</v>
      </c>
      <c r="P12" s="215" t="n">
        <v>0</v>
      </c>
      <c r="Q12" s="119" t="n">
        <f aca="false">1.38*1.02</f>
        <v>1.4076</v>
      </c>
      <c r="R12" s="119" t="n">
        <v>2.28</v>
      </c>
      <c r="S12" s="119" t="n">
        <v>0</v>
      </c>
      <c r="T12" s="84" t="n">
        <f aca="false">M12-(Q12+R12+S12)</f>
        <v>-0.5876</v>
      </c>
      <c r="U12" s="122" t="n">
        <v>60</v>
      </c>
      <c r="V12" s="122" t="n">
        <v>0</v>
      </c>
      <c r="W12" s="122" t="n">
        <f aca="false">M12-N12-O12-P12-Q12-R12-S12-T12+U12+V12</f>
        <v>60</v>
      </c>
      <c r="X12" s="218"/>
      <c r="Y12" s="218"/>
      <c r="Z12" s="95"/>
      <c r="AA12" s="122" t="n">
        <v>0</v>
      </c>
      <c r="AB12" s="244"/>
      <c r="AC12" s="245"/>
      <c r="AD12" s="122" t="n">
        <v>32</v>
      </c>
      <c r="AE12" s="95" t="n">
        <f aca="false">AE10-AD12</f>
        <v>3977</v>
      </c>
      <c r="AF12" s="95"/>
      <c r="AG12" s="121" t="n">
        <f aca="false">N12+O12+P12+Q12+R12+S12+T12+W12+AA12+AD12</f>
        <v>95.1</v>
      </c>
      <c r="AH12" s="122" t="n">
        <f aca="false">IF(L12&lt;0,L12*-1,0)</f>
        <v>0</v>
      </c>
      <c r="AI12" s="122" t="n">
        <f aca="false">AG12+AH12</f>
        <v>95.1</v>
      </c>
      <c r="AJ12" s="221" t="n">
        <v>0.84</v>
      </c>
      <c r="AK12" s="133" t="n">
        <v>44</v>
      </c>
      <c r="AL12" s="222" t="n">
        <v>33</v>
      </c>
      <c r="AM12" s="133" t="n">
        <f aca="false">AM10+(W12*1.9835)</f>
        <v>3332.87505</v>
      </c>
      <c r="AN12" s="218" t="n">
        <v>0</v>
      </c>
      <c r="AO12" s="223"/>
    </row>
    <row r="13" customFormat="false" ht="12.95" hidden="false" customHeight="true" outlineLevel="0" collapsed="false">
      <c r="A13" s="155" t="n">
        <f aca="false">A12+1</f>
        <v>2</v>
      </c>
      <c r="B13" s="94" t="n">
        <v>6900.77</v>
      </c>
      <c r="C13" s="95" t="n">
        <v>286430</v>
      </c>
      <c r="D13" s="133" t="n">
        <f aca="false">C13-C12</f>
        <v>259</v>
      </c>
      <c r="E13" s="95" t="n">
        <f aca="false">C13-152000</f>
        <v>134430</v>
      </c>
      <c r="F13" s="243" t="n">
        <f aca="false">D13/$D$2</f>
        <v>130.577262414923</v>
      </c>
      <c r="G13" s="122" t="n">
        <v>168</v>
      </c>
      <c r="H13" s="215" t="n">
        <v>6.2</v>
      </c>
      <c r="I13" s="122" t="n">
        <f aca="false">G13+H13</f>
        <v>174.2</v>
      </c>
      <c r="J13" s="218" t="n">
        <f aca="false">IF(L13&gt;0,L13,0)</f>
        <v>51.6772624149231</v>
      </c>
      <c r="K13" s="122" t="n">
        <f aca="false">I13+J13</f>
        <v>225.877262414923</v>
      </c>
      <c r="L13" s="122" t="n">
        <f aca="false">F13-(I13-AG13)</f>
        <v>51.6772624149231</v>
      </c>
      <c r="M13" s="244" t="n">
        <v>3.3</v>
      </c>
      <c r="N13" s="122" t="n">
        <v>0</v>
      </c>
      <c r="O13" s="122" t="n">
        <v>0</v>
      </c>
      <c r="P13" s="215" t="n">
        <v>0</v>
      </c>
      <c r="Q13" s="119" t="n">
        <f aca="false">1.38*1.02</f>
        <v>1.4076</v>
      </c>
      <c r="R13" s="119" t="n">
        <v>2.3</v>
      </c>
      <c r="S13" s="119" t="n">
        <v>0</v>
      </c>
      <c r="T13" s="84" t="n">
        <f aca="false">M13-(Q13+R13+S13)</f>
        <v>-0.4076</v>
      </c>
      <c r="U13" s="122" t="n">
        <v>61</v>
      </c>
      <c r="V13" s="122" t="n">
        <v>0</v>
      </c>
      <c r="W13" s="122" t="n">
        <f aca="false">M13-N13-O13-P13-Q13-R13-S13-T13+U13+V13</f>
        <v>61</v>
      </c>
      <c r="X13" s="218"/>
      <c r="Y13" s="218"/>
      <c r="Z13" s="95"/>
      <c r="AA13" s="122" t="n">
        <v>0</v>
      </c>
      <c r="AB13" s="244"/>
      <c r="AC13" s="245"/>
      <c r="AD13" s="122" t="n">
        <v>31</v>
      </c>
      <c r="AE13" s="95" t="n">
        <f aca="false">AE12-AD13</f>
        <v>3946</v>
      </c>
      <c r="AF13" s="95"/>
      <c r="AG13" s="121" t="n">
        <f aca="false">N13+O13+P13+Q13+R13+S13+T13+W13+AA13+AD13</f>
        <v>95.3</v>
      </c>
      <c r="AH13" s="122" t="n">
        <f aca="false">IF(L13&lt;0,L13*-1,0)</f>
        <v>0</v>
      </c>
      <c r="AI13" s="122" t="n">
        <f aca="false">AG13+AH13</f>
        <v>95.3</v>
      </c>
      <c r="AJ13" s="221" t="n">
        <v>0</v>
      </c>
      <c r="AK13" s="133" t="n">
        <v>38</v>
      </c>
      <c r="AL13" s="222" t="n">
        <v>25</v>
      </c>
      <c r="AM13" s="133" t="n">
        <f aca="false">AM12+(W13*1.9835)</f>
        <v>3453.86855</v>
      </c>
      <c r="AN13" s="218" t="n">
        <v>0</v>
      </c>
      <c r="AO13" s="223"/>
    </row>
    <row r="14" customFormat="false" ht="12.95" hidden="false" customHeight="true" outlineLevel="0" collapsed="false">
      <c r="A14" s="155" t="n">
        <f aca="false">A13+1</f>
        <v>3</v>
      </c>
      <c r="B14" s="94" t="n">
        <v>6900.75</v>
      </c>
      <c r="C14" s="95" t="n">
        <v>286356</v>
      </c>
      <c r="D14" s="133" t="n">
        <f aca="false">C14-C13</f>
        <v>-74</v>
      </c>
      <c r="E14" s="95" t="n">
        <f aca="false">C14-152000</f>
        <v>134356</v>
      </c>
      <c r="F14" s="243" t="n">
        <f aca="false">D14/$D$2</f>
        <v>-37.3077892614066</v>
      </c>
      <c r="G14" s="122" t="n">
        <v>110</v>
      </c>
      <c r="H14" s="215" t="n">
        <v>2.8</v>
      </c>
      <c r="I14" s="122" t="n">
        <f aca="false">G14+H14</f>
        <v>112.8</v>
      </c>
      <c r="J14" s="218" t="n">
        <f aca="false">IF(L14&gt;0,L14,0)</f>
        <v>0</v>
      </c>
      <c r="K14" s="122" t="n">
        <f aca="false">I14+J14</f>
        <v>112.8</v>
      </c>
      <c r="L14" s="122" t="n">
        <f aca="false">F14-(I14-AG14)</f>
        <v>-55.5077892614066</v>
      </c>
      <c r="M14" s="244" t="n">
        <v>3.6</v>
      </c>
      <c r="N14" s="122" t="n">
        <v>0</v>
      </c>
      <c r="O14" s="122" t="n">
        <v>0</v>
      </c>
      <c r="P14" s="215" t="n">
        <v>0</v>
      </c>
      <c r="Q14" s="119" t="n">
        <f aca="false">1.38*1.02</f>
        <v>1.4076</v>
      </c>
      <c r="R14" s="119" t="n">
        <v>2.26</v>
      </c>
      <c r="S14" s="119" t="n">
        <v>0</v>
      </c>
      <c r="T14" s="84" t="n">
        <f aca="false">M14-(Q14+R14+S14)</f>
        <v>-0.0675999999999997</v>
      </c>
      <c r="U14" s="122" t="n">
        <v>60</v>
      </c>
      <c r="V14" s="122" t="n">
        <v>0</v>
      </c>
      <c r="W14" s="122" t="n">
        <f aca="false">M14-N14-O14-P14-Q14-R14-S14-T14+U14+V14</f>
        <v>60</v>
      </c>
      <c r="X14" s="218"/>
      <c r="Y14" s="218"/>
      <c r="Z14" s="95"/>
      <c r="AA14" s="122" t="n">
        <v>0</v>
      </c>
      <c r="AB14" s="244"/>
      <c r="AC14" s="245"/>
      <c r="AD14" s="122" t="n">
        <v>31</v>
      </c>
      <c r="AE14" s="95" t="n">
        <f aca="false">AE13-AD14</f>
        <v>3915</v>
      </c>
      <c r="AF14" s="95"/>
      <c r="AG14" s="121" t="n">
        <f aca="false">N14+O14+P14+Q14+R14+S14+T14+W14+AA14+AD14</f>
        <v>94.6</v>
      </c>
      <c r="AH14" s="122" t="n">
        <f aca="false">IF(L14&lt;0,L14*-1,0)</f>
        <v>55.5077892614066</v>
      </c>
      <c r="AI14" s="122" t="n">
        <f aca="false">AG14+AH14</f>
        <v>150.107789261407</v>
      </c>
      <c r="AJ14" s="221" t="n">
        <v>0</v>
      </c>
      <c r="AK14" s="133" t="n">
        <v>46</v>
      </c>
      <c r="AL14" s="222" t="n">
        <v>21</v>
      </c>
      <c r="AM14" s="133" t="n">
        <f aca="false">AM13+(W14*1.9835)</f>
        <v>3572.87855</v>
      </c>
      <c r="AN14" s="218" t="n">
        <v>0</v>
      </c>
      <c r="AO14" s="223"/>
    </row>
    <row r="15" customFormat="false" ht="12.95" hidden="false" customHeight="true" outlineLevel="0" collapsed="false">
      <c r="A15" s="155" t="n">
        <f aca="false">A14+1</f>
        <v>4</v>
      </c>
      <c r="B15" s="94" t="n">
        <v>6900.73</v>
      </c>
      <c r="C15" s="95" t="n">
        <v>286282</v>
      </c>
      <c r="D15" s="133" t="n">
        <f aca="false">C15-C14</f>
        <v>-74</v>
      </c>
      <c r="E15" s="95" t="n">
        <f aca="false">C15-152000</f>
        <v>134282</v>
      </c>
      <c r="F15" s="243" t="n">
        <f aca="false">D15/$D$2</f>
        <v>-37.3077892614066</v>
      </c>
      <c r="G15" s="122" t="n">
        <v>90</v>
      </c>
      <c r="H15" s="215" t="n">
        <v>1.9</v>
      </c>
      <c r="I15" s="122" t="n">
        <f aca="false">G15+H15</f>
        <v>91.9</v>
      </c>
      <c r="J15" s="218" t="n">
        <f aca="false">IF(L15&gt;0,L15,0)</f>
        <v>0</v>
      </c>
      <c r="K15" s="122" t="n">
        <f aca="false">I15+J15</f>
        <v>91.9</v>
      </c>
      <c r="L15" s="122" t="n">
        <f aca="false">F15-(I15-AG15)</f>
        <v>-35.1077892614066</v>
      </c>
      <c r="M15" s="244" t="n">
        <v>3.1</v>
      </c>
      <c r="N15" s="122" t="n">
        <v>0</v>
      </c>
      <c r="O15" s="122" t="n">
        <v>0</v>
      </c>
      <c r="P15" s="215" t="n">
        <v>0</v>
      </c>
      <c r="Q15" s="119" t="n">
        <f aca="false">1.38*1.02</f>
        <v>1.4076</v>
      </c>
      <c r="R15" s="119" t="n">
        <v>2.26</v>
      </c>
      <c r="S15" s="119" t="n">
        <v>0</v>
      </c>
      <c r="T15" s="84" t="n">
        <f aca="false">M15-(Q15+R15+S15)</f>
        <v>-0.5676</v>
      </c>
      <c r="U15" s="122" t="n">
        <v>60</v>
      </c>
      <c r="V15" s="122" t="n">
        <v>0</v>
      </c>
      <c r="W15" s="122" t="n">
        <f aca="false">M15-N15-O15-P15-Q15-R15-S15-T15+U15+V15</f>
        <v>60</v>
      </c>
      <c r="X15" s="218"/>
      <c r="Y15" s="218"/>
      <c r="Z15" s="95"/>
      <c r="AA15" s="122" t="n">
        <v>0</v>
      </c>
      <c r="AB15" s="244"/>
      <c r="AC15" s="245"/>
      <c r="AD15" s="122" t="n">
        <v>31</v>
      </c>
      <c r="AE15" s="95" t="n">
        <f aca="false">AE14-AD15</f>
        <v>3884</v>
      </c>
      <c r="AF15" s="95"/>
      <c r="AG15" s="121" t="n">
        <f aca="false">N15+O15+P15+Q15+R15+S15+T15+W15+AA15+AD15</f>
        <v>94.1</v>
      </c>
      <c r="AH15" s="122" t="n">
        <f aca="false">IF(L15&lt;0,L15*-1,0)</f>
        <v>35.1077892614066</v>
      </c>
      <c r="AI15" s="122" t="n">
        <f aca="false">AG15+AH15</f>
        <v>129.207789261407</v>
      </c>
      <c r="AJ15" s="221" t="n">
        <v>0</v>
      </c>
      <c r="AK15" s="133" t="n">
        <v>49</v>
      </c>
      <c r="AL15" s="222" t="n">
        <v>26</v>
      </c>
      <c r="AM15" s="133" t="n">
        <f aca="false">AM14+(W15*1.9835)</f>
        <v>3691.88855</v>
      </c>
      <c r="AN15" s="218" t="n">
        <v>0</v>
      </c>
      <c r="AO15" s="223"/>
    </row>
    <row r="16" customFormat="false" ht="12.95" hidden="false" customHeight="true" outlineLevel="0" collapsed="false">
      <c r="A16" s="155" t="n">
        <f aca="false">A15+1</f>
        <v>5</v>
      </c>
      <c r="B16" s="94" t="n">
        <v>6900.71</v>
      </c>
      <c r="C16" s="95" t="n">
        <v>286208</v>
      </c>
      <c r="D16" s="133" t="n">
        <f aca="false">C16-C15</f>
        <v>-74</v>
      </c>
      <c r="E16" s="95" t="n">
        <f aca="false">C16-152000</f>
        <v>134208</v>
      </c>
      <c r="F16" s="243" t="n">
        <f aca="false">D16/$D$2</f>
        <v>-37.3077892614066</v>
      </c>
      <c r="G16" s="122" t="n">
        <v>84</v>
      </c>
      <c r="H16" s="215" t="n">
        <v>1.7</v>
      </c>
      <c r="I16" s="122" t="n">
        <f aca="false">G16+H16</f>
        <v>85.7</v>
      </c>
      <c r="J16" s="218" t="n">
        <f aca="false">IF(L16&gt;0,L16,0)</f>
        <v>0</v>
      </c>
      <c r="K16" s="122" t="n">
        <f aca="false">I16+J16</f>
        <v>85.7</v>
      </c>
      <c r="L16" s="122" t="n">
        <f aca="false">F16-(I16-AG16)</f>
        <v>-28.2077892614066</v>
      </c>
      <c r="M16" s="244" t="n">
        <v>3.8</v>
      </c>
      <c r="N16" s="122" t="n">
        <v>0</v>
      </c>
      <c r="O16" s="122" t="n">
        <v>0</v>
      </c>
      <c r="P16" s="215" t="n">
        <v>0</v>
      </c>
      <c r="Q16" s="119" t="n">
        <f aca="false">1.38*1.02</f>
        <v>1.4076</v>
      </c>
      <c r="R16" s="119" t="n">
        <v>2.22</v>
      </c>
      <c r="S16" s="119" t="n">
        <v>0</v>
      </c>
      <c r="T16" s="84" t="n">
        <f aca="false">M16-(Q16+R16+S16)</f>
        <v>0.1724</v>
      </c>
      <c r="U16" s="122" t="n">
        <v>60</v>
      </c>
      <c r="V16" s="122" t="n">
        <v>0</v>
      </c>
      <c r="W16" s="122" t="n">
        <f aca="false">M16-N16-O16-P16-Q16-R16-S16-T16+U16+V16</f>
        <v>60</v>
      </c>
      <c r="X16" s="218"/>
      <c r="Y16" s="218"/>
      <c r="Z16" s="95"/>
      <c r="AA16" s="122" t="n">
        <v>0</v>
      </c>
      <c r="AB16" s="244"/>
      <c r="AC16" s="245"/>
      <c r="AD16" s="122" t="n">
        <v>31</v>
      </c>
      <c r="AE16" s="95" t="n">
        <f aca="false">AE15-AD16</f>
        <v>3853</v>
      </c>
      <c r="AF16" s="95"/>
      <c r="AG16" s="121" t="n">
        <f aca="false">N16+O16+P16+Q16+R16+S16+T16+W16+AA16+AD16</f>
        <v>94.8</v>
      </c>
      <c r="AH16" s="122" t="n">
        <f aca="false">IF(L16&lt;0,L16*-1,0)</f>
        <v>28.2077892614066</v>
      </c>
      <c r="AI16" s="122" t="n">
        <f aca="false">AG16+AH16</f>
        <v>123.007789261407</v>
      </c>
      <c r="AJ16" s="221" t="n">
        <v>0</v>
      </c>
      <c r="AK16" s="133" t="n">
        <v>44</v>
      </c>
      <c r="AL16" s="222" t="n">
        <v>27</v>
      </c>
      <c r="AM16" s="133" t="n">
        <f aca="false">AM15+(W16*1.9835)</f>
        <v>3810.89855</v>
      </c>
      <c r="AN16" s="218" t="n">
        <v>0</v>
      </c>
      <c r="AO16" s="223"/>
    </row>
    <row r="17" customFormat="false" ht="12.95" hidden="false" customHeight="true" outlineLevel="0" collapsed="false">
      <c r="A17" s="155" t="n">
        <f aca="false">A16+1</f>
        <v>6</v>
      </c>
      <c r="B17" s="94" t="n">
        <v>6900.69</v>
      </c>
      <c r="C17" s="95" t="n">
        <v>286134</v>
      </c>
      <c r="D17" s="133" t="n">
        <f aca="false">C17-C16</f>
        <v>-74</v>
      </c>
      <c r="E17" s="95" t="n">
        <f aca="false">C17-152000</f>
        <v>134134</v>
      </c>
      <c r="F17" s="243" t="n">
        <f aca="false">D17/$D$2</f>
        <v>-37.3077892614066</v>
      </c>
      <c r="G17" s="122" t="n">
        <v>79</v>
      </c>
      <c r="H17" s="215" t="n">
        <v>1.6</v>
      </c>
      <c r="I17" s="122" t="n">
        <f aca="false">G17+H17</f>
        <v>80.6</v>
      </c>
      <c r="J17" s="218" t="n">
        <f aca="false">IF(L17&gt;0,L17,0)</f>
        <v>0</v>
      </c>
      <c r="K17" s="122" t="n">
        <f aca="false">I17+J17</f>
        <v>80.6</v>
      </c>
      <c r="L17" s="122" t="n">
        <f aca="false">F17-(I17-AG17)</f>
        <v>-22.9077892614066</v>
      </c>
      <c r="M17" s="244" t="n">
        <v>4</v>
      </c>
      <c r="N17" s="122" t="n">
        <v>0</v>
      </c>
      <c r="O17" s="122" t="n">
        <v>0</v>
      </c>
      <c r="P17" s="215" t="n">
        <v>0</v>
      </c>
      <c r="Q17" s="119" t="n">
        <f aca="false">1.38*1.02</f>
        <v>1.4076</v>
      </c>
      <c r="R17" s="119" t="n">
        <v>2.25</v>
      </c>
      <c r="S17" s="119" t="n">
        <v>0</v>
      </c>
      <c r="T17" s="84" t="n">
        <f aca="false">M17-(Q17+R17+S17)</f>
        <v>0.3424</v>
      </c>
      <c r="U17" s="122" t="n">
        <v>60</v>
      </c>
      <c r="V17" s="122" t="n">
        <v>0</v>
      </c>
      <c r="W17" s="122" t="n">
        <f aca="false">M17-N17-O17-P17-Q17-R17-S17-T17+U17+V17</f>
        <v>60</v>
      </c>
      <c r="X17" s="218"/>
      <c r="Y17" s="218"/>
      <c r="Z17" s="95"/>
      <c r="AA17" s="122" t="n">
        <v>0</v>
      </c>
      <c r="AB17" s="244"/>
      <c r="AC17" s="245"/>
      <c r="AD17" s="122" t="n">
        <v>31</v>
      </c>
      <c r="AE17" s="95" t="n">
        <f aca="false">AE16-AD17</f>
        <v>3822</v>
      </c>
      <c r="AF17" s="95"/>
      <c r="AG17" s="121" t="n">
        <f aca="false">N17+O17+P17+Q17+R17+S17+T17+W17+AA17+AD17</f>
        <v>95</v>
      </c>
      <c r="AH17" s="122" t="n">
        <f aca="false">IF(L17&lt;0,L17*-1,0)</f>
        <v>22.9077892614066</v>
      </c>
      <c r="AI17" s="122" t="n">
        <f aca="false">AG17+AH17</f>
        <v>117.907789261407</v>
      </c>
      <c r="AJ17" s="221" t="n">
        <v>0.2</v>
      </c>
      <c r="AK17" s="133" t="n">
        <v>46</v>
      </c>
      <c r="AL17" s="222" t="n">
        <v>30</v>
      </c>
      <c r="AM17" s="133" t="n">
        <f aca="false">AM16+(W17*1.9835)</f>
        <v>3929.90855</v>
      </c>
      <c r="AN17" s="218" t="n">
        <v>0</v>
      </c>
      <c r="AO17" s="223"/>
    </row>
    <row r="18" customFormat="false" ht="12.95" hidden="false" customHeight="true" outlineLevel="0" collapsed="false">
      <c r="A18" s="155" t="n">
        <f aca="false">A17+1</f>
        <v>7</v>
      </c>
      <c r="B18" s="94" t="n">
        <v>6900.81</v>
      </c>
      <c r="C18" s="95" t="n">
        <v>286579</v>
      </c>
      <c r="D18" s="133" t="n">
        <f aca="false">C18-C17</f>
        <v>445</v>
      </c>
      <c r="E18" s="95" t="n">
        <f aca="false">C18-152000</f>
        <v>134579</v>
      </c>
      <c r="F18" s="243" t="n">
        <f aca="false">D18/$D$2</f>
        <v>224.350894882783</v>
      </c>
      <c r="G18" s="122" t="n">
        <v>98</v>
      </c>
      <c r="H18" s="215" t="n">
        <v>6.2</v>
      </c>
      <c r="I18" s="122" t="n">
        <f aca="false">G18+H18</f>
        <v>104.2</v>
      </c>
      <c r="J18" s="218" t="n">
        <f aca="false">IF(L18&gt;0,L18,0)</f>
        <v>215.850894882783</v>
      </c>
      <c r="K18" s="122" t="n">
        <f aca="false">I18+J18</f>
        <v>320.050894882783</v>
      </c>
      <c r="L18" s="122" t="n">
        <f aca="false">F18-(I18-AG18)</f>
        <v>215.850894882783</v>
      </c>
      <c r="M18" s="244" t="n">
        <v>3.7</v>
      </c>
      <c r="N18" s="122" t="n">
        <v>0</v>
      </c>
      <c r="O18" s="122" t="n">
        <v>0</v>
      </c>
      <c r="P18" s="215" t="n">
        <v>0</v>
      </c>
      <c r="Q18" s="119" t="n">
        <f aca="false">1.38*1.02</f>
        <v>1.4076</v>
      </c>
      <c r="R18" s="119" t="n">
        <v>2.29</v>
      </c>
      <c r="S18" s="119" t="n">
        <v>0</v>
      </c>
      <c r="T18" s="84" t="n">
        <f aca="false">M18-(Q18+R18+S18)</f>
        <v>0.00240000000000018</v>
      </c>
      <c r="U18" s="122" t="n">
        <v>60</v>
      </c>
      <c r="V18" s="122" t="n">
        <v>0</v>
      </c>
      <c r="W18" s="122" t="n">
        <f aca="false">M18-N18-O18-P18-Q18-R18-S18-T18+U18+V18</f>
        <v>60</v>
      </c>
      <c r="X18" s="218"/>
      <c r="Y18" s="218"/>
      <c r="Z18" s="95"/>
      <c r="AA18" s="122" t="n">
        <v>0</v>
      </c>
      <c r="AB18" s="244"/>
      <c r="AC18" s="245"/>
      <c r="AD18" s="122" t="n">
        <v>32</v>
      </c>
      <c r="AE18" s="95" t="n">
        <f aca="false">AE17-AD18</f>
        <v>3790</v>
      </c>
      <c r="AF18" s="95"/>
      <c r="AG18" s="121" t="n">
        <f aca="false">N18+O18+P18+Q18+R18+S18+T18+W18+AA18+AD18</f>
        <v>95.7</v>
      </c>
      <c r="AH18" s="122" t="n">
        <f aca="false">IF(L18&lt;0,L18*-1,0)</f>
        <v>0</v>
      </c>
      <c r="AI18" s="122" t="n">
        <f aca="false">AG18+AH18</f>
        <v>95.7</v>
      </c>
      <c r="AJ18" s="221" t="n">
        <v>0.93</v>
      </c>
      <c r="AK18" s="133" t="n">
        <v>44</v>
      </c>
      <c r="AL18" s="222" t="n">
        <v>33</v>
      </c>
      <c r="AM18" s="133" t="n">
        <f aca="false">AM17+(W18*1.9835)</f>
        <v>4048.91855</v>
      </c>
      <c r="AN18" s="218" t="n">
        <v>0</v>
      </c>
      <c r="AO18" s="223"/>
    </row>
    <row r="19" customFormat="false" ht="12.95" hidden="false" customHeight="true" outlineLevel="0" collapsed="false">
      <c r="A19" s="155" t="n">
        <f aca="false">A18+1</f>
        <v>8</v>
      </c>
      <c r="B19" s="94" t="n">
        <v>6900.9</v>
      </c>
      <c r="C19" s="95" t="n">
        <v>286912</v>
      </c>
      <c r="D19" s="133" t="n">
        <f aca="false">C19-C18</f>
        <v>333</v>
      </c>
      <c r="E19" s="95" t="n">
        <f aca="false">C19-152000</f>
        <v>134912</v>
      </c>
      <c r="F19" s="243" t="n">
        <f aca="false">D19/$D$2</f>
        <v>167.88505167633</v>
      </c>
      <c r="G19" s="122" t="n">
        <v>150</v>
      </c>
      <c r="H19" s="215" t="n">
        <v>15</v>
      </c>
      <c r="I19" s="122" t="n">
        <f aca="false">G19+H19</f>
        <v>165</v>
      </c>
      <c r="J19" s="218" t="n">
        <f aca="false">IF(L19&gt;0,L19,0)</f>
        <v>97.4850516763297</v>
      </c>
      <c r="K19" s="122" t="n">
        <f aca="false">I19+J19</f>
        <v>262.48505167633</v>
      </c>
      <c r="L19" s="122" t="n">
        <f aca="false">F19-(I19-AG19)</f>
        <v>97.4850516763297</v>
      </c>
      <c r="M19" s="244" t="n">
        <v>3.6</v>
      </c>
      <c r="N19" s="122" t="n">
        <v>0</v>
      </c>
      <c r="O19" s="122" t="n">
        <v>0</v>
      </c>
      <c r="P19" s="215" t="n">
        <v>0</v>
      </c>
      <c r="Q19" s="119" t="n">
        <f aca="false">1.38*1.02</f>
        <v>1.4076</v>
      </c>
      <c r="R19" s="119" t="n">
        <v>2.32</v>
      </c>
      <c r="S19" s="119" t="n">
        <v>0</v>
      </c>
      <c r="T19" s="84" t="n">
        <f aca="false">M19-(Q19+R19+S19)</f>
        <v>-0.1276</v>
      </c>
      <c r="U19" s="122" t="n">
        <v>60</v>
      </c>
      <c r="V19" s="122" t="n">
        <v>0</v>
      </c>
      <c r="W19" s="122" t="n">
        <f aca="false">M19-N19-O19-P19-Q19-R19-S19-T19+U19+V19</f>
        <v>60</v>
      </c>
      <c r="X19" s="218"/>
      <c r="Y19" s="218"/>
      <c r="Z19" s="95"/>
      <c r="AA19" s="122" t="n">
        <v>0</v>
      </c>
      <c r="AB19" s="244"/>
      <c r="AC19" s="245"/>
      <c r="AD19" s="122" t="n">
        <v>31</v>
      </c>
      <c r="AE19" s="95" t="n">
        <f aca="false">AE18-AD19</f>
        <v>3759</v>
      </c>
      <c r="AF19" s="95"/>
      <c r="AG19" s="121" t="n">
        <f aca="false">N19+O19+P19+Q19+R19+S19+T19+W19+AA19+AD19</f>
        <v>94.6</v>
      </c>
      <c r="AH19" s="122" t="n">
        <f aca="false">IF(L19&lt;0,L19*-1,0)</f>
        <v>0</v>
      </c>
      <c r="AI19" s="122" t="n">
        <f aca="false">AG19+AH19</f>
        <v>94.6</v>
      </c>
      <c r="AJ19" s="221" t="n">
        <v>0.37</v>
      </c>
      <c r="AK19" s="95" t="n">
        <v>38</v>
      </c>
      <c r="AL19" s="222" t="n">
        <v>26</v>
      </c>
      <c r="AM19" s="133" t="n">
        <f aca="false">AM18+(W19*1.9835)</f>
        <v>4167.92855</v>
      </c>
      <c r="AN19" s="218" t="n">
        <v>0</v>
      </c>
      <c r="AO19" s="223"/>
    </row>
    <row r="20" customFormat="false" ht="12.95" hidden="false" customHeight="true" outlineLevel="0" collapsed="false">
      <c r="A20" s="155" t="n">
        <f aca="false">A19+1</f>
        <v>9</v>
      </c>
      <c r="B20" s="94" t="n">
        <v>6900.96</v>
      </c>
      <c r="C20" s="95" t="n">
        <v>287134</v>
      </c>
      <c r="D20" s="133" t="n">
        <f aca="false">C20-C19</f>
        <v>222</v>
      </c>
      <c r="E20" s="95" t="n">
        <f aca="false">C20-152000</f>
        <v>135134</v>
      </c>
      <c r="F20" s="243" t="n">
        <f aca="false">D20/$D$2</f>
        <v>111.92336778422</v>
      </c>
      <c r="G20" s="122" t="n">
        <v>113</v>
      </c>
      <c r="H20" s="215" t="n">
        <v>7.4</v>
      </c>
      <c r="I20" s="122" t="n">
        <f aca="false">G20+H20</f>
        <v>120.4</v>
      </c>
      <c r="J20" s="218" t="n">
        <f aca="false">IF(L20&gt;0,L20,0)</f>
        <v>86.9233677842198</v>
      </c>
      <c r="K20" s="122" t="n">
        <f aca="false">I20+J20</f>
        <v>207.32336778422</v>
      </c>
      <c r="L20" s="122" t="n">
        <f aca="false">F20-(I20-AG20)</f>
        <v>86.9233677842198</v>
      </c>
      <c r="M20" s="244" t="n">
        <v>3.4</v>
      </c>
      <c r="N20" s="122" t="n">
        <v>0</v>
      </c>
      <c r="O20" s="122" t="n">
        <v>0</v>
      </c>
      <c r="P20" s="215" t="n">
        <v>0</v>
      </c>
      <c r="Q20" s="119" t="n">
        <f aca="false">1.38*1.02</f>
        <v>1.4076</v>
      </c>
      <c r="R20" s="119" t="n">
        <v>2.29</v>
      </c>
      <c r="S20" s="119" t="n">
        <v>0</v>
      </c>
      <c r="T20" s="84" t="n">
        <f aca="false">M20-(Q20+R20+S20)</f>
        <v>-0.2976</v>
      </c>
      <c r="U20" s="122" t="n">
        <v>61</v>
      </c>
      <c r="V20" s="122" t="n">
        <v>0</v>
      </c>
      <c r="W20" s="122" t="n">
        <f aca="false">M20-N20-O20-P20-Q20-R20-S20-T20+U20+V20</f>
        <v>61</v>
      </c>
      <c r="X20" s="218"/>
      <c r="Y20" s="218"/>
      <c r="Z20" s="95"/>
      <c r="AA20" s="122" t="n">
        <v>0</v>
      </c>
      <c r="AB20" s="244"/>
      <c r="AC20" s="245"/>
      <c r="AD20" s="122" t="n">
        <v>31</v>
      </c>
      <c r="AE20" s="95" t="n">
        <f aca="false">AE19-AD20</f>
        <v>3728</v>
      </c>
      <c r="AF20" s="95"/>
      <c r="AG20" s="121" t="n">
        <f aca="false">N20+O20+P20+Q20+R20+S20+T20+W20+AA20+AD20</f>
        <v>95.4</v>
      </c>
      <c r="AH20" s="122" t="n">
        <f aca="false">IF(L20&lt;0,L20*-1,0)</f>
        <v>0</v>
      </c>
      <c r="AI20" s="122" t="n">
        <f aca="false">AG20+AH20</f>
        <v>95.4</v>
      </c>
      <c r="AJ20" s="221" t="n">
        <v>0</v>
      </c>
      <c r="AK20" s="95" t="n">
        <v>34</v>
      </c>
      <c r="AL20" s="222" t="n">
        <v>19</v>
      </c>
      <c r="AM20" s="133" t="n">
        <f aca="false">AM19+(W20*1.9835)</f>
        <v>4288.92205</v>
      </c>
      <c r="AN20" s="218" t="n">
        <v>0</v>
      </c>
      <c r="AO20" s="223"/>
    </row>
    <row r="21" customFormat="false" ht="12.95" hidden="false" customHeight="true" outlineLevel="0" collapsed="false">
      <c r="A21" s="155" t="n">
        <f aca="false">A20+1</f>
        <v>10</v>
      </c>
      <c r="B21" s="94" t="n">
        <v>6900.92</v>
      </c>
      <c r="C21" s="95" t="n">
        <v>286986</v>
      </c>
      <c r="D21" s="133" t="n">
        <f aca="false">C21-C20</f>
        <v>-148</v>
      </c>
      <c r="E21" s="95" t="n">
        <f aca="false">C21-152000</f>
        <v>134986</v>
      </c>
      <c r="F21" s="243" t="n">
        <f aca="false">D21/$D$2</f>
        <v>-74.6155785228132</v>
      </c>
      <c r="G21" s="122" t="n">
        <v>98</v>
      </c>
      <c r="H21" s="215" t="n">
        <v>5.4</v>
      </c>
      <c r="I21" s="122" t="n">
        <f aca="false">G21+H21</f>
        <v>103.4</v>
      </c>
      <c r="J21" s="218" t="n">
        <f aca="false">IF(L21&gt;0,L21,0)</f>
        <v>0</v>
      </c>
      <c r="K21" s="122" t="n">
        <f aca="false">I21+J21</f>
        <v>103.4</v>
      </c>
      <c r="L21" s="122" t="n">
        <f aca="false">F21-(I21-AG21)</f>
        <v>-65.4155785228132</v>
      </c>
      <c r="M21" s="244" t="n">
        <v>3.6</v>
      </c>
      <c r="N21" s="122" t="n">
        <v>0</v>
      </c>
      <c r="O21" s="122" t="n">
        <v>0</v>
      </c>
      <c r="P21" s="215" t="n">
        <v>0</v>
      </c>
      <c r="Q21" s="119" t="n">
        <f aca="false">1.38*1.02</f>
        <v>1.4076</v>
      </c>
      <c r="R21" s="119" t="n">
        <v>2.26</v>
      </c>
      <c r="S21" s="119" t="n">
        <v>0</v>
      </c>
      <c r="T21" s="84" t="n">
        <f aca="false">M21-(Q21+R21+S21)</f>
        <v>-0.0675999999999997</v>
      </c>
      <c r="U21" s="122" t="n">
        <v>78</v>
      </c>
      <c r="V21" s="122" t="n">
        <v>0</v>
      </c>
      <c r="W21" s="122" t="n">
        <f aca="false">M21-N21-O21-P21-Q21-R21-S21-T21+U21+V21</f>
        <v>78</v>
      </c>
      <c r="X21" s="218"/>
      <c r="Y21" s="218"/>
      <c r="Z21" s="95"/>
      <c r="AA21" s="122" t="n">
        <v>0</v>
      </c>
      <c r="AB21" s="244"/>
      <c r="AC21" s="245"/>
      <c r="AD21" s="122" t="n">
        <v>31</v>
      </c>
      <c r="AE21" s="95" t="n">
        <f aca="false">AE20-AD21</f>
        <v>3697</v>
      </c>
      <c r="AF21" s="95"/>
      <c r="AG21" s="121" t="n">
        <f aca="false">N21+O21+P21+Q21+R21+S21+T21+W21+AA21+AD21</f>
        <v>112.6</v>
      </c>
      <c r="AH21" s="122" t="n">
        <f aca="false">IF(L21&lt;0,L21*-1,0)</f>
        <v>65.4155785228132</v>
      </c>
      <c r="AI21" s="122" t="n">
        <f aca="false">AG21+AH21</f>
        <v>178.015578522813</v>
      </c>
      <c r="AJ21" s="221" t="n">
        <v>0.16</v>
      </c>
      <c r="AK21" s="95" t="n">
        <v>39</v>
      </c>
      <c r="AL21" s="222" t="n">
        <v>25</v>
      </c>
      <c r="AM21" s="133" t="n">
        <f aca="false">AM20+(W21*1.9835)</f>
        <v>4443.63505</v>
      </c>
      <c r="AN21" s="218" t="n">
        <v>0</v>
      </c>
      <c r="AO21" s="223"/>
    </row>
    <row r="22" customFormat="false" ht="12.95" hidden="false" customHeight="true" outlineLevel="0" collapsed="false">
      <c r="A22" s="155" t="n">
        <f aca="false">A21+1</f>
        <v>11</v>
      </c>
      <c r="B22" s="94" t="n">
        <v>6900.97</v>
      </c>
      <c r="C22" s="95" t="n">
        <v>287171</v>
      </c>
      <c r="D22" s="133" t="n">
        <f aca="false">C22-C21</f>
        <v>185</v>
      </c>
      <c r="E22" s="95" t="n">
        <f aca="false">C22-152000</f>
        <v>135171</v>
      </c>
      <c r="F22" s="243" t="n">
        <f aca="false">D22/$D$2</f>
        <v>93.2694731535165</v>
      </c>
      <c r="G22" s="122" t="n">
        <v>90</v>
      </c>
      <c r="H22" s="215" t="n">
        <v>4.1</v>
      </c>
      <c r="I22" s="122" t="n">
        <f aca="false">G22+H22</f>
        <v>94.1</v>
      </c>
      <c r="J22" s="218" t="n">
        <f aca="false">IF(L22&gt;0,L22,0)</f>
        <v>124.769473153517</v>
      </c>
      <c r="K22" s="122" t="n">
        <f aca="false">I22+J22</f>
        <v>218.869473153517</v>
      </c>
      <c r="L22" s="122" t="n">
        <f aca="false">F22-(I22-AG22)</f>
        <v>124.769473153517</v>
      </c>
      <c r="M22" s="244" t="n">
        <v>3.6</v>
      </c>
      <c r="N22" s="122" t="n">
        <v>0</v>
      </c>
      <c r="O22" s="122" t="n">
        <v>0</v>
      </c>
      <c r="P22" s="215" t="n">
        <v>0</v>
      </c>
      <c r="Q22" s="119" t="n">
        <f aca="false">1.38*1.02</f>
        <v>1.4076</v>
      </c>
      <c r="R22" s="119" t="n">
        <v>2.32</v>
      </c>
      <c r="S22" s="119" t="n">
        <v>0</v>
      </c>
      <c r="T22" s="84" t="n">
        <f aca="false">M22-(Q22+R22+S22)</f>
        <v>-0.1276</v>
      </c>
      <c r="U22" s="122" t="n">
        <v>91</v>
      </c>
      <c r="V22" s="122" t="n">
        <v>0</v>
      </c>
      <c r="W22" s="122" t="n">
        <f aca="false">M22-N22-O22-P22-Q22-R22-S22-T22+U22+V22</f>
        <v>91</v>
      </c>
      <c r="X22" s="218"/>
      <c r="Y22" s="218"/>
      <c r="Z22" s="95"/>
      <c r="AA22" s="122" t="n">
        <v>0</v>
      </c>
      <c r="AB22" s="244"/>
      <c r="AC22" s="245"/>
      <c r="AD22" s="122" t="n">
        <v>31</v>
      </c>
      <c r="AE22" s="95" t="n">
        <f aca="false">AE21-AD22</f>
        <v>3666</v>
      </c>
      <c r="AF22" s="95"/>
      <c r="AG22" s="121" t="n">
        <f aca="false">N22+O22+P22+Q22+R22+S22+T22+W22+AA22+AD22</f>
        <v>125.6</v>
      </c>
      <c r="AH22" s="122" t="n">
        <f aca="false">IF(L22&lt;0,L22*-1,0)</f>
        <v>0</v>
      </c>
      <c r="AI22" s="122" t="n">
        <f aca="false">AG22+AH22</f>
        <v>125.6</v>
      </c>
      <c r="AJ22" s="221" t="n">
        <v>0.12</v>
      </c>
      <c r="AK22" s="95" t="n">
        <v>34</v>
      </c>
      <c r="AL22" s="222" t="n">
        <v>22</v>
      </c>
      <c r="AM22" s="133" t="n">
        <f aca="false">AM21+(W22*1.9835)</f>
        <v>4624.13355</v>
      </c>
      <c r="AN22" s="218" t="n">
        <v>0</v>
      </c>
      <c r="AO22" s="223"/>
    </row>
    <row r="23" customFormat="false" ht="12.95" hidden="false" customHeight="true" outlineLevel="0" collapsed="false">
      <c r="A23" s="155" t="n">
        <f aca="false">A22+1</f>
        <v>12</v>
      </c>
      <c r="B23" s="94" t="n">
        <v>6900.99</v>
      </c>
      <c r="C23" s="95" t="n">
        <v>287245</v>
      </c>
      <c r="D23" s="133" t="n">
        <f aca="false">C23-C22</f>
        <v>74</v>
      </c>
      <c r="E23" s="95" t="n">
        <f aca="false">C23-152000</f>
        <v>135245</v>
      </c>
      <c r="F23" s="243" t="n">
        <f aca="false">D23/$D$2</f>
        <v>37.3077892614066</v>
      </c>
      <c r="G23" s="122" t="n">
        <v>72</v>
      </c>
      <c r="H23" s="215" t="n">
        <v>2.9</v>
      </c>
      <c r="I23" s="122" t="n">
        <f aca="false">G23+H23</f>
        <v>74.9</v>
      </c>
      <c r="J23" s="218" t="n">
        <f aca="false">IF(L23&gt;0,L23,0)</f>
        <v>86.9077892614066</v>
      </c>
      <c r="K23" s="122" t="n">
        <f aca="false">I23+J23</f>
        <v>161.807789261407</v>
      </c>
      <c r="L23" s="122" t="n">
        <f aca="false">F23-(I23-AG23)</f>
        <v>86.9077892614066</v>
      </c>
      <c r="M23" s="244" t="n">
        <v>3.5</v>
      </c>
      <c r="N23" s="122" t="n">
        <v>0</v>
      </c>
      <c r="O23" s="122" t="n">
        <v>0</v>
      </c>
      <c r="P23" s="215" t="n">
        <v>0</v>
      </c>
      <c r="Q23" s="119" t="n">
        <f aca="false">1.38*1.02</f>
        <v>1.4076</v>
      </c>
      <c r="R23" s="119" t="n">
        <v>2.45</v>
      </c>
      <c r="S23" s="119" t="n">
        <v>0</v>
      </c>
      <c r="T23" s="84" t="n">
        <f aca="false">M23-(Q23+R23+S23)</f>
        <v>-0.3576</v>
      </c>
      <c r="U23" s="122" t="n">
        <v>90</v>
      </c>
      <c r="V23" s="122" t="n">
        <v>0</v>
      </c>
      <c r="W23" s="122" t="n">
        <f aca="false">M23-N23-O23-P23-Q23-R23-S23-T23+U23+V23</f>
        <v>90</v>
      </c>
      <c r="X23" s="218"/>
      <c r="Y23" s="218"/>
      <c r="Z23" s="95"/>
      <c r="AA23" s="122" t="n">
        <v>0</v>
      </c>
      <c r="AB23" s="244"/>
      <c r="AC23" s="245"/>
      <c r="AD23" s="122" t="n">
        <v>31</v>
      </c>
      <c r="AE23" s="95" t="n">
        <f aca="false">AE22-AD23</f>
        <v>3635</v>
      </c>
      <c r="AF23" s="95"/>
      <c r="AG23" s="121" t="n">
        <f aca="false">N23+O23+P23+Q23+R23+S23+T23+W23+AA23+AD23</f>
        <v>124.5</v>
      </c>
      <c r="AH23" s="122" t="n">
        <f aca="false">IF(L23&lt;0,L23*-1,0)</f>
        <v>0</v>
      </c>
      <c r="AI23" s="122" t="n">
        <f aca="false">AG23+AH23</f>
        <v>124.5</v>
      </c>
      <c r="AJ23" s="221" t="n">
        <v>0</v>
      </c>
      <c r="AK23" s="95" t="n">
        <v>33</v>
      </c>
      <c r="AL23" s="222" t="n">
        <v>12</v>
      </c>
      <c r="AM23" s="133" t="n">
        <f aca="false">AM22+(W23*1.9835)</f>
        <v>4802.64855</v>
      </c>
      <c r="AN23" s="218" t="n">
        <v>0</v>
      </c>
      <c r="AO23" s="223"/>
    </row>
    <row r="24" customFormat="false" ht="12.95" hidden="false" customHeight="true" outlineLevel="0" collapsed="false">
      <c r="A24" s="155" t="n">
        <f aca="false">A23+1</f>
        <v>13</v>
      </c>
      <c r="B24" s="94" t="n">
        <v>6900.96</v>
      </c>
      <c r="C24" s="95" t="n">
        <v>287134</v>
      </c>
      <c r="D24" s="133" t="n">
        <f aca="false">C24-C23</f>
        <v>-111</v>
      </c>
      <c r="E24" s="95" t="n">
        <f aca="false">C24-152000</f>
        <v>135134</v>
      </c>
      <c r="F24" s="243" t="n">
        <f aca="false">D24/$D$2</f>
        <v>-55.9616838921099</v>
      </c>
      <c r="G24" s="122" t="n">
        <v>70</v>
      </c>
      <c r="H24" s="215" t="n">
        <v>2.3</v>
      </c>
      <c r="I24" s="122" t="n">
        <f aca="false">G24+H24</f>
        <v>72.3</v>
      </c>
      <c r="J24" s="218" t="n">
        <f aca="false">IF(L24&gt;0,L24,0)</f>
        <v>0</v>
      </c>
      <c r="K24" s="122" t="n">
        <f aca="false">I24+J24</f>
        <v>72.3</v>
      </c>
      <c r="L24" s="122" t="n">
        <f aca="false">F24-(I24-AG24)</f>
        <v>-3.5616838921099</v>
      </c>
      <c r="M24" s="244" t="n">
        <v>3.7</v>
      </c>
      <c r="N24" s="122" t="n">
        <v>0</v>
      </c>
      <c r="O24" s="122" t="n">
        <v>0</v>
      </c>
      <c r="P24" s="215" t="n">
        <v>0</v>
      </c>
      <c r="Q24" s="119" t="n">
        <f aca="false">1.38*1.02</f>
        <v>1.4076</v>
      </c>
      <c r="R24" s="119" t="n">
        <v>2.55</v>
      </c>
      <c r="S24" s="119" t="n">
        <v>0</v>
      </c>
      <c r="T24" s="84" t="n">
        <f aca="false">M24-(Q24+R24+S24)</f>
        <v>-0.2576</v>
      </c>
      <c r="U24" s="122" t="n">
        <v>90</v>
      </c>
      <c r="V24" s="122" t="n">
        <v>0</v>
      </c>
      <c r="W24" s="122" t="n">
        <f aca="false">M24-N24-O24-P24-Q24-R24-S24-T24+U24+V24</f>
        <v>90</v>
      </c>
      <c r="X24" s="218"/>
      <c r="Y24" s="218"/>
      <c r="Z24" s="95"/>
      <c r="AA24" s="122" t="n">
        <v>0</v>
      </c>
      <c r="AB24" s="244"/>
      <c r="AC24" s="245"/>
      <c r="AD24" s="122" t="n">
        <v>31</v>
      </c>
      <c r="AE24" s="95" t="n">
        <f aca="false">AE23-AD24</f>
        <v>3604</v>
      </c>
      <c r="AF24" s="95"/>
      <c r="AG24" s="121" t="n">
        <f aca="false">N24+O24+P24+Q24+R24+S24+T24+W24+AA24+AD24</f>
        <v>124.7</v>
      </c>
      <c r="AH24" s="122" t="n">
        <f aca="false">IF(L24&lt;0,L24*-1,0)</f>
        <v>3.5616838921099</v>
      </c>
      <c r="AI24" s="122" t="n">
        <f aca="false">AG24+AH24</f>
        <v>128.26168389211</v>
      </c>
      <c r="AJ24" s="221" t="n">
        <v>0</v>
      </c>
      <c r="AK24" s="95" t="n">
        <v>32</v>
      </c>
      <c r="AL24" s="222" t="n">
        <v>12</v>
      </c>
      <c r="AM24" s="133" t="n">
        <f aca="false">AM23+(W24*1.9835)</f>
        <v>4981.16355</v>
      </c>
      <c r="AN24" s="218" t="n">
        <v>0</v>
      </c>
      <c r="AO24" s="223"/>
    </row>
    <row r="25" customFormat="false" ht="12.95" hidden="false" customHeight="true" outlineLevel="0" collapsed="false">
      <c r="A25" s="155" t="n">
        <f aca="false">A24+1</f>
        <v>14</v>
      </c>
      <c r="B25" s="94" t="n">
        <v>6900.93</v>
      </c>
      <c r="C25" s="95" t="n">
        <v>287023</v>
      </c>
      <c r="D25" s="133" t="n">
        <f aca="false">C25-C24</f>
        <v>-111</v>
      </c>
      <c r="E25" s="95" t="n">
        <f aca="false">C25-152000</f>
        <v>135023</v>
      </c>
      <c r="F25" s="243" t="n">
        <f aca="false">D25/$D$2</f>
        <v>-55.9616838921099</v>
      </c>
      <c r="G25" s="122" t="n">
        <v>65</v>
      </c>
      <c r="H25" s="215" t="n">
        <v>1.9</v>
      </c>
      <c r="I25" s="122" t="n">
        <f aca="false">G25+H25</f>
        <v>66.9</v>
      </c>
      <c r="J25" s="218" t="n">
        <f aca="false">IF(L25&gt;0,L25,0)</f>
        <v>1.83831610789009</v>
      </c>
      <c r="K25" s="122" t="n">
        <f aca="false">I25+J25</f>
        <v>68.7383161078901</v>
      </c>
      <c r="L25" s="122" t="n">
        <f aca="false">F25-(I25-AG25)</f>
        <v>1.83831610789009</v>
      </c>
      <c r="M25" s="244" t="n">
        <v>3.7</v>
      </c>
      <c r="N25" s="122" t="n">
        <v>0</v>
      </c>
      <c r="O25" s="122" t="n">
        <v>0</v>
      </c>
      <c r="P25" s="215" t="n">
        <v>0</v>
      </c>
      <c r="Q25" s="119" t="n">
        <f aca="false">1.38*1.02</f>
        <v>1.4076</v>
      </c>
      <c r="R25" s="119" t="n">
        <v>2.46</v>
      </c>
      <c r="S25" s="119" t="n">
        <v>0</v>
      </c>
      <c r="T25" s="84" t="n">
        <f aca="false">M25-(Q25+R25+S25)</f>
        <v>-0.1676</v>
      </c>
      <c r="U25" s="122" t="n">
        <v>90</v>
      </c>
      <c r="V25" s="122" t="n">
        <v>0</v>
      </c>
      <c r="W25" s="122" t="n">
        <f aca="false">M25-N25-O25-P25-Q25-R25-S25-T25+U25+V25</f>
        <v>90</v>
      </c>
      <c r="X25" s="218"/>
      <c r="Y25" s="218"/>
      <c r="Z25" s="95"/>
      <c r="AA25" s="122" t="n">
        <v>0</v>
      </c>
      <c r="AB25" s="244"/>
      <c r="AC25" s="245"/>
      <c r="AD25" s="122" t="n">
        <v>31</v>
      </c>
      <c r="AE25" s="95" t="n">
        <f aca="false">AE24-AD25</f>
        <v>3573</v>
      </c>
      <c r="AF25" s="95"/>
      <c r="AG25" s="121" t="n">
        <f aca="false">N25+O25+P25+Q25+R25+S25+T25+W25+AA25+AD25</f>
        <v>124.7</v>
      </c>
      <c r="AH25" s="122" t="n">
        <f aca="false">IF(L25&lt;0,L25*-1,0)</f>
        <v>0</v>
      </c>
      <c r="AI25" s="122" t="n">
        <f aca="false">AG25+AH25</f>
        <v>124.7</v>
      </c>
      <c r="AJ25" s="221" t="n">
        <v>0.02</v>
      </c>
      <c r="AK25" s="95" t="n">
        <v>27</v>
      </c>
      <c r="AL25" s="222" t="n">
        <v>13</v>
      </c>
      <c r="AM25" s="133" t="n">
        <f aca="false">AM24+(W25*1.9835)</f>
        <v>5159.67855</v>
      </c>
      <c r="AN25" s="218" t="n">
        <v>0</v>
      </c>
      <c r="AO25" s="223"/>
    </row>
    <row r="26" customFormat="false" ht="12.95" hidden="false" customHeight="true" outlineLevel="0" collapsed="false">
      <c r="A26" s="155" t="n">
        <f aca="false">A25+1</f>
        <v>15</v>
      </c>
      <c r="B26" s="94" t="n">
        <v>6900.86</v>
      </c>
      <c r="C26" s="95" t="n">
        <v>286764</v>
      </c>
      <c r="D26" s="133" t="n">
        <f aca="false">C26-C25</f>
        <v>-259</v>
      </c>
      <c r="E26" s="95" t="n">
        <f aca="false">C26-152000</f>
        <v>134764</v>
      </c>
      <c r="F26" s="243" t="n">
        <f aca="false">D26/$D$2</f>
        <v>-130.577262414923</v>
      </c>
      <c r="G26" s="122" t="n">
        <v>72</v>
      </c>
      <c r="H26" s="215" t="n">
        <v>1.3</v>
      </c>
      <c r="I26" s="122" t="n">
        <f aca="false">G26+H26</f>
        <v>73.3</v>
      </c>
      <c r="J26" s="218" t="n">
        <f aca="false">IF(L26&gt;0,L26,0)</f>
        <v>0</v>
      </c>
      <c r="K26" s="122" t="n">
        <f aca="false">I26+J26</f>
        <v>73.3</v>
      </c>
      <c r="L26" s="122" t="n">
        <f aca="false">F26-(I26-AG26)</f>
        <v>-79.4772624149231</v>
      </c>
      <c r="M26" s="244" t="n">
        <v>3.4</v>
      </c>
      <c r="N26" s="122" t="n">
        <v>0</v>
      </c>
      <c r="O26" s="122" t="n">
        <v>0</v>
      </c>
      <c r="P26" s="215" t="n">
        <v>0</v>
      </c>
      <c r="Q26" s="119" t="n">
        <f aca="false">1.38*1.02</f>
        <v>1.4076</v>
      </c>
      <c r="R26" s="119" t="n">
        <v>2.19</v>
      </c>
      <c r="S26" s="119" t="n">
        <v>0</v>
      </c>
      <c r="T26" s="84" t="n">
        <f aca="false">M26-(Q26+R26+S26)</f>
        <v>-0.1976</v>
      </c>
      <c r="U26" s="122" t="n">
        <v>90</v>
      </c>
      <c r="V26" s="122" t="n">
        <v>0</v>
      </c>
      <c r="W26" s="122" t="n">
        <f aca="false">M26-N26-O26-P26-Q26-R26-S26-T26+U26+V26</f>
        <v>90</v>
      </c>
      <c r="X26" s="218"/>
      <c r="Y26" s="218"/>
      <c r="Z26" s="95"/>
      <c r="AA26" s="122" t="n">
        <v>0</v>
      </c>
      <c r="AB26" s="244"/>
      <c r="AC26" s="245"/>
      <c r="AD26" s="122" t="n">
        <v>31</v>
      </c>
      <c r="AE26" s="95" t="n">
        <f aca="false">AE25-AD26</f>
        <v>3542</v>
      </c>
      <c r="AF26" s="95"/>
      <c r="AG26" s="121" t="n">
        <f aca="false">N26+O26+P26+Q26+R26+S26+T26+W26+AA26+AD26</f>
        <v>124.4</v>
      </c>
      <c r="AH26" s="122" t="n">
        <f aca="false">IF(L26&lt;0,L26*-1,0)</f>
        <v>79.4772624149231</v>
      </c>
      <c r="AI26" s="122" t="n">
        <f aca="false">AG26+AH26</f>
        <v>203.877262414923</v>
      </c>
      <c r="AJ26" s="221" t="n">
        <v>0</v>
      </c>
      <c r="AK26" s="95" t="n">
        <v>26</v>
      </c>
      <c r="AL26" s="222" t="n">
        <v>2</v>
      </c>
      <c r="AM26" s="133" t="n">
        <f aca="false">AM25+(W26*1.9835)</f>
        <v>5338.19355</v>
      </c>
      <c r="AN26" s="218" t="n">
        <v>0</v>
      </c>
      <c r="AO26" s="223"/>
    </row>
    <row r="27" customFormat="false" ht="12.95" hidden="false" customHeight="true" outlineLevel="0" collapsed="false">
      <c r="A27" s="155" t="n">
        <f aca="false">A26+1</f>
        <v>16</v>
      </c>
      <c r="B27" s="94" t="n">
        <v>6900.79</v>
      </c>
      <c r="C27" s="95" t="n">
        <v>286504</v>
      </c>
      <c r="D27" s="133" t="n">
        <f aca="false">C27-C26</f>
        <v>-260</v>
      </c>
      <c r="E27" s="95" t="n">
        <f aca="false">C27-152000</f>
        <v>134504</v>
      </c>
      <c r="F27" s="243" t="n">
        <f aca="false">D27/$D$2</f>
        <v>-131.081421729266</v>
      </c>
      <c r="G27" s="122" t="n">
        <v>75</v>
      </c>
      <c r="H27" s="215" t="n">
        <v>0.77</v>
      </c>
      <c r="I27" s="122" t="n">
        <f aca="false">G27+H27</f>
        <v>75.77</v>
      </c>
      <c r="J27" s="218" t="n">
        <f aca="false">IF(L27&gt;0,L27,0)</f>
        <v>0</v>
      </c>
      <c r="K27" s="122" t="n">
        <f aca="false">I27+J27</f>
        <v>75.77</v>
      </c>
      <c r="L27" s="122" t="n">
        <f aca="false">F27-(I27-AG27)</f>
        <v>-83.7514217292665</v>
      </c>
      <c r="M27" s="244" t="n">
        <v>3.1</v>
      </c>
      <c r="N27" s="122" t="n">
        <v>0</v>
      </c>
      <c r="O27" s="122" t="n">
        <v>0</v>
      </c>
      <c r="P27" s="215" t="n">
        <v>0</v>
      </c>
      <c r="Q27" s="119" t="n">
        <f aca="false">1.38*1.02</f>
        <v>1.4076</v>
      </c>
      <c r="R27" s="119" t="n">
        <v>2.29</v>
      </c>
      <c r="S27" s="119" t="n">
        <v>0</v>
      </c>
      <c r="T27" s="84" t="n">
        <f aca="false">M27-(Q27+R27+S27)</f>
        <v>-0.5976</v>
      </c>
      <c r="U27" s="122" t="n">
        <v>89</v>
      </c>
      <c r="V27" s="122" t="n">
        <v>0</v>
      </c>
      <c r="W27" s="122" t="n">
        <f aca="false">M27-N27-O27-P27-Q27-R27-S27-T27+U27+V27</f>
        <v>89</v>
      </c>
      <c r="X27" s="218"/>
      <c r="Y27" s="218"/>
      <c r="Z27" s="95"/>
      <c r="AA27" s="122" t="n">
        <v>0</v>
      </c>
      <c r="AB27" s="244"/>
      <c r="AC27" s="245"/>
      <c r="AD27" s="122" t="n">
        <v>31</v>
      </c>
      <c r="AE27" s="95" t="n">
        <f aca="false">AE26-AD27</f>
        <v>3511</v>
      </c>
      <c r="AF27" s="95"/>
      <c r="AG27" s="121" t="n">
        <f aca="false">N27+O27+P27+Q27+R27+S27+T27+W27+AA27+AD27</f>
        <v>123.1</v>
      </c>
      <c r="AH27" s="122" t="n">
        <f aca="false">IF(L27&lt;0,L27*-1,0)</f>
        <v>83.7514217292665</v>
      </c>
      <c r="AI27" s="122" t="n">
        <f aca="false">AG27+AH27</f>
        <v>206.851421729266</v>
      </c>
      <c r="AJ27" s="221" t="n">
        <v>0</v>
      </c>
      <c r="AK27" s="95" t="n">
        <v>34</v>
      </c>
      <c r="AL27" s="222" t="n">
        <v>5</v>
      </c>
      <c r="AM27" s="133" t="n">
        <f aca="false">AM26+(W27*1.9835)</f>
        <v>5514.72505</v>
      </c>
      <c r="AN27" s="218" t="n">
        <v>0</v>
      </c>
      <c r="AO27" s="223"/>
    </row>
    <row r="28" customFormat="false" ht="12.95" hidden="false" customHeight="true" outlineLevel="0" collapsed="false">
      <c r="A28" s="155" t="n">
        <f aca="false">A27+1</f>
        <v>17</v>
      </c>
      <c r="B28" s="94" t="n">
        <v>6900.76</v>
      </c>
      <c r="C28" s="95" t="n">
        <v>286393</v>
      </c>
      <c r="D28" s="133" t="n">
        <f aca="false">C28-C27</f>
        <v>-111</v>
      </c>
      <c r="E28" s="95" t="n">
        <f aca="false">C28-152000</f>
        <v>134393</v>
      </c>
      <c r="F28" s="243" t="n">
        <f aca="false">D28/$D$2</f>
        <v>-55.9616838921099</v>
      </c>
      <c r="G28" s="122" t="n">
        <v>73</v>
      </c>
      <c r="H28" s="215" t="n">
        <v>0.74</v>
      </c>
      <c r="I28" s="122" t="n">
        <f aca="false">G28+H28</f>
        <v>73.74</v>
      </c>
      <c r="J28" s="218" t="n">
        <f aca="false">IF(L28&gt;0,L28,0)</f>
        <v>0</v>
      </c>
      <c r="K28" s="122" t="n">
        <f aca="false">I28+J28</f>
        <v>73.74</v>
      </c>
      <c r="L28" s="122" t="n">
        <f aca="false">F28-(I28-AG28)</f>
        <v>-30.1016838921099</v>
      </c>
      <c r="M28" s="244" t="n">
        <v>3.6</v>
      </c>
      <c r="N28" s="122" t="n">
        <v>0</v>
      </c>
      <c r="O28" s="122" t="n">
        <v>0</v>
      </c>
      <c r="P28" s="215" t="n">
        <v>0</v>
      </c>
      <c r="Q28" s="119" t="n">
        <f aca="false">1.38*1.02</f>
        <v>1.4076</v>
      </c>
      <c r="R28" s="119" t="n">
        <v>2.03</v>
      </c>
      <c r="S28" s="119" t="n">
        <v>0</v>
      </c>
      <c r="T28" s="84" t="n">
        <f aca="false">M28-(Q28+R28+S28)</f>
        <v>0.1624</v>
      </c>
      <c r="U28" s="122" t="n">
        <v>65</v>
      </c>
      <c r="V28" s="122" t="n">
        <v>0</v>
      </c>
      <c r="W28" s="122" t="n">
        <f aca="false">M28-N28-O28-P28-Q28-R28-S28-T28+U28+V28</f>
        <v>65</v>
      </c>
      <c r="X28" s="218"/>
      <c r="Y28" s="218"/>
      <c r="Z28" s="95"/>
      <c r="AA28" s="122" t="n">
        <v>0</v>
      </c>
      <c r="AB28" s="244"/>
      <c r="AC28" s="245"/>
      <c r="AD28" s="122" t="n">
        <v>31</v>
      </c>
      <c r="AE28" s="95" t="n">
        <f aca="false">AE27-AD28</f>
        <v>3480</v>
      </c>
      <c r="AF28" s="95"/>
      <c r="AG28" s="121" t="n">
        <f aca="false">N28+O28+P28+Q28+R28+S28+T28+W28+AA28+AD28</f>
        <v>99.6</v>
      </c>
      <c r="AH28" s="122" t="n">
        <f aca="false">IF(L28&lt;0,L28*-1,0)</f>
        <v>30.1016838921099</v>
      </c>
      <c r="AI28" s="122" t="n">
        <f aca="false">AG28+AH28</f>
        <v>129.70168389211</v>
      </c>
      <c r="AJ28" s="221" t="n">
        <v>0</v>
      </c>
      <c r="AK28" s="95" t="n">
        <v>40</v>
      </c>
      <c r="AL28" s="222" t="n">
        <v>12</v>
      </c>
      <c r="AM28" s="133" t="n">
        <f aca="false">AM27+(W28*1.9835)</f>
        <v>5643.65255</v>
      </c>
      <c r="AN28" s="218" t="n">
        <v>0</v>
      </c>
      <c r="AO28" s="223"/>
    </row>
    <row r="29" customFormat="false" ht="12.95" hidden="false" customHeight="true" outlineLevel="0" collapsed="false">
      <c r="A29" s="155" t="n">
        <f aca="false">A28+1</f>
        <v>18</v>
      </c>
      <c r="B29" s="94" t="n">
        <v>6900.75</v>
      </c>
      <c r="C29" s="95" t="n">
        <v>286356</v>
      </c>
      <c r="D29" s="133" t="n">
        <f aca="false">C29-C28</f>
        <v>-37</v>
      </c>
      <c r="E29" s="95" t="n">
        <f aca="false">C29-152000</f>
        <v>134356</v>
      </c>
      <c r="F29" s="243" t="n">
        <f aca="false">D29/$D$2</f>
        <v>-18.6538946307033</v>
      </c>
      <c r="G29" s="122" t="n">
        <v>73</v>
      </c>
      <c r="H29" s="215" t="n">
        <v>1.2</v>
      </c>
      <c r="I29" s="122" t="n">
        <f aca="false">G29+H29</f>
        <v>74.2</v>
      </c>
      <c r="J29" s="218" t="n">
        <f aca="false">IF(L29&gt;0,L29,0)</f>
        <v>0</v>
      </c>
      <c r="K29" s="122" t="n">
        <f aca="false">I29+J29</f>
        <v>74.2</v>
      </c>
      <c r="L29" s="122" t="n">
        <f aca="false">F29-(I29-AG29)</f>
        <v>-19.3538946307033</v>
      </c>
      <c r="M29" s="244" t="n">
        <v>3.5</v>
      </c>
      <c r="N29" s="122" t="n">
        <v>0</v>
      </c>
      <c r="O29" s="122" t="n">
        <v>0</v>
      </c>
      <c r="P29" s="215" t="n">
        <v>0</v>
      </c>
      <c r="Q29" s="119" t="n">
        <f aca="false">1.38*1.02</f>
        <v>1.4076</v>
      </c>
      <c r="R29" s="119" t="n">
        <v>2.57</v>
      </c>
      <c r="S29" s="119" t="n">
        <v>0</v>
      </c>
      <c r="T29" s="84" t="n">
        <f aca="false">M29-(Q29+R29+S29)</f>
        <v>-0.4776</v>
      </c>
      <c r="U29" s="122" t="n">
        <v>39</v>
      </c>
      <c r="V29" s="122" t="n">
        <v>0</v>
      </c>
      <c r="W29" s="122" t="n">
        <f aca="false">M29-N29-O29-P29-Q29-R29-S29-T29+U29+V29</f>
        <v>39</v>
      </c>
      <c r="X29" s="218"/>
      <c r="Y29" s="218"/>
      <c r="Z29" s="95"/>
      <c r="AA29" s="122" t="n">
        <v>0</v>
      </c>
      <c r="AB29" s="244"/>
      <c r="AC29" s="245"/>
      <c r="AD29" s="122" t="n">
        <v>31</v>
      </c>
      <c r="AE29" s="95" t="n">
        <f aca="false">AE28-AD29</f>
        <v>3449</v>
      </c>
      <c r="AF29" s="95"/>
      <c r="AG29" s="121" t="n">
        <f aca="false">N29+O29+P29+Q29+R29+S29+T29+W29+AA29+AD29</f>
        <v>73.5</v>
      </c>
      <c r="AH29" s="122" t="n">
        <f aca="false">IF(L29&lt;0,L29*-1,0)</f>
        <v>19.3538946307033</v>
      </c>
      <c r="AI29" s="122" t="n">
        <f aca="false">AG29+AH29</f>
        <v>92.8538946307033</v>
      </c>
      <c r="AJ29" s="221" t="n">
        <v>0</v>
      </c>
      <c r="AK29" s="95" t="n">
        <v>41</v>
      </c>
      <c r="AL29" s="222" t="n">
        <v>15</v>
      </c>
      <c r="AM29" s="133" t="n">
        <f aca="false">AM28+(W29*1.9835)</f>
        <v>5721.00905</v>
      </c>
      <c r="AN29" s="218" t="n">
        <v>0</v>
      </c>
      <c r="AO29" s="223"/>
    </row>
    <row r="30" customFormat="false" ht="12.95" hidden="false" customHeight="true" outlineLevel="0" collapsed="false">
      <c r="A30" s="155" t="n">
        <f aca="false">A29+1</f>
        <v>19</v>
      </c>
      <c r="B30" s="94" t="n">
        <v>6900.74</v>
      </c>
      <c r="C30" s="95" t="n">
        <v>286319</v>
      </c>
      <c r="D30" s="133" t="n">
        <f aca="false">C30-C29</f>
        <v>-37</v>
      </c>
      <c r="E30" s="95" t="n">
        <f aca="false">C30-152000</f>
        <v>134319</v>
      </c>
      <c r="F30" s="243" t="n">
        <f aca="false">D30/$D$2</f>
        <v>-18.6538946307033</v>
      </c>
      <c r="G30" s="122" t="n">
        <v>73</v>
      </c>
      <c r="H30" s="215" t="n">
        <v>1.5</v>
      </c>
      <c r="I30" s="122" t="n">
        <f aca="false">G30+H30</f>
        <v>74.5</v>
      </c>
      <c r="J30" s="218" t="n">
        <f aca="false">IF(L30&gt;0,L30,0)</f>
        <v>0</v>
      </c>
      <c r="K30" s="122" t="n">
        <f aca="false">I30+J30</f>
        <v>74.5</v>
      </c>
      <c r="L30" s="122" t="n">
        <f aca="false">F30-(I30-AG30)</f>
        <v>-20.0538946307033</v>
      </c>
      <c r="M30" s="244" t="n">
        <v>3.1</v>
      </c>
      <c r="N30" s="122" t="n">
        <v>0</v>
      </c>
      <c r="O30" s="122" t="n">
        <v>0</v>
      </c>
      <c r="P30" s="215" t="n">
        <v>0</v>
      </c>
      <c r="Q30" s="119" t="n">
        <f aca="false">1.38*1.02</f>
        <v>1.4076</v>
      </c>
      <c r="R30" s="119" t="n">
        <v>3.38</v>
      </c>
      <c r="S30" s="119" t="n">
        <v>0</v>
      </c>
      <c r="T30" s="84" t="n">
        <f aca="false">M30-(Q30+R30+S30)</f>
        <v>-1.6876</v>
      </c>
      <c r="U30" s="122" t="n">
        <v>39</v>
      </c>
      <c r="V30" s="122" t="n">
        <v>0</v>
      </c>
      <c r="W30" s="122" t="n">
        <f aca="false">M30-N30-O30-P30-Q30-R30-S30-T30+U30+V30</f>
        <v>39</v>
      </c>
      <c r="X30" s="218"/>
      <c r="Y30" s="218"/>
      <c r="Z30" s="95"/>
      <c r="AA30" s="122" t="n">
        <v>0</v>
      </c>
      <c r="AB30" s="244"/>
      <c r="AC30" s="245"/>
      <c r="AD30" s="122" t="n">
        <v>31</v>
      </c>
      <c r="AE30" s="95" t="n">
        <f aca="false">AE29-AD30</f>
        <v>3418</v>
      </c>
      <c r="AF30" s="95"/>
      <c r="AG30" s="121" t="n">
        <f aca="false">N30+O30+P30+Q30+R30+S30+T30+W30+AA30+AD30</f>
        <v>73.1</v>
      </c>
      <c r="AH30" s="122" t="n">
        <f aca="false">IF(L30&lt;0,L30*-1,0)</f>
        <v>20.0538946307033</v>
      </c>
      <c r="AI30" s="122" t="n">
        <f aca="false">AG30+AH30</f>
        <v>93.1538946307033</v>
      </c>
      <c r="AJ30" s="221" t="n">
        <v>0.01</v>
      </c>
      <c r="AK30" s="95" t="n">
        <v>34</v>
      </c>
      <c r="AL30" s="222" t="n">
        <v>19</v>
      </c>
      <c r="AM30" s="133" t="n">
        <f aca="false">AM29+(W30*1.9835)</f>
        <v>5798.36555</v>
      </c>
      <c r="AN30" s="218" t="n">
        <v>0</v>
      </c>
      <c r="AO30" s="223"/>
    </row>
    <row r="31" customFormat="false" ht="12.95" hidden="false" customHeight="true" outlineLevel="0" collapsed="false">
      <c r="A31" s="155" t="n">
        <f aca="false">A30+1</f>
        <v>20</v>
      </c>
      <c r="B31" s="94" t="n">
        <v>6900.73</v>
      </c>
      <c r="C31" s="95" t="n">
        <v>286282</v>
      </c>
      <c r="D31" s="133" t="n">
        <f aca="false">C31-C30</f>
        <v>-37</v>
      </c>
      <c r="E31" s="95" t="n">
        <f aca="false">C31-152000</f>
        <v>134282</v>
      </c>
      <c r="F31" s="243" t="n">
        <f aca="false">D31/$D$2</f>
        <v>-18.6538946307033</v>
      </c>
      <c r="G31" s="122" t="n">
        <v>73</v>
      </c>
      <c r="H31" s="215" t="n">
        <v>1.5</v>
      </c>
      <c r="I31" s="122" t="n">
        <f aca="false">G31+H31</f>
        <v>74.5</v>
      </c>
      <c r="J31" s="218" t="n">
        <f aca="false">IF(L31&gt;0,L31,0)</f>
        <v>0</v>
      </c>
      <c r="K31" s="122" t="n">
        <f aca="false">I31+J31</f>
        <v>74.5</v>
      </c>
      <c r="L31" s="122" t="n">
        <f aca="false">F31-(I31-AG31)</f>
        <v>-21.1538946307033</v>
      </c>
      <c r="M31" s="244" t="n">
        <v>3</v>
      </c>
      <c r="N31" s="122" t="n">
        <v>0</v>
      </c>
      <c r="O31" s="122" t="n">
        <v>0</v>
      </c>
      <c r="P31" s="215" t="n">
        <v>0</v>
      </c>
      <c r="Q31" s="119" t="n">
        <f aca="false">1.38*1.02</f>
        <v>1.4076</v>
      </c>
      <c r="R31" s="119" t="n">
        <v>3.01</v>
      </c>
      <c r="S31" s="119" t="n">
        <v>0</v>
      </c>
      <c r="T31" s="84" t="n">
        <f aca="false">M31-(Q31+R31+S31)</f>
        <v>-1.4176</v>
      </c>
      <c r="U31" s="122" t="n">
        <v>38</v>
      </c>
      <c r="V31" s="122" t="n">
        <v>0</v>
      </c>
      <c r="W31" s="122" t="n">
        <f aca="false">M31-N31-O31-P31-Q31-R31-S31-T31+U31+V31</f>
        <v>38</v>
      </c>
      <c r="X31" s="218"/>
      <c r="Y31" s="218"/>
      <c r="Z31" s="95"/>
      <c r="AA31" s="122" t="n">
        <v>0</v>
      </c>
      <c r="AB31" s="244"/>
      <c r="AC31" s="245"/>
      <c r="AD31" s="122" t="n">
        <v>31</v>
      </c>
      <c r="AE31" s="95" t="n">
        <f aca="false">AE30-AD31</f>
        <v>3387</v>
      </c>
      <c r="AF31" s="95"/>
      <c r="AG31" s="121" t="n">
        <f aca="false">N31+O31+P31+Q31+R31+S31+T31+W31+AA31+AD31</f>
        <v>72</v>
      </c>
      <c r="AH31" s="122" t="n">
        <f aca="false">IF(L31&lt;0,L31*-1,0)</f>
        <v>21.1538946307033</v>
      </c>
      <c r="AI31" s="122" t="n">
        <f aca="false">AG31+AH31</f>
        <v>93.1538946307033</v>
      </c>
      <c r="AJ31" s="221" t="n">
        <v>0</v>
      </c>
      <c r="AK31" s="95" t="n">
        <v>39</v>
      </c>
      <c r="AL31" s="222" t="n">
        <v>0</v>
      </c>
      <c r="AM31" s="133" t="n">
        <f aca="false">AM30+(W31*1.9835)</f>
        <v>5873.73855</v>
      </c>
      <c r="AN31" s="218" t="n">
        <v>0</v>
      </c>
      <c r="AO31" s="223"/>
    </row>
    <row r="32" customFormat="false" ht="12.95" hidden="false" customHeight="true" outlineLevel="0" collapsed="false">
      <c r="A32" s="155" t="n">
        <f aca="false">A31+1</f>
        <v>21</v>
      </c>
      <c r="B32" s="94" t="n">
        <v>6900.74</v>
      </c>
      <c r="C32" s="95" t="n">
        <v>286319</v>
      </c>
      <c r="D32" s="133" t="n">
        <f aca="false">C32-C31</f>
        <v>37</v>
      </c>
      <c r="E32" s="95" t="n">
        <f aca="false">C32-152000</f>
        <v>134319</v>
      </c>
      <c r="F32" s="243" t="n">
        <f aca="false">D32/$D$2</f>
        <v>18.6538946307033</v>
      </c>
      <c r="G32" s="122" t="n">
        <v>73</v>
      </c>
      <c r="H32" s="215" t="n">
        <v>1.7</v>
      </c>
      <c r="I32" s="122" t="n">
        <f aca="false">G32+H32</f>
        <v>74.7</v>
      </c>
      <c r="J32" s="218" t="n">
        <f aca="false">IF(L32&gt;0,L32,0)</f>
        <v>15.2538946307033</v>
      </c>
      <c r="K32" s="122" t="n">
        <f aca="false">I32+J32</f>
        <v>89.9538946307033</v>
      </c>
      <c r="L32" s="122" t="n">
        <f aca="false">F32-(I32-AG32)</f>
        <v>15.2538946307033</v>
      </c>
      <c r="M32" s="244" t="n">
        <v>3.3</v>
      </c>
      <c r="N32" s="122" t="n">
        <v>0</v>
      </c>
      <c r="O32" s="122" t="n">
        <v>0</v>
      </c>
      <c r="P32" s="215" t="n">
        <v>0</v>
      </c>
      <c r="Q32" s="119" t="n">
        <f aca="false">1.38*1.02</f>
        <v>1.4076</v>
      </c>
      <c r="R32" s="119" t="n">
        <v>2.6</v>
      </c>
      <c r="S32" s="119" t="n">
        <v>0</v>
      </c>
      <c r="T32" s="84" t="n">
        <f aca="false">M32-(Q32+R32+S32)</f>
        <v>-0.7076</v>
      </c>
      <c r="U32" s="122" t="n">
        <v>37</v>
      </c>
      <c r="V32" s="122" t="n">
        <v>0</v>
      </c>
      <c r="W32" s="122" t="n">
        <f aca="false">M32-N32-O32-P32-Q32-R32-S32-T32+U32+V32</f>
        <v>37</v>
      </c>
      <c r="X32" s="218"/>
      <c r="Y32" s="218"/>
      <c r="Z32" s="95"/>
      <c r="AA32" s="122" t="n">
        <v>0</v>
      </c>
      <c r="AB32" s="244"/>
      <c r="AC32" s="245"/>
      <c r="AD32" s="122" t="n">
        <v>31</v>
      </c>
      <c r="AE32" s="95" t="n">
        <f aca="false">AE31-AD32</f>
        <v>3356</v>
      </c>
      <c r="AF32" s="95"/>
      <c r="AG32" s="121" t="n">
        <f aca="false">N32+O32+P32+Q32+R32+S32+T32+W32+AA32+AD32</f>
        <v>71.3</v>
      </c>
      <c r="AH32" s="122" t="n">
        <f aca="false">IF(L32&lt;0,L32*-1,0)</f>
        <v>0</v>
      </c>
      <c r="AI32" s="122" t="n">
        <f aca="false">AG32+AH32</f>
        <v>71.3</v>
      </c>
      <c r="AJ32" s="221" t="n">
        <v>0.08</v>
      </c>
      <c r="AK32" s="95" t="n">
        <v>37</v>
      </c>
      <c r="AL32" s="222" t="n">
        <v>18</v>
      </c>
      <c r="AM32" s="133" t="n">
        <f aca="false">AM31+(W32*1.9835)</f>
        <v>5947.12805</v>
      </c>
      <c r="AN32" s="218" t="n">
        <v>0</v>
      </c>
      <c r="AO32" s="223"/>
    </row>
    <row r="33" customFormat="false" ht="12.95" hidden="false" customHeight="true" outlineLevel="0" collapsed="false">
      <c r="A33" s="155" t="n">
        <f aca="false">A32+1</f>
        <v>22</v>
      </c>
      <c r="B33" s="94" t="n">
        <v>6900.77</v>
      </c>
      <c r="C33" s="95" t="n">
        <v>286430</v>
      </c>
      <c r="D33" s="133" t="n">
        <f aca="false">C33-C32</f>
        <v>111</v>
      </c>
      <c r="E33" s="95" t="n">
        <f aca="false">C33-152000</f>
        <v>134430</v>
      </c>
      <c r="F33" s="243" t="n">
        <f aca="false">D33/$D$2</f>
        <v>55.9616838921099</v>
      </c>
      <c r="G33" s="122" t="n">
        <v>73</v>
      </c>
      <c r="H33" s="215" t="n">
        <v>1.7</v>
      </c>
      <c r="I33" s="122" t="n">
        <f aca="false">G33+H33</f>
        <v>74.7</v>
      </c>
      <c r="J33" s="218" t="n">
        <f aca="false">IF(L33&gt;0,L33,0)</f>
        <v>53.3616838921099</v>
      </c>
      <c r="K33" s="122" t="n">
        <f aca="false">I33+J33</f>
        <v>128.06168389211</v>
      </c>
      <c r="L33" s="122" t="n">
        <f aca="false">F33-(I33-AG33)</f>
        <v>53.3616838921099</v>
      </c>
      <c r="M33" s="244" t="n">
        <v>3.1</v>
      </c>
      <c r="N33" s="122" t="n">
        <v>0</v>
      </c>
      <c r="O33" s="122" t="n">
        <v>0</v>
      </c>
      <c r="P33" s="215" t="n">
        <v>0</v>
      </c>
      <c r="Q33" s="119" t="n">
        <f aca="false">1.38*1.02</f>
        <v>1.4076</v>
      </c>
      <c r="R33" s="119" t="n">
        <v>2.55</v>
      </c>
      <c r="S33" s="119" t="n">
        <v>0</v>
      </c>
      <c r="T33" s="84" t="n">
        <f aca="false">M33-(Q33+R33+S33)</f>
        <v>-0.8576</v>
      </c>
      <c r="U33" s="122" t="n">
        <v>38</v>
      </c>
      <c r="V33" s="122" t="n">
        <v>0</v>
      </c>
      <c r="W33" s="122" t="n">
        <f aca="false">M33-N33-O33-P33-Q33-R33-S33-T33+U33+V33</f>
        <v>38</v>
      </c>
      <c r="X33" s="218"/>
      <c r="Y33" s="218"/>
      <c r="Z33" s="95"/>
      <c r="AA33" s="122" t="n">
        <v>0</v>
      </c>
      <c r="AB33" s="244"/>
      <c r="AC33" s="245"/>
      <c r="AD33" s="122" t="n">
        <v>31</v>
      </c>
      <c r="AE33" s="95" t="n">
        <f aca="false">AE32-AD33</f>
        <v>3325</v>
      </c>
      <c r="AF33" s="95"/>
      <c r="AG33" s="121" t="n">
        <f aca="false">N33+O33+P33+Q33+R33+S33+T33+W33+AA33+AD33</f>
        <v>72.1</v>
      </c>
      <c r="AH33" s="122" t="n">
        <f aca="false">IF(L33&lt;0,L33*-1,0)</f>
        <v>0</v>
      </c>
      <c r="AI33" s="122" t="n">
        <f aca="false">AG33+AH33</f>
        <v>72.1</v>
      </c>
      <c r="AJ33" s="221" t="n">
        <v>0.08</v>
      </c>
      <c r="AK33" s="95" t="n">
        <v>32</v>
      </c>
      <c r="AL33" s="222" t="n">
        <v>12</v>
      </c>
      <c r="AM33" s="133" t="n">
        <f aca="false">AM32+(W33*1.9835)</f>
        <v>6022.50105</v>
      </c>
      <c r="AN33" s="218" t="n">
        <v>0</v>
      </c>
      <c r="AO33" s="223"/>
    </row>
    <row r="34" customFormat="false" ht="12.95" hidden="false" customHeight="true" outlineLevel="0" collapsed="false">
      <c r="A34" s="155" t="n">
        <f aca="false">A33+1</f>
        <v>23</v>
      </c>
      <c r="B34" s="94" t="n">
        <v>6900.76</v>
      </c>
      <c r="C34" s="95" t="n">
        <v>286393</v>
      </c>
      <c r="D34" s="133" t="n">
        <f aca="false">C34-C33</f>
        <v>-37</v>
      </c>
      <c r="E34" s="95" t="n">
        <f aca="false">C34-152000</f>
        <v>134393</v>
      </c>
      <c r="F34" s="243" t="n">
        <f aca="false">D34/$D$2</f>
        <v>-18.6538946307033</v>
      </c>
      <c r="G34" s="122" t="n">
        <v>73</v>
      </c>
      <c r="H34" s="215" t="n">
        <v>1.9</v>
      </c>
      <c r="I34" s="122" t="n">
        <f aca="false">G34+H34</f>
        <v>74.9</v>
      </c>
      <c r="J34" s="218" t="n">
        <f aca="false">IF(L34&gt;0,L34,0)</f>
        <v>0</v>
      </c>
      <c r="K34" s="122" t="n">
        <f aca="false">I34+J34</f>
        <v>74.9</v>
      </c>
      <c r="L34" s="122" t="n">
        <f aca="false">F34-(I34-AG34)</f>
        <v>-21.4538946307033</v>
      </c>
      <c r="M34" s="244" t="n">
        <v>3.1</v>
      </c>
      <c r="N34" s="122" t="n">
        <v>0</v>
      </c>
      <c r="O34" s="122" t="n">
        <v>0</v>
      </c>
      <c r="P34" s="215" t="n">
        <v>0</v>
      </c>
      <c r="Q34" s="119" t="n">
        <f aca="false">1.38*1.02</f>
        <v>1.4076</v>
      </c>
      <c r="R34" s="119" t="n">
        <v>2.52</v>
      </c>
      <c r="S34" s="119" t="n">
        <v>0</v>
      </c>
      <c r="T34" s="84" t="n">
        <f aca="false">M34-(Q34+R34+S34)</f>
        <v>-0.8276</v>
      </c>
      <c r="U34" s="122" t="n">
        <v>38</v>
      </c>
      <c r="V34" s="122" t="n">
        <v>0</v>
      </c>
      <c r="W34" s="122" t="n">
        <f aca="false">M34-N34-O34-P34-Q34-R34-S34-T34+U34+V34</f>
        <v>38</v>
      </c>
      <c r="X34" s="218"/>
      <c r="Y34" s="218"/>
      <c r="Z34" s="95"/>
      <c r="AA34" s="122" t="n">
        <v>0</v>
      </c>
      <c r="AB34" s="244"/>
      <c r="AC34" s="245"/>
      <c r="AD34" s="122" t="n">
        <v>31</v>
      </c>
      <c r="AE34" s="95" t="n">
        <f aca="false">AE33-AD34</f>
        <v>3294</v>
      </c>
      <c r="AF34" s="95"/>
      <c r="AG34" s="121" t="n">
        <f aca="false">N34+O34+P34+Q34+R34+S34+T34+W34+AA34+AD34</f>
        <v>72.1</v>
      </c>
      <c r="AH34" s="122" t="n">
        <f aca="false">IF(L34&lt;0,L34*-1,0)</f>
        <v>21.4538946307033</v>
      </c>
      <c r="AI34" s="122" t="n">
        <f aca="false">AG34+AH34</f>
        <v>93.5538946307033</v>
      </c>
      <c r="AJ34" s="221" t="n">
        <v>0</v>
      </c>
      <c r="AK34" s="95" t="n">
        <v>36</v>
      </c>
      <c r="AL34" s="246" t="n">
        <v>11</v>
      </c>
      <c r="AM34" s="133" t="n">
        <f aca="false">AM33+(W34*1.9835)</f>
        <v>6097.87405</v>
      </c>
      <c r="AN34" s="218" t="n">
        <v>0</v>
      </c>
      <c r="AO34" s="223"/>
    </row>
    <row r="35" customFormat="false" ht="12.95" hidden="false" customHeight="true" outlineLevel="0" collapsed="false">
      <c r="A35" s="155" t="n">
        <f aca="false">A34+1</f>
        <v>24</v>
      </c>
      <c r="B35" s="94" t="n">
        <v>6900.75</v>
      </c>
      <c r="C35" s="95" t="n">
        <v>286356</v>
      </c>
      <c r="D35" s="133" t="n">
        <f aca="false">C35-C34</f>
        <v>-37</v>
      </c>
      <c r="E35" s="95" t="n">
        <f aca="false">C35-152000</f>
        <v>134356</v>
      </c>
      <c r="F35" s="243" t="n">
        <f aca="false">D35/$D$2</f>
        <v>-18.6538946307033</v>
      </c>
      <c r="G35" s="122" t="n">
        <v>73</v>
      </c>
      <c r="H35" s="215" t="n">
        <v>1.4</v>
      </c>
      <c r="I35" s="122" t="n">
        <f aca="false">G35+H35</f>
        <v>74.4</v>
      </c>
      <c r="J35" s="218" t="n">
        <f aca="false">IF(L35&gt;0,L35,0)</f>
        <v>0</v>
      </c>
      <c r="K35" s="122" t="n">
        <f aca="false">I35+J35</f>
        <v>74.4</v>
      </c>
      <c r="L35" s="122" t="n">
        <f aca="false">F35-(I35-AG35)</f>
        <v>-20.8538946307033</v>
      </c>
      <c r="M35" s="244" t="n">
        <v>3.2</v>
      </c>
      <c r="N35" s="122" t="n">
        <v>0</v>
      </c>
      <c r="O35" s="122" t="n">
        <v>0</v>
      </c>
      <c r="P35" s="215" t="n">
        <v>0</v>
      </c>
      <c r="Q35" s="119" t="n">
        <f aca="false">1.38*1.02</f>
        <v>1.4076</v>
      </c>
      <c r="R35" s="119" t="n">
        <v>2.6</v>
      </c>
      <c r="S35" s="119" t="n">
        <v>0</v>
      </c>
      <c r="T35" s="84" t="n">
        <f aca="false">M35-(Q35+R35+S35)</f>
        <v>-0.8076</v>
      </c>
      <c r="U35" s="122" t="n">
        <v>38</v>
      </c>
      <c r="V35" s="122" t="n">
        <v>0</v>
      </c>
      <c r="W35" s="122" t="n">
        <f aca="false">M35-N35-O35-P35-Q35-R35-S35-T35+U35+V35</f>
        <v>38</v>
      </c>
      <c r="X35" s="218"/>
      <c r="Y35" s="218"/>
      <c r="Z35" s="95"/>
      <c r="AA35" s="122" t="n">
        <v>0</v>
      </c>
      <c r="AB35" s="244"/>
      <c r="AC35" s="245"/>
      <c r="AD35" s="122" t="n">
        <v>31</v>
      </c>
      <c r="AE35" s="95" t="n">
        <f aca="false">AE34-AD35</f>
        <v>3263</v>
      </c>
      <c r="AF35" s="95"/>
      <c r="AG35" s="121" t="n">
        <f aca="false">N35+O35+P35+Q35+R35+S35+T35+W35+AA35+AD35</f>
        <v>72.2</v>
      </c>
      <c r="AH35" s="122" t="n">
        <f aca="false">IF(L35&lt;0,L35*-1,0)</f>
        <v>20.8538946307033</v>
      </c>
      <c r="AI35" s="122" t="n">
        <f aca="false">AG35+AH35</f>
        <v>93.0538946307033</v>
      </c>
      <c r="AJ35" s="221" t="n">
        <v>0</v>
      </c>
      <c r="AK35" s="95" t="n">
        <v>37</v>
      </c>
      <c r="AL35" s="246" t="n">
        <v>13</v>
      </c>
      <c r="AM35" s="133" t="n">
        <f aca="false">AM34+(W35*1.9835)</f>
        <v>6173.24705</v>
      </c>
      <c r="AN35" s="218" t="n">
        <v>0</v>
      </c>
      <c r="AO35" s="223"/>
    </row>
    <row r="36" customFormat="false" ht="12.95" hidden="false" customHeight="true" outlineLevel="0" collapsed="false">
      <c r="A36" s="155" t="n">
        <f aca="false">A35+1</f>
        <v>25</v>
      </c>
      <c r="B36" s="94" t="n">
        <v>6900.74</v>
      </c>
      <c r="C36" s="95" t="n">
        <v>286319</v>
      </c>
      <c r="D36" s="133" t="n">
        <f aca="false">C36-C35</f>
        <v>-37</v>
      </c>
      <c r="E36" s="95" t="n">
        <f aca="false">C36-152000</f>
        <v>134319</v>
      </c>
      <c r="F36" s="243" t="n">
        <f aca="false">D36/$D$2</f>
        <v>-18.6538946307033</v>
      </c>
      <c r="G36" s="122" t="n">
        <v>73</v>
      </c>
      <c r="H36" s="215" t="n">
        <v>1.6</v>
      </c>
      <c r="I36" s="122" t="n">
        <f aca="false">G36+H36</f>
        <v>74.6</v>
      </c>
      <c r="J36" s="218" t="n">
        <f aca="false">IF(L36&gt;0,L36,0)</f>
        <v>0</v>
      </c>
      <c r="K36" s="122" t="n">
        <f aca="false">I36+J36</f>
        <v>74.6</v>
      </c>
      <c r="L36" s="122" t="n">
        <f aca="false">F36-(I36-AG36)</f>
        <v>-20.8538946307033</v>
      </c>
      <c r="M36" s="244" t="n">
        <v>3.4</v>
      </c>
      <c r="N36" s="122" t="n">
        <v>0</v>
      </c>
      <c r="O36" s="122" t="n">
        <v>0</v>
      </c>
      <c r="P36" s="215" t="n">
        <v>0</v>
      </c>
      <c r="Q36" s="119" t="n">
        <f aca="false">1.38*1.02</f>
        <v>1.4076</v>
      </c>
      <c r="R36" s="119" t="n">
        <v>2.5</v>
      </c>
      <c r="S36" s="119" t="n">
        <v>0</v>
      </c>
      <c r="T36" s="84" t="n">
        <f aca="false">M36-(Q36+R36+S36)</f>
        <v>-0.5076</v>
      </c>
      <c r="U36" s="122" t="n">
        <v>38</v>
      </c>
      <c r="V36" s="122" t="n">
        <v>0</v>
      </c>
      <c r="W36" s="122" t="n">
        <f aca="false">M36-N36-O36-P36-Q36-R36-S36-T36+U36+V36</f>
        <v>38</v>
      </c>
      <c r="X36" s="218"/>
      <c r="Y36" s="218"/>
      <c r="Z36" s="95"/>
      <c r="AA36" s="122" t="n">
        <v>0</v>
      </c>
      <c r="AB36" s="244"/>
      <c r="AC36" s="245"/>
      <c r="AD36" s="122" t="n">
        <v>31</v>
      </c>
      <c r="AE36" s="95" t="n">
        <f aca="false">AE35-AD36</f>
        <v>3232</v>
      </c>
      <c r="AF36" s="95"/>
      <c r="AG36" s="121" t="n">
        <f aca="false">N36+O36+P36+Q36+R36+S36+T36+W36+AA36+AD36</f>
        <v>72.4</v>
      </c>
      <c r="AH36" s="122" t="n">
        <f aca="false">IF(L36&lt;0,L36*-1,0)</f>
        <v>20.8538946307033</v>
      </c>
      <c r="AI36" s="122" t="n">
        <f aca="false">AG36+AH36</f>
        <v>93.2538946307033</v>
      </c>
      <c r="AJ36" s="221" t="n">
        <v>0</v>
      </c>
      <c r="AK36" s="95" t="n">
        <v>32</v>
      </c>
      <c r="AL36" s="246" t="n">
        <v>12</v>
      </c>
      <c r="AM36" s="133" t="n">
        <f aca="false">AM35+(W36*1.9835)</f>
        <v>6248.62005</v>
      </c>
      <c r="AN36" s="218" t="n">
        <v>0</v>
      </c>
      <c r="AO36" s="223"/>
    </row>
    <row r="37" customFormat="false" ht="12.95" hidden="false" customHeight="true" outlineLevel="0" collapsed="false">
      <c r="A37" s="155" t="n">
        <f aca="false">A36+1</f>
        <v>26</v>
      </c>
      <c r="B37" s="94" t="n">
        <v>6900.73</v>
      </c>
      <c r="C37" s="95" t="n">
        <v>286282</v>
      </c>
      <c r="D37" s="133" t="n">
        <f aca="false">C37-C36</f>
        <v>-37</v>
      </c>
      <c r="E37" s="95" t="n">
        <f aca="false">C37-152000</f>
        <v>134282</v>
      </c>
      <c r="F37" s="243" t="n">
        <f aca="false">D37/$D$2</f>
        <v>-18.6538946307033</v>
      </c>
      <c r="G37" s="122" t="n">
        <v>73</v>
      </c>
      <c r="H37" s="215" t="n">
        <v>1.9</v>
      </c>
      <c r="I37" s="122" t="n">
        <f aca="false">G37+H37</f>
        <v>74.9</v>
      </c>
      <c r="J37" s="218" t="n">
        <f aca="false">IF(L37&gt;0,L37,0)</f>
        <v>0</v>
      </c>
      <c r="K37" s="122" t="n">
        <f aca="false">I37+J37</f>
        <v>74.9</v>
      </c>
      <c r="L37" s="122" t="n">
        <f aca="false">F37-(I37-AG37)</f>
        <v>-21.2538946307033</v>
      </c>
      <c r="M37" s="244" t="n">
        <v>3.3</v>
      </c>
      <c r="N37" s="122" t="n">
        <v>0</v>
      </c>
      <c r="O37" s="122" t="n">
        <v>0</v>
      </c>
      <c r="P37" s="215" t="n">
        <v>0</v>
      </c>
      <c r="Q37" s="119" t="n">
        <f aca="false">1.38*1.02</f>
        <v>1.4076</v>
      </c>
      <c r="R37" s="119" t="n">
        <v>2.61</v>
      </c>
      <c r="S37" s="119" t="n">
        <v>0</v>
      </c>
      <c r="T37" s="84" t="n">
        <f aca="false">M37-(Q37+R37+S37)</f>
        <v>-0.7176</v>
      </c>
      <c r="U37" s="122" t="n">
        <v>38</v>
      </c>
      <c r="V37" s="122" t="n">
        <v>0</v>
      </c>
      <c r="W37" s="122" t="n">
        <f aca="false">M37-N37-O37-P37-Q37-R37-S37-T37+U37+V37</f>
        <v>38</v>
      </c>
      <c r="X37" s="218"/>
      <c r="Y37" s="218"/>
      <c r="Z37" s="95"/>
      <c r="AA37" s="122" t="n">
        <v>0</v>
      </c>
      <c r="AB37" s="244"/>
      <c r="AC37" s="245"/>
      <c r="AD37" s="122" t="n">
        <v>31</v>
      </c>
      <c r="AE37" s="95" t="n">
        <f aca="false">AE36-AD37</f>
        <v>3201</v>
      </c>
      <c r="AF37" s="95"/>
      <c r="AG37" s="121" t="n">
        <f aca="false">N37+O37+P37+Q37+R37+S37+T37+W37+AA37+AD37</f>
        <v>72.3</v>
      </c>
      <c r="AH37" s="122" t="n">
        <f aca="false">IF(L37&lt;0,L37*-1,0)</f>
        <v>21.2538946307033</v>
      </c>
      <c r="AI37" s="122" t="n">
        <f aca="false">AG37+AH37</f>
        <v>93.5538946307033</v>
      </c>
      <c r="AJ37" s="221" t="n">
        <v>0</v>
      </c>
      <c r="AK37" s="95" t="n">
        <v>30</v>
      </c>
      <c r="AL37" s="222" t="n">
        <v>6</v>
      </c>
      <c r="AM37" s="133" t="n">
        <f aca="false">AM36+(W37*1.9835)</f>
        <v>6323.99305</v>
      </c>
      <c r="AN37" s="218" t="n">
        <v>0</v>
      </c>
      <c r="AO37" s="223"/>
    </row>
    <row r="38" customFormat="false" ht="12.95" hidden="false" customHeight="true" outlineLevel="0" collapsed="false">
      <c r="A38" s="155" t="n">
        <f aca="false">A37+1</f>
        <v>27</v>
      </c>
      <c r="B38" s="94" t="n">
        <v>6900.72</v>
      </c>
      <c r="C38" s="95" t="n">
        <v>286245</v>
      </c>
      <c r="D38" s="133" t="n">
        <f aca="false">C38-C37</f>
        <v>-37</v>
      </c>
      <c r="E38" s="95" t="n">
        <f aca="false">C38-152000</f>
        <v>134245</v>
      </c>
      <c r="F38" s="243" t="n">
        <f aca="false">D38/$D$2</f>
        <v>-18.6538946307033</v>
      </c>
      <c r="G38" s="122" t="n">
        <v>72</v>
      </c>
      <c r="H38" s="215" t="n">
        <v>2.1</v>
      </c>
      <c r="I38" s="122" t="n">
        <f aca="false">G38+H38</f>
        <v>74.1</v>
      </c>
      <c r="J38" s="218" t="n">
        <f aca="false">IF(L38&gt;0,L38,0)</f>
        <v>0</v>
      </c>
      <c r="K38" s="122" t="n">
        <f aca="false">I38+J38</f>
        <v>74.1</v>
      </c>
      <c r="L38" s="122" t="n">
        <f aca="false">F38-(I38-AG38)</f>
        <v>-21.3538946307033</v>
      </c>
      <c r="M38" s="244" t="n">
        <v>3.4</v>
      </c>
      <c r="N38" s="122" t="n">
        <v>0</v>
      </c>
      <c r="O38" s="122" t="n">
        <v>0</v>
      </c>
      <c r="P38" s="215" t="n">
        <v>0</v>
      </c>
      <c r="Q38" s="119" t="n">
        <f aca="false">1.38*1.02</f>
        <v>1.4076</v>
      </c>
      <c r="R38" s="119" t="n">
        <v>2.45</v>
      </c>
      <c r="S38" s="119" t="n">
        <v>0</v>
      </c>
      <c r="T38" s="84" t="n">
        <f aca="false">M38-(Q38+R38+S38)</f>
        <v>-0.4576</v>
      </c>
      <c r="U38" s="122" t="n">
        <v>38</v>
      </c>
      <c r="V38" s="122" t="n">
        <v>0</v>
      </c>
      <c r="W38" s="122" t="n">
        <f aca="false">M38-N38-O38-P38-Q38-R38-S38-T38+U38+V38</f>
        <v>38</v>
      </c>
      <c r="X38" s="218"/>
      <c r="Y38" s="218"/>
      <c r="Z38" s="95"/>
      <c r="AA38" s="122" t="n">
        <v>0</v>
      </c>
      <c r="AB38" s="244"/>
      <c r="AC38" s="245"/>
      <c r="AD38" s="122" t="n">
        <v>30</v>
      </c>
      <c r="AE38" s="95" t="n">
        <f aca="false">AE37-AD38</f>
        <v>3171</v>
      </c>
      <c r="AF38" s="95"/>
      <c r="AG38" s="121" t="n">
        <f aca="false">N38+O38+P38+Q38+R38+S38+T38+W38+AA38+AD38</f>
        <v>71.4</v>
      </c>
      <c r="AH38" s="122" t="n">
        <f aca="false">IF(L38&lt;0,L38*-1,0)</f>
        <v>21.3538946307033</v>
      </c>
      <c r="AI38" s="122" t="n">
        <f aca="false">AG38+AH38</f>
        <v>92.7538946307033</v>
      </c>
      <c r="AJ38" s="221" t="n">
        <v>0</v>
      </c>
      <c r="AK38" s="95" t="n">
        <v>28</v>
      </c>
      <c r="AL38" s="222" t="n">
        <v>8</v>
      </c>
      <c r="AM38" s="133" t="n">
        <f aca="false">AM37+(W38*1.9835)</f>
        <v>6399.36605</v>
      </c>
      <c r="AN38" s="218" t="n">
        <v>0</v>
      </c>
      <c r="AO38" s="223"/>
    </row>
    <row r="39" customFormat="false" ht="12.95" hidden="false" customHeight="true" outlineLevel="0" collapsed="false">
      <c r="A39" s="155" t="n">
        <f aca="false">A38+1</f>
        <v>28</v>
      </c>
      <c r="B39" s="94" t="n">
        <v>6900.71</v>
      </c>
      <c r="C39" s="95" t="n">
        <v>286208</v>
      </c>
      <c r="D39" s="133" t="n">
        <f aca="false">C39-C38</f>
        <v>-37</v>
      </c>
      <c r="E39" s="95" t="n">
        <f aca="false">C39-152000</f>
        <v>134208</v>
      </c>
      <c r="F39" s="243" t="n">
        <f aca="false">D39/$D$2</f>
        <v>-18.6538946307033</v>
      </c>
      <c r="G39" s="122" t="n">
        <v>71</v>
      </c>
      <c r="H39" s="215" t="n">
        <v>2.5</v>
      </c>
      <c r="I39" s="122" t="n">
        <f aca="false">G39+H39</f>
        <v>73.5</v>
      </c>
      <c r="J39" s="218" t="n">
        <f aca="false">IF(L39&gt;0,L39,0)</f>
        <v>0</v>
      </c>
      <c r="K39" s="122" t="n">
        <f aca="false">I39+J39</f>
        <v>73.5</v>
      </c>
      <c r="L39" s="122" t="n">
        <f aca="false">F39-(I39-AG39)</f>
        <v>-19.7538946307033</v>
      </c>
      <c r="M39" s="244" t="n">
        <v>3.4</v>
      </c>
      <c r="N39" s="122" t="n">
        <v>0</v>
      </c>
      <c r="O39" s="122" t="n">
        <v>0</v>
      </c>
      <c r="P39" s="215" t="n">
        <v>0</v>
      </c>
      <c r="Q39" s="119" t="n">
        <f aca="false">1.38*1.02</f>
        <v>1.4076</v>
      </c>
      <c r="R39" s="119" t="n">
        <v>2.59</v>
      </c>
      <c r="S39" s="119" t="n">
        <v>0</v>
      </c>
      <c r="T39" s="84" t="n">
        <f aca="false">M39-(Q39+R39+S39)</f>
        <v>-0.5976</v>
      </c>
      <c r="U39" s="122" t="n">
        <v>38</v>
      </c>
      <c r="V39" s="122" t="n">
        <v>0</v>
      </c>
      <c r="W39" s="122" t="n">
        <f aca="false">M39-N39-O39-P39-Q39-R39-S39-T39+U39+V39</f>
        <v>38</v>
      </c>
      <c r="X39" s="218"/>
      <c r="Y39" s="218"/>
      <c r="Z39" s="95"/>
      <c r="AA39" s="122" t="n">
        <v>0</v>
      </c>
      <c r="AB39" s="244"/>
      <c r="AC39" s="245"/>
      <c r="AD39" s="122" t="n">
        <v>31</v>
      </c>
      <c r="AE39" s="95" t="n">
        <f aca="false">AE38-AD39</f>
        <v>3140</v>
      </c>
      <c r="AF39" s="95"/>
      <c r="AG39" s="121" t="n">
        <f aca="false">N39+O39+P39+Q39+R39+S39+T39+W39+AA39+AD39</f>
        <v>72.4</v>
      </c>
      <c r="AH39" s="122" t="n">
        <f aca="false">IF(L39&lt;0,L39*-1,0)</f>
        <v>19.7538946307033</v>
      </c>
      <c r="AI39" s="122" t="n">
        <f aca="false">AG39+AH39</f>
        <v>92.1538946307033</v>
      </c>
      <c r="AJ39" s="221" t="n">
        <v>0</v>
      </c>
      <c r="AK39" s="95" t="n">
        <v>21</v>
      </c>
      <c r="AL39" s="222" t="n">
        <v>-2</v>
      </c>
      <c r="AM39" s="133" t="n">
        <f aca="false">AM38+(W39*1.9835)</f>
        <v>6474.73905</v>
      </c>
      <c r="AN39" s="218" t="n">
        <v>0</v>
      </c>
      <c r="AO39" s="223"/>
    </row>
    <row r="40" customFormat="false" ht="12.95" hidden="false" customHeight="true" outlineLevel="0" collapsed="false">
      <c r="A40" s="155" t="n">
        <f aca="false">A39+1</f>
        <v>29</v>
      </c>
      <c r="B40" s="94" t="n">
        <v>6900.7</v>
      </c>
      <c r="C40" s="95" t="n">
        <v>286171</v>
      </c>
      <c r="D40" s="133" t="n">
        <f aca="false">C40-C39</f>
        <v>-37</v>
      </c>
      <c r="E40" s="95" t="n">
        <f aca="false">C40-152000</f>
        <v>134171</v>
      </c>
      <c r="F40" s="243" t="n">
        <f aca="false">D40/$D$2</f>
        <v>-18.6538946307033</v>
      </c>
      <c r="G40" s="122" t="n">
        <v>71</v>
      </c>
      <c r="H40" s="215" t="n">
        <v>2.4</v>
      </c>
      <c r="I40" s="122" t="n">
        <f aca="false">G40+H40</f>
        <v>73.4</v>
      </c>
      <c r="J40" s="218" t="n">
        <f aca="false">IF(L40&gt;0,L40,0)</f>
        <v>0</v>
      </c>
      <c r="K40" s="122" t="n">
        <f aca="false">I40+J40</f>
        <v>73.4</v>
      </c>
      <c r="L40" s="122" t="n">
        <f aca="false">F40-(I40-AG40)</f>
        <v>-20.6538946307033</v>
      </c>
      <c r="M40" s="244" t="n">
        <v>3.4</v>
      </c>
      <c r="N40" s="122" t="n">
        <v>0</v>
      </c>
      <c r="O40" s="122" t="n">
        <v>0</v>
      </c>
      <c r="P40" s="215" t="n">
        <v>0</v>
      </c>
      <c r="Q40" s="119" t="n">
        <f aca="false">1.38*1.02</f>
        <v>1.4076</v>
      </c>
      <c r="R40" s="119" t="n">
        <v>2.52</v>
      </c>
      <c r="S40" s="119" t="n">
        <v>0</v>
      </c>
      <c r="T40" s="84" t="n">
        <f aca="false">M40-(Q40+R40+S40)</f>
        <v>-0.5276</v>
      </c>
      <c r="U40" s="122" t="n">
        <v>37</v>
      </c>
      <c r="V40" s="122" t="n">
        <v>0</v>
      </c>
      <c r="W40" s="122" t="n">
        <f aca="false">M40-N40-O40-P40-Q40-R40-S40-T40+U40+V40</f>
        <v>37</v>
      </c>
      <c r="X40" s="218"/>
      <c r="Y40" s="218"/>
      <c r="Z40" s="95"/>
      <c r="AA40" s="122" t="n">
        <v>0</v>
      </c>
      <c r="AB40" s="244"/>
      <c r="AC40" s="245"/>
      <c r="AD40" s="122" t="n">
        <v>31</v>
      </c>
      <c r="AE40" s="95" t="n">
        <f aca="false">AE39-AD40</f>
        <v>3109</v>
      </c>
      <c r="AF40" s="95"/>
      <c r="AG40" s="121" t="n">
        <f aca="false">N40+O40+P40+Q40+R40+S40+T40+W40+AA40+AD40</f>
        <v>71.4</v>
      </c>
      <c r="AH40" s="122" t="n">
        <f aca="false">IF(L40&lt;0,L40*-1,0)</f>
        <v>20.6538946307033</v>
      </c>
      <c r="AI40" s="122" t="n">
        <f aca="false">AG40+AH40</f>
        <v>92.0538946307033</v>
      </c>
      <c r="AJ40" s="221" t="n">
        <v>0</v>
      </c>
      <c r="AK40" s="95" t="n">
        <v>28</v>
      </c>
      <c r="AL40" s="222" t="n">
        <v>0</v>
      </c>
      <c r="AM40" s="133" t="n">
        <f aca="false">AM39+(W40*1.9835)</f>
        <v>6548.12855</v>
      </c>
      <c r="AN40" s="218" t="n">
        <v>0</v>
      </c>
      <c r="AO40" s="223"/>
    </row>
    <row r="41" customFormat="false" ht="12.95" hidden="false" customHeight="true" outlineLevel="0" collapsed="false">
      <c r="A41" s="155" t="n">
        <v>30</v>
      </c>
      <c r="B41" s="94" t="n">
        <v>6900.69</v>
      </c>
      <c r="C41" s="95" t="n">
        <v>286134</v>
      </c>
      <c r="D41" s="133" t="n">
        <f aca="false">C41-C40</f>
        <v>-37</v>
      </c>
      <c r="E41" s="95" t="n">
        <f aca="false">C41-152000</f>
        <v>134134</v>
      </c>
      <c r="F41" s="243" t="n">
        <f aca="false">D41/$D$2</f>
        <v>-18.6538946307033</v>
      </c>
      <c r="G41" s="122" t="n">
        <v>71</v>
      </c>
      <c r="H41" s="215" t="n">
        <v>2.2</v>
      </c>
      <c r="I41" s="122" t="n">
        <f aca="false">G41+H41</f>
        <v>73.2</v>
      </c>
      <c r="J41" s="218" t="n">
        <f aca="false">IF(L41&gt;0,L41,0)</f>
        <v>0</v>
      </c>
      <c r="K41" s="122" t="n">
        <f aca="false">I41+J41</f>
        <v>73.2</v>
      </c>
      <c r="L41" s="122" t="n">
        <f aca="false">F41-(I41-AG41)</f>
        <v>-20.4538946307033</v>
      </c>
      <c r="M41" s="244" t="n">
        <v>3.4</v>
      </c>
      <c r="N41" s="122" t="n">
        <v>0</v>
      </c>
      <c r="O41" s="122" t="n">
        <v>0</v>
      </c>
      <c r="P41" s="215" t="n">
        <v>0</v>
      </c>
      <c r="Q41" s="119" t="n">
        <f aca="false">1.38*1.02</f>
        <v>1.4076</v>
      </c>
      <c r="R41" s="119" t="n">
        <v>2.52</v>
      </c>
      <c r="S41" s="119" t="n">
        <v>0</v>
      </c>
      <c r="T41" s="84" t="n">
        <f aca="false">M41-(Q41+R41+S41)</f>
        <v>-0.5276</v>
      </c>
      <c r="U41" s="122" t="n">
        <v>37</v>
      </c>
      <c r="V41" s="122" t="n">
        <v>0</v>
      </c>
      <c r="W41" s="122" t="n">
        <f aca="false">M41-N41-O41-P41-Q41-R41-S41-T41+U41+V41</f>
        <v>37</v>
      </c>
      <c r="X41" s="218"/>
      <c r="Y41" s="218"/>
      <c r="Z41" s="95"/>
      <c r="AA41" s="122" t="n">
        <v>0</v>
      </c>
      <c r="AB41" s="244"/>
      <c r="AC41" s="245"/>
      <c r="AD41" s="122" t="n">
        <v>31</v>
      </c>
      <c r="AE41" s="95" t="n">
        <f aca="false">AE40-AD41</f>
        <v>3078</v>
      </c>
      <c r="AF41" s="95"/>
      <c r="AG41" s="121" t="n">
        <f aca="false">N41+O41+P41+Q41+R41+S41+T41+W41+AA41+AD41</f>
        <v>71.4</v>
      </c>
      <c r="AH41" s="122" t="n">
        <f aca="false">IF(L41&lt;0,L41*-1,0)</f>
        <v>20.4538946307033</v>
      </c>
      <c r="AI41" s="122" t="n">
        <f aca="false">AG41+AH41</f>
        <v>91.8538946307033</v>
      </c>
      <c r="AJ41" s="221" t="n">
        <v>0</v>
      </c>
      <c r="AK41" s="95" t="n">
        <v>31</v>
      </c>
      <c r="AL41" s="222" t="n">
        <v>7</v>
      </c>
      <c r="AM41" s="133" t="n">
        <f aca="false">AM40+(W41*1.9835)</f>
        <v>6621.51805</v>
      </c>
      <c r="AN41" s="218" t="n">
        <v>0</v>
      </c>
      <c r="AO41" s="223"/>
    </row>
    <row r="42" customFormat="false" ht="12.95" hidden="false" customHeight="true" outlineLevel="0" collapsed="false">
      <c r="A42" s="155" t="n">
        <v>31</v>
      </c>
      <c r="B42" s="94" t="n">
        <v>6900.68</v>
      </c>
      <c r="C42" s="95" t="n">
        <v>286097</v>
      </c>
      <c r="D42" s="133" t="n">
        <f aca="false">C42-C41</f>
        <v>-37</v>
      </c>
      <c r="E42" s="95" t="n">
        <f aca="false">C42-152000</f>
        <v>134097</v>
      </c>
      <c r="F42" s="243" t="n">
        <f aca="false">D42/$D$2</f>
        <v>-18.6538946307033</v>
      </c>
      <c r="G42" s="122" t="n">
        <v>71</v>
      </c>
      <c r="H42" s="215" t="n">
        <v>2.2</v>
      </c>
      <c r="I42" s="122" t="n">
        <f aca="false">G42+H42</f>
        <v>73.2</v>
      </c>
      <c r="J42" s="218" t="n">
        <f aca="false">IF(L42&gt;0,L42,0)</f>
        <v>0</v>
      </c>
      <c r="K42" s="122" t="n">
        <f aca="false">I42+J42</f>
        <v>73.2</v>
      </c>
      <c r="L42" s="122" t="n">
        <f aca="false">F42-(I42-AG42)</f>
        <v>-20.4538946307033</v>
      </c>
      <c r="M42" s="244" t="n">
        <v>3.4</v>
      </c>
      <c r="N42" s="122" t="n">
        <v>0</v>
      </c>
      <c r="O42" s="122" t="n">
        <v>0</v>
      </c>
      <c r="P42" s="215" t="n">
        <v>0</v>
      </c>
      <c r="Q42" s="119" t="n">
        <f aca="false">1.38*1.02</f>
        <v>1.4076</v>
      </c>
      <c r="R42" s="119" t="n">
        <v>2.4</v>
      </c>
      <c r="S42" s="119" t="n">
        <v>0</v>
      </c>
      <c r="T42" s="84" t="n">
        <f aca="false">M42-(Q42+R42+S42)</f>
        <v>-0.4076</v>
      </c>
      <c r="U42" s="122" t="n">
        <v>37</v>
      </c>
      <c r="V42" s="122" t="n">
        <v>0</v>
      </c>
      <c r="W42" s="122" t="n">
        <f aca="false">M42-N42-O42-P42-Q42-R42-S42-T42+U42+V42</f>
        <v>37</v>
      </c>
      <c r="X42" s="218"/>
      <c r="Y42" s="218"/>
      <c r="Z42" s="95"/>
      <c r="AA42" s="122" t="n">
        <v>0</v>
      </c>
      <c r="AB42" s="244"/>
      <c r="AC42" s="245"/>
      <c r="AD42" s="122" t="n">
        <v>31</v>
      </c>
      <c r="AE42" s="95" t="n">
        <f aca="false">AE41-AD42</f>
        <v>3047</v>
      </c>
      <c r="AF42" s="95"/>
      <c r="AG42" s="121" t="n">
        <f aca="false">N42+O42+P42+Q42+R42+S42+T42+W42+AA42+AD42</f>
        <v>71.4</v>
      </c>
      <c r="AH42" s="122" t="n">
        <f aca="false">IF(L42&lt;0,L42*-1,0)</f>
        <v>20.4538946307033</v>
      </c>
      <c r="AI42" s="122" t="n">
        <f aca="false">AG42+AH42</f>
        <v>91.8538946307033</v>
      </c>
      <c r="AJ42" s="221" t="n">
        <v>0</v>
      </c>
      <c r="AK42" s="95" t="n">
        <v>29</v>
      </c>
      <c r="AL42" s="222" t="n">
        <v>8</v>
      </c>
      <c r="AM42" s="133" t="n">
        <f aca="false">AM41+(W42*1.9835)</f>
        <v>6694.90755</v>
      </c>
      <c r="AN42" s="218" t="n">
        <v>0</v>
      </c>
      <c r="AO42" s="223"/>
    </row>
    <row r="43" customFormat="false" ht="3" hidden="false" customHeight="true" outlineLevel="0" collapsed="false">
      <c r="A43" s="229"/>
      <c r="B43" s="247"/>
      <c r="C43" s="231"/>
      <c r="D43" s="232"/>
      <c r="E43" s="231"/>
      <c r="F43" s="233"/>
      <c r="G43" s="232"/>
      <c r="H43" s="234"/>
      <c r="I43" s="232"/>
      <c r="J43" s="232"/>
      <c r="K43" s="232"/>
      <c r="L43" s="248"/>
      <c r="M43" s="249"/>
      <c r="N43" s="248"/>
      <c r="O43" s="232"/>
      <c r="P43" s="234"/>
      <c r="Q43" s="232"/>
      <c r="R43" s="232"/>
      <c r="S43" s="232"/>
      <c r="T43" s="236"/>
      <c r="U43" s="232"/>
      <c r="V43" s="232"/>
      <c r="W43" s="232" t="n">
        <f aca="false">M43-N43-O43-Q43-R43-S43+U43+V43</f>
        <v>0</v>
      </c>
      <c r="X43" s="237"/>
      <c r="Y43" s="237"/>
      <c r="Z43" s="231"/>
      <c r="AA43" s="232"/>
      <c r="AB43" s="235"/>
      <c r="AC43" s="238"/>
      <c r="AD43" s="248"/>
      <c r="AE43" s="232"/>
      <c r="AF43" s="232"/>
      <c r="AG43" s="232" t="n">
        <f aca="false">N43+O43+Q43+R43+S43+W43+AA43+AD43</f>
        <v>0</v>
      </c>
      <c r="AH43" s="232"/>
      <c r="AI43" s="232"/>
      <c r="AJ43" s="239"/>
      <c r="AK43" s="240"/>
      <c r="AL43" s="241" t="s">
        <v>96</v>
      </c>
      <c r="AM43" s="240"/>
      <c r="AN43" s="237"/>
      <c r="AO43" s="240"/>
      <c r="AP43" s="242"/>
      <c r="AQ43" s="242"/>
      <c r="AR43" s="242"/>
      <c r="AS43" s="240"/>
    </row>
    <row r="44" customFormat="false" ht="12.95" hidden="false" customHeight="true" outlineLevel="0" collapsed="false">
      <c r="A44" s="158" t="s">
        <v>79</v>
      </c>
      <c r="B44" s="213"/>
      <c r="C44" s="95"/>
      <c r="D44" s="95"/>
      <c r="E44" s="95"/>
      <c r="F44" s="214" t="n">
        <f aca="false">SUM(F12:F42)</f>
        <v>391.731787244769</v>
      </c>
      <c r="G44" s="95" t="n">
        <f aca="false">SUM(G12:G42)</f>
        <v>2771</v>
      </c>
      <c r="H44" s="215" t="n">
        <f aca="false">SUM(H12:H42)</f>
        <v>100.01</v>
      </c>
      <c r="I44" s="95" t="n">
        <f aca="false">SUM(I12:I42)</f>
        <v>2871.01</v>
      </c>
      <c r="J44" s="95" t="n">
        <f aca="false">SUM(J12:J42)</f>
        <v>995.207310310058</v>
      </c>
      <c r="K44" s="95" t="n">
        <f aca="false">SUM(K12:K42)</f>
        <v>3866.21731031006</v>
      </c>
      <c r="L44" s="95" t="n">
        <f aca="false">SUM(L12:L42)</f>
        <v>343.521787244769</v>
      </c>
      <c r="M44" s="216" t="n">
        <f aca="false">SUM(M12:M43)</f>
        <v>105.8</v>
      </c>
      <c r="N44" s="95" t="n">
        <f aca="false">SUM(N12:N42)</f>
        <v>0</v>
      </c>
      <c r="O44" s="95" t="n">
        <f aca="false">SUM(O12:O42)</f>
        <v>0</v>
      </c>
      <c r="P44" s="215"/>
      <c r="Q44" s="95" t="n">
        <f aca="false">SUM(Q12:Q42)</f>
        <v>43.6356</v>
      </c>
      <c r="R44" s="95" t="n">
        <f aca="false">SUM(R12:R42)</f>
        <v>75.84</v>
      </c>
      <c r="S44" s="95" t="n">
        <f aca="false">SUM(S12:S42)</f>
        <v>0</v>
      </c>
      <c r="T44" s="217" t="n">
        <f aca="false">SUM(T12:T42)</f>
        <v>-13.6756</v>
      </c>
      <c r="U44" s="95" t="n">
        <f aca="false">SUM(U12:U42)</f>
        <v>1755</v>
      </c>
      <c r="V44" s="95" t="n">
        <f aca="false">SUM(V12:V42)</f>
        <v>0</v>
      </c>
      <c r="W44" s="95" t="n">
        <f aca="false">SUM(W12:W43)</f>
        <v>1755</v>
      </c>
      <c r="X44" s="218"/>
      <c r="Y44" s="218"/>
      <c r="Z44" s="95"/>
      <c r="AA44" s="95"/>
      <c r="AB44" s="216"/>
      <c r="AC44" s="219"/>
      <c r="AD44" s="95" t="n">
        <f aca="false">SUM(AD12:AD43)</f>
        <v>962</v>
      </c>
      <c r="AE44" s="95"/>
      <c r="AF44" s="85" t="n">
        <f aca="false">SUM(AF13:AF42)</f>
        <v>0</v>
      </c>
      <c r="AG44" s="95" t="n">
        <f aca="false">SUM(AG12:AG43)</f>
        <v>2822.8</v>
      </c>
      <c r="AH44" s="95" t="n">
        <f aca="false">SUM(AH12:AH42)</f>
        <v>651.685523065289</v>
      </c>
      <c r="AI44" s="95" t="n">
        <f aca="false">SUM(AI12:AI42)</f>
        <v>3474.48552306529</v>
      </c>
      <c r="AJ44" s="221" t="n">
        <f aca="false">SUM(AJ12:AJ42)</f>
        <v>2.81</v>
      </c>
      <c r="AK44" s="133" t="n">
        <f aca="false">AVERAGE(AK12:AK42)</f>
        <v>35.5806451612903</v>
      </c>
      <c r="AL44" s="222" t="n">
        <f aca="false">AVERAGE(AL12:AL42)</f>
        <v>15.1612903225806</v>
      </c>
      <c r="AM44" s="133" t="s">
        <v>80</v>
      </c>
      <c r="AN44" s="218" t="n">
        <f aca="false">SUM(AN12:AN42)</f>
        <v>0</v>
      </c>
      <c r="AO44" s="223"/>
    </row>
    <row r="45" customFormat="false" ht="12.95" hidden="false" customHeight="true" outlineLevel="0" collapsed="false">
      <c r="A45" s="158" t="s">
        <v>81</v>
      </c>
      <c r="B45" s="213"/>
      <c r="C45" s="95"/>
      <c r="D45" s="95" t="n">
        <f aca="false">SUM(D12:D42)</f>
        <v>777</v>
      </c>
      <c r="E45" s="95"/>
      <c r="F45" s="214" t="n">
        <f aca="false">F44*$D$2</f>
        <v>777</v>
      </c>
      <c r="G45" s="95" t="n">
        <f aca="false">G44*$D$2</f>
        <v>5496.2785</v>
      </c>
      <c r="H45" s="215" t="n">
        <f aca="false">H44*$D$2</f>
        <v>198.369835</v>
      </c>
      <c r="I45" s="95" t="n">
        <f aca="false">I44*$D$2</f>
        <v>5694.648335</v>
      </c>
      <c r="J45" s="95" t="n">
        <f aca="false">J44*$D$2</f>
        <v>1973.9937</v>
      </c>
      <c r="K45" s="95" t="n">
        <f aca="false">K44*$D$2</f>
        <v>7668.642035</v>
      </c>
      <c r="L45" s="95" t="n">
        <f aca="false">L44*$D$2</f>
        <v>681.375465</v>
      </c>
      <c r="M45" s="216" t="n">
        <f aca="false">M44*$D$2</f>
        <v>209.8543</v>
      </c>
      <c r="N45" s="95" t="n">
        <f aca="false">N44*$D$2</f>
        <v>0</v>
      </c>
      <c r="O45" s="95" t="n">
        <f aca="false">O44*$D$2</f>
        <v>0</v>
      </c>
      <c r="P45" s="215"/>
      <c r="Q45" s="95" t="n">
        <f aca="false">Q44*$D$2</f>
        <v>86.5512126</v>
      </c>
      <c r="R45" s="95" t="n">
        <f aca="false">R44*$D$2</f>
        <v>150.42864</v>
      </c>
      <c r="S45" s="95" t="n">
        <f aca="false">S44*$D$2</f>
        <v>0</v>
      </c>
      <c r="T45" s="217" t="n">
        <f aca="false">T44*$D$2</f>
        <v>-27.1255526</v>
      </c>
      <c r="U45" s="95" t="n">
        <f aca="false">U44*$D$2</f>
        <v>3481.0425</v>
      </c>
      <c r="V45" s="95" t="n">
        <f aca="false">V44*$D$2</f>
        <v>0</v>
      </c>
      <c r="W45" s="95" t="n">
        <f aca="false">W44*$D$2</f>
        <v>3481.0425</v>
      </c>
      <c r="X45" s="218"/>
      <c r="Y45" s="218"/>
      <c r="Z45" s="95"/>
      <c r="AA45" s="95"/>
      <c r="AB45" s="216"/>
      <c r="AC45" s="219"/>
      <c r="AD45" s="95" t="n">
        <f aca="false">AD44*$D$2</f>
        <v>1908.127</v>
      </c>
      <c r="AE45" s="95"/>
      <c r="AF45" s="85" t="n">
        <f aca="false">AF44*$D$2</f>
        <v>0</v>
      </c>
      <c r="AG45" s="95" t="n">
        <f aca="false">AG44*$D$2</f>
        <v>5599.0238</v>
      </c>
      <c r="AH45" s="95" t="n">
        <f aca="false">AH44*$D$2</f>
        <v>1292.618235</v>
      </c>
      <c r="AI45" s="95" t="n">
        <f aca="false">AI44*$D$2</f>
        <v>6891.642035</v>
      </c>
      <c r="AJ45" s="221"/>
      <c r="AK45" s="133" t="n">
        <f aca="false">MAX(AK12:AK42)</f>
        <v>49</v>
      </c>
      <c r="AL45" s="222" t="n">
        <f aca="false">MAX(AL12:AL42)</f>
        <v>33</v>
      </c>
      <c r="AM45" s="133" t="s">
        <v>82</v>
      </c>
      <c r="AN45" s="218" t="n">
        <f aca="false">AN44*$D$2</f>
        <v>0</v>
      </c>
      <c r="AO45" s="223"/>
    </row>
    <row r="46" customFormat="false" ht="3" hidden="false" customHeight="true" outlineLevel="0" collapsed="false">
      <c r="A46" s="229"/>
      <c r="B46" s="247"/>
      <c r="C46" s="231"/>
      <c r="D46" s="231"/>
      <c r="E46" s="231"/>
      <c r="F46" s="250"/>
      <c r="G46" s="231"/>
      <c r="H46" s="234"/>
      <c r="I46" s="231"/>
      <c r="J46" s="231"/>
      <c r="K46" s="231"/>
      <c r="L46" s="231"/>
      <c r="M46" s="251"/>
      <c r="N46" s="231"/>
      <c r="O46" s="231"/>
      <c r="P46" s="234"/>
      <c r="Q46" s="231"/>
      <c r="R46" s="231"/>
      <c r="S46" s="231"/>
      <c r="T46" s="236"/>
      <c r="U46" s="231"/>
      <c r="V46" s="231"/>
      <c r="W46" s="231"/>
      <c r="X46" s="237"/>
      <c r="Y46" s="237"/>
      <c r="Z46" s="231"/>
      <c r="AA46" s="231"/>
      <c r="AB46" s="251"/>
      <c r="AC46" s="252"/>
      <c r="AD46" s="231"/>
      <c r="AE46" s="232"/>
      <c r="AF46" s="106"/>
      <c r="AG46" s="231"/>
      <c r="AH46" s="231"/>
      <c r="AI46" s="231"/>
      <c r="AJ46" s="253"/>
      <c r="AK46" s="231"/>
      <c r="AL46" s="250"/>
      <c r="AM46" s="231"/>
      <c r="AN46" s="237"/>
      <c r="AO46" s="231"/>
      <c r="AP46" s="254"/>
      <c r="AQ46" s="242"/>
      <c r="AR46" s="242"/>
      <c r="AS46" s="240"/>
    </row>
    <row r="47" customFormat="false" ht="12.95" hidden="false" customHeight="true" outlineLevel="0" collapsed="false">
      <c r="A47" s="158" t="s">
        <v>83</v>
      </c>
      <c r="B47" s="213"/>
      <c r="C47" s="95"/>
      <c r="D47" s="95"/>
      <c r="E47" s="95"/>
      <c r="F47" s="214"/>
      <c r="G47" s="95"/>
      <c r="H47" s="215"/>
      <c r="I47" s="95"/>
      <c r="J47" s="95"/>
      <c r="K47" s="95"/>
      <c r="L47" s="95"/>
      <c r="M47" s="216"/>
      <c r="N47" s="95"/>
      <c r="O47" s="95"/>
      <c r="P47" s="215"/>
      <c r="Q47" s="95"/>
      <c r="R47" s="95"/>
      <c r="S47" s="95"/>
      <c r="T47" s="217"/>
      <c r="U47" s="95"/>
      <c r="V47" s="95"/>
      <c r="W47" s="95"/>
      <c r="X47" s="218"/>
      <c r="Y47" s="218"/>
      <c r="Z47" s="95"/>
      <c r="AA47" s="95"/>
      <c r="AB47" s="216"/>
      <c r="AC47" s="219"/>
      <c r="AD47" s="95"/>
      <c r="AE47" s="95"/>
      <c r="AF47" s="85"/>
      <c r="AG47" s="95"/>
      <c r="AH47" s="95"/>
      <c r="AI47" s="95"/>
      <c r="AJ47" s="221"/>
      <c r="AK47" s="133" t="n">
        <f aca="false">MIN(AK12:AK42)</f>
        <v>21</v>
      </c>
      <c r="AL47" s="222" t="n">
        <f aca="false">MIN(AL12:AL42)</f>
        <v>-2</v>
      </c>
      <c r="AM47" s="133" t="s">
        <v>84</v>
      </c>
      <c r="AN47" s="218"/>
      <c r="AO47" s="223"/>
    </row>
    <row r="48" customFormat="false" ht="12.95" hidden="false" customHeight="true" outlineLevel="0" collapsed="false">
      <c r="A48" s="158" t="s">
        <v>85</v>
      </c>
      <c r="B48" s="213"/>
      <c r="C48" s="95"/>
      <c r="D48" s="95"/>
      <c r="E48" s="95"/>
      <c r="F48" s="214"/>
      <c r="G48" s="95"/>
      <c r="H48" s="215"/>
      <c r="I48" s="95"/>
      <c r="J48" s="95"/>
      <c r="K48" s="95"/>
      <c r="L48" s="95"/>
      <c r="M48" s="216"/>
      <c r="N48" s="95"/>
      <c r="O48" s="95"/>
      <c r="P48" s="215"/>
      <c r="Q48" s="95"/>
      <c r="R48" s="95"/>
      <c r="S48" s="95"/>
      <c r="T48" s="217"/>
      <c r="U48" s="95"/>
      <c r="V48" s="95"/>
      <c r="W48" s="95"/>
      <c r="X48" s="218"/>
      <c r="Y48" s="218"/>
      <c r="Z48" s="95"/>
      <c r="AA48" s="95"/>
      <c r="AB48" s="216"/>
      <c r="AC48" s="219"/>
      <c r="AD48" s="95"/>
      <c r="AE48" s="95"/>
      <c r="AF48" s="85"/>
      <c r="AG48" s="95"/>
      <c r="AH48" s="95"/>
      <c r="AI48" s="95"/>
      <c r="AJ48" s="221"/>
      <c r="AK48" s="133"/>
      <c r="AL48" s="222"/>
      <c r="AM48" s="133"/>
      <c r="AN48" s="218"/>
      <c r="AO48" s="223"/>
    </row>
    <row r="49" customFormat="false" ht="3" hidden="false" customHeight="true" outlineLevel="0" collapsed="false">
      <c r="A49" s="229"/>
      <c r="B49" s="247"/>
      <c r="C49" s="231"/>
      <c r="D49" s="231"/>
      <c r="E49" s="231"/>
      <c r="F49" s="250"/>
      <c r="G49" s="231"/>
      <c r="H49" s="234"/>
      <c r="I49" s="231"/>
      <c r="J49" s="231"/>
      <c r="K49" s="231"/>
      <c r="L49" s="231"/>
      <c r="M49" s="251"/>
      <c r="N49" s="231"/>
      <c r="O49" s="231"/>
      <c r="P49" s="234"/>
      <c r="Q49" s="231"/>
      <c r="R49" s="231"/>
      <c r="S49" s="231"/>
      <c r="T49" s="236"/>
      <c r="U49" s="231"/>
      <c r="V49" s="231"/>
      <c r="W49" s="231"/>
      <c r="X49" s="237"/>
      <c r="Y49" s="237"/>
      <c r="Z49" s="231"/>
      <c r="AA49" s="231"/>
      <c r="AB49" s="251"/>
      <c r="AC49" s="252"/>
      <c r="AD49" s="231"/>
      <c r="AE49" s="231"/>
      <c r="AF49" s="106"/>
      <c r="AG49" s="231"/>
      <c r="AH49" s="231"/>
      <c r="AI49" s="231"/>
      <c r="AJ49" s="239"/>
      <c r="AK49" s="255"/>
      <c r="AL49" s="256"/>
      <c r="AM49" s="255"/>
      <c r="AN49" s="237"/>
      <c r="AO49" s="255"/>
      <c r="AP49" s="257"/>
      <c r="AQ49" s="242"/>
      <c r="AR49" s="242"/>
      <c r="AS49" s="240"/>
    </row>
    <row r="50" customFormat="false" ht="12.95" hidden="false" customHeight="true" outlineLevel="0" collapsed="false">
      <c r="A50" s="158" t="s">
        <v>86</v>
      </c>
      <c r="B50" s="213"/>
      <c r="C50" s="95"/>
      <c r="D50" s="95"/>
      <c r="E50" s="95"/>
      <c r="F50" s="214" t="n">
        <f aca="false">F10+F44</f>
        <v>-898.411898159818</v>
      </c>
      <c r="G50" s="95" t="n">
        <f aca="false">G10+G44</f>
        <v>4721</v>
      </c>
      <c r="H50" s="215" t="n">
        <f aca="false">H10+H44</f>
        <v>118.45</v>
      </c>
      <c r="I50" s="95" t="n">
        <f aca="false">I10+I44</f>
        <v>4839.45</v>
      </c>
      <c r="J50" s="95" t="n">
        <f aca="false">J10+J44</f>
        <v>1179.92057474162</v>
      </c>
      <c r="K50" s="95" t="n">
        <f aca="false">K10+K44</f>
        <v>6019.37057474162</v>
      </c>
      <c r="L50" s="95" t="n">
        <f aca="false">L10+L44</f>
        <v>188.198101840181</v>
      </c>
      <c r="M50" s="216" t="n">
        <f aca="false">M10+M44</f>
        <v>414.3</v>
      </c>
      <c r="N50" s="95" t="n">
        <f aca="false">N10+N44</f>
        <v>0</v>
      </c>
      <c r="O50" s="95" t="n">
        <v>0</v>
      </c>
      <c r="P50" s="215"/>
      <c r="Q50" s="95" t="n">
        <f aca="false">Q10+Q44</f>
        <v>91.3716</v>
      </c>
      <c r="R50" s="95" t="n">
        <f aca="false">R10+R44</f>
        <v>151.393</v>
      </c>
      <c r="S50" s="95" t="n">
        <f aca="false">S10+S44</f>
        <v>0</v>
      </c>
      <c r="T50" s="217" t="n">
        <f aca="false">T10+T44</f>
        <v>-13.6674</v>
      </c>
      <c r="U50" s="95" t="n">
        <f aca="false">U10+U44</f>
        <v>3534.96</v>
      </c>
      <c r="V50" s="95" t="n">
        <f aca="false">V10+V44</f>
        <v>84.8</v>
      </c>
      <c r="W50" s="95" t="n">
        <f aca="false">W10+W44</f>
        <v>3375.3</v>
      </c>
      <c r="X50" s="218"/>
      <c r="Y50" s="218"/>
      <c r="Z50" s="95"/>
      <c r="AA50" s="95"/>
      <c r="AB50" s="216"/>
      <c r="AC50" s="219"/>
      <c r="AD50" s="95" t="n">
        <f aca="false">AD10+AD44</f>
        <v>1892</v>
      </c>
      <c r="AE50" s="95" t="n">
        <f aca="false">AE42</f>
        <v>3047</v>
      </c>
      <c r="AF50" s="85" t="n">
        <f aca="false">AF11+AF44</f>
        <v>0</v>
      </c>
      <c r="AG50" s="95" t="n">
        <f aca="false">AG10+AG44</f>
        <v>5926.06</v>
      </c>
      <c r="AH50" s="95" t="n">
        <f aca="false">AH10+AH44</f>
        <v>991.722472901437</v>
      </c>
      <c r="AI50" s="95" t="n">
        <f aca="false">AI10+AI44</f>
        <v>6917.78247290144</v>
      </c>
      <c r="AJ50" s="221" t="n">
        <f aca="false">AJ10+AJ44</f>
        <v>4.05</v>
      </c>
      <c r="AK50" s="133"/>
      <c r="AL50" s="222"/>
      <c r="AM50" s="133"/>
      <c r="AN50" s="218" t="n">
        <f aca="false">AN10+AN44</f>
        <v>750.6628</v>
      </c>
      <c r="AO50" s="223"/>
    </row>
    <row r="51" customFormat="false" ht="12.95" hidden="false" customHeight="true" outlineLevel="0" collapsed="false">
      <c r="A51" s="158" t="s">
        <v>87</v>
      </c>
      <c r="B51" s="213"/>
      <c r="C51" s="95"/>
      <c r="D51" s="95" t="n">
        <f aca="false">D10+D45</f>
        <v>-1782</v>
      </c>
      <c r="E51" s="95" t="n">
        <f aca="false">E42</f>
        <v>134097</v>
      </c>
      <c r="F51" s="214" t="n">
        <f aca="false">F50*$D$2</f>
        <v>-1782</v>
      </c>
      <c r="G51" s="95" t="n">
        <f aca="false">G50*$D$2</f>
        <v>9364.1035</v>
      </c>
      <c r="H51" s="215" t="n">
        <f aca="false">H50*$D$2</f>
        <v>234.945575</v>
      </c>
      <c r="I51" s="95" t="n">
        <f aca="false">I50*$D$2</f>
        <v>9599.049075</v>
      </c>
      <c r="J51" s="95" t="n">
        <f aca="false">J50*$D$2</f>
        <v>2340.37246</v>
      </c>
      <c r="K51" s="95" t="n">
        <f aca="false">K50*$D$2</f>
        <v>11939.421535</v>
      </c>
      <c r="L51" s="95" t="n">
        <f aca="false">L50*$D$2</f>
        <v>373.290935</v>
      </c>
      <c r="M51" s="216" t="n">
        <f aca="false">M50*$D$2</f>
        <v>821.76405</v>
      </c>
      <c r="N51" s="95" t="n">
        <f aca="false">N50*$D$2</f>
        <v>0</v>
      </c>
      <c r="O51" s="95" t="n">
        <f aca="false">O50*$D$2</f>
        <v>0</v>
      </c>
      <c r="P51" s="215"/>
      <c r="Q51" s="95" t="n">
        <f aca="false">Q50*$D$2</f>
        <v>181.2355686</v>
      </c>
      <c r="R51" s="95" t="n">
        <f aca="false">R50*$D$2</f>
        <v>300.2880155</v>
      </c>
      <c r="S51" s="225" t="n">
        <f aca="false">S50*$D$2</f>
        <v>0</v>
      </c>
      <c r="T51" s="258" t="n">
        <f aca="false">T50*$D$2</f>
        <v>-27.1092879</v>
      </c>
      <c r="U51" s="95" t="n">
        <f aca="false">U50*$D$2</f>
        <v>7011.59316</v>
      </c>
      <c r="V51" s="95" t="n">
        <f aca="false">V50*$D$2</f>
        <v>168.2008</v>
      </c>
      <c r="W51" s="95" t="n">
        <f aca="false">W50*$D$2</f>
        <v>6694.90755</v>
      </c>
      <c r="X51" s="218"/>
      <c r="Y51" s="218"/>
      <c r="Z51" s="95"/>
      <c r="AA51" s="95"/>
      <c r="AB51" s="259"/>
      <c r="AC51" s="260"/>
      <c r="AD51" s="95" t="n">
        <f aca="false">AD50*$D$2</f>
        <v>3752.782</v>
      </c>
      <c r="AE51" s="95" t="n">
        <f aca="false">AE50*$D$2</f>
        <v>6043.7245</v>
      </c>
      <c r="AF51" s="85" t="n">
        <f aca="false">AF50*$D$2</f>
        <v>0</v>
      </c>
      <c r="AG51" s="95" t="n">
        <f aca="false">AG50*$D$2</f>
        <v>11754.34001</v>
      </c>
      <c r="AH51" s="95" t="n">
        <f aca="false">AH50*$D$2</f>
        <v>1967.081525</v>
      </c>
      <c r="AI51" s="95" t="n">
        <f aca="false">AI50*$D$2</f>
        <v>13721.421535</v>
      </c>
      <c r="AJ51" s="221"/>
      <c r="AK51" s="133"/>
      <c r="AL51" s="222"/>
      <c r="AM51" s="133" t="n">
        <f aca="false">AM42</f>
        <v>6694.90755</v>
      </c>
      <c r="AN51" s="218" t="n">
        <f aca="false">AN50*$D$2</f>
        <v>1488.9396638</v>
      </c>
      <c r="AO51" s="223"/>
    </row>
    <row r="52" customFormat="false" ht="3" hidden="false" customHeight="true" outlineLevel="0" collapsed="false">
      <c r="A52" s="229"/>
      <c r="B52" s="247"/>
      <c r="C52" s="231"/>
      <c r="D52" s="232"/>
      <c r="E52" s="231"/>
      <c r="F52" s="233"/>
      <c r="G52" s="232"/>
      <c r="H52" s="234"/>
      <c r="I52" s="232"/>
      <c r="J52" s="232"/>
      <c r="K52" s="232"/>
      <c r="L52" s="232"/>
      <c r="M52" s="235"/>
      <c r="N52" s="232"/>
      <c r="O52" s="232"/>
      <c r="P52" s="234"/>
      <c r="Q52" s="232"/>
      <c r="R52" s="232"/>
      <c r="S52" s="238"/>
      <c r="T52" s="236"/>
      <c r="U52" s="232"/>
      <c r="V52" s="232"/>
      <c r="W52" s="232"/>
      <c r="X52" s="237"/>
      <c r="Y52" s="237"/>
      <c r="Z52" s="231"/>
      <c r="AA52" s="232"/>
      <c r="AB52" s="235"/>
      <c r="AC52" s="238"/>
      <c r="AD52" s="232"/>
      <c r="AE52" s="231"/>
      <c r="AF52" s="231"/>
      <c r="AG52" s="232"/>
      <c r="AH52" s="232"/>
      <c r="AI52" s="232"/>
      <c r="AJ52" s="247"/>
      <c r="AK52" s="232"/>
      <c r="AL52" s="233"/>
      <c r="AM52" s="232"/>
      <c r="AN52" s="237"/>
      <c r="AO52" s="232"/>
      <c r="AP52" s="261"/>
      <c r="AQ52" s="242"/>
      <c r="AR52" s="242"/>
      <c r="AS52" s="240"/>
    </row>
    <row r="53" customFormat="false" ht="11.1" hidden="false" customHeight="true" outlineLevel="0" collapsed="false">
      <c r="A53" s="158"/>
      <c r="B53" s="262"/>
      <c r="D53" s="158"/>
      <c r="F53" s="158"/>
      <c r="G53" s="158"/>
      <c r="I53" s="158"/>
      <c r="J53" s="158"/>
      <c r="K53" s="158"/>
      <c r="L53" s="158"/>
      <c r="M53" s="158"/>
      <c r="N53" s="158"/>
      <c r="O53" s="158"/>
      <c r="Q53" s="158"/>
      <c r="R53" s="158"/>
      <c r="S53" s="158"/>
      <c r="U53" s="158"/>
      <c r="V53" s="158"/>
      <c r="W53" s="158"/>
      <c r="Z53" s="96"/>
      <c r="AA53" s="158"/>
      <c r="AB53" s="158"/>
      <c r="AC53" s="158"/>
      <c r="AD53" s="158"/>
      <c r="AE53" s="96"/>
      <c r="AF53" s="224"/>
      <c r="AG53" s="158"/>
      <c r="AH53" s="158"/>
      <c r="AI53" s="158"/>
      <c r="AL53" s="154"/>
      <c r="AM53" s="155"/>
      <c r="AN53" s="211"/>
    </row>
    <row r="54" customFormat="false" ht="11.1" hidden="false" customHeight="true" outlineLevel="0" collapsed="false">
      <c r="A54" s="158"/>
      <c r="B54" s="263"/>
      <c r="F54" s="158"/>
      <c r="G54" s="158"/>
      <c r="I54" s="264"/>
      <c r="J54" s="158"/>
      <c r="K54" s="148"/>
      <c r="L54" s="158"/>
      <c r="M54" s="158"/>
      <c r="N54" s="158"/>
      <c r="O54" s="158"/>
      <c r="Q54" s="158"/>
      <c r="R54" s="158"/>
      <c r="S54" s="158"/>
      <c r="U54" s="158"/>
      <c r="V54" s="158"/>
      <c r="W54" s="158"/>
      <c r="Z54" s="96"/>
      <c r="AA54" s="158"/>
      <c r="AB54" s="158"/>
      <c r="AC54" s="158"/>
      <c r="AD54" s="158"/>
      <c r="AE54" s="96"/>
      <c r="AF54" s="224"/>
      <c r="AG54" s="158"/>
      <c r="AH54" s="158"/>
      <c r="AI54" s="158"/>
      <c r="AL54" s="154"/>
      <c r="AM54" s="155"/>
      <c r="AN54" s="211"/>
    </row>
    <row r="55" customFormat="false" ht="11.1" hidden="false" customHeight="true" outlineLevel="0" collapsed="false">
      <c r="D55" s="96"/>
      <c r="Q55" s="151"/>
      <c r="R55" s="151"/>
      <c r="S55" s="151"/>
      <c r="W55" s="10"/>
      <c r="Z55" s="96"/>
      <c r="AD55" s="10"/>
      <c r="AE55" s="96"/>
      <c r="AF55" s="224"/>
      <c r="AI55" s="10"/>
      <c r="AL55" s="154"/>
      <c r="AM55" s="155"/>
      <c r="AN55" s="211"/>
    </row>
    <row r="56" customFormat="false" ht="11.1" hidden="false" customHeight="true" outlineLevel="0" collapsed="false">
      <c r="B56" s="150"/>
      <c r="D56" s="96"/>
    </row>
    <row r="57" customFormat="false" ht="11.1" hidden="false" customHeight="true" outlineLevel="0" collapsed="false">
      <c r="G57" s="265"/>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153" width="5.82"/>
    <col collapsed="false" customWidth="true" hidden="false" outlineLevel="0" max="11" min="9" style="10" width="6.32"/>
    <col collapsed="false" customWidth="true" hidden="false" outlineLevel="0" max="12" min="12" style="10" width="7.16"/>
    <col collapsed="false" customWidth="true" hidden="false" outlineLevel="0" max="13" min="13" style="266"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8" min="17" style="151" width="4.32"/>
    <col collapsed="false" customWidth="true" hidden="false" outlineLevel="0" max="19" min="19" style="10" width="4.32"/>
    <col collapsed="false" customWidth="true" hidden="false" outlineLevel="0" max="20" min="20" style="150" width="5.49"/>
    <col collapsed="false" customWidth="true" hidden="false" outlineLevel="0" max="22" min="21" style="10" width="5.49"/>
    <col collapsed="false" customWidth="true" hidden="false" outlineLevel="0" max="23" min="23" style="96" width="6.32"/>
    <col collapsed="false" customWidth="true" hidden="false" outlineLevel="0" max="29" min="24" style="10" width="5.49"/>
    <col collapsed="false" customWidth="true" hidden="false" outlineLevel="0" max="30" min="30" style="96" width="6.32"/>
    <col collapsed="false" customWidth="true" hidden="false" outlineLevel="0" max="31" min="31" style="10" width="5.49"/>
    <col collapsed="false" customWidth="true" hidden="false" outlineLevel="0" max="32" min="32" style="152" width="5.32"/>
    <col collapsed="false" customWidth="true" hidden="false" outlineLevel="0" max="33" min="33" style="10" width="6.32"/>
    <col collapsed="false" customWidth="true" hidden="false" outlineLevel="0" max="34" min="34" style="10" width="6.99"/>
    <col collapsed="false" customWidth="true" hidden="false" outlineLevel="0" max="35" min="35" style="150" width="6.99"/>
    <col collapsed="false" customWidth="true" hidden="false" outlineLevel="0" max="36" min="36" style="153" width="5.32"/>
    <col collapsed="false" customWidth="true" hidden="false" outlineLevel="0" max="37" min="37" style="154" width="3.82"/>
    <col collapsed="false" customWidth="true" hidden="false" outlineLevel="0" max="38" min="38" style="155" width="3.82"/>
    <col collapsed="false" customWidth="true" hidden="false" outlineLevel="0" max="39" min="39" style="10" width="5.49"/>
    <col collapsed="false" customWidth="true" hidden="false" outlineLevel="0" max="40" min="40" style="212" width="5.49"/>
    <col collapsed="false" customWidth="true" hidden="false" outlineLevel="0" max="41" min="41" style="10" width="5.82"/>
    <col collapsed="false" customWidth="true" hidden="false" outlineLevel="0" max="42" min="42" style="212" width="5.82"/>
    <col collapsed="false" customWidth="true" hidden="false" outlineLevel="0" max="43" min="43" style="212" width="6.32"/>
    <col collapsed="false" customWidth="true" hidden="false" outlineLevel="0" max="44" min="44" style="10" width="5.82"/>
    <col collapsed="false" customWidth="true" hidden="false" outlineLevel="0" max="45" min="45" style="152"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N1" s="158"/>
      <c r="O1" s="158"/>
      <c r="Q1" s="158"/>
      <c r="R1" s="158"/>
      <c r="S1" s="158"/>
      <c r="U1" s="158"/>
      <c r="V1" s="158"/>
      <c r="X1" s="158"/>
      <c r="Y1" s="158"/>
      <c r="Z1" s="158"/>
      <c r="AA1" s="158"/>
      <c r="AB1" s="158"/>
      <c r="AC1" s="158"/>
      <c r="AE1" s="158"/>
      <c r="AF1" s="160"/>
      <c r="AG1" s="158"/>
      <c r="AH1" s="158"/>
      <c r="AM1" s="160"/>
      <c r="AN1" s="184"/>
      <c r="AO1" s="160"/>
    </row>
    <row r="2" customFormat="false" ht="14.1" hidden="false" customHeight="true" outlineLevel="0" collapsed="false">
      <c r="A2" s="160" t="s">
        <v>1</v>
      </c>
      <c r="B2" s="158"/>
      <c r="D2" s="161" t="n">
        <v>1.9835</v>
      </c>
      <c r="F2" s="158"/>
      <c r="G2" s="158"/>
      <c r="I2" s="158"/>
      <c r="J2" s="158"/>
      <c r="K2" s="162" t="s">
        <v>97</v>
      </c>
      <c r="L2" s="162"/>
      <c r="M2" s="162"/>
      <c r="N2" s="162"/>
      <c r="O2" s="162"/>
      <c r="P2" s="162"/>
      <c r="Q2" s="162"/>
      <c r="R2" s="162"/>
      <c r="S2" s="162"/>
      <c r="T2" s="162"/>
      <c r="U2" s="162"/>
      <c r="V2" s="162"/>
      <c r="W2" s="162"/>
      <c r="X2" s="162"/>
      <c r="Y2" s="162"/>
      <c r="Z2" s="162"/>
      <c r="AA2" s="158"/>
      <c r="AB2" s="158"/>
      <c r="AC2" s="158"/>
      <c r="AE2" s="158"/>
      <c r="AF2" s="160"/>
      <c r="AG2" s="158"/>
      <c r="AH2" s="158"/>
      <c r="AM2" s="160"/>
      <c r="AN2" s="184"/>
      <c r="AO2" s="160"/>
    </row>
    <row r="3" customFormat="false" ht="14.1" hidden="false" customHeight="true" outlineLevel="0" collapsed="false">
      <c r="A3" s="163"/>
      <c r="B3" s="163"/>
      <c r="C3" s="164"/>
      <c r="D3" s="165"/>
      <c r="E3" s="164"/>
      <c r="F3" s="163"/>
      <c r="G3" s="163"/>
      <c r="H3" s="169"/>
      <c r="I3" s="163"/>
      <c r="J3" s="163"/>
      <c r="K3" s="163"/>
      <c r="L3" s="163"/>
      <c r="M3" s="267"/>
      <c r="N3" s="163"/>
      <c r="O3" s="163"/>
      <c r="P3" s="166"/>
      <c r="Q3" s="163"/>
      <c r="R3" s="163"/>
      <c r="S3" s="163"/>
      <c r="T3" s="166"/>
      <c r="U3" s="163"/>
      <c r="V3" s="163"/>
      <c r="W3" s="164"/>
      <c r="X3" s="163"/>
      <c r="Y3" s="163"/>
      <c r="Z3" s="163"/>
      <c r="AA3" s="163"/>
      <c r="AB3" s="163"/>
      <c r="AC3" s="163"/>
      <c r="AD3" s="164"/>
      <c r="AE3" s="163"/>
      <c r="AF3" s="168"/>
      <c r="AG3" s="163"/>
      <c r="AH3" s="163"/>
      <c r="AI3" s="166"/>
      <c r="AJ3" s="169"/>
      <c r="AK3" s="170"/>
      <c r="AL3" s="171"/>
      <c r="AM3" s="168"/>
      <c r="AN3" s="268"/>
      <c r="AO3" s="168"/>
      <c r="AP3" s="269"/>
    </row>
    <row r="4" s="10" customFormat="true" ht="14.1" hidden="false" customHeight="true" outlineLevel="0" collapsed="false">
      <c r="A4" s="158"/>
      <c r="B4" s="174"/>
      <c r="C4" s="175"/>
      <c r="D4" s="270" t="s">
        <v>3</v>
      </c>
      <c r="E4" s="175"/>
      <c r="F4" s="177"/>
      <c r="G4" s="158"/>
      <c r="H4" s="153"/>
      <c r="I4" s="158"/>
      <c r="J4" s="158"/>
      <c r="K4" s="158"/>
      <c r="L4" s="158"/>
      <c r="M4" s="266"/>
      <c r="N4" s="158"/>
      <c r="O4" s="158"/>
      <c r="P4" s="150"/>
      <c r="Q4" s="158"/>
      <c r="R4" s="158"/>
      <c r="S4" s="158"/>
      <c r="T4" s="150"/>
      <c r="U4" s="178" t="s">
        <v>4</v>
      </c>
      <c r="V4" s="158"/>
      <c r="W4" s="96"/>
      <c r="X4" s="158"/>
      <c r="Y4" s="158"/>
      <c r="Z4" s="158"/>
      <c r="AA4" s="158"/>
      <c r="AB4" s="158"/>
      <c r="AC4" s="158"/>
      <c r="AD4" s="96"/>
      <c r="AE4" s="158"/>
      <c r="AF4" s="160"/>
      <c r="AG4" s="158"/>
      <c r="AH4" s="158"/>
      <c r="AI4" s="150"/>
      <c r="AJ4" s="179"/>
      <c r="AK4" s="180" t="s">
        <v>5</v>
      </c>
      <c r="AL4" s="181"/>
      <c r="AM4" s="158"/>
      <c r="AN4" s="201"/>
      <c r="AO4" s="178" t="s">
        <v>6</v>
      </c>
      <c r="AP4" s="212"/>
      <c r="AQ4" s="271"/>
      <c r="AR4" s="37"/>
      <c r="AS4" s="37"/>
    </row>
    <row r="5" customFormat="false" ht="12.95" hidden="false" customHeight="true" outlineLevel="0" collapsed="false">
      <c r="A5" s="184" t="s">
        <v>7</v>
      </c>
      <c r="B5" s="185" t="s">
        <v>8</v>
      </c>
      <c r="C5" s="186" t="s">
        <v>8</v>
      </c>
      <c r="D5" s="184" t="s">
        <v>9</v>
      </c>
      <c r="E5" s="186" t="s">
        <v>10</v>
      </c>
      <c r="F5" s="187" t="s">
        <v>11</v>
      </c>
      <c r="G5" s="184" t="s">
        <v>12</v>
      </c>
      <c r="H5" s="272" t="s">
        <v>13</v>
      </c>
      <c r="I5" s="184" t="s">
        <v>14</v>
      </c>
      <c r="J5" s="184" t="s">
        <v>15</v>
      </c>
      <c r="K5" s="184" t="s">
        <v>16</v>
      </c>
      <c r="L5" s="184" t="s">
        <v>15</v>
      </c>
      <c r="M5" s="273" t="s">
        <v>17</v>
      </c>
      <c r="N5" s="273"/>
      <c r="O5" s="273"/>
      <c r="P5" s="273"/>
      <c r="Q5" s="273"/>
      <c r="R5" s="273"/>
      <c r="S5" s="273"/>
      <c r="T5" s="273"/>
      <c r="U5" s="184" t="s">
        <v>18</v>
      </c>
      <c r="V5" s="184" t="s">
        <v>19</v>
      </c>
      <c r="W5" s="184" t="s">
        <v>16</v>
      </c>
      <c r="X5" s="186" t="s">
        <v>20</v>
      </c>
      <c r="Y5" s="186" t="s">
        <v>21</v>
      </c>
      <c r="Z5" s="186" t="s">
        <v>20</v>
      </c>
      <c r="AA5" s="184" t="s">
        <v>22</v>
      </c>
      <c r="AB5" s="191" t="s">
        <v>98</v>
      </c>
      <c r="AC5" s="192"/>
      <c r="AD5" s="184" t="s">
        <v>24</v>
      </c>
      <c r="AE5" s="186" t="s">
        <v>25</v>
      </c>
      <c r="AF5" s="186" t="s">
        <v>26</v>
      </c>
      <c r="AG5" s="184" t="s">
        <v>14</v>
      </c>
      <c r="AH5" s="184" t="s">
        <v>15</v>
      </c>
      <c r="AI5" s="184" t="s">
        <v>16</v>
      </c>
      <c r="AJ5" s="193" t="s">
        <v>27</v>
      </c>
      <c r="AK5" s="194" t="s">
        <v>28</v>
      </c>
      <c r="AL5" s="195" t="s">
        <v>29</v>
      </c>
      <c r="AM5" s="194" t="s">
        <v>90</v>
      </c>
      <c r="AN5" s="194" t="s">
        <v>20</v>
      </c>
      <c r="AO5" s="184" t="s">
        <v>20</v>
      </c>
      <c r="AP5" s="184" t="s">
        <v>20</v>
      </c>
      <c r="AQ5" s="56" t="s">
        <v>31</v>
      </c>
      <c r="AR5" s="56" t="s">
        <v>32</v>
      </c>
      <c r="AS5" s="56" t="s">
        <v>33</v>
      </c>
    </row>
    <row r="6" customFormat="false" ht="12.95" hidden="false" customHeight="true" outlineLevel="0" collapsed="false">
      <c r="A6" s="196" t="s">
        <v>99</v>
      </c>
      <c r="B6" s="185" t="s">
        <v>35</v>
      </c>
      <c r="C6" s="186" t="s">
        <v>9</v>
      </c>
      <c r="D6" s="184" t="s">
        <v>36</v>
      </c>
      <c r="E6" s="186" t="s">
        <v>37</v>
      </c>
      <c r="F6" s="187" t="s">
        <v>38</v>
      </c>
      <c r="G6" s="184" t="s">
        <v>39</v>
      </c>
      <c r="H6" s="272" t="s">
        <v>40</v>
      </c>
      <c r="I6" s="184" t="s">
        <v>41</v>
      </c>
      <c r="J6" s="184" t="s">
        <v>41</v>
      </c>
      <c r="K6" s="184" t="s">
        <v>41</v>
      </c>
      <c r="L6" s="184" t="s">
        <v>42</v>
      </c>
      <c r="M6" s="274" t="s">
        <v>43</v>
      </c>
      <c r="N6" s="184" t="s">
        <v>44</v>
      </c>
      <c r="O6" s="184" t="s">
        <v>45</v>
      </c>
      <c r="P6" s="188" t="s">
        <v>46</v>
      </c>
      <c r="Q6" s="184" t="s">
        <v>47</v>
      </c>
      <c r="R6" s="184" t="s">
        <v>48</v>
      </c>
      <c r="S6" s="184" t="s">
        <v>49</v>
      </c>
      <c r="T6" s="198" t="s">
        <v>50</v>
      </c>
      <c r="U6" s="184" t="s">
        <v>51</v>
      </c>
      <c r="V6" s="184" t="s">
        <v>52</v>
      </c>
      <c r="W6" s="184" t="s">
        <v>20</v>
      </c>
      <c r="X6" s="186" t="s">
        <v>94</v>
      </c>
      <c r="Y6" s="186" t="s">
        <v>54</v>
      </c>
      <c r="Z6" s="186" t="s">
        <v>100</v>
      </c>
      <c r="AA6" s="184" t="s">
        <v>56</v>
      </c>
      <c r="AB6" s="197"/>
      <c r="AC6" s="199"/>
      <c r="AD6" s="184" t="s">
        <v>58</v>
      </c>
      <c r="AE6" s="186" t="s">
        <v>59</v>
      </c>
      <c r="AF6" s="186"/>
      <c r="AG6" s="184" t="s">
        <v>60</v>
      </c>
      <c r="AH6" s="184" t="s">
        <v>60</v>
      </c>
      <c r="AI6" s="184" t="s">
        <v>60</v>
      </c>
      <c r="AJ6" s="200"/>
      <c r="AK6" s="194" t="s">
        <v>61</v>
      </c>
      <c r="AL6" s="195" t="s">
        <v>61</v>
      </c>
      <c r="AM6" s="194" t="s">
        <v>62</v>
      </c>
      <c r="AN6" s="194" t="s">
        <v>63</v>
      </c>
      <c r="AO6" s="184" t="s">
        <v>64</v>
      </c>
      <c r="AP6" s="184" t="s">
        <v>64</v>
      </c>
      <c r="AQ6" s="56" t="s">
        <v>65</v>
      </c>
      <c r="AR6" s="56" t="s">
        <v>66</v>
      </c>
      <c r="AS6" s="56" t="s">
        <v>67</v>
      </c>
    </row>
    <row r="7" customFormat="false" ht="12.95" hidden="false" customHeight="true" outlineLevel="0" collapsed="false">
      <c r="A7" s="201"/>
      <c r="B7" s="202"/>
      <c r="C7" s="203"/>
      <c r="D7" s="201"/>
      <c r="E7" s="186" t="s">
        <v>68</v>
      </c>
      <c r="F7" s="204"/>
      <c r="G7" s="201"/>
      <c r="H7" s="275"/>
      <c r="I7" s="201"/>
      <c r="J7" s="201"/>
      <c r="K7" s="201"/>
      <c r="L7" s="201"/>
      <c r="M7" s="276"/>
      <c r="N7" s="184" t="s">
        <v>69</v>
      </c>
      <c r="O7" s="184" t="s">
        <v>70</v>
      </c>
      <c r="P7" s="188"/>
      <c r="Q7" s="201"/>
      <c r="R7" s="201"/>
      <c r="S7" s="184" t="s">
        <v>45</v>
      </c>
      <c r="T7" s="198" t="s">
        <v>26</v>
      </c>
      <c r="U7" s="201"/>
      <c r="V7" s="201"/>
      <c r="W7" s="201"/>
      <c r="X7" s="186"/>
      <c r="Y7" s="186"/>
      <c r="Z7" s="186"/>
      <c r="AA7" s="201"/>
      <c r="AB7" s="206"/>
      <c r="AC7" s="207"/>
      <c r="AD7" s="201"/>
      <c r="AE7" s="203"/>
      <c r="AF7" s="186"/>
      <c r="AG7" s="201"/>
      <c r="AH7" s="201"/>
      <c r="AI7" s="201"/>
      <c r="AJ7" s="208"/>
      <c r="AK7" s="194"/>
      <c r="AL7" s="209"/>
      <c r="AM7" s="194" t="s">
        <v>71</v>
      </c>
      <c r="AN7" s="194" t="s">
        <v>38</v>
      </c>
      <c r="AO7" s="184" t="s">
        <v>72</v>
      </c>
      <c r="AP7" s="184" t="s">
        <v>95</v>
      </c>
      <c r="AQ7" s="56" t="s">
        <v>74</v>
      </c>
      <c r="AR7" s="56" t="s">
        <v>75</v>
      </c>
      <c r="AS7" s="56" t="s">
        <v>57</v>
      </c>
    </row>
    <row r="8" customFormat="false" ht="12.95" hidden="false" customHeight="true" outlineLevel="0" collapsed="false">
      <c r="A8" s="201"/>
      <c r="B8" s="202"/>
      <c r="C8" s="203"/>
      <c r="D8" s="201"/>
      <c r="E8" s="203"/>
      <c r="F8" s="204"/>
      <c r="G8" s="201"/>
      <c r="H8" s="275"/>
      <c r="I8" s="201"/>
      <c r="J8" s="201"/>
      <c r="K8" s="201"/>
      <c r="L8" s="201"/>
      <c r="M8" s="276"/>
      <c r="N8" s="277" t="n">
        <v>1.03</v>
      </c>
      <c r="O8" s="277" t="n">
        <v>1.05</v>
      </c>
      <c r="P8" s="205" t="n">
        <v>1.02</v>
      </c>
      <c r="Q8" s="277" t="n">
        <v>1.02</v>
      </c>
      <c r="R8" s="277" t="n">
        <v>1.04</v>
      </c>
      <c r="S8" s="184" t="s">
        <v>55</v>
      </c>
      <c r="T8" s="198"/>
      <c r="U8" s="201"/>
      <c r="V8" s="201"/>
      <c r="W8" s="201"/>
      <c r="X8" s="203"/>
      <c r="Y8" s="203"/>
      <c r="Z8" s="186"/>
      <c r="AA8" s="201"/>
      <c r="AB8" s="206"/>
      <c r="AC8" s="207"/>
      <c r="AD8" s="201"/>
      <c r="AE8" s="203"/>
      <c r="AF8" s="186"/>
      <c r="AG8" s="201"/>
      <c r="AH8" s="201"/>
      <c r="AI8" s="201"/>
      <c r="AJ8" s="208"/>
      <c r="AK8" s="155"/>
      <c r="AL8" s="209"/>
      <c r="AM8" s="155"/>
      <c r="AN8" s="155"/>
      <c r="AO8" s="158"/>
      <c r="AP8" s="184" t="s">
        <v>71</v>
      </c>
    </row>
    <row r="9" customFormat="false" ht="12.95" hidden="false" customHeight="true" outlineLevel="0" collapsed="false">
      <c r="A9" s="160" t="s">
        <v>77</v>
      </c>
      <c r="B9" s="278"/>
      <c r="D9" s="96"/>
      <c r="F9" s="279"/>
      <c r="G9" s="96"/>
      <c r="I9" s="96"/>
      <c r="J9" s="96"/>
      <c r="K9" s="96"/>
      <c r="L9" s="96"/>
      <c r="M9" s="280"/>
      <c r="N9" s="96"/>
      <c r="O9" s="96"/>
      <c r="Q9" s="96"/>
      <c r="R9" s="96"/>
      <c r="S9" s="96"/>
      <c r="T9" s="281"/>
      <c r="U9" s="96"/>
      <c r="V9" s="96"/>
      <c r="X9" s="96"/>
      <c r="Y9" s="96"/>
      <c r="Z9" s="96"/>
      <c r="AA9" s="96"/>
      <c r="AB9" s="216"/>
      <c r="AC9" s="219"/>
      <c r="AE9" s="96"/>
      <c r="AF9" s="224"/>
      <c r="AG9" s="96"/>
      <c r="AH9" s="96"/>
      <c r="AI9" s="96"/>
      <c r="AJ9" s="208"/>
      <c r="AL9" s="282"/>
      <c r="AM9" s="155"/>
      <c r="AN9" s="155"/>
      <c r="AO9" s="158"/>
    </row>
    <row r="10" s="228" customFormat="true" ht="12.95" hidden="false" customHeight="true" outlineLevel="0" collapsed="false">
      <c r="A10" s="224" t="s">
        <v>78</v>
      </c>
      <c r="B10" s="283" t="n">
        <f aca="false">DEC!B42</f>
        <v>6900.68</v>
      </c>
      <c r="C10" s="96" t="n">
        <f aca="false">DEC!C42</f>
        <v>286097</v>
      </c>
      <c r="D10" s="96" t="n">
        <f aca="false">DEC!D51</f>
        <v>-1782</v>
      </c>
      <c r="E10" s="96" t="n">
        <f aca="false">DEC!E51</f>
        <v>134097</v>
      </c>
      <c r="F10" s="279" t="n">
        <f aca="false">DEC!F50</f>
        <v>-898.411898159818</v>
      </c>
      <c r="G10" s="96" t="n">
        <f aca="false">DEC!G50</f>
        <v>4721</v>
      </c>
      <c r="H10" s="284" t="n">
        <f aca="false">DEC!H50</f>
        <v>118.45</v>
      </c>
      <c r="I10" s="96" t="n">
        <f aca="false">DEC!I50</f>
        <v>4839.45</v>
      </c>
      <c r="J10" s="96" t="n">
        <f aca="false">DEC!J50</f>
        <v>1179.92057474162</v>
      </c>
      <c r="K10" s="96" t="n">
        <f aca="false">DEC!K50</f>
        <v>6019.37057474162</v>
      </c>
      <c r="L10" s="96" t="n">
        <f aca="false">DEC!L50</f>
        <v>188.198101840181</v>
      </c>
      <c r="M10" s="285" t="n">
        <f aca="false">DEC!M50</f>
        <v>414.3</v>
      </c>
      <c r="N10" s="96" t="n">
        <f aca="false">DEC!N50</f>
        <v>0</v>
      </c>
      <c r="O10" s="96" t="n">
        <f aca="false">DEC!O50</f>
        <v>0</v>
      </c>
      <c r="P10" s="150"/>
      <c r="Q10" s="96" t="n">
        <f aca="false">DEC!Q50</f>
        <v>91.3716</v>
      </c>
      <c r="R10" s="96" t="n">
        <f aca="false">DEC!R50</f>
        <v>151.393</v>
      </c>
      <c r="S10" s="286" t="n">
        <f aca="false">DEC!S50</f>
        <v>0</v>
      </c>
      <c r="T10" s="287" t="n">
        <f aca="false">DEC!T50</f>
        <v>-13.6674</v>
      </c>
      <c r="U10" s="96" t="n">
        <f aca="false">DEC!U50</f>
        <v>3534.96</v>
      </c>
      <c r="V10" s="96" t="n">
        <f aca="false">DEC!V50</f>
        <v>84.8</v>
      </c>
      <c r="W10" s="96" t="n">
        <f aca="false">DEC!W50</f>
        <v>3375.3</v>
      </c>
      <c r="X10" s="96"/>
      <c r="Y10" s="96"/>
      <c r="Z10" s="96"/>
      <c r="AA10" s="96"/>
      <c r="AB10" s="216"/>
      <c r="AC10" s="219"/>
      <c r="AD10" s="96" t="n">
        <f aca="false">DEC!AD50</f>
        <v>1892</v>
      </c>
      <c r="AE10" s="96" t="n">
        <f aca="false">DEC!AE50</f>
        <v>3047</v>
      </c>
      <c r="AF10" s="96" t="n">
        <f aca="false">DEC!AF50</f>
        <v>0</v>
      </c>
      <c r="AG10" s="96" t="n">
        <f aca="false">DEC!AG50</f>
        <v>5926.06</v>
      </c>
      <c r="AH10" s="96" t="n">
        <f aca="false">DEC!AH50</f>
        <v>991.722472901437</v>
      </c>
      <c r="AI10" s="96" t="n">
        <f aca="false">DEC!AI50</f>
        <v>6917.78247290144</v>
      </c>
      <c r="AJ10" s="208" t="n">
        <f aca="false">DEC!AJ50</f>
        <v>4.05</v>
      </c>
      <c r="AK10" s="154"/>
      <c r="AL10" s="282"/>
      <c r="AM10" s="155" t="n">
        <f aca="false">DEC!AM51</f>
        <v>6694.90755</v>
      </c>
      <c r="AN10" s="155"/>
      <c r="AO10" s="96"/>
      <c r="AP10" s="201"/>
      <c r="AQ10" s="203"/>
      <c r="AR10" s="96"/>
      <c r="AS10" s="96"/>
    </row>
    <row r="11" customFormat="false" ht="3" hidden="false" customHeight="true" outlineLevel="0" collapsed="false">
      <c r="A11" s="229"/>
      <c r="B11" s="288"/>
      <c r="C11" s="289"/>
      <c r="D11" s="229"/>
      <c r="E11" s="289"/>
      <c r="F11" s="290"/>
      <c r="G11" s="229"/>
      <c r="H11" s="291"/>
      <c r="I11" s="229"/>
      <c r="J11" s="229"/>
      <c r="K11" s="229"/>
      <c r="L11" s="229"/>
      <c r="M11" s="292"/>
      <c r="N11" s="229"/>
      <c r="O11" s="229"/>
      <c r="P11" s="293"/>
      <c r="Q11" s="229"/>
      <c r="R11" s="229"/>
      <c r="S11" s="229"/>
      <c r="T11" s="294"/>
      <c r="U11" s="229"/>
      <c r="V11" s="229"/>
      <c r="W11" s="229"/>
      <c r="X11" s="289"/>
      <c r="Y11" s="289"/>
      <c r="Z11" s="289"/>
      <c r="AA11" s="229"/>
      <c r="AB11" s="235"/>
      <c r="AC11" s="238"/>
      <c r="AD11" s="229"/>
      <c r="AE11" s="289"/>
      <c r="AF11" s="289"/>
      <c r="AG11" s="229"/>
      <c r="AH11" s="229"/>
      <c r="AI11" s="229"/>
      <c r="AJ11" s="295"/>
      <c r="AK11" s="296"/>
      <c r="AL11" s="297"/>
      <c r="AM11" s="298"/>
      <c r="AN11" s="298"/>
      <c r="AO11" s="298"/>
      <c r="AP11" s="298"/>
      <c r="AQ11" s="298"/>
      <c r="AR11" s="298"/>
      <c r="AS11" s="298"/>
    </row>
    <row r="12" customFormat="false" ht="12.95" hidden="false" customHeight="true" outlineLevel="0" collapsed="false">
      <c r="A12" s="155" t="n">
        <v>1</v>
      </c>
      <c r="B12" s="283" t="n">
        <v>6900.67</v>
      </c>
      <c r="C12" s="96" t="n">
        <v>286060</v>
      </c>
      <c r="D12" s="154" t="n">
        <f aca="false">C12-C10</f>
        <v>-37</v>
      </c>
      <c r="E12" s="96" t="n">
        <f aca="false">C12-152000</f>
        <v>134060</v>
      </c>
      <c r="F12" s="299" t="n">
        <f aca="false">D12/$D$2</f>
        <v>-18.6538946307033</v>
      </c>
      <c r="G12" s="158" t="n">
        <v>71</v>
      </c>
      <c r="H12" s="153" t="n">
        <v>2.2</v>
      </c>
      <c r="I12" s="158" t="n">
        <f aca="false">G12+H12</f>
        <v>73.2</v>
      </c>
      <c r="J12" s="151" t="n">
        <f aca="false">IF(L12&gt;0,L12,0)</f>
        <v>0</v>
      </c>
      <c r="K12" s="158" t="n">
        <f aca="false">I12+J12</f>
        <v>73.2</v>
      </c>
      <c r="L12" s="158" t="n">
        <f aca="false">F12-(I12-AG12)</f>
        <v>-20.4538946307033</v>
      </c>
      <c r="M12" s="280" t="n">
        <v>3.4</v>
      </c>
      <c r="N12" s="158" t="n">
        <v>0</v>
      </c>
      <c r="O12" s="158" t="n">
        <v>0</v>
      </c>
      <c r="P12" s="150" t="n">
        <v>0</v>
      </c>
      <c r="Q12" s="263" t="n">
        <f aca="false">1.51*1.02</f>
        <v>1.5402</v>
      </c>
      <c r="R12" s="263" t="n">
        <v>2.42</v>
      </c>
      <c r="S12" s="300" t="n">
        <v>0</v>
      </c>
      <c r="T12" s="84" t="n">
        <f aca="false">M12-(Q12+R12+S12)</f>
        <v>-0.5602</v>
      </c>
      <c r="U12" s="158" t="n">
        <v>37</v>
      </c>
      <c r="V12" s="158" t="n">
        <v>0</v>
      </c>
      <c r="W12" s="122" t="n">
        <f aca="false">M12-N12-O12-P12-Q12-R12-S12-T12+U12+V12</f>
        <v>37</v>
      </c>
      <c r="X12" s="96"/>
      <c r="Y12" s="96"/>
      <c r="Z12" s="96"/>
      <c r="AA12" s="158" t="n">
        <v>0</v>
      </c>
      <c r="AB12" s="244"/>
      <c r="AC12" s="245"/>
      <c r="AD12" s="158" t="n">
        <v>31</v>
      </c>
      <c r="AE12" s="96" t="n">
        <f aca="false">AE10-AD12</f>
        <v>3016</v>
      </c>
      <c r="AF12" s="96"/>
      <c r="AG12" s="11" t="n">
        <f aca="false">N12+O12+P12+Q12+R12+S12+T12+W12+AA12+AD12</f>
        <v>71.4</v>
      </c>
      <c r="AH12" s="158" t="n">
        <f aca="false">IF(L12&lt;0,L12*-1,0)</f>
        <v>20.4538946307033</v>
      </c>
      <c r="AI12" s="158" t="n">
        <f aca="false">AG12+AH12</f>
        <v>91.8538946307033</v>
      </c>
      <c r="AJ12" s="208" t="n">
        <v>0</v>
      </c>
      <c r="AK12" s="154" t="n">
        <v>30</v>
      </c>
      <c r="AL12" s="282" t="n">
        <v>0</v>
      </c>
      <c r="AM12" s="155" t="n">
        <f aca="false">AM10+(W12*1.9835)</f>
        <v>6768.29705</v>
      </c>
      <c r="AN12" s="155"/>
      <c r="AP12" s="203"/>
      <c r="AS12" s="10"/>
    </row>
    <row r="13" customFormat="false" ht="12.95" hidden="false" customHeight="true" outlineLevel="0" collapsed="false">
      <c r="A13" s="155" t="n">
        <f aca="false">A12+1</f>
        <v>2</v>
      </c>
      <c r="B13" s="283" t="n">
        <v>6900.66</v>
      </c>
      <c r="C13" s="96" t="n">
        <v>286023</v>
      </c>
      <c r="D13" s="154" t="n">
        <f aca="false">C13-C12</f>
        <v>-37</v>
      </c>
      <c r="E13" s="96" t="n">
        <f aca="false">C13-152000</f>
        <v>134023</v>
      </c>
      <c r="F13" s="299" t="n">
        <f aca="false">D13/$D$2</f>
        <v>-18.6538946307033</v>
      </c>
      <c r="G13" s="158" t="n">
        <v>71</v>
      </c>
      <c r="H13" s="153" t="n">
        <v>2</v>
      </c>
      <c r="I13" s="158" t="n">
        <f aca="false">G13+H13</f>
        <v>73</v>
      </c>
      <c r="J13" s="151" t="n">
        <f aca="false">IF(L13&gt;0,L13,0)</f>
        <v>0</v>
      </c>
      <c r="K13" s="158" t="n">
        <f aca="false">I13+J13</f>
        <v>73</v>
      </c>
      <c r="L13" s="158" t="n">
        <f aca="false">F13-(I13-AG13)</f>
        <v>-20.1538946307033</v>
      </c>
      <c r="M13" s="280" t="n">
        <v>3.5</v>
      </c>
      <c r="N13" s="158" t="n">
        <v>0</v>
      </c>
      <c r="O13" s="158" t="n">
        <v>0</v>
      </c>
      <c r="P13" s="150" t="n">
        <v>0</v>
      </c>
      <c r="Q13" s="263" t="n">
        <f aca="false">1.51*1.02</f>
        <v>1.5402</v>
      </c>
      <c r="R13" s="263" t="n">
        <v>2.59</v>
      </c>
      <c r="S13" s="300" t="n">
        <v>0</v>
      </c>
      <c r="T13" s="84" t="n">
        <f aca="false">M13-(Q13+R13+S13)</f>
        <v>-0.6302</v>
      </c>
      <c r="U13" s="158" t="n">
        <v>37</v>
      </c>
      <c r="V13" s="158" t="n">
        <v>0</v>
      </c>
      <c r="W13" s="122" t="n">
        <f aca="false">M13-N13-O13-P13-Q13-R13-S13-T13+U13+V13</f>
        <v>37</v>
      </c>
      <c r="X13" s="96"/>
      <c r="Y13" s="96"/>
      <c r="Z13" s="96"/>
      <c r="AA13" s="158" t="n">
        <v>0</v>
      </c>
      <c r="AB13" s="244"/>
      <c r="AC13" s="245"/>
      <c r="AD13" s="158" t="n">
        <v>31</v>
      </c>
      <c r="AE13" s="96" t="n">
        <f aca="false">AE12-AD13</f>
        <v>2985</v>
      </c>
      <c r="AF13" s="96"/>
      <c r="AG13" s="11" t="n">
        <f aca="false">N13+O13+P13+Q13+R13+S13+T13+W13+AA13+AD13</f>
        <v>71.5</v>
      </c>
      <c r="AH13" s="158" t="n">
        <f aca="false">IF(L13&lt;0,L13*-1,0)</f>
        <v>20.1538946307033</v>
      </c>
      <c r="AI13" s="158" t="n">
        <f aca="false">AG13+AH13</f>
        <v>91.6538946307033</v>
      </c>
      <c r="AJ13" s="208" t="n">
        <v>0</v>
      </c>
      <c r="AK13" s="154" t="n">
        <v>40</v>
      </c>
      <c r="AL13" s="282" t="n">
        <v>8</v>
      </c>
      <c r="AM13" s="155" t="n">
        <f aca="false">AM12+(W13*1.9835)</f>
        <v>6841.68655</v>
      </c>
      <c r="AN13" s="155"/>
      <c r="AP13" s="203"/>
      <c r="AS13" s="10"/>
    </row>
    <row r="14" customFormat="false" ht="12.95" hidden="false" customHeight="true" outlineLevel="0" collapsed="false">
      <c r="A14" s="155" t="n">
        <f aca="false">A13+1</f>
        <v>3</v>
      </c>
      <c r="B14" s="283" t="n">
        <v>6900.64</v>
      </c>
      <c r="C14" s="96" t="n">
        <v>285949</v>
      </c>
      <c r="D14" s="154" t="n">
        <f aca="false">C14-C13</f>
        <v>-74</v>
      </c>
      <c r="E14" s="96" t="n">
        <f aca="false">C14-152000</f>
        <v>133949</v>
      </c>
      <c r="F14" s="299" t="n">
        <f aca="false">D14/$D$2</f>
        <v>-37.3077892614066</v>
      </c>
      <c r="G14" s="158" t="n">
        <v>71</v>
      </c>
      <c r="H14" s="153" t="n">
        <v>1.7</v>
      </c>
      <c r="I14" s="158" t="n">
        <f aca="false">G14+H14</f>
        <v>72.7</v>
      </c>
      <c r="J14" s="151" t="n">
        <f aca="false">IF(L14&gt;0,L14,0)</f>
        <v>0</v>
      </c>
      <c r="K14" s="158" t="n">
        <f aca="false">I14+J14</f>
        <v>72.7</v>
      </c>
      <c r="L14" s="158" t="n">
        <f aca="false">F14-(I14-AG14)</f>
        <v>-38.6077892614066</v>
      </c>
      <c r="M14" s="280" t="n">
        <v>3.4</v>
      </c>
      <c r="N14" s="158" t="n">
        <v>0</v>
      </c>
      <c r="O14" s="158" t="n">
        <v>0</v>
      </c>
      <c r="P14" s="150" t="n">
        <v>0</v>
      </c>
      <c r="Q14" s="263" t="n">
        <f aca="false">1.51*1.02</f>
        <v>1.5402</v>
      </c>
      <c r="R14" s="263" t="n">
        <v>2.61</v>
      </c>
      <c r="S14" s="300" t="n">
        <v>0</v>
      </c>
      <c r="T14" s="84" t="n">
        <f aca="false">M14-(Q14+R14+S14)</f>
        <v>-0.7502</v>
      </c>
      <c r="U14" s="158" t="n">
        <v>37</v>
      </c>
      <c r="V14" s="158" t="n">
        <v>0</v>
      </c>
      <c r="W14" s="122" t="n">
        <f aca="false">M14-N14-O14-P14-Q14-R14-S14-T14+U14+V14</f>
        <v>37</v>
      </c>
      <c r="X14" s="96"/>
      <c r="Y14" s="96"/>
      <c r="Z14" s="96"/>
      <c r="AA14" s="158" t="n">
        <v>0</v>
      </c>
      <c r="AB14" s="244"/>
      <c r="AC14" s="245"/>
      <c r="AD14" s="158" t="n">
        <v>31</v>
      </c>
      <c r="AE14" s="96" t="n">
        <f aca="false">AE13-AD14</f>
        <v>2954</v>
      </c>
      <c r="AF14" s="96"/>
      <c r="AG14" s="11" t="n">
        <f aca="false">N14+O14+P14+Q14+R14+S14+T14+W14+AA14+AD14</f>
        <v>71.4</v>
      </c>
      <c r="AH14" s="158" t="n">
        <f aca="false">IF(L14&lt;0,L14*-1,0)</f>
        <v>38.6077892614066</v>
      </c>
      <c r="AI14" s="158" t="n">
        <f aca="false">AG14+AH14</f>
        <v>110.007789261407</v>
      </c>
      <c r="AJ14" s="208" t="n">
        <v>0</v>
      </c>
      <c r="AK14" s="154" t="n">
        <v>47</v>
      </c>
      <c r="AL14" s="282" t="n">
        <v>17</v>
      </c>
      <c r="AM14" s="155" t="n">
        <f aca="false">AM13+(W14*1.9835)</f>
        <v>6915.07605</v>
      </c>
      <c r="AN14" s="155"/>
      <c r="AP14" s="203"/>
      <c r="AS14" s="10"/>
    </row>
    <row r="15" customFormat="false" ht="12.95" hidden="false" customHeight="true" outlineLevel="0" collapsed="false">
      <c r="A15" s="155" t="n">
        <f aca="false">A14+1</f>
        <v>4</v>
      </c>
      <c r="B15" s="283" t="n">
        <v>6900.62</v>
      </c>
      <c r="C15" s="96" t="n">
        <v>285875</v>
      </c>
      <c r="D15" s="154" t="n">
        <f aca="false">C15-C14</f>
        <v>-74</v>
      </c>
      <c r="E15" s="96" t="n">
        <f aca="false">C15-152000</f>
        <v>133875</v>
      </c>
      <c r="F15" s="299" t="n">
        <f aca="false">D15/$D$2</f>
        <v>-37.3077892614066</v>
      </c>
      <c r="G15" s="158" t="n">
        <v>71</v>
      </c>
      <c r="H15" s="153" t="n">
        <v>1.7</v>
      </c>
      <c r="I15" s="158" t="n">
        <f aca="false">G15+H15</f>
        <v>72.7</v>
      </c>
      <c r="J15" s="151" t="n">
        <f aca="false">IF(L15&gt;0,L15,0)</f>
        <v>0</v>
      </c>
      <c r="K15" s="158" t="n">
        <f aca="false">I15+J15</f>
        <v>72.7</v>
      </c>
      <c r="L15" s="158" t="n">
        <f aca="false">F15-(I15-AG15)</f>
        <v>-37.6077892614066</v>
      </c>
      <c r="M15" s="280" t="n">
        <v>3.4</v>
      </c>
      <c r="N15" s="158" t="n">
        <v>0</v>
      </c>
      <c r="O15" s="158" t="n">
        <v>0</v>
      </c>
      <c r="P15" s="150" t="n">
        <v>0</v>
      </c>
      <c r="Q15" s="263" t="n">
        <f aca="false">1.51*1.02</f>
        <v>1.5402</v>
      </c>
      <c r="R15" s="263" t="n">
        <v>2.74</v>
      </c>
      <c r="S15" s="300" t="n">
        <v>0</v>
      </c>
      <c r="T15" s="84" t="n">
        <f aca="false">M15-(Q15+R15+S15)</f>
        <v>-0.880200000000001</v>
      </c>
      <c r="U15" s="158" t="n">
        <v>38</v>
      </c>
      <c r="V15" s="158" t="n">
        <v>0</v>
      </c>
      <c r="W15" s="122" t="n">
        <f aca="false">M15-N15-O15-P15-Q15-R15-S15-T15+U15+V15</f>
        <v>38</v>
      </c>
      <c r="X15" s="96"/>
      <c r="Y15" s="96"/>
      <c r="Z15" s="96"/>
      <c r="AA15" s="158" t="n">
        <v>0</v>
      </c>
      <c r="AB15" s="244"/>
      <c r="AC15" s="245"/>
      <c r="AD15" s="158" t="n">
        <v>31</v>
      </c>
      <c r="AE15" s="96" t="n">
        <f aca="false">AE14-AD15</f>
        <v>2923</v>
      </c>
      <c r="AF15" s="96"/>
      <c r="AG15" s="11" t="n">
        <f aca="false">N15+O15+P15+Q15+R15+S15+T15+W15+AA15+AD15</f>
        <v>72.4</v>
      </c>
      <c r="AH15" s="158" t="n">
        <f aca="false">IF(L15&lt;0,L15*-1,0)</f>
        <v>37.6077892614066</v>
      </c>
      <c r="AI15" s="158" t="n">
        <f aca="false">AG15+AH15</f>
        <v>110.007789261407</v>
      </c>
      <c r="AJ15" s="208" t="n">
        <v>0</v>
      </c>
      <c r="AK15" s="154" t="n">
        <v>45</v>
      </c>
      <c r="AL15" s="282" t="n">
        <v>30</v>
      </c>
      <c r="AM15" s="155" t="n">
        <f aca="false">AM14+(W15*1.9835)</f>
        <v>6990.44905</v>
      </c>
      <c r="AN15" s="155"/>
      <c r="AP15" s="203"/>
      <c r="AS15" s="10"/>
    </row>
    <row r="16" customFormat="false" ht="12.95" hidden="false" customHeight="true" outlineLevel="0" collapsed="false">
      <c r="A16" s="155" t="n">
        <f aca="false">A15+1</f>
        <v>5</v>
      </c>
      <c r="B16" s="283" t="n">
        <v>6900.72</v>
      </c>
      <c r="C16" s="96" t="n">
        <v>286245</v>
      </c>
      <c r="D16" s="154" t="n">
        <f aca="false">C16-C15</f>
        <v>370</v>
      </c>
      <c r="E16" s="96" t="n">
        <f aca="false">C16-152000</f>
        <v>134245</v>
      </c>
      <c r="F16" s="299" t="n">
        <f aca="false">D16/$D$2</f>
        <v>186.538946307033</v>
      </c>
      <c r="G16" s="158" t="n">
        <v>71</v>
      </c>
      <c r="H16" s="153" t="n">
        <v>1.7</v>
      </c>
      <c r="I16" s="158" t="n">
        <f aca="false">G16+H16</f>
        <v>72.7</v>
      </c>
      <c r="J16" s="151" t="n">
        <f aca="false">IF(L16&gt;0,L16,0)</f>
        <v>187.338946307033</v>
      </c>
      <c r="K16" s="158" t="n">
        <f aca="false">I16+J16</f>
        <v>260.038946307033</v>
      </c>
      <c r="L16" s="158" t="n">
        <f aca="false">F16-(I16-AG16)</f>
        <v>187.338946307033</v>
      </c>
      <c r="M16" s="280" t="n">
        <v>3.5</v>
      </c>
      <c r="N16" s="158" t="n">
        <v>0</v>
      </c>
      <c r="O16" s="158" t="n">
        <v>0</v>
      </c>
      <c r="P16" s="150" t="n">
        <v>0</v>
      </c>
      <c r="Q16" s="263" t="n">
        <f aca="false">1.51*1.02</f>
        <v>1.5402</v>
      </c>
      <c r="R16" s="263" t="n">
        <v>3.2</v>
      </c>
      <c r="S16" s="300" t="n">
        <v>0</v>
      </c>
      <c r="T16" s="84" t="n">
        <f aca="false">M16-(Q16+R16+S16)</f>
        <v>-1.2402</v>
      </c>
      <c r="U16" s="158" t="n">
        <v>38</v>
      </c>
      <c r="V16" s="158" t="n">
        <v>0</v>
      </c>
      <c r="W16" s="122" t="n">
        <f aca="false">M16-N16-O16-P16-Q16-R16-S16-T16+U16+V16</f>
        <v>38</v>
      </c>
      <c r="X16" s="96"/>
      <c r="Y16" s="96"/>
      <c r="Z16" s="96"/>
      <c r="AA16" s="158" t="n">
        <v>0</v>
      </c>
      <c r="AB16" s="244"/>
      <c r="AC16" s="245"/>
      <c r="AD16" s="158" t="n">
        <v>32</v>
      </c>
      <c r="AE16" s="96" t="n">
        <f aca="false">AE15-AD16</f>
        <v>2891</v>
      </c>
      <c r="AF16" s="96"/>
      <c r="AG16" s="11" t="n">
        <f aca="false">N16+O16+P16+Q16+R16+S16+T16+W16+AA16+AD16</f>
        <v>73.5</v>
      </c>
      <c r="AH16" s="158" t="n">
        <f aca="false">IF(L16&lt;0,L16*-1,0)</f>
        <v>0</v>
      </c>
      <c r="AI16" s="158" t="n">
        <f aca="false">AG16+AH16</f>
        <v>73.5</v>
      </c>
      <c r="AJ16" s="208" t="n">
        <v>0.93</v>
      </c>
      <c r="AK16" s="154" t="n">
        <v>38</v>
      </c>
      <c r="AL16" s="282" t="n">
        <v>31</v>
      </c>
      <c r="AM16" s="155" t="n">
        <f aca="false">AM15+(W16*1.9835)</f>
        <v>7065.82205</v>
      </c>
      <c r="AN16" s="155"/>
      <c r="AP16" s="203"/>
      <c r="AS16" s="10"/>
    </row>
    <row r="17" customFormat="false" ht="12.95" hidden="false" customHeight="true" outlineLevel="0" collapsed="false">
      <c r="A17" s="155" t="n">
        <f aca="false">A16+1</f>
        <v>6</v>
      </c>
      <c r="B17" s="283" t="n">
        <v>6900.78</v>
      </c>
      <c r="C17" s="96" t="n">
        <v>286467</v>
      </c>
      <c r="D17" s="154" t="n">
        <f aca="false">C17-C16</f>
        <v>222</v>
      </c>
      <c r="E17" s="96" t="n">
        <f aca="false">C17-152000</f>
        <v>134467</v>
      </c>
      <c r="F17" s="299" t="n">
        <f aca="false">D17/$D$2</f>
        <v>111.92336778422</v>
      </c>
      <c r="G17" s="158" t="n">
        <v>71</v>
      </c>
      <c r="H17" s="153" t="n">
        <v>2.6</v>
      </c>
      <c r="I17" s="158" t="n">
        <f aca="false">G17+H17</f>
        <v>73.6</v>
      </c>
      <c r="J17" s="151" t="n">
        <f aca="false">IF(L17&gt;0,L17,0)</f>
        <v>109.72336778422</v>
      </c>
      <c r="K17" s="158" t="n">
        <f aca="false">I17+J17</f>
        <v>183.32336778422</v>
      </c>
      <c r="L17" s="158" t="n">
        <f aca="false">F17-(I17-AG17)</f>
        <v>109.72336778422</v>
      </c>
      <c r="M17" s="280" t="n">
        <v>3.4</v>
      </c>
      <c r="N17" s="158" t="n">
        <v>0</v>
      </c>
      <c r="O17" s="158" t="n">
        <v>0</v>
      </c>
      <c r="P17" s="150" t="n">
        <v>0</v>
      </c>
      <c r="Q17" s="263" t="n">
        <f aca="false">1.51*1.02</f>
        <v>1.5402</v>
      </c>
      <c r="R17" s="263" t="n">
        <v>3.32</v>
      </c>
      <c r="S17" s="300" t="n">
        <v>0</v>
      </c>
      <c r="T17" s="84" t="n">
        <f aca="false">M17-(Q17+R17+S17)</f>
        <v>-1.4602</v>
      </c>
      <c r="U17" s="158" t="n">
        <v>38</v>
      </c>
      <c r="V17" s="158" t="n">
        <v>0</v>
      </c>
      <c r="W17" s="122" t="n">
        <f aca="false">M17-N17-O17-P17-Q17-R17-S17-T17+U17+V17</f>
        <v>38</v>
      </c>
      <c r="X17" s="96"/>
      <c r="Y17" s="96"/>
      <c r="Z17" s="96"/>
      <c r="AA17" s="158" t="n">
        <v>0</v>
      </c>
      <c r="AB17" s="244"/>
      <c r="AC17" s="245"/>
      <c r="AD17" s="158" t="n">
        <v>30</v>
      </c>
      <c r="AE17" s="96" t="n">
        <f aca="false">AE16-AD17</f>
        <v>2861</v>
      </c>
      <c r="AF17" s="96"/>
      <c r="AG17" s="11" t="n">
        <f aca="false">N17+O17+P17+Q17+R17+S17+T17+W17+AA17+AD17</f>
        <v>71.4</v>
      </c>
      <c r="AH17" s="158" t="n">
        <f aca="false">IF(L17&lt;0,L17*-1,0)</f>
        <v>0</v>
      </c>
      <c r="AI17" s="158" t="n">
        <f aca="false">AG17+AH17</f>
        <v>71.4</v>
      </c>
      <c r="AJ17" s="208" t="n">
        <v>0.6</v>
      </c>
      <c r="AK17" s="154" t="n">
        <v>37</v>
      </c>
      <c r="AL17" s="282" t="n">
        <v>30</v>
      </c>
      <c r="AM17" s="155" t="n">
        <f aca="false">AM16+(W17*1.9835)</f>
        <v>7141.19505</v>
      </c>
      <c r="AN17" s="155"/>
      <c r="AO17" s="158"/>
      <c r="AP17" s="203"/>
      <c r="AS17" s="10"/>
    </row>
    <row r="18" customFormat="false" ht="12.95" hidden="false" customHeight="true" outlineLevel="0" collapsed="false">
      <c r="A18" s="155" t="n">
        <f aca="false">A17+1</f>
        <v>7</v>
      </c>
      <c r="B18" s="283" t="n">
        <v>6900.78</v>
      </c>
      <c r="C18" s="96" t="n">
        <v>286467</v>
      </c>
      <c r="D18" s="154" t="n">
        <f aca="false">C18-C17</f>
        <v>0</v>
      </c>
      <c r="E18" s="96" t="n">
        <f aca="false">C18-152000</f>
        <v>134467</v>
      </c>
      <c r="F18" s="299" t="n">
        <f aca="false">D18/$D$2</f>
        <v>0</v>
      </c>
      <c r="G18" s="158" t="n">
        <v>71</v>
      </c>
      <c r="H18" s="153" t="n">
        <v>2.2</v>
      </c>
      <c r="I18" s="158" t="n">
        <f aca="false">G18+H18</f>
        <v>73.2</v>
      </c>
      <c r="J18" s="151" t="n">
        <f aca="false">IF(L18&gt;0,L18,0)</f>
        <v>0</v>
      </c>
      <c r="K18" s="158" t="n">
        <f aca="false">I18+J18</f>
        <v>73.2</v>
      </c>
      <c r="L18" s="158" t="n">
        <f aca="false">F18-(I18-AG18)</f>
        <v>-1.60000000000001</v>
      </c>
      <c r="M18" s="280" t="n">
        <v>3.6</v>
      </c>
      <c r="N18" s="158" t="n">
        <v>0</v>
      </c>
      <c r="O18" s="158" t="n">
        <v>0</v>
      </c>
      <c r="P18" s="150" t="n">
        <v>0</v>
      </c>
      <c r="Q18" s="263" t="n">
        <f aca="false">1.51*1.02</f>
        <v>1.5402</v>
      </c>
      <c r="R18" s="263" t="n">
        <v>3.08</v>
      </c>
      <c r="S18" s="300" t="n">
        <v>0</v>
      </c>
      <c r="T18" s="84" t="n">
        <f aca="false">M18-(Q18+R18+S18)</f>
        <v>-1.0202</v>
      </c>
      <c r="U18" s="158" t="n">
        <v>38</v>
      </c>
      <c r="V18" s="158" t="n">
        <v>0</v>
      </c>
      <c r="W18" s="122" t="n">
        <f aca="false">M18-N18-O18-P18-Q18-R18-S18-T18+U18+V18</f>
        <v>38</v>
      </c>
      <c r="X18" s="96"/>
      <c r="Y18" s="96"/>
      <c r="Z18" s="96"/>
      <c r="AA18" s="158" t="n">
        <v>0</v>
      </c>
      <c r="AB18" s="244"/>
      <c r="AC18" s="245"/>
      <c r="AD18" s="158" t="n">
        <v>30</v>
      </c>
      <c r="AE18" s="96" t="n">
        <f aca="false">AE17-AD18</f>
        <v>2831</v>
      </c>
      <c r="AF18" s="96"/>
      <c r="AG18" s="11" t="n">
        <f aca="false">N18+O18+P18+Q18+R18+S18+T18+W18+AA18+AD18</f>
        <v>71.6</v>
      </c>
      <c r="AH18" s="158" t="n">
        <f aca="false">IF(L18&lt;0,L18*-1,0)</f>
        <v>1.60000000000001</v>
      </c>
      <c r="AI18" s="158" t="n">
        <f aca="false">AG18+AH18</f>
        <v>73.2</v>
      </c>
      <c r="AJ18" s="208" t="n">
        <v>0.12</v>
      </c>
      <c r="AK18" s="154" t="n">
        <v>31</v>
      </c>
      <c r="AL18" s="282" t="n">
        <v>19</v>
      </c>
      <c r="AM18" s="155" t="n">
        <f aca="false">AM17+(W18*1.9835)</f>
        <v>7216.56805</v>
      </c>
      <c r="AN18" s="155"/>
      <c r="AO18" s="158"/>
      <c r="AP18" s="203"/>
      <c r="AS18" s="10"/>
    </row>
    <row r="19" customFormat="false" ht="12.95" hidden="false" customHeight="true" outlineLevel="0" collapsed="false">
      <c r="A19" s="155" t="n">
        <f aca="false">A18+1</f>
        <v>8</v>
      </c>
      <c r="B19" s="283" t="n">
        <v>6900.78</v>
      </c>
      <c r="C19" s="96" t="n">
        <v>286467</v>
      </c>
      <c r="D19" s="154" t="n">
        <f aca="false">C19-C18</f>
        <v>0</v>
      </c>
      <c r="E19" s="96" t="n">
        <f aca="false">C19-152000</f>
        <v>134467</v>
      </c>
      <c r="F19" s="299" t="n">
        <f aca="false">D19/$D$2</f>
        <v>0</v>
      </c>
      <c r="G19" s="158" t="n">
        <v>71</v>
      </c>
      <c r="H19" s="153" t="n">
        <v>2.1</v>
      </c>
      <c r="I19" s="158" t="n">
        <f aca="false">G19+H19</f>
        <v>73.1</v>
      </c>
      <c r="J19" s="151" t="n">
        <f aca="false">IF(L19&gt;0,L19,0)</f>
        <v>0</v>
      </c>
      <c r="K19" s="158" t="n">
        <f aca="false">I19+J19</f>
        <v>73.1</v>
      </c>
      <c r="L19" s="158" t="n">
        <f aca="false">F19-(I19-AG19)</f>
        <v>-0.399999999999991</v>
      </c>
      <c r="M19" s="280" t="n">
        <v>3.7</v>
      </c>
      <c r="N19" s="158" t="n">
        <v>0</v>
      </c>
      <c r="O19" s="158" t="n">
        <v>0</v>
      </c>
      <c r="P19" s="150" t="n">
        <v>0</v>
      </c>
      <c r="Q19" s="263" t="n">
        <f aca="false">1.51*1.02</f>
        <v>1.5402</v>
      </c>
      <c r="R19" s="263" t="n">
        <v>3.22</v>
      </c>
      <c r="S19" s="300" t="n">
        <v>0</v>
      </c>
      <c r="T19" s="84" t="n">
        <f aca="false">M19-(Q19+R19+S19)</f>
        <v>-1.0602</v>
      </c>
      <c r="U19" s="158" t="n">
        <v>38</v>
      </c>
      <c r="V19" s="158" t="n">
        <v>0</v>
      </c>
      <c r="W19" s="122" t="n">
        <f aca="false">M19-N19-O19-P19-Q19-R19-S19-T19+U19+V19</f>
        <v>38</v>
      </c>
      <c r="X19" s="96"/>
      <c r="Y19" s="96"/>
      <c r="Z19" s="96"/>
      <c r="AA19" s="158" t="n">
        <v>0</v>
      </c>
      <c r="AB19" s="244"/>
      <c r="AC19" s="245"/>
      <c r="AD19" s="158" t="n">
        <v>31</v>
      </c>
      <c r="AE19" s="96" t="n">
        <f aca="false">AE18-AD19</f>
        <v>2800</v>
      </c>
      <c r="AF19" s="96"/>
      <c r="AG19" s="11" t="n">
        <f aca="false">N19+O19+P19+Q19+R19+S19+T19+W19+AA19+AD19</f>
        <v>72.7</v>
      </c>
      <c r="AH19" s="158" t="n">
        <f aca="false">IF(L19&lt;0,L19*-1,0)</f>
        <v>0.399999999999991</v>
      </c>
      <c r="AI19" s="158" t="n">
        <f aca="false">AG19+AH19</f>
        <v>73.1</v>
      </c>
      <c r="AJ19" s="208" t="n">
        <v>0</v>
      </c>
      <c r="AK19" s="154" t="n">
        <v>28</v>
      </c>
      <c r="AL19" s="282" t="n">
        <v>0</v>
      </c>
      <c r="AM19" s="155" t="n">
        <f aca="false">AM18+(W19*1.9835)</f>
        <v>7291.94105</v>
      </c>
      <c r="AN19" s="155"/>
      <c r="AO19" s="158"/>
      <c r="AP19" s="203"/>
      <c r="AS19" s="10"/>
    </row>
    <row r="20" customFormat="false" ht="12.95" hidden="false" customHeight="true" outlineLevel="0" collapsed="false">
      <c r="A20" s="155" t="n">
        <f aca="false">A19+1</f>
        <v>9</v>
      </c>
      <c r="B20" s="283" t="n">
        <v>6900.78</v>
      </c>
      <c r="C20" s="96" t="n">
        <v>286467</v>
      </c>
      <c r="D20" s="154" t="n">
        <f aca="false">C20-C19</f>
        <v>0</v>
      </c>
      <c r="E20" s="96" t="n">
        <f aca="false">C20-152000</f>
        <v>134467</v>
      </c>
      <c r="F20" s="299" t="n">
        <f aca="false">D20/$D$2</f>
        <v>0</v>
      </c>
      <c r="G20" s="158" t="n">
        <v>71</v>
      </c>
      <c r="H20" s="153" t="n">
        <v>2</v>
      </c>
      <c r="I20" s="158" t="n">
        <f aca="false">G20+H20</f>
        <v>73</v>
      </c>
      <c r="J20" s="151" t="n">
        <f aca="false">IF(L20&gt;0,L20,0)</f>
        <v>0</v>
      </c>
      <c r="K20" s="158" t="n">
        <f aca="false">I20+J20</f>
        <v>73</v>
      </c>
      <c r="L20" s="158" t="n">
        <f aca="false">F20-(I20-AG20)</f>
        <v>-1.59999999999999</v>
      </c>
      <c r="M20" s="280" t="n">
        <v>3.4</v>
      </c>
      <c r="N20" s="158" t="n">
        <v>0</v>
      </c>
      <c r="O20" s="158" t="n">
        <v>0</v>
      </c>
      <c r="P20" s="150" t="n">
        <v>0</v>
      </c>
      <c r="Q20" s="263" t="n">
        <f aca="false">1.51*1.02</f>
        <v>1.5402</v>
      </c>
      <c r="R20" s="263" t="n">
        <v>3.21</v>
      </c>
      <c r="S20" s="300" t="n">
        <v>0</v>
      </c>
      <c r="T20" s="84" t="n">
        <f aca="false">M20-(Q20+R20+S20)</f>
        <v>-1.3502</v>
      </c>
      <c r="U20" s="158" t="n">
        <v>37</v>
      </c>
      <c r="V20" s="158" t="n">
        <v>0</v>
      </c>
      <c r="W20" s="122" t="n">
        <f aca="false">M20-N20-O20-P20-Q20-R20-S20-T20+U20+V20</f>
        <v>37</v>
      </c>
      <c r="X20" s="96"/>
      <c r="Y20" s="96"/>
      <c r="Z20" s="96"/>
      <c r="AA20" s="158" t="n">
        <v>0</v>
      </c>
      <c r="AB20" s="244"/>
      <c r="AC20" s="245"/>
      <c r="AD20" s="158" t="n">
        <v>31</v>
      </c>
      <c r="AE20" s="96" t="n">
        <f aca="false">AE19-AD20</f>
        <v>2769</v>
      </c>
      <c r="AF20" s="96"/>
      <c r="AG20" s="11" t="n">
        <f aca="false">N20+O20+P20+Q20+R20+S20+T20+W20+AA20+AD20</f>
        <v>71.4</v>
      </c>
      <c r="AH20" s="158" t="n">
        <f aca="false">IF(L20&lt;0,L20*-1,0)</f>
        <v>1.59999999999999</v>
      </c>
      <c r="AI20" s="158" t="n">
        <f aca="false">AG20+AH20</f>
        <v>73</v>
      </c>
      <c r="AJ20" s="208" t="n">
        <v>0</v>
      </c>
      <c r="AK20" s="10" t="n">
        <v>28</v>
      </c>
      <c r="AL20" s="282" t="n">
        <v>13</v>
      </c>
      <c r="AM20" s="155" t="n">
        <f aca="false">AM19+(W20*1.9835)</f>
        <v>7365.33055</v>
      </c>
      <c r="AN20" s="155"/>
      <c r="AO20" s="158"/>
      <c r="AP20" s="203"/>
      <c r="AS20" s="10"/>
    </row>
    <row r="21" customFormat="false" ht="12.95" hidden="false" customHeight="true" outlineLevel="0" collapsed="false">
      <c r="A21" s="155" t="n">
        <f aca="false">A20+1</f>
        <v>10</v>
      </c>
      <c r="B21" s="283" t="n">
        <v>6900.78</v>
      </c>
      <c r="C21" s="96" t="n">
        <v>286467</v>
      </c>
      <c r="D21" s="154" t="n">
        <f aca="false">C21-C20</f>
        <v>0</v>
      </c>
      <c r="E21" s="96" t="n">
        <f aca="false">C21-152000</f>
        <v>134467</v>
      </c>
      <c r="F21" s="299" t="n">
        <f aca="false">D21/$D$2</f>
        <v>0</v>
      </c>
      <c r="G21" s="158" t="n">
        <v>71</v>
      </c>
      <c r="H21" s="153" t="n">
        <v>2.5</v>
      </c>
      <c r="I21" s="158" t="n">
        <f aca="false">G21+H21</f>
        <v>73.5</v>
      </c>
      <c r="J21" s="151" t="n">
        <f aca="false">IF(L21&gt;0,L21,0)</f>
        <v>0</v>
      </c>
      <c r="K21" s="158" t="n">
        <f aca="false">I21+J21</f>
        <v>73.5</v>
      </c>
      <c r="L21" s="158" t="n">
        <f aca="false">F21-(I21-AG21)</f>
        <v>-1</v>
      </c>
      <c r="M21" s="280" t="n">
        <v>3.5</v>
      </c>
      <c r="N21" s="158" t="n">
        <v>0</v>
      </c>
      <c r="O21" s="158" t="n">
        <v>0</v>
      </c>
      <c r="P21" s="150" t="n">
        <v>0</v>
      </c>
      <c r="Q21" s="263" t="n">
        <f aca="false">1.51*1.02</f>
        <v>1.5402</v>
      </c>
      <c r="R21" s="263" t="n">
        <v>2.95</v>
      </c>
      <c r="S21" s="300" t="n">
        <v>0</v>
      </c>
      <c r="T21" s="84" t="n">
        <f aca="false">M21-(Q21+R21+S21)</f>
        <v>-0.9902</v>
      </c>
      <c r="U21" s="158" t="n">
        <v>38</v>
      </c>
      <c r="V21" s="158" t="n">
        <v>0</v>
      </c>
      <c r="W21" s="122" t="n">
        <f aca="false">M21-N21-O21-P21-Q21-R21-S21-T21+U21+V21</f>
        <v>38</v>
      </c>
      <c r="X21" s="96"/>
      <c r="Y21" s="96"/>
      <c r="Z21" s="96"/>
      <c r="AA21" s="158" t="n">
        <v>0</v>
      </c>
      <c r="AB21" s="244"/>
      <c r="AC21" s="245"/>
      <c r="AD21" s="158" t="n">
        <v>31</v>
      </c>
      <c r="AE21" s="96" t="n">
        <f aca="false">AE20-AD21</f>
        <v>2738</v>
      </c>
      <c r="AF21" s="96"/>
      <c r="AG21" s="11" t="n">
        <f aca="false">N21+O21+P21+Q21+R21+S21+T21+W21+AA21+AD21</f>
        <v>72.5</v>
      </c>
      <c r="AH21" s="158" t="n">
        <f aca="false">IF(L21&lt;0,L21*-1,0)</f>
        <v>1</v>
      </c>
      <c r="AI21" s="158" t="n">
        <f aca="false">AG21+AH21</f>
        <v>73.5</v>
      </c>
      <c r="AJ21" s="208" t="n">
        <v>0</v>
      </c>
      <c r="AK21" s="154" t="n">
        <v>23</v>
      </c>
      <c r="AL21" s="282" t="n">
        <v>0</v>
      </c>
      <c r="AM21" s="155" t="n">
        <f aca="false">AM20+(W21*1.9835)</f>
        <v>7440.70355</v>
      </c>
      <c r="AN21" s="155"/>
      <c r="AO21" s="158"/>
      <c r="AP21" s="203"/>
      <c r="AS21" s="10"/>
    </row>
    <row r="22" customFormat="false" ht="12.95" hidden="false" customHeight="true" outlineLevel="0" collapsed="false">
      <c r="A22" s="155" t="n">
        <f aca="false">A21+1</f>
        <v>11</v>
      </c>
      <c r="B22" s="283" t="n">
        <v>6900.78</v>
      </c>
      <c r="C22" s="96" t="n">
        <v>286467</v>
      </c>
      <c r="D22" s="154" t="n">
        <f aca="false">C22-C21</f>
        <v>0</v>
      </c>
      <c r="E22" s="96" t="n">
        <f aca="false">C22-152000</f>
        <v>134467</v>
      </c>
      <c r="F22" s="299" t="n">
        <f aca="false">D22/$D$2</f>
        <v>0</v>
      </c>
      <c r="G22" s="158" t="n">
        <v>71</v>
      </c>
      <c r="H22" s="153" t="n">
        <v>2.7</v>
      </c>
      <c r="I22" s="158" t="n">
        <f aca="false">G22+H22</f>
        <v>73.7</v>
      </c>
      <c r="J22" s="151" t="n">
        <f aca="false">IF(L22&gt;0,L22,0)</f>
        <v>0</v>
      </c>
      <c r="K22" s="158" t="n">
        <f aca="false">I22+J22</f>
        <v>73.7</v>
      </c>
      <c r="L22" s="158" t="n">
        <f aca="false">F22-(I22-AG22)</f>
        <v>-1</v>
      </c>
      <c r="M22" s="280" t="n">
        <v>3.7</v>
      </c>
      <c r="N22" s="158" t="n">
        <v>0</v>
      </c>
      <c r="O22" s="158" t="n">
        <v>0</v>
      </c>
      <c r="P22" s="150" t="n">
        <v>0</v>
      </c>
      <c r="Q22" s="263" t="n">
        <f aca="false">1.51*1.02</f>
        <v>1.5402</v>
      </c>
      <c r="R22" s="263" t="n">
        <v>2.76</v>
      </c>
      <c r="S22" s="300" t="n">
        <v>0</v>
      </c>
      <c r="T22" s="84" t="n">
        <f aca="false">M22-(Q22+R22+S22)</f>
        <v>-0.6002</v>
      </c>
      <c r="U22" s="158" t="n">
        <v>38</v>
      </c>
      <c r="V22" s="158" t="n">
        <v>0</v>
      </c>
      <c r="W22" s="122" t="n">
        <f aca="false">M22-N22-O22-P22-Q22-R22-S22-T22+U22+V22</f>
        <v>38</v>
      </c>
      <c r="X22" s="96"/>
      <c r="Y22" s="96"/>
      <c r="Z22" s="96"/>
      <c r="AA22" s="158" t="n">
        <v>0</v>
      </c>
      <c r="AB22" s="244"/>
      <c r="AC22" s="245"/>
      <c r="AD22" s="158" t="n">
        <v>31</v>
      </c>
      <c r="AE22" s="96" t="n">
        <f aca="false">AE21-AD22</f>
        <v>2707</v>
      </c>
      <c r="AF22" s="96"/>
      <c r="AG22" s="11" t="n">
        <f aca="false">N22+O22+P22+Q22+R22+S22+T22+W22+AA22+AD22</f>
        <v>72.7</v>
      </c>
      <c r="AH22" s="158" t="n">
        <f aca="false">IF(L22&lt;0,L22*-1,0)</f>
        <v>1</v>
      </c>
      <c r="AI22" s="158" t="n">
        <f aca="false">AG22+AH22</f>
        <v>73.7</v>
      </c>
      <c r="AJ22" s="208" t="n">
        <v>0</v>
      </c>
      <c r="AK22" s="154" t="n">
        <v>30</v>
      </c>
      <c r="AL22" s="282" t="n">
        <v>-2</v>
      </c>
      <c r="AM22" s="155" t="n">
        <f aca="false">AM21+(W22*1.9835)</f>
        <v>7516.07655</v>
      </c>
      <c r="AN22" s="155"/>
      <c r="AO22" s="158"/>
      <c r="AP22" s="203"/>
      <c r="AS22" s="10"/>
    </row>
    <row r="23" customFormat="false" ht="12.95" hidden="false" customHeight="true" outlineLevel="0" collapsed="false">
      <c r="A23" s="155" t="n">
        <f aca="false">A22+1</f>
        <v>12</v>
      </c>
      <c r="B23" s="283" t="n">
        <v>6900.78</v>
      </c>
      <c r="C23" s="96" t="n">
        <v>286467</v>
      </c>
      <c r="D23" s="154" t="n">
        <f aca="false">C23-C22</f>
        <v>0</v>
      </c>
      <c r="E23" s="96" t="n">
        <f aca="false">C23-152000</f>
        <v>134467</v>
      </c>
      <c r="F23" s="299" t="n">
        <f aca="false">D23/$D$2</f>
        <v>0</v>
      </c>
      <c r="G23" s="158" t="n">
        <v>71</v>
      </c>
      <c r="H23" s="153" t="n">
        <v>2.1</v>
      </c>
      <c r="I23" s="158" t="n">
        <f aca="false">G23+H23</f>
        <v>73.1</v>
      </c>
      <c r="J23" s="151" t="n">
        <f aca="false">IF(L23&gt;0,L23,0)</f>
        <v>0</v>
      </c>
      <c r="K23" s="158" t="n">
        <f aca="false">I23+J23</f>
        <v>73.1</v>
      </c>
      <c r="L23" s="158" t="n">
        <f aca="false">F23-(I23-AG23)</f>
        <v>-0.399999999999991</v>
      </c>
      <c r="M23" s="280" t="n">
        <v>3.7</v>
      </c>
      <c r="N23" s="158" t="n">
        <v>0</v>
      </c>
      <c r="O23" s="158" t="n">
        <v>0</v>
      </c>
      <c r="P23" s="150" t="n">
        <v>0</v>
      </c>
      <c r="Q23" s="263" t="n">
        <f aca="false">1.51*1.02</f>
        <v>1.5402</v>
      </c>
      <c r="R23" s="263" t="n">
        <v>2.75</v>
      </c>
      <c r="S23" s="300" t="n">
        <v>0</v>
      </c>
      <c r="T23" s="84" t="n">
        <f aca="false">M23-(Q23+R23+S23)</f>
        <v>-0.5902</v>
      </c>
      <c r="U23" s="158" t="n">
        <v>38</v>
      </c>
      <c r="V23" s="158" t="n">
        <v>0</v>
      </c>
      <c r="W23" s="122" t="n">
        <f aca="false">M23-N23-O23-P23-Q23-R23-S23-T23+U23+V23</f>
        <v>38</v>
      </c>
      <c r="X23" s="96"/>
      <c r="Y23" s="96"/>
      <c r="Z23" s="96"/>
      <c r="AA23" s="158" t="n">
        <v>0</v>
      </c>
      <c r="AB23" s="244"/>
      <c r="AC23" s="245"/>
      <c r="AD23" s="158" t="n">
        <v>31</v>
      </c>
      <c r="AE23" s="96" t="n">
        <f aca="false">AE22-AD23</f>
        <v>2676</v>
      </c>
      <c r="AF23" s="96"/>
      <c r="AG23" s="11" t="n">
        <f aca="false">N23+O23+P23+Q23+R23+S23+T23+W23+AA23+AD23</f>
        <v>72.7</v>
      </c>
      <c r="AH23" s="158" t="n">
        <f aca="false">IF(L23&lt;0,L23*-1,0)</f>
        <v>0.399999999999991</v>
      </c>
      <c r="AI23" s="158" t="n">
        <f aca="false">AG23+AH23</f>
        <v>73.1</v>
      </c>
      <c r="AJ23" s="208" t="n">
        <v>0</v>
      </c>
      <c r="AK23" s="154" t="n">
        <v>31</v>
      </c>
      <c r="AL23" s="282" t="n">
        <v>2</v>
      </c>
      <c r="AM23" s="155" t="n">
        <f aca="false">AM22+(W23*1.9835)</f>
        <v>7591.44955</v>
      </c>
      <c r="AN23" s="155"/>
      <c r="AO23" s="158"/>
      <c r="AP23" s="203"/>
      <c r="AS23" s="10"/>
    </row>
    <row r="24" customFormat="false" ht="12.95" hidden="false" customHeight="true" outlineLevel="0" collapsed="false">
      <c r="A24" s="155" t="n">
        <v>13</v>
      </c>
      <c r="B24" s="283" t="n">
        <v>6900.78</v>
      </c>
      <c r="C24" s="96" t="n">
        <v>286467</v>
      </c>
      <c r="D24" s="154" t="n">
        <f aca="false">C24-C23</f>
        <v>0</v>
      </c>
      <c r="E24" s="96" t="n">
        <f aca="false">C24-152000</f>
        <v>134467</v>
      </c>
      <c r="F24" s="299" t="n">
        <f aca="false">D24/$D$2</f>
        <v>0</v>
      </c>
      <c r="G24" s="158" t="n">
        <v>71</v>
      </c>
      <c r="H24" s="153" t="n">
        <v>2.1</v>
      </c>
      <c r="I24" s="158" t="n">
        <f aca="false">G24+H24</f>
        <v>73.1</v>
      </c>
      <c r="J24" s="151" t="n">
        <f aca="false">IF(L24&gt;0,L24,0)</f>
        <v>0</v>
      </c>
      <c r="K24" s="158" t="n">
        <f aca="false">I24+J24</f>
        <v>73.1</v>
      </c>
      <c r="L24" s="158" t="n">
        <f aca="false">F24-(I24-AG24)</f>
        <v>-1.5</v>
      </c>
      <c r="M24" s="280" t="n">
        <v>3.6</v>
      </c>
      <c r="N24" s="158" t="n">
        <v>0</v>
      </c>
      <c r="O24" s="158" t="n">
        <v>0</v>
      </c>
      <c r="P24" s="150" t="n">
        <v>0</v>
      </c>
      <c r="Q24" s="263" t="n">
        <f aca="false">1.51*1.02</f>
        <v>1.5402</v>
      </c>
      <c r="R24" s="263" t="n">
        <v>2.74</v>
      </c>
      <c r="S24" s="300" t="n">
        <v>0</v>
      </c>
      <c r="T24" s="84" t="n">
        <f aca="false">M24-(Q24+R24+S24)</f>
        <v>-0.680200000000001</v>
      </c>
      <c r="U24" s="158" t="n">
        <v>37</v>
      </c>
      <c r="V24" s="158" t="n">
        <v>0</v>
      </c>
      <c r="W24" s="122" t="n">
        <f aca="false">M24-N24-O24-P24-Q24-R24-S24-T24+U24+V24</f>
        <v>37</v>
      </c>
      <c r="X24" s="96"/>
      <c r="Y24" s="96"/>
      <c r="Z24" s="96"/>
      <c r="AA24" s="158" t="n">
        <v>0</v>
      </c>
      <c r="AB24" s="244"/>
      <c r="AC24" s="245"/>
      <c r="AD24" s="158" t="n">
        <v>31</v>
      </c>
      <c r="AE24" s="96" t="n">
        <f aca="false">AE23-AD24</f>
        <v>2645</v>
      </c>
      <c r="AF24" s="96"/>
      <c r="AG24" s="11" t="n">
        <f aca="false">N24+O24+P24+Q24+R24+S24+T24+W24+AA24+AD24</f>
        <v>71.6</v>
      </c>
      <c r="AH24" s="158" t="n">
        <f aca="false">IF(L24&lt;0,L24*-1,0)</f>
        <v>1.5</v>
      </c>
      <c r="AI24" s="158" t="n">
        <f aca="false">AG24+AH24</f>
        <v>73.1</v>
      </c>
      <c r="AJ24" s="208" t="n">
        <v>0</v>
      </c>
      <c r="AK24" s="154" t="n">
        <v>32</v>
      </c>
      <c r="AL24" s="282" t="n">
        <v>-1</v>
      </c>
      <c r="AM24" s="155" t="n">
        <f aca="false">AM23+(W24*1.9835)</f>
        <v>7664.83905</v>
      </c>
      <c r="AN24" s="155"/>
      <c r="AO24" s="158"/>
      <c r="AP24" s="203"/>
      <c r="AS24" s="10"/>
    </row>
    <row r="25" customFormat="false" ht="12.95" hidden="false" customHeight="true" outlineLevel="0" collapsed="false">
      <c r="A25" s="155" t="n">
        <f aca="false">A24+1</f>
        <v>14</v>
      </c>
      <c r="B25" s="283" t="n">
        <v>6900.77</v>
      </c>
      <c r="C25" s="96" t="n">
        <v>286430</v>
      </c>
      <c r="D25" s="154" t="n">
        <f aca="false">C25-C24</f>
        <v>-37</v>
      </c>
      <c r="E25" s="96" t="n">
        <f aca="false">C25-152000</f>
        <v>134430</v>
      </c>
      <c r="F25" s="299" t="n">
        <f aca="false">D25/$D$2</f>
        <v>-18.6538946307033</v>
      </c>
      <c r="G25" s="158" t="n">
        <v>70</v>
      </c>
      <c r="H25" s="153" t="n">
        <v>2</v>
      </c>
      <c r="I25" s="158" t="n">
        <f aca="false">G25+H25</f>
        <v>72</v>
      </c>
      <c r="J25" s="151" t="n">
        <f aca="false">IF(L25&gt;0,L25,0)</f>
        <v>0</v>
      </c>
      <c r="K25" s="158" t="n">
        <f aca="false">I25+J25</f>
        <v>72</v>
      </c>
      <c r="L25" s="158" t="n">
        <f aca="false">F25-(I25-AG25)</f>
        <v>-16.2538946307033</v>
      </c>
      <c r="M25" s="280" t="n">
        <v>3.4</v>
      </c>
      <c r="N25" s="158" t="n">
        <v>0</v>
      </c>
      <c r="O25" s="158" t="n">
        <v>0</v>
      </c>
      <c r="P25" s="150" t="n">
        <v>0</v>
      </c>
      <c r="Q25" s="263" t="n">
        <f aca="false">1.51*1.02</f>
        <v>1.5402</v>
      </c>
      <c r="R25" s="263" t="n">
        <v>3.8</v>
      </c>
      <c r="S25" s="300" t="n">
        <v>0</v>
      </c>
      <c r="T25" s="84" t="n">
        <f aca="false">M25-(Q25+R25+S25)</f>
        <v>-1.9402</v>
      </c>
      <c r="U25" s="158" t="n">
        <v>40</v>
      </c>
      <c r="V25" s="158" t="n">
        <v>0</v>
      </c>
      <c r="W25" s="122" t="n">
        <f aca="false">M25-N25-O25-P25-Q25-R25-S25-T25+U25+V25</f>
        <v>40</v>
      </c>
      <c r="X25" s="96"/>
      <c r="Y25" s="96"/>
      <c r="Z25" s="96"/>
      <c r="AA25" s="158" t="n">
        <v>0</v>
      </c>
      <c r="AB25" s="244"/>
      <c r="AC25" s="245"/>
      <c r="AD25" s="158" t="n">
        <v>31</v>
      </c>
      <c r="AE25" s="96" t="n">
        <f aca="false">AE24-AD25</f>
        <v>2614</v>
      </c>
      <c r="AF25" s="96"/>
      <c r="AG25" s="11" t="n">
        <f aca="false">N25+O25+P25+Q25+R25+S25+T25+W25+AA25+AD25</f>
        <v>74.4</v>
      </c>
      <c r="AH25" s="158" t="n">
        <f aca="false">IF(L25&lt;0,L25*-1,0)</f>
        <v>16.2538946307033</v>
      </c>
      <c r="AI25" s="158" t="n">
        <f aca="false">AG25+AH25</f>
        <v>90.6538946307033</v>
      </c>
      <c r="AJ25" s="208" t="n">
        <v>0</v>
      </c>
      <c r="AK25" s="10" t="n">
        <v>33</v>
      </c>
      <c r="AL25" s="282" t="n">
        <v>0</v>
      </c>
      <c r="AM25" s="155" t="n">
        <f aca="false">AM24+(W25*1.9835)</f>
        <v>7744.17905</v>
      </c>
      <c r="AN25" s="155"/>
      <c r="AO25" s="158"/>
      <c r="AP25" s="203"/>
      <c r="AS25" s="10"/>
    </row>
    <row r="26" customFormat="false" ht="12.95" hidden="false" customHeight="true" outlineLevel="0" collapsed="false">
      <c r="A26" s="155" t="n">
        <f aca="false">A25+1</f>
        <v>15</v>
      </c>
      <c r="B26" s="283" t="n">
        <v>6900.77</v>
      </c>
      <c r="C26" s="96" t="n">
        <v>286430</v>
      </c>
      <c r="D26" s="154" t="n">
        <f aca="false">C26-C25</f>
        <v>0</v>
      </c>
      <c r="E26" s="96" t="n">
        <f aca="false">C26-152000</f>
        <v>134430</v>
      </c>
      <c r="F26" s="299" t="n">
        <f aca="false">D26/$D$2</f>
        <v>0</v>
      </c>
      <c r="G26" s="158" t="n">
        <v>70</v>
      </c>
      <c r="H26" s="153" t="n">
        <v>1.8</v>
      </c>
      <c r="I26" s="158" t="n">
        <f aca="false">G26+H26</f>
        <v>71.8</v>
      </c>
      <c r="J26" s="151" t="n">
        <f aca="false">IF(L26&gt;0,L26,0)</f>
        <v>11.6</v>
      </c>
      <c r="K26" s="158" t="n">
        <f aca="false">I26+J26</f>
        <v>83.4</v>
      </c>
      <c r="L26" s="158" t="n">
        <f aca="false">F26-(I26-AG26)</f>
        <v>11.6</v>
      </c>
      <c r="M26" s="280" t="n">
        <v>3.4</v>
      </c>
      <c r="N26" s="158" t="n">
        <v>0</v>
      </c>
      <c r="O26" s="158" t="n">
        <v>0</v>
      </c>
      <c r="P26" s="150" t="n">
        <v>0</v>
      </c>
      <c r="Q26" s="263" t="n">
        <f aca="false">1.51*1.02</f>
        <v>1.5402</v>
      </c>
      <c r="R26" s="263" t="n">
        <v>4.01</v>
      </c>
      <c r="S26" s="300" t="n">
        <v>0</v>
      </c>
      <c r="T26" s="84" t="n">
        <f aca="false">M26-(Q26+R26+S26)</f>
        <v>-2.1502</v>
      </c>
      <c r="U26" s="158" t="n">
        <v>49</v>
      </c>
      <c r="V26" s="158" t="n">
        <v>0</v>
      </c>
      <c r="W26" s="122" t="n">
        <f aca="false">M26-N26-O26-P26-Q26-R26-S26-T26+U26+V26</f>
        <v>49</v>
      </c>
      <c r="X26" s="96"/>
      <c r="Y26" s="96"/>
      <c r="Z26" s="96"/>
      <c r="AA26" s="158" t="n">
        <v>0</v>
      </c>
      <c r="AB26" s="244"/>
      <c r="AC26" s="245"/>
      <c r="AD26" s="158" t="n">
        <v>31</v>
      </c>
      <c r="AE26" s="96" t="n">
        <f aca="false">AE25-AD26</f>
        <v>2583</v>
      </c>
      <c r="AF26" s="96"/>
      <c r="AG26" s="11" t="n">
        <f aca="false">N26+O26+P26+Q26+R26+S26+T26+W26+AA26+AD26</f>
        <v>83.4</v>
      </c>
      <c r="AH26" s="158" t="n">
        <f aca="false">IF(L26&lt;0,L26*-1,0)</f>
        <v>0</v>
      </c>
      <c r="AI26" s="158" t="n">
        <f aca="false">AG26+AH26</f>
        <v>83.4</v>
      </c>
      <c r="AJ26" s="208" t="n">
        <v>0</v>
      </c>
      <c r="AK26" s="10" t="n">
        <v>30</v>
      </c>
      <c r="AL26" s="282" t="n">
        <v>-2</v>
      </c>
      <c r="AM26" s="155" t="n">
        <f aca="false">AM25+(W26*1.9835)</f>
        <v>7841.37055</v>
      </c>
      <c r="AN26" s="155"/>
      <c r="AO26" s="158"/>
      <c r="AP26" s="203"/>
      <c r="AS26" s="10"/>
    </row>
    <row r="27" customFormat="false" ht="12.95" hidden="false" customHeight="true" outlineLevel="0" collapsed="false">
      <c r="A27" s="155" t="n">
        <f aca="false">A26+1</f>
        <v>16</v>
      </c>
      <c r="B27" s="283" t="n">
        <v>6900.76</v>
      </c>
      <c r="C27" s="96" t="n">
        <v>286393</v>
      </c>
      <c r="D27" s="154" t="n">
        <f aca="false">C27-C26</f>
        <v>-37</v>
      </c>
      <c r="E27" s="96" t="n">
        <f aca="false">C27-152000</f>
        <v>134393</v>
      </c>
      <c r="F27" s="299" t="n">
        <f aca="false">D27/$D$2</f>
        <v>-18.6538946307033</v>
      </c>
      <c r="G27" s="158" t="n">
        <v>70</v>
      </c>
      <c r="H27" s="153" t="n">
        <v>1.7</v>
      </c>
      <c r="I27" s="158" t="n">
        <f aca="false">G27+H27</f>
        <v>71.7</v>
      </c>
      <c r="J27" s="151" t="n">
        <f aca="false">IF(L27&gt;0,L27,0)</f>
        <v>0</v>
      </c>
      <c r="K27" s="158" t="n">
        <f aca="false">I27+J27</f>
        <v>71.7</v>
      </c>
      <c r="L27" s="158" t="n">
        <f aca="false">F27-(I27-AG27)</f>
        <v>-6.05389463070331</v>
      </c>
      <c r="M27" s="280" t="n">
        <v>3.3</v>
      </c>
      <c r="N27" s="158" t="n">
        <v>0</v>
      </c>
      <c r="O27" s="158" t="n">
        <v>0</v>
      </c>
      <c r="P27" s="150" t="n">
        <v>0</v>
      </c>
      <c r="Q27" s="263" t="n">
        <f aca="false">1.51*1.02</f>
        <v>1.5402</v>
      </c>
      <c r="R27" s="263" t="n">
        <v>3.84</v>
      </c>
      <c r="S27" s="300" t="n">
        <v>0</v>
      </c>
      <c r="T27" s="84" t="n">
        <f aca="false">M27-(Q27+R27+S27)</f>
        <v>-2.0802</v>
      </c>
      <c r="U27" s="158" t="n">
        <v>50</v>
      </c>
      <c r="V27" s="158" t="n">
        <v>0</v>
      </c>
      <c r="W27" s="122" t="n">
        <f aca="false">M27-N27-O27-P27-Q27-R27-S27-T27+U27+V27</f>
        <v>50</v>
      </c>
      <c r="X27" s="96"/>
      <c r="Y27" s="96"/>
      <c r="Z27" s="96"/>
      <c r="AA27" s="158" t="n">
        <v>0</v>
      </c>
      <c r="AB27" s="244"/>
      <c r="AC27" s="245"/>
      <c r="AD27" s="158" t="n">
        <v>31</v>
      </c>
      <c r="AE27" s="96" t="n">
        <f aca="false">AE26-AD27</f>
        <v>2552</v>
      </c>
      <c r="AF27" s="96"/>
      <c r="AG27" s="11" t="n">
        <f aca="false">N27+O27+P27+Q27+R27+S27+T27+W27+AA27+AD27</f>
        <v>84.3</v>
      </c>
      <c r="AH27" s="158" t="n">
        <f aca="false">IF(L27&lt;0,L27*-1,0)</f>
        <v>6.05389463070331</v>
      </c>
      <c r="AI27" s="158" t="n">
        <f aca="false">AG27+AH27</f>
        <v>90.3538946307033</v>
      </c>
      <c r="AJ27" s="208" t="n">
        <v>0</v>
      </c>
      <c r="AK27" s="10" t="n">
        <v>17</v>
      </c>
      <c r="AL27" s="282" t="n">
        <v>-5</v>
      </c>
      <c r="AM27" s="155" t="n">
        <f aca="false">AM26+(W27*1.9835)</f>
        <v>7940.54555</v>
      </c>
      <c r="AN27" s="155"/>
      <c r="AO27" s="158"/>
      <c r="AP27" s="9"/>
      <c r="AS27" s="10"/>
    </row>
    <row r="28" customFormat="false" ht="12.95" hidden="false" customHeight="true" outlineLevel="0" collapsed="false">
      <c r="A28" s="155" t="n">
        <f aca="false">A27+1</f>
        <v>17</v>
      </c>
      <c r="B28" s="283" t="n">
        <v>6900.74</v>
      </c>
      <c r="C28" s="96" t="n">
        <v>286319</v>
      </c>
      <c r="D28" s="154" t="n">
        <f aca="false">C28-C27</f>
        <v>-74</v>
      </c>
      <c r="E28" s="96" t="n">
        <f aca="false">C28-152000</f>
        <v>134319</v>
      </c>
      <c r="F28" s="299" t="n">
        <f aca="false">D28/$D$2</f>
        <v>-37.3077892614066</v>
      </c>
      <c r="G28" s="158" t="n">
        <v>70</v>
      </c>
      <c r="H28" s="153" t="n">
        <v>1.5</v>
      </c>
      <c r="I28" s="158" t="n">
        <f aca="false">G28+H28</f>
        <v>71.5</v>
      </c>
      <c r="J28" s="151" t="n">
        <f aca="false">IF(L28&gt;0,L28,0)</f>
        <v>0</v>
      </c>
      <c r="K28" s="158" t="n">
        <f aca="false">I28+J28</f>
        <v>71.5</v>
      </c>
      <c r="L28" s="158" t="n">
        <f aca="false">F28-(I28-AG28)</f>
        <v>-24.3077892614066</v>
      </c>
      <c r="M28" s="280" t="n">
        <v>3.5</v>
      </c>
      <c r="N28" s="158" t="n">
        <v>0</v>
      </c>
      <c r="O28" s="158" t="n">
        <v>0</v>
      </c>
      <c r="P28" s="150" t="n">
        <v>0</v>
      </c>
      <c r="Q28" s="263" t="n">
        <f aca="false">1.51*1.02</f>
        <v>1.5402</v>
      </c>
      <c r="R28" s="263" t="n">
        <v>3.99</v>
      </c>
      <c r="S28" s="300" t="n">
        <v>0</v>
      </c>
      <c r="T28" s="84" t="n">
        <f aca="false">M28-(Q28+R28+S28)</f>
        <v>-2.0302</v>
      </c>
      <c r="U28" s="158" t="n">
        <v>50</v>
      </c>
      <c r="V28" s="158" t="n">
        <v>0</v>
      </c>
      <c r="W28" s="122" t="n">
        <f aca="false">M28-N28-O28-P28-Q28-R28-S28-T28+U28+V28</f>
        <v>50</v>
      </c>
      <c r="X28" s="96"/>
      <c r="Y28" s="96"/>
      <c r="Z28" s="96"/>
      <c r="AA28" s="158" t="n">
        <v>0</v>
      </c>
      <c r="AB28" s="244"/>
      <c r="AC28" s="245"/>
      <c r="AD28" s="158" t="n">
        <v>31</v>
      </c>
      <c r="AE28" s="96" t="n">
        <f aca="false">AE27-AD28</f>
        <v>2521</v>
      </c>
      <c r="AF28" s="96"/>
      <c r="AG28" s="11" t="n">
        <f aca="false">N28+O28+P28+Q28+R28+S28+T28+W28+AA28+AD28</f>
        <v>84.5</v>
      </c>
      <c r="AH28" s="158" t="n">
        <f aca="false">IF(L28&lt;0,L28*-1,0)</f>
        <v>24.3077892614066</v>
      </c>
      <c r="AI28" s="158" t="n">
        <f aca="false">AG28+AH28</f>
        <v>108.807789261407</v>
      </c>
      <c r="AJ28" s="208" t="n">
        <v>0</v>
      </c>
      <c r="AK28" s="10" t="n">
        <v>18</v>
      </c>
      <c r="AL28" s="282" t="n">
        <v>-10</v>
      </c>
      <c r="AM28" s="155" t="n">
        <f aca="false">AM27+(W28*1.9835)</f>
        <v>8039.72055</v>
      </c>
      <c r="AN28" s="155"/>
      <c r="AO28" s="158"/>
      <c r="AP28" s="203"/>
      <c r="AS28" s="10"/>
    </row>
    <row r="29" customFormat="false" ht="12.95" hidden="false" customHeight="true" outlineLevel="0" collapsed="false">
      <c r="A29" s="155" t="n">
        <f aca="false">A28+1</f>
        <v>18</v>
      </c>
      <c r="B29" s="283" t="n">
        <v>6900.73</v>
      </c>
      <c r="C29" s="96" t="n">
        <v>286282</v>
      </c>
      <c r="D29" s="154" t="n">
        <f aca="false">C29-C28</f>
        <v>-37</v>
      </c>
      <c r="E29" s="96" t="n">
        <f aca="false">C29-152000</f>
        <v>134282</v>
      </c>
      <c r="F29" s="299" t="n">
        <f aca="false">D29/$D$2</f>
        <v>-18.6538946307033</v>
      </c>
      <c r="G29" s="158" t="n">
        <v>70</v>
      </c>
      <c r="H29" s="153" t="n">
        <v>1.2</v>
      </c>
      <c r="I29" s="158" t="n">
        <f aca="false">G29+H29</f>
        <v>71.2</v>
      </c>
      <c r="J29" s="151" t="n">
        <f aca="false">IF(L29&gt;0,L29,0)</f>
        <v>0</v>
      </c>
      <c r="K29" s="158" t="n">
        <f aca="false">I29+J29</f>
        <v>71.2</v>
      </c>
      <c r="L29" s="158" t="n">
        <f aca="false">F29-(I29-AG29)</f>
        <v>-5.1538946307033</v>
      </c>
      <c r="M29" s="280" t="n">
        <v>3.7</v>
      </c>
      <c r="N29" s="158" t="n">
        <v>0</v>
      </c>
      <c r="O29" s="158" t="n">
        <v>0</v>
      </c>
      <c r="P29" s="150" t="n">
        <v>0</v>
      </c>
      <c r="Q29" s="263" t="n">
        <f aca="false">1.51*1.02</f>
        <v>1.5402</v>
      </c>
      <c r="R29" s="263" t="n">
        <v>2.79</v>
      </c>
      <c r="S29" s="300" t="n">
        <v>0</v>
      </c>
      <c r="T29" s="84" t="n">
        <f aca="false">M29-(Q29+R29+S29)</f>
        <v>-0.630199999999999</v>
      </c>
      <c r="U29" s="158" t="n">
        <v>50</v>
      </c>
      <c r="V29" s="158" t="n">
        <v>0</v>
      </c>
      <c r="W29" s="122" t="n">
        <f aca="false">M29-N29-O29-P29-Q29-R29-S29-T29+U29+V29</f>
        <v>50</v>
      </c>
      <c r="X29" s="96"/>
      <c r="Y29" s="96"/>
      <c r="Z29" s="96"/>
      <c r="AA29" s="158" t="n">
        <v>0</v>
      </c>
      <c r="AB29" s="244"/>
      <c r="AC29" s="245"/>
      <c r="AD29" s="158" t="n">
        <v>31</v>
      </c>
      <c r="AE29" s="96" t="n">
        <f aca="false">AE28-AD29</f>
        <v>2490</v>
      </c>
      <c r="AF29" s="96"/>
      <c r="AG29" s="11" t="n">
        <f aca="false">N29+O29+P29+Q29+R29+S29+T29+W29+AA29+AD29</f>
        <v>84.7</v>
      </c>
      <c r="AH29" s="158" t="n">
        <f aca="false">IF(L29&lt;0,L29*-1,0)</f>
        <v>5.1538946307033</v>
      </c>
      <c r="AI29" s="158" t="n">
        <f aca="false">AG29+AH29</f>
        <v>89.8538946307033</v>
      </c>
      <c r="AJ29" s="208" t="n">
        <v>0</v>
      </c>
      <c r="AK29" s="10" t="n">
        <v>24</v>
      </c>
      <c r="AL29" s="282" t="n">
        <v>-4</v>
      </c>
      <c r="AM29" s="155" t="n">
        <f aca="false">AM28+(W29*1.9835)</f>
        <v>8138.89555</v>
      </c>
      <c r="AN29" s="155"/>
      <c r="AO29" s="158"/>
      <c r="AP29" s="203"/>
      <c r="AS29" s="10"/>
    </row>
    <row r="30" customFormat="false" ht="12.95" hidden="false" customHeight="true" outlineLevel="0" collapsed="false">
      <c r="A30" s="155" t="n">
        <f aca="false">A29+1</f>
        <v>19</v>
      </c>
      <c r="B30" s="283" t="n">
        <v>6900.72</v>
      </c>
      <c r="C30" s="96" t="n">
        <v>286245</v>
      </c>
      <c r="D30" s="154" t="n">
        <f aca="false">C30-C29</f>
        <v>-37</v>
      </c>
      <c r="E30" s="96" t="n">
        <f aca="false">C30-152000</f>
        <v>134245</v>
      </c>
      <c r="F30" s="299" t="n">
        <f aca="false">D30/$D$2</f>
        <v>-18.6538946307033</v>
      </c>
      <c r="G30" s="158" t="n">
        <v>70</v>
      </c>
      <c r="H30" s="153" t="n">
        <v>1.2</v>
      </c>
      <c r="I30" s="158" t="n">
        <f aca="false">G30+H30</f>
        <v>71.2</v>
      </c>
      <c r="J30" s="151" t="n">
        <f aca="false">IF(L30&gt;0,L30,0)</f>
        <v>0</v>
      </c>
      <c r="K30" s="158" t="n">
        <f aca="false">I30+J30</f>
        <v>71.2</v>
      </c>
      <c r="L30" s="158" t="n">
        <f aca="false">F30-(I30-AG30)</f>
        <v>-5.1538946307033</v>
      </c>
      <c r="M30" s="280" t="n">
        <v>3.7</v>
      </c>
      <c r="N30" s="158" t="n">
        <v>0</v>
      </c>
      <c r="O30" s="158" t="n">
        <v>0</v>
      </c>
      <c r="P30" s="150" t="n">
        <v>0</v>
      </c>
      <c r="Q30" s="263" t="n">
        <f aca="false">1.51*1.02</f>
        <v>1.5402</v>
      </c>
      <c r="R30" s="263" t="n">
        <v>3.13</v>
      </c>
      <c r="S30" s="300" t="n">
        <v>0.16</v>
      </c>
      <c r="T30" s="84" t="n">
        <f aca="false">M30-(Q30+R30+S30)</f>
        <v>-1.1302</v>
      </c>
      <c r="U30" s="158" t="n">
        <v>50</v>
      </c>
      <c r="V30" s="158" t="n">
        <v>0</v>
      </c>
      <c r="W30" s="122" t="n">
        <f aca="false">M30-N30-O30-P30-Q30-R30-S30-T30+U30+V30</f>
        <v>50</v>
      </c>
      <c r="X30" s="96"/>
      <c r="Y30" s="96"/>
      <c r="Z30" s="96"/>
      <c r="AA30" s="158" t="n">
        <v>0</v>
      </c>
      <c r="AB30" s="244"/>
      <c r="AC30" s="245"/>
      <c r="AD30" s="158" t="n">
        <v>31</v>
      </c>
      <c r="AE30" s="96" t="n">
        <f aca="false">AE29-AD30</f>
        <v>2459</v>
      </c>
      <c r="AF30" s="96"/>
      <c r="AG30" s="11" t="n">
        <f aca="false">N30+O30+P30+Q30+R30+S30+T30+W30+AA30+AD30</f>
        <v>84.7</v>
      </c>
      <c r="AH30" s="158" t="n">
        <f aca="false">IF(L30&lt;0,L30*-1,0)</f>
        <v>5.1538946307033</v>
      </c>
      <c r="AI30" s="158" t="n">
        <f aca="false">AG30+AH30</f>
        <v>89.8538946307033</v>
      </c>
      <c r="AJ30" s="208" t="n">
        <v>0</v>
      </c>
      <c r="AK30" s="10" t="n">
        <v>30</v>
      </c>
      <c r="AL30" s="282" t="n">
        <v>1</v>
      </c>
      <c r="AM30" s="155" t="n">
        <f aca="false">AM29+(W30*1.9835)</f>
        <v>8238.07055</v>
      </c>
      <c r="AN30" s="155"/>
      <c r="AO30" s="158"/>
      <c r="AP30" s="203"/>
      <c r="AS30" s="10"/>
    </row>
    <row r="31" customFormat="false" ht="12.95" hidden="false" customHeight="true" outlineLevel="0" collapsed="false">
      <c r="A31" s="155" t="n">
        <f aca="false">A30+1</f>
        <v>20</v>
      </c>
      <c r="B31" s="283" t="n">
        <v>6900.71</v>
      </c>
      <c r="C31" s="96" t="n">
        <v>286208</v>
      </c>
      <c r="D31" s="154" t="n">
        <f aca="false">C31-C30</f>
        <v>-37</v>
      </c>
      <c r="E31" s="96" t="n">
        <f aca="false">C31-152000</f>
        <v>134208</v>
      </c>
      <c r="F31" s="299" t="n">
        <f aca="false">D31/$D$2</f>
        <v>-18.6538946307033</v>
      </c>
      <c r="G31" s="158" t="n">
        <v>70</v>
      </c>
      <c r="H31" s="153" t="n">
        <v>1.2</v>
      </c>
      <c r="I31" s="158" t="n">
        <f aca="false">G31+H31</f>
        <v>71.2</v>
      </c>
      <c r="J31" s="151" t="n">
        <f aca="false">IF(L31&gt;0,L31,0)</f>
        <v>0</v>
      </c>
      <c r="K31" s="158" t="n">
        <f aca="false">I31+J31</f>
        <v>71.2</v>
      </c>
      <c r="L31" s="158" t="n">
        <f aca="false">F31-(I31-AG31)</f>
        <v>-5.1538946307033</v>
      </c>
      <c r="M31" s="280" t="n">
        <v>3.7</v>
      </c>
      <c r="N31" s="158" t="n">
        <v>0</v>
      </c>
      <c r="O31" s="158" t="n">
        <v>0</v>
      </c>
      <c r="P31" s="150" t="n">
        <v>0</v>
      </c>
      <c r="Q31" s="263" t="n">
        <f aca="false">1.51*1.02</f>
        <v>1.5402</v>
      </c>
      <c r="R31" s="263" t="n">
        <v>3.55</v>
      </c>
      <c r="S31" s="300" t="n">
        <v>0</v>
      </c>
      <c r="T31" s="84" t="n">
        <f aca="false">M31-(Q31+R31+S31)</f>
        <v>-1.3902</v>
      </c>
      <c r="U31" s="158" t="n">
        <v>50</v>
      </c>
      <c r="V31" s="158" t="n">
        <v>0</v>
      </c>
      <c r="W31" s="122" t="n">
        <f aca="false">M31-N31-O31-P31-Q31-R31-S31-T31+U31+V31</f>
        <v>50</v>
      </c>
      <c r="X31" s="96"/>
      <c r="Y31" s="96"/>
      <c r="Z31" s="96"/>
      <c r="AA31" s="158" t="n">
        <v>0</v>
      </c>
      <c r="AB31" s="244"/>
      <c r="AC31" s="245"/>
      <c r="AD31" s="158" t="n">
        <v>31</v>
      </c>
      <c r="AE31" s="96" t="n">
        <f aca="false">AE30-AD31</f>
        <v>2428</v>
      </c>
      <c r="AF31" s="96"/>
      <c r="AG31" s="11" t="n">
        <f aca="false">N31+O31+P31+Q31+R31+S31+T31+W31+AA31+AD31</f>
        <v>84.7</v>
      </c>
      <c r="AH31" s="158" t="n">
        <f aca="false">IF(L31&lt;0,L31*-1,0)</f>
        <v>5.1538946307033</v>
      </c>
      <c r="AI31" s="158" t="n">
        <f aca="false">AG31+AH31</f>
        <v>89.8538946307033</v>
      </c>
      <c r="AJ31" s="208" t="n">
        <v>0</v>
      </c>
      <c r="AK31" s="10" t="n">
        <v>37</v>
      </c>
      <c r="AL31" s="282" t="n">
        <v>6</v>
      </c>
      <c r="AM31" s="155" t="n">
        <f aca="false">AM30+(W31*1.9835)</f>
        <v>8337.24555</v>
      </c>
      <c r="AN31" s="155"/>
      <c r="AO31" s="158"/>
      <c r="AP31" s="203"/>
      <c r="AS31" s="10"/>
    </row>
    <row r="32" customFormat="false" ht="12.95" hidden="false" customHeight="true" outlineLevel="0" collapsed="false">
      <c r="A32" s="155" t="n">
        <f aca="false">A31+1</f>
        <v>21</v>
      </c>
      <c r="B32" s="283" t="n">
        <v>6900.7</v>
      </c>
      <c r="C32" s="96" t="n">
        <v>286171</v>
      </c>
      <c r="D32" s="154" t="n">
        <f aca="false">C32-C31</f>
        <v>-37</v>
      </c>
      <c r="E32" s="96" t="n">
        <f aca="false">C32-152000</f>
        <v>134171</v>
      </c>
      <c r="F32" s="299" t="n">
        <f aca="false">D32/$D$2</f>
        <v>-18.6538946307033</v>
      </c>
      <c r="G32" s="158" t="n">
        <v>69</v>
      </c>
      <c r="H32" s="153" t="n">
        <v>1.2</v>
      </c>
      <c r="I32" s="158" t="n">
        <f aca="false">G32+H32</f>
        <v>70.2</v>
      </c>
      <c r="J32" s="151" t="n">
        <f aca="false">IF(L32&gt;0,L32,0)</f>
        <v>0</v>
      </c>
      <c r="K32" s="158" t="n">
        <f aca="false">I32+J32</f>
        <v>70.2</v>
      </c>
      <c r="L32" s="158" t="n">
        <f aca="false">F32-(I32-AG32)</f>
        <v>-1.25389463070331</v>
      </c>
      <c r="M32" s="280" t="n">
        <v>3.6</v>
      </c>
      <c r="N32" s="158" t="n">
        <v>0</v>
      </c>
      <c r="O32" s="158" t="n">
        <v>0</v>
      </c>
      <c r="P32" s="150" t="n">
        <v>0</v>
      </c>
      <c r="Q32" s="263" t="n">
        <f aca="false">1.51*1.02</f>
        <v>1.5402</v>
      </c>
      <c r="R32" s="263" t="n">
        <v>4.02</v>
      </c>
      <c r="S32" s="300" t="n">
        <v>0</v>
      </c>
      <c r="T32" s="84" t="n">
        <f aca="false">M32-(Q32+R32+S32)</f>
        <v>-1.9602</v>
      </c>
      <c r="U32" s="158" t="n">
        <v>53</v>
      </c>
      <c r="V32" s="158" t="n">
        <v>0</v>
      </c>
      <c r="W32" s="122" t="n">
        <f aca="false">M32-N32-O32-P32-Q32-R32-S32-T32+U32+V32</f>
        <v>53</v>
      </c>
      <c r="X32" s="96"/>
      <c r="Y32" s="96"/>
      <c r="Z32" s="96"/>
      <c r="AA32" s="158" t="n">
        <v>0</v>
      </c>
      <c r="AB32" s="244"/>
      <c r="AC32" s="245"/>
      <c r="AD32" s="158" t="n">
        <v>31</v>
      </c>
      <c r="AE32" s="96" t="n">
        <f aca="false">AE31-AD32</f>
        <v>2397</v>
      </c>
      <c r="AF32" s="96"/>
      <c r="AG32" s="11" t="n">
        <f aca="false">N32+O32+P32+Q32+R32+S32+T32+W32+AA32+AD32</f>
        <v>87.6</v>
      </c>
      <c r="AH32" s="158" t="n">
        <f aca="false">IF(L32&lt;0,L32*-1,0)</f>
        <v>1.25389463070331</v>
      </c>
      <c r="AI32" s="158" t="n">
        <f aca="false">AG32+AH32</f>
        <v>88.8538946307033</v>
      </c>
      <c r="AJ32" s="208" t="n">
        <v>0</v>
      </c>
      <c r="AK32" s="154" t="n">
        <v>35</v>
      </c>
      <c r="AL32" s="282" t="n">
        <v>4</v>
      </c>
      <c r="AM32" s="155" t="n">
        <f aca="false">AM31+(W32*1.9835)</f>
        <v>8442.37105</v>
      </c>
      <c r="AN32" s="155"/>
      <c r="AO32" s="158"/>
      <c r="AP32" s="203"/>
      <c r="AS32" s="10"/>
    </row>
    <row r="33" customFormat="false" ht="12.95" hidden="false" customHeight="true" outlineLevel="0" collapsed="false">
      <c r="A33" s="155" t="n">
        <f aca="false">A32+1</f>
        <v>22</v>
      </c>
      <c r="B33" s="283" t="n">
        <v>6900.69</v>
      </c>
      <c r="C33" s="96" t="n">
        <v>286134</v>
      </c>
      <c r="D33" s="154" t="n">
        <f aca="false">C33-C32</f>
        <v>-37</v>
      </c>
      <c r="E33" s="96" t="n">
        <f aca="false">C33-152000</f>
        <v>134134</v>
      </c>
      <c r="F33" s="299" t="n">
        <f aca="false">D33/$D$2</f>
        <v>-18.6538946307033</v>
      </c>
      <c r="G33" s="158" t="n">
        <v>69</v>
      </c>
      <c r="H33" s="153" t="n">
        <v>1.2</v>
      </c>
      <c r="I33" s="158" t="n">
        <f aca="false">G33+H33</f>
        <v>70.2</v>
      </c>
      <c r="J33" s="151" t="n">
        <f aca="false">IF(L33&gt;0,L33,0)</f>
        <v>6.3461053692967</v>
      </c>
      <c r="K33" s="158" t="n">
        <f aca="false">I33+J33</f>
        <v>76.5461053692967</v>
      </c>
      <c r="L33" s="158" t="n">
        <f aca="false">F33-(I33-AG33)</f>
        <v>6.3461053692967</v>
      </c>
      <c r="M33" s="280" t="n">
        <v>4.2</v>
      </c>
      <c r="N33" s="158" t="n">
        <v>0</v>
      </c>
      <c r="O33" s="158" t="n">
        <v>0</v>
      </c>
      <c r="P33" s="150" t="n">
        <v>0</v>
      </c>
      <c r="Q33" s="263" t="n">
        <f aca="false">1.51*1.02</f>
        <v>1.5402</v>
      </c>
      <c r="R33" s="263" t="n">
        <v>4.2</v>
      </c>
      <c r="S33" s="300" t="n">
        <v>1.97</v>
      </c>
      <c r="T33" s="84" t="n">
        <f aca="false">M33-(Q33+R33+S33)</f>
        <v>-3.5102</v>
      </c>
      <c r="U33" s="158" t="n">
        <v>60</v>
      </c>
      <c r="V33" s="158" t="n">
        <v>0</v>
      </c>
      <c r="W33" s="122" t="n">
        <f aca="false">M33-N33-O33-P33-Q33-R33-S33-T33+U33+V33</f>
        <v>60</v>
      </c>
      <c r="X33" s="96"/>
      <c r="Y33" s="96"/>
      <c r="Z33" s="96"/>
      <c r="AA33" s="158" t="n">
        <v>0</v>
      </c>
      <c r="AB33" s="244"/>
      <c r="AC33" s="245"/>
      <c r="AD33" s="158" t="n">
        <v>31</v>
      </c>
      <c r="AE33" s="96" t="n">
        <f aca="false">AE32-AD33</f>
        <v>2366</v>
      </c>
      <c r="AF33" s="96"/>
      <c r="AG33" s="11" t="n">
        <f aca="false">N33+O33+P33+Q33+R33+S33+T33+W33+AA33+AD33</f>
        <v>95.2</v>
      </c>
      <c r="AH33" s="158" t="n">
        <f aca="false">IF(L33&lt;0,L33*-1,0)</f>
        <v>0</v>
      </c>
      <c r="AI33" s="158" t="n">
        <f aca="false">AG33+AH33</f>
        <v>95.2</v>
      </c>
      <c r="AJ33" s="208" t="n">
        <v>0</v>
      </c>
      <c r="AK33" s="154" t="n">
        <v>38</v>
      </c>
      <c r="AL33" s="282" t="n">
        <v>10</v>
      </c>
      <c r="AM33" s="155" t="n">
        <f aca="false">AM32+(W33*1.9835)</f>
        <v>8561.38105</v>
      </c>
      <c r="AN33" s="155"/>
      <c r="AO33" s="158"/>
      <c r="AP33" s="203"/>
      <c r="AS33" s="10"/>
    </row>
    <row r="34" customFormat="false" ht="12.95" hidden="false" customHeight="true" outlineLevel="0" collapsed="false">
      <c r="A34" s="155" t="n">
        <f aca="false">A33+1</f>
        <v>23</v>
      </c>
      <c r="B34" s="283" t="n">
        <v>6900.68</v>
      </c>
      <c r="C34" s="96" t="n">
        <v>286097</v>
      </c>
      <c r="D34" s="154" t="n">
        <f aca="false">C34-C33</f>
        <v>-37</v>
      </c>
      <c r="E34" s="96" t="n">
        <f aca="false">C34-152000</f>
        <v>134097</v>
      </c>
      <c r="F34" s="299" t="n">
        <f aca="false">D34/$D$2</f>
        <v>-18.6538946307033</v>
      </c>
      <c r="G34" s="158" t="n">
        <v>69</v>
      </c>
      <c r="H34" s="153" t="n">
        <v>1.2</v>
      </c>
      <c r="I34" s="158" t="n">
        <f aca="false">G34+H34</f>
        <v>70.2</v>
      </c>
      <c r="J34" s="151" t="n">
        <f aca="false">IF(L34&gt;0,L34,0)</f>
        <v>6.44610536929669</v>
      </c>
      <c r="K34" s="158" t="n">
        <f aca="false">I34+J34</f>
        <v>76.6461053692967</v>
      </c>
      <c r="L34" s="158" t="n">
        <f aca="false">F34-(I34-AG34)</f>
        <v>6.44610536929669</v>
      </c>
      <c r="M34" s="280" t="n">
        <v>4.3</v>
      </c>
      <c r="N34" s="158" t="n">
        <v>0</v>
      </c>
      <c r="O34" s="158" t="n">
        <v>0</v>
      </c>
      <c r="P34" s="150" t="n">
        <v>0</v>
      </c>
      <c r="Q34" s="263" t="n">
        <f aca="false">1.51*1.02</f>
        <v>1.5402</v>
      </c>
      <c r="R34" s="263" t="n">
        <v>3.61</v>
      </c>
      <c r="S34" s="300" t="n">
        <v>0</v>
      </c>
      <c r="T34" s="84" t="n">
        <f aca="false">M34-(Q34+R34+S34)</f>
        <v>-0.8502</v>
      </c>
      <c r="U34" s="158" t="n">
        <v>60</v>
      </c>
      <c r="V34" s="158" t="n">
        <v>0</v>
      </c>
      <c r="W34" s="122" t="n">
        <f aca="false">M34-N34-O34-P34-Q34-R34-S34-T34+U34+V34</f>
        <v>60</v>
      </c>
      <c r="X34" s="96"/>
      <c r="Y34" s="96"/>
      <c r="Z34" s="96"/>
      <c r="AA34" s="158" t="n">
        <v>0</v>
      </c>
      <c r="AB34" s="244"/>
      <c r="AC34" s="245"/>
      <c r="AD34" s="158" t="n">
        <v>31</v>
      </c>
      <c r="AE34" s="96" t="n">
        <f aca="false">AE33-AD34</f>
        <v>2335</v>
      </c>
      <c r="AF34" s="96"/>
      <c r="AG34" s="11" t="n">
        <f aca="false">N34+O34+P34+Q34+R34+S34+T34+W34+AA34+AD34</f>
        <v>95.3</v>
      </c>
      <c r="AH34" s="158" t="n">
        <f aca="false">IF(L34&lt;0,L34*-1,0)</f>
        <v>0</v>
      </c>
      <c r="AI34" s="158" t="n">
        <f aca="false">AG34+AH34</f>
        <v>95.3</v>
      </c>
      <c r="AJ34" s="208" t="n">
        <v>0</v>
      </c>
      <c r="AK34" s="154" t="n">
        <v>43</v>
      </c>
      <c r="AL34" s="301" t="n">
        <v>11</v>
      </c>
      <c r="AM34" s="155" t="n">
        <f aca="false">AM33+(W34*1.9835)</f>
        <v>8680.39105</v>
      </c>
      <c r="AN34" s="155"/>
      <c r="AO34" s="158"/>
      <c r="AP34" s="203"/>
      <c r="AS34" s="10"/>
    </row>
    <row r="35" customFormat="false" ht="12.95" hidden="false" customHeight="true" outlineLevel="0" collapsed="false">
      <c r="A35" s="155" t="n">
        <f aca="false">A34+1</f>
        <v>24</v>
      </c>
      <c r="B35" s="283" t="n">
        <v>6900.68</v>
      </c>
      <c r="C35" s="96" t="n">
        <v>286097</v>
      </c>
      <c r="D35" s="154" t="n">
        <f aca="false">C35-C34</f>
        <v>0</v>
      </c>
      <c r="E35" s="96" t="n">
        <f aca="false">C35-152000</f>
        <v>134097</v>
      </c>
      <c r="F35" s="299" t="n">
        <f aca="false">D35/$D$2</f>
        <v>0</v>
      </c>
      <c r="G35" s="158" t="n">
        <v>64</v>
      </c>
      <c r="H35" s="153" t="n">
        <v>1</v>
      </c>
      <c r="I35" s="158" t="n">
        <f aca="false">G35+H35</f>
        <v>65</v>
      </c>
      <c r="J35" s="151" t="n">
        <f aca="false">IF(L35&gt;0,L35,0)</f>
        <v>30.7</v>
      </c>
      <c r="K35" s="158" t="n">
        <f aca="false">I35+J35</f>
        <v>95.7</v>
      </c>
      <c r="L35" s="158" t="n">
        <f aca="false">F35-(I35-AG35)</f>
        <v>30.7</v>
      </c>
      <c r="M35" s="280" t="n">
        <v>4.7</v>
      </c>
      <c r="N35" s="158" t="n">
        <v>0</v>
      </c>
      <c r="O35" s="158" t="n">
        <v>0</v>
      </c>
      <c r="P35" s="150" t="n">
        <v>0</v>
      </c>
      <c r="Q35" s="263" t="n">
        <f aca="false">1.51*1.02</f>
        <v>1.5402</v>
      </c>
      <c r="R35" s="263" t="n">
        <v>3.05</v>
      </c>
      <c r="S35" s="300" t="n">
        <v>0</v>
      </c>
      <c r="T35" s="84" t="n">
        <f aca="false">M35-(Q35+R35+S35)</f>
        <v>0.109800000000001</v>
      </c>
      <c r="U35" s="158" t="n">
        <v>60</v>
      </c>
      <c r="V35" s="158" t="n">
        <v>0</v>
      </c>
      <c r="W35" s="122" t="n">
        <f aca="false">M35-N35-O35-P35-Q35-R35-S35-T35+U35+V35</f>
        <v>60</v>
      </c>
      <c r="X35" s="96"/>
      <c r="Y35" s="96"/>
      <c r="Z35" s="96"/>
      <c r="AA35" s="158" t="n">
        <v>0</v>
      </c>
      <c r="AB35" s="244"/>
      <c r="AC35" s="245"/>
      <c r="AD35" s="158" t="n">
        <v>31</v>
      </c>
      <c r="AE35" s="96" t="n">
        <f aca="false">AE34-AD35</f>
        <v>2304</v>
      </c>
      <c r="AF35" s="96"/>
      <c r="AG35" s="11" t="n">
        <f aca="false">N35+O35+P35+Q35+R35+S35+T35+W35+AA35+AD35</f>
        <v>95.7</v>
      </c>
      <c r="AH35" s="158" t="n">
        <f aca="false">IF(L35&lt;0,L35*-1,0)</f>
        <v>0</v>
      </c>
      <c r="AI35" s="158" t="n">
        <f aca="false">AG35+AH35</f>
        <v>95.7</v>
      </c>
      <c r="AJ35" s="208" t="n">
        <v>0.01</v>
      </c>
      <c r="AK35" s="154" t="n">
        <v>35</v>
      </c>
      <c r="AL35" s="301" t="n">
        <v>23</v>
      </c>
      <c r="AM35" s="155" t="n">
        <f aca="false">AM34+(W35*1.9835)</f>
        <v>8799.40105</v>
      </c>
      <c r="AN35" s="155"/>
      <c r="AO35" s="158"/>
      <c r="AP35" s="203"/>
      <c r="AS35" s="10"/>
    </row>
    <row r="36" customFormat="false" ht="12.95" hidden="false" customHeight="true" outlineLevel="0" collapsed="false">
      <c r="A36" s="155" t="n">
        <f aca="false">A35+1</f>
        <v>25</v>
      </c>
      <c r="B36" s="283" t="n">
        <v>6900.67</v>
      </c>
      <c r="C36" s="96" t="n">
        <v>286060</v>
      </c>
      <c r="D36" s="154" t="n">
        <f aca="false">C36-C35</f>
        <v>-37</v>
      </c>
      <c r="E36" s="96" t="n">
        <f aca="false">C36-152000</f>
        <v>134060</v>
      </c>
      <c r="F36" s="299" t="n">
        <f aca="false">D36/$D$2</f>
        <v>-18.6538946307033</v>
      </c>
      <c r="G36" s="158" t="n">
        <v>66</v>
      </c>
      <c r="H36" s="153" t="n">
        <v>0.96</v>
      </c>
      <c r="I36" s="158" t="n">
        <f aca="false">G36+H36</f>
        <v>66.96</v>
      </c>
      <c r="J36" s="151" t="n">
        <f aca="false">IF(L36&gt;0,L36,0)</f>
        <v>9.28610536929671</v>
      </c>
      <c r="K36" s="158" t="n">
        <f aca="false">I36+J36</f>
        <v>76.2461053692967</v>
      </c>
      <c r="L36" s="158" t="n">
        <f aca="false">F36-(I36-AG36)</f>
        <v>9.28610536929671</v>
      </c>
      <c r="M36" s="280" t="n">
        <v>4.9</v>
      </c>
      <c r="N36" s="158" t="n">
        <v>0</v>
      </c>
      <c r="O36" s="158" t="n">
        <v>0</v>
      </c>
      <c r="P36" s="150" t="n">
        <v>0</v>
      </c>
      <c r="Q36" s="263" t="n">
        <f aca="false">1.51*1.02</f>
        <v>1.5402</v>
      </c>
      <c r="R36" s="263" t="n">
        <v>3.34</v>
      </c>
      <c r="S36" s="300" t="n">
        <v>0</v>
      </c>
      <c r="T36" s="84" t="n">
        <f aca="false">M36-(Q36+R36+S36)</f>
        <v>0.0198</v>
      </c>
      <c r="U36" s="158" t="n">
        <v>59</v>
      </c>
      <c r="V36" s="158" t="n">
        <v>0</v>
      </c>
      <c r="W36" s="122" t="n">
        <f aca="false">M36-N36-O36-P36-Q36-R36-S36-T36+U36+V36</f>
        <v>59</v>
      </c>
      <c r="X36" s="96"/>
      <c r="Y36" s="96"/>
      <c r="Z36" s="96"/>
      <c r="AA36" s="158" t="n">
        <v>0</v>
      </c>
      <c r="AB36" s="244"/>
      <c r="AC36" s="245"/>
      <c r="AD36" s="158" t="n">
        <v>31</v>
      </c>
      <c r="AE36" s="96" t="n">
        <f aca="false">AE35-AD36</f>
        <v>2273</v>
      </c>
      <c r="AF36" s="96"/>
      <c r="AG36" s="11" t="n">
        <f aca="false">N36+O36+P36+Q36+R36+S36+T36+W36+AA36+AD36</f>
        <v>94.9</v>
      </c>
      <c r="AH36" s="158" t="n">
        <f aca="false">IF(L36&lt;0,L36*-1,0)</f>
        <v>0</v>
      </c>
      <c r="AI36" s="158" t="n">
        <f aca="false">AG36+AH36</f>
        <v>94.9</v>
      </c>
      <c r="AJ36" s="208" t="n">
        <v>0</v>
      </c>
      <c r="AK36" s="154" t="n">
        <v>38</v>
      </c>
      <c r="AL36" s="301" t="n">
        <v>11</v>
      </c>
      <c r="AM36" s="155" t="n">
        <f aca="false">AM35+(W36*1.9835)</f>
        <v>8916.42755</v>
      </c>
      <c r="AN36" s="155"/>
      <c r="AO36" s="158"/>
      <c r="AP36" s="203"/>
      <c r="AS36" s="10"/>
    </row>
    <row r="37" customFormat="false" ht="12.95" hidden="false" customHeight="true" outlineLevel="0" collapsed="false">
      <c r="A37" s="155" t="n">
        <f aca="false">A36+1</f>
        <v>26</v>
      </c>
      <c r="B37" s="283" t="n">
        <v>6900.66</v>
      </c>
      <c r="C37" s="96" t="n">
        <v>286023</v>
      </c>
      <c r="D37" s="154" t="n">
        <f aca="false">C37-C36</f>
        <v>-37</v>
      </c>
      <c r="E37" s="96" t="n">
        <f aca="false">C37-152000</f>
        <v>134023</v>
      </c>
      <c r="F37" s="299" t="n">
        <f aca="false">D37/$D$2</f>
        <v>-18.6538946307033</v>
      </c>
      <c r="G37" s="158" t="n">
        <v>67</v>
      </c>
      <c r="H37" s="153" t="n">
        <v>0.93</v>
      </c>
      <c r="I37" s="158" t="n">
        <f aca="false">G37+H37</f>
        <v>67.93</v>
      </c>
      <c r="J37" s="151" t="n">
        <f aca="false">IF(L37&gt;0,L37,0)</f>
        <v>7.11610536929669</v>
      </c>
      <c r="K37" s="158" t="n">
        <f aca="false">I37+J37</f>
        <v>75.0461053692967</v>
      </c>
      <c r="L37" s="158" t="n">
        <f aca="false">F37-(I37-AG37)</f>
        <v>7.11610536929669</v>
      </c>
      <c r="M37" s="280" t="n">
        <v>4.7</v>
      </c>
      <c r="N37" s="158" t="n">
        <v>0</v>
      </c>
      <c r="O37" s="158" t="n">
        <v>0</v>
      </c>
      <c r="P37" s="150" t="n">
        <v>0</v>
      </c>
      <c r="Q37" s="263" t="n">
        <f aca="false">1.51*1.02</f>
        <v>1.5402</v>
      </c>
      <c r="R37" s="263" t="n">
        <v>3.01</v>
      </c>
      <c r="S37" s="300" t="n">
        <v>0</v>
      </c>
      <c r="T37" s="84" t="n">
        <f aca="false">M37-(Q37+R37+S37)</f>
        <v>0.1498</v>
      </c>
      <c r="U37" s="158" t="n">
        <v>58</v>
      </c>
      <c r="V37" s="158" t="n">
        <v>0</v>
      </c>
      <c r="W37" s="122" t="n">
        <f aca="false">M37-N37-O37-P37-Q37-R37-S37-T37+U37+V37</f>
        <v>58</v>
      </c>
      <c r="X37" s="96"/>
      <c r="Y37" s="96"/>
      <c r="Z37" s="96"/>
      <c r="AA37" s="158" t="n">
        <v>0</v>
      </c>
      <c r="AB37" s="244"/>
      <c r="AC37" s="245"/>
      <c r="AD37" s="158" t="n">
        <v>31</v>
      </c>
      <c r="AE37" s="96" t="n">
        <f aca="false">AE36-AD37</f>
        <v>2242</v>
      </c>
      <c r="AF37" s="96"/>
      <c r="AG37" s="11" t="n">
        <f aca="false">N37+O37+P37+Q37+R37+S37+T37+W37+AA37+AD37</f>
        <v>93.7</v>
      </c>
      <c r="AH37" s="158" t="n">
        <f aca="false">IF(L37&lt;0,L37*-1,0)</f>
        <v>0</v>
      </c>
      <c r="AI37" s="158" t="n">
        <f aca="false">AG37+AH37</f>
        <v>93.7</v>
      </c>
      <c r="AJ37" s="208" t="n">
        <v>0</v>
      </c>
      <c r="AK37" s="154" t="n">
        <v>45</v>
      </c>
      <c r="AL37" s="282" t="n">
        <v>11</v>
      </c>
      <c r="AM37" s="155" t="n">
        <f aca="false">AM36+(W37*1.9835)</f>
        <v>9031.47055</v>
      </c>
      <c r="AN37" s="155"/>
      <c r="AO37" s="158"/>
      <c r="AP37" s="203"/>
      <c r="AS37" s="10"/>
    </row>
    <row r="38" customFormat="false" ht="12.95" hidden="false" customHeight="true" outlineLevel="0" collapsed="false">
      <c r="A38" s="155" t="n">
        <f aca="false">A37+1</f>
        <v>27</v>
      </c>
      <c r="B38" s="283" t="n">
        <v>6900.68</v>
      </c>
      <c r="C38" s="96" t="n">
        <v>286097</v>
      </c>
      <c r="D38" s="154" t="n">
        <f aca="false">C38-C37</f>
        <v>74</v>
      </c>
      <c r="E38" s="96" t="n">
        <f aca="false">C38-152000</f>
        <v>134097</v>
      </c>
      <c r="F38" s="299" t="n">
        <f aca="false">D38/$D$2</f>
        <v>37.3077892614066</v>
      </c>
      <c r="G38" s="158" t="n">
        <v>69</v>
      </c>
      <c r="H38" s="153" t="n">
        <v>0.9</v>
      </c>
      <c r="I38" s="158" t="n">
        <f aca="false">G38+H38</f>
        <v>69.9</v>
      </c>
      <c r="J38" s="151" t="n">
        <f aca="false">IF(L38&gt;0,L38,0)</f>
        <v>60.8077892614066</v>
      </c>
      <c r="K38" s="158" t="n">
        <f aca="false">I38+J38</f>
        <v>130.707789261407</v>
      </c>
      <c r="L38" s="158" t="n">
        <f aca="false">F38-(I38-AG38)</f>
        <v>60.8077892614066</v>
      </c>
      <c r="M38" s="280" t="n">
        <v>4.4</v>
      </c>
      <c r="N38" s="158" t="n">
        <v>0</v>
      </c>
      <c r="O38" s="158" t="n">
        <v>0</v>
      </c>
      <c r="P38" s="150" t="n">
        <v>0</v>
      </c>
      <c r="Q38" s="263" t="n">
        <f aca="false">1.51*1.02</f>
        <v>1.5402</v>
      </c>
      <c r="R38" s="263" t="n">
        <v>3.1</v>
      </c>
      <c r="S38" s="300" t="n">
        <v>0</v>
      </c>
      <c r="T38" s="84" t="n">
        <f aca="false">M38-(Q38+R38+S38)</f>
        <v>-0.2402</v>
      </c>
      <c r="U38" s="158" t="n">
        <v>57</v>
      </c>
      <c r="V38" s="158" t="n">
        <v>0</v>
      </c>
      <c r="W38" s="122" t="n">
        <f aca="false">M38-N38-O38-P38-Q38-R38-S38-T38+U38+V38</f>
        <v>57</v>
      </c>
      <c r="X38" s="96"/>
      <c r="Y38" s="96"/>
      <c r="Z38" s="96"/>
      <c r="AA38" s="158" t="n">
        <v>0</v>
      </c>
      <c r="AB38" s="244"/>
      <c r="AC38" s="245"/>
      <c r="AD38" s="158" t="n">
        <v>32</v>
      </c>
      <c r="AE38" s="96" t="n">
        <f aca="false">AE37-AD38</f>
        <v>2210</v>
      </c>
      <c r="AF38" s="96"/>
      <c r="AG38" s="11" t="n">
        <f aca="false">N38+O38+P38+Q38+R38+S38+T38+W38+AA38+AD38</f>
        <v>93.4</v>
      </c>
      <c r="AH38" s="158" t="n">
        <f aca="false">IF(L38&lt;0,L38*-1,0)</f>
        <v>0</v>
      </c>
      <c r="AI38" s="158" t="n">
        <f aca="false">AG38+AH38</f>
        <v>93.4</v>
      </c>
      <c r="AJ38" s="208" t="n">
        <v>1.44</v>
      </c>
      <c r="AK38" s="154" t="n">
        <v>37</v>
      </c>
      <c r="AL38" s="282" t="n">
        <v>12</v>
      </c>
      <c r="AM38" s="155" t="n">
        <f aca="false">AM37+(W38*1.9835)</f>
        <v>9144.53005</v>
      </c>
      <c r="AN38" s="155"/>
      <c r="AO38" s="158"/>
      <c r="AP38" s="203"/>
      <c r="AS38" s="10"/>
    </row>
    <row r="39" customFormat="false" ht="12.95" hidden="false" customHeight="true" outlineLevel="0" collapsed="false">
      <c r="A39" s="155" t="n">
        <f aca="false">A38+1</f>
        <v>28</v>
      </c>
      <c r="B39" s="283" t="n">
        <v>6900.73</v>
      </c>
      <c r="C39" s="96" t="n">
        <v>286282</v>
      </c>
      <c r="D39" s="154" t="n">
        <f aca="false">C39-C38</f>
        <v>185</v>
      </c>
      <c r="E39" s="96" t="n">
        <f aca="false">C39-152000</f>
        <v>134282</v>
      </c>
      <c r="F39" s="299" t="n">
        <f aca="false">D39/$D$2</f>
        <v>93.2694731535165</v>
      </c>
      <c r="G39" s="158" t="n">
        <v>69</v>
      </c>
      <c r="H39" s="153" t="n">
        <v>0.9</v>
      </c>
      <c r="I39" s="158" t="n">
        <f aca="false">G39+H39</f>
        <v>69.9</v>
      </c>
      <c r="J39" s="151" t="n">
        <f aca="false">IF(L39&gt;0,L39,0)</f>
        <v>116.869473153517</v>
      </c>
      <c r="K39" s="158" t="n">
        <f aca="false">I39+J39</f>
        <v>186.769473153517</v>
      </c>
      <c r="L39" s="158" t="n">
        <f aca="false">F39-(I39-AG39)</f>
        <v>116.869473153517</v>
      </c>
      <c r="M39" s="280" t="n">
        <v>4.5</v>
      </c>
      <c r="N39" s="158" t="n">
        <v>0</v>
      </c>
      <c r="O39" s="158" t="n">
        <v>0</v>
      </c>
      <c r="P39" s="150" t="n">
        <v>0</v>
      </c>
      <c r="Q39" s="263" t="n">
        <f aca="false">1.51*1.02</f>
        <v>1.5402</v>
      </c>
      <c r="R39" s="263" t="n">
        <v>4.2</v>
      </c>
      <c r="S39" s="300" t="n">
        <v>0.21</v>
      </c>
      <c r="T39" s="84" t="n">
        <f aca="false">M39-(Q39+R39+S39)</f>
        <v>-1.4502</v>
      </c>
      <c r="U39" s="158" t="n">
        <v>58</v>
      </c>
      <c r="V39" s="158" t="n">
        <v>0</v>
      </c>
      <c r="W39" s="122" t="n">
        <f aca="false">M39-N39-O39-P39-Q39-R39-S39-T39+U39+V39</f>
        <v>58</v>
      </c>
      <c r="X39" s="96"/>
      <c r="Y39" s="96"/>
      <c r="Z39" s="96"/>
      <c r="AA39" s="158" t="n">
        <v>0</v>
      </c>
      <c r="AB39" s="244"/>
      <c r="AC39" s="245"/>
      <c r="AD39" s="158" t="n">
        <v>31</v>
      </c>
      <c r="AE39" s="96" t="n">
        <f aca="false">AE38-AD39</f>
        <v>2179</v>
      </c>
      <c r="AF39" s="96"/>
      <c r="AG39" s="11" t="n">
        <f aca="false">N39+O39+P39+Q39+R39+S39+T39+W39+AA39+AD39</f>
        <v>93.5</v>
      </c>
      <c r="AH39" s="158" t="n">
        <f aca="false">IF(L39&lt;0,L39*-1,0)</f>
        <v>0</v>
      </c>
      <c r="AI39" s="158" t="n">
        <f aca="false">AG39+AH39</f>
        <v>93.5</v>
      </c>
      <c r="AJ39" s="208" t="n">
        <v>0.26</v>
      </c>
      <c r="AK39" s="154" t="n">
        <v>34</v>
      </c>
      <c r="AL39" s="282" t="n">
        <v>20</v>
      </c>
      <c r="AM39" s="155" t="n">
        <f aca="false">AM38+(W39*1.9835)</f>
        <v>9259.57305</v>
      </c>
      <c r="AN39" s="155"/>
      <c r="AO39" s="158"/>
      <c r="AP39" s="203"/>
      <c r="AS39" s="10"/>
    </row>
    <row r="40" customFormat="false" ht="12.95" hidden="false" customHeight="true" outlineLevel="0" collapsed="false">
      <c r="A40" s="155" t="n">
        <f aca="false">A39+1</f>
        <v>29</v>
      </c>
      <c r="B40" s="283" t="n">
        <v>6900.71</v>
      </c>
      <c r="C40" s="96" t="n">
        <v>286208</v>
      </c>
      <c r="D40" s="154" t="n">
        <f aca="false">C40-C39</f>
        <v>-74</v>
      </c>
      <c r="E40" s="96" t="n">
        <f aca="false">C40-152000</f>
        <v>134208</v>
      </c>
      <c r="F40" s="299" t="n">
        <f aca="false">D40/$D$2</f>
        <v>-37.3077892614066</v>
      </c>
      <c r="G40" s="158" t="n">
        <v>69</v>
      </c>
      <c r="H40" s="153" t="n">
        <v>0.9</v>
      </c>
      <c r="I40" s="158" t="n">
        <f aca="false">G40+H40</f>
        <v>69.9</v>
      </c>
      <c r="J40" s="151" t="n">
        <f aca="false">IF(L40&gt;0,L40,0)</f>
        <v>0</v>
      </c>
      <c r="K40" s="158" t="n">
        <f aca="false">I40+J40</f>
        <v>69.9</v>
      </c>
      <c r="L40" s="158" t="n">
        <f aca="false">F40-(I40-AG40)</f>
        <v>-11.7077892614066</v>
      </c>
      <c r="M40" s="280" t="n">
        <v>4.5</v>
      </c>
      <c r="N40" s="158" t="n">
        <v>0</v>
      </c>
      <c r="O40" s="158" t="n">
        <v>0</v>
      </c>
      <c r="P40" s="150" t="n">
        <v>0</v>
      </c>
      <c r="Q40" s="263" t="n">
        <f aca="false">1.51*1.02</f>
        <v>1.5402</v>
      </c>
      <c r="R40" s="263" t="n">
        <v>4.09</v>
      </c>
      <c r="S40" s="300" t="n">
        <v>0</v>
      </c>
      <c r="T40" s="84" t="n">
        <f aca="false">M40-(Q40+R40+S40)</f>
        <v>-1.1302</v>
      </c>
      <c r="U40" s="158" t="n">
        <v>60</v>
      </c>
      <c r="V40" s="158" t="n">
        <v>0</v>
      </c>
      <c r="W40" s="122" t="n">
        <f aca="false">M40-N40-O40-P40-Q40-R40-S40-T40+U40+V40</f>
        <v>60</v>
      </c>
      <c r="X40" s="96"/>
      <c r="Y40" s="96"/>
      <c r="Z40" s="96"/>
      <c r="AA40" s="158" t="n">
        <v>0</v>
      </c>
      <c r="AB40" s="244"/>
      <c r="AC40" s="245"/>
      <c r="AD40" s="158" t="n">
        <v>31</v>
      </c>
      <c r="AE40" s="96" t="n">
        <f aca="false">AE39-AD40</f>
        <v>2148</v>
      </c>
      <c r="AF40" s="96"/>
      <c r="AG40" s="11" t="n">
        <f aca="false">N40+O40+P40+Q40+R40+S40+T40+W40+AA40+AD40</f>
        <v>95.5</v>
      </c>
      <c r="AH40" s="158" t="n">
        <f aca="false">IF(L40&lt;0,L40*-1,0)</f>
        <v>11.7077892614066</v>
      </c>
      <c r="AI40" s="158" t="n">
        <f aca="false">AG40+AH40</f>
        <v>107.207789261407</v>
      </c>
      <c r="AJ40" s="208" t="n">
        <v>0</v>
      </c>
      <c r="AK40" s="10" t="n">
        <v>25</v>
      </c>
      <c r="AL40" s="282" t="n">
        <v>-2</v>
      </c>
      <c r="AM40" s="155" t="n">
        <f aca="false">AM39+(W40*1.9835)</f>
        <v>9378.58305</v>
      </c>
      <c r="AN40" s="155"/>
      <c r="AO40" s="158"/>
      <c r="AP40" s="203"/>
      <c r="AS40" s="10"/>
    </row>
    <row r="41" customFormat="false" ht="12.95" hidden="false" customHeight="true" outlineLevel="0" collapsed="false">
      <c r="A41" s="155" t="n">
        <v>30</v>
      </c>
      <c r="B41" s="283" t="n">
        <v>6900.69</v>
      </c>
      <c r="C41" s="96" t="n">
        <v>286134</v>
      </c>
      <c r="D41" s="154" t="n">
        <f aca="false">C41-C40</f>
        <v>-74</v>
      </c>
      <c r="E41" s="96" t="n">
        <f aca="false">C41-152000</f>
        <v>134134</v>
      </c>
      <c r="F41" s="299" t="n">
        <f aca="false">D41/$D$2</f>
        <v>-37.3077892614066</v>
      </c>
      <c r="G41" s="158" t="n">
        <v>69</v>
      </c>
      <c r="H41" s="153" t="n">
        <v>0.9</v>
      </c>
      <c r="I41" s="158" t="n">
        <f aca="false">G41+H41</f>
        <v>69.9</v>
      </c>
      <c r="J41" s="151" t="n">
        <f aca="false">IF(L41&gt;0,L41,0)</f>
        <v>0</v>
      </c>
      <c r="K41" s="158" t="n">
        <f aca="false">I41+J41</f>
        <v>69.9</v>
      </c>
      <c r="L41" s="158" t="n">
        <f aca="false">F41-(I41-AG41)</f>
        <v>-5.60778926140662</v>
      </c>
      <c r="M41" s="280" t="n">
        <v>4.6</v>
      </c>
      <c r="N41" s="158" t="n">
        <v>0</v>
      </c>
      <c r="O41" s="158" t="n">
        <v>0</v>
      </c>
      <c r="P41" s="150" t="n">
        <v>0</v>
      </c>
      <c r="Q41" s="263" t="n">
        <f aca="false">1.51*1.02</f>
        <v>1.5402</v>
      </c>
      <c r="R41" s="263" t="n">
        <v>3.83</v>
      </c>
      <c r="S41" s="300" t="n">
        <v>0</v>
      </c>
      <c r="T41" s="84" t="n">
        <f aca="false">M41-(Q41+R41+S41)</f>
        <v>-0.770200000000001</v>
      </c>
      <c r="U41" s="158" t="n">
        <v>66</v>
      </c>
      <c r="V41" s="158" t="n">
        <v>0</v>
      </c>
      <c r="W41" s="122" t="n">
        <f aca="false">M41-N41-O41-P41-Q41-R41-S41-T41+U41+V41</f>
        <v>66</v>
      </c>
      <c r="X41" s="96"/>
      <c r="Y41" s="96"/>
      <c r="Z41" s="96"/>
      <c r="AA41" s="158" t="n">
        <v>0</v>
      </c>
      <c r="AB41" s="244"/>
      <c r="AC41" s="245"/>
      <c r="AD41" s="158" t="n">
        <v>31</v>
      </c>
      <c r="AE41" s="96" t="n">
        <f aca="false">AE40-AD41</f>
        <v>2117</v>
      </c>
      <c r="AF41" s="96"/>
      <c r="AG41" s="11" t="n">
        <f aca="false">N41+O41+P41+Q41+R41+S41+T41+W41+AA41+AD41</f>
        <v>101.6</v>
      </c>
      <c r="AH41" s="158" t="n">
        <f aca="false">IF(L41&lt;0,L41*-1,0)</f>
        <v>5.60778926140662</v>
      </c>
      <c r="AI41" s="158" t="n">
        <f aca="false">AG41+AH41</f>
        <v>107.207789261407</v>
      </c>
      <c r="AJ41" s="208" t="n">
        <v>0</v>
      </c>
      <c r="AK41" s="10" t="n">
        <v>23</v>
      </c>
      <c r="AL41" s="282" t="n">
        <v>9</v>
      </c>
      <c r="AM41" s="155" t="n">
        <f aca="false">AM40+(W41*1.9835)</f>
        <v>9509.49405</v>
      </c>
      <c r="AN41" s="155"/>
      <c r="AO41" s="158"/>
      <c r="AP41" s="203"/>
      <c r="AS41" s="10"/>
    </row>
    <row r="42" customFormat="false" ht="12.95" hidden="false" customHeight="true" outlineLevel="0" collapsed="false">
      <c r="A42" s="155" t="n">
        <v>31</v>
      </c>
      <c r="B42" s="283" t="n">
        <v>6900.67</v>
      </c>
      <c r="C42" s="96" t="n">
        <v>286060</v>
      </c>
      <c r="D42" s="154" t="n">
        <f aca="false">C42-C41</f>
        <v>-74</v>
      </c>
      <c r="E42" s="96" t="n">
        <f aca="false">C42-152000</f>
        <v>134060</v>
      </c>
      <c r="F42" s="299" t="n">
        <f aca="false">D42/$D$2</f>
        <v>-37.3077892614066</v>
      </c>
      <c r="G42" s="158" t="n">
        <v>69</v>
      </c>
      <c r="H42" s="153" t="n">
        <v>0.84</v>
      </c>
      <c r="I42" s="158" t="n">
        <f aca="false">G42+H42</f>
        <v>69.84</v>
      </c>
      <c r="J42" s="151" t="n">
        <f aca="false">IF(L42&gt;0,L42,0)</f>
        <v>0</v>
      </c>
      <c r="K42" s="158" t="n">
        <f aca="false">I42+J42</f>
        <v>69.84</v>
      </c>
      <c r="L42" s="158" t="n">
        <f aca="false">F42-(I42-AG42)</f>
        <v>-1.54778926140661</v>
      </c>
      <c r="M42" s="280" t="n">
        <v>4.6</v>
      </c>
      <c r="N42" s="158" t="n">
        <v>0</v>
      </c>
      <c r="O42" s="158" t="n">
        <v>0</v>
      </c>
      <c r="P42" s="150" t="n">
        <v>0</v>
      </c>
      <c r="Q42" s="263" t="n">
        <f aca="false">1.51*1.02</f>
        <v>1.5402</v>
      </c>
      <c r="R42" s="263" t="n">
        <v>3.32</v>
      </c>
      <c r="S42" s="300" t="n">
        <v>0</v>
      </c>
      <c r="T42" s="84" t="n">
        <f aca="false">M42-(Q42+R42+S42)</f>
        <v>-0.2602</v>
      </c>
      <c r="U42" s="158" t="n">
        <v>70</v>
      </c>
      <c r="V42" s="158" t="n">
        <v>0</v>
      </c>
      <c r="W42" s="122" t="n">
        <f aca="false">M42-N42-O42-P42-Q42-R42-S42-T42+U42+V42</f>
        <v>70</v>
      </c>
      <c r="X42" s="96"/>
      <c r="Y42" s="96"/>
      <c r="Z42" s="96"/>
      <c r="AA42" s="158" t="n">
        <v>0</v>
      </c>
      <c r="AB42" s="244"/>
      <c r="AC42" s="245"/>
      <c r="AD42" s="158" t="n">
        <v>31</v>
      </c>
      <c r="AE42" s="96" t="n">
        <f aca="false">AE41-AD42</f>
        <v>2086</v>
      </c>
      <c r="AF42" s="96"/>
      <c r="AG42" s="11" t="n">
        <f aca="false">N42+O42+P42+Q42+R42+S42+T42+W42+AA42+AD42</f>
        <v>105.6</v>
      </c>
      <c r="AH42" s="158" t="n">
        <f aca="false">IF(L42&lt;0,L42*-1,0)</f>
        <v>1.54778926140661</v>
      </c>
      <c r="AI42" s="158" t="n">
        <f aca="false">AG42+AH42</f>
        <v>107.147789261407</v>
      </c>
      <c r="AJ42" s="208" t="n">
        <v>0</v>
      </c>
      <c r="AK42" s="10" t="n">
        <v>24</v>
      </c>
      <c r="AL42" s="282" t="n">
        <v>-8</v>
      </c>
      <c r="AM42" s="155" t="n">
        <f aca="false">AM41+(W42*1.9835)</f>
        <v>9648.33905</v>
      </c>
      <c r="AN42" s="155"/>
      <c r="AO42" s="158"/>
      <c r="AP42" s="201"/>
      <c r="AS42" s="10"/>
    </row>
    <row r="43" customFormat="false" ht="3" hidden="false" customHeight="true" outlineLevel="0" collapsed="false">
      <c r="A43" s="229"/>
      <c r="B43" s="289"/>
      <c r="C43" s="289"/>
      <c r="D43" s="229"/>
      <c r="E43" s="289"/>
      <c r="F43" s="290"/>
      <c r="G43" s="289"/>
      <c r="H43" s="291"/>
      <c r="I43" s="229"/>
      <c r="J43" s="229"/>
      <c r="K43" s="229"/>
      <c r="L43" s="229"/>
      <c r="M43" s="289"/>
      <c r="N43" s="289"/>
      <c r="O43" s="229"/>
      <c r="P43" s="293"/>
      <c r="Q43" s="229"/>
      <c r="R43" s="229"/>
      <c r="S43" s="229"/>
      <c r="T43" s="294"/>
      <c r="U43" s="229"/>
      <c r="V43" s="229"/>
      <c r="W43" s="229"/>
      <c r="X43" s="289"/>
      <c r="Y43" s="289"/>
      <c r="Z43" s="289"/>
      <c r="AA43" s="229"/>
      <c r="AB43" s="235"/>
      <c r="AC43" s="238"/>
      <c r="AD43" s="238"/>
      <c r="AE43" s="229"/>
      <c r="AF43" s="229"/>
      <c r="AG43" s="229"/>
      <c r="AH43" s="229"/>
      <c r="AI43" s="229"/>
      <c r="AJ43" s="295"/>
      <c r="AK43" s="296"/>
      <c r="AL43" s="297"/>
      <c r="AM43" s="298"/>
      <c r="AN43" s="298"/>
      <c r="AO43" s="298"/>
      <c r="AP43" s="298"/>
      <c r="AQ43" s="298"/>
      <c r="AR43" s="298"/>
      <c r="AS43" s="298"/>
    </row>
    <row r="44" customFormat="false" ht="12.95" hidden="false" customHeight="true" outlineLevel="0" collapsed="false">
      <c r="A44" s="158" t="s">
        <v>79</v>
      </c>
      <c r="B44" s="278"/>
      <c r="D44" s="96"/>
      <c r="F44" s="279" t="n">
        <f aca="false">SUM(F12:F42)</f>
        <v>-18.6538946307033</v>
      </c>
      <c r="G44" s="96" t="n">
        <f aca="false">SUM(G12:G42)</f>
        <v>2162</v>
      </c>
      <c r="H44" s="284" t="n">
        <f aca="false">SUM(H12:H42)</f>
        <v>49.13</v>
      </c>
      <c r="I44" s="96" t="n">
        <f aca="false">SUM(I12:I42)</f>
        <v>2211.13</v>
      </c>
      <c r="J44" s="96" t="n">
        <f aca="false">SUM(J12:J42)</f>
        <v>546.233997983363</v>
      </c>
      <c r="K44" s="96" t="n">
        <f aca="false">SUM(K12:K42)</f>
        <v>2757.36399798336</v>
      </c>
      <c r="L44" s="96" t="n">
        <f aca="false">SUM(L12:L42)</f>
        <v>339.716105369297</v>
      </c>
      <c r="M44" s="285" t="n">
        <f aca="false">SUM(M12:M42)</f>
        <v>119.5</v>
      </c>
      <c r="N44" s="96" t="n">
        <f aca="false">SUM(N12:N42)</f>
        <v>0</v>
      </c>
      <c r="O44" s="96" t="n">
        <f aca="false">SUM(O12:O42)</f>
        <v>0</v>
      </c>
      <c r="Q44" s="96" t="n">
        <f aca="false">SUM(Q12:Q42)</f>
        <v>47.7462</v>
      </c>
      <c r="R44" s="96" t="n">
        <f aca="false">SUM(R12:R42)</f>
        <v>102.47</v>
      </c>
      <c r="S44" s="96" t="n">
        <f aca="false">SUM(S12:S42)</f>
        <v>2.34</v>
      </c>
      <c r="T44" s="281" t="n">
        <f aca="false">SUM(T12:T42)</f>
        <v>-33.0562</v>
      </c>
      <c r="U44" s="96" t="n">
        <f aca="false">SUM(U12:U42)</f>
        <v>1489</v>
      </c>
      <c r="V44" s="96" t="n">
        <f aca="false">SUM(V12:V42)</f>
        <v>0</v>
      </c>
      <c r="W44" s="96" t="n">
        <f aca="false">SUM(W12:W42)</f>
        <v>1489</v>
      </c>
      <c r="X44" s="96"/>
      <c r="Y44" s="96"/>
      <c r="Z44" s="96"/>
      <c r="AA44" s="96"/>
      <c r="AB44" s="216"/>
      <c r="AC44" s="219"/>
      <c r="AD44" s="96" t="n">
        <f aca="false">SUM(AD12:AD42)</f>
        <v>961</v>
      </c>
      <c r="AE44" s="96"/>
      <c r="AF44" s="96" t="n">
        <f aca="false">SUM(AF12:AF42)</f>
        <v>0</v>
      </c>
      <c r="AG44" s="96" t="n">
        <f aca="false">SUM(AG12:AG42)</f>
        <v>2569.5</v>
      </c>
      <c r="AH44" s="96" t="n">
        <f aca="false">SUM(AH12:AH42)</f>
        <v>206.517892614066</v>
      </c>
      <c r="AI44" s="96" t="n">
        <f aca="false">SUM(AI12:AI42)</f>
        <v>2776.01789261407</v>
      </c>
      <c r="AJ44" s="208" t="n">
        <f aca="false">SUM(AJ12:AJ42)</f>
        <v>3.36</v>
      </c>
      <c r="AK44" s="154" t="n">
        <f aca="false">AVERAGE(AK12:AK42)</f>
        <v>32.4516129032258</v>
      </c>
      <c r="AL44" s="282" t="n">
        <f aca="false">AVERAGE(AL12:AL42)</f>
        <v>7.54838709677419</v>
      </c>
      <c r="AM44" s="155" t="s">
        <v>101</v>
      </c>
      <c r="AN44" s="203" t="n">
        <f aca="false">SUM(AN12:AN42)</f>
        <v>0</v>
      </c>
      <c r="AO44" s="158"/>
      <c r="AP44" s="201"/>
      <c r="AS44" s="10"/>
    </row>
    <row r="45" customFormat="false" ht="12.95" hidden="false" customHeight="true" outlineLevel="0" collapsed="false">
      <c r="A45" s="158" t="s">
        <v>81</v>
      </c>
      <c r="B45" s="278"/>
      <c r="D45" s="96" t="n">
        <f aca="false">SUM(D12:D42)</f>
        <v>-37</v>
      </c>
      <c r="F45" s="279" t="n">
        <f aca="false">F44*$D$2</f>
        <v>-37</v>
      </c>
      <c r="G45" s="96" t="n">
        <f aca="false">G44*$D$2</f>
        <v>4288.327</v>
      </c>
      <c r="H45" s="284" t="n">
        <f aca="false">H44*$D$2</f>
        <v>97.449355</v>
      </c>
      <c r="I45" s="96" t="n">
        <f aca="false">I44*$D$2</f>
        <v>4385.776355</v>
      </c>
      <c r="J45" s="96" t="n">
        <f aca="false">J44*$D$2</f>
        <v>1083.455135</v>
      </c>
      <c r="K45" s="96" t="n">
        <f aca="false">K44*$D$2</f>
        <v>5469.23149</v>
      </c>
      <c r="L45" s="96" t="n">
        <f aca="false">L44*$D$2</f>
        <v>673.826895</v>
      </c>
      <c r="M45" s="285" t="n">
        <f aca="false">M44*$D$2</f>
        <v>237.02825</v>
      </c>
      <c r="N45" s="96" t="n">
        <f aca="false">N44*$D$2</f>
        <v>0</v>
      </c>
      <c r="O45" s="96" t="n">
        <f aca="false">O44*$D$2</f>
        <v>0</v>
      </c>
      <c r="Q45" s="96" t="n">
        <f aca="false">Q44*$D$2</f>
        <v>94.7045877</v>
      </c>
      <c r="R45" s="96" t="n">
        <f aca="false">R44*$D$2</f>
        <v>203.249245</v>
      </c>
      <c r="S45" s="96" t="n">
        <f aca="false">S44*$D$2</f>
        <v>4.64139</v>
      </c>
      <c r="T45" s="281" t="n">
        <f aca="false">T44*$D$2</f>
        <v>-65.5669727</v>
      </c>
      <c r="U45" s="96" t="n">
        <f aca="false">U44*$D$2</f>
        <v>2953.4315</v>
      </c>
      <c r="V45" s="96" t="n">
        <f aca="false">V44*$D$2</f>
        <v>0</v>
      </c>
      <c r="W45" s="96" t="n">
        <f aca="false">W44*$D$2</f>
        <v>2953.4315</v>
      </c>
      <c r="X45" s="96"/>
      <c r="Y45" s="96"/>
      <c r="Z45" s="96"/>
      <c r="AA45" s="96"/>
      <c r="AB45" s="216"/>
      <c r="AC45" s="219"/>
      <c r="AD45" s="96" t="n">
        <f aca="false">AD44*$D$2</f>
        <v>1906.1435</v>
      </c>
      <c r="AE45" s="96"/>
      <c r="AF45" s="96" t="n">
        <f aca="false">AF44*$D$2</f>
        <v>0</v>
      </c>
      <c r="AG45" s="96" t="n">
        <f aca="false">AG44*$D$2</f>
        <v>5096.60325</v>
      </c>
      <c r="AH45" s="96" t="n">
        <f aca="false">AH44*$D$2</f>
        <v>409.62824</v>
      </c>
      <c r="AI45" s="96" t="n">
        <f aca="false">AI44*$D$2</f>
        <v>5506.23149</v>
      </c>
      <c r="AJ45" s="208"/>
      <c r="AK45" s="154" t="n">
        <f aca="false">MAX(AK12:AK42)</f>
        <v>47</v>
      </c>
      <c r="AL45" s="282" t="n">
        <f aca="false">MAX(AL12:AL42)</f>
        <v>31</v>
      </c>
      <c r="AM45" s="155" t="s">
        <v>82</v>
      </c>
      <c r="AN45" s="203" t="n">
        <f aca="false">AN44*$D$2</f>
        <v>0</v>
      </c>
      <c r="AO45" s="158"/>
      <c r="AP45" s="201"/>
      <c r="AS45" s="10"/>
    </row>
    <row r="46" customFormat="false" ht="3" hidden="false" customHeight="true" outlineLevel="0" collapsed="false">
      <c r="A46" s="229"/>
      <c r="B46" s="302"/>
      <c r="C46" s="289"/>
      <c r="D46" s="289"/>
      <c r="E46" s="289"/>
      <c r="F46" s="303"/>
      <c r="G46" s="289"/>
      <c r="H46" s="304"/>
      <c r="I46" s="289"/>
      <c r="J46" s="289"/>
      <c r="K46" s="289"/>
      <c r="L46" s="289"/>
      <c r="M46" s="305"/>
      <c r="N46" s="289"/>
      <c r="O46" s="289"/>
      <c r="P46" s="293"/>
      <c r="Q46" s="289"/>
      <c r="R46" s="289"/>
      <c r="S46" s="289"/>
      <c r="T46" s="294"/>
      <c r="U46" s="289"/>
      <c r="V46" s="289"/>
      <c r="W46" s="289"/>
      <c r="X46" s="289"/>
      <c r="Y46" s="289"/>
      <c r="Z46" s="289"/>
      <c r="AA46" s="289"/>
      <c r="AB46" s="251"/>
      <c r="AC46" s="252"/>
      <c r="AD46" s="289"/>
      <c r="AE46" s="229"/>
      <c r="AF46" s="289"/>
      <c r="AG46" s="289"/>
      <c r="AH46" s="289"/>
      <c r="AI46" s="289"/>
      <c r="AJ46" s="306"/>
      <c r="AK46" s="289"/>
      <c r="AL46" s="303"/>
      <c r="AM46" s="289"/>
      <c r="AN46" s="307"/>
      <c r="AO46" s="289"/>
      <c r="AP46" s="307"/>
      <c r="AQ46" s="298"/>
      <c r="AR46" s="298"/>
      <c r="AS46" s="298"/>
    </row>
    <row r="47" customFormat="false" ht="12.95" hidden="false" customHeight="true" outlineLevel="0" collapsed="false">
      <c r="A47" s="158" t="s">
        <v>83</v>
      </c>
      <c r="B47" s="278"/>
      <c r="D47" s="96"/>
      <c r="F47" s="279"/>
      <c r="G47" s="96"/>
      <c r="H47" s="284"/>
      <c r="I47" s="96"/>
      <c r="J47" s="96"/>
      <c r="K47" s="96"/>
      <c r="L47" s="96"/>
      <c r="M47" s="285"/>
      <c r="N47" s="96"/>
      <c r="O47" s="96"/>
      <c r="Q47" s="96"/>
      <c r="R47" s="96"/>
      <c r="S47" s="96"/>
      <c r="T47" s="281"/>
      <c r="U47" s="96"/>
      <c r="V47" s="96"/>
      <c r="X47" s="96"/>
      <c r="Y47" s="96"/>
      <c r="Z47" s="96"/>
      <c r="AA47" s="96"/>
      <c r="AB47" s="216"/>
      <c r="AC47" s="219"/>
      <c r="AE47" s="96"/>
      <c r="AF47" s="96"/>
      <c r="AG47" s="96"/>
      <c r="AH47" s="96"/>
      <c r="AI47" s="96"/>
      <c r="AJ47" s="208"/>
      <c r="AK47" s="154" t="n">
        <f aca="false">MIN(AK12:AK42)</f>
        <v>17</v>
      </c>
      <c r="AL47" s="282" t="n">
        <f aca="false">MIN(AL12:AL42)</f>
        <v>-10</v>
      </c>
      <c r="AM47" s="155" t="s">
        <v>84</v>
      </c>
      <c r="AN47" s="155"/>
      <c r="AO47" s="158"/>
      <c r="AP47" s="201"/>
      <c r="AS47" s="10"/>
    </row>
    <row r="48" customFormat="false" ht="12.95" hidden="false" customHeight="true" outlineLevel="0" collapsed="false">
      <c r="A48" s="158" t="s">
        <v>85</v>
      </c>
      <c r="B48" s="278"/>
      <c r="D48" s="96"/>
      <c r="F48" s="279"/>
      <c r="G48" s="96"/>
      <c r="H48" s="284"/>
      <c r="I48" s="96"/>
      <c r="J48" s="96"/>
      <c r="K48" s="96"/>
      <c r="L48" s="96"/>
      <c r="M48" s="285"/>
      <c r="N48" s="96"/>
      <c r="O48" s="96"/>
      <c r="Q48" s="96"/>
      <c r="R48" s="96"/>
      <c r="S48" s="96"/>
      <c r="T48" s="281"/>
      <c r="U48" s="96"/>
      <c r="V48" s="96"/>
      <c r="X48" s="96"/>
      <c r="Y48" s="96"/>
      <c r="Z48" s="96"/>
      <c r="AA48" s="96"/>
      <c r="AB48" s="216"/>
      <c r="AC48" s="219"/>
      <c r="AE48" s="96"/>
      <c r="AF48" s="96"/>
      <c r="AG48" s="96"/>
      <c r="AH48" s="96"/>
      <c r="AI48" s="96"/>
      <c r="AJ48" s="208"/>
      <c r="AL48" s="282"/>
      <c r="AM48" s="155"/>
      <c r="AN48" s="155"/>
      <c r="AO48" s="158"/>
      <c r="AP48" s="201"/>
      <c r="AS48" s="10"/>
    </row>
    <row r="49" customFormat="false" ht="3" hidden="false" customHeight="true" outlineLevel="0" collapsed="false">
      <c r="A49" s="229"/>
      <c r="B49" s="302"/>
      <c r="C49" s="289"/>
      <c r="D49" s="289"/>
      <c r="E49" s="289"/>
      <c r="F49" s="303"/>
      <c r="G49" s="289"/>
      <c r="H49" s="304"/>
      <c r="I49" s="289"/>
      <c r="J49" s="289"/>
      <c r="K49" s="289"/>
      <c r="L49" s="289"/>
      <c r="M49" s="305"/>
      <c r="N49" s="289"/>
      <c r="O49" s="289"/>
      <c r="P49" s="293"/>
      <c r="Q49" s="289"/>
      <c r="R49" s="289"/>
      <c r="S49" s="289"/>
      <c r="T49" s="294"/>
      <c r="U49" s="289"/>
      <c r="V49" s="289"/>
      <c r="W49" s="289"/>
      <c r="X49" s="289"/>
      <c r="Y49" s="289"/>
      <c r="Z49" s="289"/>
      <c r="AA49" s="289"/>
      <c r="AB49" s="251"/>
      <c r="AC49" s="252"/>
      <c r="AD49" s="289"/>
      <c r="AE49" s="289"/>
      <c r="AF49" s="289"/>
      <c r="AG49" s="289"/>
      <c r="AH49" s="289"/>
      <c r="AI49" s="289"/>
      <c r="AJ49" s="295"/>
      <c r="AK49" s="291"/>
      <c r="AL49" s="308"/>
      <c r="AM49" s="291"/>
      <c r="AN49" s="309"/>
      <c r="AO49" s="291"/>
      <c r="AP49" s="309"/>
      <c r="AQ49" s="298"/>
      <c r="AR49" s="298"/>
      <c r="AS49" s="298"/>
    </row>
    <row r="50" customFormat="false" ht="12.95" hidden="false" customHeight="true" outlineLevel="0" collapsed="false">
      <c r="A50" s="158" t="s">
        <v>86</v>
      </c>
      <c r="B50" s="278"/>
      <c r="D50" s="96"/>
      <c r="F50" s="279" t="n">
        <f aca="false">F10+F44</f>
        <v>-917.065792790522</v>
      </c>
      <c r="G50" s="96" t="n">
        <f aca="false">G10+G44</f>
        <v>6883</v>
      </c>
      <c r="H50" s="284" t="n">
        <f aca="false">H10+H44</f>
        <v>167.58</v>
      </c>
      <c r="I50" s="96" t="n">
        <f aca="false">I10+I44</f>
        <v>7050.58</v>
      </c>
      <c r="J50" s="96" t="n">
        <f aca="false">J10+J44</f>
        <v>1726.15457272498</v>
      </c>
      <c r="K50" s="96" t="n">
        <f aca="false">K10+K44</f>
        <v>8776.73457272498</v>
      </c>
      <c r="L50" s="96" t="n">
        <f aca="false">L10+L44</f>
        <v>527.914207209478</v>
      </c>
      <c r="M50" s="285" t="n">
        <f aca="false">M10+M44</f>
        <v>533.8</v>
      </c>
      <c r="N50" s="96" t="n">
        <f aca="false">N10+N44</f>
        <v>0</v>
      </c>
      <c r="O50" s="96" t="n">
        <f aca="false">O10+O44</f>
        <v>0</v>
      </c>
      <c r="Q50" s="96" t="n">
        <f aca="false">Q10+Q44</f>
        <v>139.1178</v>
      </c>
      <c r="R50" s="96" t="n">
        <f aca="false">R10+R44</f>
        <v>253.863</v>
      </c>
      <c r="S50" s="96" t="n">
        <f aca="false">S10+S44</f>
        <v>2.34</v>
      </c>
      <c r="T50" s="281" t="n">
        <f aca="false">T10+T44</f>
        <v>-46.7236</v>
      </c>
      <c r="U50" s="96" t="n">
        <f aca="false">U10+U44</f>
        <v>5023.96</v>
      </c>
      <c r="V50" s="96" t="n">
        <f aca="false">V10+V44</f>
        <v>84.8</v>
      </c>
      <c r="W50" s="96" t="n">
        <f aca="false">W10+W44</f>
        <v>4864.3</v>
      </c>
      <c r="X50" s="96"/>
      <c r="Y50" s="96"/>
      <c r="Z50" s="96"/>
      <c r="AA50" s="96"/>
      <c r="AB50" s="216"/>
      <c r="AC50" s="219"/>
      <c r="AD50" s="96" t="n">
        <f aca="false">AD10+AD44</f>
        <v>2853</v>
      </c>
      <c r="AE50" s="96" t="n">
        <f aca="false">AE42</f>
        <v>2086</v>
      </c>
      <c r="AF50" s="96" t="n">
        <f aca="false">AF10+AF44</f>
        <v>0</v>
      </c>
      <c r="AG50" s="96" t="n">
        <f aca="false">AG10+AG44</f>
        <v>8495.56</v>
      </c>
      <c r="AH50" s="96" t="n">
        <f aca="false">AH10+AH44</f>
        <v>1198.2403655155</v>
      </c>
      <c r="AI50" s="96" t="n">
        <f aca="false">AI10+AI44</f>
        <v>9693.8003655155</v>
      </c>
      <c r="AJ50" s="208" t="n">
        <f aca="false">AJ10+AJ44</f>
        <v>7.41</v>
      </c>
      <c r="AL50" s="282"/>
      <c r="AM50" s="155"/>
      <c r="AN50" s="203" t="n">
        <f aca="false">AN10+AN44</f>
        <v>0</v>
      </c>
      <c r="AO50" s="158"/>
      <c r="AP50" s="201"/>
      <c r="AS50" s="10"/>
    </row>
    <row r="51" customFormat="false" ht="12.95" hidden="false" customHeight="true" outlineLevel="0" collapsed="false">
      <c r="A51" s="158" t="s">
        <v>87</v>
      </c>
      <c r="B51" s="278"/>
      <c r="D51" s="96" t="n">
        <f aca="false">D10+D45</f>
        <v>-1819</v>
      </c>
      <c r="E51" s="96" t="n">
        <f aca="false">E42</f>
        <v>134060</v>
      </c>
      <c r="F51" s="279" t="n">
        <f aca="false">F50*$D$2</f>
        <v>-1819</v>
      </c>
      <c r="G51" s="96" t="n">
        <f aca="false">G50*$D$2</f>
        <v>13652.4305</v>
      </c>
      <c r="H51" s="284" t="n">
        <f aca="false">H50*$D$2</f>
        <v>332.39493</v>
      </c>
      <c r="I51" s="96" t="n">
        <f aca="false">I50*$D$2</f>
        <v>13984.82543</v>
      </c>
      <c r="J51" s="96" t="n">
        <f aca="false">J50*$D$2</f>
        <v>3423.827595</v>
      </c>
      <c r="K51" s="96" t="n">
        <f aca="false">K50*$D$2</f>
        <v>17408.653025</v>
      </c>
      <c r="L51" s="96" t="n">
        <f aca="false">L50*$D$2</f>
        <v>1047.11783</v>
      </c>
      <c r="M51" s="285" t="n">
        <f aca="false">M50*$D$2</f>
        <v>1058.7923</v>
      </c>
      <c r="N51" s="96" t="n">
        <f aca="false">N50*$D$2</f>
        <v>0</v>
      </c>
      <c r="O51" s="96" t="n">
        <f aca="false">O50*$D$2</f>
        <v>0</v>
      </c>
      <c r="Q51" s="96" t="n">
        <f aca="false">Q50*$D$2</f>
        <v>275.9401563</v>
      </c>
      <c r="R51" s="96" t="n">
        <f aca="false">R50*$D$2</f>
        <v>503.5372605</v>
      </c>
      <c r="S51" s="96" t="n">
        <f aca="false">S50*$D$2</f>
        <v>4.64139</v>
      </c>
      <c r="T51" s="310" t="n">
        <f aca="false">T50*$D$2</f>
        <v>-92.6762606</v>
      </c>
      <c r="U51" s="96" t="n">
        <f aca="false">U50*$D$2</f>
        <v>9965.02466</v>
      </c>
      <c r="V51" s="96" t="n">
        <f aca="false">V50*$D$2</f>
        <v>168.2008</v>
      </c>
      <c r="W51" s="96" t="n">
        <f aca="false">W50*$D$2</f>
        <v>9648.33905</v>
      </c>
      <c r="X51" s="96"/>
      <c r="Y51" s="96"/>
      <c r="Z51" s="96"/>
      <c r="AA51" s="96"/>
      <c r="AB51" s="259"/>
      <c r="AC51" s="260"/>
      <c r="AD51" s="96" t="n">
        <f aca="false">AD50*$D$2</f>
        <v>5658.9255</v>
      </c>
      <c r="AE51" s="96" t="n">
        <f aca="false">AE50*$D$2</f>
        <v>4137.581</v>
      </c>
      <c r="AF51" s="96" t="n">
        <f aca="false">AF50*$D$2</f>
        <v>0</v>
      </c>
      <c r="AG51" s="96" t="n">
        <f aca="false">AG50*$D$2</f>
        <v>16850.94326</v>
      </c>
      <c r="AH51" s="96" t="n">
        <f aca="false">AH50*$D$2</f>
        <v>2376.709765</v>
      </c>
      <c r="AI51" s="96" t="n">
        <f aca="false">AI50*$D$2</f>
        <v>19227.653025</v>
      </c>
      <c r="AJ51" s="208"/>
      <c r="AL51" s="282"/>
      <c r="AM51" s="155" t="n">
        <f aca="false">AM42</f>
        <v>9648.33905</v>
      </c>
      <c r="AN51" s="203" t="n">
        <f aca="false">AN50*$D$2</f>
        <v>0</v>
      </c>
      <c r="AO51" s="158"/>
      <c r="AP51" s="201"/>
      <c r="AS51" s="10"/>
    </row>
    <row r="52" customFormat="false" ht="3" hidden="false" customHeight="true" outlineLevel="0" collapsed="false">
      <c r="A52" s="229"/>
      <c r="B52" s="302"/>
      <c r="C52" s="289"/>
      <c r="D52" s="229"/>
      <c r="E52" s="289"/>
      <c r="F52" s="290"/>
      <c r="G52" s="229"/>
      <c r="H52" s="291"/>
      <c r="I52" s="229"/>
      <c r="J52" s="229"/>
      <c r="K52" s="229"/>
      <c r="L52" s="229"/>
      <c r="M52" s="292"/>
      <c r="N52" s="229"/>
      <c r="O52" s="229"/>
      <c r="P52" s="293"/>
      <c r="Q52" s="229"/>
      <c r="R52" s="229"/>
      <c r="S52" s="229"/>
      <c r="T52" s="294"/>
      <c r="U52" s="229"/>
      <c r="V52" s="229"/>
      <c r="W52" s="229"/>
      <c r="X52" s="289"/>
      <c r="Y52" s="289"/>
      <c r="Z52" s="289"/>
      <c r="AA52" s="229"/>
      <c r="AB52" s="235"/>
      <c r="AC52" s="238"/>
      <c r="AD52" s="229"/>
      <c r="AE52" s="289"/>
      <c r="AF52" s="289"/>
      <c r="AG52" s="229"/>
      <c r="AH52" s="229"/>
      <c r="AI52" s="229"/>
      <c r="AJ52" s="302"/>
      <c r="AK52" s="229"/>
      <c r="AL52" s="290"/>
      <c r="AM52" s="229"/>
      <c r="AN52" s="311"/>
      <c r="AO52" s="229"/>
      <c r="AP52" s="311"/>
      <c r="AQ52" s="298"/>
      <c r="AR52" s="298"/>
      <c r="AS52" s="298"/>
    </row>
    <row r="53" customFormat="false" ht="11.1" hidden="false" customHeight="true" outlineLevel="0" collapsed="false">
      <c r="A53" s="158"/>
      <c r="B53" s="262"/>
      <c r="D53" s="158"/>
      <c r="F53" s="158"/>
      <c r="G53" s="158"/>
      <c r="I53" s="158"/>
      <c r="J53" s="158"/>
      <c r="K53" s="158"/>
      <c r="L53" s="158"/>
      <c r="N53" s="158"/>
      <c r="O53" s="158"/>
      <c r="Q53" s="158"/>
      <c r="R53" s="158"/>
      <c r="S53" s="158"/>
      <c r="U53" s="158"/>
      <c r="V53" s="158"/>
      <c r="W53" s="158"/>
      <c r="X53" s="96"/>
      <c r="Y53" s="96"/>
      <c r="Z53" s="96"/>
      <c r="AA53" s="158"/>
      <c r="AB53" s="158"/>
      <c r="AC53" s="158"/>
      <c r="AD53" s="158"/>
      <c r="AE53" s="96"/>
      <c r="AF53" s="224"/>
      <c r="AG53" s="158"/>
      <c r="AH53" s="158"/>
      <c r="AI53" s="158"/>
      <c r="AL53" s="154"/>
      <c r="AM53" s="155"/>
      <c r="AN53" s="155"/>
      <c r="AO53" s="160"/>
      <c r="AP53" s="184"/>
    </row>
    <row r="54" customFormat="false" ht="11.1" hidden="false" customHeight="true" outlineLevel="0" collapsed="false">
      <c r="A54" s="158"/>
      <c r="B54" s="263"/>
      <c r="F54" s="158"/>
      <c r="G54" s="158"/>
      <c r="I54" s="264"/>
      <c r="J54" s="158"/>
      <c r="K54" s="148"/>
      <c r="L54" s="158"/>
      <c r="N54" s="158"/>
      <c r="O54" s="158"/>
      <c r="Q54" s="158"/>
      <c r="R54" s="158"/>
      <c r="S54" s="158"/>
      <c r="U54" s="158"/>
      <c r="V54" s="158"/>
      <c r="W54" s="158"/>
      <c r="X54" s="96"/>
      <c r="Y54" s="96"/>
      <c r="Z54" s="96"/>
      <c r="AA54" s="158"/>
      <c r="AB54" s="158"/>
      <c r="AC54" s="158"/>
      <c r="AD54" s="158"/>
      <c r="AE54" s="96"/>
      <c r="AF54" s="224"/>
      <c r="AG54" s="158"/>
      <c r="AH54" s="158"/>
      <c r="AI54" s="158"/>
      <c r="AL54" s="154"/>
      <c r="AM54" s="155"/>
      <c r="AN54" s="155"/>
      <c r="AO54" s="160"/>
      <c r="AP54" s="184"/>
    </row>
    <row r="55" customFormat="false" ht="11.1" hidden="false" customHeight="true" outlineLevel="0" collapsed="false">
      <c r="D55" s="96"/>
      <c r="S55" s="151"/>
      <c r="W55" s="10"/>
      <c r="X55" s="96"/>
      <c r="Y55" s="96"/>
      <c r="Z55" s="96"/>
      <c r="AD55" s="10"/>
      <c r="AE55" s="96"/>
      <c r="AF55" s="224"/>
      <c r="AI55" s="10"/>
      <c r="AL55" s="154"/>
      <c r="AM55" s="155"/>
      <c r="AN55" s="155"/>
      <c r="AO55" s="152"/>
      <c r="AP55" s="56"/>
    </row>
    <row r="56" customFormat="false" ht="11.1" hidden="false" customHeight="true" outlineLevel="0" collapsed="false">
      <c r="B56" s="150"/>
      <c r="D56" s="96"/>
      <c r="AM56" s="152"/>
      <c r="AN56" s="56"/>
      <c r="AO56" s="152"/>
    </row>
    <row r="57" customFormat="false" ht="11.1" hidden="false" customHeight="true" outlineLevel="0" collapsed="false">
      <c r="G57" s="265"/>
      <c r="AM57" s="152"/>
      <c r="AN57" s="56"/>
      <c r="AO57" s="152"/>
    </row>
    <row r="58" customFormat="false" ht="11.1" hidden="false" customHeight="true" outlineLevel="0" collapsed="false">
      <c r="A58" s="1"/>
      <c r="B58" s="1"/>
      <c r="C58" s="2"/>
      <c r="D58" s="1"/>
      <c r="E58" s="2"/>
      <c r="F58" s="1"/>
      <c r="G58" s="1"/>
      <c r="H58" s="6"/>
      <c r="I58" s="1"/>
      <c r="J58" s="1"/>
      <c r="K58" s="1"/>
      <c r="L58" s="1"/>
      <c r="M58" s="4"/>
      <c r="N58" s="4"/>
      <c r="O58" s="4"/>
      <c r="P58" s="3"/>
      <c r="Q58" s="4"/>
      <c r="R58" s="4"/>
      <c r="S58" s="1"/>
      <c r="T58" s="3"/>
      <c r="U58" s="1"/>
      <c r="V58" s="1"/>
      <c r="W58" s="2"/>
      <c r="X58" s="1"/>
      <c r="Y58" s="1"/>
      <c r="Z58" s="1"/>
      <c r="AA58" s="1"/>
      <c r="AB58" s="1"/>
      <c r="AC58" s="1"/>
      <c r="AD58" s="2"/>
      <c r="AE58" s="1"/>
      <c r="AF58" s="312"/>
      <c r="AG58" s="1"/>
      <c r="AH58" s="1"/>
      <c r="AI58" s="6"/>
      <c r="AJ58" s="6"/>
      <c r="AK58" s="7"/>
      <c r="AL58" s="8"/>
      <c r="AM58" s="1"/>
      <c r="AN58" s="5"/>
      <c r="AO58" s="1"/>
      <c r="AP58" s="9"/>
      <c r="AQ58" s="1"/>
    </row>
    <row r="59" customFormat="false" ht="11.1" hidden="false" customHeight="true" outlineLevel="0" collapsed="false">
      <c r="A59" s="1"/>
      <c r="B59" s="1"/>
      <c r="C59" s="2"/>
      <c r="D59" s="1"/>
      <c r="E59" s="2"/>
      <c r="F59" s="1"/>
      <c r="G59" s="1"/>
      <c r="H59" s="6"/>
      <c r="I59" s="1"/>
      <c r="J59" s="1"/>
      <c r="K59" s="1"/>
      <c r="L59" s="1"/>
      <c r="M59" s="4"/>
      <c r="N59" s="4"/>
      <c r="O59" s="4"/>
      <c r="P59" s="3"/>
      <c r="Q59" s="4"/>
      <c r="R59" s="4"/>
      <c r="S59" s="1"/>
      <c r="T59" s="3"/>
      <c r="U59" s="1"/>
      <c r="V59" s="1"/>
      <c r="W59" s="2"/>
      <c r="X59" s="1"/>
      <c r="Y59" s="1"/>
      <c r="Z59" s="1"/>
      <c r="AA59" s="1"/>
      <c r="AB59" s="1"/>
      <c r="AC59" s="1"/>
      <c r="AD59" s="2"/>
      <c r="AE59" s="1"/>
      <c r="AF59" s="312"/>
      <c r="AG59" s="1"/>
      <c r="AH59" s="1"/>
      <c r="AI59" s="6"/>
      <c r="AJ59" s="6"/>
      <c r="AK59" s="7"/>
      <c r="AL59" s="8"/>
      <c r="AM59" s="1"/>
      <c r="AN59" s="5"/>
      <c r="AO59" s="1"/>
      <c r="AP59" s="9"/>
      <c r="AQ59" s="1"/>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1" scale="64" fitToWidth="1" fitToHeight="1" pageOrder="downThenOver" orientation="landscape" blackAndWhite="false" draft="false" cellComments="atEnd"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21" activePane="bottomRight" state="frozen"/>
      <selection pane="topLeft" activeCell="A1" activeCellId="0" sqref="A1"/>
      <selection pane="topRight" activeCell="F1" activeCellId="0" sqref="F1"/>
      <selection pane="bottomLeft" activeCell="A21" activeCellId="0" sqref="A21"/>
      <selection pane="bottomRight" activeCell="T49" activeCellId="0" sqref="T49"/>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266"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8" min="17" style="151" width="4.32"/>
    <col collapsed="false" customWidth="true" hidden="false" outlineLevel="0" max="19" min="19" style="150" width="4.32"/>
    <col collapsed="false" customWidth="true" hidden="false" outlineLevel="0" max="20" min="20" style="150" width="5.82"/>
    <col collapsed="false" customWidth="true" hidden="false" outlineLevel="0" max="22" min="21" style="10" width="5.49"/>
    <col collapsed="false" customWidth="true" hidden="false" outlineLevel="0" max="23" min="23" style="96" width="6.32"/>
    <col collapsed="false" customWidth="true" hidden="false" outlineLevel="0" max="29" min="24" style="10" width="5.49"/>
    <col collapsed="false" customWidth="true" hidden="false" outlineLevel="0" max="30" min="30" style="96" width="6.32"/>
    <col collapsed="false" customWidth="true" hidden="false" outlineLevel="0" max="31" min="31" style="10" width="5.49"/>
    <col collapsed="false" customWidth="true" hidden="false" outlineLevel="0" max="32" min="32" style="152" width="6.32"/>
    <col collapsed="false" customWidth="true" hidden="false" outlineLevel="0" max="33" min="33" style="10" width="6.32"/>
    <col collapsed="false" customWidth="true" hidden="false" outlineLevel="0" max="34" min="34" style="10" width="6.99"/>
    <col collapsed="false" customWidth="true" hidden="false" outlineLevel="0" max="35" min="35" style="150" width="6.99"/>
    <col collapsed="false" customWidth="true" hidden="false" outlineLevel="0" max="36" min="36" style="153" width="5.32"/>
    <col collapsed="false" customWidth="true" hidden="false" outlineLevel="0" max="37" min="37" style="154" width="3.82"/>
    <col collapsed="false" customWidth="true" hidden="false" outlineLevel="0" max="38" min="38" style="155" width="3.82"/>
    <col collapsed="false" customWidth="true" hidden="false" outlineLevel="0" max="40" min="39" style="154" width="5.49"/>
    <col collapsed="false" customWidth="true" hidden="false" outlineLevel="0" max="41" min="41" style="10" width="6.32"/>
    <col collapsed="false" customWidth="true" hidden="false" outlineLevel="0" max="42" min="42" style="212" width="6.32"/>
    <col collapsed="false" customWidth="true" hidden="false" outlineLevel="0" max="43" min="43" style="56" width="6.32"/>
    <col collapsed="false" customWidth="true" hidden="false" outlineLevel="0" max="44" min="44" style="152" width="5.82"/>
    <col collapsed="false" customWidth="true" hidden="false" outlineLevel="0" max="45" min="45" style="10" width="4.99"/>
    <col collapsed="false" customWidth="false" hidden="false" outlineLevel="0" max="257" min="46" style="157" width="9.32"/>
  </cols>
  <sheetData>
    <row r="1" customFormat="false" ht="14.1" hidden="false" customHeight="true" outlineLevel="0" collapsed="false">
      <c r="A1" s="158" t="s">
        <v>96</v>
      </c>
      <c r="B1" s="158"/>
      <c r="D1" s="158"/>
      <c r="F1" s="158"/>
      <c r="G1" s="158"/>
      <c r="I1" s="158"/>
      <c r="J1" s="158"/>
      <c r="K1" s="159" t="s">
        <v>0</v>
      </c>
      <c r="L1" s="158"/>
      <c r="M1" s="158"/>
      <c r="N1" s="158"/>
      <c r="O1" s="158"/>
      <c r="Q1" s="158"/>
      <c r="R1" s="158"/>
      <c r="U1" s="158"/>
      <c r="V1" s="158"/>
      <c r="X1" s="158"/>
      <c r="Y1" s="158"/>
      <c r="Z1" s="158"/>
      <c r="AA1" s="158"/>
      <c r="AB1" s="158"/>
      <c r="AC1" s="158"/>
      <c r="AE1" s="158"/>
      <c r="AF1" s="160"/>
      <c r="AG1" s="158"/>
      <c r="AH1" s="158"/>
      <c r="AM1" s="313"/>
      <c r="AN1" s="313"/>
      <c r="AO1" s="160"/>
    </row>
    <row r="2" customFormat="false" ht="14.1" hidden="false" customHeight="true" outlineLevel="0" collapsed="false">
      <c r="A2" s="160" t="s">
        <v>1</v>
      </c>
      <c r="B2" s="158"/>
      <c r="D2" s="161" t="n">
        <v>1.9835</v>
      </c>
      <c r="F2" s="158"/>
      <c r="G2" s="158"/>
      <c r="I2" s="158"/>
      <c r="J2" s="158"/>
      <c r="K2" s="162" t="s">
        <v>102</v>
      </c>
      <c r="L2" s="162"/>
      <c r="M2" s="162"/>
      <c r="N2" s="162"/>
      <c r="O2" s="162"/>
      <c r="P2" s="162"/>
      <c r="Q2" s="162"/>
      <c r="R2" s="162"/>
      <c r="S2" s="162"/>
      <c r="T2" s="162"/>
      <c r="U2" s="162"/>
      <c r="V2" s="162"/>
      <c r="W2" s="162"/>
      <c r="X2" s="162"/>
      <c r="Y2" s="162"/>
      <c r="Z2" s="162"/>
      <c r="AA2" s="158"/>
      <c r="AB2" s="158"/>
      <c r="AC2" s="158"/>
      <c r="AE2" s="158"/>
      <c r="AF2" s="160"/>
      <c r="AG2" s="158"/>
      <c r="AH2" s="158"/>
      <c r="AM2" s="313"/>
      <c r="AN2" s="313"/>
      <c r="AO2" s="160"/>
    </row>
    <row r="3" customFormat="false" ht="14.1" hidden="false" customHeight="true" outlineLevel="0" collapsed="false">
      <c r="A3" s="163"/>
      <c r="B3" s="163"/>
      <c r="C3" s="164"/>
      <c r="D3" s="165"/>
      <c r="E3" s="164"/>
      <c r="F3" s="163"/>
      <c r="G3" s="163"/>
      <c r="H3" s="267"/>
      <c r="I3" s="163"/>
      <c r="J3" s="163"/>
      <c r="K3" s="163"/>
      <c r="L3" s="163"/>
      <c r="M3" s="163"/>
      <c r="N3" s="163"/>
      <c r="O3" s="163"/>
      <c r="P3" s="166"/>
      <c r="Q3" s="163"/>
      <c r="R3" s="163"/>
      <c r="S3" s="166"/>
      <c r="T3" s="166"/>
      <c r="U3" s="163"/>
      <c r="V3" s="163"/>
      <c r="W3" s="164"/>
      <c r="X3" s="163"/>
      <c r="Y3" s="163"/>
      <c r="Z3" s="163"/>
      <c r="AA3" s="163"/>
      <c r="AB3" s="163"/>
      <c r="AC3" s="163"/>
      <c r="AD3" s="164"/>
      <c r="AE3" s="163"/>
      <c r="AF3" s="168"/>
      <c r="AG3" s="163"/>
      <c r="AH3" s="163"/>
      <c r="AI3" s="166"/>
      <c r="AJ3" s="169"/>
      <c r="AK3" s="170"/>
      <c r="AL3" s="171"/>
      <c r="AM3" s="314"/>
      <c r="AN3" s="314"/>
      <c r="AO3" s="168"/>
      <c r="AP3" s="269"/>
    </row>
    <row r="4" s="10" customFormat="true" ht="14.1" hidden="false" customHeight="true" outlineLevel="0" collapsed="false">
      <c r="A4" s="158"/>
      <c r="B4" s="174"/>
      <c r="C4" s="175"/>
      <c r="D4" s="270" t="s">
        <v>3</v>
      </c>
      <c r="E4" s="175"/>
      <c r="F4" s="177"/>
      <c r="G4" s="158"/>
      <c r="H4" s="266"/>
      <c r="I4" s="158"/>
      <c r="J4" s="158"/>
      <c r="K4" s="158"/>
      <c r="L4" s="158"/>
      <c r="M4" s="158"/>
      <c r="N4" s="158"/>
      <c r="O4" s="158"/>
      <c r="P4" s="150"/>
      <c r="Q4" s="158"/>
      <c r="R4" s="158"/>
      <c r="S4" s="150"/>
      <c r="T4" s="150"/>
      <c r="U4" s="178" t="s">
        <v>4</v>
      </c>
      <c r="V4" s="158"/>
      <c r="W4" s="96"/>
      <c r="X4" s="158"/>
      <c r="Y4" s="158"/>
      <c r="Z4" s="158"/>
      <c r="AA4" s="158"/>
      <c r="AB4" s="158"/>
      <c r="AC4" s="158"/>
      <c r="AD4" s="96"/>
      <c r="AE4" s="158"/>
      <c r="AF4" s="160"/>
      <c r="AG4" s="158"/>
      <c r="AH4" s="158"/>
      <c r="AI4" s="150"/>
      <c r="AJ4" s="179"/>
      <c r="AK4" s="180" t="s">
        <v>5</v>
      </c>
      <c r="AL4" s="181"/>
      <c r="AM4" s="154"/>
      <c r="AN4" s="154"/>
      <c r="AO4" s="178" t="s">
        <v>6</v>
      </c>
      <c r="AP4" s="212"/>
      <c r="AQ4" s="271"/>
      <c r="AR4" s="315"/>
      <c r="AS4" s="315"/>
    </row>
    <row r="5" customFormat="false" ht="12.95" hidden="false" customHeight="true" outlineLevel="0" collapsed="false">
      <c r="A5" s="184" t="s">
        <v>7</v>
      </c>
      <c r="B5" s="185" t="s">
        <v>8</v>
      </c>
      <c r="C5" s="186" t="s">
        <v>8</v>
      </c>
      <c r="D5" s="184" t="s">
        <v>9</v>
      </c>
      <c r="E5" s="186" t="s">
        <v>10</v>
      </c>
      <c r="F5" s="187" t="s">
        <v>11</v>
      </c>
      <c r="G5" s="184" t="s">
        <v>12</v>
      </c>
      <c r="H5" s="316" t="s">
        <v>13</v>
      </c>
      <c r="I5" s="184" t="s">
        <v>14</v>
      </c>
      <c r="J5" s="184" t="s">
        <v>15</v>
      </c>
      <c r="K5" s="184" t="s">
        <v>16</v>
      </c>
      <c r="L5" s="184" t="s">
        <v>15</v>
      </c>
      <c r="M5" s="189" t="s">
        <v>17</v>
      </c>
      <c r="N5" s="189"/>
      <c r="O5" s="189"/>
      <c r="P5" s="189"/>
      <c r="Q5" s="189"/>
      <c r="R5" s="189"/>
      <c r="S5" s="189"/>
      <c r="T5" s="189"/>
      <c r="U5" s="184" t="s">
        <v>18</v>
      </c>
      <c r="V5" s="184" t="s">
        <v>19</v>
      </c>
      <c r="W5" s="184" t="s">
        <v>16</v>
      </c>
      <c r="X5" s="186" t="s">
        <v>20</v>
      </c>
      <c r="Y5" s="186" t="s">
        <v>21</v>
      </c>
      <c r="Z5" s="186" t="s">
        <v>20</v>
      </c>
      <c r="AA5" s="184" t="s">
        <v>22</v>
      </c>
      <c r="AB5" s="191" t="s">
        <v>98</v>
      </c>
      <c r="AC5" s="192"/>
      <c r="AD5" s="184" t="s">
        <v>24</v>
      </c>
      <c r="AE5" s="186" t="s">
        <v>25</v>
      </c>
      <c r="AF5" s="186" t="s">
        <v>26</v>
      </c>
      <c r="AG5" s="184" t="s">
        <v>14</v>
      </c>
      <c r="AH5" s="184" t="s">
        <v>15</v>
      </c>
      <c r="AI5" s="184" t="s">
        <v>16</v>
      </c>
      <c r="AJ5" s="193" t="s">
        <v>27</v>
      </c>
      <c r="AK5" s="194" t="s">
        <v>28</v>
      </c>
      <c r="AL5" s="195" t="s">
        <v>29</v>
      </c>
      <c r="AM5" s="194" t="s">
        <v>90</v>
      </c>
      <c r="AN5" s="194" t="s">
        <v>20</v>
      </c>
      <c r="AO5" s="184" t="s">
        <v>20</v>
      </c>
      <c r="AP5" s="184" t="s">
        <v>20</v>
      </c>
      <c r="AQ5" s="56" t="s">
        <v>31</v>
      </c>
      <c r="AR5" s="56" t="s">
        <v>32</v>
      </c>
      <c r="AS5" s="56" t="s">
        <v>33</v>
      </c>
    </row>
    <row r="6" customFormat="false" ht="12.95" hidden="false" customHeight="true" outlineLevel="0" collapsed="false">
      <c r="A6" s="196" t="s">
        <v>103</v>
      </c>
      <c r="B6" s="185" t="s">
        <v>35</v>
      </c>
      <c r="C6" s="186" t="s">
        <v>9</v>
      </c>
      <c r="D6" s="184" t="s">
        <v>36</v>
      </c>
      <c r="E6" s="186" t="s">
        <v>37</v>
      </c>
      <c r="F6" s="187" t="s">
        <v>38</v>
      </c>
      <c r="G6" s="184" t="s">
        <v>39</v>
      </c>
      <c r="H6" s="316" t="s">
        <v>40</v>
      </c>
      <c r="I6" s="184" t="s">
        <v>41</v>
      </c>
      <c r="J6" s="184" t="s">
        <v>41</v>
      </c>
      <c r="K6" s="184" t="s">
        <v>41</v>
      </c>
      <c r="L6" s="184" t="s">
        <v>42</v>
      </c>
      <c r="M6" s="197" t="s">
        <v>43</v>
      </c>
      <c r="N6" s="184" t="s">
        <v>44</v>
      </c>
      <c r="O6" s="184" t="s">
        <v>45</v>
      </c>
      <c r="P6" s="188" t="s">
        <v>46</v>
      </c>
      <c r="Q6" s="184" t="s">
        <v>47</v>
      </c>
      <c r="R6" s="184" t="s">
        <v>48</v>
      </c>
      <c r="S6" s="188" t="s">
        <v>49</v>
      </c>
      <c r="T6" s="198" t="s">
        <v>50</v>
      </c>
      <c r="U6" s="184" t="s">
        <v>51</v>
      </c>
      <c r="V6" s="184" t="s">
        <v>52</v>
      </c>
      <c r="W6" s="184" t="s">
        <v>20</v>
      </c>
      <c r="X6" s="186" t="s">
        <v>62</v>
      </c>
      <c r="Y6" s="186" t="s">
        <v>54</v>
      </c>
      <c r="Z6" s="186" t="s">
        <v>100</v>
      </c>
      <c r="AA6" s="184" t="s">
        <v>56</v>
      </c>
      <c r="AB6" s="197"/>
      <c r="AC6" s="199"/>
      <c r="AD6" s="184" t="s">
        <v>58</v>
      </c>
      <c r="AE6" s="186" t="s">
        <v>59</v>
      </c>
      <c r="AF6" s="186"/>
      <c r="AG6" s="184" t="s">
        <v>60</v>
      </c>
      <c r="AH6" s="184" t="s">
        <v>60</v>
      </c>
      <c r="AI6" s="184" t="s">
        <v>60</v>
      </c>
      <c r="AJ6" s="200"/>
      <c r="AK6" s="194" t="s">
        <v>61</v>
      </c>
      <c r="AL6" s="195" t="s">
        <v>61</v>
      </c>
      <c r="AM6" s="194" t="s">
        <v>62</v>
      </c>
      <c r="AN6" s="194" t="s">
        <v>63</v>
      </c>
      <c r="AO6" s="184" t="s">
        <v>64</v>
      </c>
      <c r="AP6" s="184" t="s">
        <v>64</v>
      </c>
      <c r="AQ6" s="56" t="s">
        <v>65</v>
      </c>
      <c r="AR6" s="56" t="s">
        <v>66</v>
      </c>
      <c r="AS6" s="56" t="s">
        <v>67</v>
      </c>
    </row>
    <row r="7" customFormat="false" ht="12.95" hidden="false" customHeight="true" outlineLevel="0" collapsed="false">
      <c r="A7" s="201"/>
      <c r="B7" s="202"/>
      <c r="C7" s="203"/>
      <c r="D7" s="201"/>
      <c r="E7" s="186" t="s">
        <v>68</v>
      </c>
      <c r="F7" s="204"/>
      <c r="G7" s="201"/>
      <c r="H7" s="317"/>
      <c r="I7" s="201"/>
      <c r="J7" s="201"/>
      <c r="K7" s="201"/>
      <c r="L7" s="201"/>
      <c r="M7" s="206"/>
      <c r="N7" s="184" t="s">
        <v>69</v>
      </c>
      <c r="O7" s="184" t="s">
        <v>70</v>
      </c>
      <c r="P7" s="188"/>
      <c r="Q7" s="184"/>
      <c r="R7" s="184"/>
      <c r="S7" s="188" t="s">
        <v>45</v>
      </c>
      <c r="T7" s="198" t="s">
        <v>26</v>
      </c>
      <c r="U7" s="201"/>
      <c r="V7" s="201"/>
      <c r="W7" s="201"/>
      <c r="X7" s="186"/>
      <c r="Y7" s="186"/>
      <c r="Z7" s="186"/>
      <c r="AA7" s="201"/>
      <c r="AB7" s="206"/>
      <c r="AC7" s="207"/>
      <c r="AD7" s="201"/>
      <c r="AE7" s="203"/>
      <c r="AF7" s="186"/>
      <c r="AG7" s="201"/>
      <c r="AH7" s="201"/>
      <c r="AI7" s="201"/>
      <c r="AJ7" s="208"/>
      <c r="AK7" s="194"/>
      <c r="AL7" s="209"/>
      <c r="AM7" s="155"/>
      <c r="AN7" s="194" t="s">
        <v>38</v>
      </c>
      <c r="AO7" s="184" t="s">
        <v>72</v>
      </c>
      <c r="AP7" s="184" t="s">
        <v>95</v>
      </c>
      <c r="AQ7" s="56" t="s">
        <v>74</v>
      </c>
      <c r="AR7" s="56" t="s">
        <v>75</v>
      </c>
      <c r="AS7" s="56" t="s">
        <v>57</v>
      </c>
    </row>
    <row r="8" customFormat="false" ht="12.95" hidden="false" customHeight="true" outlineLevel="0" collapsed="false">
      <c r="A8" s="201"/>
      <c r="B8" s="202"/>
      <c r="C8" s="203"/>
      <c r="D8" s="201"/>
      <c r="E8" s="203"/>
      <c r="F8" s="204"/>
      <c r="G8" s="201"/>
      <c r="H8" s="317"/>
      <c r="I8" s="201"/>
      <c r="J8" s="201"/>
      <c r="K8" s="201"/>
      <c r="L8" s="201"/>
      <c r="M8" s="206"/>
      <c r="N8" s="277" t="n">
        <v>1.03</v>
      </c>
      <c r="O8" s="277" t="n">
        <v>1.05</v>
      </c>
      <c r="P8" s="205" t="n">
        <v>1.02</v>
      </c>
      <c r="Q8" s="277" t="n">
        <v>1.02</v>
      </c>
      <c r="R8" s="277" t="n">
        <v>1.04</v>
      </c>
      <c r="S8" s="188" t="s">
        <v>55</v>
      </c>
      <c r="T8" s="198"/>
      <c r="U8" s="201"/>
      <c r="V8" s="201"/>
      <c r="W8" s="201"/>
      <c r="X8" s="203"/>
      <c r="Y8" s="203"/>
      <c r="Z8" s="186"/>
      <c r="AA8" s="201"/>
      <c r="AB8" s="206"/>
      <c r="AC8" s="207"/>
      <c r="AD8" s="201"/>
      <c r="AE8" s="203"/>
      <c r="AF8" s="186"/>
      <c r="AG8" s="201"/>
      <c r="AH8" s="201"/>
      <c r="AI8" s="201"/>
      <c r="AJ8" s="208"/>
      <c r="AK8" s="155"/>
      <c r="AL8" s="209"/>
      <c r="AM8" s="155"/>
      <c r="AN8" s="155"/>
      <c r="AO8" s="158"/>
      <c r="AP8" s="184" t="s">
        <v>76</v>
      </c>
    </row>
    <row r="9" customFormat="false" ht="12.95" hidden="false" customHeight="true" outlineLevel="0" collapsed="false">
      <c r="A9" s="160" t="s">
        <v>77</v>
      </c>
      <c r="B9" s="213"/>
      <c r="C9" s="95"/>
      <c r="D9" s="95"/>
      <c r="E9" s="95"/>
      <c r="F9" s="214"/>
      <c r="G9" s="95"/>
      <c r="H9" s="318"/>
      <c r="I9" s="95"/>
      <c r="J9" s="95"/>
      <c r="K9" s="95"/>
      <c r="L9" s="95"/>
      <c r="M9" s="216"/>
      <c r="N9" s="95"/>
      <c r="O9" s="95"/>
      <c r="P9" s="215"/>
      <c r="Q9" s="95"/>
      <c r="R9" s="95"/>
      <c r="S9" s="215"/>
      <c r="T9" s="217"/>
      <c r="U9" s="95"/>
      <c r="V9" s="95"/>
      <c r="W9" s="95"/>
      <c r="X9" s="95"/>
      <c r="Y9" s="95"/>
      <c r="Z9" s="95"/>
      <c r="AA9" s="95"/>
      <c r="AB9" s="216"/>
      <c r="AC9" s="219"/>
      <c r="AD9" s="95"/>
      <c r="AE9" s="95"/>
      <c r="AF9" s="220"/>
      <c r="AG9" s="95"/>
      <c r="AH9" s="95"/>
      <c r="AI9" s="95"/>
      <c r="AJ9" s="221"/>
      <c r="AK9" s="133"/>
      <c r="AL9" s="222"/>
      <c r="AM9" s="133"/>
      <c r="AN9" s="133"/>
      <c r="AO9" s="122"/>
      <c r="AP9" s="223"/>
      <c r="AQ9" s="319"/>
    </row>
    <row r="10" s="228" customFormat="true" ht="12.95" hidden="false" customHeight="true" outlineLevel="0" collapsed="false">
      <c r="A10" s="96" t="s">
        <v>78</v>
      </c>
      <c r="B10" s="94" t="n">
        <f aca="false">JAN!B42</f>
        <v>6900.67</v>
      </c>
      <c r="C10" s="95" t="n">
        <f aca="false">JAN!C42</f>
        <v>286060</v>
      </c>
      <c r="D10" s="95" t="n">
        <f aca="false">JAN!D51</f>
        <v>-1819</v>
      </c>
      <c r="E10" s="95" t="n">
        <f aca="false">JAN!E51</f>
        <v>134060</v>
      </c>
      <c r="F10" s="214" t="n">
        <f aca="false">JAN!F50</f>
        <v>-917.065792790522</v>
      </c>
      <c r="G10" s="95" t="n">
        <f aca="false">JAN!G50</f>
        <v>6883</v>
      </c>
      <c r="H10" s="320" t="n">
        <f aca="false">JAN!H50</f>
        <v>167.58</v>
      </c>
      <c r="I10" s="95" t="n">
        <f aca="false">JAN!I50</f>
        <v>7050.58</v>
      </c>
      <c r="J10" s="95" t="n">
        <f aca="false">JAN!J50</f>
        <v>1726.15457272498</v>
      </c>
      <c r="K10" s="95" t="n">
        <f aca="false">JAN!K50</f>
        <v>8776.73457272498</v>
      </c>
      <c r="L10" s="95" t="n">
        <f aca="false">JAN!L50</f>
        <v>527.914207209478</v>
      </c>
      <c r="M10" s="216" t="n">
        <f aca="false">JAN!M50</f>
        <v>533.8</v>
      </c>
      <c r="N10" s="95" t="n">
        <f aca="false">JAN!N50</f>
        <v>0</v>
      </c>
      <c r="O10" s="95" t="n">
        <f aca="false">JAN!O50</f>
        <v>0</v>
      </c>
      <c r="P10" s="215"/>
      <c r="Q10" s="95" t="n">
        <f aca="false">JAN!Q50</f>
        <v>139.1178</v>
      </c>
      <c r="R10" s="95" t="n">
        <f aca="false">JAN!R50</f>
        <v>253.863</v>
      </c>
      <c r="S10" s="215" t="n">
        <f aca="false">JAN!S50</f>
        <v>2.34</v>
      </c>
      <c r="T10" s="217" t="n">
        <f aca="false">JAN!T50</f>
        <v>-46.7236</v>
      </c>
      <c r="U10" s="95" t="n">
        <f aca="false">JAN!U50</f>
        <v>5023.96</v>
      </c>
      <c r="V10" s="95" t="n">
        <f aca="false">JAN!V50</f>
        <v>84.8</v>
      </c>
      <c r="W10" s="95" t="n">
        <f aca="false">JAN!W50</f>
        <v>4864.3</v>
      </c>
      <c r="X10" s="95"/>
      <c r="Y10" s="95"/>
      <c r="Z10" s="95"/>
      <c r="AA10" s="95"/>
      <c r="AB10" s="216"/>
      <c r="AC10" s="219"/>
      <c r="AD10" s="95" t="n">
        <f aca="false">JAN!AD50</f>
        <v>2853</v>
      </c>
      <c r="AE10" s="95" t="n">
        <f aca="false">JAN!AE50</f>
        <v>2086</v>
      </c>
      <c r="AF10" s="95" t="n">
        <f aca="false">JAN!AF50</f>
        <v>0</v>
      </c>
      <c r="AG10" s="95" t="n">
        <f aca="false">JAN!AG50</f>
        <v>8495.56</v>
      </c>
      <c r="AH10" s="95" t="n">
        <f aca="false">JAN!AH50</f>
        <v>1198.2403655155</v>
      </c>
      <c r="AI10" s="95" t="n">
        <f aca="false">JAN!AI50</f>
        <v>9693.8003655155</v>
      </c>
      <c r="AJ10" s="221" t="n">
        <f aca="false">JAN!AJ50</f>
        <v>7.41</v>
      </c>
      <c r="AK10" s="133"/>
      <c r="AL10" s="222"/>
      <c r="AM10" s="133" t="n">
        <f aca="false">JAN!AM51</f>
        <v>9648.33905</v>
      </c>
      <c r="AN10" s="133" t="n">
        <f aca="false">JAN!AN51</f>
        <v>0</v>
      </c>
      <c r="AO10" s="95"/>
      <c r="AP10" s="122"/>
      <c r="AQ10" s="95"/>
      <c r="AR10" s="96"/>
      <c r="AS10" s="96"/>
    </row>
    <row r="11" customFormat="false" ht="3" hidden="false" customHeight="true" outlineLevel="0" collapsed="false">
      <c r="A11" s="229"/>
      <c r="B11" s="230"/>
      <c r="C11" s="231"/>
      <c r="D11" s="232"/>
      <c r="E11" s="231"/>
      <c r="F11" s="233"/>
      <c r="G11" s="232"/>
      <c r="H11" s="321"/>
      <c r="I11" s="232"/>
      <c r="J11" s="232"/>
      <c r="K11" s="232"/>
      <c r="L11" s="232"/>
      <c r="M11" s="235"/>
      <c r="N11" s="232"/>
      <c r="O11" s="232"/>
      <c r="P11" s="234"/>
      <c r="Q11" s="232"/>
      <c r="R11" s="232"/>
      <c r="S11" s="234"/>
      <c r="T11" s="236"/>
      <c r="U11" s="232"/>
      <c r="V11" s="232"/>
      <c r="W11" s="232"/>
      <c r="X11" s="231"/>
      <c r="Y11" s="231"/>
      <c r="Z11" s="231"/>
      <c r="AA11" s="232"/>
      <c r="AB11" s="235"/>
      <c r="AC11" s="238"/>
      <c r="AD11" s="232"/>
      <c r="AE11" s="231"/>
      <c r="AF11" s="322"/>
      <c r="AG11" s="232"/>
      <c r="AH11" s="232"/>
      <c r="AI11" s="232"/>
      <c r="AJ11" s="239"/>
      <c r="AK11" s="240"/>
      <c r="AL11" s="241"/>
      <c r="AM11" s="240"/>
      <c r="AN11" s="240"/>
      <c r="AO11" s="240"/>
      <c r="AP11" s="240"/>
      <c r="AQ11" s="240"/>
      <c r="AR11" s="323"/>
      <c r="AS11" s="323"/>
    </row>
    <row r="12" customFormat="false" ht="12.95" hidden="false" customHeight="true" outlineLevel="0" collapsed="false">
      <c r="A12" s="155" t="n">
        <v>1</v>
      </c>
      <c r="B12" s="94" t="n">
        <v>6900.65</v>
      </c>
      <c r="C12" s="95" t="n">
        <v>285986</v>
      </c>
      <c r="D12" s="133" t="n">
        <f aca="false">C12-C10</f>
        <v>-74</v>
      </c>
      <c r="E12" s="95" t="n">
        <f aca="false">C12-152000</f>
        <v>133986</v>
      </c>
      <c r="F12" s="243" t="n">
        <f aca="false">D12/$D$2</f>
        <v>-37.3077892614066</v>
      </c>
      <c r="G12" s="122" t="n">
        <v>69</v>
      </c>
      <c r="H12" s="318" t="n">
        <v>0.84</v>
      </c>
      <c r="I12" s="122" t="n">
        <f aca="false">G12+H12</f>
        <v>69.84</v>
      </c>
      <c r="J12" s="218" t="n">
        <f aca="false">IF(L12&gt;0,L12,0)</f>
        <v>0</v>
      </c>
      <c r="K12" s="122" t="n">
        <f aca="false">I12+J12</f>
        <v>69.84</v>
      </c>
      <c r="L12" s="122" t="n">
        <f aca="false">F12-(I12-AG12)</f>
        <v>-1.54778926140661</v>
      </c>
      <c r="M12" s="244" t="n">
        <v>4.6</v>
      </c>
      <c r="N12" s="122" t="n">
        <v>0</v>
      </c>
      <c r="O12" s="122" t="n">
        <v>0</v>
      </c>
      <c r="P12" s="215" t="n">
        <v>0</v>
      </c>
      <c r="Q12" s="215" t="n">
        <f aca="false">1.42*1.02</f>
        <v>1.4484</v>
      </c>
      <c r="R12" s="215" t="n">
        <v>3.8</v>
      </c>
      <c r="S12" s="324" t="n">
        <v>0</v>
      </c>
      <c r="T12" s="84" t="n">
        <f aca="false">M12-(Q12+R12+S12)</f>
        <v>-0.648400000000001</v>
      </c>
      <c r="U12" s="122" t="n">
        <v>70</v>
      </c>
      <c r="V12" s="122" t="n">
        <v>0</v>
      </c>
      <c r="W12" s="122" t="n">
        <f aca="false">M12-N12-O12-P12-Q12-R12-S12-T12+U12+V12</f>
        <v>70</v>
      </c>
      <c r="X12" s="95"/>
      <c r="Y12" s="95"/>
      <c r="Z12" s="95"/>
      <c r="AA12" s="122" t="n">
        <v>0</v>
      </c>
      <c r="AB12" s="244"/>
      <c r="AC12" s="245"/>
      <c r="AD12" s="122" t="n">
        <v>31</v>
      </c>
      <c r="AE12" s="95" t="n">
        <f aca="false">AE10-AD12</f>
        <v>2055</v>
      </c>
      <c r="AF12" s="220"/>
      <c r="AG12" s="121" t="n">
        <f aca="false">N12+O12+P12+Q12+R12+S12+T12+W12+AA12+AD12</f>
        <v>105.6</v>
      </c>
      <c r="AH12" s="122" t="n">
        <f aca="false">IF(L12&lt;0,L12*-1,0)</f>
        <v>1.54778926140661</v>
      </c>
      <c r="AI12" s="122" t="n">
        <f aca="false">AG12+AH12</f>
        <v>107.147789261407</v>
      </c>
      <c r="AJ12" s="221" t="n">
        <v>0</v>
      </c>
      <c r="AK12" s="133" t="n">
        <v>30</v>
      </c>
      <c r="AL12" s="222" t="n">
        <v>0</v>
      </c>
      <c r="AM12" s="133" t="n">
        <f aca="false">AM10+(W12*1.9835)</f>
        <v>9787.18405</v>
      </c>
      <c r="AN12" s="133"/>
      <c r="AO12" s="223"/>
      <c r="AP12" s="95"/>
      <c r="AQ12" s="319"/>
    </row>
    <row r="13" customFormat="false" ht="12.95" hidden="false" customHeight="true" outlineLevel="0" collapsed="false">
      <c r="A13" s="155" t="n">
        <f aca="false">A12+1</f>
        <v>2</v>
      </c>
      <c r="B13" s="94" t="n">
        <v>6900.63</v>
      </c>
      <c r="C13" s="95" t="n">
        <v>285912</v>
      </c>
      <c r="D13" s="133" t="n">
        <f aca="false">C13-C12</f>
        <v>-74</v>
      </c>
      <c r="E13" s="95" t="n">
        <f aca="false">C13-152000</f>
        <v>133912</v>
      </c>
      <c r="F13" s="243" t="n">
        <f aca="false">D13/$D$2</f>
        <v>-37.3077892614066</v>
      </c>
      <c r="G13" s="122" t="n">
        <v>69</v>
      </c>
      <c r="H13" s="318" t="n">
        <v>0.84</v>
      </c>
      <c r="I13" s="122" t="n">
        <f aca="false">G13+H13</f>
        <v>69.84</v>
      </c>
      <c r="J13" s="218" t="n">
        <f aca="false">IF(L13&gt;0,L13,0)</f>
        <v>0</v>
      </c>
      <c r="K13" s="122" t="n">
        <f aca="false">I13+J13</f>
        <v>69.84</v>
      </c>
      <c r="L13" s="122" t="n">
        <f aca="false">F13-(I13-AG13)</f>
        <v>-1.54778926140661</v>
      </c>
      <c r="M13" s="244" t="n">
        <v>4.6</v>
      </c>
      <c r="N13" s="122" t="n">
        <v>0</v>
      </c>
      <c r="O13" s="122" t="n">
        <v>0</v>
      </c>
      <c r="P13" s="215" t="n">
        <v>0</v>
      </c>
      <c r="Q13" s="215" t="n">
        <f aca="false">1.42*1.02</f>
        <v>1.4484</v>
      </c>
      <c r="R13" s="215" t="n">
        <v>3.53</v>
      </c>
      <c r="S13" s="324" t="n">
        <v>0</v>
      </c>
      <c r="T13" s="84" t="n">
        <f aca="false">M13-(Q13+R13+S13)</f>
        <v>-0.3784</v>
      </c>
      <c r="U13" s="122" t="n">
        <v>70</v>
      </c>
      <c r="V13" s="122" t="n">
        <v>0</v>
      </c>
      <c r="W13" s="122" t="n">
        <f aca="false">M13-N13-O13-P13-Q13-R13-S13-T13+U13+V13</f>
        <v>70</v>
      </c>
      <c r="X13" s="95"/>
      <c r="Y13" s="95"/>
      <c r="Z13" s="95"/>
      <c r="AA13" s="122" t="n">
        <v>0</v>
      </c>
      <c r="AB13" s="244"/>
      <c r="AC13" s="245"/>
      <c r="AD13" s="122" t="n">
        <v>31</v>
      </c>
      <c r="AE13" s="95" t="n">
        <f aca="false">AE12-AD13</f>
        <v>2024</v>
      </c>
      <c r="AF13" s="220"/>
      <c r="AG13" s="121" t="n">
        <f aca="false">N13+O13+P13+Q13+R13+S13+T13+W13+AA13+AD13</f>
        <v>105.6</v>
      </c>
      <c r="AH13" s="122" t="n">
        <f aca="false">IF(L13&lt;0,L13*-1,0)</f>
        <v>1.54778926140661</v>
      </c>
      <c r="AI13" s="122" t="n">
        <f aca="false">AG13+AH13</f>
        <v>107.147789261407</v>
      </c>
      <c r="AJ13" s="221" t="n">
        <v>0.16</v>
      </c>
      <c r="AK13" s="133" t="n">
        <v>32</v>
      </c>
      <c r="AL13" s="222" t="n">
        <v>11</v>
      </c>
      <c r="AM13" s="133" t="n">
        <f aca="false">AM12+(W13*1.9835)</f>
        <v>9926.02905</v>
      </c>
      <c r="AN13" s="133"/>
      <c r="AO13" s="223"/>
      <c r="AP13" s="95"/>
      <c r="AQ13" s="319"/>
    </row>
    <row r="14" customFormat="false" ht="12.95" hidden="false" customHeight="true" outlineLevel="0" collapsed="false">
      <c r="A14" s="155" t="n">
        <f aca="false">A13+1</f>
        <v>3</v>
      </c>
      <c r="B14" s="94" t="n">
        <v>6900.71</v>
      </c>
      <c r="C14" s="95" t="n">
        <v>286208</v>
      </c>
      <c r="D14" s="133" t="n">
        <f aca="false">C14-C13</f>
        <v>296</v>
      </c>
      <c r="E14" s="95" t="n">
        <f aca="false">C14-152000</f>
        <v>134208</v>
      </c>
      <c r="F14" s="243" t="n">
        <f aca="false">D14/$D$2</f>
        <v>149.231157045626</v>
      </c>
      <c r="G14" s="122" t="n">
        <v>69</v>
      </c>
      <c r="H14" s="318" t="n">
        <v>0.84</v>
      </c>
      <c r="I14" s="122" t="n">
        <f aca="false">G14+H14</f>
        <v>69.84</v>
      </c>
      <c r="J14" s="218" t="n">
        <f aca="false">IF(L14&gt;0,L14,0)</f>
        <v>184.991157045626</v>
      </c>
      <c r="K14" s="122" t="n">
        <f aca="false">I14+J14</f>
        <v>254.831157045626</v>
      </c>
      <c r="L14" s="122" t="n">
        <f aca="false">F14-(I14-AG14)</f>
        <v>184.991157045626</v>
      </c>
      <c r="M14" s="244" t="n">
        <v>4.6</v>
      </c>
      <c r="N14" s="122" t="n">
        <v>0</v>
      </c>
      <c r="O14" s="122" t="n">
        <v>0</v>
      </c>
      <c r="P14" s="215" t="n">
        <v>0</v>
      </c>
      <c r="Q14" s="215" t="n">
        <f aca="false">1.42*1.02</f>
        <v>1.4484</v>
      </c>
      <c r="R14" s="215" t="n">
        <v>4.09</v>
      </c>
      <c r="S14" s="324" t="n">
        <v>0</v>
      </c>
      <c r="T14" s="84" t="n">
        <f aca="false">M14-(Q14+R14+S14)</f>
        <v>-0.9384</v>
      </c>
      <c r="U14" s="122" t="n">
        <v>70</v>
      </c>
      <c r="V14" s="122" t="n">
        <v>0</v>
      </c>
      <c r="W14" s="122" t="n">
        <f aca="false">M14-N14-O14-P14-Q14-R14-S14-T14+U14+V14</f>
        <v>70</v>
      </c>
      <c r="X14" s="95"/>
      <c r="Y14" s="95"/>
      <c r="Z14" s="95"/>
      <c r="AA14" s="122" t="n">
        <v>0</v>
      </c>
      <c r="AB14" s="244"/>
      <c r="AC14" s="245"/>
      <c r="AD14" s="122" t="n">
        <v>31</v>
      </c>
      <c r="AE14" s="95" t="n">
        <f aca="false">AE13-AD14</f>
        <v>1993</v>
      </c>
      <c r="AF14" s="220"/>
      <c r="AG14" s="121" t="n">
        <f aca="false">N14+O14+P14+Q14+R14+S14+T14+W14+AA14+AD14</f>
        <v>105.6</v>
      </c>
      <c r="AH14" s="122" t="n">
        <f aca="false">IF(L14&lt;0,L14*-1,0)</f>
        <v>0</v>
      </c>
      <c r="AI14" s="122" t="n">
        <f aca="false">AG14+AH14</f>
        <v>105.6</v>
      </c>
      <c r="AJ14" s="221" t="n">
        <v>0.5</v>
      </c>
      <c r="AK14" s="133" t="n">
        <v>31</v>
      </c>
      <c r="AL14" s="222" t="n">
        <v>13</v>
      </c>
      <c r="AM14" s="133" t="n">
        <f aca="false">AM13+(W14*1.9835)</f>
        <v>10064.87405</v>
      </c>
      <c r="AN14" s="133"/>
      <c r="AO14" s="223"/>
      <c r="AP14" s="95"/>
      <c r="AQ14" s="319"/>
    </row>
    <row r="15" customFormat="false" ht="12.95" hidden="false" customHeight="true" outlineLevel="0" collapsed="false">
      <c r="A15" s="155" t="n">
        <f aca="false">A14+1</f>
        <v>4</v>
      </c>
      <c r="B15" s="94" t="n">
        <v>6900.69</v>
      </c>
      <c r="C15" s="95" t="n">
        <v>286134</v>
      </c>
      <c r="D15" s="133" t="n">
        <f aca="false">C15-C14</f>
        <v>-74</v>
      </c>
      <c r="E15" s="95" t="n">
        <f aca="false">C15-152000</f>
        <v>134134</v>
      </c>
      <c r="F15" s="243" t="n">
        <f aca="false">D15/$D$2</f>
        <v>-37.3077892614066</v>
      </c>
      <c r="G15" s="122" t="n">
        <v>69</v>
      </c>
      <c r="H15" s="318" t="n">
        <v>0.84</v>
      </c>
      <c r="I15" s="122" t="n">
        <f aca="false">G15+H15</f>
        <v>69.84</v>
      </c>
      <c r="J15" s="218" t="n">
        <f aca="false">IF(L15&gt;0,L15,0)</f>
        <v>0</v>
      </c>
      <c r="K15" s="122" t="n">
        <f aca="false">I15+J15</f>
        <v>69.84</v>
      </c>
      <c r="L15" s="122" t="n">
        <f aca="false">F15-(I15-AG15)</f>
        <v>-1.54778926140661</v>
      </c>
      <c r="M15" s="244" t="n">
        <v>4.6</v>
      </c>
      <c r="N15" s="122" t="n">
        <v>0</v>
      </c>
      <c r="O15" s="122" t="n">
        <v>0</v>
      </c>
      <c r="P15" s="215" t="n">
        <v>0</v>
      </c>
      <c r="Q15" s="215" t="n">
        <f aca="false">1.42*1.02</f>
        <v>1.4484</v>
      </c>
      <c r="R15" s="215" t="n">
        <v>3.22</v>
      </c>
      <c r="S15" s="324" t="n">
        <v>0</v>
      </c>
      <c r="T15" s="84" t="n">
        <f aca="false">M15-(Q15+R15+S15)</f>
        <v>-0.0684000000000005</v>
      </c>
      <c r="U15" s="122" t="n">
        <v>70</v>
      </c>
      <c r="V15" s="122" t="n">
        <v>0</v>
      </c>
      <c r="W15" s="122" t="n">
        <f aca="false">M15-N15-O15-P15-Q15-R15-S15-T15+U15+V15</f>
        <v>70</v>
      </c>
      <c r="X15" s="95"/>
      <c r="Y15" s="95"/>
      <c r="Z15" s="95"/>
      <c r="AA15" s="122" t="n">
        <v>0</v>
      </c>
      <c r="AB15" s="244"/>
      <c r="AC15" s="245"/>
      <c r="AD15" s="122" t="n">
        <v>31</v>
      </c>
      <c r="AE15" s="95" t="n">
        <f aca="false">AE14-AD15</f>
        <v>1962</v>
      </c>
      <c r="AF15" s="220"/>
      <c r="AG15" s="121" t="n">
        <f aca="false">N15+O15+P15+Q15+R15+S15+T15+W15+AA15+AD15</f>
        <v>105.6</v>
      </c>
      <c r="AH15" s="122" t="n">
        <f aca="false">IF(L15&lt;0,L15*-1,0)</f>
        <v>1.54778926140661</v>
      </c>
      <c r="AI15" s="122" t="n">
        <f aca="false">AG15+AH15</f>
        <v>107.147789261407</v>
      </c>
      <c r="AJ15" s="221" t="n">
        <v>0.09</v>
      </c>
      <c r="AK15" s="133" t="n">
        <v>30</v>
      </c>
      <c r="AL15" s="222" t="n">
        <v>21</v>
      </c>
      <c r="AM15" s="133" t="n">
        <f aca="false">AM14+(W15*1.9835)</f>
        <v>10203.71905</v>
      </c>
      <c r="AN15" s="133"/>
      <c r="AO15" s="223"/>
      <c r="AP15" s="95"/>
      <c r="AQ15" s="319"/>
    </row>
    <row r="16" customFormat="false" ht="12.95" hidden="false" customHeight="true" outlineLevel="0" collapsed="false">
      <c r="A16" s="155" t="n">
        <f aca="false">A15+1</f>
        <v>5</v>
      </c>
      <c r="B16" s="94" t="n">
        <v>6900.66</v>
      </c>
      <c r="C16" s="95" t="n">
        <v>286023</v>
      </c>
      <c r="D16" s="133" t="n">
        <f aca="false">C16-C15</f>
        <v>-111</v>
      </c>
      <c r="E16" s="95" t="n">
        <f aca="false">C16-152000</f>
        <v>134023</v>
      </c>
      <c r="F16" s="243" t="n">
        <f aca="false">D16/$D$2</f>
        <v>-55.9616838921099</v>
      </c>
      <c r="G16" s="122" t="n">
        <v>68</v>
      </c>
      <c r="H16" s="318" t="n">
        <v>1.1</v>
      </c>
      <c r="I16" s="122" t="n">
        <f aca="false">G16+H16</f>
        <v>69.1</v>
      </c>
      <c r="J16" s="218" t="n">
        <f aca="false">IF(L16&gt;0,L16,0)</f>
        <v>0</v>
      </c>
      <c r="K16" s="122" t="n">
        <f aca="false">I16+J16</f>
        <v>69.1</v>
      </c>
      <c r="L16" s="122" t="n">
        <f aca="false">F16-(I16-AG16)</f>
        <v>-19.4616838921099</v>
      </c>
      <c r="M16" s="244" t="n">
        <v>4.6</v>
      </c>
      <c r="N16" s="122" t="n">
        <v>0</v>
      </c>
      <c r="O16" s="122" t="n">
        <v>0</v>
      </c>
      <c r="P16" s="215" t="n">
        <v>0</v>
      </c>
      <c r="Q16" s="215" t="n">
        <f aca="false">1.42*1.02</f>
        <v>1.4484</v>
      </c>
      <c r="R16" s="215" t="n">
        <v>3.4</v>
      </c>
      <c r="S16" s="324" t="n">
        <v>0</v>
      </c>
      <c r="T16" s="84" t="n">
        <f aca="false">M16-(Q16+R16+S16)</f>
        <v>-0.2484</v>
      </c>
      <c r="U16" s="122" t="n">
        <v>70</v>
      </c>
      <c r="V16" s="122" t="n">
        <v>0</v>
      </c>
      <c r="W16" s="122" t="n">
        <f aca="false">M16-N16-O16-P16-Q16-R16-S16-T16+U16+V16</f>
        <v>70</v>
      </c>
      <c r="X16" s="95"/>
      <c r="Y16" s="95"/>
      <c r="Z16" s="95"/>
      <c r="AA16" s="122" t="n">
        <v>0</v>
      </c>
      <c r="AB16" s="244"/>
      <c r="AC16" s="245"/>
      <c r="AD16" s="122" t="n">
        <v>31</v>
      </c>
      <c r="AE16" s="95" t="n">
        <f aca="false">AE15-AD16</f>
        <v>1931</v>
      </c>
      <c r="AF16" s="220"/>
      <c r="AG16" s="121" t="n">
        <f aca="false">N16+O16+P16+Q16+R16+S16+T16+W16+AA16+AD16</f>
        <v>105.6</v>
      </c>
      <c r="AH16" s="122" t="n">
        <f aca="false">IF(L16&lt;0,L16*-1,0)</f>
        <v>19.4616838921099</v>
      </c>
      <c r="AI16" s="122" t="n">
        <f aca="false">AG16+AH16</f>
        <v>125.06168389211</v>
      </c>
      <c r="AJ16" s="221" t="n">
        <v>0</v>
      </c>
      <c r="AK16" s="133" t="n">
        <v>25</v>
      </c>
      <c r="AL16" s="222" t="n">
        <v>0</v>
      </c>
      <c r="AM16" s="133" t="n">
        <f aca="false">AM15+(W16*1.9835)</f>
        <v>10342.56405</v>
      </c>
      <c r="AN16" s="133"/>
      <c r="AO16" s="223"/>
      <c r="AP16" s="95"/>
      <c r="AQ16" s="319"/>
    </row>
    <row r="17" customFormat="false" ht="12.95" hidden="false" customHeight="true" outlineLevel="0" collapsed="false">
      <c r="A17" s="155" t="n">
        <f aca="false">A16+1</f>
        <v>6</v>
      </c>
      <c r="B17" s="94" t="n">
        <v>6900.63</v>
      </c>
      <c r="C17" s="95" t="n">
        <v>285912</v>
      </c>
      <c r="D17" s="133" t="n">
        <f aca="false">C17-C16</f>
        <v>-111</v>
      </c>
      <c r="E17" s="95" t="n">
        <f aca="false">C17-152000</f>
        <v>133912</v>
      </c>
      <c r="F17" s="243" t="n">
        <f aca="false">D17/$D$2</f>
        <v>-55.9616838921099</v>
      </c>
      <c r="G17" s="122" t="n">
        <v>68</v>
      </c>
      <c r="H17" s="318" t="n">
        <v>1.1</v>
      </c>
      <c r="I17" s="122" t="n">
        <f aca="false">G17+H17</f>
        <v>69.1</v>
      </c>
      <c r="J17" s="218" t="n">
        <f aca="false">IF(L17&gt;0,L17,0)</f>
        <v>0</v>
      </c>
      <c r="K17" s="122" t="n">
        <f aca="false">I17+J17</f>
        <v>69.1</v>
      </c>
      <c r="L17" s="122" t="n">
        <f aca="false">F17-(I17-AG17)</f>
        <v>-19.4616838921099</v>
      </c>
      <c r="M17" s="244" t="n">
        <v>4.6</v>
      </c>
      <c r="N17" s="122" t="n">
        <v>0</v>
      </c>
      <c r="O17" s="122" t="n">
        <v>0</v>
      </c>
      <c r="P17" s="215" t="n">
        <v>0</v>
      </c>
      <c r="Q17" s="215" t="n">
        <f aca="false">1.42*1.02</f>
        <v>1.4484</v>
      </c>
      <c r="R17" s="215" t="n">
        <v>3.32</v>
      </c>
      <c r="S17" s="324" t="n">
        <v>0</v>
      </c>
      <c r="T17" s="84" t="n">
        <f aca="false">M17-(Q17+R17+S17)</f>
        <v>-0.1684</v>
      </c>
      <c r="U17" s="122" t="n">
        <v>70</v>
      </c>
      <c r="V17" s="122" t="n">
        <v>0</v>
      </c>
      <c r="W17" s="122" t="n">
        <f aca="false">M17-N17-O17-P17-Q17-R17-S17-T17+U17+V17</f>
        <v>70</v>
      </c>
      <c r="X17" s="95"/>
      <c r="Y17" s="95"/>
      <c r="Z17" s="95"/>
      <c r="AA17" s="122" t="n">
        <v>0</v>
      </c>
      <c r="AB17" s="244"/>
      <c r="AC17" s="245"/>
      <c r="AD17" s="122" t="n">
        <v>31</v>
      </c>
      <c r="AE17" s="95" t="n">
        <f aca="false">AE16-AD17</f>
        <v>1900</v>
      </c>
      <c r="AF17" s="220"/>
      <c r="AG17" s="121" t="n">
        <f aca="false">N17+O17+P17+Q17+R17+S17+T17+W17+AA17+AD17</f>
        <v>105.6</v>
      </c>
      <c r="AH17" s="122" t="n">
        <f aca="false">IF(L17&lt;0,L17*-1,0)</f>
        <v>19.4616838921099</v>
      </c>
      <c r="AI17" s="122" t="n">
        <f aca="false">AG17+AH17</f>
        <v>125.06168389211</v>
      </c>
      <c r="AJ17" s="221" t="n">
        <v>0</v>
      </c>
      <c r="AK17" s="133" t="n">
        <v>26</v>
      </c>
      <c r="AL17" s="222" t="n">
        <v>-5</v>
      </c>
      <c r="AM17" s="133" t="n">
        <f aca="false">AM16+(W17*1.9835)</f>
        <v>10481.40905</v>
      </c>
      <c r="AN17" s="133"/>
      <c r="AO17" s="122"/>
      <c r="AP17" s="95"/>
      <c r="AQ17" s="319"/>
    </row>
    <row r="18" customFormat="false" ht="12.95" hidden="false" customHeight="true" outlineLevel="0" collapsed="false">
      <c r="A18" s="155" t="n">
        <f aca="false">A17+1</f>
        <v>7</v>
      </c>
      <c r="B18" s="94" t="n">
        <v>6900.6</v>
      </c>
      <c r="C18" s="95" t="n">
        <v>285801</v>
      </c>
      <c r="D18" s="133" t="n">
        <f aca="false">C18-C17</f>
        <v>-111</v>
      </c>
      <c r="E18" s="95" t="n">
        <f aca="false">C18-152000</f>
        <v>133801</v>
      </c>
      <c r="F18" s="243" t="n">
        <f aca="false">D18/$D$2</f>
        <v>-55.9616838921099</v>
      </c>
      <c r="G18" s="122" t="n">
        <v>68</v>
      </c>
      <c r="H18" s="318" t="n">
        <v>1.1</v>
      </c>
      <c r="I18" s="122" t="n">
        <f aca="false">G18+H18</f>
        <v>69.1</v>
      </c>
      <c r="J18" s="218" t="n">
        <f aca="false">IF(L18&gt;0,L18,0)</f>
        <v>0</v>
      </c>
      <c r="K18" s="122" t="n">
        <f aca="false">I18+J18</f>
        <v>69.1</v>
      </c>
      <c r="L18" s="122" t="n">
        <f aca="false">F18-(I18-AG18)</f>
        <v>-19.4616838921099</v>
      </c>
      <c r="M18" s="244" t="n">
        <v>4.6</v>
      </c>
      <c r="N18" s="122" t="n">
        <v>0</v>
      </c>
      <c r="O18" s="122" t="n">
        <v>0</v>
      </c>
      <c r="P18" s="215" t="n">
        <v>0</v>
      </c>
      <c r="Q18" s="215" t="n">
        <f aca="false">1.42*1.02</f>
        <v>1.4484</v>
      </c>
      <c r="R18" s="215" t="n">
        <v>3.38</v>
      </c>
      <c r="S18" s="324" t="n">
        <v>0</v>
      </c>
      <c r="T18" s="84" t="n">
        <f aca="false">M18-(Q18+R18+S18)</f>
        <v>-0.228400000000001</v>
      </c>
      <c r="U18" s="122" t="n">
        <v>70</v>
      </c>
      <c r="V18" s="122" t="n">
        <v>0</v>
      </c>
      <c r="W18" s="122" t="n">
        <f aca="false">M18-N18-O18-P18-Q18-R18-S18-T18+U18+V18</f>
        <v>70</v>
      </c>
      <c r="X18" s="95"/>
      <c r="Y18" s="95"/>
      <c r="Z18" s="95"/>
      <c r="AA18" s="122" t="n">
        <v>0</v>
      </c>
      <c r="AB18" s="244"/>
      <c r="AC18" s="245"/>
      <c r="AD18" s="122" t="n">
        <v>31</v>
      </c>
      <c r="AE18" s="95" t="n">
        <f aca="false">AE17-AD18</f>
        <v>1869</v>
      </c>
      <c r="AF18" s="220"/>
      <c r="AG18" s="121" t="n">
        <f aca="false">N18+O18+P18+Q18+R18+S18+T18+W18+AA18+AD18</f>
        <v>105.6</v>
      </c>
      <c r="AH18" s="122" t="n">
        <f aca="false">IF(L18&lt;0,L18*-1,0)</f>
        <v>19.4616838921099</v>
      </c>
      <c r="AI18" s="122" t="n">
        <f aca="false">AG18+AH18</f>
        <v>125.06168389211</v>
      </c>
      <c r="AJ18" s="221" t="n">
        <v>0</v>
      </c>
      <c r="AK18" s="133" t="n">
        <v>31</v>
      </c>
      <c r="AL18" s="222" t="n">
        <v>2</v>
      </c>
      <c r="AM18" s="133" t="n">
        <f aca="false">AM17+(W18*1.9835)</f>
        <v>10620.25405</v>
      </c>
      <c r="AN18" s="133"/>
      <c r="AO18" s="122"/>
      <c r="AP18" s="95"/>
      <c r="AQ18" s="319"/>
    </row>
    <row r="19" customFormat="false" ht="12.95" hidden="false" customHeight="true" outlineLevel="0" collapsed="false">
      <c r="A19" s="155" t="n">
        <f aca="false">A18+1</f>
        <v>8</v>
      </c>
      <c r="B19" s="94" t="n">
        <v>6900.57</v>
      </c>
      <c r="C19" s="95" t="n">
        <v>285690</v>
      </c>
      <c r="D19" s="133" t="n">
        <f aca="false">C19-C18</f>
        <v>-111</v>
      </c>
      <c r="E19" s="95" t="n">
        <f aca="false">C19-152000</f>
        <v>133690</v>
      </c>
      <c r="F19" s="243" t="n">
        <f aca="false">D19/$D$2</f>
        <v>-55.9616838921099</v>
      </c>
      <c r="G19" s="122" t="n">
        <v>68</v>
      </c>
      <c r="H19" s="318" t="n">
        <v>1.1</v>
      </c>
      <c r="I19" s="122" t="n">
        <f aca="false">G19+H19</f>
        <v>69.1</v>
      </c>
      <c r="J19" s="218" t="n">
        <f aca="false">IF(L19&gt;0,L19,0)</f>
        <v>0</v>
      </c>
      <c r="K19" s="122" t="n">
        <f aca="false">I19+J19</f>
        <v>69.1</v>
      </c>
      <c r="L19" s="122" t="n">
        <f aca="false">F19-(I19-AG19)</f>
        <v>-19.4616838921099</v>
      </c>
      <c r="M19" s="244" t="n">
        <v>4.6</v>
      </c>
      <c r="N19" s="122" t="n">
        <v>0</v>
      </c>
      <c r="O19" s="122" t="n">
        <v>0</v>
      </c>
      <c r="P19" s="215" t="n">
        <v>0</v>
      </c>
      <c r="Q19" s="215" t="n">
        <f aca="false">1.42*1.02</f>
        <v>1.4484</v>
      </c>
      <c r="R19" s="215" t="n">
        <v>3.35</v>
      </c>
      <c r="S19" s="324" t="n">
        <v>0</v>
      </c>
      <c r="T19" s="84" t="n">
        <f aca="false">M19-(Q19+R19+S19)</f>
        <v>-0.1984</v>
      </c>
      <c r="U19" s="122" t="n">
        <v>70</v>
      </c>
      <c r="V19" s="122" t="n">
        <v>0</v>
      </c>
      <c r="W19" s="122" t="n">
        <f aca="false">M19-N19-O19-P19-Q19-R19-S19-T19+U19+V19</f>
        <v>70</v>
      </c>
      <c r="X19" s="95"/>
      <c r="Y19" s="95"/>
      <c r="Z19" s="95"/>
      <c r="AA19" s="122" t="n">
        <v>0</v>
      </c>
      <c r="AB19" s="244"/>
      <c r="AC19" s="245"/>
      <c r="AD19" s="122" t="n">
        <v>31</v>
      </c>
      <c r="AE19" s="95" t="n">
        <f aca="false">AE18-AD19</f>
        <v>1838</v>
      </c>
      <c r="AF19" s="220"/>
      <c r="AG19" s="121" t="n">
        <f aca="false">N19+O19+P19+Q19+R19+S19+T19+W19+AA19+AD19</f>
        <v>105.6</v>
      </c>
      <c r="AH19" s="122" t="n">
        <f aca="false">IF(L19&lt;0,L19*-1,0)</f>
        <v>19.4616838921099</v>
      </c>
      <c r="AI19" s="122" t="n">
        <f aca="false">AG19+AH19</f>
        <v>125.06168389211</v>
      </c>
      <c r="AJ19" s="221" t="n">
        <v>0</v>
      </c>
      <c r="AK19" s="133" t="n">
        <v>36</v>
      </c>
      <c r="AL19" s="222" t="n">
        <v>9</v>
      </c>
      <c r="AM19" s="133" t="n">
        <f aca="false">AM18+(W19*1.9835)</f>
        <v>10759.09905</v>
      </c>
      <c r="AN19" s="133"/>
      <c r="AO19" s="122"/>
      <c r="AP19" s="95"/>
      <c r="AQ19" s="319"/>
    </row>
    <row r="20" customFormat="false" ht="12.95" hidden="false" customHeight="true" outlineLevel="0" collapsed="false">
      <c r="A20" s="155" t="n">
        <f aca="false">A19+1</f>
        <v>9</v>
      </c>
      <c r="B20" s="94" t="n">
        <v>6900.54</v>
      </c>
      <c r="C20" s="95" t="n">
        <v>285579</v>
      </c>
      <c r="D20" s="133" t="n">
        <f aca="false">C20-C19</f>
        <v>-111</v>
      </c>
      <c r="E20" s="95" t="n">
        <f aca="false">C20-152000</f>
        <v>133579</v>
      </c>
      <c r="F20" s="243" t="n">
        <f aca="false">D20/$D$2</f>
        <v>-55.9616838921099</v>
      </c>
      <c r="G20" s="122" t="n">
        <v>68</v>
      </c>
      <c r="H20" s="318" t="n">
        <v>1.1</v>
      </c>
      <c r="I20" s="122" t="n">
        <f aca="false">G20+H20</f>
        <v>69.1</v>
      </c>
      <c r="J20" s="218" t="n">
        <f aca="false">IF(L20&gt;0,L20,0)</f>
        <v>0</v>
      </c>
      <c r="K20" s="122" t="n">
        <f aca="false">I20+J20</f>
        <v>69.1</v>
      </c>
      <c r="L20" s="122" t="n">
        <f aca="false">F20-(I20-AG20)</f>
        <v>-19.4616838921099</v>
      </c>
      <c r="M20" s="244" t="n">
        <v>4.6</v>
      </c>
      <c r="N20" s="122" t="n">
        <v>0</v>
      </c>
      <c r="O20" s="122" t="n">
        <v>0</v>
      </c>
      <c r="P20" s="215" t="n">
        <v>0</v>
      </c>
      <c r="Q20" s="215" t="n">
        <f aca="false">1.42*1.02</f>
        <v>1.4484</v>
      </c>
      <c r="R20" s="215" t="n">
        <v>3.13</v>
      </c>
      <c r="S20" s="324" t="n">
        <v>0</v>
      </c>
      <c r="T20" s="84" t="n">
        <f aca="false">M20-(Q20+R20+S20)</f>
        <v>0.0215999999999994</v>
      </c>
      <c r="U20" s="122" t="n">
        <v>70</v>
      </c>
      <c r="V20" s="122" t="n">
        <v>0</v>
      </c>
      <c r="W20" s="122" t="n">
        <f aca="false">M20-N20-O20-P20-Q20-R20-S20-T20+U20+V20</f>
        <v>70</v>
      </c>
      <c r="X20" s="95"/>
      <c r="Y20" s="95"/>
      <c r="Z20" s="95"/>
      <c r="AA20" s="122" t="n">
        <v>0</v>
      </c>
      <c r="AB20" s="244"/>
      <c r="AC20" s="245"/>
      <c r="AD20" s="122" t="n">
        <v>31</v>
      </c>
      <c r="AE20" s="95" t="n">
        <f aca="false">AE19-AD20</f>
        <v>1807</v>
      </c>
      <c r="AF20" s="220"/>
      <c r="AG20" s="121" t="n">
        <f aca="false">N20+O20+P20+Q20+R20+S20+T20+W20+AA20+AD20</f>
        <v>105.6</v>
      </c>
      <c r="AH20" s="122" t="n">
        <f aca="false">IF(L20&lt;0,L20*-1,0)</f>
        <v>19.4616838921099</v>
      </c>
      <c r="AI20" s="122" t="n">
        <f aca="false">AG20+AH20</f>
        <v>125.06168389211</v>
      </c>
      <c r="AJ20" s="221" t="n">
        <v>0</v>
      </c>
      <c r="AK20" s="223" t="n">
        <v>38</v>
      </c>
      <c r="AL20" s="222" t="n">
        <v>10</v>
      </c>
      <c r="AM20" s="133" t="n">
        <f aca="false">AM19+(W20*1.9835)</f>
        <v>10897.94405</v>
      </c>
      <c r="AN20" s="133"/>
      <c r="AO20" s="122"/>
      <c r="AP20" s="95"/>
      <c r="AQ20" s="319"/>
    </row>
    <row r="21" customFormat="false" ht="12.95" hidden="false" customHeight="true" outlineLevel="0" collapsed="false">
      <c r="A21" s="155" t="n">
        <f aca="false">A20+1</f>
        <v>10</v>
      </c>
      <c r="B21" s="94" t="n">
        <v>6900.51</v>
      </c>
      <c r="C21" s="95" t="n">
        <v>285468</v>
      </c>
      <c r="D21" s="133" t="n">
        <f aca="false">C21-C20</f>
        <v>-111</v>
      </c>
      <c r="E21" s="95" t="n">
        <f aca="false">C21-152000</f>
        <v>133468</v>
      </c>
      <c r="F21" s="243" t="n">
        <f aca="false">D21/$D$2</f>
        <v>-55.9616838921099</v>
      </c>
      <c r="G21" s="122" t="n">
        <v>68</v>
      </c>
      <c r="H21" s="318" t="n">
        <v>1.1</v>
      </c>
      <c r="I21" s="122" t="n">
        <f aca="false">G21+H21</f>
        <v>69.1</v>
      </c>
      <c r="J21" s="218" t="n">
        <f aca="false">IF(L21&gt;0,L21,0)</f>
        <v>0</v>
      </c>
      <c r="K21" s="122" t="n">
        <f aca="false">I21+J21</f>
        <v>69.1</v>
      </c>
      <c r="L21" s="122" t="n">
        <f aca="false">F21-(I21-AG21)</f>
        <v>-19.4616838921099</v>
      </c>
      <c r="M21" s="244" t="n">
        <v>4.6</v>
      </c>
      <c r="N21" s="122" t="n">
        <v>0</v>
      </c>
      <c r="O21" s="122" t="n">
        <v>0</v>
      </c>
      <c r="P21" s="215" t="n">
        <v>0</v>
      </c>
      <c r="Q21" s="215" t="n">
        <f aca="false">1.42*1.02</f>
        <v>1.4484</v>
      </c>
      <c r="R21" s="215" t="n">
        <v>3.21</v>
      </c>
      <c r="S21" s="324" t="n">
        <v>0</v>
      </c>
      <c r="T21" s="84" t="n">
        <f aca="false">M21-(Q21+R21+S21)</f>
        <v>-0.0584000000000007</v>
      </c>
      <c r="U21" s="122" t="n">
        <v>70</v>
      </c>
      <c r="V21" s="122" t="n">
        <v>0</v>
      </c>
      <c r="W21" s="122" t="n">
        <f aca="false">M21-N21-O21-P21-Q21-R21-S21-T21+U21+V21</f>
        <v>70</v>
      </c>
      <c r="X21" s="95"/>
      <c r="Y21" s="95"/>
      <c r="Z21" s="95"/>
      <c r="AA21" s="122" t="n">
        <v>0</v>
      </c>
      <c r="AB21" s="244"/>
      <c r="AC21" s="245"/>
      <c r="AD21" s="122" t="n">
        <v>31</v>
      </c>
      <c r="AE21" s="95" t="n">
        <f aca="false">AE20-AD21</f>
        <v>1776</v>
      </c>
      <c r="AF21" s="220"/>
      <c r="AG21" s="121" t="n">
        <f aca="false">N21+O21+P21+Q21+R21+S21+T21+W21+AA21+AD21</f>
        <v>105.6</v>
      </c>
      <c r="AH21" s="122" t="n">
        <f aca="false">IF(L21&lt;0,L21*-1,0)</f>
        <v>19.4616838921099</v>
      </c>
      <c r="AI21" s="122" t="n">
        <f aca="false">AG21+AH21</f>
        <v>125.06168389211</v>
      </c>
      <c r="AJ21" s="221" t="n">
        <v>0</v>
      </c>
      <c r="AK21" s="133" t="n">
        <v>45</v>
      </c>
      <c r="AL21" s="222" t="n">
        <v>14</v>
      </c>
      <c r="AM21" s="133" t="n">
        <f aca="false">AM20+(W21*1.9835)</f>
        <v>11036.78905</v>
      </c>
      <c r="AN21" s="133"/>
      <c r="AO21" s="122"/>
      <c r="AP21" s="95"/>
      <c r="AQ21" s="319"/>
    </row>
    <row r="22" customFormat="false" ht="12.95" hidden="false" customHeight="true" outlineLevel="0" collapsed="false">
      <c r="A22" s="155" t="n">
        <f aca="false">A21+1</f>
        <v>11</v>
      </c>
      <c r="B22" s="94" t="n">
        <v>6900.49</v>
      </c>
      <c r="C22" s="95" t="n">
        <v>285394</v>
      </c>
      <c r="D22" s="133" t="n">
        <f aca="false">C22-C21</f>
        <v>-74</v>
      </c>
      <c r="E22" s="95" t="n">
        <f aca="false">C22-152000</f>
        <v>133394</v>
      </c>
      <c r="F22" s="243" t="n">
        <f aca="false">D22/$D$2</f>
        <v>-37.3077892614066</v>
      </c>
      <c r="G22" s="122" t="n">
        <v>68</v>
      </c>
      <c r="H22" s="318" t="n">
        <v>1.3</v>
      </c>
      <c r="I22" s="122" t="n">
        <f aca="false">G22+H22</f>
        <v>69.3</v>
      </c>
      <c r="J22" s="218" t="n">
        <f aca="false">IF(L22&gt;0,L22,0)</f>
        <v>0</v>
      </c>
      <c r="K22" s="122" t="n">
        <f aca="false">I22+J22</f>
        <v>69.3</v>
      </c>
      <c r="L22" s="122" t="n">
        <f aca="false">F22-(I22-AG22)</f>
        <v>-6.3077892614066</v>
      </c>
      <c r="M22" s="244" t="n">
        <v>4.3</v>
      </c>
      <c r="N22" s="122" t="n">
        <v>0</v>
      </c>
      <c r="O22" s="122" t="n">
        <v>0</v>
      </c>
      <c r="P22" s="215" t="n">
        <v>0</v>
      </c>
      <c r="Q22" s="215" t="n">
        <f aca="false">1.42*1.02</f>
        <v>1.4484</v>
      </c>
      <c r="R22" s="215" t="n">
        <v>3.09</v>
      </c>
      <c r="S22" s="324" t="n">
        <v>0</v>
      </c>
      <c r="T22" s="84" t="n">
        <f aca="false">M22-(Q22+R22+S22)</f>
        <v>-0.238399999999999</v>
      </c>
      <c r="U22" s="122" t="n">
        <v>65</v>
      </c>
      <c r="V22" s="122" t="n">
        <v>0</v>
      </c>
      <c r="W22" s="122" t="n">
        <f aca="false">M22-N22-O22-P22-Q22-R22-S22-T22+U22+V22</f>
        <v>65</v>
      </c>
      <c r="X22" s="95"/>
      <c r="Y22" s="95"/>
      <c r="Z22" s="95"/>
      <c r="AA22" s="122" t="n">
        <v>0</v>
      </c>
      <c r="AB22" s="244"/>
      <c r="AC22" s="245"/>
      <c r="AD22" s="122" t="n">
        <v>31</v>
      </c>
      <c r="AE22" s="95" t="n">
        <f aca="false">AE21-AD22</f>
        <v>1745</v>
      </c>
      <c r="AF22" s="220"/>
      <c r="AG22" s="121" t="n">
        <f aca="false">N22+O22+P22+Q22+R22+S22+T22+W22+AA22+AD22</f>
        <v>100.3</v>
      </c>
      <c r="AH22" s="122" t="n">
        <f aca="false">IF(L22&lt;0,L22*-1,0)</f>
        <v>6.3077892614066</v>
      </c>
      <c r="AI22" s="122" t="n">
        <f aca="false">AG22+AH22</f>
        <v>106.607789261407</v>
      </c>
      <c r="AJ22" s="221" t="n">
        <v>0</v>
      </c>
      <c r="AK22" s="133" t="n">
        <v>42</v>
      </c>
      <c r="AL22" s="222" t="n">
        <v>10</v>
      </c>
      <c r="AM22" s="133" t="n">
        <f aca="false">AM21+(W22*1.9835)</f>
        <v>11165.71655</v>
      </c>
      <c r="AN22" s="133"/>
      <c r="AO22" s="122"/>
      <c r="AP22" s="95"/>
      <c r="AQ22" s="319"/>
    </row>
    <row r="23" customFormat="false" ht="12.95" hidden="false" customHeight="true" outlineLevel="0" collapsed="false">
      <c r="A23" s="155" t="n">
        <f aca="false">A22+1</f>
        <v>12</v>
      </c>
      <c r="B23" s="94" t="n">
        <v>6900.47</v>
      </c>
      <c r="C23" s="95" t="n">
        <v>285320</v>
      </c>
      <c r="D23" s="133" t="n">
        <f aca="false">C23-C22</f>
        <v>-74</v>
      </c>
      <c r="E23" s="95" t="n">
        <f aca="false">C23-152000</f>
        <v>133320</v>
      </c>
      <c r="F23" s="243" t="n">
        <f aca="false">D23/$D$2</f>
        <v>-37.3077892614066</v>
      </c>
      <c r="G23" s="122" t="n">
        <v>68</v>
      </c>
      <c r="H23" s="318" t="n">
        <v>1.4</v>
      </c>
      <c r="I23" s="122" t="n">
        <f aca="false">G23+H23</f>
        <v>69.4</v>
      </c>
      <c r="J23" s="218" t="n">
        <f aca="false">IF(L23&gt;0,L23,0)</f>
        <v>0</v>
      </c>
      <c r="K23" s="122" t="n">
        <f aca="false">I23+J23</f>
        <v>69.4</v>
      </c>
      <c r="L23" s="122" t="n">
        <f aca="false">F23-(I23-AG23)</f>
        <v>-11.2077892614066</v>
      </c>
      <c r="M23" s="244" t="n">
        <v>3.5</v>
      </c>
      <c r="N23" s="122" t="n">
        <v>0</v>
      </c>
      <c r="O23" s="122" t="n">
        <v>0</v>
      </c>
      <c r="P23" s="215" t="n">
        <v>0</v>
      </c>
      <c r="Q23" s="215" t="n">
        <f aca="false">1.42*1.02</f>
        <v>1.4484</v>
      </c>
      <c r="R23" s="215" t="n">
        <v>3.49</v>
      </c>
      <c r="S23" s="324" t="n">
        <v>0</v>
      </c>
      <c r="T23" s="84" t="n">
        <f aca="false">M23-(Q23+R23+S23)</f>
        <v>-1.4384</v>
      </c>
      <c r="U23" s="122" t="n">
        <v>61</v>
      </c>
      <c r="V23" s="122" t="n">
        <v>0</v>
      </c>
      <c r="W23" s="122" t="n">
        <f aca="false">M23-N23-O23-P23-Q23-R23-S23-T23+U23+V23</f>
        <v>61</v>
      </c>
      <c r="X23" s="95"/>
      <c r="Y23" s="95"/>
      <c r="Z23" s="95"/>
      <c r="AA23" s="122" t="n">
        <v>0</v>
      </c>
      <c r="AB23" s="244"/>
      <c r="AC23" s="245"/>
      <c r="AD23" s="122" t="n">
        <v>31</v>
      </c>
      <c r="AE23" s="95" t="n">
        <f aca="false">AE22-AD23</f>
        <v>1714</v>
      </c>
      <c r="AF23" s="220"/>
      <c r="AG23" s="121" t="n">
        <f aca="false">N23+O23+P23+Q23+R23+S23+T23+W23+AA23+AD23</f>
        <v>95.5</v>
      </c>
      <c r="AH23" s="122" t="n">
        <f aca="false">IF(L23&lt;0,L23*-1,0)</f>
        <v>11.2077892614066</v>
      </c>
      <c r="AI23" s="122" t="n">
        <f aca="false">AG23+AH23</f>
        <v>106.707789261407</v>
      </c>
      <c r="AJ23" s="221" t="n">
        <v>0</v>
      </c>
      <c r="AK23" s="133" t="n">
        <v>40</v>
      </c>
      <c r="AL23" s="222" t="n">
        <v>9</v>
      </c>
      <c r="AM23" s="133" t="n">
        <f aca="false">AM22+(W23*1.9835)</f>
        <v>11286.71005</v>
      </c>
      <c r="AN23" s="133"/>
      <c r="AO23" s="122"/>
      <c r="AP23" s="95"/>
      <c r="AQ23" s="319"/>
    </row>
    <row r="24" customFormat="false" ht="12.95" hidden="false" customHeight="true" outlineLevel="0" collapsed="false">
      <c r="A24" s="155" t="n">
        <f aca="false">A23+1</f>
        <v>13</v>
      </c>
      <c r="B24" s="94" t="n">
        <v>6900.45</v>
      </c>
      <c r="C24" s="95" t="n">
        <v>285246</v>
      </c>
      <c r="D24" s="133" t="n">
        <f aca="false">C24-C23</f>
        <v>-74</v>
      </c>
      <c r="E24" s="95" t="n">
        <f aca="false">C24-152000</f>
        <v>133246</v>
      </c>
      <c r="F24" s="243" t="n">
        <f aca="false">D24/$D$2</f>
        <v>-37.3077892614066</v>
      </c>
      <c r="G24" s="122" t="n">
        <v>68</v>
      </c>
      <c r="H24" s="318" t="n">
        <v>1.6</v>
      </c>
      <c r="I24" s="122" t="n">
        <f aca="false">G24+H24</f>
        <v>69.6</v>
      </c>
      <c r="J24" s="218" t="n">
        <f aca="false">IF(L24&gt;0,L24,0)</f>
        <v>0</v>
      </c>
      <c r="K24" s="122" t="n">
        <f aca="false">I24+J24</f>
        <v>69.6</v>
      </c>
      <c r="L24" s="122" t="n">
        <f aca="false">F24-(I24-AG24)</f>
        <v>-12.9077892614066</v>
      </c>
      <c r="M24" s="244" t="n">
        <v>3</v>
      </c>
      <c r="N24" s="122" t="n">
        <v>0</v>
      </c>
      <c r="O24" s="122" t="n">
        <v>0</v>
      </c>
      <c r="P24" s="215" t="n">
        <v>0</v>
      </c>
      <c r="Q24" s="215" t="n">
        <f aca="false">1.42*1.02</f>
        <v>1.4484</v>
      </c>
      <c r="R24" s="215" t="n">
        <v>3.2</v>
      </c>
      <c r="S24" s="324" t="n">
        <v>0</v>
      </c>
      <c r="T24" s="84" t="n">
        <f aca="false">M24-(Q24+R24+S24)</f>
        <v>-1.6484</v>
      </c>
      <c r="U24" s="122" t="n">
        <v>60</v>
      </c>
      <c r="V24" s="122" t="n">
        <v>0</v>
      </c>
      <c r="W24" s="122" t="n">
        <f aca="false">M24-N24-O24-P24-Q24-R24-S24-T24+U24+V24</f>
        <v>60</v>
      </c>
      <c r="X24" s="95"/>
      <c r="Y24" s="95"/>
      <c r="Z24" s="95"/>
      <c r="AA24" s="122" t="n">
        <v>0</v>
      </c>
      <c r="AB24" s="244"/>
      <c r="AC24" s="245"/>
      <c r="AD24" s="122" t="n">
        <v>31</v>
      </c>
      <c r="AE24" s="95" t="n">
        <f aca="false">AE23-AD24</f>
        <v>1683</v>
      </c>
      <c r="AF24" s="220"/>
      <c r="AG24" s="121" t="n">
        <f aca="false">N24+O24+P24+Q24+R24+S24+T24+W24+AA24+AD24</f>
        <v>94</v>
      </c>
      <c r="AH24" s="122" t="n">
        <f aca="false">IF(L24&lt;0,L24*-1,0)</f>
        <v>12.9077892614066</v>
      </c>
      <c r="AI24" s="122" t="n">
        <f aca="false">AG24+AH24</f>
        <v>106.907789261407</v>
      </c>
      <c r="AJ24" s="221" t="n">
        <v>0</v>
      </c>
      <c r="AK24" s="133" t="n">
        <v>44</v>
      </c>
      <c r="AL24" s="222" t="n">
        <v>6</v>
      </c>
      <c r="AM24" s="133" t="n">
        <f aca="false">AM23+(W24*1.9835)</f>
        <v>11405.72005</v>
      </c>
      <c r="AN24" s="133"/>
      <c r="AO24" s="122"/>
      <c r="AP24" s="95"/>
      <c r="AQ24" s="319"/>
    </row>
    <row r="25" customFormat="false" ht="12.95" hidden="false" customHeight="true" outlineLevel="0" collapsed="false">
      <c r="A25" s="155" t="n">
        <f aca="false">A24+1</f>
        <v>14</v>
      </c>
      <c r="B25" s="94" t="n">
        <v>6900.45</v>
      </c>
      <c r="C25" s="95" t="n">
        <v>285246</v>
      </c>
      <c r="D25" s="133" t="n">
        <f aca="false">C25-C24</f>
        <v>0</v>
      </c>
      <c r="E25" s="95" t="n">
        <f aca="false">C25-152000</f>
        <v>133246</v>
      </c>
      <c r="F25" s="243" t="n">
        <f aca="false">D25/$D$2</f>
        <v>0</v>
      </c>
      <c r="G25" s="122" t="n">
        <v>68</v>
      </c>
      <c r="H25" s="318" t="n">
        <v>1.9</v>
      </c>
      <c r="I25" s="122" t="n">
        <f aca="false">G25+H25</f>
        <v>69.9</v>
      </c>
      <c r="J25" s="218" t="n">
        <f aca="false">IF(L25&gt;0,L25,0)</f>
        <v>25.1</v>
      </c>
      <c r="K25" s="122" t="n">
        <f aca="false">I25+J25</f>
        <v>95</v>
      </c>
      <c r="L25" s="122" t="n">
        <f aca="false">F25-(I25-AG25)</f>
        <v>25.1</v>
      </c>
      <c r="M25" s="244" t="n">
        <v>3</v>
      </c>
      <c r="N25" s="122" t="n">
        <v>0</v>
      </c>
      <c r="O25" s="122" t="n">
        <v>0</v>
      </c>
      <c r="P25" s="215" t="n">
        <v>0</v>
      </c>
      <c r="Q25" s="215" t="n">
        <f aca="false">1.42*1.02</f>
        <v>1.4484</v>
      </c>
      <c r="R25" s="215" t="n">
        <v>3.2</v>
      </c>
      <c r="S25" s="324" t="n">
        <v>0</v>
      </c>
      <c r="T25" s="84" t="n">
        <f aca="false">M25-(Q25+R25+S25)</f>
        <v>-1.6484</v>
      </c>
      <c r="U25" s="122" t="n">
        <v>61</v>
      </c>
      <c r="V25" s="122" t="n">
        <v>0</v>
      </c>
      <c r="W25" s="122" t="n">
        <f aca="false">M25-N25-O25-P25-Q25-R25-S25-T25+U25+V25</f>
        <v>61</v>
      </c>
      <c r="X25" s="95"/>
      <c r="Y25" s="95"/>
      <c r="Z25" s="95"/>
      <c r="AA25" s="122" t="n">
        <v>0</v>
      </c>
      <c r="AB25" s="244"/>
      <c r="AC25" s="245"/>
      <c r="AD25" s="122" t="n">
        <v>31</v>
      </c>
      <c r="AE25" s="95" t="n">
        <f aca="false">AE24-AD25</f>
        <v>1652</v>
      </c>
      <c r="AF25" s="220"/>
      <c r="AG25" s="121" t="n">
        <f aca="false">N25+O25+P25+Q25+R25+S25+T25+W25+AA25+AD25</f>
        <v>95</v>
      </c>
      <c r="AH25" s="122" t="n">
        <f aca="false">IF(L25&lt;0,L25*-1,0)</f>
        <v>0</v>
      </c>
      <c r="AI25" s="122" t="n">
        <f aca="false">AG25+AH25</f>
        <v>95</v>
      </c>
      <c r="AJ25" s="221" t="n">
        <v>0.2</v>
      </c>
      <c r="AK25" s="223" t="n">
        <v>39</v>
      </c>
      <c r="AL25" s="222" t="n">
        <v>26</v>
      </c>
      <c r="AM25" s="133" t="n">
        <f aca="false">AM24+(W25*1.9835)</f>
        <v>11526.71355</v>
      </c>
      <c r="AN25" s="133"/>
      <c r="AO25" s="122"/>
      <c r="AP25" s="95"/>
      <c r="AQ25" s="319"/>
    </row>
    <row r="26" customFormat="false" ht="12.95" hidden="false" customHeight="true" outlineLevel="0" collapsed="false">
      <c r="A26" s="155" t="n">
        <f aca="false">A25+1</f>
        <v>15</v>
      </c>
      <c r="B26" s="94" t="n">
        <v>6900.46</v>
      </c>
      <c r="C26" s="95" t="n">
        <v>285283</v>
      </c>
      <c r="D26" s="133" t="n">
        <f aca="false">C26-C25</f>
        <v>37</v>
      </c>
      <c r="E26" s="95" t="n">
        <f aca="false">C26-152000</f>
        <v>133283</v>
      </c>
      <c r="F26" s="243" t="n">
        <f aca="false">D26/$D$2</f>
        <v>18.6538946307033</v>
      </c>
      <c r="G26" s="122" t="n">
        <v>68</v>
      </c>
      <c r="H26" s="318" t="n">
        <v>1.9</v>
      </c>
      <c r="I26" s="122" t="n">
        <f aca="false">G26+H26</f>
        <v>69.9</v>
      </c>
      <c r="J26" s="218" t="n">
        <f aca="false">IF(L26&gt;0,L26,0)</f>
        <v>42.8538946307033</v>
      </c>
      <c r="K26" s="122" t="n">
        <f aca="false">I26+J26</f>
        <v>112.753894630703</v>
      </c>
      <c r="L26" s="122" t="n">
        <f aca="false">F26-(I26-AG26)</f>
        <v>42.8538946307033</v>
      </c>
      <c r="M26" s="244" t="n">
        <v>3.1</v>
      </c>
      <c r="N26" s="122" t="n">
        <v>0</v>
      </c>
      <c r="O26" s="122" t="n">
        <v>0</v>
      </c>
      <c r="P26" s="215" t="n">
        <v>0</v>
      </c>
      <c r="Q26" s="215" t="n">
        <f aca="false">1.42*1.02</f>
        <v>1.4484</v>
      </c>
      <c r="R26" s="215" t="n">
        <v>4</v>
      </c>
      <c r="S26" s="324" t="n">
        <v>0</v>
      </c>
      <c r="T26" s="84" t="n">
        <f aca="false">M26-(Q26+R26+S26)</f>
        <v>-2.3484</v>
      </c>
      <c r="U26" s="122" t="n">
        <v>60</v>
      </c>
      <c r="V26" s="122" t="n">
        <v>0</v>
      </c>
      <c r="W26" s="122" t="n">
        <f aca="false">M26-N26-O26-P26-Q26-R26-S26-T26+U26+V26</f>
        <v>60</v>
      </c>
      <c r="X26" s="95"/>
      <c r="Y26" s="95"/>
      <c r="Z26" s="95"/>
      <c r="AA26" s="122" t="n">
        <v>0</v>
      </c>
      <c r="AB26" s="244"/>
      <c r="AC26" s="245"/>
      <c r="AD26" s="122" t="n">
        <v>31</v>
      </c>
      <c r="AE26" s="95" t="n">
        <f aca="false">AE25-AD26</f>
        <v>1621</v>
      </c>
      <c r="AF26" s="220"/>
      <c r="AG26" s="121" t="n">
        <f aca="false">N26+O26+P26+Q26+R26+S26+T26+W26+AA26+AD26</f>
        <v>94.1</v>
      </c>
      <c r="AH26" s="122" t="n">
        <f aca="false">IF(L26&lt;0,L26*-1,0)</f>
        <v>0</v>
      </c>
      <c r="AI26" s="122" t="n">
        <f aca="false">AG26+AH26</f>
        <v>94.1</v>
      </c>
      <c r="AJ26" s="221" t="n">
        <v>0</v>
      </c>
      <c r="AK26" s="223" t="n">
        <v>45</v>
      </c>
      <c r="AL26" s="222" t="n">
        <v>21</v>
      </c>
      <c r="AM26" s="133" t="n">
        <f aca="false">AM25+(W26*1.9835)</f>
        <v>11645.72355</v>
      </c>
      <c r="AN26" s="133"/>
      <c r="AO26" s="122"/>
      <c r="AP26" s="95"/>
      <c r="AQ26" s="319"/>
    </row>
    <row r="27" customFormat="false" ht="12.95" hidden="false" customHeight="true" outlineLevel="0" collapsed="false">
      <c r="A27" s="155" t="n">
        <f aca="false">A26+1</f>
        <v>16</v>
      </c>
      <c r="B27" s="94" t="n">
        <v>6900.47</v>
      </c>
      <c r="C27" s="95" t="n">
        <v>285320</v>
      </c>
      <c r="D27" s="133" t="n">
        <f aca="false">C27-C26</f>
        <v>37</v>
      </c>
      <c r="E27" s="95" t="n">
        <f aca="false">C27-152000</f>
        <v>133320</v>
      </c>
      <c r="F27" s="243" t="n">
        <f aca="false">D27/$D$2</f>
        <v>18.6538946307033</v>
      </c>
      <c r="G27" s="122" t="n">
        <v>68</v>
      </c>
      <c r="H27" s="318" t="n">
        <v>2.2</v>
      </c>
      <c r="I27" s="122" t="n">
        <f aca="false">G27+H27</f>
        <v>70.2</v>
      </c>
      <c r="J27" s="218" t="n">
        <f aca="false">IF(L27&gt;0,L27,0)</f>
        <v>16.7538946307033</v>
      </c>
      <c r="K27" s="122" t="n">
        <f aca="false">I27+J27</f>
        <v>86.9538946307033</v>
      </c>
      <c r="L27" s="122" t="n">
        <f aca="false">F27-(I27-AG27)</f>
        <v>16.7538946307033</v>
      </c>
      <c r="M27" s="244" t="n">
        <v>3.3</v>
      </c>
      <c r="N27" s="122" t="n">
        <v>0</v>
      </c>
      <c r="O27" s="122" t="n">
        <v>0</v>
      </c>
      <c r="P27" s="215" t="n">
        <v>0</v>
      </c>
      <c r="Q27" s="215" t="n">
        <f aca="false">1.42*1.02</f>
        <v>1.4484</v>
      </c>
      <c r="R27" s="215" t="n">
        <v>4.24</v>
      </c>
      <c r="S27" s="324" t="n">
        <v>0</v>
      </c>
      <c r="T27" s="84" t="n">
        <f aca="false">M27-(Q27+R27+S27)</f>
        <v>-2.3884</v>
      </c>
      <c r="U27" s="122" t="n">
        <v>34</v>
      </c>
      <c r="V27" s="122" t="n">
        <v>0</v>
      </c>
      <c r="W27" s="122" t="n">
        <f aca="false">M27-N27-O27-P27-Q27-R27-S27-T27+U27+V27</f>
        <v>34</v>
      </c>
      <c r="X27" s="95"/>
      <c r="Y27" s="95"/>
      <c r="Z27" s="95"/>
      <c r="AA27" s="122" t="n">
        <v>0</v>
      </c>
      <c r="AB27" s="244"/>
      <c r="AC27" s="245"/>
      <c r="AD27" s="122" t="n">
        <v>31</v>
      </c>
      <c r="AE27" s="95" t="n">
        <f aca="false">AE26-AD27</f>
        <v>1590</v>
      </c>
      <c r="AF27" s="220"/>
      <c r="AG27" s="121" t="n">
        <f aca="false">N27+O27+P27+Q27+R27+S27+T27+W27+AA27+AD27</f>
        <v>68.3</v>
      </c>
      <c r="AH27" s="122" t="n">
        <f aca="false">IF(L27&lt;0,L27*-1,0)</f>
        <v>0</v>
      </c>
      <c r="AI27" s="122" t="n">
        <f aca="false">AG27+AH27</f>
        <v>68.3</v>
      </c>
      <c r="AJ27" s="221" t="n">
        <v>0</v>
      </c>
      <c r="AK27" s="223" t="n">
        <v>45</v>
      </c>
      <c r="AL27" s="222" t="n">
        <v>19</v>
      </c>
      <c r="AM27" s="133" t="n">
        <f aca="false">AM26+(W27*1.9835)</f>
        <v>11713.16255</v>
      </c>
      <c r="AN27" s="133"/>
      <c r="AO27" s="122"/>
      <c r="AP27" s="95"/>
      <c r="AQ27" s="319"/>
    </row>
    <row r="28" customFormat="false" ht="12.95" hidden="false" customHeight="true" outlineLevel="0" collapsed="false">
      <c r="A28" s="155" t="n">
        <f aca="false">A27+1</f>
        <v>17</v>
      </c>
      <c r="B28" s="94" t="n">
        <v>6900.49</v>
      </c>
      <c r="C28" s="95" t="n">
        <v>285394</v>
      </c>
      <c r="D28" s="133" t="n">
        <f aca="false">C28-C27</f>
        <v>74</v>
      </c>
      <c r="E28" s="95" t="n">
        <f aca="false">C28-152000</f>
        <v>133394</v>
      </c>
      <c r="F28" s="243" t="n">
        <f aca="false">D28/$D$2</f>
        <v>37.3077892614066</v>
      </c>
      <c r="G28" s="122" t="n">
        <v>68</v>
      </c>
      <c r="H28" s="318" t="n">
        <v>1.9</v>
      </c>
      <c r="I28" s="122" t="n">
        <f aca="false">G28+H28</f>
        <v>69.9</v>
      </c>
      <c r="J28" s="218" t="n">
        <f aca="false">IF(L28&gt;0,L28,0)</f>
        <v>1.8077892614066</v>
      </c>
      <c r="K28" s="122" t="n">
        <f aca="false">I28+J28</f>
        <v>71.7077892614066</v>
      </c>
      <c r="L28" s="122" t="n">
        <f aca="false">F28-(I28-AG28)</f>
        <v>1.8077892614066</v>
      </c>
      <c r="M28" s="244" t="n">
        <v>3.4</v>
      </c>
      <c r="N28" s="122" t="n">
        <v>0</v>
      </c>
      <c r="O28" s="122" t="n">
        <v>0</v>
      </c>
      <c r="P28" s="215" t="n">
        <v>0</v>
      </c>
      <c r="Q28" s="215" t="n">
        <f aca="false">1.42*1.02</f>
        <v>1.4484</v>
      </c>
      <c r="R28" s="215" t="n">
        <v>3.19</v>
      </c>
      <c r="S28" s="324" t="n">
        <v>0</v>
      </c>
      <c r="T28" s="84" t="n">
        <f aca="false">M28-(Q28+R28+S28)</f>
        <v>-1.2384</v>
      </c>
      <c r="U28" s="122" t="n">
        <v>0</v>
      </c>
      <c r="V28" s="122" t="n">
        <v>0</v>
      </c>
      <c r="W28" s="122" t="n">
        <f aca="false">M28-N28-O28-P28-Q28-R28-S28-T28+U28+V28</f>
        <v>0</v>
      </c>
      <c r="X28" s="95"/>
      <c r="Y28" s="95"/>
      <c r="Z28" s="95"/>
      <c r="AA28" s="122" t="n">
        <v>0</v>
      </c>
      <c r="AB28" s="244"/>
      <c r="AC28" s="245"/>
      <c r="AD28" s="122" t="n">
        <v>31</v>
      </c>
      <c r="AE28" s="95" t="n">
        <f aca="false">AE27-AD28</f>
        <v>1559</v>
      </c>
      <c r="AF28" s="220"/>
      <c r="AG28" s="121" t="n">
        <f aca="false">N28+O28+P28+Q28+R28+S28+T28+W28+AA28+AD28</f>
        <v>34.4</v>
      </c>
      <c r="AH28" s="122" t="n">
        <f aca="false">IF(L28&lt;0,L28*-1,0)</f>
        <v>0</v>
      </c>
      <c r="AI28" s="122" t="n">
        <f aca="false">AG28+AH28</f>
        <v>34.4</v>
      </c>
      <c r="AJ28" s="221" t="n">
        <v>0</v>
      </c>
      <c r="AK28" s="223" t="n">
        <v>39</v>
      </c>
      <c r="AL28" s="222" t="n">
        <v>12</v>
      </c>
      <c r="AM28" s="133" t="n">
        <f aca="false">AM27+(W28*1.9835)</f>
        <v>11713.16255</v>
      </c>
      <c r="AN28" s="133"/>
      <c r="AO28" s="122"/>
      <c r="AP28" s="95"/>
      <c r="AQ28" s="319"/>
    </row>
    <row r="29" customFormat="false" ht="12.95" hidden="false" customHeight="true" outlineLevel="0" collapsed="false">
      <c r="A29" s="155" t="n">
        <f aca="false">A28+1</f>
        <v>18</v>
      </c>
      <c r="B29" s="94" t="n">
        <v>6900.5</v>
      </c>
      <c r="C29" s="325" t="n">
        <v>285431</v>
      </c>
      <c r="D29" s="133" t="n">
        <f aca="false">C29-C28</f>
        <v>37</v>
      </c>
      <c r="E29" s="95" t="n">
        <f aca="false">C29-152000</f>
        <v>133431</v>
      </c>
      <c r="F29" s="243" t="n">
        <f aca="false">D29/$D$2</f>
        <v>18.6538946307033</v>
      </c>
      <c r="G29" s="122" t="n">
        <v>68</v>
      </c>
      <c r="H29" s="318" t="n">
        <v>1.6</v>
      </c>
      <c r="I29" s="122" t="n">
        <f aca="false">G29+H29</f>
        <v>69.6</v>
      </c>
      <c r="J29" s="218" t="n">
        <f aca="false">IF(L29&gt;0,L29,0)</f>
        <v>0</v>
      </c>
      <c r="K29" s="122" t="n">
        <f aca="false">I29+J29</f>
        <v>69.6</v>
      </c>
      <c r="L29" s="122" t="n">
        <f aca="false">F29-(I29-AG29)</f>
        <v>-16.4461053692967</v>
      </c>
      <c r="M29" s="244" t="n">
        <v>3.5</v>
      </c>
      <c r="N29" s="122" t="n">
        <v>0</v>
      </c>
      <c r="O29" s="122" t="n">
        <v>0</v>
      </c>
      <c r="P29" s="215" t="n">
        <v>0</v>
      </c>
      <c r="Q29" s="215" t="n">
        <f aca="false">1.42*1.02</f>
        <v>1.4484</v>
      </c>
      <c r="R29" s="215" t="n">
        <v>4.2</v>
      </c>
      <c r="S29" s="324" t="n">
        <v>0.03</v>
      </c>
      <c r="T29" s="84" t="n">
        <f aca="false">M29-(Q29+R29+S29)</f>
        <v>-2.1784</v>
      </c>
      <c r="U29" s="122" t="n">
        <v>0</v>
      </c>
      <c r="V29" s="122" t="n">
        <v>0</v>
      </c>
      <c r="W29" s="122" t="n">
        <f aca="false">M29-N29-O29-P29-Q29-R29-S29-T29+U29+V29</f>
        <v>0</v>
      </c>
      <c r="X29" s="95"/>
      <c r="Y29" s="95"/>
      <c r="Z29" s="95"/>
      <c r="AA29" s="122" t="n">
        <v>0</v>
      </c>
      <c r="AB29" s="244"/>
      <c r="AC29" s="245"/>
      <c r="AD29" s="122" t="n">
        <v>31</v>
      </c>
      <c r="AE29" s="95" t="n">
        <f aca="false">AE28-AD29</f>
        <v>1528</v>
      </c>
      <c r="AF29" s="220"/>
      <c r="AG29" s="121" t="n">
        <f aca="false">N29+O29+P29+Q29+R29+S29+T29+W29+AA29+AD29</f>
        <v>34.5</v>
      </c>
      <c r="AH29" s="122" t="n">
        <f aca="false">IF(L29&lt;0,L29*-1,0)</f>
        <v>16.4461053692967</v>
      </c>
      <c r="AI29" s="122" t="n">
        <f aca="false">AG29+AH29</f>
        <v>50.9461053692967</v>
      </c>
      <c r="AJ29" s="326" t="n">
        <v>0</v>
      </c>
      <c r="AK29" s="223" t="n">
        <v>40</v>
      </c>
      <c r="AL29" s="222" t="n">
        <v>6</v>
      </c>
      <c r="AM29" s="133" t="n">
        <f aca="false">AM28+(W29*1.9835)</f>
        <v>11713.16255</v>
      </c>
      <c r="AN29" s="133"/>
      <c r="AO29" s="122"/>
      <c r="AP29" s="95"/>
      <c r="AQ29" s="319"/>
    </row>
    <row r="30" customFormat="false" ht="12.95" hidden="false" customHeight="true" outlineLevel="0" collapsed="false">
      <c r="A30" s="155" t="n">
        <f aca="false">A29+1</f>
        <v>19</v>
      </c>
      <c r="B30" s="94" t="n">
        <v>6900.51</v>
      </c>
      <c r="C30" s="325" t="n">
        <v>285468</v>
      </c>
      <c r="D30" s="133" t="n">
        <f aca="false">C30-C29</f>
        <v>37</v>
      </c>
      <c r="E30" s="95" t="n">
        <f aca="false">C30-152000</f>
        <v>133468</v>
      </c>
      <c r="F30" s="243" t="n">
        <f aca="false">D30/$D$2</f>
        <v>18.6538946307033</v>
      </c>
      <c r="G30" s="122" t="n">
        <v>68</v>
      </c>
      <c r="H30" s="318" t="n">
        <v>1.4</v>
      </c>
      <c r="I30" s="122" t="n">
        <f aca="false">G30+H30</f>
        <v>69.4</v>
      </c>
      <c r="J30" s="218" t="n">
        <f aca="false">IF(L30&gt;0,L30,0)</f>
        <v>0</v>
      </c>
      <c r="K30" s="122" t="n">
        <f aca="false">I30+J30</f>
        <v>69.4</v>
      </c>
      <c r="L30" s="122" t="n">
        <f aca="false">F30-(I30-AG30)</f>
        <v>-16.0461053692967</v>
      </c>
      <c r="M30" s="244" t="n">
        <v>3.7</v>
      </c>
      <c r="N30" s="122" t="n">
        <v>0</v>
      </c>
      <c r="O30" s="122" t="n">
        <v>0</v>
      </c>
      <c r="P30" s="215" t="n">
        <v>0</v>
      </c>
      <c r="Q30" s="215" t="n">
        <f aca="false">1.42*1.02</f>
        <v>1.4484</v>
      </c>
      <c r="R30" s="215" t="n">
        <v>4.2</v>
      </c>
      <c r="S30" s="324" t="n">
        <v>0.19</v>
      </c>
      <c r="T30" s="84" t="n">
        <f aca="false">M30-(Q30+R30+S30)</f>
        <v>-2.1384</v>
      </c>
      <c r="U30" s="122" t="n">
        <v>0</v>
      </c>
      <c r="V30" s="122" t="n">
        <v>0</v>
      </c>
      <c r="W30" s="122" t="n">
        <f aca="false">M30-N30-O30-P30-Q30-R30-S30-T30+U30+V30</f>
        <v>0</v>
      </c>
      <c r="X30" s="95"/>
      <c r="Y30" s="95"/>
      <c r="Z30" s="95"/>
      <c r="AA30" s="122" t="n">
        <v>0</v>
      </c>
      <c r="AB30" s="244"/>
      <c r="AC30" s="245"/>
      <c r="AD30" s="122" t="n">
        <v>31</v>
      </c>
      <c r="AE30" s="95" t="n">
        <f aca="false">AE29-AD30</f>
        <v>1497</v>
      </c>
      <c r="AF30" s="220"/>
      <c r="AG30" s="121" t="n">
        <f aca="false">N30+O30+P30+Q30+R30+S30+T30+W30+AA30+AD30</f>
        <v>34.7</v>
      </c>
      <c r="AH30" s="122" t="n">
        <f aca="false">IF(L30&lt;0,L30*-1,0)</f>
        <v>16.0461053692967</v>
      </c>
      <c r="AI30" s="122" t="n">
        <f aca="false">AG30+AH30</f>
        <v>50.7461053692967</v>
      </c>
      <c r="AJ30" s="221" t="n">
        <v>0</v>
      </c>
      <c r="AK30" s="223" t="n">
        <v>44</v>
      </c>
      <c r="AL30" s="222" t="n">
        <v>7</v>
      </c>
      <c r="AM30" s="133" t="n">
        <f aca="false">AM29+(W30*1.9835)</f>
        <v>11713.16255</v>
      </c>
      <c r="AN30" s="133"/>
      <c r="AO30" s="122"/>
      <c r="AP30" s="95"/>
      <c r="AQ30" s="319"/>
    </row>
    <row r="31" customFormat="false" ht="12.95" hidden="false" customHeight="true" outlineLevel="0" collapsed="false">
      <c r="A31" s="155" t="n">
        <f aca="false">A30+1</f>
        <v>20</v>
      </c>
      <c r="B31" s="94" t="n">
        <v>6900.53</v>
      </c>
      <c r="C31" s="95" t="n">
        <v>285542</v>
      </c>
      <c r="D31" s="133" t="n">
        <f aca="false">C31-C30</f>
        <v>74</v>
      </c>
      <c r="E31" s="95" t="n">
        <f aca="false">C31-152000</f>
        <v>133542</v>
      </c>
      <c r="F31" s="243" t="n">
        <f aca="false">D31/$D$2</f>
        <v>37.3077892614066</v>
      </c>
      <c r="G31" s="122" t="n">
        <v>68</v>
      </c>
      <c r="H31" s="318" t="n">
        <v>1.1</v>
      </c>
      <c r="I31" s="122" t="n">
        <f aca="false">G31+H31</f>
        <v>69.1</v>
      </c>
      <c r="J31" s="218" t="n">
        <f aca="false">IF(L31&gt;0,L31,0)</f>
        <v>2.70778926140661</v>
      </c>
      <c r="K31" s="122" t="n">
        <f aca="false">I31+J31</f>
        <v>71.8077892614066</v>
      </c>
      <c r="L31" s="122" t="n">
        <f aca="false">F31-(I31-AG31)</f>
        <v>2.70778926140661</v>
      </c>
      <c r="M31" s="244" t="n">
        <v>3.5</v>
      </c>
      <c r="N31" s="122" t="n">
        <v>0</v>
      </c>
      <c r="O31" s="122" t="n">
        <v>0</v>
      </c>
      <c r="P31" s="215" t="n">
        <v>0</v>
      </c>
      <c r="Q31" s="215" t="n">
        <f aca="false">1.42*1.02</f>
        <v>1.4484</v>
      </c>
      <c r="R31" s="215" t="n">
        <v>4.2</v>
      </c>
      <c r="S31" s="324" t="n">
        <v>0.33</v>
      </c>
      <c r="T31" s="84" t="n">
        <f aca="false">M31-(Q31+R31+S31)</f>
        <v>-2.4784</v>
      </c>
      <c r="U31" s="122" t="n">
        <v>0</v>
      </c>
      <c r="V31" s="122" t="n">
        <v>0</v>
      </c>
      <c r="W31" s="122" t="n">
        <f aca="false">M31-N31-O31-P31-Q31-R31-S31-T31+U31+V31</f>
        <v>0</v>
      </c>
      <c r="X31" s="95"/>
      <c r="Y31" s="95"/>
      <c r="Z31" s="95"/>
      <c r="AA31" s="122" t="n">
        <v>0</v>
      </c>
      <c r="AB31" s="244"/>
      <c r="AC31" s="245"/>
      <c r="AD31" s="122" t="n">
        <v>31</v>
      </c>
      <c r="AE31" s="95" t="n">
        <f aca="false">AE30-AD31</f>
        <v>1466</v>
      </c>
      <c r="AF31" s="220"/>
      <c r="AG31" s="121" t="n">
        <f aca="false">N31+O31+P31+Q31+R31+S31+T31+W31+AA31+AD31</f>
        <v>34.5</v>
      </c>
      <c r="AH31" s="122" t="n">
        <f aca="false">IF(L31&lt;0,L31*-1,0)</f>
        <v>0</v>
      </c>
      <c r="AI31" s="122" t="n">
        <f aca="false">AG31+AH31</f>
        <v>34.5</v>
      </c>
      <c r="AJ31" s="221" t="n">
        <v>0.26</v>
      </c>
      <c r="AK31" s="223" t="n">
        <v>41</v>
      </c>
      <c r="AL31" s="222" t="n">
        <v>22</v>
      </c>
      <c r="AM31" s="133" t="n">
        <f aca="false">AM30+(W31*1.9835)</f>
        <v>11713.16255</v>
      </c>
      <c r="AN31" s="133"/>
      <c r="AO31" s="122"/>
      <c r="AP31" s="95"/>
      <c r="AQ31" s="319"/>
    </row>
    <row r="32" customFormat="false" ht="12.95" hidden="false" customHeight="true" outlineLevel="0" collapsed="false">
      <c r="A32" s="155" t="n">
        <f aca="false">A31+1</f>
        <v>21</v>
      </c>
      <c r="B32" s="94" t="n">
        <v>6900.58</v>
      </c>
      <c r="C32" s="95" t="n">
        <v>285727</v>
      </c>
      <c r="D32" s="133" t="n">
        <f aca="false">C32-C31</f>
        <v>185</v>
      </c>
      <c r="E32" s="95" t="n">
        <f aca="false">C32-152000</f>
        <v>133727</v>
      </c>
      <c r="F32" s="243" t="n">
        <f aca="false">D32/$D$2</f>
        <v>93.2694731535165</v>
      </c>
      <c r="G32" s="122" t="n">
        <v>68</v>
      </c>
      <c r="H32" s="318" t="n">
        <v>1.1</v>
      </c>
      <c r="I32" s="122" t="n">
        <f aca="false">G32+H32</f>
        <v>69.1</v>
      </c>
      <c r="J32" s="218" t="n">
        <f aca="false">IF(L32&gt;0,L32,0)</f>
        <v>58.6694731535165</v>
      </c>
      <c r="K32" s="122" t="n">
        <f aca="false">I32+J32</f>
        <v>127.769473153517</v>
      </c>
      <c r="L32" s="122" t="n">
        <f aca="false">F32-(I32-AG32)</f>
        <v>58.6694731535165</v>
      </c>
      <c r="M32" s="244" t="n">
        <v>3.5</v>
      </c>
      <c r="N32" s="122" t="n">
        <v>0</v>
      </c>
      <c r="O32" s="122" t="n">
        <v>0</v>
      </c>
      <c r="P32" s="215" t="n">
        <v>0</v>
      </c>
      <c r="Q32" s="215" t="n">
        <f aca="false">1.42*1.02</f>
        <v>1.4484</v>
      </c>
      <c r="R32" s="215" t="n">
        <v>4.2</v>
      </c>
      <c r="S32" s="324" t="n">
        <v>0.1</v>
      </c>
      <c r="T32" s="84" t="n">
        <f aca="false">M32-(Q32+R32+S32)</f>
        <v>-2.2484</v>
      </c>
      <c r="U32" s="122" t="n">
        <v>0</v>
      </c>
      <c r="V32" s="122" t="n">
        <v>0</v>
      </c>
      <c r="W32" s="122" t="n">
        <f aca="false">M32-N32-O32-P32-Q32-R32-S32-T32+U32+V32</f>
        <v>0</v>
      </c>
      <c r="X32" s="95"/>
      <c r="Y32" s="95"/>
      <c r="Z32" s="95"/>
      <c r="AA32" s="122" t="n">
        <v>0</v>
      </c>
      <c r="AB32" s="244"/>
      <c r="AC32" s="245"/>
      <c r="AD32" s="122" t="n">
        <v>31</v>
      </c>
      <c r="AE32" s="95" t="n">
        <f aca="false">AE31-AD32</f>
        <v>1435</v>
      </c>
      <c r="AF32" s="220"/>
      <c r="AG32" s="121" t="n">
        <f aca="false">N32+O32+P32+Q32+R32+S32+T32+W32+AA32+AD32</f>
        <v>34.5</v>
      </c>
      <c r="AH32" s="122" t="n">
        <f aca="false">IF(L32&lt;0,L32*-1,0)</f>
        <v>0</v>
      </c>
      <c r="AI32" s="122" t="n">
        <f aca="false">AG32+AH32</f>
        <v>34.5</v>
      </c>
      <c r="AJ32" s="221" t="n">
        <v>0.18</v>
      </c>
      <c r="AK32" s="133" t="n">
        <v>40</v>
      </c>
      <c r="AL32" s="222" t="n">
        <v>29</v>
      </c>
      <c r="AM32" s="133" t="n">
        <f aca="false">AM31+(W32*1.9835)</f>
        <v>11713.16255</v>
      </c>
      <c r="AN32" s="133"/>
      <c r="AO32" s="122"/>
      <c r="AP32" s="95"/>
      <c r="AQ32" s="319"/>
    </row>
    <row r="33" customFormat="false" ht="12.95" hidden="false" customHeight="true" outlineLevel="0" collapsed="false">
      <c r="A33" s="155" t="n">
        <f aca="false">A32+1</f>
        <v>22</v>
      </c>
      <c r="B33" s="94" t="n">
        <v>6900.64</v>
      </c>
      <c r="C33" s="95" t="n">
        <v>285949</v>
      </c>
      <c r="D33" s="133" t="n">
        <f aca="false">C33-C32</f>
        <v>222</v>
      </c>
      <c r="E33" s="95" t="n">
        <f aca="false">C33-152000</f>
        <v>133949</v>
      </c>
      <c r="F33" s="243" t="n">
        <f aca="false">D33/$D$2</f>
        <v>111.92336778422</v>
      </c>
      <c r="G33" s="122" t="n">
        <v>68</v>
      </c>
      <c r="H33" s="318" t="n">
        <v>1.3</v>
      </c>
      <c r="I33" s="122" t="n">
        <f aca="false">G33+H33</f>
        <v>69.3</v>
      </c>
      <c r="J33" s="218" t="n">
        <f aca="false">IF(L33&gt;0,L33,0)</f>
        <v>78.3233677842198</v>
      </c>
      <c r="K33" s="122" t="n">
        <f aca="false">I33+J33</f>
        <v>147.62336778422</v>
      </c>
      <c r="L33" s="122" t="n">
        <f aca="false">F33-(I33-AG33)</f>
        <v>78.3233677842198</v>
      </c>
      <c r="M33" s="244" t="n">
        <v>3.7</v>
      </c>
      <c r="N33" s="122" t="n">
        <v>0</v>
      </c>
      <c r="O33" s="122" t="n">
        <v>0</v>
      </c>
      <c r="P33" s="215" t="n">
        <v>0</v>
      </c>
      <c r="Q33" s="215" t="n">
        <f aca="false">1.42*1.02</f>
        <v>1.4484</v>
      </c>
      <c r="R33" s="215" t="n">
        <v>4.2</v>
      </c>
      <c r="S33" s="324" t="n">
        <v>0</v>
      </c>
      <c r="T33" s="84" t="n">
        <f aca="false">M33-(Q33+R33+S33)</f>
        <v>-1.9484</v>
      </c>
      <c r="U33" s="122" t="n">
        <v>0</v>
      </c>
      <c r="V33" s="122" t="n">
        <v>0</v>
      </c>
      <c r="W33" s="122" t="n">
        <f aca="false">M33-N33-O33-P33-Q33-R33-S33-T33+U33+V33</f>
        <v>0</v>
      </c>
      <c r="X33" s="95"/>
      <c r="Y33" s="95"/>
      <c r="Z33" s="95"/>
      <c r="AA33" s="122" t="n">
        <v>0</v>
      </c>
      <c r="AB33" s="244"/>
      <c r="AC33" s="245"/>
      <c r="AD33" s="122" t="n">
        <v>32</v>
      </c>
      <c r="AE33" s="95" t="n">
        <f aca="false">AE32-AD33</f>
        <v>1403</v>
      </c>
      <c r="AF33" s="220"/>
      <c r="AG33" s="121" t="n">
        <f aca="false">N33+O33+P33+Q33+R33+S33+T33+W33+AA33+AD33</f>
        <v>35.7</v>
      </c>
      <c r="AH33" s="122" t="n">
        <f aca="false">IF(L33&lt;0,L33*-1,0)</f>
        <v>0</v>
      </c>
      <c r="AI33" s="122" t="n">
        <f aca="false">AG33+AH33</f>
        <v>35.7</v>
      </c>
      <c r="AJ33" s="221" t="n">
        <v>0.18</v>
      </c>
      <c r="AK33" s="133" t="n">
        <v>36</v>
      </c>
      <c r="AL33" s="222" t="n">
        <v>24</v>
      </c>
      <c r="AM33" s="133" t="n">
        <f aca="false">AM32+(W33*1.9835)</f>
        <v>11713.16255</v>
      </c>
      <c r="AN33" s="133"/>
      <c r="AO33" s="122"/>
      <c r="AP33" s="95"/>
      <c r="AQ33" s="319"/>
    </row>
    <row r="34" customFormat="false" ht="12.95" hidden="false" customHeight="true" outlineLevel="0" collapsed="false">
      <c r="A34" s="155" t="n">
        <f aca="false">A33+1</f>
        <v>23</v>
      </c>
      <c r="B34" s="94" t="n">
        <v>6900.68</v>
      </c>
      <c r="C34" s="95" t="n">
        <v>286097</v>
      </c>
      <c r="D34" s="133" t="n">
        <f aca="false">C34-C33</f>
        <v>148</v>
      </c>
      <c r="E34" s="95" t="n">
        <f aca="false">C34-152000</f>
        <v>134097</v>
      </c>
      <c r="F34" s="243" t="n">
        <f aca="false">D34/$D$2</f>
        <v>74.6155785228132</v>
      </c>
      <c r="G34" s="122" t="n">
        <v>68</v>
      </c>
      <c r="H34" s="318" t="n">
        <v>1.6</v>
      </c>
      <c r="I34" s="122" t="n">
        <f aca="false">G34+H34</f>
        <v>69.6</v>
      </c>
      <c r="J34" s="218" t="n">
        <f aca="false">IF(L34&gt;0,L34,0)</f>
        <v>40.2155785228132</v>
      </c>
      <c r="K34" s="122" t="n">
        <f aca="false">I34+J34</f>
        <v>109.815578522813</v>
      </c>
      <c r="L34" s="122" t="n">
        <f aca="false">F34-(I34-AG34)</f>
        <v>40.2155785228132</v>
      </c>
      <c r="M34" s="244" t="n">
        <v>4.2</v>
      </c>
      <c r="N34" s="122" t="n">
        <v>0</v>
      </c>
      <c r="O34" s="122" t="n">
        <v>0</v>
      </c>
      <c r="P34" s="215" t="n">
        <v>0</v>
      </c>
      <c r="Q34" s="215" t="n">
        <f aca="false">1.42*1.02</f>
        <v>1.4484</v>
      </c>
      <c r="R34" s="215" t="n">
        <v>4.2</v>
      </c>
      <c r="S34" s="324" t="n">
        <v>0.27</v>
      </c>
      <c r="T34" s="84" t="n">
        <f aca="false">M34-(Q34+R34+S34)</f>
        <v>-1.7184</v>
      </c>
      <c r="U34" s="122" t="n">
        <v>0</v>
      </c>
      <c r="V34" s="122" t="n">
        <v>0</v>
      </c>
      <c r="W34" s="122" t="n">
        <f aca="false">M34-N34-O34-P34-Q34-R34-S34-T34+U34+V34</f>
        <v>0</v>
      </c>
      <c r="X34" s="95"/>
      <c r="Y34" s="95"/>
      <c r="Z34" s="95"/>
      <c r="AA34" s="122" t="n">
        <v>0</v>
      </c>
      <c r="AB34" s="244"/>
      <c r="AC34" s="245"/>
      <c r="AD34" s="122" t="n">
        <v>31</v>
      </c>
      <c r="AE34" s="95" t="n">
        <f aca="false">AE33-AD34</f>
        <v>1372</v>
      </c>
      <c r="AF34" s="220"/>
      <c r="AG34" s="121" t="n">
        <f aca="false">N34+O34+P34+Q34+R34+S34+T34+W34+AA34+AD34</f>
        <v>35.2</v>
      </c>
      <c r="AH34" s="122" t="n">
        <f aca="false">IF(L34&lt;0,L34*-1,0)</f>
        <v>0</v>
      </c>
      <c r="AI34" s="122" t="n">
        <f aca="false">AG34+AH34</f>
        <v>35.2</v>
      </c>
      <c r="AJ34" s="221" t="n">
        <v>0.19</v>
      </c>
      <c r="AK34" s="133" t="n">
        <v>37</v>
      </c>
      <c r="AL34" s="246" t="n">
        <v>25</v>
      </c>
      <c r="AM34" s="133" t="n">
        <f aca="false">AM33+(W34*1.9835)</f>
        <v>11713.16255</v>
      </c>
      <c r="AN34" s="133"/>
      <c r="AO34" s="122"/>
      <c r="AP34" s="95"/>
      <c r="AQ34" s="319"/>
    </row>
    <row r="35" customFormat="false" ht="12.95" hidden="false" customHeight="true" outlineLevel="0" collapsed="false">
      <c r="A35" s="155" t="n">
        <f aca="false">A34+1</f>
        <v>24</v>
      </c>
      <c r="B35" s="94" t="n">
        <v>6900.72</v>
      </c>
      <c r="C35" s="95" t="n">
        <v>286245</v>
      </c>
      <c r="D35" s="133" t="n">
        <f aca="false">C35-C34</f>
        <v>148</v>
      </c>
      <c r="E35" s="95" t="n">
        <f aca="false">C35-152000</f>
        <v>134245</v>
      </c>
      <c r="F35" s="243" t="n">
        <f aca="false">D35/$D$2</f>
        <v>74.6155785228132</v>
      </c>
      <c r="G35" s="122" t="n">
        <v>68</v>
      </c>
      <c r="H35" s="318" t="n">
        <v>1.8</v>
      </c>
      <c r="I35" s="122" t="n">
        <f aca="false">G35+H35</f>
        <v>69.8</v>
      </c>
      <c r="J35" s="218" t="n">
        <f aca="false">IF(L35&gt;0,L35,0)</f>
        <v>40.1155785228132</v>
      </c>
      <c r="K35" s="122" t="n">
        <f aca="false">I35+J35</f>
        <v>109.915578522813</v>
      </c>
      <c r="L35" s="122" t="n">
        <f aca="false">F35-(I35-AG35)</f>
        <v>40.1155785228132</v>
      </c>
      <c r="M35" s="244" t="n">
        <v>4.3</v>
      </c>
      <c r="N35" s="122" t="n">
        <v>0</v>
      </c>
      <c r="O35" s="122" t="n">
        <v>0</v>
      </c>
      <c r="P35" s="215" t="n">
        <v>0</v>
      </c>
      <c r="Q35" s="215" t="n">
        <f aca="false">1.42*1.02</f>
        <v>1.4484</v>
      </c>
      <c r="R35" s="215" t="n">
        <v>3.54</v>
      </c>
      <c r="S35" s="324" t="n">
        <v>0</v>
      </c>
      <c r="T35" s="84" t="n">
        <f aca="false">M35-(Q35+R35+S35)</f>
        <v>-0.688400000000001</v>
      </c>
      <c r="U35" s="122" t="n">
        <v>0</v>
      </c>
      <c r="V35" s="122" t="n">
        <v>0</v>
      </c>
      <c r="W35" s="122" t="n">
        <f aca="false">M35-N35-O35-P35-Q35-R35-S35-T35+U35+V35</f>
        <v>0</v>
      </c>
      <c r="X35" s="95"/>
      <c r="Y35" s="95"/>
      <c r="Z35" s="95"/>
      <c r="AA35" s="122" t="n">
        <v>0</v>
      </c>
      <c r="AB35" s="244"/>
      <c r="AC35" s="245"/>
      <c r="AD35" s="122" t="n">
        <v>31</v>
      </c>
      <c r="AE35" s="95" t="n">
        <f aca="false">AE34-AD35</f>
        <v>1341</v>
      </c>
      <c r="AF35" s="220"/>
      <c r="AG35" s="121" t="n">
        <f aca="false">N35+O35+P35+Q35+R35+S35+T35+W35+AA35+AD35</f>
        <v>35.3</v>
      </c>
      <c r="AH35" s="122" t="n">
        <f aca="false">IF(L35&lt;0,L35*-1,0)</f>
        <v>0</v>
      </c>
      <c r="AI35" s="122" t="n">
        <f aca="false">AG35+AH35</f>
        <v>35.3</v>
      </c>
      <c r="AJ35" s="221" t="n">
        <v>0.15</v>
      </c>
      <c r="AK35" s="133" t="n">
        <v>36</v>
      </c>
      <c r="AL35" s="246" t="n">
        <v>24</v>
      </c>
      <c r="AM35" s="133" t="n">
        <f aca="false">AM34+(W35*1.9835)</f>
        <v>11713.16255</v>
      </c>
      <c r="AN35" s="133"/>
      <c r="AO35" s="122"/>
      <c r="AP35" s="95"/>
      <c r="AQ35" s="319"/>
    </row>
    <row r="36" customFormat="false" ht="12.95" hidden="false" customHeight="true" outlineLevel="0" collapsed="false">
      <c r="A36" s="155" t="n">
        <f aca="false">A35+1</f>
        <v>25</v>
      </c>
      <c r="B36" s="94" t="n">
        <v>6900.75</v>
      </c>
      <c r="C36" s="95" t="n">
        <v>286356</v>
      </c>
      <c r="D36" s="133" t="n">
        <f aca="false">C36-C35</f>
        <v>111</v>
      </c>
      <c r="E36" s="95" t="n">
        <f aca="false">C36-152000</f>
        <v>134356</v>
      </c>
      <c r="F36" s="243" t="n">
        <f aca="false">D36/$D$2</f>
        <v>55.9616838921099</v>
      </c>
      <c r="G36" s="122" t="n">
        <v>68</v>
      </c>
      <c r="H36" s="318" t="n">
        <v>1.8</v>
      </c>
      <c r="I36" s="122" t="n">
        <f aca="false">G36+H36</f>
        <v>69.8</v>
      </c>
      <c r="J36" s="218" t="n">
        <f aca="false">IF(L36&gt;0,L36,0)</f>
        <v>22.1616838921099</v>
      </c>
      <c r="K36" s="122" t="n">
        <f aca="false">I36+J36</f>
        <v>91.9616838921099</v>
      </c>
      <c r="L36" s="122" t="n">
        <f aca="false">F36-(I36-AG36)</f>
        <v>22.1616838921099</v>
      </c>
      <c r="M36" s="244" t="n">
        <v>4</v>
      </c>
      <c r="N36" s="122" t="n">
        <v>0</v>
      </c>
      <c r="O36" s="122" t="n">
        <v>0</v>
      </c>
      <c r="P36" s="215" t="n">
        <v>0</v>
      </c>
      <c r="Q36" s="215" t="n">
        <f aca="false">1.42*1.02</f>
        <v>1.4484</v>
      </c>
      <c r="R36" s="215" t="n">
        <v>4.2</v>
      </c>
      <c r="S36" s="324" t="n">
        <v>0.16</v>
      </c>
      <c r="T36" s="84" t="n">
        <f aca="false">M36-(Q36+R36+S36)</f>
        <v>-1.8084</v>
      </c>
      <c r="U36" s="122" t="n">
        <v>0</v>
      </c>
      <c r="V36" s="122" t="n">
        <v>0</v>
      </c>
      <c r="W36" s="122" t="n">
        <f aca="false">M36-N36-O36-P36-Q36-R36-S36-T36+U36+V36</f>
        <v>0</v>
      </c>
      <c r="X36" s="95"/>
      <c r="Y36" s="95"/>
      <c r="Z36" s="95"/>
      <c r="AA36" s="122" t="n">
        <v>0</v>
      </c>
      <c r="AB36" s="244"/>
      <c r="AC36" s="245"/>
      <c r="AD36" s="122" t="n">
        <v>32</v>
      </c>
      <c r="AE36" s="95" t="n">
        <f aca="false">AE35-AD36</f>
        <v>1309</v>
      </c>
      <c r="AF36" s="220"/>
      <c r="AG36" s="121" t="n">
        <f aca="false">N36+O36+P36+Q36+R36+S36+T36+W36+AA36+AD36</f>
        <v>36</v>
      </c>
      <c r="AH36" s="122" t="n">
        <f aca="false">IF(L36&lt;0,L36*-1,0)</f>
        <v>0</v>
      </c>
      <c r="AI36" s="122" t="n">
        <f aca="false">AG36+AH36</f>
        <v>36</v>
      </c>
      <c r="AJ36" s="221" t="n">
        <v>0.1</v>
      </c>
      <c r="AK36" s="133" t="n">
        <v>41</v>
      </c>
      <c r="AL36" s="246" t="n">
        <v>24</v>
      </c>
      <c r="AM36" s="133" t="n">
        <f aca="false">AM35+(W36*1.9835)</f>
        <v>11713.16255</v>
      </c>
      <c r="AN36" s="133"/>
      <c r="AO36" s="122"/>
      <c r="AP36" s="95"/>
      <c r="AQ36" s="319"/>
    </row>
    <row r="37" customFormat="false" ht="12.95" hidden="false" customHeight="true" outlineLevel="0" collapsed="false">
      <c r="A37" s="155" t="n">
        <f aca="false">A36+1</f>
        <v>26</v>
      </c>
      <c r="B37" s="94" t="n">
        <v>6900.78</v>
      </c>
      <c r="C37" s="95" t="n">
        <v>286467</v>
      </c>
      <c r="D37" s="133" t="n">
        <f aca="false">C37-C36</f>
        <v>111</v>
      </c>
      <c r="E37" s="95" t="n">
        <f aca="false">C37-152000</f>
        <v>134467</v>
      </c>
      <c r="F37" s="243" t="n">
        <f aca="false">D37/$D$2</f>
        <v>55.9616838921099</v>
      </c>
      <c r="G37" s="122" t="n">
        <v>68</v>
      </c>
      <c r="H37" s="318" t="n">
        <v>1.8</v>
      </c>
      <c r="I37" s="122" t="n">
        <f aca="false">G37+H37</f>
        <v>69.8</v>
      </c>
      <c r="J37" s="218" t="n">
        <f aca="false">IF(L37&gt;0,L37,0)</f>
        <v>27.2616838921099</v>
      </c>
      <c r="K37" s="122" t="n">
        <f aca="false">I37+J37</f>
        <v>97.0616838921099</v>
      </c>
      <c r="L37" s="122" t="n">
        <f aca="false">F37-(I37-AG37)</f>
        <v>27.2616838921099</v>
      </c>
      <c r="M37" s="244" t="n">
        <v>4.1</v>
      </c>
      <c r="N37" s="122" t="n">
        <v>0</v>
      </c>
      <c r="O37" s="122" t="n">
        <v>0</v>
      </c>
      <c r="P37" s="215" t="n">
        <v>0</v>
      </c>
      <c r="Q37" s="215" t="n">
        <f aca="false">1.42*1.02</f>
        <v>1.4484</v>
      </c>
      <c r="R37" s="215" t="n">
        <v>3.55</v>
      </c>
      <c r="S37" s="324" t="n">
        <v>0</v>
      </c>
      <c r="T37" s="84" t="n">
        <f aca="false">M37-(Q37+R37+S37)</f>
        <v>-0.898400000000001</v>
      </c>
      <c r="U37" s="122" t="n">
        <v>0</v>
      </c>
      <c r="V37" s="122" t="n">
        <v>0</v>
      </c>
      <c r="W37" s="122" t="n">
        <f aca="false">M37-N37-O37-P37-Q37-R37-S37-T37+U37+V37</f>
        <v>0</v>
      </c>
      <c r="X37" s="95"/>
      <c r="Y37" s="95"/>
      <c r="Z37" s="95"/>
      <c r="AA37" s="122" t="n">
        <v>0</v>
      </c>
      <c r="AB37" s="244"/>
      <c r="AC37" s="245"/>
      <c r="AD37" s="122" t="n">
        <v>37</v>
      </c>
      <c r="AE37" s="95" t="n">
        <f aca="false">AE36-AD37</f>
        <v>1272</v>
      </c>
      <c r="AF37" s="220"/>
      <c r="AG37" s="121" t="n">
        <f aca="false">N37+O37+P37+Q37+R37+S37+T37+W37+AA37+AD37</f>
        <v>41.1</v>
      </c>
      <c r="AH37" s="122" t="n">
        <f aca="false">IF(L37&lt;0,L37*-1,0)</f>
        <v>0</v>
      </c>
      <c r="AI37" s="122" t="n">
        <f aca="false">AG37+AH37</f>
        <v>41.1</v>
      </c>
      <c r="AJ37" s="221" t="n">
        <v>0</v>
      </c>
      <c r="AK37" s="133" t="n">
        <v>43</v>
      </c>
      <c r="AL37" s="222" t="n">
        <v>14</v>
      </c>
      <c r="AM37" s="133" t="n">
        <f aca="false">AM36+(W37*1.9835)</f>
        <v>11713.16255</v>
      </c>
      <c r="AN37" s="133"/>
      <c r="AO37" s="122"/>
      <c r="AP37" s="95"/>
      <c r="AQ37" s="319"/>
    </row>
    <row r="38" customFormat="false" ht="12.95" hidden="false" customHeight="true" outlineLevel="0" collapsed="false">
      <c r="A38" s="155" t="n">
        <f aca="false">A37+1</f>
        <v>27</v>
      </c>
      <c r="B38" s="94" t="n">
        <v>6900.79</v>
      </c>
      <c r="C38" s="95" t="n">
        <v>286504</v>
      </c>
      <c r="D38" s="133" t="n">
        <f aca="false">C38-C37</f>
        <v>37</v>
      </c>
      <c r="E38" s="95" t="n">
        <f aca="false">C38-152000</f>
        <v>134504</v>
      </c>
      <c r="F38" s="243" t="n">
        <f aca="false">D38/$D$2</f>
        <v>18.6538946307033</v>
      </c>
      <c r="G38" s="122" t="n">
        <v>69</v>
      </c>
      <c r="H38" s="318" t="n">
        <v>1.8</v>
      </c>
      <c r="I38" s="122" t="n">
        <f aca="false">G38+H38</f>
        <v>70.8</v>
      </c>
      <c r="J38" s="218" t="n">
        <f aca="false">IF(L38&gt;0,L38,0)</f>
        <v>0</v>
      </c>
      <c r="K38" s="122" t="n">
        <f aca="false">I38+J38</f>
        <v>70.8</v>
      </c>
      <c r="L38" s="122" t="n">
        <f aca="false">F38-(I38-AG38)</f>
        <v>-2.54610536929669</v>
      </c>
      <c r="M38" s="244" t="n">
        <v>4.6</v>
      </c>
      <c r="N38" s="122" t="n">
        <v>0</v>
      </c>
      <c r="O38" s="122" t="n">
        <v>0</v>
      </c>
      <c r="P38" s="215" t="n">
        <v>0</v>
      </c>
      <c r="Q38" s="215" t="n">
        <f aca="false">1.42*1.02</f>
        <v>1.4484</v>
      </c>
      <c r="R38" s="215" t="n">
        <v>3.27</v>
      </c>
      <c r="S38" s="324" t="n">
        <v>0</v>
      </c>
      <c r="T38" s="84" t="n">
        <f aca="false">M38-(Q38+R38+S38)</f>
        <v>-0.1184</v>
      </c>
      <c r="U38" s="122" t="n">
        <v>0</v>
      </c>
      <c r="V38" s="122" t="n">
        <v>0</v>
      </c>
      <c r="W38" s="122" t="n">
        <f aca="false">M38-N38-O38-P38-Q38-R38-S38-T38+U38+V38</f>
        <v>0</v>
      </c>
      <c r="X38" s="95"/>
      <c r="Y38" s="95"/>
      <c r="Z38" s="95"/>
      <c r="AA38" s="122" t="n">
        <v>0</v>
      </c>
      <c r="AB38" s="244"/>
      <c r="AC38" s="245"/>
      <c r="AD38" s="122" t="n">
        <v>45</v>
      </c>
      <c r="AE38" s="95" t="n">
        <f aca="false">AE37-AD38</f>
        <v>1227</v>
      </c>
      <c r="AF38" s="220"/>
      <c r="AG38" s="121" t="n">
        <f aca="false">N38+O38+P38+Q38+R38+S38+T38+W38+AA38+AD38</f>
        <v>49.6</v>
      </c>
      <c r="AH38" s="122" t="n">
        <f aca="false">IF(L38&lt;0,L38*-1,0)</f>
        <v>2.54610536929669</v>
      </c>
      <c r="AI38" s="122" t="n">
        <f aca="false">AG38+AH38</f>
        <v>52.1461053692967</v>
      </c>
      <c r="AJ38" s="221" t="n">
        <v>0</v>
      </c>
      <c r="AK38" s="133" t="n">
        <v>43</v>
      </c>
      <c r="AL38" s="222" t="n">
        <v>10</v>
      </c>
      <c r="AM38" s="133" t="n">
        <f aca="false">AM37+(W38*1.9835)</f>
        <v>11713.16255</v>
      </c>
      <c r="AN38" s="133"/>
      <c r="AO38" s="122"/>
      <c r="AP38" s="95"/>
      <c r="AQ38" s="319"/>
    </row>
    <row r="39" customFormat="false" ht="12.95" hidden="false" customHeight="true" outlineLevel="0" collapsed="false">
      <c r="A39" s="155" t="n">
        <v>28</v>
      </c>
      <c r="B39" s="94" t="n">
        <v>6900.8</v>
      </c>
      <c r="C39" s="95" t="n">
        <v>286541</v>
      </c>
      <c r="D39" s="133" t="n">
        <f aca="false">C39-C38</f>
        <v>37</v>
      </c>
      <c r="E39" s="95" t="n">
        <f aca="false">C39-152000</f>
        <v>134541</v>
      </c>
      <c r="F39" s="243" t="n">
        <f aca="false">D39/$D$2</f>
        <v>18.6538946307033</v>
      </c>
      <c r="G39" s="122" t="n">
        <v>71</v>
      </c>
      <c r="H39" s="318" t="n">
        <v>1.8</v>
      </c>
      <c r="I39" s="122" t="n">
        <f aca="false">G39+H39</f>
        <v>72.8</v>
      </c>
      <c r="J39" s="218" t="n">
        <f aca="false">IF(L39&gt;0,L39,0)</f>
        <v>0</v>
      </c>
      <c r="K39" s="122" t="n">
        <f aca="false">I39+J39</f>
        <v>72.8</v>
      </c>
      <c r="L39" s="122" t="n">
        <f aca="false">F39-(I39-AG39)</f>
        <v>-4.3461053692967</v>
      </c>
      <c r="M39" s="244" t="n">
        <v>4.8</v>
      </c>
      <c r="N39" s="122" t="n">
        <v>0</v>
      </c>
      <c r="O39" s="122" t="n">
        <v>0</v>
      </c>
      <c r="P39" s="215" t="n">
        <v>0</v>
      </c>
      <c r="Q39" s="215" t="n">
        <f aca="false">1.42*1.02</f>
        <v>1.4484</v>
      </c>
      <c r="R39" s="215" t="n">
        <v>3.5</v>
      </c>
      <c r="S39" s="324" t="n">
        <v>0</v>
      </c>
      <c r="T39" s="84" t="n">
        <f aca="false">M39-(Q39+R39+S39)</f>
        <v>-0.1484</v>
      </c>
      <c r="U39" s="122" t="n">
        <v>0</v>
      </c>
      <c r="V39" s="122" t="n">
        <v>0</v>
      </c>
      <c r="W39" s="122" t="n">
        <f aca="false">M39-N39-O39-P39-Q39-R39-S39-T39+U39+V39</f>
        <v>0</v>
      </c>
      <c r="X39" s="95"/>
      <c r="Y39" s="95"/>
      <c r="Z39" s="95"/>
      <c r="AA39" s="122" t="n">
        <v>0</v>
      </c>
      <c r="AB39" s="244"/>
      <c r="AC39" s="245"/>
      <c r="AD39" s="122" t="n">
        <v>45</v>
      </c>
      <c r="AE39" s="95" t="n">
        <f aca="false">AE38-AD39</f>
        <v>1182</v>
      </c>
      <c r="AF39" s="220"/>
      <c r="AG39" s="121" t="n">
        <f aca="false">N39+O39+P39+Q39+R39+S39+T39+W39+AA39+AD39</f>
        <v>49.8</v>
      </c>
      <c r="AH39" s="122" t="n">
        <f aca="false">IF(L39&lt;0,L39*-1,0)</f>
        <v>4.3461053692967</v>
      </c>
      <c r="AI39" s="122" t="n">
        <f aca="false">AG39+AH39</f>
        <v>54.1461053692967</v>
      </c>
      <c r="AJ39" s="221" t="n">
        <v>0</v>
      </c>
      <c r="AK39" s="133" t="n">
        <v>48</v>
      </c>
      <c r="AL39" s="222" t="n">
        <v>21</v>
      </c>
      <c r="AM39" s="133" t="n">
        <f aca="false">AM38+(W39*1.9835)</f>
        <v>11713.16255</v>
      </c>
      <c r="AN39" s="133"/>
      <c r="AO39" s="122"/>
      <c r="AP39" s="95"/>
      <c r="AQ39" s="319"/>
    </row>
    <row r="40" customFormat="false" ht="12.95" hidden="false" customHeight="true" outlineLevel="0" collapsed="false">
      <c r="A40" s="155" t="n">
        <v>29</v>
      </c>
      <c r="B40" s="94" t="n">
        <v>6900.82</v>
      </c>
      <c r="C40" s="95" t="n">
        <v>286616</v>
      </c>
      <c r="D40" s="133" t="n">
        <f aca="false">C40-C39</f>
        <v>75</v>
      </c>
      <c r="E40" s="95" t="n">
        <f aca="false">C40-152000</f>
        <v>134616</v>
      </c>
      <c r="F40" s="243" t="n">
        <f aca="false">D40/$D$2</f>
        <v>37.8119485757499</v>
      </c>
      <c r="G40" s="122" t="n">
        <v>74</v>
      </c>
      <c r="H40" s="318" t="n">
        <v>1.9</v>
      </c>
      <c r="I40" s="122" t="n">
        <f aca="false">G40+H40</f>
        <v>75.9</v>
      </c>
      <c r="J40" s="218" t="n">
        <f aca="false">IF(L40&gt;0,L40,0)</f>
        <v>11.5119485757499</v>
      </c>
      <c r="K40" s="122" t="n">
        <f aca="false">I40+J40</f>
        <v>87.4119485757499</v>
      </c>
      <c r="L40" s="122" t="n">
        <f aca="false">F40-(I40-AG40)</f>
        <v>11.5119485757499</v>
      </c>
      <c r="M40" s="244" t="n">
        <v>4.6</v>
      </c>
      <c r="N40" s="122" t="n">
        <v>0</v>
      </c>
      <c r="O40" s="122" t="n">
        <v>0</v>
      </c>
      <c r="P40" s="215" t="n">
        <v>0</v>
      </c>
      <c r="Q40" s="215" t="n">
        <f aca="false">1.42*1.02</f>
        <v>1.4484</v>
      </c>
      <c r="R40" s="215" t="n">
        <v>3.09</v>
      </c>
      <c r="S40" s="324" t="n">
        <v>0</v>
      </c>
      <c r="T40" s="84" t="n">
        <f aca="false">M40-(Q40+R40+S40)</f>
        <v>0.0616000000000003</v>
      </c>
      <c r="U40" s="122" t="n">
        <v>0</v>
      </c>
      <c r="V40" s="122" t="n">
        <v>0</v>
      </c>
      <c r="W40" s="122" t="n">
        <f aca="false">M40-N40-O40-P40-Q40-R40-S40-T40+U40+V40</f>
        <v>-4.44089209850063E-016</v>
      </c>
      <c r="X40" s="95"/>
      <c r="Y40" s="95"/>
      <c r="Z40" s="95"/>
      <c r="AA40" s="122" t="n">
        <v>0</v>
      </c>
      <c r="AB40" s="244"/>
      <c r="AC40" s="245"/>
      <c r="AD40" s="122" t="n">
        <v>45</v>
      </c>
      <c r="AE40" s="95" t="n">
        <f aca="false">AE39-AD40</f>
        <v>1137</v>
      </c>
      <c r="AF40" s="220"/>
      <c r="AG40" s="121" t="n">
        <f aca="false">N40+O40+P40+Q40+R40+S40+T40+W40+AA40+AD40</f>
        <v>49.6</v>
      </c>
      <c r="AH40" s="122" t="n">
        <f aca="false">IF(L40&lt;0,L40*-1,0)</f>
        <v>0</v>
      </c>
      <c r="AI40" s="122" t="n">
        <f aca="false">AG40+AH40</f>
        <v>49.6</v>
      </c>
      <c r="AJ40" s="221" t="n">
        <v>0</v>
      </c>
      <c r="AK40" s="133" t="n">
        <v>50</v>
      </c>
      <c r="AL40" s="222" t="n">
        <v>19</v>
      </c>
      <c r="AM40" s="133" t="n">
        <f aca="false">AM39+(W40*1.9835)</f>
        <v>11713.16255</v>
      </c>
      <c r="AN40" s="133"/>
      <c r="AO40" s="122"/>
      <c r="AP40" s="95"/>
      <c r="AQ40" s="319"/>
    </row>
    <row r="41" customFormat="false" ht="3" hidden="false" customHeight="true" outlineLevel="0" collapsed="false">
      <c r="A41" s="327"/>
      <c r="B41" s="247"/>
      <c r="C41" s="231"/>
      <c r="D41" s="231"/>
      <c r="E41" s="231"/>
      <c r="F41" s="250"/>
      <c r="G41" s="231"/>
      <c r="H41" s="240"/>
      <c r="I41" s="231"/>
      <c r="J41" s="231"/>
      <c r="K41" s="231"/>
      <c r="L41" s="231"/>
      <c r="M41" s="251"/>
      <c r="N41" s="231"/>
      <c r="O41" s="231"/>
      <c r="P41" s="234"/>
      <c r="Q41" s="231"/>
      <c r="R41" s="231"/>
      <c r="S41" s="240"/>
      <c r="T41" s="236"/>
      <c r="U41" s="231"/>
      <c r="V41" s="231"/>
      <c r="W41" s="231"/>
      <c r="X41" s="231"/>
      <c r="Y41" s="231"/>
      <c r="Z41" s="231"/>
      <c r="AA41" s="231"/>
      <c r="AB41" s="251"/>
      <c r="AC41" s="252"/>
      <c r="AD41" s="231"/>
      <c r="AE41" s="232"/>
      <c r="AF41" s="328"/>
      <c r="AG41" s="231"/>
      <c r="AH41" s="231"/>
      <c r="AI41" s="231"/>
      <c r="AJ41" s="253"/>
      <c r="AK41" s="231"/>
      <c r="AL41" s="250"/>
      <c r="AM41" s="240"/>
      <c r="AN41" s="240"/>
      <c r="AO41" s="231"/>
      <c r="AP41" s="231"/>
      <c r="AQ41" s="240"/>
      <c r="AR41" s="323"/>
      <c r="AS41" s="323"/>
    </row>
    <row r="42" customFormat="false" ht="12.95" hidden="false" customHeight="true" outlineLevel="0" collapsed="false">
      <c r="A42" s="160" t="s">
        <v>79</v>
      </c>
      <c r="B42" s="329"/>
      <c r="C42" s="133"/>
      <c r="D42" s="133"/>
      <c r="E42" s="133"/>
      <c r="F42" s="222" t="n">
        <f aca="false">SUM(F12:F40)</f>
        <v>280.312578774893</v>
      </c>
      <c r="G42" s="133" t="n">
        <f aca="false">SUM(G12:G40)</f>
        <v>1986</v>
      </c>
      <c r="H42" s="133" t="n">
        <f aca="false">SUM(H12:H40)</f>
        <v>41.16</v>
      </c>
      <c r="I42" s="133" t="n">
        <f aca="false">SUM(I12:I40)</f>
        <v>2027.16</v>
      </c>
      <c r="J42" s="133" t="n">
        <f aca="false">SUM(J12:J40)</f>
        <v>552.473839173179</v>
      </c>
      <c r="K42" s="133" t="n">
        <f aca="false">SUM(K12:K40)</f>
        <v>2579.63383917318</v>
      </c>
      <c r="L42" s="133" t="n">
        <f aca="false">SUM(L12:L40)</f>
        <v>361.252578774893</v>
      </c>
      <c r="M42" s="330" t="n">
        <f aca="false">SUM(M12:M40)</f>
        <v>118.1</v>
      </c>
      <c r="N42" s="133" t="n">
        <f aca="false">SUM(N12:N40)</f>
        <v>0</v>
      </c>
      <c r="O42" s="133" t="n">
        <f aca="false">SUM(O12:O40)</f>
        <v>0</v>
      </c>
      <c r="P42" s="133" t="n">
        <f aca="false">SUM(P12:P40)</f>
        <v>0</v>
      </c>
      <c r="Q42" s="133" t="n">
        <f aca="false">SUM(Q12:Q40)</f>
        <v>42.0036</v>
      </c>
      <c r="R42" s="133" t="n">
        <f aca="false">SUM(R12:R40)</f>
        <v>105.19</v>
      </c>
      <c r="S42" s="133" t="n">
        <f aca="false">SUM(S12:S40)</f>
        <v>1.08</v>
      </c>
      <c r="T42" s="331" t="n">
        <f aca="false">SUM(T12:T40)</f>
        <v>-30.1736</v>
      </c>
      <c r="U42" s="133" t="n">
        <f aca="false">SUM(U12:U40)</f>
        <v>1041</v>
      </c>
      <c r="V42" s="133" t="n">
        <f aca="false">SUM(V12:V40)</f>
        <v>0</v>
      </c>
      <c r="W42" s="133" t="n">
        <f aca="false">SUM(W12:W40)</f>
        <v>1041</v>
      </c>
      <c r="X42" s="133"/>
      <c r="Y42" s="133"/>
      <c r="Z42" s="133"/>
      <c r="AA42" s="133"/>
      <c r="AB42" s="244"/>
      <c r="AC42" s="245"/>
      <c r="AD42" s="133" t="n">
        <f aca="false">SUM(AD12:AD40)</f>
        <v>949</v>
      </c>
      <c r="AE42" s="133"/>
      <c r="AF42" s="133" t="n">
        <f aca="false">SUM(AF12:AF40)</f>
        <v>0</v>
      </c>
      <c r="AG42" s="133" t="n">
        <f aca="false">SUM(AG12:AG40)</f>
        <v>2108.1</v>
      </c>
      <c r="AH42" s="133" t="n">
        <f aca="false">SUM(AH12:AH40)</f>
        <v>191.221260398286</v>
      </c>
      <c r="AI42" s="133" t="n">
        <f aca="false">SUM(AI12:AI40)</f>
        <v>2299.32126039829</v>
      </c>
      <c r="AJ42" s="221" t="n">
        <f aca="false">SUM(AJ12:AJ40)</f>
        <v>2.01</v>
      </c>
      <c r="AK42" s="133" t="n">
        <f aca="false">AVERAGE(AK12:AK40)</f>
        <v>38.5172413793103</v>
      </c>
      <c r="AL42" s="222" t="n">
        <f aca="false">AVERAGE(AL12:AL40)</f>
        <v>13.8965517241379</v>
      </c>
      <c r="AM42" s="133" t="s">
        <v>101</v>
      </c>
      <c r="AN42" s="133" t="n">
        <f aca="false">SUM(AN12:AN40)</f>
        <v>0</v>
      </c>
      <c r="AO42" s="122"/>
      <c r="AP42" s="122"/>
      <c r="AQ42" s="319"/>
    </row>
    <row r="43" customFormat="false" ht="12.95" hidden="false" customHeight="true" outlineLevel="0" collapsed="false">
      <c r="A43" s="160" t="s">
        <v>81</v>
      </c>
      <c r="B43" s="329"/>
      <c r="C43" s="133"/>
      <c r="D43" s="133" t="n">
        <f aca="false">SUM(D12:D39)</f>
        <v>481</v>
      </c>
      <c r="E43" s="133"/>
      <c r="F43" s="222" t="n">
        <f aca="false">F42*$D$2</f>
        <v>556</v>
      </c>
      <c r="G43" s="133" t="n">
        <f aca="false">G42*$D$2</f>
        <v>3939.231</v>
      </c>
      <c r="H43" s="133" t="n">
        <f aca="false">H42*$D$2</f>
        <v>81.64086</v>
      </c>
      <c r="I43" s="133" t="n">
        <f aca="false">I42*$D$2</f>
        <v>4020.87186</v>
      </c>
      <c r="J43" s="133" t="n">
        <f aca="false">J42*$D$2</f>
        <v>1095.83186</v>
      </c>
      <c r="K43" s="133" t="n">
        <f aca="false">K42*$D$2</f>
        <v>5116.70372</v>
      </c>
      <c r="L43" s="133" t="n">
        <f aca="false">L42*$D$2</f>
        <v>716.54449</v>
      </c>
      <c r="M43" s="332" t="n">
        <f aca="false">M42*$D$2</f>
        <v>234.25135</v>
      </c>
      <c r="N43" s="133" t="n">
        <f aca="false">N42*$D$2</f>
        <v>0</v>
      </c>
      <c r="O43" s="133" t="n">
        <f aca="false">O42*$D$2</f>
        <v>0</v>
      </c>
      <c r="P43" s="215"/>
      <c r="Q43" s="133" t="n">
        <f aca="false">Q42*$D$2</f>
        <v>83.3141406</v>
      </c>
      <c r="R43" s="133" t="n">
        <f aca="false">R42*$D$2</f>
        <v>208.644365</v>
      </c>
      <c r="S43" s="133" t="n">
        <f aca="false">S42*$D$2</f>
        <v>2.14218</v>
      </c>
      <c r="T43" s="217" t="n">
        <f aca="false">T42*$D$2</f>
        <v>-59.8493356</v>
      </c>
      <c r="U43" s="133" t="n">
        <f aca="false">U42*$D$2</f>
        <v>2064.8235</v>
      </c>
      <c r="V43" s="133" t="n">
        <f aca="false">V42*$D$2</f>
        <v>0</v>
      </c>
      <c r="W43" s="133" t="n">
        <f aca="false">W42*$D$2</f>
        <v>2064.8235</v>
      </c>
      <c r="X43" s="133"/>
      <c r="Y43" s="133"/>
      <c r="Z43" s="133"/>
      <c r="AA43" s="133"/>
      <c r="AB43" s="244"/>
      <c r="AC43" s="245"/>
      <c r="AD43" s="133" t="n">
        <f aca="false">AD42*$D$2</f>
        <v>1882.3415</v>
      </c>
      <c r="AE43" s="133"/>
      <c r="AF43" s="133" t="n">
        <f aca="false">AF42*$D$2</f>
        <v>0</v>
      </c>
      <c r="AG43" s="133" t="n">
        <f aca="false">AG42*$D$2</f>
        <v>4181.41635</v>
      </c>
      <c r="AH43" s="133" t="n">
        <f aca="false">AH42*$D$2</f>
        <v>379.28737</v>
      </c>
      <c r="AI43" s="133" t="n">
        <f aca="false">AI42*$D$2</f>
        <v>4560.70372</v>
      </c>
      <c r="AJ43" s="221"/>
      <c r="AK43" s="133" t="n">
        <f aca="false">MAX(AK12:AK40)</f>
        <v>50</v>
      </c>
      <c r="AL43" s="222" t="n">
        <f aca="false">MAX(AL12:AL40)</f>
        <v>29</v>
      </c>
      <c r="AM43" s="133" t="s">
        <v>82</v>
      </c>
      <c r="AN43" s="133" t="n">
        <f aca="false">AN42*$D$2</f>
        <v>0</v>
      </c>
      <c r="AO43" s="122"/>
      <c r="AP43" s="122"/>
      <c r="AQ43" s="319"/>
    </row>
    <row r="44" customFormat="false" ht="3" hidden="false" customHeight="true" outlineLevel="0" collapsed="false">
      <c r="A44" s="327"/>
      <c r="B44" s="247"/>
      <c r="C44" s="231"/>
      <c r="D44" s="231"/>
      <c r="E44" s="231"/>
      <c r="F44" s="250"/>
      <c r="G44" s="231"/>
      <c r="H44" s="240"/>
      <c r="I44" s="231"/>
      <c r="J44" s="231"/>
      <c r="K44" s="231"/>
      <c r="L44" s="231"/>
      <c r="M44" s="251"/>
      <c r="N44" s="231"/>
      <c r="O44" s="231"/>
      <c r="P44" s="234"/>
      <c r="Q44" s="231"/>
      <c r="R44" s="231"/>
      <c r="S44" s="240"/>
      <c r="T44" s="236"/>
      <c r="U44" s="231"/>
      <c r="V44" s="231"/>
      <c r="W44" s="231"/>
      <c r="X44" s="231"/>
      <c r="Y44" s="231"/>
      <c r="Z44" s="231"/>
      <c r="AA44" s="231"/>
      <c r="AB44" s="251"/>
      <c r="AC44" s="252"/>
      <c r="AD44" s="231"/>
      <c r="AE44" s="232"/>
      <c r="AF44" s="231"/>
      <c r="AG44" s="231"/>
      <c r="AH44" s="231"/>
      <c r="AI44" s="231"/>
      <c r="AJ44" s="253"/>
      <c r="AK44" s="231"/>
      <c r="AL44" s="250"/>
      <c r="AM44" s="240"/>
      <c r="AN44" s="240"/>
      <c r="AO44" s="231"/>
      <c r="AP44" s="231"/>
      <c r="AQ44" s="240"/>
      <c r="AR44" s="323"/>
      <c r="AS44" s="323"/>
    </row>
    <row r="45" customFormat="false" ht="12.95" hidden="false" customHeight="true" outlineLevel="0" collapsed="false">
      <c r="A45" s="160" t="s">
        <v>83</v>
      </c>
      <c r="B45" s="329"/>
      <c r="C45" s="133"/>
      <c r="D45" s="133"/>
      <c r="E45" s="133"/>
      <c r="F45" s="222"/>
      <c r="G45" s="133"/>
      <c r="H45" s="133"/>
      <c r="I45" s="133"/>
      <c r="J45" s="133"/>
      <c r="K45" s="133"/>
      <c r="L45" s="133"/>
      <c r="M45" s="332"/>
      <c r="N45" s="133"/>
      <c r="O45" s="133"/>
      <c r="P45" s="215"/>
      <c r="Q45" s="133"/>
      <c r="R45" s="133"/>
      <c r="S45" s="133"/>
      <c r="T45" s="217"/>
      <c r="U45" s="133"/>
      <c r="V45" s="133"/>
      <c r="W45" s="133"/>
      <c r="X45" s="133"/>
      <c r="Y45" s="133"/>
      <c r="Z45" s="133"/>
      <c r="AA45" s="133"/>
      <c r="AB45" s="244"/>
      <c r="AC45" s="245"/>
      <c r="AD45" s="133"/>
      <c r="AE45" s="133"/>
      <c r="AF45" s="133"/>
      <c r="AG45" s="133"/>
      <c r="AH45" s="133"/>
      <c r="AI45" s="133"/>
      <c r="AJ45" s="329"/>
      <c r="AK45" s="133" t="n">
        <f aca="false">MIN(AK12:AK40)</f>
        <v>25</v>
      </c>
      <c r="AL45" s="222" t="n">
        <f aca="false">MIN(AL12:AL40)</f>
        <v>-5</v>
      </c>
      <c r="AM45" s="133" t="s">
        <v>84</v>
      </c>
      <c r="AN45" s="133"/>
      <c r="AO45" s="133"/>
      <c r="AP45" s="133"/>
      <c r="AQ45" s="333"/>
    </row>
    <row r="46" customFormat="false" ht="12.95" hidden="false" customHeight="true" outlineLevel="0" collapsed="false">
      <c r="A46" s="160" t="s">
        <v>85</v>
      </c>
      <c r="B46" s="329"/>
      <c r="C46" s="133"/>
      <c r="D46" s="133"/>
      <c r="E46" s="133"/>
      <c r="F46" s="222"/>
      <c r="G46" s="133"/>
      <c r="H46" s="133"/>
      <c r="I46" s="133"/>
      <c r="J46" s="133"/>
      <c r="K46" s="133"/>
      <c r="L46" s="133"/>
      <c r="M46" s="332"/>
      <c r="N46" s="133"/>
      <c r="O46" s="133"/>
      <c r="P46" s="215"/>
      <c r="Q46" s="133"/>
      <c r="R46" s="133"/>
      <c r="S46" s="133"/>
      <c r="T46" s="217"/>
      <c r="U46" s="133"/>
      <c r="V46" s="133"/>
      <c r="W46" s="133"/>
      <c r="X46" s="133"/>
      <c r="Y46" s="133"/>
      <c r="Z46" s="133"/>
      <c r="AA46" s="133"/>
      <c r="AB46" s="244"/>
      <c r="AC46" s="245"/>
      <c r="AD46" s="133"/>
      <c r="AE46" s="133"/>
      <c r="AF46" s="133"/>
      <c r="AG46" s="133"/>
      <c r="AH46" s="133"/>
      <c r="AI46" s="133"/>
      <c r="AJ46" s="329"/>
      <c r="AK46" s="133"/>
      <c r="AL46" s="222"/>
      <c r="AM46" s="133"/>
      <c r="AN46" s="133"/>
      <c r="AO46" s="133"/>
      <c r="AP46" s="133"/>
      <c r="AQ46" s="333"/>
    </row>
    <row r="47" customFormat="false" ht="3" hidden="false" customHeight="true" outlineLevel="0" collapsed="false">
      <c r="A47" s="327"/>
      <c r="B47" s="334"/>
      <c r="C47" s="240"/>
      <c r="D47" s="240"/>
      <c r="E47" s="240"/>
      <c r="F47" s="241"/>
      <c r="G47" s="240"/>
      <c r="H47" s="240"/>
      <c r="I47" s="240"/>
      <c r="J47" s="240"/>
      <c r="K47" s="240"/>
      <c r="L47" s="240"/>
      <c r="M47" s="335"/>
      <c r="N47" s="240"/>
      <c r="O47" s="240"/>
      <c r="P47" s="234"/>
      <c r="Q47" s="240"/>
      <c r="R47" s="240"/>
      <c r="S47" s="240"/>
      <c r="T47" s="236"/>
      <c r="U47" s="240"/>
      <c r="V47" s="240"/>
      <c r="W47" s="240"/>
      <c r="X47" s="240"/>
      <c r="Y47" s="240"/>
      <c r="Z47" s="240"/>
      <c r="AA47" s="240"/>
      <c r="AB47" s="335"/>
      <c r="AC47" s="336"/>
      <c r="AD47" s="240"/>
      <c r="AE47" s="240"/>
      <c r="AF47" s="240"/>
      <c r="AG47" s="240"/>
      <c r="AH47" s="240"/>
      <c r="AI47" s="240"/>
      <c r="AJ47" s="334"/>
      <c r="AK47" s="240"/>
      <c r="AL47" s="241"/>
      <c r="AM47" s="240"/>
      <c r="AN47" s="240"/>
      <c r="AO47" s="240"/>
      <c r="AP47" s="240"/>
      <c r="AQ47" s="240"/>
      <c r="AR47" s="323"/>
      <c r="AS47" s="323"/>
    </row>
    <row r="48" customFormat="false" ht="12.95" hidden="false" customHeight="true" outlineLevel="0" collapsed="false">
      <c r="A48" s="160" t="s">
        <v>86</v>
      </c>
      <c r="B48" s="329"/>
      <c r="C48" s="133"/>
      <c r="D48" s="133"/>
      <c r="E48" s="133"/>
      <c r="F48" s="222" t="n">
        <f aca="false">F10+F42</f>
        <v>-636.753214015629</v>
      </c>
      <c r="G48" s="133" t="n">
        <f aca="false">G10+G42</f>
        <v>8869</v>
      </c>
      <c r="H48" s="133" t="n">
        <f aca="false">H10+H42</f>
        <v>208.74</v>
      </c>
      <c r="I48" s="133" t="n">
        <f aca="false">I10+I42</f>
        <v>9077.74</v>
      </c>
      <c r="J48" s="133" t="n">
        <f aca="false">J10+J42</f>
        <v>2278.62841189816</v>
      </c>
      <c r="K48" s="133" t="n">
        <f aca="false">K10+K42</f>
        <v>11356.3684118982</v>
      </c>
      <c r="L48" s="133" t="n">
        <f aca="false">L10+L42</f>
        <v>889.166785984371</v>
      </c>
      <c r="M48" s="332" t="n">
        <f aca="false">M10+M42</f>
        <v>651.9</v>
      </c>
      <c r="N48" s="133" t="n">
        <f aca="false">N10+N42</f>
        <v>0</v>
      </c>
      <c r="O48" s="133" t="n">
        <f aca="false">O10+O42</f>
        <v>0</v>
      </c>
      <c r="P48" s="215"/>
      <c r="Q48" s="133" t="n">
        <f aca="false">Q10+Q42</f>
        <v>181.1214</v>
      </c>
      <c r="R48" s="133" t="n">
        <f aca="false">R10+R42</f>
        <v>359.053</v>
      </c>
      <c r="S48" s="133" t="n">
        <f aca="false">S10+S42</f>
        <v>3.42</v>
      </c>
      <c r="T48" s="217" t="n">
        <f aca="false">T10+T42</f>
        <v>-76.8972</v>
      </c>
      <c r="U48" s="133" t="n">
        <f aca="false">U10+U42</f>
        <v>6064.96</v>
      </c>
      <c r="V48" s="133" t="n">
        <f aca="false">V10+V42</f>
        <v>84.8</v>
      </c>
      <c r="W48" s="133" t="n">
        <f aca="false">W10+W42</f>
        <v>5905.3</v>
      </c>
      <c r="X48" s="133"/>
      <c r="Y48" s="133"/>
      <c r="Z48" s="133"/>
      <c r="AA48" s="133"/>
      <c r="AB48" s="244"/>
      <c r="AC48" s="245"/>
      <c r="AD48" s="133" t="n">
        <f aca="false">AD10+AD42</f>
        <v>3802</v>
      </c>
      <c r="AE48" s="133" t="n">
        <f aca="false">AE40</f>
        <v>1137</v>
      </c>
      <c r="AF48" s="133" t="n">
        <f aca="false">AF10+AF42</f>
        <v>0</v>
      </c>
      <c r="AG48" s="133" t="n">
        <f aca="false">AG10+AG42</f>
        <v>10603.66</v>
      </c>
      <c r="AH48" s="133" t="n">
        <f aca="false">AH10+AH42</f>
        <v>1389.46162591379</v>
      </c>
      <c r="AI48" s="133" t="n">
        <f aca="false">AI10+AI42</f>
        <v>11993.1216259138</v>
      </c>
      <c r="AJ48" s="337" t="n">
        <f aca="false">AJ10+AJ42</f>
        <v>9.42</v>
      </c>
      <c r="AK48" s="133"/>
      <c r="AL48" s="222"/>
      <c r="AM48" s="133"/>
      <c r="AN48" s="133" t="n">
        <f aca="false">AN10+AN42</f>
        <v>0</v>
      </c>
      <c r="AO48" s="133"/>
      <c r="AP48" s="133"/>
      <c r="AQ48" s="333"/>
    </row>
    <row r="49" customFormat="false" ht="12.95" hidden="false" customHeight="true" outlineLevel="0" collapsed="false">
      <c r="A49" s="160" t="s">
        <v>87</v>
      </c>
      <c r="B49" s="329"/>
      <c r="C49" s="133"/>
      <c r="D49" s="133" t="n">
        <f aca="false">D10+D43</f>
        <v>-1338</v>
      </c>
      <c r="E49" s="95" t="n">
        <f aca="false">E39</f>
        <v>134541</v>
      </c>
      <c r="F49" s="222" t="n">
        <f aca="false">F48*$D$2</f>
        <v>-1263</v>
      </c>
      <c r="G49" s="133" t="n">
        <f aca="false">G48*$D$2</f>
        <v>17591.6615</v>
      </c>
      <c r="H49" s="133" t="n">
        <f aca="false">H48*$D$2</f>
        <v>414.03579</v>
      </c>
      <c r="I49" s="133" t="n">
        <f aca="false">I48*$D$2</f>
        <v>18005.69729</v>
      </c>
      <c r="J49" s="133" t="n">
        <f aca="false">J48*$D$2</f>
        <v>4519.659455</v>
      </c>
      <c r="K49" s="133" t="n">
        <f aca="false">K48*$D$2</f>
        <v>22525.356745</v>
      </c>
      <c r="L49" s="133" t="n">
        <f aca="false">L48*$D$2</f>
        <v>1763.66232</v>
      </c>
      <c r="M49" s="332" t="n">
        <f aca="false">M48*$D$2</f>
        <v>1293.04365</v>
      </c>
      <c r="N49" s="133" t="n">
        <f aca="false">N48*$D$2</f>
        <v>0</v>
      </c>
      <c r="O49" s="133" t="n">
        <f aca="false">O48*$D$2</f>
        <v>0</v>
      </c>
      <c r="P49" s="215"/>
      <c r="Q49" s="133" t="n">
        <f aca="false">Q48*$D$2</f>
        <v>359.2542969</v>
      </c>
      <c r="R49" s="133" t="n">
        <f aca="false">R48*$D$2</f>
        <v>712.1816255</v>
      </c>
      <c r="S49" s="133" t="n">
        <f aca="false">S48*$D$2</f>
        <v>6.78357</v>
      </c>
      <c r="T49" s="338" t="n">
        <f aca="false">T48*$D$2</f>
        <v>-152.5255962</v>
      </c>
      <c r="U49" s="133" t="n">
        <f aca="false">U48*$D$2</f>
        <v>12029.84816</v>
      </c>
      <c r="V49" s="133" t="n">
        <f aca="false">V48*$D$2</f>
        <v>168.2008</v>
      </c>
      <c r="W49" s="133" t="n">
        <f aca="false">W48*$D$2</f>
        <v>11713.16255</v>
      </c>
      <c r="X49" s="133"/>
      <c r="Y49" s="133"/>
      <c r="Z49" s="133"/>
      <c r="AA49" s="133"/>
      <c r="AB49" s="244"/>
      <c r="AC49" s="245"/>
      <c r="AD49" s="133" t="n">
        <f aca="false">AD48*$D$2</f>
        <v>7541.267</v>
      </c>
      <c r="AE49" s="133" t="n">
        <f aca="false">AE48*$D$2</f>
        <v>2255.2395</v>
      </c>
      <c r="AF49" s="133" t="n">
        <f aca="false">AF48*$D$2</f>
        <v>0</v>
      </c>
      <c r="AG49" s="133" t="n">
        <f aca="false">AG48*$D$2</f>
        <v>21032.35961</v>
      </c>
      <c r="AH49" s="133" t="n">
        <f aca="false">AH48*$D$2</f>
        <v>2755.997135</v>
      </c>
      <c r="AI49" s="133" t="n">
        <f aca="false">AI48*$D$2</f>
        <v>23788.356745</v>
      </c>
      <c r="AJ49" s="329"/>
      <c r="AK49" s="133"/>
      <c r="AL49" s="222"/>
      <c r="AM49" s="133" t="n">
        <f aca="false">AM40</f>
        <v>11713.16255</v>
      </c>
      <c r="AN49" s="133" t="n">
        <f aca="false">AN48*$D$2</f>
        <v>0</v>
      </c>
      <c r="AO49" s="133"/>
      <c r="AP49" s="133"/>
      <c r="AQ49" s="333"/>
    </row>
    <row r="50" customFormat="false" ht="3" hidden="false" customHeight="true" outlineLevel="0" collapsed="false">
      <c r="A50" s="229"/>
      <c r="B50" s="247"/>
      <c r="C50" s="231"/>
      <c r="D50" s="232"/>
      <c r="E50" s="231"/>
      <c r="F50" s="233"/>
      <c r="G50" s="232"/>
      <c r="H50" s="321"/>
      <c r="I50" s="232"/>
      <c r="J50" s="232"/>
      <c r="K50" s="232"/>
      <c r="L50" s="232"/>
      <c r="M50" s="235"/>
      <c r="N50" s="232"/>
      <c r="O50" s="232"/>
      <c r="P50" s="234"/>
      <c r="Q50" s="232"/>
      <c r="R50" s="232"/>
      <c r="S50" s="234"/>
      <c r="T50" s="236"/>
      <c r="U50" s="232"/>
      <c r="V50" s="232"/>
      <c r="W50" s="232"/>
      <c r="X50" s="231"/>
      <c r="Y50" s="231"/>
      <c r="Z50" s="231"/>
      <c r="AA50" s="232"/>
      <c r="AB50" s="235"/>
      <c r="AC50" s="238"/>
      <c r="AD50" s="232"/>
      <c r="AE50" s="231"/>
      <c r="AF50" s="322"/>
      <c r="AG50" s="232"/>
      <c r="AH50" s="232"/>
      <c r="AI50" s="232"/>
      <c r="AJ50" s="247"/>
      <c r="AK50" s="232"/>
      <c r="AL50" s="233"/>
      <c r="AM50" s="240"/>
      <c r="AN50" s="240"/>
      <c r="AO50" s="232"/>
      <c r="AP50" s="232"/>
      <c r="AQ50" s="240"/>
      <c r="AR50" s="323"/>
      <c r="AS50" s="323"/>
    </row>
    <row r="51" customFormat="false" ht="11.1" hidden="false" customHeight="true" outlineLevel="0" collapsed="false">
      <c r="A51" s="158"/>
      <c r="B51" s="262"/>
      <c r="D51" s="158"/>
      <c r="F51" s="158"/>
      <c r="G51" s="158"/>
      <c r="I51" s="158"/>
      <c r="J51" s="158"/>
      <c r="K51" s="158"/>
      <c r="L51" s="158"/>
      <c r="M51" s="158"/>
      <c r="N51" s="158"/>
      <c r="O51" s="158"/>
      <c r="Q51" s="158"/>
      <c r="R51" s="158"/>
      <c r="U51" s="158"/>
      <c r="V51" s="158"/>
      <c r="W51" s="158"/>
      <c r="X51" s="96"/>
      <c r="Y51" s="96"/>
      <c r="Z51" s="96"/>
      <c r="AA51" s="158"/>
      <c r="AB51" s="158"/>
      <c r="AC51" s="158"/>
      <c r="AD51" s="158"/>
      <c r="AE51" s="96"/>
      <c r="AF51" s="224"/>
      <c r="AG51" s="158"/>
      <c r="AH51" s="158"/>
      <c r="AI51" s="158"/>
      <c r="AO51" s="160"/>
      <c r="AP51" s="184"/>
    </row>
    <row r="52" customFormat="false" ht="11.1" hidden="false" customHeight="true" outlineLevel="0" collapsed="false">
      <c r="A52" s="158"/>
      <c r="B52" s="263"/>
      <c r="F52" s="158"/>
      <c r="G52" s="158"/>
      <c r="H52" s="339"/>
      <c r="I52" s="96"/>
      <c r="J52" s="158"/>
      <c r="K52" s="148"/>
      <c r="L52" s="158"/>
      <c r="M52" s="158"/>
      <c r="N52" s="158"/>
      <c r="O52" s="158"/>
      <c r="Q52" s="158"/>
      <c r="R52" s="158"/>
      <c r="U52" s="158"/>
      <c r="V52" s="158"/>
      <c r="W52" s="158"/>
      <c r="X52" s="96"/>
      <c r="Y52" s="96"/>
      <c r="Z52" s="96"/>
      <c r="AA52" s="158"/>
      <c r="AB52" s="158"/>
      <c r="AC52" s="158"/>
      <c r="AD52" s="158"/>
      <c r="AE52" s="96"/>
      <c r="AF52" s="224"/>
      <c r="AG52" s="158"/>
      <c r="AH52" s="158"/>
      <c r="AI52" s="158"/>
      <c r="AL52" s="154"/>
      <c r="AM52" s="155"/>
      <c r="AN52" s="155"/>
      <c r="AO52" s="160"/>
      <c r="AP52" s="184"/>
    </row>
    <row r="53" customFormat="false" ht="11.1" hidden="false" customHeight="true" outlineLevel="0" collapsed="false">
      <c r="D53" s="96"/>
      <c r="I53" s="96"/>
      <c r="W53" s="10"/>
      <c r="X53" s="96"/>
      <c r="Y53" s="96"/>
      <c r="Z53" s="96"/>
      <c r="AD53" s="10"/>
      <c r="AE53" s="96"/>
      <c r="AF53" s="224"/>
      <c r="AI53" s="10"/>
      <c r="AL53" s="154"/>
      <c r="AM53" s="155"/>
      <c r="AN53" s="155"/>
      <c r="AO53" s="152"/>
      <c r="AP53" s="56"/>
    </row>
    <row r="54" customFormat="false" ht="11.1" hidden="false" customHeight="true" outlineLevel="0" collapsed="false">
      <c r="B54" s="150"/>
      <c r="D54" s="96"/>
      <c r="I54" s="96"/>
      <c r="W54" s="10"/>
      <c r="X54" s="96"/>
      <c r="Y54" s="96"/>
      <c r="Z54" s="96"/>
      <c r="AD54" s="10"/>
      <c r="AE54" s="96"/>
      <c r="AF54" s="224"/>
      <c r="AI54" s="10"/>
      <c r="AL54" s="154"/>
      <c r="AM54" s="155"/>
      <c r="AN54" s="155"/>
      <c r="AO54" s="152"/>
      <c r="AP54" s="56"/>
    </row>
    <row r="55" customFormat="false" ht="11.1" hidden="false" customHeight="true" outlineLevel="0" collapsed="false">
      <c r="G55" s="265"/>
      <c r="W55" s="10"/>
      <c r="X55" s="96"/>
      <c r="Y55" s="96"/>
      <c r="Z55" s="96"/>
      <c r="AD55" s="10"/>
      <c r="AE55" s="96"/>
      <c r="AF55" s="224"/>
      <c r="AI55" s="10"/>
      <c r="AL55" s="154"/>
      <c r="AM55" s="155"/>
      <c r="AN55" s="155"/>
      <c r="AO55" s="152"/>
      <c r="AP55" s="56"/>
    </row>
    <row r="56" customFormat="false" ht="11.1" hidden="false" customHeight="true" outlineLevel="0" collapsed="false">
      <c r="W56" s="10"/>
      <c r="X56" s="96"/>
      <c r="Y56" s="96"/>
      <c r="Z56" s="96"/>
      <c r="AD56" s="10"/>
      <c r="AE56" s="96"/>
      <c r="AF56" s="224"/>
      <c r="AI56" s="10"/>
      <c r="AL56" s="154"/>
      <c r="AM56" s="155"/>
      <c r="AN56" s="155"/>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G22" activePane="bottomRight" state="frozen"/>
      <selection pane="topLeft" activeCell="A1" activeCellId="0" sqref="A1"/>
      <selection pane="topRight" activeCell="G1" activeCellId="0" sqref="G1"/>
      <selection pane="bottomLeft" activeCell="A22" activeCellId="0" sqref="A22"/>
      <selection pane="bottomRight" activeCell="AD35" activeCellId="0" sqref="AD35"/>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153"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8" min="17" style="151" width="4.32"/>
    <col collapsed="false" customWidth="true" hidden="false" outlineLevel="0" max="19" min="19" style="10" width="4.32"/>
    <col collapsed="false" customWidth="true" hidden="false" outlineLevel="0" max="20" min="20" style="205" width="5.82"/>
    <col collapsed="false" customWidth="true" hidden="false" outlineLevel="0" max="22" min="21" style="10" width="5.49"/>
    <col collapsed="false" customWidth="true" hidden="false" outlineLevel="0" max="23" min="23" style="96" width="6.32"/>
    <col collapsed="false" customWidth="true" hidden="false" outlineLevel="0" max="24" min="24" style="10" width="5.49"/>
    <col collapsed="false" customWidth="true" hidden="false" outlineLevel="0" max="25" min="25" style="10" width="5.66"/>
    <col collapsed="false" customWidth="true" hidden="false" outlineLevel="0" max="29" min="26" style="10" width="5.49"/>
    <col collapsed="false" customWidth="true" hidden="false" outlineLevel="0" max="30" min="30" style="96" width="6.49"/>
    <col collapsed="false" customWidth="true" hidden="false" outlineLevel="0" max="31" min="31" style="10" width="5.49"/>
    <col collapsed="false" customWidth="true" hidden="false" outlineLevel="0" max="32" min="32" style="340" width="6.32"/>
    <col collapsed="false" customWidth="true" hidden="false" outlineLevel="0" max="33" min="33" style="10" width="6.32"/>
    <col collapsed="false" customWidth="true" hidden="false" outlineLevel="0" max="34" min="34" style="10" width="6.99"/>
    <col collapsed="false" customWidth="true" hidden="false" outlineLevel="0" max="35" min="35" style="150" width="6.99"/>
    <col collapsed="false" customWidth="true" hidden="false" outlineLevel="0" max="36" min="36" style="153" width="5.32"/>
    <col collapsed="false" customWidth="true" hidden="false" outlineLevel="0" max="37" min="37" style="154" width="3.82"/>
    <col collapsed="false" customWidth="true" hidden="false" outlineLevel="0" max="38" min="38" style="155" width="3.82"/>
    <col collapsed="false" customWidth="true" hidden="false" outlineLevel="0" max="39" min="39" style="154" width="5.49"/>
    <col collapsed="false" customWidth="true" hidden="false" outlineLevel="0" max="40" min="40" style="151" width="5.49"/>
    <col collapsed="false" customWidth="true" hidden="false" outlineLevel="0" max="43" min="41" style="10" width="6.32"/>
    <col collapsed="false" customWidth="true" hidden="false" outlineLevel="0" max="44" min="44" style="212" width="5.82"/>
    <col collapsed="false" customWidth="true" hidden="false" outlineLevel="0" max="45" min="45" style="152"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N1" s="158"/>
      <c r="O1" s="158"/>
      <c r="Q1" s="158"/>
      <c r="R1" s="158"/>
      <c r="S1" s="158"/>
      <c r="U1" s="158"/>
      <c r="V1" s="158"/>
      <c r="X1" s="158"/>
      <c r="Y1" s="158"/>
      <c r="Z1" s="158"/>
      <c r="AA1" s="158"/>
      <c r="AB1" s="158"/>
      <c r="AC1" s="158"/>
      <c r="AE1" s="158"/>
      <c r="AG1" s="158"/>
      <c r="AH1" s="158"/>
      <c r="AM1" s="313"/>
      <c r="AN1" s="340"/>
      <c r="AO1" s="160"/>
    </row>
    <row r="2" customFormat="false" ht="14.1" hidden="false" customHeight="true" outlineLevel="0" collapsed="false">
      <c r="A2" s="160" t="s">
        <v>1</v>
      </c>
      <c r="B2" s="158"/>
      <c r="D2" s="161" t="n">
        <v>1.9835</v>
      </c>
      <c r="F2" s="158"/>
      <c r="G2" s="158"/>
      <c r="I2" s="158"/>
      <c r="J2" s="158"/>
      <c r="K2" s="162" t="s">
        <v>104</v>
      </c>
      <c r="L2" s="162"/>
      <c r="M2" s="162"/>
      <c r="N2" s="162"/>
      <c r="O2" s="162"/>
      <c r="P2" s="162"/>
      <c r="Q2" s="162"/>
      <c r="R2" s="162"/>
      <c r="S2" s="162"/>
      <c r="U2" s="201"/>
      <c r="V2" s="201"/>
      <c r="W2" s="203"/>
      <c r="X2" s="201"/>
      <c r="Y2" s="201"/>
      <c r="Z2" s="201"/>
      <c r="AA2" s="158"/>
      <c r="AB2" s="158"/>
      <c r="AC2" s="158"/>
      <c r="AE2" s="158"/>
      <c r="AG2" s="158"/>
      <c r="AH2" s="158"/>
      <c r="AM2" s="313"/>
      <c r="AN2" s="340"/>
      <c r="AO2" s="160"/>
    </row>
    <row r="3" customFormat="false" ht="14.1" hidden="false" customHeight="true" outlineLevel="0" collapsed="false">
      <c r="A3" s="163"/>
      <c r="B3" s="163"/>
      <c r="C3" s="164"/>
      <c r="D3" s="165"/>
      <c r="E3" s="164"/>
      <c r="F3" s="163"/>
      <c r="G3" s="163"/>
      <c r="H3" s="169"/>
      <c r="I3" s="163"/>
      <c r="J3" s="163"/>
      <c r="K3" s="163"/>
      <c r="L3" s="163"/>
      <c r="M3" s="163"/>
      <c r="N3" s="163"/>
      <c r="O3" s="163"/>
      <c r="P3" s="166"/>
      <c r="Q3" s="163"/>
      <c r="R3" s="163"/>
      <c r="S3" s="163"/>
      <c r="T3" s="341"/>
      <c r="U3" s="163"/>
      <c r="V3" s="163"/>
      <c r="W3" s="164"/>
      <c r="X3" s="163"/>
      <c r="Y3" s="163"/>
      <c r="Z3" s="163"/>
      <c r="AA3" s="163"/>
      <c r="AB3" s="163"/>
      <c r="AC3" s="163"/>
      <c r="AD3" s="164"/>
      <c r="AE3" s="163"/>
      <c r="AF3" s="342"/>
      <c r="AG3" s="163"/>
      <c r="AH3" s="163"/>
      <c r="AI3" s="166"/>
      <c r="AJ3" s="169"/>
      <c r="AK3" s="170"/>
      <c r="AL3" s="171"/>
      <c r="AM3" s="314"/>
      <c r="AN3" s="342"/>
      <c r="AO3" s="168"/>
      <c r="AP3" s="172"/>
    </row>
    <row r="4" s="10" customFormat="true" ht="14.1" hidden="false" customHeight="true" outlineLevel="0" collapsed="false">
      <c r="A4" s="158"/>
      <c r="B4" s="174"/>
      <c r="C4" s="175"/>
      <c r="D4" s="270" t="s">
        <v>3</v>
      </c>
      <c r="E4" s="175"/>
      <c r="F4" s="177"/>
      <c r="G4" s="158"/>
      <c r="H4" s="153"/>
      <c r="I4" s="158"/>
      <c r="J4" s="158"/>
      <c r="K4" s="158"/>
      <c r="L4" s="158"/>
      <c r="M4" s="158"/>
      <c r="N4" s="158"/>
      <c r="O4" s="158"/>
      <c r="P4" s="150"/>
      <c r="Q4" s="158"/>
      <c r="R4" s="158"/>
      <c r="S4" s="158"/>
      <c r="T4" s="205"/>
      <c r="U4" s="178" t="s">
        <v>4</v>
      </c>
      <c r="V4" s="158"/>
      <c r="W4" s="96"/>
      <c r="X4" s="158"/>
      <c r="Y4" s="158"/>
      <c r="Z4" s="158"/>
      <c r="AA4" s="158"/>
      <c r="AB4" s="158"/>
      <c r="AC4" s="158"/>
      <c r="AD4" s="96"/>
      <c r="AE4" s="158"/>
      <c r="AF4" s="340"/>
      <c r="AG4" s="158"/>
      <c r="AH4" s="158"/>
      <c r="AI4" s="150"/>
      <c r="AJ4" s="179"/>
      <c r="AK4" s="180" t="s">
        <v>5</v>
      </c>
      <c r="AL4" s="181"/>
      <c r="AM4" s="154"/>
      <c r="AN4" s="151"/>
      <c r="AO4" s="178" t="s">
        <v>6</v>
      </c>
      <c r="AQ4" s="37"/>
      <c r="AR4" s="271"/>
      <c r="AS4" s="271"/>
    </row>
    <row r="5" customFormat="false" ht="12.95" hidden="false" customHeight="true" outlineLevel="0" collapsed="false">
      <c r="A5" s="184" t="s">
        <v>7</v>
      </c>
      <c r="B5" s="185" t="s">
        <v>8</v>
      </c>
      <c r="C5" s="186" t="s">
        <v>8</v>
      </c>
      <c r="D5" s="184" t="s">
        <v>9</v>
      </c>
      <c r="E5" s="186" t="s">
        <v>10</v>
      </c>
      <c r="F5" s="187" t="s">
        <v>11</v>
      </c>
      <c r="G5" s="343" t="s">
        <v>12</v>
      </c>
      <c r="H5" s="344" t="s">
        <v>13</v>
      </c>
      <c r="I5" s="343" t="s">
        <v>14</v>
      </c>
      <c r="J5" s="343" t="s">
        <v>15</v>
      </c>
      <c r="K5" s="343" t="s">
        <v>16</v>
      </c>
      <c r="L5" s="184" t="s">
        <v>15</v>
      </c>
      <c r="M5" s="345" t="s">
        <v>17</v>
      </c>
      <c r="N5" s="345"/>
      <c r="O5" s="345"/>
      <c r="P5" s="345"/>
      <c r="Q5" s="345"/>
      <c r="R5" s="345"/>
      <c r="S5" s="345"/>
      <c r="T5" s="346"/>
      <c r="U5" s="184" t="s">
        <v>18</v>
      </c>
      <c r="V5" s="184" t="s">
        <v>19</v>
      </c>
      <c r="W5" s="184" t="s">
        <v>16</v>
      </c>
      <c r="X5" s="186" t="s">
        <v>20</v>
      </c>
      <c r="Y5" s="186" t="s">
        <v>21</v>
      </c>
      <c r="Z5" s="186" t="s">
        <v>20</v>
      </c>
      <c r="AA5" s="184" t="s">
        <v>22</v>
      </c>
      <c r="AB5" s="191" t="s">
        <v>98</v>
      </c>
      <c r="AC5" s="192"/>
      <c r="AD5" s="184" t="s">
        <v>24</v>
      </c>
      <c r="AE5" s="186" t="s">
        <v>25</v>
      </c>
      <c r="AF5" s="190" t="s">
        <v>26</v>
      </c>
      <c r="AG5" s="184" t="s">
        <v>14</v>
      </c>
      <c r="AH5" s="184" t="s">
        <v>15</v>
      </c>
      <c r="AI5" s="184" t="s">
        <v>16</v>
      </c>
      <c r="AJ5" s="193" t="s">
        <v>27</v>
      </c>
      <c r="AK5" s="194" t="s">
        <v>28</v>
      </c>
      <c r="AL5" s="195" t="s">
        <v>29</v>
      </c>
      <c r="AM5" s="194" t="s">
        <v>90</v>
      </c>
      <c r="AN5" s="190" t="s">
        <v>20</v>
      </c>
      <c r="AO5" s="184" t="s">
        <v>20</v>
      </c>
      <c r="AP5" s="184" t="s">
        <v>20</v>
      </c>
      <c r="AQ5" s="56" t="s">
        <v>31</v>
      </c>
      <c r="AR5" s="56" t="s">
        <v>32</v>
      </c>
      <c r="AS5" s="56" t="s">
        <v>33</v>
      </c>
    </row>
    <row r="6" customFormat="false" ht="12.95" hidden="false" customHeight="true" outlineLevel="0" collapsed="false">
      <c r="A6" s="196" t="s">
        <v>105</v>
      </c>
      <c r="B6" s="185" t="s">
        <v>35</v>
      </c>
      <c r="C6" s="186" t="s">
        <v>9</v>
      </c>
      <c r="D6" s="184" t="s">
        <v>36</v>
      </c>
      <c r="E6" s="186" t="s">
        <v>37</v>
      </c>
      <c r="F6" s="187" t="s">
        <v>38</v>
      </c>
      <c r="G6" s="343" t="s">
        <v>39</v>
      </c>
      <c r="H6" s="344" t="s">
        <v>40</v>
      </c>
      <c r="I6" s="343" t="s">
        <v>41</v>
      </c>
      <c r="J6" s="343" t="s">
        <v>41</v>
      </c>
      <c r="K6" s="343" t="s">
        <v>41</v>
      </c>
      <c r="L6" s="184" t="s">
        <v>42</v>
      </c>
      <c r="M6" s="197" t="s">
        <v>43</v>
      </c>
      <c r="N6" s="184" t="s">
        <v>44</v>
      </c>
      <c r="O6" s="184" t="s">
        <v>45</v>
      </c>
      <c r="P6" s="188" t="s">
        <v>46</v>
      </c>
      <c r="Q6" s="184" t="s">
        <v>47</v>
      </c>
      <c r="R6" s="184" t="s">
        <v>48</v>
      </c>
      <c r="S6" s="184" t="s">
        <v>49</v>
      </c>
      <c r="T6" s="198" t="s">
        <v>50</v>
      </c>
      <c r="U6" s="184" t="s">
        <v>51</v>
      </c>
      <c r="V6" s="184" t="s">
        <v>52</v>
      </c>
      <c r="W6" s="184" t="s">
        <v>20</v>
      </c>
      <c r="X6" s="186" t="s">
        <v>62</v>
      </c>
      <c r="Y6" s="186" t="s">
        <v>54</v>
      </c>
      <c r="Z6" s="186" t="s">
        <v>100</v>
      </c>
      <c r="AA6" s="184" t="s">
        <v>56</v>
      </c>
      <c r="AB6" s="197"/>
      <c r="AC6" s="199"/>
      <c r="AD6" s="184" t="s">
        <v>58</v>
      </c>
      <c r="AE6" s="186" t="s">
        <v>59</v>
      </c>
      <c r="AF6" s="190"/>
      <c r="AG6" s="184" t="s">
        <v>60</v>
      </c>
      <c r="AH6" s="184" t="s">
        <v>60</v>
      </c>
      <c r="AI6" s="184" t="s">
        <v>60</v>
      </c>
      <c r="AJ6" s="200"/>
      <c r="AK6" s="194" t="s">
        <v>61</v>
      </c>
      <c r="AL6" s="195" t="s">
        <v>61</v>
      </c>
      <c r="AM6" s="194" t="s">
        <v>62</v>
      </c>
      <c r="AN6" s="190" t="s">
        <v>63</v>
      </c>
      <c r="AO6" s="184" t="s">
        <v>64</v>
      </c>
      <c r="AP6" s="184" t="s">
        <v>64</v>
      </c>
      <c r="AQ6" s="56" t="s">
        <v>65</v>
      </c>
      <c r="AR6" s="56" t="s">
        <v>66</v>
      </c>
      <c r="AS6" s="56" t="s">
        <v>67</v>
      </c>
    </row>
    <row r="7" customFormat="false" ht="12.95" hidden="false" customHeight="true" outlineLevel="0" collapsed="false">
      <c r="A7" s="201"/>
      <c r="B7" s="202"/>
      <c r="C7" s="203"/>
      <c r="D7" s="201"/>
      <c r="E7" s="186" t="s">
        <v>68</v>
      </c>
      <c r="F7" s="204"/>
      <c r="G7" s="201"/>
      <c r="H7" s="275"/>
      <c r="I7" s="201"/>
      <c r="J7" s="201"/>
      <c r="K7" s="201"/>
      <c r="L7" s="201"/>
      <c r="M7" s="206"/>
      <c r="N7" s="184" t="s">
        <v>69</v>
      </c>
      <c r="O7" s="184" t="s">
        <v>70</v>
      </c>
      <c r="P7" s="188"/>
      <c r="Q7" s="201"/>
      <c r="R7" s="201"/>
      <c r="S7" s="184" t="s">
        <v>45</v>
      </c>
      <c r="T7" s="198" t="s">
        <v>26</v>
      </c>
      <c r="U7" s="201"/>
      <c r="V7" s="201"/>
      <c r="W7" s="201"/>
      <c r="X7" s="186"/>
      <c r="Y7" s="186"/>
      <c r="Z7" s="186"/>
      <c r="AA7" s="201"/>
      <c r="AB7" s="206"/>
      <c r="AC7" s="207"/>
      <c r="AD7" s="201"/>
      <c r="AE7" s="203"/>
      <c r="AF7" s="190"/>
      <c r="AG7" s="201"/>
      <c r="AH7" s="201"/>
      <c r="AI7" s="201"/>
      <c r="AJ7" s="208"/>
      <c r="AK7" s="194"/>
      <c r="AL7" s="209"/>
      <c r="AM7" s="194" t="s">
        <v>71</v>
      </c>
      <c r="AN7" s="190" t="s">
        <v>38</v>
      </c>
      <c r="AO7" s="184" t="s">
        <v>72</v>
      </c>
      <c r="AP7" s="184" t="s">
        <v>95</v>
      </c>
      <c r="AQ7" s="56" t="s">
        <v>74</v>
      </c>
      <c r="AR7" s="56" t="s">
        <v>75</v>
      </c>
      <c r="AS7" s="56" t="s">
        <v>57</v>
      </c>
    </row>
    <row r="8" customFormat="false" ht="12.95" hidden="false" customHeight="true" outlineLevel="0" collapsed="false">
      <c r="A8" s="201"/>
      <c r="B8" s="202"/>
      <c r="C8" s="203"/>
      <c r="D8" s="201"/>
      <c r="E8" s="203"/>
      <c r="F8" s="204"/>
      <c r="G8" s="201"/>
      <c r="H8" s="275"/>
      <c r="I8" s="201"/>
      <c r="J8" s="201"/>
      <c r="K8" s="201"/>
      <c r="L8" s="201"/>
      <c r="M8" s="206"/>
      <c r="N8" s="277" t="n">
        <v>1.03</v>
      </c>
      <c r="O8" s="277" t="n">
        <v>1.05</v>
      </c>
      <c r="P8" s="205" t="n">
        <v>1.02</v>
      </c>
      <c r="Q8" s="277" t="n">
        <v>1.02</v>
      </c>
      <c r="R8" s="277" t="n">
        <v>1.04</v>
      </c>
      <c r="S8" s="184" t="s">
        <v>55</v>
      </c>
      <c r="T8" s="198"/>
      <c r="U8" s="201"/>
      <c r="V8" s="201"/>
      <c r="W8" s="201"/>
      <c r="X8" s="203"/>
      <c r="Y8" s="203"/>
      <c r="Z8" s="186"/>
      <c r="AA8" s="201"/>
      <c r="AB8" s="206"/>
      <c r="AC8" s="207"/>
      <c r="AD8" s="201"/>
      <c r="AE8" s="203"/>
      <c r="AF8" s="190"/>
      <c r="AG8" s="201"/>
      <c r="AH8" s="201"/>
      <c r="AI8" s="201"/>
      <c r="AJ8" s="208"/>
      <c r="AK8" s="155"/>
      <c r="AL8" s="209"/>
      <c r="AM8" s="155"/>
      <c r="AN8" s="211"/>
      <c r="AO8" s="158"/>
      <c r="AP8" s="160" t="s">
        <v>71</v>
      </c>
    </row>
    <row r="9" customFormat="false" ht="12.95" hidden="false" customHeight="true" outlineLevel="0" collapsed="false">
      <c r="A9" s="160" t="s">
        <v>77</v>
      </c>
      <c r="B9" s="213"/>
      <c r="C9" s="95"/>
      <c r="D9" s="95"/>
      <c r="E9" s="95"/>
      <c r="F9" s="214"/>
      <c r="G9" s="95"/>
      <c r="H9" s="347"/>
      <c r="I9" s="95"/>
      <c r="J9" s="95"/>
      <c r="K9" s="95"/>
      <c r="L9" s="95"/>
      <c r="M9" s="216"/>
      <c r="N9" s="95"/>
      <c r="O9" s="95"/>
      <c r="P9" s="215"/>
      <c r="Q9" s="95"/>
      <c r="R9" s="95"/>
      <c r="S9" s="95"/>
      <c r="T9" s="348"/>
      <c r="U9" s="95"/>
      <c r="V9" s="95"/>
      <c r="W9" s="95"/>
      <c r="X9" s="95"/>
      <c r="Y9" s="95"/>
      <c r="Z9" s="95"/>
      <c r="AA9" s="95"/>
      <c r="AB9" s="216"/>
      <c r="AC9" s="219"/>
      <c r="AD9" s="95"/>
      <c r="AE9" s="95"/>
      <c r="AF9" s="349"/>
      <c r="AG9" s="95"/>
      <c r="AH9" s="95"/>
      <c r="AI9" s="95"/>
      <c r="AJ9" s="221"/>
      <c r="AK9" s="133"/>
      <c r="AL9" s="222"/>
      <c r="AM9" s="133"/>
      <c r="AN9" s="218"/>
      <c r="AO9" s="122"/>
      <c r="AP9" s="223"/>
      <c r="AQ9" s="223"/>
    </row>
    <row r="10" s="228" customFormat="true" ht="12.95" hidden="false" customHeight="true" outlineLevel="0" collapsed="false">
      <c r="A10" s="224" t="s">
        <v>78</v>
      </c>
      <c r="B10" s="94" t="n">
        <f aca="false">FEB!B40</f>
        <v>6900.82</v>
      </c>
      <c r="C10" s="95" t="n">
        <f aca="false">FEB!C40</f>
        <v>286616</v>
      </c>
      <c r="D10" s="95" t="n">
        <f aca="false">FEB!D49</f>
        <v>-1338</v>
      </c>
      <c r="E10" s="95" t="n">
        <f aca="false">FEB!E49</f>
        <v>134541</v>
      </c>
      <c r="F10" s="214" t="n">
        <f aca="false">FEB!F48</f>
        <v>-636.753214015629</v>
      </c>
      <c r="G10" s="95" t="n">
        <f aca="false">FEB!G48</f>
        <v>8869</v>
      </c>
      <c r="H10" s="320" t="n">
        <f aca="false">FEB!H48</f>
        <v>208.74</v>
      </c>
      <c r="I10" s="95" t="n">
        <f aca="false">FEB!I48</f>
        <v>9077.74</v>
      </c>
      <c r="J10" s="95" t="n">
        <f aca="false">FEB!J48</f>
        <v>2278.62841189816</v>
      </c>
      <c r="K10" s="95" t="n">
        <f aca="false">FEB!K48</f>
        <v>11356.3684118982</v>
      </c>
      <c r="L10" s="95" t="n">
        <f aca="false">FEB!L48</f>
        <v>889.166785984371</v>
      </c>
      <c r="M10" s="216" t="n">
        <f aca="false">FEB!M48</f>
        <v>651.9</v>
      </c>
      <c r="N10" s="95" t="n">
        <f aca="false">FEB!N48</f>
        <v>0</v>
      </c>
      <c r="O10" s="95" t="n">
        <f aca="false">FEB!O48</f>
        <v>0</v>
      </c>
      <c r="P10" s="215"/>
      <c r="Q10" s="95" t="n">
        <f aca="false">FEB!Q48</f>
        <v>181.1214</v>
      </c>
      <c r="R10" s="95" t="n">
        <f aca="false">FEB!R48</f>
        <v>359.053</v>
      </c>
      <c r="S10" s="95" t="n">
        <f aca="false">FEB!S48</f>
        <v>3.42</v>
      </c>
      <c r="T10" s="217" t="n">
        <f aca="false">FEB!T48</f>
        <v>-76.8972</v>
      </c>
      <c r="U10" s="95" t="n">
        <f aca="false">FEB!U48</f>
        <v>6064.96</v>
      </c>
      <c r="V10" s="95" t="n">
        <f aca="false">FEB!V48</f>
        <v>84.8</v>
      </c>
      <c r="W10" s="95" t="n">
        <f aca="false">FEB!W48</f>
        <v>5905.3</v>
      </c>
      <c r="X10" s="95"/>
      <c r="Y10" s="95"/>
      <c r="Z10" s="95"/>
      <c r="AA10" s="95"/>
      <c r="AB10" s="216"/>
      <c r="AC10" s="219"/>
      <c r="AD10" s="95" t="n">
        <f aca="false">FEB!AD48</f>
        <v>3802</v>
      </c>
      <c r="AE10" s="95" t="n">
        <f aca="false">FEB!AE48</f>
        <v>1137</v>
      </c>
      <c r="AF10" s="218" t="n">
        <f aca="false">FEB!AF48</f>
        <v>0</v>
      </c>
      <c r="AG10" s="95" t="n">
        <f aca="false">FEB!AG48</f>
        <v>10603.66</v>
      </c>
      <c r="AH10" s="95" t="n">
        <f aca="false">FEB!AH48</f>
        <v>1389.46162591379</v>
      </c>
      <c r="AI10" s="95" t="n">
        <f aca="false">FEB!AI48</f>
        <v>11993.1216259138</v>
      </c>
      <c r="AJ10" s="221" t="n">
        <f aca="false">FEB!AJ48</f>
        <v>9.42</v>
      </c>
      <c r="AK10" s="133"/>
      <c r="AL10" s="222"/>
      <c r="AM10" s="133" t="n">
        <f aca="false">FEB!AM49</f>
        <v>11713.16255</v>
      </c>
      <c r="AN10" s="218" t="n">
        <f aca="false">FEB!AN48</f>
        <v>0</v>
      </c>
      <c r="AO10" s="95"/>
      <c r="AP10" s="122"/>
      <c r="AQ10" s="95"/>
      <c r="AR10" s="203"/>
      <c r="AS10" s="96"/>
    </row>
    <row r="11" customFormat="false" ht="3" hidden="false" customHeight="true" outlineLevel="0" collapsed="false">
      <c r="A11" s="229"/>
      <c r="B11" s="230"/>
      <c r="C11" s="231"/>
      <c r="D11" s="232"/>
      <c r="E11" s="231"/>
      <c r="F11" s="233"/>
      <c r="G11" s="232"/>
      <c r="H11" s="255"/>
      <c r="I11" s="232"/>
      <c r="J11" s="232"/>
      <c r="K11" s="232"/>
      <c r="L11" s="232"/>
      <c r="M11" s="235"/>
      <c r="N11" s="232"/>
      <c r="O11" s="232"/>
      <c r="P11" s="234"/>
      <c r="Q11" s="232"/>
      <c r="R11" s="232"/>
      <c r="S11" s="232"/>
      <c r="T11" s="350"/>
      <c r="U11" s="232"/>
      <c r="V11" s="232"/>
      <c r="W11" s="232"/>
      <c r="X11" s="231"/>
      <c r="Y11" s="231"/>
      <c r="Z11" s="231"/>
      <c r="AA11" s="232"/>
      <c r="AB11" s="235"/>
      <c r="AC11" s="238"/>
      <c r="AD11" s="232"/>
      <c r="AE11" s="231"/>
      <c r="AF11" s="237"/>
      <c r="AG11" s="232"/>
      <c r="AH11" s="232"/>
      <c r="AI11" s="232"/>
      <c r="AJ11" s="239"/>
      <c r="AK11" s="240"/>
      <c r="AL11" s="241"/>
      <c r="AM11" s="240"/>
      <c r="AN11" s="237"/>
      <c r="AO11" s="240"/>
      <c r="AP11" s="240"/>
      <c r="AQ11" s="240"/>
      <c r="AR11" s="298"/>
      <c r="AS11" s="298"/>
    </row>
    <row r="12" customFormat="false" ht="12.95" hidden="false" customHeight="true" outlineLevel="0" collapsed="false">
      <c r="A12" s="155" t="n">
        <v>1</v>
      </c>
      <c r="B12" s="94" t="n">
        <v>6900.84</v>
      </c>
      <c r="C12" s="95" t="n">
        <v>286690</v>
      </c>
      <c r="D12" s="133" t="n">
        <f aca="false">C12-C10</f>
        <v>74</v>
      </c>
      <c r="E12" s="95" t="n">
        <f aca="false">C12-152000</f>
        <v>134690</v>
      </c>
      <c r="F12" s="243" t="n">
        <f aca="false">D12/$D$2</f>
        <v>37.3077892614066</v>
      </c>
      <c r="G12" s="122" t="n">
        <v>82</v>
      </c>
      <c r="H12" s="351" t="n">
        <v>2.1</v>
      </c>
      <c r="I12" s="122" t="n">
        <f aca="false">G12+H12</f>
        <v>84.1</v>
      </c>
      <c r="J12" s="218" t="n">
        <f aca="false">IF(L12&gt;0,L12,0)</f>
        <v>2.80778926140661</v>
      </c>
      <c r="K12" s="122" t="n">
        <f aca="false">I12+J12</f>
        <v>86.9077892614066</v>
      </c>
      <c r="L12" s="122" t="n">
        <f aca="false">F12-(I12-AG12)</f>
        <v>2.80778926140661</v>
      </c>
      <c r="M12" s="244" t="n">
        <v>4.6</v>
      </c>
      <c r="N12" s="122" t="n">
        <v>0</v>
      </c>
      <c r="O12" s="122" t="n">
        <v>0</v>
      </c>
      <c r="P12" s="215" t="n">
        <v>0</v>
      </c>
      <c r="Q12" s="352" t="n">
        <f aca="false">1.46*1.02</f>
        <v>1.4892</v>
      </c>
      <c r="R12" s="352" t="n">
        <v>3.28</v>
      </c>
      <c r="S12" s="119" t="n">
        <v>0</v>
      </c>
      <c r="T12" s="84" t="n">
        <f aca="false">M12-(Q12+R12+S12)</f>
        <v>-0.1692</v>
      </c>
      <c r="U12" s="122" t="n">
        <v>0</v>
      </c>
      <c r="V12" s="122" t="n">
        <v>0</v>
      </c>
      <c r="W12" s="122" t="n">
        <f aca="false">M12-N12-O12-P12-Q12-R12-S12-T12+U12+V12</f>
        <v>0</v>
      </c>
      <c r="X12" s="95"/>
      <c r="Y12" s="95"/>
      <c r="Z12" s="95"/>
      <c r="AA12" s="122" t="n">
        <v>0</v>
      </c>
      <c r="AB12" s="244"/>
      <c r="AC12" s="245"/>
      <c r="AD12" s="122" t="n">
        <v>45</v>
      </c>
      <c r="AE12" s="95" t="n">
        <f aca="false">AE10-AD12</f>
        <v>1092</v>
      </c>
      <c r="AF12" s="218"/>
      <c r="AG12" s="121" t="n">
        <f aca="false">N12+O12+P12+Q12+R12+S12+T12+W12+AA12+AD12</f>
        <v>49.6</v>
      </c>
      <c r="AH12" s="122" t="n">
        <f aca="false">IF(L12&lt;0,L12*-1,0)</f>
        <v>0</v>
      </c>
      <c r="AI12" s="122" t="n">
        <f aca="false">AG12+AH12</f>
        <v>49.6</v>
      </c>
      <c r="AJ12" s="221" t="n">
        <v>0</v>
      </c>
      <c r="AK12" s="133" t="n">
        <v>53</v>
      </c>
      <c r="AL12" s="222" t="n">
        <v>20</v>
      </c>
      <c r="AM12" s="133" t="n">
        <f aca="false">AM10+(W12*1.9835)</f>
        <v>11713.16255</v>
      </c>
      <c r="AN12" s="218"/>
      <c r="AO12" s="223"/>
      <c r="AP12" s="95"/>
      <c r="AQ12" s="223"/>
      <c r="AS12" s="10"/>
    </row>
    <row r="13" customFormat="false" ht="12.95" hidden="false" customHeight="true" outlineLevel="0" collapsed="false">
      <c r="A13" s="155" t="n">
        <f aca="false">A12+1</f>
        <v>2</v>
      </c>
      <c r="B13" s="94" t="n">
        <v>6900.9</v>
      </c>
      <c r="C13" s="95" t="n">
        <v>286912</v>
      </c>
      <c r="D13" s="133" t="n">
        <f aca="false">C13-C12</f>
        <v>222</v>
      </c>
      <c r="E13" s="95" t="n">
        <f aca="false">C13-152000</f>
        <v>134912</v>
      </c>
      <c r="F13" s="243" t="n">
        <f aca="false">D13/$D$2</f>
        <v>111.92336778422</v>
      </c>
      <c r="G13" s="122" t="n">
        <v>83</v>
      </c>
      <c r="H13" s="351" t="n">
        <v>2.5</v>
      </c>
      <c r="I13" s="122" t="n">
        <f aca="false">G13+H13</f>
        <v>85.5</v>
      </c>
      <c r="J13" s="218" t="n">
        <f aca="false">IF(L13&gt;0,L13,0)</f>
        <v>77.0233677842198</v>
      </c>
      <c r="K13" s="122" t="n">
        <f aca="false">I13+J13</f>
        <v>162.52336778422</v>
      </c>
      <c r="L13" s="122" t="n">
        <f aca="false">F13-(I13-AG13)</f>
        <v>77.0233677842198</v>
      </c>
      <c r="M13" s="244" t="n">
        <v>4.6</v>
      </c>
      <c r="N13" s="122" t="n">
        <v>0</v>
      </c>
      <c r="O13" s="122" t="n">
        <v>0</v>
      </c>
      <c r="P13" s="215" t="n">
        <v>0</v>
      </c>
      <c r="Q13" s="352" t="n">
        <f aca="false">1.46*1.02</f>
        <v>1.4892</v>
      </c>
      <c r="R13" s="352" t="n">
        <v>3.26</v>
      </c>
      <c r="S13" s="119" t="n">
        <v>0</v>
      </c>
      <c r="T13" s="84" t="n">
        <f aca="false">M13-(Q13+R13+S13)</f>
        <v>-0.1492</v>
      </c>
      <c r="U13" s="122" t="n">
        <v>0</v>
      </c>
      <c r="V13" s="122" t="n">
        <v>0</v>
      </c>
      <c r="W13" s="122" t="n">
        <f aca="false">M13-N13-O13-P13-Q13-R13-S13-T13+U13+V13</f>
        <v>0</v>
      </c>
      <c r="X13" s="95"/>
      <c r="Y13" s="95"/>
      <c r="Z13" s="95"/>
      <c r="AA13" s="122" t="n">
        <v>0</v>
      </c>
      <c r="AB13" s="244"/>
      <c r="AC13" s="245"/>
      <c r="AD13" s="122" t="n">
        <v>46</v>
      </c>
      <c r="AE13" s="95" t="n">
        <f aca="false">AE12-AD13</f>
        <v>1046</v>
      </c>
      <c r="AF13" s="218"/>
      <c r="AG13" s="121" t="n">
        <f aca="false">N13+O13+P13+Q13+R13+S13+T13+W13+AA13+AD13</f>
        <v>50.6</v>
      </c>
      <c r="AH13" s="122" t="n">
        <f aca="false">IF(L13&lt;0,L13*-1,0)</f>
        <v>0</v>
      </c>
      <c r="AI13" s="122" t="n">
        <f aca="false">AG13+AH13</f>
        <v>50.6</v>
      </c>
      <c r="AJ13" s="221" t="n">
        <v>0</v>
      </c>
      <c r="AK13" s="133" t="n">
        <v>36</v>
      </c>
      <c r="AL13" s="222" t="n">
        <v>21</v>
      </c>
      <c r="AM13" s="133" t="n">
        <f aca="false">AM12+(W13*1.9835)</f>
        <v>11713.16255</v>
      </c>
      <c r="AN13" s="218"/>
      <c r="AO13" s="223"/>
      <c r="AP13" s="95"/>
      <c r="AQ13" s="223"/>
      <c r="AS13" s="10"/>
    </row>
    <row r="14" customFormat="false" ht="12.95" hidden="false" customHeight="true" outlineLevel="0" collapsed="false">
      <c r="A14" s="155" t="n">
        <f aca="false">A13+1</f>
        <v>3</v>
      </c>
      <c r="B14" s="94" t="n">
        <v>6900.93</v>
      </c>
      <c r="C14" s="95" t="n">
        <v>287023</v>
      </c>
      <c r="D14" s="133" t="n">
        <f aca="false">C14-C13</f>
        <v>111</v>
      </c>
      <c r="E14" s="95" t="n">
        <f aca="false">C14-152000</f>
        <v>135023</v>
      </c>
      <c r="F14" s="243" t="n">
        <f aca="false">D14/$D$2</f>
        <v>55.9616838921099</v>
      </c>
      <c r="G14" s="122" t="n">
        <v>81</v>
      </c>
      <c r="H14" s="351" t="n">
        <v>2.9</v>
      </c>
      <c r="I14" s="122" t="n">
        <f aca="false">G14+H14</f>
        <v>83.9</v>
      </c>
      <c r="J14" s="218" t="n">
        <f aca="false">IF(L14&gt;0,L14,0)</f>
        <v>21.8616838921099</v>
      </c>
      <c r="K14" s="122" t="n">
        <f aca="false">I14+J14</f>
        <v>105.76168389211</v>
      </c>
      <c r="L14" s="122" t="n">
        <f aca="false">F14-(I14-AG14)</f>
        <v>21.8616838921099</v>
      </c>
      <c r="M14" s="244" t="n">
        <v>4.8</v>
      </c>
      <c r="N14" s="122" t="n">
        <v>0</v>
      </c>
      <c r="O14" s="122" t="n">
        <v>0</v>
      </c>
      <c r="P14" s="215" t="n">
        <v>0</v>
      </c>
      <c r="Q14" s="352" t="n">
        <f aca="false">1.46*1.02</f>
        <v>1.4892</v>
      </c>
      <c r="R14" s="352" t="n">
        <v>3.17</v>
      </c>
      <c r="S14" s="119" t="n">
        <v>0</v>
      </c>
      <c r="T14" s="84" t="n">
        <f aca="false">M14-(Q14+R14+S14)</f>
        <v>0.1408</v>
      </c>
      <c r="U14" s="122" t="n">
        <v>0</v>
      </c>
      <c r="V14" s="122" t="n">
        <v>0</v>
      </c>
      <c r="W14" s="122" t="n">
        <f aca="false">M14-N14-O14-P14-Q14-R14-S14-T14+U14+V14</f>
        <v>0</v>
      </c>
      <c r="X14" s="95"/>
      <c r="Y14" s="95"/>
      <c r="Z14" s="95"/>
      <c r="AA14" s="122" t="n">
        <v>0</v>
      </c>
      <c r="AB14" s="244"/>
      <c r="AC14" s="245"/>
      <c r="AD14" s="122" t="n">
        <v>45</v>
      </c>
      <c r="AE14" s="95" t="n">
        <f aca="false">AE13-AD14</f>
        <v>1001</v>
      </c>
      <c r="AF14" s="218"/>
      <c r="AG14" s="121" t="n">
        <f aca="false">N14+O14+P14+Q14+R14+S14+T14+W14+AA14+AD14</f>
        <v>49.8</v>
      </c>
      <c r="AH14" s="122" t="n">
        <f aca="false">IF(L14&lt;0,L14*-1,0)</f>
        <v>0</v>
      </c>
      <c r="AI14" s="122" t="n">
        <f aca="false">AG14+AH14</f>
        <v>49.8</v>
      </c>
      <c r="AJ14" s="221" t="n">
        <v>0</v>
      </c>
      <c r="AK14" s="133" t="n">
        <v>37</v>
      </c>
      <c r="AL14" s="222" t="n">
        <v>15</v>
      </c>
      <c r="AM14" s="133" t="n">
        <f aca="false">AM13+(W14*1.9835)</f>
        <v>11713.16255</v>
      </c>
      <c r="AN14" s="218"/>
      <c r="AO14" s="223"/>
      <c r="AP14" s="95"/>
      <c r="AQ14" s="223"/>
      <c r="AS14" s="10"/>
    </row>
    <row r="15" customFormat="false" ht="12.95" hidden="false" customHeight="true" outlineLevel="0" collapsed="false">
      <c r="A15" s="155" t="n">
        <f aca="false">A14+1</f>
        <v>4</v>
      </c>
      <c r="B15" s="94" t="n">
        <v>6900.97</v>
      </c>
      <c r="C15" s="95" t="n">
        <v>287171</v>
      </c>
      <c r="D15" s="133" t="n">
        <f aca="false">C15-C14</f>
        <v>148</v>
      </c>
      <c r="E15" s="95" t="n">
        <f aca="false">C15-152000</f>
        <v>135171</v>
      </c>
      <c r="F15" s="243" t="n">
        <f aca="false">D15/$D$2</f>
        <v>74.6155785228132</v>
      </c>
      <c r="G15" s="122" t="n">
        <v>85</v>
      </c>
      <c r="H15" s="351" t="n">
        <v>5.3</v>
      </c>
      <c r="I15" s="122" t="n">
        <f aca="false">G15+H15</f>
        <v>90.3</v>
      </c>
      <c r="J15" s="218" t="n">
        <f aca="false">IF(L15&gt;0,L15,0)</f>
        <v>33.9155785228132</v>
      </c>
      <c r="K15" s="122" t="n">
        <f aca="false">I15+J15</f>
        <v>124.215578522813</v>
      </c>
      <c r="L15" s="122" t="n">
        <f aca="false">F15-(I15-AG15)</f>
        <v>33.9155785228132</v>
      </c>
      <c r="M15" s="244" t="n">
        <v>4.6</v>
      </c>
      <c r="N15" s="122" t="n">
        <v>0</v>
      </c>
      <c r="O15" s="122" t="n">
        <v>0</v>
      </c>
      <c r="P15" s="215" t="n">
        <v>0</v>
      </c>
      <c r="Q15" s="352" t="n">
        <f aca="false">1.46*1.02</f>
        <v>1.4892</v>
      </c>
      <c r="R15" s="352" t="n">
        <v>3.35</v>
      </c>
      <c r="S15" s="119" t="n">
        <v>0</v>
      </c>
      <c r="T15" s="84" t="n">
        <f aca="false">M15-(Q15+R15+S15)</f>
        <v>-0.2392</v>
      </c>
      <c r="U15" s="122" t="n">
        <v>0</v>
      </c>
      <c r="V15" s="122" t="n">
        <v>0</v>
      </c>
      <c r="W15" s="122" t="n">
        <f aca="false">M15-N15-O15-P15-Q15-R15-S15-T15+U15+V15</f>
        <v>0</v>
      </c>
      <c r="X15" s="95"/>
      <c r="Y15" s="95"/>
      <c r="Z15" s="95"/>
      <c r="AA15" s="122" t="n">
        <v>0</v>
      </c>
      <c r="AB15" s="244"/>
      <c r="AC15" s="245"/>
      <c r="AD15" s="122" t="n">
        <v>45</v>
      </c>
      <c r="AE15" s="95" t="n">
        <f aca="false">AE14-AD15</f>
        <v>956</v>
      </c>
      <c r="AF15" s="218"/>
      <c r="AG15" s="121" t="n">
        <f aca="false">N15+O15+P15+Q15+R15+S15+T15+W15+AA15+AD15</f>
        <v>49.6</v>
      </c>
      <c r="AH15" s="122" t="n">
        <f aca="false">IF(L15&lt;0,L15*-1,0)</f>
        <v>0</v>
      </c>
      <c r="AI15" s="122" t="n">
        <f aca="false">AG15+AH15</f>
        <v>49.6</v>
      </c>
      <c r="AJ15" s="221" t="n">
        <v>0</v>
      </c>
      <c r="AK15" s="133" t="n">
        <v>44</v>
      </c>
      <c r="AL15" s="222" t="n">
        <v>12</v>
      </c>
      <c r="AM15" s="133" t="n">
        <f aca="false">AM14+(W15*1.9835)</f>
        <v>11713.16255</v>
      </c>
      <c r="AN15" s="218"/>
      <c r="AO15" s="223"/>
      <c r="AP15" s="95"/>
      <c r="AQ15" s="223"/>
      <c r="AS15" s="10"/>
    </row>
    <row r="16" customFormat="false" ht="12.95" hidden="false" customHeight="true" outlineLevel="0" collapsed="false">
      <c r="A16" s="155" t="n">
        <f aca="false">A15+1</f>
        <v>5</v>
      </c>
      <c r="B16" s="94" t="n">
        <v>6901</v>
      </c>
      <c r="C16" s="95" t="n">
        <v>287282</v>
      </c>
      <c r="D16" s="133" t="n">
        <f aca="false">C16-C15</f>
        <v>111</v>
      </c>
      <c r="E16" s="95" t="n">
        <f aca="false">C16-152000</f>
        <v>135282</v>
      </c>
      <c r="F16" s="243" t="n">
        <f aca="false">D16/$D$2</f>
        <v>55.9616838921099</v>
      </c>
      <c r="G16" s="122" t="n">
        <v>90</v>
      </c>
      <c r="H16" s="351" t="n">
        <v>8.6</v>
      </c>
      <c r="I16" s="122" t="n">
        <f aca="false">G16+H16</f>
        <v>98.6</v>
      </c>
      <c r="J16" s="218" t="n">
        <f aca="false">IF(L16&gt;0,L16,0)</f>
        <v>6.46168389210991</v>
      </c>
      <c r="K16" s="122" t="n">
        <f aca="false">I16+J16</f>
        <v>105.06168389211</v>
      </c>
      <c r="L16" s="122" t="n">
        <f aca="false">F16-(I16-AG16)</f>
        <v>6.46168389210991</v>
      </c>
      <c r="M16" s="244" t="n">
        <v>4.1</v>
      </c>
      <c r="N16" s="122" t="n">
        <v>0</v>
      </c>
      <c r="O16" s="122" t="n">
        <v>0</v>
      </c>
      <c r="P16" s="215" t="n">
        <v>0</v>
      </c>
      <c r="Q16" s="352" t="n">
        <f aca="false">1.46*1.02</f>
        <v>1.4892</v>
      </c>
      <c r="R16" s="352" t="n">
        <v>3.28</v>
      </c>
      <c r="S16" s="119" t="n">
        <v>0</v>
      </c>
      <c r="T16" s="84" t="n">
        <f aca="false">M16-(Q16+R16+S16)</f>
        <v>-0.6692</v>
      </c>
      <c r="U16" s="122" t="n">
        <v>0</v>
      </c>
      <c r="V16" s="122" t="n">
        <v>0</v>
      </c>
      <c r="W16" s="122" t="n">
        <f aca="false">M16-N16-O16-P16-Q16-R16-S16-T16+U16+V16</f>
        <v>0</v>
      </c>
      <c r="X16" s="95"/>
      <c r="Y16" s="95"/>
      <c r="Z16" s="95"/>
      <c r="AA16" s="122" t="n">
        <v>0</v>
      </c>
      <c r="AB16" s="244"/>
      <c r="AC16" s="245"/>
      <c r="AD16" s="122" t="n">
        <v>45</v>
      </c>
      <c r="AE16" s="95" t="n">
        <f aca="false">AE15-AD16</f>
        <v>911</v>
      </c>
      <c r="AF16" s="218"/>
      <c r="AG16" s="121" t="n">
        <f aca="false">N16+O16+P16+Q16+R16+S16+T16+W16+AA16+AD16</f>
        <v>49.1</v>
      </c>
      <c r="AH16" s="122" t="n">
        <f aca="false">IF(L16&lt;0,L16*-1,0)</f>
        <v>0</v>
      </c>
      <c r="AI16" s="122" t="n">
        <f aca="false">AG16+AH16</f>
        <v>49.1</v>
      </c>
      <c r="AJ16" s="221" t="n">
        <v>0</v>
      </c>
      <c r="AK16" s="133" t="n">
        <v>34</v>
      </c>
      <c r="AL16" s="222" t="n">
        <v>16</v>
      </c>
      <c r="AM16" s="133" t="n">
        <f aca="false">AM15+(W16*1.9835)</f>
        <v>11713.16255</v>
      </c>
      <c r="AN16" s="218"/>
      <c r="AO16" s="223"/>
      <c r="AP16" s="95"/>
      <c r="AQ16" s="223"/>
      <c r="AS16" s="10"/>
    </row>
    <row r="17" customFormat="false" ht="12.95" hidden="false" customHeight="true" outlineLevel="0" collapsed="false">
      <c r="A17" s="155" t="n">
        <f aca="false">A16+1</f>
        <v>6</v>
      </c>
      <c r="B17" s="94" t="n">
        <v>6901.04</v>
      </c>
      <c r="C17" s="95" t="n">
        <v>287431</v>
      </c>
      <c r="D17" s="133" t="n">
        <f aca="false">C17-C16</f>
        <v>149</v>
      </c>
      <c r="E17" s="95" t="n">
        <f aca="false">C17-152000</f>
        <v>135431</v>
      </c>
      <c r="F17" s="243" t="n">
        <f aca="false">D17/$D$2</f>
        <v>75.1197378371565</v>
      </c>
      <c r="G17" s="122" t="n">
        <v>98</v>
      </c>
      <c r="H17" s="351" t="n">
        <v>11</v>
      </c>
      <c r="I17" s="122" t="n">
        <f aca="false">G17+H17</f>
        <v>109</v>
      </c>
      <c r="J17" s="218" t="n">
        <f aca="false">IF(L17&gt;0,L17,0)</f>
        <v>31.1197378371565</v>
      </c>
      <c r="K17" s="122" t="n">
        <f aca="false">I17+J17</f>
        <v>140.119737837157</v>
      </c>
      <c r="L17" s="122" t="n">
        <f aca="false">F17-(I17-AG17)</f>
        <v>31.1197378371565</v>
      </c>
      <c r="M17" s="244" t="n">
        <v>4</v>
      </c>
      <c r="N17" s="122" t="n">
        <v>0</v>
      </c>
      <c r="O17" s="122" t="n">
        <v>0</v>
      </c>
      <c r="P17" s="215" t="n">
        <v>0</v>
      </c>
      <c r="Q17" s="352" t="n">
        <f aca="false">1.46*1.02</f>
        <v>1.4892</v>
      </c>
      <c r="R17" s="352" t="n">
        <v>3.48</v>
      </c>
      <c r="S17" s="119" t="n">
        <v>0</v>
      </c>
      <c r="T17" s="84" t="n">
        <f aca="false">M17-(Q17+R17+S17)</f>
        <v>-0.9692</v>
      </c>
      <c r="U17" s="122" t="n">
        <v>0</v>
      </c>
      <c r="V17" s="122" t="n">
        <v>0</v>
      </c>
      <c r="W17" s="122" t="n">
        <f aca="false">M17-N17-O17-P17-Q17-R17-S17-T17+U17+V17</f>
        <v>0</v>
      </c>
      <c r="X17" s="95"/>
      <c r="Y17" s="95"/>
      <c r="Z17" s="95"/>
      <c r="AA17" s="122" t="n">
        <v>0</v>
      </c>
      <c r="AB17" s="244"/>
      <c r="AC17" s="245"/>
      <c r="AD17" s="122" t="n">
        <v>61</v>
      </c>
      <c r="AE17" s="353" t="n">
        <f aca="false">AE16-45</f>
        <v>866</v>
      </c>
      <c r="AF17" s="354" t="n">
        <f aca="false">AD17-45</f>
        <v>16</v>
      </c>
      <c r="AG17" s="121" t="n">
        <f aca="false">N17+O17+P17+Q17+R17+S17+T17+W17+AA17+AD17</f>
        <v>65</v>
      </c>
      <c r="AH17" s="122" t="n">
        <f aca="false">IF(L17&lt;0,L17*-1,0)</f>
        <v>0</v>
      </c>
      <c r="AI17" s="122" t="n">
        <f aca="false">AG17+AH17</f>
        <v>65</v>
      </c>
      <c r="AJ17" s="221" t="n">
        <v>0</v>
      </c>
      <c r="AK17" s="133" t="n">
        <v>36</v>
      </c>
      <c r="AL17" s="222" t="n">
        <v>11</v>
      </c>
      <c r="AM17" s="133" t="n">
        <f aca="false">AM16+(W17*1.9835)</f>
        <v>11713.16255</v>
      </c>
      <c r="AN17" s="218"/>
      <c r="AO17" s="122"/>
      <c r="AP17" s="95"/>
      <c r="AQ17" s="223"/>
      <c r="AS17" s="10"/>
    </row>
    <row r="18" customFormat="false" ht="12.95" hidden="false" customHeight="true" outlineLevel="0" collapsed="false">
      <c r="A18" s="155" t="n">
        <f aca="false">A17+1</f>
        <v>7</v>
      </c>
      <c r="B18" s="94" t="n">
        <v>6901.05</v>
      </c>
      <c r="C18" s="95" t="n">
        <v>287469</v>
      </c>
      <c r="D18" s="133" t="n">
        <f aca="false">C18-C17</f>
        <v>38</v>
      </c>
      <c r="E18" s="95" t="n">
        <f aca="false">C18-152000</f>
        <v>135469</v>
      </c>
      <c r="F18" s="243" t="n">
        <f aca="false">D18/$D$2</f>
        <v>19.1580539450466</v>
      </c>
      <c r="G18" s="122" t="n">
        <v>105</v>
      </c>
      <c r="H18" s="351" t="n">
        <v>14</v>
      </c>
      <c r="I18" s="122" t="n">
        <f aca="false">G18+H18</f>
        <v>119</v>
      </c>
      <c r="J18" s="218" t="n">
        <f aca="false">IF(L18&gt;0,L18,0)</f>
        <v>0</v>
      </c>
      <c r="K18" s="122" t="n">
        <f aca="false">I18+J18</f>
        <v>119</v>
      </c>
      <c r="L18" s="122" t="n">
        <f aca="false">F18-(I18-AG18)</f>
        <v>-20.0419460549534</v>
      </c>
      <c r="M18" s="244" t="n">
        <v>3.8</v>
      </c>
      <c r="N18" s="122" t="n">
        <v>0</v>
      </c>
      <c r="O18" s="122" t="n">
        <v>0</v>
      </c>
      <c r="P18" s="215" t="n">
        <v>0</v>
      </c>
      <c r="Q18" s="352" t="n">
        <f aca="false">1.46*1.02</f>
        <v>1.4892</v>
      </c>
      <c r="R18" s="352" t="n">
        <v>3.57</v>
      </c>
      <c r="S18" s="119" t="n">
        <v>0</v>
      </c>
      <c r="T18" s="84" t="n">
        <f aca="false">M18-(Q18+R18+S18)</f>
        <v>-1.2592</v>
      </c>
      <c r="U18" s="122" t="n">
        <v>0</v>
      </c>
      <c r="V18" s="122" t="n">
        <v>0</v>
      </c>
      <c r="W18" s="122" t="n">
        <f aca="false">M18-N18-O18-P18-Q18-R18-S18-T18+U18+V18</f>
        <v>0</v>
      </c>
      <c r="X18" s="95"/>
      <c r="Y18" s="95"/>
      <c r="Z18" s="95"/>
      <c r="AA18" s="122" t="n">
        <v>0</v>
      </c>
      <c r="AB18" s="244"/>
      <c r="AC18" s="245"/>
      <c r="AD18" s="122" t="n">
        <v>76</v>
      </c>
      <c r="AE18" s="353" t="n">
        <f aca="false">AE17-45</f>
        <v>821</v>
      </c>
      <c r="AF18" s="354" t="n">
        <f aca="false">AD18-45</f>
        <v>31</v>
      </c>
      <c r="AG18" s="121" t="n">
        <f aca="false">N18+O18+P18+Q18+R18+S18+T18+W18+AA18+AD18</f>
        <v>79.8</v>
      </c>
      <c r="AH18" s="122" t="n">
        <f aca="false">IF(L18&lt;0,L18*-1,0)</f>
        <v>20.0419460549534</v>
      </c>
      <c r="AI18" s="122" t="n">
        <f aca="false">AG18+AH18</f>
        <v>99.8419460549534</v>
      </c>
      <c r="AJ18" s="221" t="n">
        <v>0</v>
      </c>
      <c r="AK18" s="133" t="n">
        <v>42</v>
      </c>
      <c r="AL18" s="222" t="n">
        <v>13</v>
      </c>
      <c r="AM18" s="133" t="n">
        <f aca="false">AM17+(W18*1.9835)</f>
        <v>11713.16255</v>
      </c>
      <c r="AN18" s="218"/>
      <c r="AO18" s="122"/>
      <c r="AP18" s="95"/>
      <c r="AQ18" s="223"/>
      <c r="AS18" s="10"/>
    </row>
    <row r="19" customFormat="false" ht="12.95" hidden="false" customHeight="true" outlineLevel="0" collapsed="false">
      <c r="A19" s="155" t="n">
        <f aca="false">A18+1</f>
        <v>8</v>
      </c>
      <c r="B19" s="94" t="n">
        <v>6901.05</v>
      </c>
      <c r="C19" s="95" t="n">
        <v>287469</v>
      </c>
      <c r="D19" s="133" t="n">
        <f aca="false">C19-C18</f>
        <v>0</v>
      </c>
      <c r="E19" s="95" t="n">
        <f aca="false">C19-152000</f>
        <v>135469</v>
      </c>
      <c r="F19" s="243" t="n">
        <f aca="false">D19/$D$2</f>
        <v>0</v>
      </c>
      <c r="G19" s="122" t="n">
        <v>112</v>
      </c>
      <c r="H19" s="351" t="n">
        <v>12</v>
      </c>
      <c r="I19" s="122" t="n">
        <f aca="false">G19+H19</f>
        <v>124</v>
      </c>
      <c r="J19" s="218" t="n">
        <f aca="false">IF(L19&gt;0,L19,0)</f>
        <v>0</v>
      </c>
      <c r="K19" s="122" t="n">
        <f aca="false">I19+J19</f>
        <v>124</v>
      </c>
      <c r="L19" s="122" t="n">
        <f aca="false">F19-(I19-AG19)</f>
        <v>-44.3</v>
      </c>
      <c r="M19" s="244" t="n">
        <v>3.7</v>
      </c>
      <c r="N19" s="122" t="n">
        <v>0</v>
      </c>
      <c r="O19" s="122" t="n">
        <v>0</v>
      </c>
      <c r="P19" s="215" t="n">
        <v>0</v>
      </c>
      <c r="Q19" s="352" t="n">
        <f aca="false">1.46*1.02</f>
        <v>1.4892</v>
      </c>
      <c r="R19" s="352" t="n">
        <v>3.45</v>
      </c>
      <c r="S19" s="119" t="n">
        <v>0</v>
      </c>
      <c r="T19" s="84" t="n">
        <f aca="false">M19-(Q19+R19+S19)</f>
        <v>-1.2392</v>
      </c>
      <c r="U19" s="122" t="n">
        <v>0</v>
      </c>
      <c r="V19" s="122" t="n">
        <v>0</v>
      </c>
      <c r="W19" s="122" t="n">
        <f aca="false">M19-N19-O19-P19-Q19-R19-S19-T19+U19+V19</f>
        <v>0</v>
      </c>
      <c r="X19" s="95"/>
      <c r="Y19" s="95"/>
      <c r="Z19" s="95"/>
      <c r="AA19" s="122" t="n">
        <v>0</v>
      </c>
      <c r="AB19" s="244"/>
      <c r="AC19" s="245"/>
      <c r="AD19" s="122" t="n">
        <v>76</v>
      </c>
      <c r="AE19" s="353" t="n">
        <f aca="false">AE18-45</f>
        <v>776</v>
      </c>
      <c r="AF19" s="354" t="n">
        <f aca="false">AD19-45</f>
        <v>31</v>
      </c>
      <c r="AG19" s="121" t="n">
        <f aca="false">N19+O19+P19+Q19+R19+S19+T19+W19+AA19+AD19</f>
        <v>79.7</v>
      </c>
      <c r="AH19" s="122" t="n">
        <f aca="false">IF(L19&lt;0,L19*-1,0)</f>
        <v>44.3</v>
      </c>
      <c r="AI19" s="122" t="n">
        <f aca="false">AG19+AH19</f>
        <v>124</v>
      </c>
      <c r="AJ19" s="221" t="n">
        <v>0</v>
      </c>
      <c r="AK19" s="133" t="n">
        <v>43</v>
      </c>
      <c r="AL19" s="222" t="n">
        <v>21</v>
      </c>
      <c r="AM19" s="133" t="n">
        <f aca="false">AM18+(W19*1.9835)</f>
        <v>11713.16255</v>
      </c>
      <c r="AN19" s="218"/>
      <c r="AO19" s="122"/>
      <c r="AP19" s="95"/>
      <c r="AQ19" s="223"/>
      <c r="AS19" s="10"/>
    </row>
    <row r="20" customFormat="false" ht="12.95" hidden="false" customHeight="true" outlineLevel="0" collapsed="false">
      <c r="A20" s="155" t="n">
        <f aca="false">A19+1</f>
        <v>9</v>
      </c>
      <c r="B20" s="94" t="n">
        <v>6901.06</v>
      </c>
      <c r="C20" s="95" t="n">
        <v>287506</v>
      </c>
      <c r="D20" s="133" t="n">
        <f aca="false">C20-C19</f>
        <v>37</v>
      </c>
      <c r="E20" s="95" t="n">
        <f aca="false">C20-152000</f>
        <v>135506</v>
      </c>
      <c r="F20" s="243" t="n">
        <f aca="false">D20/$D$2</f>
        <v>18.6538946307033</v>
      </c>
      <c r="G20" s="122" t="n">
        <v>119</v>
      </c>
      <c r="H20" s="351" t="n">
        <v>15</v>
      </c>
      <c r="I20" s="122" t="n">
        <f aca="false">G20+H20</f>
        <v>134</v>
      </c>
      <c r="J20" s="218" t="n">
        <f aca="false">IF(L20&gt;0,L20,0)</f>
        <v>0</v>
      </c>
      <c r="K20" s="122" t="n">
        <f aca="false">I20+J20</f>
        <v>134</v>
      </c>
      <c r="L20" s="122" t="n">
        <f aca="false">F20-(I20-AG20)</f>
        <v>-35.6461053692967</v>
      </c>
      <c r="M20" s="244" t="n">
        <v>3.7</v>
      </c>
      <c r="N20" s="122" t="n">
        <v>0</v>
      </c>
      <c r="O20" s="122" t="n">
        <v>0</v>
      </c>
      <c r="P20" s="215" t="n">
        <v>0</v>
      </c>
      <c r="Q20" s="352" t="n">
        <f aca="false">1.46*1.02</f>
        <v>1.4892</v>
      </c>
      <c r="R20" s="352" t="n">
        <v>3.12</v>
      </c>
      <c r="S20" s="119" t="n">
        <v>0</v>
      </c>
      <c r="T20" s="84" t="n">
        <f aca="false">M20-(Q20+R20+S20)</f>
        <v>-0.9092</v>
      </c>
      <c r="U20" s="122" t="n">
        <v>0</v>
      </c>
      <c r="V20" s="122" t="n">
        <v>0</v>
      </c>
      <c r="W20" s="122" t="n">
        <f aca="false">M20-N20-O20-P20-Q20-R20-S20-T20+U20+V20</f>
        <v>0</v>
      </c>
      <c r="X20" s="95"/>
      <c r="Y20" s="95"/>
      <c r="Z20" s="95"/>
      <c r="AA20" s="122" t="n">
        <v>0</v>
      </c>
      <c r="AB20" s="244"/>
      <c r="AC20" s="245"/>
      <c r="AD20" s="122" t="n">
        <v>76</v>
      </c>
      <c r="AE20" s="353" t="n">
        <f aca="false">AE19-45</f>
        <v>731</v>
      </c>
      <c r="AF20" s="354" t="n">
        <f aca="false">AD20-45</f>
        <v>31</v>
      </c>
      <c r="AG20" s="121" t="n">
        <f aca="false">N20+O20+P20+Q20+R20+S20+T20+W20+AA20+AD20</f>
        <v>79.7</v>
      </c>
      <c r="AH20" s="122" t="n">
        <f aca="false">IF(L20&lt;0,L20*-1,0)</f>
        <v>35.6461053692967</v>
      </c>
      <c r="AI20" s="122" t="n">
        <f aca="false">AG20+AH20</f>
        <v>115.346105369297</v>
      </c>
      <c r="AJ20" s="221" t="n">
        <v>0</v>
      </c>
      <c r="AK20" s="223" t="n">
        <v>47</v>
      </c>
      <c r="AL20" s="222" t="n">
        <v>21</v>
      </c>
      <c r="AM20" s="133" t="n">
        <f aca="false">AM19+(W20*1.9835)</f>
        <v>11713.16255</v>
      </c>
      <c r="AN20" s="218"/>
      <c r="AO20" s="122"/>
      <c r="AP20" s="95"/>
      <c r="AQ20" s="223"/>
      <c r="AS20" s="10"/>
    </row>
    <row r="21" customFormat="false" ht="12.95" hidden="false" customHeight="true" outlineLevel="0" collapsed="false">
      <c r="A21" s="155" t="n">
        <f aca="false">A20+1</f>
        <v>10</v>
      </c>
      <c r="B21" s="94" t="n">
        <v>6901.09</v>
      </c>
      <c r="C21" s="95" t="n">
        <v>287618</v>
      </c>
      <c r="D21" s="133" t="n">
        <f aca="false">C21-C20</f>
        <v>112</v>
      </c>
      <c r="E21" s="95" t="n">
        <f aca="false">C21-152000</f>
        <v>135618</v>
      </c>
      <c r="F21" s="243" t="n">
        <f aca="false">D21/$D$2</f>
        <v>56.4658432064532</v>
      </c>
      <c r="G21" s="122" t="n">
        <v>126</v>
      </c>
      <c r="H21" s="351" t="n">
        <v>15</v>
      </c>
      <c r="I21" s="122" t="n">
        <f aca="false">G21+H21</f>
        <v>141</v>
      </c>
      <c r="J21" s="218" t="n">
        <f aca="false">IF(L21&gt;0,L21,0)</f>
        <v>1.96584320645324</v>
      </c>
      <c r="K21" s="122" t="n">
        <f aca="false">I21+J21</f>
        <v>142.965843206453</v>
      </c>
      <c r="L21" s="122" t="n">
        <f aca="false">F21-(I21-AG21)</f>
        <v>1.96584320645324</v>
      </c>
      <c r="M21" s="244" t="n">
        <v>3.5</v>
      </c>
      <c r="N21" s="122" t="n">
        <v>0</v>
      </c>
      <c r="O21" s="122" t="n">
        <v>0</v>
      </c>
      <c r="P21" s="215" t="n">
        <v>0</v>
      </c>
      <c r="Q21" s="352" t="n">
        <f aca="false">1.46*1.02</f>
        <v>1.4892</v>
      </c>
      <c r="R21" s="352" t="n">
        <v>3.44</v>
      </c>
      <c r="S21" s="119" t="n">
        <v>0</v>
      </c>
      <c r="T21" s="84" t="n">
        <f aca="false">M21-(Q21+R21+S21)</f>
        <v>-1.4292</v>
      </c>
      <c r="U21" s="122" t="n">
        <v>0</v>
      </c>
      <c r="V21" s="122" t="n">
        <v>0</v>
      </c>
      <c r="W21" s="122" t="n">
        <f aca="false">M21-N21-O21-P21-Q21-R21-S21-T21+U21+V21</f>
        <v>0</v>
      </c>
      <c r="X21" s="95"/>
      <c r="Y21" s="95"/>
      <c r="Z21" s="95"/>
      <c r="AA21" s="122" t="n">
        <v>0</v>
      </c>
      <c r="AB21" s="244"/>
      <c r="AC21" s="245"/>
      <c r="AD21" s="122" t="n">
        <v>83</v>
      </c>
      <c r="AE21" s="353" t="n">
        <f aca="false">AE20-45</f>
        <v>686</v>
      </c>
      <c r="AF21" s="354" t="n">
        <f aca="false">AD21-45</f>
        <v>38</v>
      </c>
      <c r="AG21" s="121" t="n">
        <f aca="false">N21+O21+P21+Q21+R21+S21+T21+W21+AA21+AD21</f>
        <v>86.5</v>
      </c>
      <c r="AH21" s="122" t="n">
        <f aca="false">IF(L21&lt;0,L21*-1,0)</f>
        <v>0</v>
      </c>
      <c r="AI21" s="122" t="n">
        <f aca="false">AG21+AH21</f>
        <v>86.5</v>
      </c>
      <c r="AJ21" s="221" t="n">
        <v>0</v>
      </c>
      <c r="AK21" s="133" t="n">
        <v>44</v>
      </c>
      <c r="AL21" s="222" t="n">
        <v>16</v>
      </c>
      <c r="AM21" s="133" t="n">
        <f aca="false">AM20+(W21*1.9835)</f>
        <v>11713.16255</v>
      </c>
      <c r="AN21" s="218"/>
      <c r="AO21" s="122"/>
      <c r="AP21" s="95"/>
      <c r="AQ21" s="223"/>
      <c r="AS21" s="10"/>
    </row>
    <row r="22" customFormat="false" ht="12.95" hidden="false" customHeight="true" outlineLevel="0" collapsed="false">
      <c r="A22" s="155" t="n">
        <f aca="false">A21+1</f>
        <v>11</v>
      </c>
      <c r="B22" s="94" t="n">
        <v>6901.07</v>
      </c>
      <c r="C22" s="95" t="n">
        <v>287543</v>
      </c>
      <c r="D22" s="133" t="n">
        <f aca="false">C22-C21</f>
        <v>-75</v>
      </c>
      <c r="E22" s="95" t="n">
        <f aca="false">C22-152000</f>
        <v>135543</v>
      </c>
      <c r="F22" s="243" t="n">
        <f aca="false">D22/$D$2</f>
        <v>-37.8119485757499</v>
      </c>
      <c r="G22" s="122" t="n">
        <v>135</v>
      </c>
      <c r="H22" s="351" t="n">
        <v>17</v>
      </c>
      <c r="I22" s="122" t="n">
        <f aca="false">G22+H22</f>
        <v>152</v>
      </c>
      <c r="J22" s="218" t="n">
        <f aca="false">IF(L22&gt;0,L22,0)</f>
        <v>0</v>
      </c>
      <c r="K22" s="122" t="n">
        <f aca="false">I22+J22</f>
        <v>152</v>
      </c>
      <c r="L22" s="122" t="n">
        <f aca="false">F22-(I22-AG22)</f>
        <v>-56.0119485757499</v>
      </c>
      <c r="M22" s="244" t="n">
        <v>3.8</v>
      </c>
      <c r="N22" s="122" t="n">
        <v>0</v>
      </c>
      <c r="O22" s="122" t="n">
        <v>0</v>
      </c>
      <c r="P22" s="215" t="n">
        <v>0</v>
      </c>
      <c r="Q22" s="352" t="n">
        <f aca="false">1.46*1.02</f>
        <v>1.4892</v>
      </c>
      <c r="R22" s="352" t="n">
        <v>3.53</v>
      </c>
      <c r="S22" s="119" t="n">
        <v>0</v>
      </c>
      <c r="T22" s="84" t="n">
        <f aca="false">M22-(Q22+R22+S22)</f>
        <v>-1.2192</v>
      </c>
      <c r="U22" s="122" t="n">
        <v>0</v>
      </c>
      <c r="V22" s="122" t="n">
        <v>0</v>
      </c>
      <c r="W22" s="122" t="n">
        <f aca="false">M22-N22-O22-P22-Q22-R22-S22-T22+U22+V22</f>
        <v>0</v>
      </c>
      <c r="X22" s="95"/>
      <c r="Y22" s="95"/>
      <c r="Z22" s="95"/>
      <c r="AA22" s="122" t="n">
        <v>0</v>
      </c>
      <c r="AB22" s="244"/>
      <c r="AC22" s="245"/>
      <c r="AD22" s="122" t="n">
        <v>130</v>
      </c>
      <c r="AE22" s="353" t="n">
        <f aca="false">AE21-45</f>
        <v>641</v>
      </c>
      <c r="AF22" s="354" t="n">
        <f aca="false">AD22-45</f>
        <v>85</v>
      </c>
      <c r="AG22" s="121" t="n">
        <f aca="false">N22+O22+P22+Q22+R22+S22+T22+W22+AA22+AD22</f>
        <v>133.8</v>
      </c>
      <c r="AH22" s="122" t="n">
        <f aca="false">IF(L22&lt;0,L22*-1,0)</f>
        <v>56.0119485757499</v>
      </c>
      <c r="AI22" s="122" t="n">
        <f aca="false">AG22+AH22</f>
        <v>189.81194857575</v>
      </c>
      <c r="AJ22" s="221" t="n">
        <v>0</v>
      </c>
      <c r="AK22" s="133" t="n">
        <v>47</v>
      </c>
      <c r="AL22" s="222" t="n">
        <v>20</v>
      </c>
      <c r="AM22" s="133" t="n">
        <f aca="false">AM21+(W22*1.9835)</f>
        <v>11713.16255</v>
      </c>
      <c r="AN22" s="218"/>
      <c r="AO22" s="122"/>
      <c r="AP22" s="95"/>
      <c r="AQ22" s="223"/>
      <c r="AS22" s="10"/>
    </row>
    <row r="23" customFormat="false" ht="12.95" hidden="false" customHeight="true" outlineLevel="0" collapsed="false">
      <c r="A23" s="155" t="n">
        <f aca="false">A22+1</f>
        <v>12</v>
      </c>
      <c r="B23" s="94" t="n">
        <v>6901.07</v>
      </c>
      <c r="C23" s="95" t="n">
        <v>287543</v>
      </c>
      <c r="D23" s="133" t="n">
        <f aca="false">C23-C22</f>
        <v>0</v>
      </c>
      <c r="E23" s="95" t="n">
        <f aca="false">C23-152000</f>
        <v>135543</v>
      </c>
      <c r="F23" s="243" t="n">
        <f aca="false">D23/$D$2</f>
        <v>0</v>
      </c>
      <c r="G23" s="122" t="n">
        <v>141</v>
      </c>
      <c r="H23" s="351" t="n">
        <v>18</v>
      </c>
      <c r="I23" s="122" t="n">
        <f aca="false">G23+H23</f>
        <v>159</v>
      </c>
      <c r="J23" s="218" t="n">
        <f aca="false">IF(L23&gt;0,L23,0)</f>
        <v>0</v>
      </c>
      <c r="K23" s="122" t="n">
        <f aca="false">I23+J23</f>
        <v>159</v>
      </c>
      <c r="L23" s="122" t="n">
        <f aca="false">F23-(I23-AG23)</f>
        <v>-11.2</v>
      </c>
      <c r="M23" s="244" t="n">
        <v>3.8</v>
      </c>
      <c r="N23" s="122" t="n">
        <v>0</v>
      </c>
      <c r="O23" s="122" t="n">
        <v>0</v>
      </c>
      <c r="P23" s="215" t="n">
        <v>0</v>
      </c>
      <c r="Q23" s="352" t="n">
        <f aca="false">1.46*1.02</f>
        <v>1.4892</v>
      </c>
      <c r="R23" s="352" t="n">
        <v>3.44</v>
      </c>
      <c r="S23" s="119" t="n">
        <v>0</v>
      </c>
      <c r="T23" s="84" t="n">
        <f aca="false">M23-(Q23+R23+S23)</f>
        <v>-1.1292</v>
      </c>
      <c r="U23" s="122" t="n">
        <v>0</v>
      </c>
      <c r="V23" s="122" t="n">
        <v>0</v>
      </c>
      <c r="W23" s="122" t="n">
        <f aca="false">M23-N23-O23-P23-Q23-R23-S23-T23+U23+V23</f>
        <v>0</v>
      </c>
      <c r="X23" s="95"/>
      <c r="Y23" s="95"/>
      <c r="Z23" s="95"/>
      <c r="AA23" s="122" t="n">
        <v>0</v>
      </c>
      <c r="AB23" s="244"/>
      <c r="AC23" s="245"/>
      <c r="AD23" s="122" t="n">
        <v>144</v>
      </c>
      <c r="AE23" s="353" t="n">
        <f aca="false">AE22-45</f>
        <v>596</v>
      </c>
      <c r="AF23" s="354" t="n">
        <f aca="false">AD23-45</f>
        <v>99</v>
      </c>
      <c r="AG23" s="121" t="n">
        <f aca="false">N23+O23+P23+Q23+R23+S23+T23+W23+AA23+AD23</f>
        <v>147.8</v>
      </c>
      <c r="AH23" s="122" t="n">
        <f aca="false">IF(L23&lt;0,L23*-1,0)</f>
        <v>11.2</v>
      </c>
      <c r="AI23" s="122" t="n">
        <f aca="false">AG23+AH23</f>
        <v>159</v>
      </c>
      <c r="AJ23" s="221" t="n">
        <v>0</v>
      </c>
      <c r="AK23" s="133" t="n">
        <v>53</v>
      </c>
      <c r="AL23" s="222" t="n">
        <v>18</v>
      </c>
      <c r="AM23" s="133" t="n">
        <f aca="false">AM22+(W23*1.9835)</f>
        <v>11713.16255</v>
      </c>
      <c r="AN23" s="218"/>
      <c r="AO23" s="122"/>
      <c r="AP23" s="95"/>
      <c r="AQ23" s="223"/>
      <c r="AS23" s="10"/>
    </row>
    <row r="24" customFormat="false" ht="12.95" hidden="false" customHeight="true" outlineLevel="0" collapsed="false">
      <c r="A24" s="155" t="n">
        <f aca="false">A23+1</f>
        <v>13</v>
      </c>
      <c r="B24" s="94" t="n">
        <v>6901.07</v>
      </c>
      <c r="C24" s="95" t="n">
        <v>287543</v>
      </c>
      <c r="D24" s="133" t="n">
        <f aca="false">C24-C23</f>
        <v>0</v>
      </c>
      <c r="E24" s="95" t="n">
        <f aca="false">C24-152000</f>
        <v>135543</v>
      </c>
      <c r="F24" s="243" t="n">
        <f aca="false">D24/$D$2</f>
        <v>0</v>
      </c>
      <c r="G24" s="122" t="n">
        <v>149</v>
      </c>
      <c r="H24" s="351" t="n">
        <v>25</v>
      </c>
      <c r="I24" s="122" t="n">
        <f aca="false">G24+H24</f>
        <v>174</v>
      </c>
      <c r="J24" s="218" t="n">
        <f aca="false">IF(L24&gt;0,L24,0)</f>
        <v>0</v>
      </c>
      <c r="K24" s="122" t="n">
        <f aca="false">I24+J24</f>
        <v>174</v>
      </c>
      <c r="L24" s="122" t="n">
        <f aca="false">F24-(I24-AG24)</f>
        <v>-27.2</v>
      </c>
      <c r="M24" s="244" t="n">
        <v>3.8</v>
      </c>
      <c r="N24" s="122" t="n">
        <v>0</v>
      </c>
      <c r="O24" s="122" t="n">
        <v>0</v>
      </c>
      <c r="P24" s="215" t="n">
        <v>0</v>
      </c>
      <c r="Q24" s="352" t="n">
        <f aca="false">1.46*1.02</f>
        <v>1.4892</v>
      </c>
      <c r="R24" s="352" t="n">
        <v>3.6</v>
      </c>
      <c r="S24" s="119" t="n">
        <v>0</v>
      </c>
      <c r="T24" s="84" t="n">
        <f aca="false">M24-(Q24+R24+S24)</f>
        <v>-1.2892</v>
      </c>
      <c r="U24" s="122" t="n">
        <v>0</v>
      </c>
      <c r="V24" s="122" t="n">
        <v>0</v>
      </c>
      <c r="W24" s="122" t="n">
        <f aca="false">M24-N24-O24-P24-Q24-R24-S24-T24+U24+V24</f>
        <v>0</v>
      </c>
      <c r="X24" s="95"/>
      <c r="Y24" s="95"/>
      <c r="Z24" s="95"/>
      <c r="AA24" s="122" t="n">
        <v>0</v>
      </c>
      <c r="AB24" s="244"/>
      <c r="AC24" s="245"/>
      <c r="AD24" s="122" t="n">
        <v>143</v>
      </c>
      <c r="AE24" s="353" t="n">
        <f aca="false">AE23-45</f>
        <v>551</v>
      </c>
      <c r="AF24" s="354" t="n">
        <f aca="false">AD24-45</f>
        <v>98</v>
      </c>
      <c r="AG24" s="121" t="n">
        <f aca="false">N24+O24+P24+Q24+R24+S24+T24+W24+AA24+AD24</f>
        <v>146.8</v>
      </c>
      <c r="AH24" s="122" t="n">
        <f aca="false">IF(L24&lt;0,L24*-1,0)</f>
        <v>27.2</v>
      </c>
      <c r="AI24" s="122" t="n">
        <f aca="false">AG24+AH24</f>
        <v>174</v>
      </c>
      <c r="AJ24" s="221" t="n">
        <v>0</v>
      </c>
      <c r="AK24" s="133" t="n">
        <v>49</v>
      </c>
      <c r="AL24" s="222" t="n">
        <v>24</v>
      </c>
      <c r="AM24" s="133" t="n">
        <f aca="false">AM23+(W24*1.9835)</f>
        <v>11713.16255</v>
      </c>
      <c r="AN24" s="218"/>
      <c r="AO24" s="122"/>
      <c r="AP24" s="95"/>
      <c r="AQ24" s="223"/>
      <c r="AS24" s="10"/>
    </row>
    <row r="25" customFormat="false" ht="12.95" hidden="false" customHeight="true" outlineLevel="0" collapsed="false">
      <c r="A25" s="155" t="n">
        <f aca="false">A24+1</f>
        <v>14</v>
      </c>
      <c r="B25" s="94" t="n">
        <v>6901.07</v>
      </c>
      <c r="C25" s="95" t="n">
        <v>287543</v>
      </c>
      <c r="D25" s="133" t="n">
        <f aca="false">C25-C24</f>
        <v>0</v>
      </c>
      <c r="E25" s="95" t="n">
        <f aca="false">C25-152000</f>
        <v>135543</v>
      </c>
      <c r="F25" s="243" t="n">
        <f aca="false">D25/$D$2</f>
        <v>0</v>
      </c>
      <c r="G25" s="122" t="n">
        <v>157</v>
      </c>
      <c r="H25" s="351" t="n">
        <v>30</v>
      </c>
      <c r="I25" s="122" t="n">
        <f aca="false">G25+H25</f>
        <v>187</v>
      </c>
      <c r="J25" s="218" t="n">
        <f aca="false">IF(L25&gt;0,L25,0)</f>
        <v>0</v>
      </c>
      <c r="K25" s="122" t="n">
        <f aca="false">I25+J25</f>
        <v>187</v>
      </c>
      <c r="L25" s="122" t="n">
        <f aca="false">F25-(I25-AG25)</f>
        <v>-40</v>
      </c>
      <c r="M25" s="244" t="n">
        <v>4</v>
      </c>
      <c r="N25" s="122" t="n">
        <v>0</v>
      </c>
      <c r="O25" s="122" t="n">
        <v>0</v>
      </c>
      <c r="P25" s="215" t="n">
        <v>0</v>
      </c>
      <c r="Q25" s="352" t="n">
        <f aca="false">1.46*1.02</f>
        <v>1.4892</v>
      </c>
      <c r="R25" s="352" t="n">
        <v>4.2</v>
      </c>
      <c r="S25" s="119" t="n">
        <v>0.44</v>
      </c>
      <c r="T25" s="84" t="n">
        <f aca="false">M25-(Q25+R25+S25)</f>
        <v>-2.1292</v>
      </c>
      <c r="U25" s="122" t="n">
        <v>0</v>
      </c>
      <c r="V25" s="122" t="n">
        <v>0</v>
      </c>
      <c r="W25" s="122" t="n">
        <f aca="false">M25-N25-O25-P25-Q25-R25-S25-T25+U25+V25</f>
        <v>0</v>
      </c>
      <c r="X25" s="95"/>
      <c r="Y25" s="95"/>
      <c r="Z25" s="95"/>
      <c r="AA25" s="122" t="n">
        <v>0</v>
      </c>
      <c r="AB25" s="244"/>
      <c r="AC25" s="245"/>
      <c r="AD25" s="122" t="n">
        <v>143</v>
      </c>
      <c r="AE25" s="353" t="n">
        <f aca="false">AE24-45</f>
        <v>506</v>
      </c>
      <c r="AF25" s="354" t="n">
        <f aca="false">AD25-45</f>
        <v>98</v>
      </c>
      <c r="AG25" s="121" t="n">
        <f aca="false">N25+O25+P25+Q25+R25+S25+T25+W25+AA25+AD25</f>
        <v>147</v>
      </c>
      <c r="AH25" s="122" t="n">
        <f aca="false">IF(L25&lt;0,L25*-1,0)</f>
        <v>40</v>
      </c>
      <c r="AI25" s="122" t="n">
        <f aca="false">AG25+AH25</f>
        <v>187</v>
      </c>
      <c r="AJ25" s="221" t="n">
        <v>0</v>
      </c>
      <c r="AK25" s="223" t="n">
        <v>45</v>
      </c>
      <c r="AL25" s="222" t="n">
        <v>31</v>
      </c>
      <c r="AM25" s="133" t="n">
        <f aca="false">AM24+(W25*1.9835)</f>
        <v>11713.16255</v>
      </c>
      <c r="AN25" s="218"/>
      <c r="AO25" s="122"/>
      <c r="AP25" s="95"/>
      <c r="AQ25" s="223"/>
      <c r="AS25" s="10"/>
    </row>
    <row r="26" customFormat="false" ht="12.95" hidden="false" customHeight="true" outlineLevel="0" collapsed="false">
      <c r="A26" s="155" t="n">
        <f aca="false">A25+1</f>
        <v>15</v>
      </c>
      <c r="B26" s="94" t="n">
        <v>6901.07</v>
      </c>
      <c r="C26" s="95" t="n">
        <v>287543</v>
      </c>
      <c r="D26" s="133" t="n">
        <f aca="false">C26-C25</f>
        <v>0</v>
      </c>
      <c r="E26" s="95" t="n">
        <f aca="false">C26-152000</f>
        <v>135543</v>
      </c>
      <c r="F26" s="243" t="n">
        <f aca="false">D26/$D$2</f>
        <v>0</v>
      </c>
      <c r="G26" s="122" t="n">
        <v>163</v>
      </c>
      <c r="H26" s="351" t="n">
        <v>40</v>
      </c>
      <c r="I26" s="122" t="n">
        <f aca="false">G26+H26</f>
        <v>203</v>
      </c>
      <c r="J26" s="218" t="n">
        <f aca="false">IF(L26&gt;0,L26,0)</f>
        <v>0</v>
      </c>
      <c r="K26" s="122" t="n">
        <f aca="false">I26+J26</f>
        <v>203</v>
      </c>
      <c r="L26" s="122" t="n">
        <f aca="false">F26-(I26-AG26)</f>
        <v>-56</v>
      </c>
      <c r="M26" s="244" t="n">
        <v>4</v>
      </c>
      <c r="N26" s="122" t="n">
        <v>0</v>
      </c>
      <c r="O26" s="122" t="n">
        <v>0</v>
      </c>
      <c r="P26" s="215" t="n">
        <v>0</v>
      </c>
      <c r="Q26" s="352" t="n">
        <f aca="false">1.46*1.02</f>
        <v>1.4892</v>
      </c>
      <c r="R26" s="352" t="n">
        <v>3.82</v>
      </c>
      <c r="S26" s="119" t="n">
        <v>0</v>
      </c>
      <c r="T26" s="84" t="n">
        <f aca="false">M26-(Q26+R26+S26)</f>
        <v>-1.3092</v>
      </c>
      <c r="U26" s="122" t="n">
        <v>0</v>
      </c>
      <c r="V26" s="122" t="n">
        <v>0</v>
      </c>
      <c r="W26" s="122" t="n">
        <f aca="false">M26-N26-O26-P26-Q26-R26-S26-T26+U26+V26</f>
        <v>0</v>
      </c>
      <c r="X26" s="95"/>
      <c r="Y26" s="95"/>
      <c r="Z26" s="95"/>
      <c r="AA26" s="122" t="n">
        <v>0</v>
      </c>
      <c r="AB26" s="244"/>
      <c r="AC26" s="245"/>
      <c r="AD26" s="122" t="n">
        <v>143</v>
      </c>
      <c r="AE26" s="353" t="n">
        <f aca="false">AE25-45</f>
        <v>461</v>
      </c>
      <c r="AF26" s="354" t="n">
        <f aca="false">AD26-45</f>
        <v>98</v>
      </c>
      <c r="AG26" s="121" t="n">
        <f aca="false">N26+O26+P26+Q26+R26+S26+T26+W26+AA26+AD26</f>
        <v>147</v>
      </c>
      <c r="AH26" s="122" t="n">
        <f aca="false">IF(L26&lt;0,L26*-1,0)</f>
        <v>56</v>
      </c>
      <c r="AI26" s="122" t="n">
        <f aca="false">AG26+AH26</f>
        <v>203</v>
      </c>
      <c r="AJ26" s="221" t="n">
        <v>0</v>
      </c>
      <c r="AK26" s="223" t="n">
        <v>49</v>
      </c>
      <c r="AL26" s="222" t="n">
        <v>20</v>
      </c>
      <c r="AM26" s="133" t="n">
        <f aca="false">AM25+(U26*1.9835)</f>
        <v>11713.16255</v>
      </c>
      <c r="AN26" s="218"/>
      <c r="AO26" s="122"/>
      <c r="AP26" s="95"/>
      <c r="AQ26" s="223"/>
      <c r="AS26" s="10"/>
    </row>
    <row r="27" customFormat="false" ht="12.95" hidden="false" customHeight="true" outlineLevel="0" collapsed="false">
      <c r="A27" s="155" t="n">
        <f aca="false">A26+1</f>
        <v>16</v>
      </c>
      <c r="B27" s="94" t="n">
        <v>6901.06</v>
      </c>
      <c r="C27" s="95" t="n">
        <v>287506</v>
      </c>
      <c r="D27" s="133" t="n">
        <f aca="false">C27-C26</f>
        <v>-37</v>
      </c>
      <c r="E27" s="95" t="n">
        <f aca="false">C27-152000</f>
        <v>135506</v>
      </c>
      <c r="F27" s="243" t="n">
        <f aca="false">D27/$D$2</f>
        <v>-18.6538946307033</v>
      </c>
      <c r="G27" s="122" t="n">
        <v>171</v>
      </c>
      <c r="H27" s="351" t="n">
        <v>42</v>
      </c>
      <c r="I27" s="122" t="n">
        <f aca="false">G27+H27</f>
        <v>213</v>
      </c>
      <c r="J27" s="218" t="n">
        <f aca="false">IF(L27&gt;0,L27,0)</f>
        <v>0</v>
      </c>
      <c r="K27" s="122" t="n">
        <f aca="false">I27+J27</f>
        <v>213</v>
      </c>
      <c r="L27" s="122" t="n">
        <f aca="false">F27-(I27-AG27)</f>
        <v>-84.6538946307033</v>
      </c>
      <c r="M27" s="244" t="n">
        <v>4</v>
      </c>
      <c r="N27" s="122" t="n">
        <v>0</v>
      </c>
      <c r="O27" s="122" t="n">
        <v>0</v>
      </c>
      <c r="P27" s="215" t="n">
        <v>0</v>
      </c>
      <c r="Q27" s="352" t="n">
        <f aca="false">1.46*1.02</f>
        <v>1.4892</v>
      </c>
      <c r="R27" s="352" t="n">
        <v>3.72</v>
      </c>
      <c r="S27" s="119" t="n">
        <v>0</v>
      </c>
      <c r="T27" s="84" t="n">
        <f aca="false">M27-(Q27+R27+S27)</f>
        <v>-1.2092</v>
      </c>
      <c r="U27" s="122" t="n">
        <v>0</v>
      </c>
      <c r="V27" s="122" t="n">
        <v>0</v>
      </c>
      <c r="W27" s="122" t="n">
        <f aca="false">M27-N27-O27-P27-Q27-R27-S27-T27+U27+V27</f>
        <v>0</v>
      </c>
      <c r="X27" s="95"/>
      <c r="Y27" s="95"/>
      <c r="Z27" s="95"/>
      <c r="AA27" s="122" t="n">
        <v>0</v>
      </c>
      <c r="AB27" s="244"/>
      <c r="AC27" s="245"/>
      <c r="AD27" s="122" t="n">
        <v>143</v>
      </c>
      <c r="AE27" s="353" t="n">
        <f aca="false">AE26-45</f>
        <v>416</v>
      </c>
      <c r="AF27" s="354" t="n">
        <f aca="false">AD27-45</f>
        <v>98</v>
      </c>
      <c r="AG27" s="121" t="n">
        <f aca="false">N27+O27+P27+Q27+R27+S27+T27+W27+AA27+AD27</f>
        <v>147</v>
      </c>
      <c r="AH27" s="122" t="n">
        <f aca="false">IF(L27&lt;0,L27*-1,0)</f>
        <v>84.6538946307033</v>
      </c>
      <c r="AI27" s="122" t="n">
        <f aca="false">AG27+AH27</f>
        <v>231.653894630703</v>
      </c>
      <c r="AJ27" s="221" t="n">
        <v>0</v>
      </c>
      <c r="AK27" s="223" t="n">
        <v>45</v>
      </c>
      <c r="AL27" s="222" t="n">
        <v>24</v>
      </c>
      <c r="AM27" s="133" t="n">
        <f aca="false">AM26+(U27*1.9835)</f>
        <v>11713.16255</v>
      </c>
      <c r="AN27" s="218"/>
      <c r="AO27" s="122"/>
      <c r="AP27" s="92"/>
      <c r="AQ27" s="223"/>
      <c r="AS27" s="10"/>
    </row>
    <row r="28" customFormat="false" ht="12.95" hidden="false" customHeight="true" outlineLevel="0" collapsed="false">
      <c r="A28" s="155" t="n">
        <v>17</v>
      </c>
      <c r="B28" s="94" t="n">
        <v>6901.09</v>
      </c>
      <c r="C28" s="95" t="n">
        <v>287618</v>
      </c>
      <c r="D28" s="133" t="n">
        <f aca="false">C28-C27</f>
        <v>112</v>
      </c>
      <c r="E28" s="95" t="n">
        <f aca="false">C28-152000</f>
        <v>135618</v>
      </c>
      <c r="F28" s="243" t="n">
        <f aca="false">D28/$D$2</f>
        <v>56.4658432064532</v>
      </c>
      <c r="G28" s="122" t="n">
        <v>178</v>
      </c>
      <c r="H28" s="318" t="n">
        <v>38</v>
      </c>
      <c r="I28" s="122" t="n">
        <f aca="false">G28+H28</f>
        <v>216</v>
      </c>
      <c r="J28" s="218" t="n">
        <f aca="false">IF(L28&gt;0,L28,0)</f>
        <v>0</v>
      </c>
      <c r="K28" s="122" t="n">
        <f aca="false">I28+J28</f>
        <v>216</v>
      </c>
      <c r="L28" s="122" t="n">
        <f aca="false">F28-(I28-AG28)</f>
        <v>-47.4341567935468</v>
      </c>
      <c r="M28" s="244" t="n">
        <v>4.1</v>
      </c>
      <c r="N28" s="122" t="n">
        <v>0</v>
      </c>
      <c r="O28" s="122" t="n">
        <v>0</v>
      </c>
      <c r="P28" s="215" t="n">
        <v>0</v>
      </c>
      <c r="Q28" s="352" t="n">
        <f aca="false">1.46*1.02</f>
        <v>1.4892</v>
      </c>
      <c r="R28" s="352" t="n">
        <v>4.2</v>
      </c>
      <c r="S28" s="119" t="n">
        <v>0.25</v>
      </c>
      <c r="T28" s="84" t="n">
        <f aca="false">M28-(Q28+R28+S28)</f>
        <v>-1.8392</v>
      </c>
      <c r="U28" s="122" t="n">
        <v>0</v>
      </c>
      <c r="V28" s="122" t="n">
        <v>0</v>
      </c>
      <c r="W28" s="122" t="n">
        <f aca="false">M28-N28-O28-P28-Q28-R28-S28-T28+U28+V28</f>
        <v>0</v>
      </c>
      <c r="X28" s="95"/>
      <c r="Y28" s="95"/>
      <c r="Z28" s="95"/>
      <c r="AA28" s="122" t="n">
        <v>0</v>
      </c>
      <c r="AB28" s="244"/>
      <c r="AC28" s="245"/>
      <c r="AD28" s="122" t="n">
        <v>108</v>
      </c>
      <c r="AE28" s="353" t="n">
        <f aca="false">AE27-45</f>
        <v>371</v>
      </c>
      <c r="AF28" s="354" t="n">
        <f aca="false">AD28-45</f>
        <v>63</v>
      </c>
      <c r="AG28" s="121" t="n">
        <f aca="false">N28+O28+P28+Q28+R28+S28+T28+W28+AA28+AD28</f>
        <v>112.1</v>
      </c>
      <c r="AH28" s="122" t="n">
        <f aca="false">IF(L28&lt;0,L28*-1,0)</f>
        <v>47.4341567935468</v>
      </c>
      <c r="AI28" s="122" t="n">
        <f aca="false">AG28+AH28</f>
        <v>159.534156793547</v>
      </c>
      <c r="AJ28" s="221" t="n">
        <v>0.01</v>
      </c>
      <c r="AK28" s="223" t="n">
        <v>38</v>
      </c>
      <c r="AL28" s="222" t="n">
        <v>22</v>
      </c>
      <c r="AM28" s="133" t="n">
        <f aca="false">AM27+(U28*1.9835)</f>
        <v>11713.16255</v>
      </c>
      <c r="AN28" s="218"/>
      <c r="AO28" s="122"/>
      <c r="AP28" s="95"/>
      <c r="AQ28" s="223"/>
      <c r="AS28" s="10"/>
    </row>
    <row r="29" customFormat="false" ht="12.95" hidden="false" customHeight="true" outlineLevel="0" collapsed="false">
      <c r="A29" s="155" t="n">
        <f aca="false">A28+1</f>
        <v>18</v>
      </c>
      <c r="B29" s="94" t="n">
        <v>6901.12</v>
      </c>
      <c r="C29" s="95" t="n">
        <v>287730</v>
      </c>
      <c r="D29" s="133" t="n">
        <f aca="false">C29-C28</f>
        <v>112</v>
      </c>
      <c r="E29" s="95" t="n">
        <f aca="false">C29-152000</f>
        <v>135730</v>
      </c>
      <c r="F29" s="243" t="n">
        <f aca="false">D29/$D$2</f>
        <v>56.4658432064532</v>
      </c>
      <c r="G29" s="122" t="n">
        <v>186</v>
      </c>
      <c r="H29" s="318" t="n">
        <v>41</v>
      </c>
      <c r="I29" s="122" t="n">
        <f aca="false">G29+H29</f>
        <v>227</v>
      </c>
      <c r="J29" s="218" t="n">
        <f aca="false">IF(L29&gt;0,L29,0)</f>
        <v>0</v>
      </c>
      <c r="K29" s="122" t="n">
        <f aca="false">I29+J29</f>
        <v>227</v>
      </c>
      <c r="L29" s="122" t="n">
        <f aca="false">F29-(I29-AG29)</f>
        <v>-90.3341567935468</v>
      </c>
      <c r="M29" s="244" t="n">
        <v>4.2</v>
      </c>
      <c r="N29" s="122" t="n">
        <v>0</v>
      </c>
      <c r="O29" s="122" t="n">
        <v>0</v>
      </c>
      <c r="P29" s="215" t="n">
        <v>0</v>
      </c>
      <c r="Q29" s="352" t="n">
        <f aca="false">1.46*1.02</f>
        <v>1.4892</v>
      </c>
      <c r="R29" s="352" t="n">
        <v>4.2</v>
      </c>
      <c r="S29" s="119" t="n">
        <v>0.08</v>
      </c>
      <c r="T29" s="84" t="n">
        <f aca="false">M29-(Q29+R29+S29)</f>
        <v>-1.5692</v>
      </c>
      <c r="U29" s="122" t="n">
        <v>0</v>
      </c>
      <c r="V29" s="122" t="n">
        <v>0</v>
      </c>
      <c r="W29" s="122" t="n">
        <f aca="false">M29-N29-O29-P29-Q29-R29-S29-T29+U29+V29</f>
        <v>0</v>
      </c>
      <c r="X29" s="95"/>
      <c r="Y29" s="95"/>
      <c r="Z29" s="95"/>
      <c r="AA29" s="122" t="n">
        <v>0</v>
      </c>
      <c r="AB29" s="244"/>
      <c r="AC29" s="245"/>
      <c r="AD29" s="122" t="n">
        <v>76</v>
      </c>
      <c r="AE29" s="353" t="n">
        <f aca="false">AE28-45</f>
        <v>326</v>
      </c>
      <c r="AF29" s="354" t="n">
        <f aca="false">AD29-45</f>
        <v>31</v>
      </c>
      <c r="AG29" s="121" t="n">
        <f aca="false">N29+O29+P29+Q29+R29+S29+T29+W29+AA29+AD29</f>
        <v>80.2</v>
      </c>
      <c r="AH29" s="122" t="n">
        <f aca="false">IF(L29&lt;0,L29*-1,0)</f>
        <v>90.3341567935468</v>
      </c>
      <c r="AI29" s="122" t="n">
        <f aca="false">AG29+AH29</f>
        <v>170.534156793547</v>
      </c>
      <c r="AJ29" s="221" t="n">
        <v>0</v>
      </c>
      <c r="AK29" s="223" t="n">
        <v>48</v>
      </c>
      <c r="AL29" s="222" t="n">
        <v>19</v>
      </c>
      <c r="AM29" s="133" t="n">
        <f aca="false">AM28+(U29*1.9835)</f>
        <v>11713.16255</v>
      </c>
      <c r="AN29" s="218"/>
      <c r="AO29" s="122"/>
      <c r="AP29" s="95"/>
      <c r="AQ29" s="223"/>
      <c r="AS29" s="10"/>
    </row>
    <row r="30" customFormat="false" ht="12.95" hidden="false" customHeight="true" outlineLevel="0" collapsed="false">
      <c r="A30" s="155" t="n">
        <f aca="false">A29+1</f>
        <v>19</v>
      </c>
      <c r="B30" s="94" t="n">
        <v>6901.17</v>
      </c>
      <c r="C30" s="325" t="n">
        <v>287916</v>
      </c>
      <c r="D30" s="133" t="n">
        <f aca="false">C30-C29</f>
        <v>186</v>
      </c>
      <c r="E30" s="95" t="n">
        <f aca="false">C30-152000</f>
        <v>135916</v>
      </c>
      <c r="F30" s="243" t="n">
        <f aca="false">D30/$D$2</f>
        <v>93.7736324678598</v>
      </c>
      <c r="G30" s="122" t="n">
        <v>194</v>
      </c>
      <c r="H30" s="318" t="n">
        <v>43</v>
      </c>
      <c r="I30" s="122" t="n">
        <f aca="false">G30+H30</f>
        <v>237</v>
      </c>
      <c r="J30" s="218" t="n">
        <f aca="false">IF(L30&gt;0,L30,0)</f>
        <v>0</v>
      </c>
      <c r="K30" s="122" t="n">
        <f aca="false">I30+J30</f>
        <v>237</v>
      </c>
      <c r="L30" s="122" t="n">
        <f aca="false">F30-(I30-AG30)</f>
        <v>-77.7263675321402</v>
      </c>
      <c r="M30" s="244" t="n">
        <v>4.5</v>
      </c>
      <c r="N30" s="122" t="n">
        <v>0</v>
      </c>
      <c r="O30" s="122" t="n">
        <v>0</v>
      </c>
      <c r="P30" s="215" t="n">
        <v>0</v>
      </c>
      <c r="Q30" s="352" t="n">
        <f aca="false">1.46*1.02</f>
        <v>1.4892</v>
      </c>
      <c r="R30" s="352" t="n">
        <v>3.62</v>
      </c>
      <c r="S30" s="119" t="n">
        <v>0</v>
      </c>
      <c r="T30" s="84" t="n">
        <f aca="false">M30-(Q30+R30+S30)</f>
        <v>-0.6092</v>
      </c>
      <c r="U30" s="122" t="n">
        <v>0</v>
      </c>
      <c r="V30" s="122" t="n">
        <v>0</v>
      </c>
      <c r="W30" s="122" t="n">
        <f aca="false">M30-N30-O30-P30-Q30-R30-S30-T30+U30+V30</f>
        <v>0</v>
      </c>
      <c r="X30" s="95"/>
      <c r="Y30" s="95"/>
      <c r="Z30" s="95"/>
      <c r="AA30" s="122" t="n">
        <v>0</v>
      </c>
      <c r="AB30" s="244"/>
      <c r="AC30" s="245"/>
      <c r="AD30" s="122" t="n">
        <v>61</v>
      </c>
      <c r="AE30" s="353" t="n">
        <f aca="false">AE29-45</f>
        <v>281</v>
      </c>
      <c r="AF30" s="354" t="n">
        <f aca="false">AD30-45</f>
        <v>16</v>
      </c>
      <c r="AG30" s="121" t="n">
        <f aca="false">N30+O30+P30+Q30+R30+S30+T30+W30+AA30+AD30</f>
        <v>65.5</v>
      </c>
      <c r="AH30" s="122" t="n">
        <f aca="false">IF(L30&lt;0,L30*-1,0)</f>
        <v>77.7263675321402</v>
      </c>
      <c r="AI30" s="122" t="n">
        <f aca="false">AG30+AH30</f>
        <v>143.22636753214</v>
      </c>
      <c r="AJ30" s="221" t="n">
        <v>0</v>
      </c>
      <c r="AK30" s="223" t="n">
        <v>52</v>
      </c>
      <c r="AL30" s="222" t="n">
        <v>19</v>
      </c>
      <c r="AM30" s="133" t="n">
        <f aca="false">AM29+(U30*1.9835)</f>
        <v>11713.16255</v>
      </c>
      <c r="AN30" s="218"/>
      <c r="AO30" s="122"/>
      <c r="AP30" s="95"/>
      <c r="AQ30" s="223"/>
      <c r="AS30" s="10"/>
    </row>
    <row r="31" customFormat="false" ht="12.95" hidden="false" customHeight="true" outlineLevel="0" collapsed="false">
      <c r="A31" s="155" t="n">
        <f aca="false">A30+1</f>
        <v>20</v>
      </c>
      <c r="B31" s="94" t="n">
        <v>6901.25</v>
      </c>
      <c r="C31" s="95" t="n">
        <v>288215</v>
      </c>
      <c r="D31" s="133" t="n">
        <f aca="false">C31-C30</f>
        <v>299</v>
      </c>
      <c r="E31" s="95" t="n">
        <f aca="false">C31-152000</f>
        <v>136215</v>
      </c>
      <c r="F31" s="243" t="n">
        <f aca="false">D31/$D$2</f>
        <v>150.743634988656</v>
      </c>
      <c r="G31" s="122" t="n">
        <v>205</v>
      </c>
      <c r="H31" s="318" t="n">
        <v>47</v>
      </c>
      <c r="I31" s="122" t="n">
        <f aca="false">G31+H31</f>
        <v>252</v>
      </c>
      <c r="J31" s="218" t="n">
        <f aca="false">IF(L31&gt;0,L31,0)</f>
        <v>0</v>
      </c>
      <c r="K31" s="122" t="n">
        <f aca="false">I31+J31</f>
        <v>252</v>
      </c>
      <c r="L31" s="122" t="n">
        <f aca="false">F31-(I31-AG31)</f>
        <v>-41.8563650113436</v>
      </c>
      <c r="M31" s="244" t="n">
        <v>6.4</v>
      </c>
      <c r="N31" s="122" t="n">
        <v>0</v>
      </c>
      <c r="O31" s="122" t="n">
        <v>0</v>
      </c>
      <c r="P31" s="215" t="n">
        <v>0</v>
      </c>
      <c r="Q31" s="352" t="n">
        <f aca="false">1.46*1.02</f>
        <v>1.4892</v>
      </c>
      <c r="R31" s="352" t="n">
        <v>3.31</v>
      </c>
      <c r="S31" s="119" t="n">
        <v>0</v>
      </c>
      <c r="T31" s="84" t="n">
        <f aca="false">M31-(Q31+R31+S31)</f>
        <v>1.6008</v>
      </c>
      <c r="U31" s="122" t="n">
        <v>0</v>
      </c>
      <c r="V31" s="122" t="n">
        <v>0</v>
      </c>
      <c r="W31" s="122" t="n">
        <f aca="false">M31-N31-O31-P31-Q31-R31-S31-T31+U31+V31</f>
        <v>0</v>
      </c>
      <c r="X31" s="95"/>
      <c r="Y31" s="95"/>
      <c r="Z31" s="95"/>
      <c r="AA31" s="122" t="n">
        <v>0</v>
      </c>
      <c r="AB31" s="244"/>
      <c r="AC31" s="245"/>
      <c r="AD31" s="122" t="n">
        <v>53</v>
      </c>
      <c r="AE31" s="353" t="n">
        <f aca="false">AE30-45</f>
        <v>236</v>
      </c>
      <c r="AF31" s="354" t="n">
        <f aca="false">AD31-45</f>
        <v>8</v>
      </c>
      <c r="AG31" s="121" t="n">
        <f aca="false">N31+O31+P31+Q31+R31+S31+T31+W31+AA31+AD31</f>
        <v>59.4</v>
      </c>
      <c r="AH31" s="122" t="n">
        <f aca="false">IF(L31&lt;0,L31*-1,0)</f>
        <v>41.8563650113436</v>
      </c>
      <c r="AI31" s="122" t="n">
        <f aca="false">AG31+AH31</f>
        <v>101.256365011344</v>
      </c>
      <c r="AJ31" s="221" t="n">
        <v>0</v>
      </c>
      <c r="AK31" s="223" t="n">
        <v>54</v>
      </c>
      <c r="AL31" s="222" t="n">
        <v>25</v>
      </c>
      <c r="AM31" s="133" t="n">
        <f aca="false">AM30+(U31*1.9835)</f>
        <v>11713.16255</v>
      </c>
      <c r="AN31" s="218"/>
      <c r="AO31" s="122"/>
      <c r="AP31" s="95"/>
      <c r="AQ31" s="223"/>
      <c r="AS31" s="10"/>
    </row>
    <row r="32" customFormat="false" ht="12.95" hidden="false" customHeight="true" outlineLevel="0" collapsed="false">
      <c r="A32" s="155" t="n">
        <f aca="false">A31+1</f>
        <v>21</v>
      </c>
      <c r="B32" s="94" t="n">
        <v>6901.38</v>
      </c>
      <c r="C32" s="95" t="n">
        <v>288700</v>
      </c>
      <c r="D32" s="133" t="n">
        <f aca="false">C32-C31</f>
        <v>485</v>
      </c>
      <c r="E32" s="95" t="n">
        <f aca="false">C32-152000</f>
        <v>136700</v>
      </c>
      <c r="F32" s="243" t="n">
        <f aca="false">D32/$D$2</f>
        <v>244.517267456516</v>
      </c>
      <c r="G32" s="355" t="n">
        <v>214</v>
      </c>
      <c r="H32" s="318" t="n">
        <v>53</v>
      </c>
      <c r="I32" s="122" t="n">
        <f aca="false">G32+H32</f>
        <v>267</v>
      </c>
      <c r="J32" s="218" t="n">
        <f aca="false">IF(L32&gt;0,L32,0)</f>
        <v>35.1172674565163</v>
      </c>
      <c r="K32" s="122" t="n">
        <f aca="false">I32+J32</f>
        <v>302.117267456516</v>
      </c>
      <c r="L32" s="122" t="n">
        <f aca="false">F32-(I32-AG32)</f>
        <v>35.1172674565163</v>
      </c>
      <c r="M32" s="244" t="n">
        <v>4.6</v>
      </c>
      <c r="N32" s="122" t="n">
        <v>0</v>
      </c>
      <c r="O32" s="122" t="n">
        <v>0</v>
      </c>
      <c r="P32" s="215" t="n">
        <v>0</v>
      </c>
      <c r="Q32" s="352" t="n">
        <f aca="false">1.46*1.02</f>
        <v>1.4892</v>
      </c>
      <c r="R32" s="352" t="n">
        <v>3.48</v>
      </c>
      <c r="S32" s="119" t="n">
        <v>0</v>
      </c>
      <c r="T32" s="84" t="n">
        <f aca="false">M32-(Q32+R32+S32)</f>
        <v>-0.3692</v>
      </c>
      <c r="U32" s="122" t="n">
        <v>0</v>
      </c>
      <c r="V32" s="122" t="n">
        <v>0</v>
      </c>
      <c r="W32" s="122" t="n">
        <f aca="false">M32-N32-O32-P32-Q32-R32-S32-T32+U32+V32</f>
        <v>0</v>
      </c>
      <c r="X32" s="95"/>
      <c r="Y32" s="95"/>
      <c r="Z32" s="95"/>
      <c r="AA32" s="122" t="n">
        <v>0</v>
      </c>
      <c r="AB32" s="244"/>
      <c r="AC32" s="245"/>
      <c r="AD32" s="122" t="n">
        <v>53</v>
      </c>
      <c r="AE32" s="353" t="n">
        <f aca="false">AE31-45</f>
        <v>191</v>
      </c>
      <c r="AF32" s="354" t="n">
        <f aca="false">AD32-45</f>
        <v>8</v>
      </c>
      <c r="AG32" s="121" t="n">
        <f aca="false">N32+O32+P32+Q32+R32+S32+T32+W32+AA32+AD32</f>
        <v>57.6</v>
      </c>
      <c r="AH32" s="122" t="n">
        <f aca="false">IF(L32&lt;0,L32*-1,0)</f>
        <v>0</v>
      </c>
      <c r="AI32" s="122" t="n">
        <f aca="false">AG32+AH32</f>
        <v>57.6</v>
      </c>
      <c r="AJ32" s="221" t="n">
        <v>0</v>
      </c>
      <c r="AK32" s="133" t="n">
        <v>54</v>
      </c>
      <c r="AL32" s="222" t="n">
        <v>27</v>
      </c>
      <c r="AM32" s="133" t="n">
        <f aca="false">AM31+(U32*1.9835)</f>
        <v>11713.16255</v>
      </c>
      <c r="AN32" s="218"/>
      <c r="AO32" s="122"/>
      <c r="AP32" s="95"/>
      <c r="AQ32" s="223"/>
      <c r="AS32" s="10"/>
    </row>
    <row r="33" customFormat="false" ht="12.95" hidden="false" customHeight="true" outlineLevel="0" collapsed="false">
      <c r="A33" s="155" t="n">
        <f aca="false">A32+1</f>
        <v>22</v>
      </c>
      <c r="B33" s="94" t="n">
        <v>6901.51</v>
      </c>
      <c r="C33" s="95" t="n">
        <v>289185</v>
      </c>
      <c r="D33" s="133" t="n">
        <f aca="false">C33-C32</f>
        <v>485</v>
      </c>
      <c r="E33" s="95" t="n">
        <f aca="false">C33-152000</f>
        <v>137185</v>
      </c>
      <c r="F33" s="243" t="n">
        <f aca="false">D33/$D$2</f>
        <v>244.517267456516</v>
      </c>
      <c r="G33" s="122" t="n">
        <v>227</v>
      </c>
      <c r="H33" s="318" t="n">
        <v>72</v>
      </c>
      <c r="I33" s="122" t="n">
        <f aca="false">G33+H33</f>
        <v>299</v>
      </c>
      <c r="J33" s="218" t="n">
        <f aca="false">IF(L33&gt;0,L33,0)</f>
        <v>3.11726745651626</v>
      </c>
      <c r="K33" s="122" t="n">
        <f aca="false">I33+J33</f>
        <v>302.117267456516</v>
      </c>
      <c r="L33" s="122" t="n">
        <f aca="false">F33-(I33-AG33)</f>
        <v>3.11726745651626</v>
      </c>
      <c r="M33" s="244" t="n">
        <v>4.6</v>
      </c>
      <c r="N33" s="122" t="n">
        <v>0</v>
      </c>
      <c r="O33" s="122" t="n">
        <v>0</v>
      </c>
      <c r="P33" s="215" t="n">
        <v>0</v>
      </c>
      <c r="Q33" s="352" t="n">
        <f aca="false">1.46*1.02</f>
        <v>1.4892</v>
      </c>
      <c r="R33" s="352" t="n">
        <v>3.2</v>
      </c>
      <c r="S33" s="119" t="n">
        <v>0</v>
      </c>
      <c r="T33" s="84" t="n">
        <f aca="false">M33-(Q33+R33+S33)</f>
        <v>-0.0892000000000008</v>
      </c>
      <c r="U33" s="122" t="n">
        <v>0</v>
      </c>
      <c r="V33" s="122" t="n">
        <v>0</v>
      </c>
      <c r="W33" s="122" t="n">
        <f aca="false">M33-N33-O33-P33-Q33-R33-S33-T33+U33+V33</f>
        <v>0</v>
      </c>
      <c r="X33" s="95"/>
      <c r="Y33" s="95"/>
      <c r="Z33" s="95"/>
      <c r="AA33" s="122" t="n">
        <v>0</v>
      </c>
      <c r="AB33" s="244"/>
      <c r="AC33" s="245"/>
      <c r="AD33" s="122" t="n">
        <v>53</v>
      </c>
      <c r="AE33" s="353" t="n">
        <f aca="false">AE32-45</f>
        <v>146</v>
      </c>
      <c r="AF33" s="354" t="n">
        <f aca="false">AD33-45</f>
        <v>8</v>
      </c>
      <c r="AG33" s="121" t="n">
        <f aca="false">N33+O33+P33+Q33+R33+S33+T33+W33+AA33+AD33</f>
        <v>57.6</v>
      </c>
      <c r="AH33" s="122" t="n">
        <f aca="false">IF(L33&lt;0,L33*-1,0)</f>
        <v>0</v>
      </c>
      <c r="AI33" s="122" t="n">
        <f aca="false">AG33+AH33</f>
        <v>57.6</v>
      </c>
      <c r="AJ33" s="221" t="n">
        <v>0</v>
      </c>
      <c r="AK33" s="133" t="n">
        <v>53</v>
      </c>
      <c r="AL33" s="222" t="n">
        <v>27</v>
      </c>
      <c r="AM33" s="133" t="n">
        <f aca="false">AM32+(U33*1.9835)</f>
        <v>11713.16255</v>
      </c>
      <c r="AN33" s="218"/>
      <c r="AO33" s="122"/>
      <c r="AP33" s="95"/>
      <c r="AQ33" s="223"/>
      <c r="AS33" s="10"/>
    </row>
    <row r="34" customFormat="false" ht="12.95" hidden="false" customHeight="true" outlineLevel="0" collapsed="false">
      <c r="A34" s="155" t="n">
        <f aca="false">A33+1</f>
        <v>23</v>
      </c>
      <c r="B34" s="94" t="n">
        <v>6901.71</v>
      </c>
      <c r="C34" s="95" t="n">
        <v>289932</v>
      </c>
      <c r="D34" s="133" t="n">
        <f aca="false">C34-C33</f>
        <v>747</v>
      </c>
      <c r="E34" s="95" t="n">
        <f aca="false">C34-152000</f>
        <v>137932</v>
      </c>
      <c r="F34" s="243" t="n">
        <f aca="false">D34/$D$2</f>
        <v>376.607007814469</v>
      </c>
      <c r="G34" s="122" t="n">
        <v>247</v>
      </c>
      <c r="H34" s="318" t="n">
        <v>87</v>
      </c>
      <c r="I34" s="122" t="n">
        <f aca="false">G34+H34</f>
        <v>334</v>
      </c>
      <c r="J34" s="218" t="n">
        <f aca="false">IF(L34&gt;0,L34,0)</f>
        <v>100.207007814469</v>
      </c>
      <c r="K34" s="122" t="n">
        <f aca="false">I34+J34</f>
        <v>434.207007814469</v>
      </c>
      <c r="L34" s="122" t="n">
        <f aca="false">F34-(I34-AG34)</f>
        <v>100.207007814469</v>
      </c>
      <c r="M34" s="244" t="n">
        <v>4.6</v>
      </c>
      <c r="N34" s="122" t="n">
        <v>0</v>
      </c>
      <c r="O34" s="122" t="n">
        <v>0</v>
      </c>
      <c r="P34" s="215" t="n">
        <v>0</v>
      </c>
      <c r="Q34" s="352" t="n">
        <f aca="false">1.46*1.02</f>
        <v>1.4892</v>
      </c>
      <c r="R34" s="352" t="n">
        <v>2.69</v>
      </c>
      <c r="S34" s="119" t="n">
        <v>0</v>
      </c>
      <c r="T34" s="84" t="n">
        <f aca="false">M34-(Q34+R34+S34)</f>
        <v>0.4208</v>
      </c>
      <c r="U34" s="122" t="n">
        <v>0</v>
      </c>
      <c r="V34" s="122" t="n">
        <v>0</v>
      </c>
      <c r="W34" s="122" t="n">
        <f aca="false">M34-N34-O34-P34-Q34-R34-S34-T34+U34+V34</f>
        <v>0</v>
      </c>
      <c r="X34" s="95"/>
      <c r="Y34" s="95"/>
      <c r="Z34" s="95"/>
      <c r="AA34" s="122" t="n">
        <v>0</v>
      </c>
      <c r="AB34" s="244"/>
      <c r="AC34" s="245"/>
      <c r="AD34" s="122" t="n">
        <v>53</v>
      </c>
      <c r="AE34" s="353" t="n">
        <f aca="false">AE33-45</f>
        <v>101</v>
      </c>
      <c r="AF34" s="354" t="n">
        <f aca="false">AD34-45</f>
        <v>8</v>
      </c>
      <c r="AG34" s="121" t="n">
        <f aca="false">N34+O34+P34+Q34+R34+S34+T34+W34+AA34+AD34</f>
        <v>57.6</v>
      </c>
      <c r="AH34" s="122" t="n">
        <f aca="false">IF(L34&lt;0,L34*-1,0)</f>
        <v>0</v>
      </c>
      <c r="AI34" s="122" t="n">
        <f aca="false">AG34+AH34</f>
        <v>57.6</v>
      </c>
      <c r="AJ34" s="221" t="n">
        <v>0</v>
      </c>
      <c r="AK34" s="133" t="n">
        <v>54</v>
      </c>
      <c r="AL34" s="246" t="n">
        <v>24</v>
      </c>
      <c r="AM34" s="133" t="n">
        <f aca="false">AM33+(U34*1.9835)</f>
        <v>11713.16255</v>
      </c>
      <c r="AN34" s="218"/>
      <c r="AO34" s="122"/>
      <c r="AP34" s="95"/>
      <c r="AQ34" s="223"/>
      <c r="AS34" s="10"/>
    </row>
    <row r="35" customFormat="false" ht="12.95" hidden="false" customHeight="true" outlineLevel="0" collapsed="false">
      <c r="A35" s="155" t="n">
        <f aca="false">A34+1</f>
        <v>24</v>
      </c>
      <c r="B35" s="94" t="n">
        <v>6901.9</v>
      </c>
      <c r="C35" s="95" t="n">
        <v>290641</v>
      </c>
      <c r="D35" s="133" t="n">
        <f aca="false">C35-C34</f>
        <v>709</v>
      </c>
      <c r="E35" s="95" t="n">
        <f aca="false">C35-152000</f>
        <v>138641</v>
      </c>
      <c r="F35" s="243" t="n">
        <f aca="false">D35/$D$2</f>
        <v>357.448953869423</v>
      </c>
      <c r="G35" s="122" t="n">
        <v>282</v>
      </c>
      <c r="H35" s="318" t="n">
        <v>93</v>
      </c>
      <c r="I35" s="122" t="n">
        <f aca="false">G35+H35</f>
        <v>375</v>
      </c>
      <c r="J35" s="218" t="n">
        <f aca="false">IF(L35&gt;0,L35,0)</f>
        <v>123.448953869423</v>
      </c>
      <c r="K35" s="122" t="n">
        <f aca="false">I35+J35</f>
        <v>498.448953869423</v>
      </c>
      <c r="L35" s="122" t="n">
        <f aca="false">F35-(I35-AG35)</f>
        <v>123.448953869423</v>
      </c>
      <c r="M35" s="244" t="n">
        <v>35</v>
      </c>
      <c r="N35" s="122" t="n">
        <v>0</v>
      </c>
      <c r="O35" s="122" t="n">
        <f aca="false">(0.3+0.27)*1.05</f>
        <v>0.5985</v>
      </c>
      <c r="P35" s="215" t="n">
        <v>0</v>
      </c>
      <c r="Q35" s="352" t="n">
        <f aca="false">1.46*1.02</f>
        <v>1.4892</v>
      </c>
      <c r="R35" s="352" t="n">
        <v>3.23</v>
      </c>
      <c r="S35" s="119" t="n">
        <v>0</v>
      </c>
      <c r="T35" s="84" t="n">
        <v>0</v>
      </c>
      <c r="U35" s="122" t="n">
        <v>0</v>
      </c>
      <c r="V35" s="122" t="n">
        <v>0</v>
      </c>
      <c r="W35" s="122" t="n">
        <f aca="false">M35-N35-O35-P35-Q35-R35-S35-T35+U35+V35</f>
        <v>29.6823</v>
      </c>
      <c r="X35" s="95"/>
      <c r="Y35" s="95"/>
      <c r="Z35" s="95"/>
      <c r="AA35" s="122" t="n">
        <v>0</v>
      </c>
      <c r="AB35" s="244"/>
      <c r="AC35" s="245"/>
      <c r="AD35" s="122" t="n">
        <v>106</v>
      </c>
      <c r="AE35" s="353" t="n">
        <f aca="false">AE34-45</f>
        <v>56</v>
      </c>
      <c r="AF35" s="354" t="n">
        <f aca="false">AD35-45</f>
        <v>61</v>
      </c>
      <c r="AG35" s="121" t="n">
        <f aca="false">N35+O35+P35+Q35+R35+S35+T35+W35+AA35+AD35</f>
        <v>141</v>
      </c>
      <c r="AH35" s="122" t="n">
        <f aca="false">IF(L35&lt;0,L35*-1,0)</f>
        <v>0</v>
      </c>
      <c r="AI35" s="122" t="n">
        <f aca="false">AG35+AH35</f>
        <v>141</v>
      </c>
      <c r="AJ35" s="221" t="n">
        <v>0</v>
      </c>
      <c r="AK35" s="133" t="n">
        <v>57</v>
      </c>
      <c r="AL35" s="246" t="n">
        <v>23</v>
      </c>
      <c r="AM35" s="133" t="n">
        <f aca="false">AM34+(U35*1.9835)-(AN35*1.9835)</f>
        <v>11713.16255</v>
      </c>
      <c r="AN35" s="218"/>
      <c r="AO35" s="122"/>
      <c r="AP35" s="95"/>
      <c r="AQ35" s="223"/>
      <c r="AS35" s="10"/>
    </row>
    <row r="36" customFormat="false" ht="12.95" hidden="false" customHeight="true" outlineLevel="0" collapsed="false">
      <c r="A36" s="155" t="n">
        <f aca="false">A35+1</f>
        <v>25</v>
      </c>
      <c r="B36" s="94" t="n">
        <v>6902.14</v>
      </c>
      <c r="C36" s="95" t="n">
        <v>291541</v>
      </c>
      <c r="D36" s="133" t="n">
        <f aca="false">C36-C35</f>
        <v>900</v>
      </c>
      <c r="E36" s="95" t="n">
        <f aca="false">C36-152000</f>
        <v>139541</v>
      </c>
      <c r="F36" s="243" t="n">
        <f aca="false">D36/$D$2</f>
        <v>453.743382908999</v>
      </c>
      <c r="G36" s="122" t="n">
        <v>340</v>
      </c>
      <c r="H36" s="318" t="n">
        <v>105</v>
      </c>
      <c r="I36" s="122" t="n">
        <f aca="false">G36+H36</f>
        <v>445</v>
      </c>
      <c r="J36" s="218" t="n">
        <f aca="false">IF(L36&gt;0,L36,0)</f>
        <v>196.743382908999</v>
      </c>
      <c r="K36" s="122" t="n">
        <f aca="false">I36+J36</f>
        <v>641.743382908999</v>
      </c>
      <c r="L36" s="122" t="n">
        <f aca="false">F36-(I36-AG36)</f>
        <v>196.743382908999</v>
      </c>
      <c r="M36" s="244" t="n">
        <v>45</v>
      </c>
      <c r="N36" s="122" t="n">
        <v>0</v>
      </c>
      <c r="O36" s="122" t="n">
        <f aca="false">(10+9.9)*1.05</f>
        <v>20.895</v>
      </c>
      <c r="P36" s="215" t="n">
        <v>0</v>
      </c>
      <c r="Q36" s="352" t="n">
        <f aca="false">1.46*1.02</f>
        <v>1.4892</v>
      </c>
      <c r="R36" s="352" t="n">
        <v>3.12</v>
      </c>
      <c r="S36" s="119" t="n">
        <v>0</v>
      </c>
      <c r="T36" s="84" t="n">
        <v>0</v>
      </c>
      <c r="U36" s="122" t="n">
        <v>0</v>
      </c>
      <c r="V36" s="122" t="n">
        <v>0</v>
      </c>
      <c r="W36" s="122" t="n">
        <f aca="false">M36-N36-O36-P36-Q36-R36-S36-T36+U36+V36</f>
        <v>19.4958</v>
      </c>
      <c r="X36" s="95"/>
      <c r="Y36" s="95"/>
      <c r="Z36" s="95"/>
      <c r="AA36" s="122" t="n">
        <v>0</v>
      </c>
      <c r="AB36" s="244"/>
      <c r="AC36" s="245"/>
      <c r="AD36" s="122" t="n">
        <v>143</v>
      </c>
      <c r="AE36" s="353" t="n">
        <f aca="false">AE35-45</f>
        <v>11</v>
      </c>
      <c r="AF36" s="354" t="n">
        <f aca="false">AD36-45</f>
        <v>98</v>
      </c>
      <c r="AG36" s="121" t="n">
        <f aca="false">N36+O36+P36+Q36+R36+S36+T36+W36+AA36+AD36</f>
        <v>188</v>
      </c>
      <c r="AH36" s="122" t="n">
        <f aca="false">IF(L36&lt;0,L36*-1,0)</f>
        <v>0</v>
      </c>
      <c r="AI36" s="122" t="n">
        <f aca="false">AG36+AH36</f>
        <v>188</v>
      </c>
      <c r="AJ36" s="221" t="n">
        <v>0</v>
      </c>
      <c r="AK36" s="133" t="n">
        <v>59</v>
      </c>
      <c r="AL36" s="246" t="n">
        <v>24</v>
      </c>
      <c r="AM36" s="133" t="n">
        <f aca="false">AM35+(U36*1.9835)-(AN36*1.9835)</f>
        <v>11713.16255</v>
      </c>
      <c r="AN36" s="218"/>
      <c r="AO36" s="122"/>
      <c r="AP36" s="95"/>
      <c r="AQ36" s="223"/>
      <c r="AS36" s="10"/>
    </row>
    <row r="37" customFormat="false" ht="12.95" hidden="false" customHeight="true" outlineLevel="0" collapsed="false">
      <c r="A37" s="155" t="n">
        <f aca="false">A36+1</f>
        <v>26</v>
      </c>
      <c r="B37" s="94" t="n">
        <v>6902.39</v>
      </c>
      <c r="C37" s="95" t="n">
        <v>292482</v>
      </c>
      <c r="D37" s="133" t="n">
        <f aca="false">C37-C36</f>
        <v>941</v>
      </c>
      <c r="E37" s="95" t="n">
        <f aca="false">C37-152000</f>
        <v>140482</v>
      </c>
      <c r="F37" s="243" t="n">
        <f aca="false">D37/$D$2</f>
        <v>474.413914797076</v>
      </c>
      <c r="G37" s="122" t="n">
        <v>421</v>
      </c>
      <c r="H37" s="318" t="n">
        <v>140</v>
      </c>
      <c r="I37" s="122" t="n">
        <f aca="false">G37+H37</f>
        <v>561</v>
      </c>
      <c r="J37" s="218" t="n">
        <f aca="false">IF(L37&gt;0,L37,0)</f>
        <v>380.413914797076</v>
      </c>
      <c r="K37" s="122" t="n">
        <f aca="false">I37+J37</f>
        <v>941.413914797076</v>
      </c>
      <c r="L37" s="122" t="n">
        <f aca="false">F37-(I37-AG37)</f>
        <v>380.413914797076</v>
      </c>
      <c r="M37" s="244" t="n">
        <v>24</v>
      </c>
      <c r="N37" s="122" t="n">
        <v>0</v>
      </c>
      <c r="O37" s="122" t="n">
        <v>0</v>
      </c>
      <c r="P37" s="215" t="n">
        <v>0</v>
      </c>
      <c r="Q37" s="352" t="n">
        <f aca="false">1.46*1.02</f>
        <v>1.4892</v>
      </c>
      <c r="R37" s="352" t="n">
        <v>3.31</v>
      </c>
      <c r="S37" s="119" t="n">
        <v>0</v>
      </c>
      <c r="T37" s="84" t="n">
        <v>0</v>
      </c>
      <c r="U37" s="122" t="n">
        <v>0</v>
      </c>
      <c r="V37" s="122" t="n">
        <v>0</v>
      </c>
      <c r="W37" s="122" t="n">
        <f aca="false">M37-N37-O37-P37-Q37-R37-S37-T37+U37+V37</f>
        <v>19.2008</v>
      </c>
      <c r="X37" s="95"/>
      <c r="Y37" s="95"/>
      <c r="Z37" s="95"/>
      <c r="AA37" s="122" t="n">
        <v>0</v>
      </c>
      <c r="AB37" s="244"/>
      <c r="AC37" s="245"/>
      <c r="AD37" s="122" t="n">
        <v>443</v>
      </c>
      <c r="AE37" s="353" t="n">
        <f aca="false">AE36-11</f>
        <v>0</v>
      </c>
      <c r="AF37" s="354" t="n">
        <f aca="false">AD37-11</f>
        <v>432</v>
      </c>
      <c r="AG37" s="121" t="n">
        <f aca="false">N37+O37+P37+Q37+R37+S37+T37+W37+AA37+AD37</f>
        <v>467</v>
      </c>
      <c r="AH37" s="122" t="n">
        <f aca="false">IF(L37&lt;0,L37*-1,0)</f>
        <v>0</v>
      </c>
      <c r="AI37" s="122" t="n">
        <f aca="false">AG37+AH37</f>
        <v>467</v>
      </c>
      <c r="AJ37" s="221" t="n">
        <v>0</v>
      </c>
      <c r="AK37" s="133" t="n">
        <v>62</v>
      </c>
      <c r="AL37" s="222" t="n">
        <v>28</v>
      </c>
      <c r="AM37" s="133" t="n">
        <f aca="false">AM36+(U37*1.9835)-(AN37*1.9835)</f>
        <v>11713.16255</v>
      </c>
      <c r="AN37" s="218"/>
      <c r="AO37" s="122"/>
      <c r="AP37" s="95"/>
      <c r="AQ37" s="223"/>
      <c r="AS37" s="10"/>
    </row>
    <row r="38" customFormat="false" ht="12.95" hidden="false" customHeight="true" outlineLevel="0" collapsed="false">
      <c r="A38" s="155" t="n">
        <f aca="false">A37+1</f>
        <v>27</v>
      </c>
      <c r="B38" s="94" t="n">
        <v>6902.54</v>
      </c>
      <c r="C38" s="95" t="n">
        <v>293046</v>
      </c>
      <c r="D38" s="133" t="n">
        <f aca="false">C38-C37</f>
        <v>564</v>
      </c>
      <c r="E38" s="95" t="n">
        <f aca="false">C38-152000</f>
        <v>141046</v>
      </c>
      <c r="F38" s="243" t="n">
        <f aca="false">D38/$D$2</f>
        <v>284.34585328964</v>
      </c>
      <c r="G38" s="122" t="n">
        <v>523</v>
      </c>
      <c r="H38" s="318" t="n">
        <v>185</v>
      </c>
      <c r="I38" s="122" t="n">
        <f aca="false">G38+H38</f>
        <v>708</v>
      </c>
      <c r="J38" s="218" t="n">
        <f aca="false">IF(L38&gt;0,L38,0)</f>
        <v>529.34585328964</v>
      </c>
      <c r="K38" s="122" t="n">
        <f aca="false">I38+J38</f>
        <v>1237.34585328964</v>
      </c>
      <c r="L38" s="122" t="n">
        <f aca="false">F38-(I38-AG38)</f>
        <v>529.34585328964</v>
      </c>
      <c r="M38" s="244" t="n">
        <v>18</v>
      </c>
      <c r="N38" s="122" t="n">
        <v>0</v>
      </c>
      <c r="O38" s="122" t="n">
        <f aca="false">(2+2.2)*1.05</f>
        <v>4.41</v>
      </c>
      <c r="P38" s="215" t="n">
        <v>0</v>
      </c>
      <c r="Q38" s="352" t="n">
        <f aca="false">1.46*1.02</f>
        <v>1.4892</v>
      </c>
      <c r="R38" s="352" t="n">
        <v>2.82</v>
      </c>
      <c r="S38" s="119" t="n">
        <v>0</v>
      </c>
      <c r="T38" s="84" t="n">
        <v>0</v>
      </c>
      <c r="U38" s="122" t="n">
        <v>0</v>
      </c>
      <c r="V38" s="122" t="n">
        <v>0</v>
      </c>
      <c r="W38" s="122" t="n">
        <f aca="false">M38-N38-O38-P38-Q38-R38-S38-T38+U38+V38</f>
        <v>9.2808</v>
      </c>
      <c r="X38" s="95"/>
      <c r="Y38" s="95"/>
      <c r="Z38" s="95"/>
      <c r="AA38" s="122" t="n">
        <v>0</v>
      </c>
      <c r="AB38" s="244"/>
      <c r="AC38" s="245"/>
      <c r="AD38" s="122" t="n">
        <v>935</v>
      </c>
      <c r="AE38" s="353" t="n">
        <v>0</v>
      </c>
      <c r="AF38" s="354" t="n">
        <f aca="false">AD38</f>
        <v>935</v>
      </c>
      <c r="AG38" s="121" t="n">
        <f aca="false">N38+O38+P38+Q38+R38+S38+T38+W38+AA38+AD38</f>
        <v>953</v>
      </c>
      <c r="AH38" s="122" t="n">
        <f aca="false">IF(L38&lt;0,L38*-1,0)</f>
        <v>0</v>
      </c>
      <c r="AI38" s="122" t="n">
        <f aca="false">AG38+AH38</f>
        <v>953</v>
      </c>
      <c r="AJ38" s="221" t="n">
        <v>0</v>
      </c>
      <c r="AK38" s="133" t="n">
        <v>63</v>
      </c>
      <c r="AL38" s="222" t="n">
        <v>22</v>
      </c>
      <c r="AM38" s="133" t="n">
        <f aca="false">AM37</f>
        <v>11713.16255</v>
      </c>
      <c r="AN38" s="218"/>
      <c r="AO38" s="122"/>
      <c r="AP38" s="95"/>
      <c r="AQ38" s="223"/>
      <c r="AS38" s="10"/>
    </row>
    <row r="39" customFormat="false" ht="12.95" hidden="false" customHeight="true" outlineLevel="0" collapsed="false">
      <c r="A39" s="155" t="n">
        <f aca="false">A38+1</f>
        <v>28</v>
      </c>
      <c r="B39" s="94" t="n">
        <v>6902.82</v>
      </c>
      <c r="C39" s="95" t="n">
        <v>294100</v>
      </c>
      <c r="D39" s="133" t="n">
        <f aca="false">C39-C38</f>
        <v>1054</v>
      </c>
      <c r="E39" s="95" t="n">
        <f aca="false">C39-152000</f>
        <v>142100</v>
      </c>
      <c r="F39" s="243" t="n">
        <f aca="false">D39/$D$2</f>
        <v>531.383917317872</v>
      </c>
      <c r="G39" s="122" t="n">
        <v>593</v>
      </c>
      <c r="H39" s="318" t="n">
        <v>188</v>
      </c>
      <c r="I39" s="122" t="n">
        <f aca="false">G39+H39</f>
        <v>781</v>
      </c>
      <c r="J39" s="218" t="n">
        <f aca="false">IF(L39&gt;0,L39,0)</f>
        <v>686.083917317873</v>
      </c>
      <c r="K39" s="122" t="n">
        <f aca="false">I39+J39</f>
        <v>1467.08391731787</v>
      </c>
      <c r="L39" s="122" t="n">
        <f aca="false">F39-(I39-AG39)</f>
        <v>686.083917317873</v>
      </c>
      <c r="M39" s="244" t="n">
        <v>4.7</v>
      </c>
      <c r="N39" s="122" t="n">
        <v>0</v>
      </c>
      <c r="O39" s="122" t="n">
        <v>0</v>
      </c>
      <c r="P39" s="215" t="n">
        <v>0</v>
      </c>
      <c r="Q39" s="352" t="n">
        <f aca="false">1.46*1.02</f>
        <v>1.4892</v>
      </c>
      <c r="R39" s="352" t="n">
        <v>2.97</v>
      </c>
      <c r="S39" s="119" t="n">
        <v>0</v>
      </c>
      <c r="T39" s="84" t="n">
        <v>0</v>
      </c>
      <c r="U39" s="122" t="n">
        <v>0</v>
      </c>
      <c r="V39" s="122" t="n">
        <v>0</v>
      </c>
      <c r="W39" s="122" t="n">
        <f aca="false">M39-N39-O39-P39-Q39-R39-S39-T39+U39+V39</f>
        <v>0.2408</v>
      </c>
      <c r="X39" s="95"/>
      <c r="Y39" s="95"/>
      <c r="Z39" s="95"/>
      <c r="AA39" s="122" t="n">
        <v>0</v>
      </c>
      <c r="AB39" s="244"/>
      <c r="AC39" s="245"/>
      <c r="AD39" s="122" t="n">
        <v>931</v>
      </c>
      <c r="AE39" s="353" t="n">
        <v>0</v>
      </c>
      <c r="AF39" s="354" t="n">
        <f aca="false">AD39</f>
        <v>931</v>
      </c>
      <c r="AG39" s="121" t="n">
        <f aca="false">N39+O39+P39+Q39+R39+S39+T39+W39+AA39+AD39</f>
        <v>935.7</v>
      </c>
      <c r="AH39" s="122" t="n">
        <f aca="false">IF(L39&lt;0,L39*-1,0)</f>
        <v>0</v>
      </c>
      <c r="AI39" s="122" t="n">
        <f aca="false">AG39+AH39</f>
        <v>935.7</v>
      </c>
      <c r="AJ39" s="221" t="n">
        <v>0</v>
      </c>
      <c r="AK39" s="133" t="n">
        <v>61</v>
      </c>
      <c r="AL39" s="222" t="n">
        <v>30</v>
      </c>
      <c r="AM39" s="133" t="n">
        <f aca="false">AM38</f>
        <v>11713.16255</v>
      </c>
      <c r="AN39" s="218"/>
      <c r="AO39" s="122"/>
      <c r="AP39" s="95"/>
      <c r="AQ39" s="223"/>
      <c r="AS39" s="10"/>
    </row>
    <row r="40" customFormat="false" ht="12.95" hidden="false" customHeight="true" outlineLevel="0" collapsed="false">
      <c r="A40" s="155" t="n">
        <f aca="false">A39+1</f>
        <v>29</v>
      </c>
      <c r="B40" s="94" t="n">
        <v>6903.14</v>
      </c>
      <c r="C40" s="95" t="n">
        <v>295309</v>
      </c>
      <c r="D40" s="133" t="n">
        <f aca="false">C40-C39</f>
        <v>1209</v>
      </c>
      <c r="E40" s="95" t="n">
        <f aca="false">C40-152000</f>
        <v>143309</v>
      </c>
      <c r="F40" s="243" t="n">
        <f aca="false">D40/$D$2</f>
        <v>609.528611041089</v>
      </c>
      <c r="G40" s="122" t="n">
        <v>601</v>
      </c>
      <c r="H40" s="318" t="n">
        <v>183</v>
      </c>
      <c r="I40" s="122" t="n">
        <f aca="false">G40+H40</f>
        <v>784</v>
      </c>
      <c r="J40" s="218" t="n">
        <f aca="false">IF(L40&gt;0,L40,0)</f>
        <v>762.428611041089</v>
      </c>
      <c r="K40" s="122" t="n">
        <f aca="false">I40+J40</f>
        <v>1546.42861104109</v>
      </c>
      <c r="L40" s="122" t="n">
        <f aca="false">F40-(I40-AG40)</f>
        <v>762.428611041089</v>
      </c>
      <c r="M40" s="244" t="n">
        <v>5.9</v>
      </c>
      <c r="N40" s="122" t="n">
        <v>0</v>
      </c>
      <c r="O40" s="122" t="n">
        <v>0</v>
      </c>
      <c r="P40" s="215" t="n">
        <v>0</v>
      </c>
      <c r="Q40" s="352" t="n">
        <f aca="false">1.46*1.02</f>
        <v>1.4892</v>
      </c>
      <c r="R40" s="352" t="n">
        <v>3.04</v>
      </c>
      <c r="S40" s="119" t="n">
        <v>0</v>
      </c>
      <c r="T40" s="84" t="n">
        <v>0</v>
      </c>
      <c r="U40" s="122" t="n">
        <v>0</v>
      </c>
      <c r="V40" s="122" t="n">
        <v>0</v>
      </c>
      <c r="W40" s="122" t="n">
        <f aca="false">M40-N40-O40-P40-Q40-R40-S40-T40+U40+V40</f>
        <v>1.3708</v>
      </c>
      <c r="X40" s="95"/>
      <c r="Y40" s="95"/>
      <c r="Z40" s="95"/>
      <c r="AA40" s="122" t="n">
        <v>0</v>
      </c>
      <c r="AB40" s="244"/>
      <c r="AC40" s="245"/>
      <c r="AD40" s="122" t="n">
        <v>931</v>
      </c>
      <c r="AE40" s="353" t="n">
        <v>0</v>
      </c>
      <c r="AF40" s="354" t="n">
        <f aca="false">AD40</f>
        <v>931</v>
      </c>
      <c r="AG40" s="121" t="n">
        <f aca="false">N40+O40+P40+Q40+R40+S40+T40+W40+AA40+AD40</f>
        <v>936.9</v>
      </c>
      <c r="AH40" s="122" t="n">
        <f aca="false">IF(L40&lt;0,L40*-1,0)</f>
        <v>0</v>
      </c>
      <c r="AI40" s="122" t="n">
        <f aca="false">AG40+AH40</f>
        <v>936.9</v>
      </c>
      <c r="AJ40" s="221" t="n">
        <v>0</v>
      </c>
      <c r="AK40" s="223" t="n">
        <v>64</v>
      </c>
      <c r="AL40" s="222" t="n">
        <v>37</v>
      </c>
      <c r="AM40" s="133" t="n">
        <f aca="false">AM39</f>
        <v>11713.16255</v>
      </c>
      <c r="AN40" s="218"/>
      <c r="AO40" s="122"/>
      <c r="AP40" s="95"/>
      <c r="AQ40" s="223"/>
      <c r="AS40" s="10"/>
    </row>
    <row r="41" customFormat="false" ht="12.95" hidden="false" customHeight="true" outlineLevel="0" collapsed="false">
      <c r="A41" s="155" t="n">
        <v>30</v>
      </c>
      <c r="B41" s="94" t="n">
        <v>6903.56</v>
      </c>
      <c r="C41" s="95" t="n">
        <v>296902</v>
      </c>
      <c r="D41" s="133" t="n">
        <f aca="false">C41-C40</f>
        <v>1593</v>
      </c>
      <c r="E41" s="95" t="n">
        <f aca="false">C41-152000</f>
        <v>144902</v>
      </c>
      <c r="F41" s="243" t="n">
        <f aca="false">D41/$D$2</f>
        <v>803.125787748929</v>
      </c>
      <c r="G41" s="122" t="n">
        <v>658</v>
      </c>
      <c r="H41" s="318" t="n">
        <v>180</v>
      </c>
      <c r="I41" s="122" t="n">
        <f aca="false">G41+H41</f>
        <v>838</v>
      </c>
      <c r="J41" s="218" t="n">
        <f aca="false">IF(L41&gt;0,L41,0)</f>
        <v>903.625787748929</v>
      </c>
      <c r="K41" s="122" t="n">
        <f aca="false">I41+J41</f>
        <v>1741.62578774893</v>
      </c>
      <c r="L41" s="122" t="n">
        <f aca="false">F41-(I41-AG41)</f>
        <v>903.625787748929</v>
      </c>
      <c r="M41" s="244" t="n">
        <v>5.5</v>
      </c>
      <c r="N41" s="122" t="n">
        <v>0</v>
      </c>
      <c r="O41" s="122" t="n">
        <v>0</v>
      </c>
      <c r="P41" s="215" t="n">
        <v>0</v>
      </c>
      <c r="Q41" s="352" t="n">
        <f aca="false">1.46*1.02</f>
        <v>1.4892</v>
      </c>
      <c r="R41" s="352" t="n">
        <v>3.25</v>
      </c>
      <c r="S41" s="119" t="n">
        <v>0</v>
      </c>
      <c r="T41" s="84" t="n">
        <v>0</v>
      </c>
      <c r="U41" s="122" t="n">
        <v>0</v>
      </c>
      <c r="V41" s="122" t="n">
        <v>0</v>
      </c>
      <c r="W41" s="122" t="n">
        <f aca="false">M41-N41-O41-P41-Q41-R41-S41-T41+U41+V41</f>
        <v>0.7608</v>
      </c>
      <c r="X41" s="95"/>
      <c r="Y41" s="95"/>
      <c r="Z41" s="95"/>
      <c r="AA41" s="122" t="n">
        <v>0</v>
      </c>
      <c r="AB41" s="244"/>
      <c r="AC41" s="245"/>
      <c r="AD41" s="122" t="n">
        <v>933</v>
      </c>
      <c r="AE41" s="353" t="n">
        <v>0</v>
      </c>
      <c r="AF41" s="354" t="n">
        <f aca="false">AD41</f>
        <v>933</v>
      </c>
      <c r="AG41" s="121" t="n">
        <f aca="false">N41+O41+P41+Q41+R41+S41+T41+W41+AA41+AD41</f>
        <v>938.5</v>
      </c>
      <c r="AH41" s="122" t="n">
        <f aca="false">IF(L41&lt;0,L41*-1,0)</f>
        <v>0</v>
      </c>
      <c r="AI41" s="122" t="n">
        <f aca="false">AG41+AH41</f>
        <v>938.5</v>
      </c>
      <c r="AJ41" s="221" t="n">
        <v>0.04</v>
      </c>
      <c r="AK41" s="223" t="n">
        <v>60</v>
      </c>
      <c r="AL41" s="222" t="n">
        <v>31</v>
      </c>
      <c r="AM41" s="133" t="n">
        <f aca="false">AM40</f>
        <v>11713.16255</v>
      </c>
      <c r="AN41" s="218"/>
      <c r="AO41" s="122"/>
      <c r="AP41" s="95"/>
      <c r="AQ41" s="223"/>
      <c r="AS41" s="10"/>
    </row>
    <row r="42" customFormat="false" ht="12.95" hidden="false" customHeight="true" outlineLevel="0" collapsed="false">
      <c r="A42" s="155" t="n">
        <v>31</v>
      </c>
      <c r="B42" s="94" t="n">
        <v>6903.96</v>
      </c>
      <c r="C42" s="95" t="n">
        <v>298419</v>
      </c>
      <c r="D42" s="133" t="n">
        <f aca="false">C42-C41</f>
        <v>1517</v>
      </c>
      <c r="E42" s="95" t="n">
        <f aca="false">C42-152000</f>
        <v>146419</v>
      </c>
      <c r="F42" s="243" t="n">
        <f aca="false">D42/$D$2</f>
        <v>764.809679858835</v>
      </c>
      <c r="G42" s="122" t="n">
        <v>629</v>
      </c>
      <c r="H42" s="318" t="n">
        <v>222</v>
      </c>
      <c r="I42" s="122" t="n">
        <f aca="false">G42+H42</f>
        <v>851</v>
      </c>
      <c r="J42" s="218" t="n">
        <f aca="false">IF(L42&gt;0,L42,0)</f>
        <v>823.809679858835</v>
      </c>
      <c r="K42" s="122" t="n">
        <f aca="false">I42+J42</f>
        <v>1674.80967985884</v>
      </c>
      <c r="L42" s="122" t="n">
        <f aca="false">F42-(I42-AG42)</f>
        <v>823.809679858835</v>
      </c>
      <c r="M42" s="244" t="n">
        <v>25</v>
      </c>
      <c r="N42" s="122" t="n">
        <v>0</v>
      </c>
      <c r="O42" s="122" t="n">
        <f aca="false">(1.9+1.4)*1.05</f>
        <v>3.465</v>
      </c>
      <c r="P42" s="215" t="n">
        <v>0</v>
      </c>
      <c r="Q42" s="352" t="n">
        <f aca="false">1.46*1.02</f>
        <v>1.4892</v>
      </c>
      <c r="R42" s="352" t="n">
        <v>3.04</v>
      </c>
      <c r="S42" s="119" t="n">
        <v>0</v>
      </c>
      <c r="T42" s="84" t="n">
        <v>0</v>
      </c>
      <c r="U42" s="122" t="n">
        <v>0</v>
      </c>
      <c r="V42" s="122" t="n">
        <v>0</v>
      </c>
      <c r="W42" s="122" t="n">
        <f aca="false">M42-N42-O42-P42-Q42-R42-S42-T42+U42+V42</f>
        <v>17.0058</v>
      </c>
      <c r="X42" s="95"/>
      <c r="Y42" s="95"/>
      <c r="Z42" s="95"/>
      <c r="AA42" s="122" t="n">
        <v>0</v>
      </c>
      <c r="AB42" s="244"/>
      <c r="AC42" s="245"/>
      <c r="AD42" s="122" t="n">
        <v>885</v>
      </c>
      <c r="AE42" s="353" t="n">
        <v>0</v>
      </c>
      <c r="AF42" s="354" t="n">
        <f aca="false">AD42</f>
        <v>885</v>
      </c>
      <c r="AG42" s="121" t="n">
        <f aca="false">N42+O42+P42+Q42+R42+S42+T42+W42+AA42+AD42</f>
        <v>910</v>
      </c>
      <c r="AH42" s="122" t="n">
        <f aca="false">IF(L42&lt;0,L42*-1,0)</f>
        <v>0</v>
      </c>
      <c r="AI42" s="122" t="n">
        <f aca="false">AG42+AH42</f>
        <v>910</v>
      </c>
      <c r="AJ42" s="221" t="n">
        <v>0.01</v>
      </c>
      <c r="AK42" s="223" t="n">
        <v>51</v>
      </c>
      <c r="AL42" s="222" t="n">
        <v>34</v>
      </c>
      <c r="AM42" s="133" t="n">
        <f aca="false">AM41</f>
        <v>11713.16255</v>
      </c>
      <c r="AN42" s="218"/>
      <c r="AO42" s="122"/>
      <c r="AP42" s="122"/>
      <c r="AQ42" s="223"/>
      <c r="AS42" s="10"/>
    </row>
    <row r="43" customFormat="false" ht="3" hidden="false" customHeight="true" outlineLevel="0" collapsed="false">
      <c r="A43" s="229"/>
      <c r="B43" s="247"/>
      <c r="C43" s="231"/>
      <c r="D43" s="232"/>
      <c r="E43" s="231"/>
      <c r="F43" s="233"/>
      <c r="G43" s="232"/>
      <c r="H43" s="255"/>
      <c r="I43" s="232"/>
      <c r="J43" s="232"/>
      <c r="K43" s="232"/>
      <c r="L43" s="232"/>
      <c r="M43" s="235"/>
      <c r="N43" s="232"/>
      <c r="O43" s="232"/>
      <c r="P43" s="234"/>
      <c r="Q43" s="232"/>
      <c r="R43" s="232"/>
      <c r="S43" s="232"/>
      <c r="T43" s="350"/>
      <c r="U43" s="232"/>
      <c r="V43" s="232"/>
      <c r="W43" s="232"/>
      <c r="X43" s="231"/>
      <c r="Y43" s="231"/>
      <c r="Z43" s="231"/>
      <c r="AA43" s="232"/>
      <c r="AB43" s="235"/>
      <c r="AC43" s="238"/>
      <c r="AD43" s="232"/>
      <c r="AE43" s="232"/>
      <c r="AF43" s="237"/>
      <c r="AG43" s="232"/>
      <c r="AH43" s="232"/>
      <c r="AI43" s="232"/>
      <c r="AJ43" s="239"/>
      <c r="AK43" s="240"/>
      <c r="AL43" s="241"/>
      <c r="AM43" s="240"/>
      <c r="AN43" s="237"/>
      <c r="AO43" s="240"/>
      <c r="AP43" s="240"/>
      <c r="AQ43" s="240"/>
      <c r="AR43" s="298"/>
      <c r="AS43" s="298"/>
    </row>
    <row r="44" customFormat="false" ht="12.95" hidden="false" customHeight="true" outlineLevel="0" collapsed="false">
      <c r="A44" s="158" t="s">
        <v>79</v>
      </c>
      <c r="B44" s="213"/>
      <c r="C44" s="95"/>
      <c r="D44" s="95"/>
      <c r="E44" s="95"/>
      <c r="F44" s="214" t="n">
        <f aca="false">SUM(F12:F42)</f>
        <v>5950.59238719435</v>
      </c>
      <c r="G44" s="95" t="n">
        <f aca="false">SUM(G12:G42)</f>
        <v>7395</v>
      </c>
      <c r="H44" s="320" t="n">
        <f aca="false">SUM(H12:H42)</f>
        <v>1937.4</v>
      </c>
      <c r="I44" s="95" t="n">
        <f aca="false">SUM(I12:I42)</f>
        <v>9332.4</v>
      </c>
      <c r="J44" s="95" t="n">
        <f aca="false">SUM(J12:J42)</f>
        <v>4719.49732795564</v>
      </c>
      <c r="K44" s="95" t="n">
        <f aca="false">SUM(K12:K42)</f>
        <v>14051.8973279556</v>
      </c>
      <c r="L44" s="95" t="n">
        <f aca="false">SUM(L12:L42)</f>
        <v>4087.09238719435</v>
      </c>
      <c r="M44" s="216" t="n">
        <f aca="false">SUM(M12:M42)</f>
        <v>260.9</v>
      </c>
      <c r="N44" s="95" t="n">
        <f aca="false">SUM(N12:N42)</f>
        <v>0</v>
      </c>
      <c r="O44" s="95" t="n">
        <f aca="false">SUM(O12:O42)</f>
        <v>29.3685</v>
      </c>
      <c r="P44" s="215"/>
      <c r="Q44" s="95" t="n">
        <f aca="false">SUM(Q12:Q42)</f>
        <v>46.1652</v>
      </c>
      <c r="R44" s="95" t="n">
        <f aca="false">SUM(R12:R42)</f>
        <v>105.19</v>
      </c>
      <c r="S44" s="95" t="n">
        <f aca="false">SUM(S12:S42)</f>
        <v>0.77</v>
      </c>
      <c r="T44" s="217" t="n">
        <f aca="false">SUM(T12:T42)</f>
        <v>-17.6316</v>
      </c>
      <c r="U44" s="95" t="n">
        <f aca="false">SUM(U12:U42)</f>
        <v>0</v>
      </c>
      <c r="V44" s="95" t="n">
        <f aca="false">SUM(V12:V42)</f>
        <v>0</v>
      </c>
      <c r="W44" s="95" t="n">
        <f aca="false">SUM(W12:W42)</f>
        <v>97.0379</v>
      </c>
      <c r="X44" s="95"/>
      <c r="Y44" s="95"/>
      <c r="Z44" s="95"/>
      <c r="AA44" s="95"/>
      <c r="AB44" s="216"/>
      <c r="AC44" s="219"/>
      <c r="AD44" s="95" t="n">
        <f aca="false">SUM(AD12:AD42)</f>
        <v>7208</v>
      </c>
      <c r="AE44" s="95"/>
      <c r="AF44" s="218" t="n">
        <f aca="false">SUM(AF12:AF42)</f>
        <v>6071</v>
      </c>
      <c r="AG44" s="95" t="n">
        <f aca="false">SUM(AG12:AG42)</f>
        <v>7468.9</v>
      </c>
      <c r="AH44" s="95" t="n">
        <f aca="false">SUM(AH12:AH42)</f>
        <v>632.404940761281</v>
      </c>
      <c r="AI44" s="95" t="n">
        <f aca="false">SUM(AI12:AI42)</f>
        <v>8101.30494076128</v>
      </c>
      <c r="AJ44" s="221" t="n">
        <f aca="false">SUM(AJ12:AJ42)</f>
        <v>0.06</v>
      </c>
      <c r="AK44" s="133" t="n">
        <f aca="false">AVERAGE(AK12:AK42)</f>
        <v>49.4838709677419</v>
      </c>
      <c r="AL44" s="222" t="n">
        <f aca="false">AVERAGE(AL12:AL42)</f>
        <v>22.4193548387097</v>
      </c>
      <c r="AM44" s="133" t="s">
        <v>101</v>
      </c>
      <c r="AN44" s="218" t="n">
        <f aca="false">SUM(AN12:AN42)</f>
        <v>0</v>
      </c>
      <c r="AO44" s="122"/>
      <c r="AP44" s="122"/>
      <c r="AQ44" s="223"/>
      <c r="AR44" s="203" t="s">
        <v>96</v>
      </c>
      <c r="AS44" s="10"/>
    </row>
    <row r="45" customFormat="false" ht="12.95" hidden="false" customHeight="true" outlineLevel="0" collapsed="false">
      <c r="A45" s="158" t="s">
        <v>81</v>
      </c>
      <c r="B45" s="213"/>
      <c r="C45" s="95"/>
      <c r="D45" s="95" t="n">
        <f aca="false">SUM(D12:D42)</f>
        <v>11803</v>
      </c>
      <c r="E45" s="95"/>
      <c r="F45" s="214" t="n">
        <f aca="false">F44*$D$2</f>
        <v>11803</v>
      </c>
      <c r="G45" s="95" t="n">
        <f aca="false">G44*$D$2</f>
        <v>14667.9825</v>
      </c>
      <c r="H45" s="320" t="n">
        <f aca="false">H44*$D$2</f>
        <v>3842.8329</v>
      </c>
      <c r="I45" s="95" t="n">
        <f aca="false">I44*$D$2</f>
        <v>18510.8154</v>
      </c>
      <c r="J45" s="95" t="n">
        <f aca="false">J44*$D$2</f>
        <v>9361.12295</v>
      </c>
      <c r="K45" s="95" t="n">
        <f aca="false">K44*$D$2</f>
        <v>27871.93835</v>
      </c>
      <c r="L45" s="95" t="n">
        <f aca="false">L44*$D$2</f>
        <v>8106.74775</v>
      </c>
      <c r="M45" s="216" t="n">
        <f aca="false">M44*$D$2</f>
        <v>517.49515</v>
      </c>
      <c r="N45" s="95" t="n">
        <f aca="false">N44*$D$2</f>
        <v>0</v>
      </c>
      <c r="O45" s="95" t="n">
        <f aca="false">O44*$D$2</f>
        <v>58.25241975</v>
      </c>
      <c r="P45" s="215"/>
      <c r="Q45" s="95" t="n">
        <f aca="false">Q44*$D$2</f>
        <v>91.5686742</v>
      </c>
      <c r="R45" s="95" t="n">
        <f aca="false">R44*$D$2</f>
        <v>208.644365</v>
      </c>
      <c r="S45" s="95" t="n">
        <f aca="false">S44*$D$2</f>
        <v>1.527295</v>
      </c>
      <c r="T45" s="217" t="n">
        <f aca="false">T44*$D$2</f>
        <v>-34.9722786</v>
      </c>
      <c r="U45" s="95" t="n">
        <f aca="false">U44*$D$2</f>
        <v>0</v>
      </c>
      <c r="V45" s="95" t="n">
        <f aca="false">V44*$D$2</f>
        <v>0</v>
      </c>
      <c r="W45" s="95" t="n">
        <f aca="false">W44*$D$2</f>
        <v>192.47467465</v>
      </c>
      <c r="X45" s="95"/>
      <c r="Y45" s="95"/>
      <c r="Z45" s="95"/>
      <c r="AA45" s="95"/>
      <c r="AB45" s="216"/>
      <c r="AC45" s="219"/>
      <c r="AD45" s="95" t="n">
        <f aca="false">AD44*$D$2</f>
        <v>14297.068</v>
      </c>
      <c r="AE45" s="95"/>
      <c r="AF45" s="218" t="n">
        <f aca="false">AF44*$D$2</f>
        <v>12041.8285</v>
      </c>
      <c r="AG45" s="95" t="n">
        <f aca="false">AG44*$D$2</f>
        <v>14814.56315</v>
      </c>
      <c r="AH45" s="95" t="n">
        <f aca="false">AH44*$D$2</f>
        <v>1254.3752</v>
      </c>
      <c r="AI45" s="95" t="n">
        <f aca="false">AI44*$D$2</f>
        <v>16068.93835</v>
      </c>
      <c r="AJ45" s="221"/>
      <c r="AK45" s="133" t="n">
        <f aca="false">MAX(AK12:AK42)</f>
        <v>64</v>
      </c>
      <c r="AL45" s="222" t="n">
        <f aca="false">MAX(AL12:AL42)</f>
        <v>37</v>
      </c>
      <c r="AM45" s="133" t="s">
        <v>82</v>
      </c>
      <c r="AN45" s="218" t="n">
        <f aca="false">AN44*$D$2</f>
        <v>0</v>
      </c>
      <c r="AO45" s="122"/>
      <c r="AP45" s="122"/>
      <c r="AQ45" s="223"/>
      <c r="AR45" s="203"/>
      <c r="AS45" s="10"/>
    </row>
    <row r="46" customFormat="false" ht="3" hidden="false" customHeight="true" outlineLevel="0" collapsed="false">
      <c r="A46" s="229"/>
      <c r="B46" s="247"/>
      <c r="C46" s="231"/>
      <c r="D46" s="231"/>
      <c r="E46" s="231"/>
      <c r="F46" s="250"/>
      <c r="G46" s="231"/>
      <c r="H46" s="356"/>
      <c r="I46" s="231"/>
      <c r="J46" s="231"/>
      <c r="K46" s="231"/>
      <c r="L46" s="231"/>
      <c r="M46" s="251"/>
      <c r="N46" s="231"/>
      <c r="O46" s="231"/>
      <c r="P46" s="234"/>
      <c r="Q46" s="231"/>
      <c r="R46" s="231"/>
      <c r="S46" s="231"/>
      <c r="T46" s="350"/>
      <c r="U46" s="231"/>
      <c r="V46" s="231"/>
      <c r="W46" s="231"/>
      <c r="X46" s="231"/>
      <c r="Y46" s="231"/>
      <c r="Z46" s="231"/>
      <c r="AA46" s="231"/>
      <c r="AB46" s="251"/>
      <c r="AC46" s="252"/>
      <c r="AD46" s="231"/>
      <c r="AE46" s="232"/>
      <c r="AF46" s="237"/>
      <c r="AG46" s="231"/>
      <c r="AH46" s="231"/>
      <c r="AI46" s="231"/>
      <c r="AJ46" s="253"/>
      <c r="AK46" s="231"/>
      <c r="AL46" s="250"/>
      <c r="AM46" s="240"/>
      <c r="AN46" s="237"/>
      <c r="AO46" s="231"/>
      <c r="AP46" s="231"/>
      <c r="AQ46" s="231"/>
      <c r="AR46" s="307"/>
      <c r="AS46" s="298"/>
    </row>
    <row r="47" customFormat="false" ht="12.95" hidden="false" customHeight="true" outlineLevel="0" collapsed="false">
      <c r="A47" s="158" t="s">
        <v>83</v>
      </c>
      <c r="B47" s="213"/>
      <c r="C47" s="95"/>
      <c r="D47" s="95"/>
      <c r="E47" s="95"/>
      <c r="F47" s="214"/>
      <c r="G47" s="95"/>
      <c r="H47" s="320"/>
      <c r="I47" s="95"/>
      <c r="J47" s="95"/>
      <c r="K47" s="95"/>
      <c r="L47" s="95"/>
      <c r="M47" s="216"/>
      <c r="N47" s="95"/>
      <c r="O47" s="95" t="n">
        <f aca="false">O44</f>
        <v>29.3685</v>
      </c>
      <c r="P47" s="215"/>
      <c r="Q47" s="95"/>
      <c r="R47" s="95"/>
      <c r="S47" s="95"/>
      <c r="T47" s="348"/>
      <c r="U47" s="95"/>
      <c r="V47" s="95"/>
      <c r="W47" s="95" t="n">
        <f aca="false">SUM(W12:W42)</f>
        <v>97.0379</v>
      </c>
      <c r="X47" s="95"/>
      <c r="Y47" s="95"/>
      <c r="Z47" s="95"/>
      <c r="AA47" s="95"/>
      <c r="AB47" s="216"/>
      <c r="AC47" s="219"/>
      <c r="AD47" s="95"/>
      <c r="AE47" s="95"/>
      <c r="AF47" s="218"/>
      <c r="AG47" s="95"/>
      <c r="AH47" s="95"/>
      <c r="AI47" s="95"/>
      <c r="AJ47" s="221"/>
      <c r="AK47" s="133" t="n">
        <f aca="false">MIN(AK12:AK42)</f>
        <v>34</v>
      </c>
      <c r="AL47" s="222" t="n">
        <f aca="false">MIN(AL12:AL42)</f>
        <v>11</v>
      </c>
      <c r="AM47" s="133" t="s">
        <v>84</v>
      </c>
      <c r="AN47" s="218"/>
      <c r="AO47" s="122"/>
      <c r="AP47" s="122"/>
      <c r="AQ47" s="223"/>
      <c r="AR47" s="203"/>
      <c r="AS47" s="10"/>
    </row>
    <row r="48" customFormat="false" ht="12.95" hidden="false" customHeight="true" outlineLevel="0" collapsed="false">
      <c r="A48" s="158" t="s">
        <v>85</v>
      </c>
      <c r="B48" s="213"/>
      <c r="C48" s="95"/>
      <c r="D48" s="95"/>
      <c r="E48" s="95"/>
      <c r="F48" s="214"/>
      <c r="G48" s="95"/>
      <c r="H48" s="320"/>
      <c r="I48" s="95"/>
      <c r="J48" s="95"/>
      <c r="K48" s="95"/>
      <c r="L48" s="95"/>
      <c r="M48" s="216"/>
      <c r="N48" s="95"/>
      <c r="O48" s="95" t="n">
        <f aca="false">O47*D2</f>
        <v>58.25241975</v>
      </c>
      <c r="P48" s="215"/>
      <c r="Q48" s="95"/>
      <c r="R48" s="95"/>
      <c r="S48" s="95"/>
      <c r="T48" s="348"/>
      <c r="U48" s="95"/>
      <c r="V48" s="95"/>
      <c r="W48" s="95" t="n">
        <f aca="false">W47*$D$2</f>
        <v>192.47467465</v>
      </c>
      <c r="X48" s="95"/>
      <c r="Y48" s="95"/>
      <c r="Z48" s="95"/>
      <c r="AA48" s="95"/>
      <c r="AB48" s="216"/>
      <c r="AC48" s="219"/>
      <c r="AD48" s="95"/>
      <c r="AE48" s="95"/>
      <c r="AF48" s="218"/>
      <c r="AG48" s="95"/>
      <c r="AH48" s="95"/>
      <c r="AI48" s="95"/>
      <c r="AJ48" s="221"/>
      <c r="AK48" s="133"/>
      <c r="AL48" s="222"/>
      <c r="AM48" s="133"/>
      <c r="AN48" s="218"/>
      <c r="AO48" s="122"/>
      <c r="AP48" s="122"/>
      <c r="AQ48" s="223"/>
      <c r="AR48" s="203"/>
      <c r="AS48" s="10"/>
    </row>
    <row r="49" customFormat="false" ht="3" hidden="false" customHeight="true" outlineLevel="0" collapsed="false">
      <c r="A49" s="229"/>
      <c r="B49" s="247"/>
      <c r="C49" s="231"/>
      <c r="D49" s="231"/>
      <c r="E49" s="231"/>
      <c r="F49" s="250"/>
      <c r="G49" s="231"/>
      <c r="H49" s="356"/>
      <c r="I49" s="231"/>
      <c r="J49" s="231"/>
      <c r="K49" s="231"/>
      <c r="L49" s="231"/>
      <c r="M49" s="251"/>
      <c r="N49" s="231"/>
      <c r="O49" s="231"/>
      <c r="P49" s="234"/>
      <c r="Q49" s="231"/>
      <c r="R49" s="231"/>
      <c r="S49" s="231"/>
      <c r="T49" s="350"/>
      <c r="U49" s="231"/>
      <c r="V49" s="231"/>
      <c r="W49" s="231"/>
      <c r="X49" s="231"/>
      <c r="Y49" s="231"/>
      <c r="Z49" s="231"/>
      <c r="AA49" s="231"/>
      <c r="AB49" s="251"/>
      <c r="AC49" s="252"/>
      <c r="AD49" s="231"/>
      <c r="AE49" s="231"/>
      <c r="AF49" s="237"/>
      <c r="AG49" s="231"/>
      <c r="AH49" s="231"/>
      <c r="AI49" s="231"/>
      <c r="AJ49" s="239"/>
      <c r="AK49" s="255"/>
      <c r="AL49" s="256"/>
      <c r="AM49" s="240"/>
      <c r="AN49" s="237"/>
      <c r="AO49" s="255"/>
      <c r="AP49" s="255"/>
      <c r="AQ49" s="255"/>
      <c r="AR49" s="307"/>
      <c r="AS49" s="298"/>
    </row>
    <row r="50" customFormat="false" ht="12.95" hidden="false" customHeight="true" outlineLevel="0" collapsed="false">
      <c r="A50" s="158" t="s">
        <v>86</v>
      </c>
      <c r="B50" s="213"/>
      <c r="C50" s="95"/>
      <c r="D50" s="95"/>
      <c r="E50" s="95"/>
      <c r="F50" s="214" t="n">
        <f aca="false">F10+F44</f>
        <v>5313.83917317872</v>
      </c>
      <c r="G50" s="95" t="n">
        <f aca="false">G10+G44</f>
        <v>16264</v>
      </c>
      <c r="H50" s="320" t="n">
        <f aca="false">H10+H44</f>
        <v>2146.14</v>
      </c>
      <c r="I50" s="95" t="n">
        <f aca="false">I10+I44</f>
        <v>18410.14</v>
      </c>
      <c r="J50" s="95" t="n">
        <f aca="false">J10+J44</f>
        <v>6998.12573985379</v>
      </c>
      <c r="K50" s="95" t="n">
        <f aca="false">K10+K44</f>
        <v>25408.2657398538</v>
      </c>
      <c r="L50" s="95" t="n">
        <f aca="false">L10+L44</f>
        <v>4976.25917317872</v>
      </c>
      <c r="M50" s="216" t="n">
        <f aca="false">M10+M44</f>
        <v>912.8</v>
      </c>
      <c r="N50" s="95" t="n">
        <f aca="false">N10+N44</f>
        <v>0</v>
      </c>
      <c r="O50" s="95" t="n">
        <f aca="false">O10+O44</f>
        <v>29.3685</v>
      </c>
      <c r="P50" s="215"/>
      <c r="Q50" s="95" t="n">
        <f aca="false">Q10+Q44</f>
        <v>227.2866</v>
      </c>
      <c r="R50" s="95" t="n">
        <f aca="false">R10+R44</f>
        <v>464.243</v>
      </c>
      <c r="S50" s="95" t="n">
        <f aca="false">S10+S44</f>
        <v>4.19</v>
      </c>
      <c r="T50" s="217" t="n">
        <f aca="false">T10+T44</f>
        <v>-94.5288</v>
      </c>
      <c r="U50" s="95" t="n">
        <f aca="false">U10+U44</f>
        <v>6064.96</v>
      </c>
      <c r="V50" s="95" t="n">
        <f aca="false">V10+V44</f>
        <v>84.8</v>
      </c>
      <c r="W50" s="95" t="n">
        <f aca="false">W10+W44</f>
        <v>6002.3379</v>
      </c>
      <c r="X50" s="95"/>
      <c r="Y50" s="95"/>
      <c r="Z50" s="95"/>
      <c r="AA50" s="95"/>
      <c r="AB50" s="216"/>
      <c r="AC50" s="219"/>
      <c r="AD50" s="95" t="n">
        <f aca="false">AD10+AD44</f>
        <v>11010</v>
      </c>
      <c r="AE50" s="95" t="n">
        <f aca="false">AE42</f>
        <v>0</v>
      </c>
      <c r="AF50" s="218" t="n">
        <f aca="false">AF10+AF44</f>
        <v>6071</v>
      </c>
      <c r="AG50" s="95" t="n">
        <f aca="false">AG10+AG44</f>
        <v>18072.56</v>
      </c>
      <c r="AH50" s="95" t="n">
        <f aca="false">AH10+AH44</f>
        <v>2021.86656667507</v>
      </c>
      <c r="AI50" s="95" t="n">
        <f aca="false">AI10+AI44</f>
        <v>20094.4265666751</v>
      </c>
      <c r="AJ50" s="221" t="n">
        <f aca="false">AJ10+AJ44</f>
        <v>9.48</v>
      </c>
      <c r="AK50" s="133"/>
      <c r="AL50" s="222"/>
      <c r="AM50" s="133"/>
      <c r="AN50" s="218" t="n">
        <f aca="false">AN10+AN44</f>
        <v>0</v>
      </c>
      <c r="AO50" s="122"/>
      <c r="AP50" s="122"/>
      <c r="AQ50" s="223"/>
      <c r="AR50" s="203"/>
      <c r="AS50" s="10"/>
    </row>
    <row r="51" customFormat="false" ht="12.95" hidden="false" customHeight="true" outlineLevel="0" collapsed="false">
      <c r="A51" s="158" t="s">
        <v>87</v>
      </c>
      <c r="B51" s="213"/>
      <c r="C51" s="95"/>
      <c r="D51" s="95" t="n">
        <f aca="false">D10+D45</f>
        <v>10465</v>
      </c>
      <c r="E51" s="95" t="n">
        <f aca="false">E42</f>
        <v>146419</v>
      </c>
      <c r="F51" s="214" t="n">
        <f aca="false">F50*$D$2</f>
        <v>10540</v>
      </c>
      <c r="G51" s="95" t="n">
        <f aca="false">G50*$D$2</f>
        <v>32259.644</v>
      </c>
      <c r="H51" s="320" t="n">
        <f aca="false">H50*$D$2</f>
        <v>4256.86869</v>
      </c>
      <c r="I51" s="95" t="n">
        <f aca="false">I50*$D$2</f>
        <v>36516.51269</v>
      </c>
      <c r="J51" s="95" t="n">
        <f aca="false">J50*$D$2</f>
        <v>13880.782405</v>
      </c>
      <c r="K51" s="95" t="n">
        <f aca="false">K50*$D$2</f>
        <v>50397.295095</v>
      </c>
      <c r="L51" s="95" t="n">
        <f aca="false">L50*$D$2</f>
        <v>9870.41007</v>
      </c>
      <c r="M51" s="216" t="n">
        <f aca="false">M50*$D$2</f>
        <v>1810.5388</v>
      </c>
      <c r="N51" s="95" t="n">
        <f aca="false">N50*$D$2</f>
        <v>0</v>
      </c>
      <c r="O51" s="95" t="n">
        <f aca="false">O50*$D$2</f>
        <v>58.25241975</v>
      </c>
      <c r="P51" s="215"/>
      <c r="Q51" s="95" t="n">
        <f aca="false">Q50*$D$2</f>
        <v>450.8229711</v>
      </c>
      <c r="R51" s="95" t="n">
        <f aca="false">R50*$D$2</f>
        <v>920.8259905</v>
      </c>
      <c r="S51" s="95" t="n">
        <f aca="false">S50*$D$2</f>
        <v>8.310865</v>
      </c>
      <c r="T51" s="338" t="n">
        <f aca="false">T50*$D$2</f>
        <v>-187.4978748</v>
      </c>
      <c r="U51" s="95" t="n">
        <f aca="false">U50*$D$2</f>
        <v>12029.84816</v>
      </c>
      <c r="V51" s="95" t="n">
        <f aca="false">V50*$D$2</f>
        <v>168.2008</v>
      </c>
      <c r="W51" s="95" t="n">
        <f aca="false">W50*$D$2</f>
        <v>11905.63722465</v>
      </c>
      <c r="X51" s="95"/>
      <c r="Y51" s="95"/>
      <c r="Z51" s="95"/>
      <c r="AA51" s="95"/>
      <c r="AB51" s="259"/>
      <c r="AC51" s="260"/>
      <c r="AD51" s="95" t="n">
        <f aca="false">AD50*$D$2</f>
        <v>21838.335</v>
      </c>
      <c r="AE51" s="95" t="n">
        <f aca="false">AE50*$D$2</f>
        <v>0</v>
      </c>
      <c r="AF51" s="218" t="n">
        <f aca="false">AF50*$D$2</f>
        <v>12041.8285</v>
      </c>
      <c r="AG51" s="95" t="n">
        <f aca="false">AG50*$D$2</f>
        <v>35846.92276</v>
      </c>
      <c r="AH51" s="95" t="n">
        <f aca="false">AH50*$D$2</f>
        <v>4010.372335</v>
      </c>
      <c r="AI51" s="95" t="n">
        <f aca="false">AI50*$D$2</f>
        <v>39857.295095</v>
      </c>
      <c r="AJ51" s="221"/>
      <c r="AK51" s="133"/>
      <c r="AL51" s="222"/>
      <c r="AM51" s="133" t="n">
        <f aca="false">AM42</f>
        <v>11713.16255</v>
      </c>
      <c r="AN51" s="218" t="n">
        <f aca="false">AN50*$D$2</f>
        <v>0</v>
      </c>
      <c r="AO51" s="122"/>
      <c r="AP51" s="122"/>
      <c r="AQ51" s="223"/>
      <c r="AR51" s="203"/>
      <c r="AS51" s="10"/>
    </row>
    <row r="52" customFormat="false" ht="3" hidden="false" customHeight="true" outlineLevel="0" collapsed="false">
      <c r="A52" s="229"/>
      <c r="B52" s="247"/>
      <c r="C52" s="231"/>
      <c r="D52" s="232"/>
      <c r="E52" s="231"/>
      <c r="F52" s="233"/>
      <c r="G52" s="232"/>
      <c r="H52" s="255"/>
      <c r="I52" s="232"/>
      <c r="J52" s="232"/>
      <c r="K52" s="232"/>
      <c r="L52" s="232"/>
      <c r="M52" s="235"/>
      <c r="N52" s="232"/>
      <c r="O52" s="232"/>
      <c r="P52" s="234"/>
      <c r="Q52" s="232"/>
      <c r="R52" s="232"/>
      <c r="S52" s="232"/>
      <c r="T52" s="350"/>
      <c r="U52" s="232"/>
      <c r="V52" s="232"/>
      <c r="W52" s="232"/>
      <c r="X52" s="231"/>
      <c r="Y52" s="231"/>
      <c r="Z52" s="231"/>
      <c r="AA52" s="232"/>
      <c r="AB52" s="235"/>
      <c r="AC52" s="238"/>
      <c r="AD52" s="232"/>
      <c r="AE52" s="231"/>
      <c r="AF52" s="237"/>
      <c r="AG52" s="232"/>
      <c r="AH52" s="232"/>
      <c r="AI52" s="232"/>
      <c r="AJ52" s="247"/>
      <c r="AK52" s="232"/>
      <c r="AL52" s="233"/>
      <c r="AM52" s="240"/>
      <c r="AN52" s="237"/>
      <c r="AO52" s="232"/>
      <c r="AP52" s="232"/>
      <c r="AQ52" s="232"/>
      <c r="AR52" s="311"/>
      <c r="AS52" s="298"/>
    </row>
    <row r="53" customFormat="false" ht="11.1" hidden="false" customHeight="true" outlineLevel="0" collapsed="false">
      <c r="A53" s="158"/>
      <c r="B53" s="262"/>
      <c r="D53" s="158"/>
      <c r="F53" s="158"/>
      <c r="G53" s="158"/>
      <c r="I53" s="158"/>
      <c r="J53" s="158"/>
      <c r="K53" s="158"/>
      <c r="L53" s="158"/>
      <c r="M53" s="158"/>
      <c r="N53" s="158"/>
      <c r="O53" s="158"/>
      <c r="Q53" s="158"/>
      <c r="R53" s="158"/>
      <c r="S53" s="158"/>
      <c r="U53" s="158"/>
      <c r="V53" s="158"/>
      <c r="W53" s="158"/>
      <c r="X53" s="96"/>
      <c r="Y53" s="96"/>
      <c r="Z53" s="96"/>
      <c r="AA53" s="158"/>
      <c r="AB53" s="158"/>
      <c r="AC53" s="158"/>
      <c r="AD53" s="158"/>
      <c r="AE53" s="96"/>
      <c r="AG53" s="158"/>
      <c r="AH53" s="158"/>
      <c r="AI53" s="158"/>
      <c r="AL53" s="154"/>
      <c r="AM53" s="155"/>
      <c r="AN53" s="211"/>
      <c r="AO53" s="160"/>
      <c r="AP53" s="160"/>
    </row>
    <row r="54" customFormat="false" ht="11.1" hidden="false" customHeight="true" outlineLevel="0" collapsed="false">
      <c r="A54" s="158"/>
      <c r="B54" s="263"/>
      <c r="F54" s="158"/>
      <c r="G54" s="158"/>
      <c r="I54" s="264"/>
      <c r="J54" s="158"/>
      <c r="K54" s="148"/>
      <c r="L54" s="158"/>
      <c r="M54" s="158"/>
      <c r="N54" s="158"/>
      <c r="O54" s="158"/>
      <c r="Q54" s="158"/>
      <c r="R54" s="158"/>
      <c r="S54" s="158"/>
      <c r="U54" s="158"/>
      <c r="V54" s="158"/>
      <c r="W54" s="158"/>
      <c r="X54" s="96"/>
      <c r="Y54" s="96"/>
      <c r="Z54" s="96"/>
      <c r="AA54" s="158"/>
      <c r="AB54" s="158"/>
      <c r="AC54" s="158"/>
      <c r="AD54" s="158"/>
      <c r="AE54" s="96"/>
      <c r="AG54" s="158"/>
      <c r="AH54" s="158"/>
      <c r="AI54" s="158"/>
      <c r="AL54" s="154"/>
      <c r="AM54" s="155"/>
      <c r="AN54" s="211"/>
      <c r="AO54" s="160"/>
      <c r="AP54" s="160"/>
    </row>
    <row r="55" customFormat="false" ht="11.1" hidden="false" customHeight="true" outlineLevel="0" collapsed="false">
      <c r="D55" s="96"/>
      <c r="S55" s="151"/>
      <c r="W55" s="10"/>
      <c r="X55" s="96"/>
      <c r="Y55" s="96"/>
      <c r="Z55" s="96"/>
      <c r="AD55" s="10"/>
      <c r="AE55" s="96"/>
      <c r="AI55" s="10"/>
      <c r="AL55" s="154"/>
      <c r="AM55" s="155"/>
      <c r="AN55" s="211"/>
      <c r="AO55" s="152"/>
      <c r="AP55" s="152"/>
    </row>
    <row r="56" customFormat="false" ht="11.1" hidden="false" customHeight="true" outlineLevel="0" collapsed="false">
      <c r="B56" s="150"/>
      <c r="D56" s="96"/>
      <c r="AM56" s="313"/>
      <c r="AN56" s="340"/>
      <c r="AO56" s="152"/>
    </row>
    <row r="57" customFormat="false" ht="11.1" hidden="false" customHeight="true" outlineLevel="0" collapsed="false">
      <c r="G57" s="265"/>
      <c r="AM57" s="313"/>
      <c r="AN57" s="340"/>
      <c r="AO57" s="152"/>
    </row>
  </sheetData>
  <mergeCells count="2">
    <mergeCell ref="K2:S2"/>
    <mergeCell ref="M5:S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C12" activePane="bottomRight" state="frozen"/>
      <selection pane="topLeft" activeCell="A1" activeCellId="0" sqref="A1"/>
      <selection pane="topRight" activeCell="C1" activeCellId="0" sqref="C1"/>
      <selection pane="bottomLeft" activeCell="A12" activeCellId="0" sqref="A12"/>
      <selection pane="bottomRight" activeCell="AI19" activeCellId="0" sqref="AI19"/>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11" width="5.82"/>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3" width="4.82"/>
    <col collapsed="false" customWidth="true" hidden="false" outlineLevel="0" max="17" min="17" style="4" width="4.32"/>
    <col collapsed="false" customWidth="true" hidden="false" outlineLevel="0" max="18" min="18" style="4" width="4.99"/>
    <col collapsed="false" customWidth="true" hidden="false" outlineLevel="0" max="19" min="19" style="1" width="4.32"/>
    <col collapsed="false" customWidth="true" hidden="false" outlineLevel="0" max="20" min="20" style="3" width="5.82"/>
    <col collapsed="false" customWidth="true" hidden="false" outlineLevel="0" max="22" min="21" style="1" width="5.49"/>
    <col collapsed="false" customWidth="true" hidden="false" outlineLevel="0" max="23" min="23" style="2" width="7.32"/>
    <col collapsed="false" customWidth="true" hidden="false" outlineLevel="0" max="25" min="24" style="7" width="5.49"/>
    <col collapsed="false" customWidth="true" hidden="false" outlineLevel="0" max="26" min="26" style="4" width="5.49"/>
    <col collapsed="false" customWidth="true" hidden="false" outlineLevel="0" max="29" min="27" style="1" width="5.49"/>
    <col collapsed="false" customWidth="true" hidden="false" outlineLevel="0" max="30" min="30" style="2" width="6.16"/>
    <col collapsed="false" customWidth="true" hidden="false" outlineLevel="0" max="31" min="31" style="1" width="5.49"/>
    <col collapsed="false" customWidth="true" hidden="false" outlineLevel="0" max="32" min="32" style="312" width="6.32"/>
    <col collapsed="false" customWidth="true" hidden="false" outlineLevel="0" max="33" min="33" style="1" width="6.32"/>
    <col collapsed="false" customWidth="true" hidden="false" outlineLevel="0" max="34" min="34" style="1" width="6.99"/>
    <col collapsed="false" customWidth="true" hidden="false" outlineLevel="0" max="35" min="35" style="82" width="6.99"/>
    <col collapsed="false" customWidth="true" hidden="false" outlineLevel="0" max="36" min="36" style="357" width="5.32"/>
    <col collapsed="false" customWidth="true" hidden="false" outlineLevel="0" max="37" min="37" style="115" width="3.82"/>
    <col collapsed="false" customWidth="true" hidden="false" outlineLevel="0" max="38" min="38" style="76" width="3.82"/>
    <col collapsed="false" customWidth="true" hidden="false" outlineLevel="0" max="39" min="39" style="74" width="5.49"/>
    <col collapsed="false" customWidth="true" hidden="false" outlineLevel="0" max="40" min="40" style="77" width="5.49"/>
    <col collapsed="false" customWidth="true" hidden="false" outlineLevel="0" max="41" min="41" style="7" width="6.32"/>
    <col collapsed="false" customWidth="true" hidden="false" outlineLevel="0" max="42" min="42" style="5" width="6.32"/>
    <col collapsed="false" customWidth="true" hidden="false" outlineLevel="0" max="43" min="43" style="1" width="6.32"/>
    <col collapsed="false" customWidth="true" hidden="false" outlineLevel="0" max="44" min="44" style="312" width="6.49"/>
    <col collapsed="false" customWidth="true" hidden="false" outlineLevel="0" max="45" min="45" style="312" width="4.99"/>
  </cols>
  <sheetData>
    <row r="1" customFormat="false" ht="14.1" hidden="false" customHeight="true" outlineLevel="0" collapsed="false">
      <c r="A1" s="11"/>
      <c r="B1" s="11"/>
      <c r="D1" s="11"/>
      <c r="F1" s="118"/>
      <c r="G1" s="11"/>
      <c r="I1" s="11"/>
      <c r="J1" s="11"/>
      <c r="K1" s="12" t="s">
        <v>106</v>
      </c>
      <c r="L1" s="11"/>
      <c r="M1" s="11"/>
      <c r="N1" s="11"/>
      <c r="O1" s="11"/>
      <c r="Q1" s="11"/>
      <c r="R1" s="11"/>
      <c r="S1" s="11"/>
      <c r="U1" s="11"/>
      <c r="V1" s="11"/>
      <c r="AA1" s="11"/>
      <c r="AB1" s="11"/>
      <c r="AC1" s="11"/>
      <c r="AE1" s="11"/>
      <c r="AF1" s="13"/>
      <c r="AG1" s="11"/>
      <c r="AH1" s="11"/>
      <c r="AO1" s="358"/>
    </row>
    <row r="2" customFormat="false" ht="14.1" hidden="false" customHeight="true" outlineLevel="0" collapsed="false">
      <c r="A2" s="13" t="s">
        <v>1</v>
      </c>
      <c r="B2" s="11"/>
      <c r="D2" s="14" t="n">
        <v>1.9835</v>
      </c>
      <c r="F2" s="118"/>
      <c r="G2" s="11"/>
      <c r="I2" s="11"/>
      <c r="J2" s="11"/>
      <c r="K2" s="359" t="s">
        <v>107</v>
      </c>
      <c r="L2" s="360"/>
      <c r="M2" s="63"/>
      <c r="N2" s="63"/>
      <c r="O2" s="63"/>
      <c r="P2" s="5"/>
      <c r="Q2" s="63"/>
      <c r="R2" s="63"/>
      <c r="S2" s="63"/>
      <c r="T2" s="5"/>
      <c r="U2" s="63"/>
      <c r="V2" s="63"/>
      <c r="W2" s="74"/>
      <c r="X2" s="8"/>
      <c r="Y2" s="8"/>
      <c r="Z2" s="77"/>
      <c r="AA2" s="63"/>
      <c r="AB2" s="63"/>
      <c r="AC2" s="63"/>
      <c r="AD2" s="74"/>
      <c r="AE2" s="11"/>
      <c r="AF2" s="13"/>
      <c r="AG2" s="11"/>
      <c r="AH2" s="11"/>
      <c r="AO2" s="358"/>
    </row>
    <row r="3" customFormat="false" ht="14.1" hidden="false" customHeight="true" outlineLevel="0" collapsed="false">
      <c r="A3" s="11"/>
      <c r="B3" s="11"/>
      <c r="D3" s="14"/>
      <c r="F3" s="118"/>
      <c r="G3" s="11"/>
      <c r="H3" s="361"/>
      <c r="I3" s="11"/>
      <c r="J3" s="11"/>
      <c r="K3" s="362"/>
      <c r="L3" s="360"/>
      <c r="M3" s="63"/>
      <c r="N3" s="63"/>
      <c r="O3" s="63"/>
      <c r="P3" s="5"/>
      <c r="Q3" s="63"/>
      <c r="R3" s="63"/>
      <c r="S3" s="63"/>
      <c r="T3" s="5"/>
      <c r="U3" s="63"/>
      <c r="V3" s="63"/>
      <c r="W3" s="363"/>
      <c r="X3" s="8"/>
      <c r="Y3" s="8"/>
      <c r="Z3" s="77"/>
      <c r="AA3" s="63"/>
      <c r="AB3" s="63"/>
      <c r="AC3" s="63"/>
      <c r="AD3" s="74"/>
      <c r="AE3" s="11"/>
      <c r="AF3" s="13"/>
      <c r="AG3" s="11"/>
      <c r="AH3" s="11"/>
      <c r="AN3" s="364"/>
      <c r="AO3" s="365"/>
      <c r="AP3" s="19"/>
    </row>
    <row r="4" s="1" customFormat="true" ht="14.1" hidden="false" customHeight="true" outlineLevel="0" collapsed="false">
      <c r="A4" s="30"/>
      <c r="B4" s="27"/>
      <c r="C4" s="28"/>
      <c r="D4" s="366" t="s">
        <v>3</v>
      </c>
      <c r="E4" s="28"/>
      <c r="F4" s="30"/>
      <c r="G4" s="367"/>
      <c r="H4" s="367"/>
      <c r="I4" s="367"/>
      <c r="J4" s="367"/>
      <c r="K4" s="367"/>
      <c r="L4" s="367"/>
      <c r="M4" s="367"/>
      <c r="N4" s="367"/>
      <c r="O4" s="367"/>
      <c r="P4" s="368"/>
      <c r="Q4" s="367"/>
      <c r="R4" s="367"/>
      <c r="S4" s="367"/>
      <c r="T4" s="368"/>
      <c r="U4" s="367"/>
      <c r="V4" s="367"/>
      <c r="W4" s="369" t="s">
        <v>4</v>
      </c>
      <c r="X4" s="370"/>
      <c r="Y4" s="370"/>
      <c r="Z4" s="371"/>
      <c r="AA4" s="367"/>
      <c r="AB4" s="367"/>
      <c r="AC4" s="367"/>
      <c r="AD4" s="28"/>
      <c r="AE4" s="367"/>
      <c r="AF4" s="372"/>
      <c r="AG4" s="367"/>
      <c r="AH4" s="367"/>
      <c r="AI4" s="368"/>
      <c r="AJ4" s="32"/>
      <c r="AK4" s="33" t="s">
        <v>5</v>
      </c>
      <c r="AL4" s="34"/>
      <c r="AM4" s="373"/>
      <c r="AN4" s="374"/>
      <c r="AO4" s="375" t="s">
        <v>6</v>
      </c>
      <c r="AP4" s="73"/>
      <c r="AQ4" s="36"/>
      <c r="AR4" s="376"/>
      <c r="AS4" s="376"/>
    </row>
    <row r="5" customFormat="false" ht="12.95" hidden="false" customHeight="true" outlineLevel="0" collapsed="false">
      <c r="A5" s="38" t="s">
        <v>7</v>
      </c>
      <c r="B5" s="39" t="s">
        <v>8</v>
      </c>
      <c r="C5" s="40" t="s">
        <v>8</v>
      </c>
      <c r="D5" s="41" t="s">
        <v>9</v>
      </c>
      <c r="E5" s="40" t="s">
        <v>10</v>
      </c>
      <c r="F5" s="42" t="s">
        <v>11</v>
      </c>
      <c r="G5" s="377" t="s">
        <v>12</v>
      </c>
      <c r="H5" s="377" t="s">
        <v>13</v>
      </c>
      <c r="I5" s="377" t="s">
        <v>14</v>
      </c>
      <c r="J5" s="377" t="s">
        <v>15</v>
      </c>
      <c r="K5" s="377" t="s">
        <v>16</v>
      </c>
      <c r="L5" s="38" t="s">
        <v>15</v>
      </c>
      <c r="M5" s="378" t="s">
        <v>17</v>
      </c>
      <c r="N5" s="378"/>
      <c r="O5" s="378"/>
      <c r="P5" s="378"/>
      <c r="Q5" s="378"/>
      <c r="R5" s="378"/>
      <c r="S5" s="378"/>
      <c r="T5" s="378"/>
      <c r="U5" s="38" t="s">
        <v>18</v>
      </c>
      <c r="V5" s="38" t="s">
        <v>19</v>
      </c>
      <c r="W5" s="38" t="s">
        <v>16</v>
      </c>
      <c r="X5" s="53" t="s">
        <v>20</v>
      </c>
      <c r="Y5" s="53" t="s">
        <v>21</v>
      </c>
      <c r="Z5" s="52" t="s">
        <v>20</v>
      </c>
      <c r="AA5" s="38" t="s">
        <v>22</v>
      </c>
      <c r="AB5" s="47" t="s">
        <v>23</v>
      </c>
      <c r="AC5" s="48"/>
      <c r="AD5" s="38" t="s">
        <v>24</v>
      </c>
      <c r="AE5" s="46" t="s">
        <v>25</v>
      </c>
      <c r="AF5" s="46" t="s">
        <v>26</v>
      </c>
      <c r="AG5" s="38" t="s">
        <v>14</v>
      </c>
      <c r="AH5" s="38" t="s">
        <v>15</v>
      </c>
      <c r="AI5" s="41" t="s">
        <v>16</v>
      </c>
      <c r="AJ5" s="49" t="s">
        <v>27</v>
      </c>
      <c r="AK5" s="50" t="s">
        <v>28</v>
      </c>
      <c r="AL5" s="51" t="s">
        <v>29</v>
      </c>
      <c r="AM5" s="46" t="s">
        <v>90</v>
      </c>
      <c r="AN5" s="52" t="s">
        <v>20</v>
      </c>
      <c r="AO5" s="53" t="s">
        <v>91</v>
      </c>
      <c r="AP5" s="43" t="s">
        <v>91</v>
      </c>
      <c r="AQ5" s="55" t="s">
        <v>31</v>
      </c>
      <c r="AR5" s="55" t="s">
        <v>32</v>
      </c>
      <c r="AS5" s="56" t="s">
        <v>33</v>
      </c>
    </row>
    <row r="6" customFormat="false" ht="12.95" hidden="false" customHeight="true" outlineLevel="0" collapsed="false">
      <c r="A6" s="57" t="s">
        <v>108</v>
      </c>
      <c r="B6" s="39" t="s">
        <v>35</v>
      </c>
      <c r="C6" s="40" t="s">
        <v>9</v>
      </c>
      <c r="D6" s="41" t="s">
        <v>36</v>
      </c>
      <c r="E6" s="40" t="s">
        <v>37</v>
      </c>
      <c r="F6" s="42" t="s">
        <v>38</v>
      </c>
      <c r="G6" s="377" t="s">
        <v>39</v>
      </c>
      <c r="H6" s="377" t="s">
        <v>40</v>
      </c>
      <c r="I6" s="377" t="s">
        <v>41</v>
      </c>
      <c r="J6" s="377" t="s">
        <v>41</v>
      </c>
      <c r="K6" s="377" t="s">
        <v>41</v>
      </c>
      <c r="L6" s="38" t="s">
        <v>42</v>
      </c>
      <c r="M6" s="58" t="s">
        <v>43</v>
      </c>
      <c r="N6" s="41" t="s">
        <v>44</v>
      </c>
      <c r="O6" s="41" t="s">
        <v>45</v>
      </c>
      <c r="P6" s="59" t="s">
        <v>46</v>
      </c>
      <c r="Q6" s="41" t="s">
        <v>47</v>
      </c>
      <c r="R6" s="41" t="s">
        <v>48</v>
      </c>
      <c r="S6" s="41" t="s">
        <v>49</v>
      </c>
      <c r="T6" s="60" t="s">
        <v>50</v>
      </c>
      <c r="U6" s="38" t="s">
        <v>51</v>
      </c>
      <c r="V6" s="38" t="s">
        <v>52</v>
      </c>
      <c r="W6" s="38" t="s">
        <v>20</v>
      </c>
      <c r="X6" s="53" t="s">
        <v>62</v>
      </c>
      <c r="Y6" s="53" t="s">
        <v>54</v>
      </c>
      <c r="Z6" s="52" t="s">
        <v>100</v>
      </c>
      <c r="AA6" s="38" t="s">
        <v>56</v>
      </c>
      <c r="AB6" s="58" t="s">
        <v>57</v>
      </c>
      <c r="AC6" s="61" t="s">
        <v>55</v>
      </c>
      <c r="AD6" s="38" t="s">
        <v>58</v>
      </c>
      <c r="AE6" s="46" t="s">
        <v>59</v>
      </c>
      <c r="AF6" s="46"/>
      <c r="AG6" s="38" t="s">
        <v>60</v>
      </c>
      <c r="AH6" s="38" t="s">
        <v>60</v>
      </c>
      <c r="AI6" s="41" t="s">
        <v>60</v>
      </c>
      <c r="AJ6" s="62"/>
      <c r="AK6" s="50" t="s">
        <v>61</v>
      </c>
      <c r="AL6" s="51" t="s">
        <v>61</v>
      </c>
      <c r="AM6" s="46" t="s">
        <v>62</v>
      </c>
      <c r="AN6" s="52" t="s">
        <v>63</v>
      </c>
      <c r="AO6" s="53" t="s">
        <v>64</v>
      </c>
      <c r="AP6" s="43" t="s">
        <v>64</v>
      </c>
      <c r="AQ6" s="55" t="s">
        <v>65</v>
      </c>
      <c r="AR6" s="55" t="s">
        <v>66</v>
      </c>
      <c r="AS6" s="56" t="s">
        <v>67</v>
      </c>
    </row>
    <row r="7" customFormat="false" ht="12.95" hidden="false" customHeight="true" outlineLevel="0" collapsed="false">
      <c r="A7" s="38"/>
      <c r="B7" s="39"/>
      <c r="C7" s="40"/>
      <c r="D7" s="41"/>
      <c r="E7" s="40" t="s">
        <v>68</v>
      </c>
      <c r="F7" s="42"/>
      <c r="G7" s="38"/>
      <c r="H7" s="38"/>
      <c r="I7" s="38"/>
      <c r="J7" s="38"/>
      <c r="K7" s="38"/>
      <c r="L7" s="38"/>
      <c r="M7" s="58"/>
      <c r="N7" s="41" t="s">
        <v>69</v>
      </c>
      <c r="O7" s="41" t="s">
        <v>70</v>
      </c>
      <c r="P7" s="59"/>
      <c r="Q7" s="41"/>
      <c r="R7" s="41"/>
      <c r="S7" s="41" t="s">
        <v>45</v>
      </c>
      <c r="T7" s="60" t="s">
        <v>26</v>
      </c>
      <c r="U7" s="38"/>
      <c r="V7" s="38"/>
      <c r="W7" s="38"/>
      <c r="X7" s="53"/>
      <c r="Y7" s="53"/>
      <c r="Z7" s="52"/>
      <c r="AA7" s="38"/>
      <c r="AB7" s="68"/>
      <c r="AC7" s="69"/>
      <c r="AD7" s="38"/>
      <c r="AE7" s="46"/>
      <c r="AF7" s="46"/>
      <c r="AG7" s="38"/>
      <c r="AH7" s="38"/>
      <c r="AI7" s="41"/>
      <c r="AJ7" s="62"/>
      <c r="AK7" s="50"/>
      <c r="AL7" s="51"/>
      <c r="AM7" s="46" t="s">
        <v>68</v>
      </c>
      <c r="AN7" s="52" t="s">
        <v>38</v>
      </c>
      <c r="AO7" s="53" t="s">
        <v>109</v>
      </c>
      <c r="AP7" s="43" t="s">
        <v>95</v>
      </c>
      <c r="AQ7" s="55" t="s">
        <v>74</v>
      </c>
      <c r="AR7" s="55" t="s">
        <v>75</v>
      </c>
      <c r="AS7" s="56" t="s">
        <v>57</v>
      </c>
    </row>
    <row r="8" customFormat="false" ht="12.95" hidden="false" customHeight="true" outlineLevel="0" collapsed="false">
      <c r="A8" s="38"/>
      <c r="B8" s="39"/>
      <c r="C8" s="40"/>
      <c r="D8" s="41"/>
      <c r="E8" s="40"/>
      <c r="F8" s="42"/>
      <c r="G8" s="38"/>
      <c r="H8" s="38"/>
      <c r="I8" s="38"/>
      <c r="J8" s="38"/>
      <c r="K8" s="38"/>
      <c r="L8" s="38"/>
      <c r="M8" s="58"/>
      <c r="N8" s="73" t="n">
        <v>1.03</v>
      </c>
      <c r="O8" s="73" t="n">
        <v>1.05</v>
      </c>
      <c r="P8" s="73" t="n">
        <v>1.02</v>
      </c>
      <c r="Q8" s="379" t="n">
        <v>1.02</v>
      </c>
      <c r="R8" s="73" t="n">
        <v>1.04</v>
      </c>
      <c r="S8" s="41" t="s">
        <v>55</v>
      </c>
      <c r="T8" s="60"/>
      <c r="U8" s="38"/>
      <c r="V8" s="38"/>
      <c r="W8" s="38"/>
      <c r="X8" s="53"/>
      <c r="Y8" s="53"/>
      <c r="Z8" s="53"/>
      <c r="AA8" s="46"/>
      <c r="AB8" s="68" t="n">
        <v>1.7</v>
      </c>
      <c r="AC8" s="69" t="n">
        <v>1.3</v>
      </c>
      <c r="AD8" s="38"/>
      <c r="AE8" s="85" t="n">
        <v>31798</v>
      </c>
      <c r="AF8" s="70"/>
      <c r="AG8" s="38"/>
      <c r="AH8" s="38"/>
      <c r="AI8" s="41"/>
      <c r="AJ8" s="62"/>
      <c r="AK8" s="50"/>
      <c r="AL8" s="51"/>
      <c r="AM8" s="46"/>
      <c r="AN8" s="52"/>
      <c r="AO8" s="53"/>
      <c r="AP8" s="43" t="s">
        <v>71</v>
      </c>
      <c r="AQ8" s="312"/>
    </row>
    <row r="9" customFormat="false" ht="12.95" hidden="false" customHeight="true" outlineLevel="0" collapsed="false">
      <c r="A9" s="13" t="s">
        <v>77</v>
      </c>
      <c r="B9" s="380"/>
      <c r="C9" s="83"/>
      <c r="D9" s="83"/>
      <c r="E9" s="83"/>
      <c r="F9" s="131"/>
      <c r="G9" s="85"/>
      <c r="H9" s="121"/>
      <c r="I9" s="85"/>
      <c r="J9" s="85"/>
      <c r="K9" s="85"/>
      <c r="L9" s="85"/>
      <c r="M9" s="86"/>
      <c r="N9" s="83"/>
      <c r="O9" s="83" t="n">
        <f aca="false">MAR!O47</f>
        <v>29.3685</v>
      </c>
      <c r="P9" s="324"/>
      <c r="Q9" s="83"/>
      <c r="R9" s="83"/>
      <c r="S9" s="83"/>
      <c r="T9" s="381"/>
      <c r="U9" s="85"/>
      <c r="V9" s="85"/>
      <c r="W9" s="85" t="n">
        <f aca="false">MAR!W44</f>
        <v>97.0379</v>
      </c>
      <c r="X9" s="382"/>
      <c r="Y9" s="382"/>
      <c r="Z9" s="91"/>
      <c r="AA9" s="85"/>
      <c r="AB9" s="86"/>
      <c r="AC9" s="87"/>
      <c r="AD9" s="85"/>
      <c r="AE9" s="85"/>
      <c r="AF9" s="70"/>
      <c r="AG9" s="85"/>
      <c r="AH9" s="85"/>
      <c r="AI9" s="83"/>
      <c r="AJ9" s="88"/>
      <c r="AK9" s="89"/>
      <c r="AL9" s="90"/>
      <c r="AM9" s="85"/>
      <c r="AN9" s="91"/>
      <c r="AO9" s="382"/>
      <c r="AP9" s="383"/>
      <c r="AQ9" s="92"/>
    </row>
    <row r="10" s="97" customFormat="true" ht="12.95" hidden="false" customHeight="true" outlineLevel="0" collapsed="false">
      <c r="A10" s="93" t="s">
        <v>78</v>
      </c>
      <c r="B10" s="384" t="n">
        <f aca="false">MAR!B42</f>
        <v>6903.96</v>
      </c>
      <c r="C10" s="83" t="n">
        <f aca="false">MAR!C42</f>
        <v>298419</v>
      </c>
      <c r="D10" s="83" t="n">
        <f aca="false">MAR!D51</f>
        <v>10465</v>
      </c>
      <c r="E10" s="83" t="n">
        <f aca="false">MAR!E51</f>
        <v>146419</v>
      </c>
      <c r="F10" s="131" t="n">
        <f aca="false">MAR!F50</f>
        <v>5313.83917317872</v>
      </c>
      <c r="G10" s="85" t="n">
        <f aca="false">MAR!G50</f>
        <v>16264</v>
      </c>
      <c r="H10" s="85" t="n">
        <f aca="false">MAR!H50</f>
        <v>2146.14</v>
      </c>
      <c r="I10" s="85" t="n">
        <f aca="false">MAR!I50</f>
        <v>18410.14</v>
      </c>
      <c r="J10" s="85" t="n">
        <f aca="false">MAR!J50</f>
        <v>6998.12573985379</v>
      </c>
      <c r="K10" s="85" t="n">
        <f aca="false">MAR!K50</f>
        <v>25408.2657398538</v>
      </c>
      <c r="L10" s="85" t="n">
        <f aca="false">MAR!L50</f>
        <v>4976.25917317872</v>
      </c>
      <c r="M10" s="86" t="n">
        <f aca="false">MAR!M50</f>
        <v>912.8</v>
      </c>
      <c r="N10" s="83" t="n">
        <f aca="false">MAR!N50</f>
        <v>0</v>
      </c>
      <c r="O10" s="83" t="n">
        <f aca="false">MAR!O50</f>
        <v>29.3685</v>
      </c>
      <c r="P10" s="324"/>
      <c r="Q10" s="83" t="n">
        <f aca="false">MAR!Q50</f>
        <v>227.2866</v>
      </c>
      <c r="R10" s="83" t="n">
        <f aca="false">MAR!R50</f>
        <v>464.243</v>
      </c>
      <c r="S10" s="83" t="n">
        <f aca="false">MAR!S50</f>
        <v>4.19</v>
      </c>
      <c r="T10" s="381" t="n">
        <f aca="false">MAR!T50</f>
        <v>-94.5288</v>
      </c>
      <c r="U10" s="85" t="n">
        <f aca="false">MAR!U50</f>
        <v>6064.96</v>
      </c>
      <c r="V10" s="85" t="n">
        <f aca="false">MAR!V50</f>
        <v>84.8</v>
      </c>
      <c r="W10" s="85" t="n">
        <f aca="false">MAR!W50</f>
        <v>6002.3379</v>
      </c>
      <c r="X10" s="382"/>
      <c r="Y10" s="382"/>
      <c r="Z10" s="91"/>
      <c r="AA10" s="85" t="n">
        <f aca="false">MAR!AA50</f>
        <v>0</v>
      </c>
      <c r="AB10" s="85" t="n">
        <f aca="false">MAR!AB50</f>
        <v>0</v>
      </c>
      <c r="AC10" s="85" t="n">
        <f aca="false">MAR!AC50</f>
        <v>0</v>
      </c>
      <c r="AD10" s="85" t="n">
        <f aca="false">MAR!AD50</f>
        <v>11010</v>
      </c>
      <c r="AE10" s="85" t="n">
        <f aca="false">AE8/D2</f>
        <v>16031.2578774893</v>
      </c>
      <c r="AF10" s="85" t="n">
        <f aca="false">MAR!AF50</f>
        <v>6071</v>
      </c>
      <c r="AG10" s="85" t="n">
        <f aca="false">MAR!AG50</f>
        <v>18072.56</v>
      </c>
      <c r="AH10" s="85" t="n">
        <f aca="false">MAR!AH50</f>
        <v>2021.86656667507</v>
      </c>
      <c r="AI10" s="83" t="n">
        <f aca="false">MAR!AI50</f>
        <v>20094.4265666751</v>
      </c>
      <c r="AJ10" s="88" t="n">
        <f aca="false">MAR!AJ50</f>
        <v>9.48</v>
      </c>
      <c r="AK10" s="89"/>
      <c r="AL10" s="90"/>
      <c r="AM10" s="85" t="n">
        <f aca="false">MAR!AM51</f>
        <v>11713.16255</v>
      </c>
      <c r="AN10" s="91" t="n">
        <f aca="false">MAR!AN50</f>
        <v>0</v>
      </c>
      <c r="AO10" s="382"/>
      <c r="AP10" s="383"/>
      <c r="AQ10" s="85"/>
      <c r="AR10" s="2"/>
      <c r="AS10" s="2"/>
    </row>
    <row r="11" customFormat="false" ht="3" hidden="false" customHeight="true" outlineLevel="0" collapsed="false">
      <c r="A11" s="98"/>
      <c r="B11" s="385"/>
      <c r="C11" s="106"/>
      <c r="D11" s="104"/>
      <c r="E11" s="106"/>
      <c r="F11" s="386"/>
      <c r="G11" s="104"/>
      <c r="H11" s="104"/>
      <c r="I11" s="104"/>
      <c r="J11" s="104"/>
      <c r="K11" s="104"/>
      <c r="L11" s="104"/>
      <c r="M11" s="107"/>
      <c r="N11" s="104"/>
      <c r="O11" s="104"/>
      <c r="P11" s="387"/>
      <c r="Q11" s="104"/>
      <c r="R11" s="104"/>
      <c r="S11" s="104"/>
      <c r="T11" s="388"/>
      <c r="U11" s="104"/>
      <c r="V11" s="104"/>
      <c r="W11" s="104"/>
      <c r="X11" s="110"/>
      <c r="Y11" s="110"/>
      <c r="Z11" s="112"/>
      <c r="AA11" s="104"/>
      <c r="AB11" s="107"/>
      <c r="AC11" s="108"/>
      <c r="AD11" s="104"/>
      <c r="AE11" s="106"/>
      <c r="AF11" s="106"/>
      <c r="AG11" s="104"/>
      <c r="AH11" s="104"/>
      <c r="AI11" s="104"/>
      <c r="AJ11" s="109"/>
      <c r="AK11" s="110"/>
      <c r="AL11" s="111"/>
      <c r="AM11" s="106"/>
      <c r="AN11" s="112"/>
      <c r="AO11" s="110"/>
      <c r="AP11" s="387"/>
      <c r="AQ11" s="387"/>
      <c r="AR11" s="387"/>
      <c r="AS11" s="387"/>
    </row>
    <row r="12" customFormat="false" ht="12.95" hidden="false" customHeight="true" outlineLevel="0" collapsed="false">
      <c r="A12" s="8" t="n">
        <v>1</v>
      </c>
      <c r="B12" s="384" t="n">
        <v>6904.16</v>
      </c>
      <c r="C12" s="83" t="n">
        <v>299183</v>
      </c>
      <c r="D12" s="89" t="n">
        <f aca="false">C12-C10</f>
        <v>764</v>
      </c>
      <c r="E12" s="83" t="n">
        <f aca="false">C12-152000</f>
        <v>147183</v>
      </c>
      <c r="F12" s="389" t="n">
        <f aca="false">D12/$D$2</f>
        <v>385.177716158306</v>
      </c>
      <c r="G12" s="121" t="n">
        <v>487</v>
      </c>
      <c r="H12" s="121" t="n">
        <v>148</v>
      </c>
      <c r="I12" s="121" t="n">
        <f aca="false">G12+H12</f>
        <v>635</v>
      </c>
      <c r="J12" s="390" t="n">
        <f aca="false">IF(L12&gt;0,L12,0)</f>
        <v>662.177716158306</v>
      </c>
      <c r="K12" s="121" t="n">
        <f aca="false">I12+J12</f>
        <v>1297.17771615831</v>
      </c>
      <c r="L12" s="121" t="n">
        <f aca="false">F12-(I12-AG12)</f>
        <v>662.177716158306</v>
      </c>
      <c r="M12" s="123" t="n">
        <v>46</v>
      </c>
      <c r="N12" s="215" t="n">
        <f aca="false">1.8299*1.03</f>
        <v>1.884797</v>
      </c>
      <c r="O12" s="391" t="n">
        <f aca="false">(9+9.5)*1.05</f>
        <v>19.425</v>
      </c>
      <c r="P12" s="324" t="n">
        <v>0</v>
      </c>
      <c r="Q12" s="352" t="n">
        <f aca="false">1.52*1.02</f>
        <v>1.5504</v>
      </c>
      <c r="R12" s="352" t="n">
        <v>3.36</v>
      </c>
      <c r="S12" s="119" t="n">
        <v>0</v>
      </c>
      <c r="T12" s="381" t="n">
        <v>0</v>
      </c>
      <c r="U12" s="121" t="n">
        <v>43</v>
      </c>
      <c r="V12" s="121" t="n">
        <v>0</v>
      </c>
      <c r="W12" s="122" t="n">
        <f aca="false">M12-N12-O12-P12-Q12-R12-S12-T12+U12+V12</f>
        <v>62.779803</v>
      </c>
      <c r="X12" s="95" t="n">
        <f aca="false">X9+AO12</f>
        <v>0</v>
      </c>
      <c r="Y12" s="382" t="n">
        <f aca="false">1714.14</f>
        <v>1714.14</v>
      </c>
      <c r="Z12" s="91"/>
      <c r="AA12" s="121" t="n">
        <v>0</v>
      </c>
      <c r="AB12" s="123" t="n">
        <v>1.7</v>
      </c>
      <c r="AC12" s="124" t="n">
        <v>1.3</v>
      </c>
      <c r="AD12" s="392" t="n">
        <v>823</v>
      </c>
      <c r="AE12" s="393" t="n">
        <f aca="false">AE10</f>
        <v>16031.2578774893</v>
      </c>
      <c r="AF12" s="394" t="n">
        <f aca="false">AD12</f>
        <v>823</v>
      </c>
      <c r="AG12" s="121" t="n">
        <f aca="false">N12+O12+P12+Q12+R12+S12+T12+W12+AA12+AD12</f>
        <v>912</v>
      </c>
      <c r="AH12" s="121" t="n">
        <f aca="false">IF(L12&lt;0,L12*-1,0)</f>
        <v>0</v>
      </c>
      <c r="AI12" s="391" t="n">
        <f aca="false">AG12+AH12</f>
        <v>912</v>
      </c>
      <c r="AJ12" s="88" t="n">
        <v>0</v>
      </c>
      <c r="AK12" s="89" t="n">
        <v>55</v>
      </c>
      <c r="AL12" s="90" t="n">
        <v>22</v>
      </c>
      <c r="AM12" s="95" t="n">
        <f aca="false">AM10+(U12*1.9835)</f>
        <v>11798.45305</v>
      </c>
      <c r="AN12" s="91"/>
      <c r="AO12" s="382" t="n">
        <v>0</v>
      </c>
      <c r="AP12" s="383" t="n">
        <f aca="false">29.8*(AO12*1.9835+Y12*1.9835)/E12</f>
        <v>0.688394049326349</v>
      </c>
      <c r="AQ12" s="92"/>
      <c r="AR12" s="11"/>
      <c r="AS12" s="1"/>
    </row>
    <row r="13" customFormat="false" ht="12.95" hidden="false" customHeight="true" outlineLevel="0" collapsed="false">
      <c r="A13" s="8" t="n">
        <f aca="false">A12+1</f>
        <v>2</v>
      </c>
      <c r="B13" s="384" t="n">
        <v>6904.45</v>
      </c>
      <c r="C13" s="83" t="n">
        <v>300292</v>
      </c>
      <c r="D13" s="89" t="n">
        <f aca="false">C13-C12</f>
        <v>1109</v>
      </c>
      <c r="E13" s="83" t="n">
        <f aca="false">C13-152000</f>
        <v>148292</v>
      </c>
      <c r="F13" s="389" t="n">
        <f aca="false">D13/$D$2</f>
        <v>559.112679606756</v>
      </c>
      <c r="G13" s="121" t="n">
        <v>503</v>
      </c>
      <c r="H13" s="121" t="n">
        <v>152</v>
      </c>
      <c r="I13" s="121" t="n">
        <f aca="false">G13+H13</f>
        <v>655</v>
      </c>
      <c r="J13" s="390" t="n">
        <f aca="false">IF(L13&gt;0,L13,0)</f>
        <v>839.112679606756</v>
      </c>
      <c r="K13" s="121" t="n">
        <f aca="false">I13+J13</f>
        <v>1494.11267960676</v>
      </c>
      <c r="L13" s="121" t="n">
        <f aca="false">F13-(I13-AG13)</f>
        <v>839.112679606756</v>
      </c>
      <c r="M13" s="123" t="n">
        <v>43</v>
      </c>
      <c r="N13" s="215" t="n">
        <f aca="false">1.8299*1.03</f>
        <v>1.884797</v>
      </c>
      <c r="O13" s="391" t="n">
        <f aca="false">(19+21)*1.05</f>
        <v>42</v>
      </c>
      <c r="P13" s="324" t="n">
        <v>0</v>
      </c>
      <c r="Q13" s="352" t="n">
        <f aca="false">1.52*1.02</f>
        <v>1.5504</v>
      </c>
      <c r="R13" s="352" t="n">
        <v>2.87</v>
      </c>
      <c r="S13" s="119" t="n">
        <v>0</v>
      </c>
      <c r="T13" s="381" t="n">
        <v>0</v>
      </c>
      <c r="U13" s="121" t="n">
        <v>75</v>
      </c>
      <c r="V13" s="121" t="n">
        <v>0</v>
      </c>
      <c r="W13" s="122" t="n">
        <f aca="false">M13-N13-O13-P13-Q13-R13-S13-T13+U13+V13</f>
        <v>69.694803</v>
      </c>
      <c r="X13" s="95" t="n">
        <f aca="false">X12+AO13</f>
        <v>0</v>
      </c>
      <c r="Y13" s="382" t="n">
        <f aca="false">Y12-(AP12/1.9835)</f>
        <v>1713.79293972809</v>
      </c>
      <c r="Z13" s="91"/>
      <c r="AA13" s="121" t="n">
        <v>0</v>
      </c>
      <c r="AB13" s="123" t="n">
        <v>1.7</v>
      </c>
      <c r="AC13" s="124" t="n">
        <v>1.3</v>
      </c>
      <c r="AD13" s="392" t="n">
        <v>817</v>
      </c>
      <c r="AE13" s="393" t="n">
        <f aca="false">AE12</f>
        <v>16031.2578774893</v>
      </c>
      <c r="AF13" s="394" t="n">
        <f aca="false">AD13</f>
        <v>817</v>
      </c>
      <c r="AG13" s="121" t="n">
        <f aca="false">N13+O13+P13+Q13+R13+S13+T13+W13+AA13+AD13</f>
        <v>935</v>
      </c>
      <c r="AH13" s="121" t="n">
        <f aca="false">IF(L13&lt;0,L13*-1,0)</f>
        <v>0</v>
      </c>
      <c r="AI13" s="391" t="n">
        <f aca="false">AG13+AH13</f>
        <v>935</v>
      </c>
      <c r="AJ13" s="88" t="n">
        <v>0</v>
      </c>
      <c r="AK13" s="89" t="n">
        <v>60</v>
      </c>
      <c r="AL13" s="90" t="n">
        <v>28</v>
      </c>
      <c r="AM13" s="95" t="n">
        <f aca="false">AM12+(U13*1.9835)</f>
        <v>11947.21555</v>
      </c>
      <c r="AN13" s="91"/>
      <c r="AO13" s="382" t="n">
        <v>0</v>
      </c>
      <c r="AP13" s="383" t="n">
        <f aca="false">29.8*(X12*1.9835+AO13*1.9835+Y12*1.9835)/E13</f>
        <v>0.683245902422248</v>
      </c>
      <c r="AQ13" s="92"/>
      <c r="AR13" s="11"/>
      <c r="AS13" s="1"/>
    </row>
    <row r="14" customFormat="false" ht="12.95" hidden="false" customHeight="true" outlineLevel="0" collapsed="false">
      <c r="A14" s="8" t="n">
        <f aca="false">A13+1</f>
        <v>3</v>
      </c>
      <c r="B14" s="384" t="n">
        <v>6904.84</v>
      </c>
      <c r="C14" s="83" t="n">
        <v>301784</v>
      </c>
      <c r="D14" s="89" t="n">
        <f aca="false">C14-C13</f>
        <v>1492</v>
      </c>
      <c r="E14" s="83" t="n">
        <f aca="false">C14-152000</f>
        <v>149784</v>
      </c>
      <c r="F14" s="389" t="n">
        <f aca="false">D14/$D$2</f>
        <v>752.205697000252</v>
      </c>
      <c r="G14" s="121" t="n">
        <v>610</v>
      </c>
      <c r="H14" s="121" t="n">
        <v>214</v>
      </c>
      <c r="I14" s="121" t="n">
        <f aca="false">G14+H14</f>
        <v>824</v>
      </c>
      <c r="J14" s="390" t="n">
        <f aca="false">IF(L14&gt;0,L14,0)</f>
        <v>874.205697000252</v>
      </c>
      <c r="K14" s="121" t="n">
        <f aca="false">I14+J14</f>
        <v>1698.20569700025</v>
      </c>
      <c r="L14" s="121" t="n">
        <f aca="false">F14-(I14-AG14)</f>
        <v>874.205697000252</v>
      </c>
      <c r="M14" s="123" t="n">
        <v>46</v>
      </c>
      <c r="N14" s="215" t="n">
        <f aca="false">1.8299*1.03</f>
        <v>1.884797</v>
      </c>
      <c r="O14" s="391" t="n">
        <f aca="false">(16+17)*1.05</f>
        <v>34.65</v>
      </c>
      <c r="P14" s="324" t="n">
        <v>0</v>
      </c>
      <c r="Q14" s="352" t="n">
        <f aca="false">1.52*1.02</f>
        <v>1.5504</v>
      </c>
      <c r="R14" s="352" t="n">
        <v>3.02</v>
      </c>
      <c r="S14" s="119" t="n">
        <v>0</v>
      </c>
      <c r="T14" s="381" t="n">
        <v>0</v>
      </c>
      <c r="U14" s="121" t="n">
        <v>75</v>
      </c>
      <c r="V14" s="121" t="n">
        <v>0</v>
      </c>
      <c r="W14" s="122" t="n">
        <f aca="false">M14-N14-O14-P14-Q14-R14-S14-T14+U14+V14</f>
        <v>79.894803</v>
      </c>
      <c r="X14" s="95" t="n">
        <f aca="false">X13+AO14</f>
        <v>0</v>
      </c>
      <c r="Y14" s="382" t="n">
        <f aca="false">Y13-(AP13/1.9835)</f>
        <v>1713.4484749424</v>
      </c>
      <c r="Z14" s="91"/>
      <c r="AA14" s="121" t="n">
        <v>0</v>
      </c>
      <c r="AB14" s="123" t="n">
        <v>1.7</v>
      </c>
      <c r="AC14" s="124" t="n">
        <v>1.3</v>
      </c>
      <c r="AD14" s="392" t="n">
        <v>825</v>
      </c>
      <c r="AE14" s="393" t="n">
        <f aca="false">AE13</f>
        <v>16031.2578774893</v>
      </c>
      <c r="AF14" s="394" t="n">
        <f aca="false">AD14</f>
        <v>825</v>
      </c>
      <c r="AG14" s="121" t="n">
        <f aca="false">N14+O14+P14+Q14+R14+S14+T14+W14+AA14+AD14</f>
        <v>946</v>
      </c>
      <c r="AH14" s="121" t="n">
        <f aca="false">IF(L14&lt;0,L14*-1,0)</f>
        <v>0</v>
      </c>
      <c r="AI14" s="391" t="n">
        <f aca="false">AG14+AH14</f>
        <v>946</v>
      </c>
      <c r="AJ14" s="88" t="n">
        <v>0</v>
      </c>
      <c r="AK14" s="89" t="n">
        <v>57</v>
      </c>
      <c r="AL14" s="90" t="n">
        <v>34</v>
      </c>
      <c r="AM14" s="95" t="n">
        <f aca="false">AM13+(U14*1.9835)</f>
        <v>12095.97805</v>
      </c>
      <c r="AN14" s="91"/>
      <c r="AO14" s="382" t="n">
        <v>0</v>
      </c>
      <c r="AP14" s="383" t="n">
        <f aca="false">29.8*(X13*1.9835+AO14*1.9835+Y13*1.9835)/E14</f>
        <v>0.676303124628332</v>
      </c>
      <c r="AQ14" s="92"/>
      <c r="AR14" s="11"/>
      <c r="AS14" s="1"/>
    </row>
    <row r="15" customFormat="false" ht="12.95" hidden="false" customHeight="true" outlineLevel="0" collapsed="false">
      <c r="A15" s="8" t="n">
        <f aca="false">A14+1</f>
        <v>4</v>
      </c>
      <c r="B15" s="384" t="n">
        <v>6905.24</v>
      </c>
      <c r="C15" s="83" t="n">
        <v>303321</v>
      </c>
      <c r="D15" s="89" t="n">
        <f aca="false">C15-C14</f>
        <v>1537</v>
      </c>
      <c r="E15" s="83" t="n">
        <f aca="false">C15-152000</f>
        <v>151321</v>
      </c>
      <c r="F15" s="389" t="n">
        <f aca="false">D15/$D$2</f>
        <v>774.892866145702</v>
      </c>
      <c r="G15" s="121" t="n">
        <v>588</v>
      </c>
      <c r="H15" s="121" t="n">
        <v>197</v>
      </c>
      <c r="I15" s="121" t="n">
        <f aca="false">G15+H15</f>
        <v>785</v>
      </c>
      <c r="J15" s="390" t="n">
        <f aca="false">IF(L15&gt;0,L15,0)</f>
        <v>939.892866145702</v>
      </c>
      <c r="K15" s="121" t="n">
        <f aca="false">I15+J15</f>
        <v>1724.8928661457</v>
      </c>
      <c r="L15" s="121" t="n">
        <f aca="false">F15-(I15-AG15)</f>
        <v>939.892866145702</v>
      </c>
      <c r="M15" s="123" t="n">
        <v>48</v>
      </c>
      <c r="N15" s="215" t="n">
        <f aca="false">1.8299*1.03</f>
        <v>1.884797</v>
      </c>
      <c r="O15" s="391" t="n">
        <f aca="false">(20+19)*1.05</f>
        <v>40.95</v>
      </c>
      <c r="P15" s="324" t="n">
        <v>0</v>
      </c>
      <c r="Q15" s="352" t="n">
        <f aca="false">1.52*1.02</f>
        <v>1.5504</v>
      </c>
      <c r="R15" s="352" t="n">
        <v>3.2</v>
      </c>
      <c r="S15" s="119" t="n">
        <v>0</v>
      </c>
      <c r="T15" s="381" t="n">
        <v>0</v>
      </c>
      <c r="U15" s="121" t="n">
        <v>76</v>
      </c>
      <c r="V15" s="121" t="n">
        <v>0</v>
      </c>
      <c r="W15" s="122" t="n">
        <f aca="false">M15-N15-O15-P15-Q15-R15-S15-T15+U15+V15</f>
        <v>76.414803</v>
      </c>
      <c r="X15" s="95" t="n">
        <f aca="false">X14+AO15</f>
        <v>0</v>
      </c>
      <c r="Y15" s="382" t="n">
        <f aca="false">Y14-(AP14/1.9835)</f>
        <v>1713.1075104228</v>
      </c>
      <c r="Z15" s="91"/>
      <c r="AA15" s="121" t="n">
        <v>0</v>
      </c>
      <c r="AB15" s="123" t="n">
        <v>1.7</v>
      </c>
      <c r="AC15" s="124" t="n">
        <v>1.3</v>
      </c>
      <c r="AD15" s="392" t="n">
        <v>826</v>
      </c>
      <c r="AE15" s="393" t="n">
        <f aca="false">AE14</f>
        <v>16031.2578774893</v>
      </c>
      <c r="AF15" s="394" t="n">
        <f aca="false">AD15</f>
        <v>826</v>
      </c>
      <c r="AG15" s="121" t="n">
        <f aca="false">N15+O15+P15+Q15+R15+S15+T15+W15+AA15+AD15</f>
        <v>950</v>
      </c>
      <c r="AH15" s="121" t="n">
        <f aca="false">IF(L15&lt;0,L15*-1,0)</f>
        <v>0</v>
      </c>
      <c r="AI15" s="391" t="n">
        <f aca="false">AG15+AH15</f>
        <v>950</v>
      </c>
      <c r="AJ15" s="88" t="n">
        <v>0</v>
      </c>
      <c r="AK15" s="89" t="n">
        <v>58</v>
      </c>
      <c r="AL15" s="90" t="n">
        <v>24</v>
      </c>
      <c r="AM15" s="95" t="n">
        <f aca="false">AM14+(U15*1.9835)</f>
        <v>12246.72405</v>
      </c>
      <c r="AN15" s="91"/>
      <c r="AO15" s="382" t="n">
        <v>0</v>
      </c>
      <c r="AP15" s="383" t="n">
        <f aca="false">29.8*(X14*1.9835+AO15*1.9835+Y14*1.9835)/E15</f>
        <v>0.669299214857408</v>
      </c>
      <c r="AQ15" s="92"/>
      <c r="AR15" s="11"/>
      <c r="AS15" s="1"/>
    </row>
    <row r="16" customFormat="false" ht="12.95" hidden="false" customHeight="true" outlineLevel="0" collapsed="false">
      <c r="A16" s="8" t="n">
        <f aca="false">A15+1</f>
        <v>5</v>
      </c>
      <c r="B16" s="384" t="n">
        <v>6905.59</v>
      </c>
      <c r="C16" s="83" t="n">
        <v>304670</v>
      </c>
      <c r="D16" s="89" t="n">
        <f aca="false">C16-C15</f>
        <v>1349</v>
      </c>
      <c r="E16" s="83" t="n">
        <f aca="false">C16-152000</f>
        <v>152670</v>
      </c>
      <c r="F16" s="389" t="n">
        <f aca="false">D16/$D$2</f>
        <v>680.110915049156</v>
      </c>
      <c r="G16" s="121" t="n">
        <v>680</v>
      </c>
      <c r="H16" s="121" t="n">
        <v>225</v>
      </c>
      <c r="I16" s="121" t="n">
        <f aca="false">G16+H16</f>
        <v>905</v>
      </c>
      <c r="J16" s="390" t="n">
        <f aca="false">IF(L16&gt;0,L16,0)</f>
        <v>725.110915049156</v>
      </c>
      <c r="K16" s="121" t="n">
        <f aca="false">I16+J16</f>
        <v>1630.11091504916</v>
      </c>
      <c r="L16" s="121" t="n">
        <f aca="false">F16-(I16-AG16)</f>
        <v>725.110915049156</v>
      </c>
      <c r="M16" s="123" t="n">
        <v>47</v>
      </c>
      <c r="N16" s="215" t="n">
        <f aca="false">1.8299*1.03</f>
        <v>1.884797</v>
      </c>
      <c r="O16" s="391" t="n">
        <f aca="false">(21+24)*1.05</f>
        <v>47.25</v>
      </c>
      <c r="P16" s="324" t="n">
        <v>0</v>
      </c>
      <c r="Q16" s="352" t="n">
        <f aca="false">1.52*1.02</f>
        <v>1.5504</v>
      </c>
      <c r="R16" s="352" t="n">
        <v>3.42</v>
      </c>
      <c r="S16" s="119" t="n">
        <v>0</v>
      </c>
      <c r="T16" s="381" t="n">
        <v>0</v>
      </c>
      <c r="U16" s="121" t="n">
        <v>76</v>
      </c>
      <c r="V16" s="121" t="n">
        <v>0</v>
      </c>
      <c r="W16" s="122" t="n">
        <f aca="false">M16-N16-O16-P16-Q16-R16-S16-T16+U16+V16</f>
        <v>68.894803</v>
      </c>
      <c r="X16" s="95" t="n">
        <f aca="false">X15+AO16</f>
        <v>0</v>
      </c>
      <c r="Y16" s="382" t="n">
        <f aca="false">Y15-(AP15/1.9835)</f>
        <v>1712.77007698955</v>
      </c>
      <c r="Z16" s="91"/>
      <c r="AA16" s="121" t="n">
        <v>0</v>
      </c>
      <c r="AB16" s="123" t="n">
        <v>1.7</v>
      </c>
      <c r="AC16" s="124" t="n">
        <v>1.3</v>
      </c>
      <c r="AD16" s="392" t="n">
        <v>827</v>
      </c>
      <c r="AE16" s="393" t="n">
        <f aca="false">AE15</f>
        <v>16031.2578774893</v>
      </c>
      <c r="AF16" s="394" t="n">
        <f aca="false">AD16</f>
        <v>827</v>
      </c>
      <c r="AG16" s="121" t="n">
        <f aca="false">N16+O16+P16+Q16+R16+S16+T16+W16+AA16+AD16</f>
        <v>950</v>
      </c>
      <c r="AH16" s="121" t="n">
        <f aca="false">IF(L16&lt;0,L16*-1,0)</f>
        <v>0</v>
      </c>
      <c r="AI16" s="391" t="n">
        <f aca="false">AG16+AH16</f>
        <v>950</v>
      </c>
      <c r="AJ16" s="88" t="n">
        <v>0</v>
      </c>
      <c r="AK16" s="89" t="n">
        <v>60</v>
      </c>
      <c r="AL16" s="90" t="n">
        <v>33</v>
      </c>
      <c r="AM16" s="95" t="n">
        <f aca="false">AM15+(U16*1.9835)</f>
        <v>12397.47005</v>
      </c>
      <c r="AN16" s="91"/>
      <c r="AO16" s="382" t="n">
        <v>0</v>
      </c>
      <c r="AP16" s="383" t="n">
        <f aca="false">29.8*(X15*1.9835+AO16*1.9835+Y15*1.9835)/E16</f>
        <v>0.66325324332432</v>
      </c>
      <c r="AQ16" s="92"/>
      <c r="AR16" s="11"/>
      <c r="AS16" s="1"/>
    </row>
    <row r="17" customFormat="false" ht="12.95" hidden="false" customHeight="true" outlineLevel="0" collapsed="false">
      <c r="A17" s="8" t="n">
        <f aca="false">A16+1</f>
        <v>6</v>
      </c>
      <c r="B17" s="384" t="n">
        <v>6905.89</v>
      </c>
      <c r="C17" s="83" t="n">
        <v>305827</v>
      </c>
      <c r="D17" s="89" t="n">
        <f aca="false">C17-C16</f>
        <v>1157</v>
      </c>
      <c r="E17" s="83" t="n">
        <f aca="false">C17-152000</f>
        <v>153827</v>
      </c>
      <c r="F17" s="389" t="n">
        <f aca="false">D17/$D$2</f>
        <v>583.312326695236</v>
      </c>
      <c r="G17" s="121" t="n">
        <v>582</v>
      </c>
      <c r="H17" s="121" t="n">
        <v>160</v>
      </c>
      <c r="I17" s="121" t="n">
        <f aca="false">G17+H17</f>
        <v>742</v>
      </c>
      <c r="J17" s="390" t="n">
        <f aca="false">IF(L17&gt;0,L17,0)</f>
        <v>802.312326695236</v>
      </c>
      <c r="K17" s="121" t="n">
        <f aca="false">I17+J17</f>
        <v>1544.31232669524</v>
      </c>
      <c r="L17" s="121" t="n">
        <f aca="false">F17-(I17-AG17)</f>
        <v>802.312326695236</v>
      </c>
      <c r="M17" s="123" t="n">
        <v>57</v>
      </c>
      <c r="N17" s="215" t="n">
        <f aca="false">1.8299*1.03</f>
        <v>1.884797</v>
      </c>
      <c r="O17" s="391" t="n">
        <f aca="false">(21+21)*1.05</f>
        <v>44.1</v>
      </c>
      <c r="P17" s="324" t="n">
        <v>0</v>
      </c>
      <c r="Q17" s="352" t="n">
        <f aca="false">1.52*1.02</f>
        <v>1.5504</v>
      </c>
      <c r="R17" s="352" t="n">
        <v>4.05</v>
      </c>
      <c r="S17" s="119" t="n">
        <v>0</v>
      </c>
      <c r="T17" s="381" t="n">
        <v>0</v>
      </c>
      <c r="U17" s="121" t="n">
        <v>76</v>
      </c>
      <c r="V17" s="121" t="n">
        <v>0</v>
      </c>
      <c r="W17" s="122" t="n">
        <f aca="false">M17-N17-O17-P17-Q17-R17-S17-T17+U17+V17</f>
        <v>81.414803</v>
      </c>
      <c r="X17" s="95" t="n">
        <f aca="false">X16+AO17</f>
        <v>0</v>
      </c>
      <c r="Y17" s="382" t="n">
        <f aca="false">Y16-(AP16/1.9835)</f>
        <v>1712.43569168916</v>
      </c>
      <c r="Z17" s="91"/>
      <c r="AA17" s="121" t="n">
        <v>0</v>
      </c>
      <c r="AB17" s="123" t="n">
        <v>1.7</v>
      </c>
      <c r="AC17" s="124" t="n">
        <v>1.3</v>
      </c>
      <c r="AD17" s="392" t="n">
        <v>828</v>
      </c>
      <c r="AE17" s="393" t="n">
        <f aca="false">AE16</f>
        <v>16031.2578774893</v>
      </c>
      <c r="AF17" s="394" t="n">
        <f aca="false">AD17</f>
        <v>828</v>
      </c>
      <c r="AG17" s="121" t="n">
        <f aca="false">N17+O17+P17+Q17+R17+S17+T17+W17+AA17+AD17</f>
        <v>961</v>
      </c>
      <c r="AH17" s="121" t="n">
        <f aca="false">IF(L17&lt;0,L17*-1,0)</f>
        <v>0</v>
      </c>
      <c r="AI17" s="391" t="n">
        <f aca="false">AG17+AH17</f>
        <v>961</v>
      </c>
      <c r="AJ17" s="88" t="n">
        <v>0</v>
      </c>
      <c r="AK17" s="89" t="n">
        <v>61</v>
      </c>
      <c r="AL17" s="90" t="n">
        <v>29</v>
      </c>
      <c r="AM17" s="95" t="n">
        <f aca="false">AM16+(U17*1.9835)</f>
        <v>12548.21605</v>
      </c>
      <c r="AN17" s="91"/>
      <c r="AO17" s="382" t="n">
        <v>0</v>
      </c>
      <c r="AP17" s="383" t="n">
        <f aca="false">29.8*(X16*1.9835+AO17*1.9835+Y16*1.9835)/E17</f>
        <v>0.658134966824558</v>
      </c>
      <c r="AQ17" s="92"/>
      <c r="AR17" s="11"/>
      <c r="AS17" s="1"/>
    </row>
    <row r="18" customFormat="false" ht="12.95" hidden="false" customHeight="true" outlineLevel="0" collapsed="false">
      <c r="A18" s="8" t="n">
        <f aca="false">A17+1</f>
        <v>7</v>
      </c>
      <c r="B18" s="384" t="n">
        <v>6906.21</v>
      </c>
      <c r="C18" s="83" t="n">
        <v>307067</v>
      </c>
      <c r="D18" s="89" t="n">
        <f aca="false">C18-C17</f>
        <v>1240</v>
      </c>
      <c r="E18" s="83" t="n">
        <f aca="false">C18-152000</f>
        <v>155067</v>
      </c>
      <c r="F18" s="389" t="n">
        <f aca="false">D18/$D$2</f>
        <v>625.157549785732</v>
      </c>
      <c r="G18" s="121" t="n">
        <v>614</v>
      </c>
      <c r="H18" s="121" t="n">
        <v>185</v>
      </c>
      <c r="I18" s="121" t="n">
        <f aca="false">G18+H18</f>
        <v>799</v>
      </c>
      <c r="J18" s="390" t="n">
        <f aca="false">IF(L18&gt;0,L18,0)</f>
        <v>775.157549785732</v>
      </c>
      <c r="K18" s="121" t="n">
        <f aca="false">I18+J18</f>
        <v>1574.15754978573</v>
      </c>
      <c r="L18" s="121" t="n">
        <f aca="false">F18-(I18-AG18)</f>
        <v>775.157549785732</v>
      </c>
      <c r="M18" s="123" t="n">
        <v>63</v>
      </c>
      <c r="N18" s="215" t="n">
        <f aca="false">1.8299*1.03</f>
        <v>1.884797</v>
      </c>
      <c r="O18" s="391" t="n">
        <f aca="false">(22+23)*1.05</f>
        <v>47.25</v>
      </c>
      <c r="P18" s="324" t="n">
        <v>0</v>
      </c>
      <c r="Q18" s="352" t="n">
        <f aca="false">1.52*1.02</f>
        <v>1.5504</v>
      </c>
      <c r="R18" s="352" t="n">
        <v>3.51</v>
      </c>
      <c r="S18" s="119" t="n">
        <v>0</v>
      </c>
      <c r="T18" s="381" t="n">
        <v>0</v>
      </c>
      <c r="U18" s="121" t="n">
        <v>60</v>
      </c>
      <c r="V18" s="121" t="n">
        <v>0</v>
      </c>
      <c r="W18" s="122" t="n">
        <f aca="false">M18-N18-O18-P18-Q18-R18-S18-T18+U18+V18</f>
        <v>68.804803</v>
      </c>
      <c r="X18" s="95" t="n">
        <f aca="false">X17+AO18</f>
        <v>0</v>
      </c>
      <c r="Y18" s="382" t="n">
        <f aca="false">Y17-(AP17/1.9835)</f>
        <v>1712.10388681554</v>
      </c>
      <c r="Z18" s="91"/>
      <c r="AA18" s="121" t="n">
        <v>0</v>
      </c>
      <c r="AB18" s="123" t="n">
        <v>1.7</v>
      </c>
      <c r="AC18" s="124" t="n">
        <v>1.3</v>
      </c>
      <c r="AD18" s="392" t="n">
        <v>826</v>
      </c>
      <c r="AE18" s="393" t="n">
        <f aca="false">AE17</f>
        <v>16031.2578774893</v>
      </c>
      <c r="AF18" s="394" t="n">
        <f aca="false">AD18</f>
        <v>826</v>
      </c>
      <c r="AG18" s="121" t="n">
        <f aca="false">N18+O18+P18+Q18+R18+S18+T18+W18+AA18+AD18</f>
        <v>949</v>
      </c>
      <c r="AH18" s="121" t="n">
        <f aca="false">IF(L18&lt;0,L18*-1,0)</f>
        <v>0</v>
      </c>
      <c r="AI18" s="391" t="n">
        <f aca="false">AG18+AH18</f>
        <v>949</v>
      </c>
      <c r="AJ18" s="88" t="n">
        <v>0</v>
      </c>
      <c r="AK18" s="89" t="n">
        <v>60</v>
      </c>
      <c r="AL18" s="90" t="n">
        <v>58</v>
      </c>
      <c r="AM18" s="95" t="n">
        <f aca="false">AM17+(U18*1.9835)</f>
        <v>12667.22605</v>
      </c>
      <c r="AN18" s="91"/>
      <c r="AO18" s="382" t="n">
        <v>0</v>
      </c>
      <c r="AP18" s="383" t="n">
        <f aca="false">29.8*(X17*1.9835+AO18*1.9835+Y17*1.9835)/E18</f>
        <v>0.652744701290863</v>
      </c>
      <c r="AQ18" s="92"/>
      <c r="AR18" s="11"/>
      <c r="AS18" s="1"/>
    </row>
    <row r="19" customFormat="false" ht="12.95" hidden="false" customHeight="true" outlineLevel="0" collapsed="false">
      <c r="A19" s="8" t="n">
        <f aca="false">A18+1</f>
        <v>8</v>
      </c>
      <c r="B19" s="384" t="n">
        <v>6906.44</v>
      </c>
      <c r="C19" s="83" t="n">
        <v>307961</v>
      </c>
      <c r="D19" s="89" t="n">
        <f aca="false">C19-C18</f>
        <v>894</v>
      </c>
      <c r="E19" s="83" t="n">
        <f aca="false">C19-152000</f>
        <v>155961</v>
      </c>
      <c r="F19" s="389" t="n">
        <f aca="false">D19/$D$2</f>
        <v>450.718427022939</v>
      </c>
      <c r="G19" s="121" t="n">
        <v>623</v>
      </c>
      <c r="H19" s="121" t="n">
        <v>202</v>
      </c>
      <c r="I19" s="121" t="n">
        <f aca="false">G19+H19</f>
        <v>825</v>
      </c>
      <c r="J19" s="390" t="n">
        <f aca="false">IF(L19&gt;0,L19,0)</f>
        <v>587.718427022939</v>
      </c>
      <c r="K19" s="121" t="n">
        <f aca="false">I19+J19</f>
        <v>1412.71842702294</v>
      </c>
      <c r="L19" s="121" t="n">
        <f aca="false">F19-(I19-AG19)</f>
        <v>587.718427022939</v>
      </c>
      <c r="M19" s="123" t="n">
        <v>71</v>
      </c>
      <c r="N19" s="215" t="n">
        <f aca="false">1.8299*1.03</f>
        <v>1.884797</v>
      </c>
      <c r="O19" s="391" t="n">
        <f aca="false">(27+28)*1.05</f>
        <v>57.75</v>
      </c>
      <c r="P19" s="324" t="n">
        <v>0</v>
      </c>
      <c r="Q19" s="352" t="n">
        <f aca="false">1.52*1.02</f>
        <v>1.5504</v>
      </c>
      <c r="R19" s="352" t="n">
        <v>3.56</v>
      </c>
      <c r="S19" s="119" t="n">
        <v>0</v>
      </c>
      <c r="T19" s="381" t="n">
        <v>0</v>
      </c>
      <c r="U19" s="121" t="n">
        <v>66</v>
      </c>
      <c r="V19" s="121" t="n">
        <v>0</v>
      </c>
      <c r="W19" s="122" t="n">
        <f aca="false">M19-N19-O19-P19-Q19-R19-S19-T19+U19+V19</f>
        <v>72.254803</v>
      </c>
      <c r="X19" s="95" t="n">
        <f aca="false">X18+AO19</f>
        <v>0</v>
      </c>
      <c r="Y19" s="382" t="n">
        <f aca="false">Y18-(AP18/1.9835)</f>
        <v>1711.77479949449</v>
      </c>
      <c r="Z19" s="91"/>
      <c r="AA19" s="121" t="n">
        <v>0</v>
      </c>
      <c r="AB19" s="123" t="n">
        <v>1.7</v>
      </c>
      <c r="AC19" s="124" t="n">
        <v>1.3</v>
      </c>
      <c r="AD19" s="392" t="n">
        <v>825</v>
      </c>
      <c r="AE19" s="393" t="n">
        <f aca="false">AE18</f>
        <v>16031.2578774893</v>
      </c>
      <c r="AF19" s="394" t="n">
        <f aca="false">AD19</f>
        <v>825</v>
      </c>
      <c r="AG19" s="121" t="n">
        <f aca="false">N19+O19+P19+Q19+R19+S19+T19+W19+AA19+AD19</f>
        <v>962</v>
      </c>
      <c r="AH19" s="121" t="n">
        <f aca="false">IF(L19&lt;0,L19*-1,0)</f>
        <v>0</v>
      </c>
      <c r="AI19" s="391" t="n">
        <f aca="false">AG19+AH19</f>
        <v>962</v>
      </c>
      <c r="AJ19" s="88" t="n">
        <v>0</v>
      </c>
      <c r="AK19" s="89" t="n">
        <v>58</v>
      </c>
      <c r="AL19" s="90" t="n">
        <v>24</v>
      </c>
      <c r="AM19" s="95" t="n">
        <f aca="false">AM18+(U19*1.9835)</f>
        <v>12798.13705</v>
      </c>
      <c r="AN19" s="91"/>
      <c r="AO19" s="382" t="n">
        <v>0</v>
      </c>
      <c r="AP19" s="383" t="n">
        <f aca="false">29.8*(X18*1.9835+AO19*1.9835+Y18*1.9835)/E19</f>
        <v>0.648877284533049</v>
      </c>
      <c r="AQ19" s="92"/>
      <c r="AR19" s="11"/>
      <c r="AS19" s="1"/>
    </row>
    <row r="20" customFormat="false" ht="12.95" hidden="false" customHeight="true" outlineLevel="0" collapsed="false">
      <c r="A20" s="8" t="n">
        <f aca="false">A19+1</f>
        <v>9</v>
      </c>
      <c r="B20" s="384" t="n">
        <v>6906.87</v>
      </c>
      <c r="C20" s="83" t="n">
        <v>309633</v>
      </c>
      <c r="D20" s="89" t="n">
        <f aca="false">C20-C19</f>
        <v>1672</v>
      </c>
      <c r="E20" s="83" t="n">
        <f aca="false">C20-152000</f>
        <v>157633</v>
      </c>
      <c r="F20" s="389" t="n">
        <f aca="false">D20/$D$2</f>
        <v>842.954373582052</v>
      </c>
      <c r="G20" s="121" t="n">
        <v>723</v>
      </c>
      <c r="H20" s="121" t="n">
        <v>225</v>
      </c>
      <c r="I20" s="121" t="n">
        <f aca="false">G20+H20</f>
        <v>948</v>
      </c>
      <c r="J20" s="390" t="n">
        <f aca="false">IF(L20&gt;0,L20,0)</f>
        <v>800.954373582052</v>
      </c>
      <c r="K20" s="121" t="n">
        <f aca="false">I20+J20</f>
        <v>1748.95437358205</v>
      </c>
      <c r="L20" s="121" t="n">
        <f aca="false">F20-(I20-AG20)</f>
        <v>800.954373582052</v>
      </c>
      <c r="M20" s="123" t="n">
        <v>81</v>
      </c>
      <c r="N20" s="215" t="n">
        <f aca="false">1.8299*1.03</f>
        <v>1.884797</v>
      </c>
      <c r="O20" s="391" t="n">
        <f aca="false">(32+33)*1.05</f>
        <v>68.25</v>
      </c>
      <c r="P20" s="324" t="n">
        <v>0</v>
      </c>
      <c r="Q20" s="352" t="n">
        <f aca="false">1.52*1.02</f>
        <v>1.5504</v>
      </c>
      <c r="R20" s="352" t="n">
        <v>3.4</v>
      </c>
      <c r="S20" s="119" t="n">
        <v>0</v>
      </c>
      <c r="T20" s="381" t="n">
        <v>0</v>
      </c>
      <c r="U20" s="121" t="n">
        <v>0</v>
      </c>
      <c r="V20" s="121" t="n">
        <v>0</v>
      </c>
      <c r="W20" s="122" t="n">
        <f aca="false">M20-N20-O20-P20-Q20-R20-S20-T20+U20+V20</f>
        <v>5.91480299999999</v>
      </c>
      <c r="X20" s="95" t="n">
        <f aca="false">X19+AO20</f>
        <v>0</v>
      </c>
      <c r="Y20" s="382" t="n">
        <f aca="false">Y19-(AP19/1.9835)</f>
        <v>1711.44766196763</v>
      </c>
      <c r="Z20" s="91"/>
      <c r="AA20" s="121" t="n">
        <v>0</v>
      </c>
      <c r="AB20" s="123" t="n">
        <v>1.7</v>
      </c>
      <c r="AC20" s="124" t="n">
        <v>1.3</v>
      </c>
      <c r="AD20" s="392" t="n">
        <v>825</v>
      </c>
      <c r="AE20" s="393" t="n">
        <f aca="false">AE19</f>
        <v>16031.2578774893</v>
      </c>
      <c r="AF20" s="394" t="n">
        <f aca="false">AD20</f>
        <v>825</v>
      </c>
      <c r="AG20" s="121" t="n">
        <f aca="false">N20+O20+P20+Q20+R20+S20+T20+W20+AA20+AD20</f>
        <v>906</v>
      </c>
      <c r="AH20" s="121" t="n">
        <f aca="false">IF(L20&lt;0,L20*-1,0)</f>
        <v>0</v>
      </c>
      <c r="AI20" s="391" t="n">
        <f aca="false">AG20+AH20</f>
        <v>906</v>
      </c>
      <c r="AJ20" s="88" t="n">
        <v>0.51</v>
      </c>
      <c r="AK20" s="128" t="n">
        <v>48</v>
      </c>
      <c r="AL20" s="90" t="n">
        <v>32</v>
      </c>
      <c r="AM20" s="95" t="n">
        <f aca="false">AM19</f>
        <v>12798.13705</v>
      </c>
      <c r="AN20" s="91"/>
      <c r="AO20" s="382" t="n">
        <v>0</v>
      </c>
      <c r="AP20" s="383" t="n">
        <f aca="false">29.8*(X19*1.9835+AO20*1.9835+Y19*1.9835)/E20</f>
        <v>0.641871298401733</v>
      </c>
      <c r="AQ20" s="92"/>
      <c r="AR20" s="11"/>
      <c r="AS20" s="1"/>
    </row>
    <row r="21" customFormat="false" ht="12.95" hidden="false" customHeight="true" outlineLevel="0" collapsed="false">
      <c r="A21" s="8" t="n">
        <f aca="false">A20+1</f>
        <v>10</v>
      </c>
      <c r="B21" s="384" t="n">
        <v>6907.01</v>
      </c>
      <c r="C21" s="83" t="n">
        <v>310177</v>
      </c>
      <c r="D21" s="89" t="n">
        <f aca="false">C21-C20</f>
        <v>544</v>
      </c>
      <c r="E21" s="83" t="n">
        <f aca="false">C21-152000</f>
        <v>158177</v>
      </c>
      <c r="F21" s="389" t="n">
        <f aca="false">D21/$D$2</f>
        <v>274.262667002773</v>
      </c>
      <c r="G21" s="121" t="n">
        <v>560</v>
      </c>
      <c r="H21" s="121" t="n">
        <v>154</v>
      </c>
      <c r="I21" s="121" t="n">
        <f aca="false">G21+H21</f>
        <v>714</v>
      </c>
      <c r="J21" s="390" t="n">
        <f aca="false">IF(L21&gt;0,L21,0)</f>
        <v>443.262667002773</v>
      </c>
      <c r="K21" s="121" t="n">
        <f aca="false">I21+J21</f>
        <v>1157.26266700277</v>
      </c>
      <c r="L21" s="121" t="n">
        <f aca="false">F21-(I21-AG21)</f>
        <v>443.262667002773</v>
      </c>
      <c r="M21" s="123" t="n">
        <v>59</v>
      </c>
      <c r="N21" s="215" t="n">
        <f aca="false">1.8299*1.03</f>
        <v>1.884797</v>
      </c>
      <c r="O21" s="391" t="n">
        <f aca="false">(30+29)*1.05</f>
        <v>61.95</v>
      </c>
      <c r="P21" s="324" t="n">
        <v>0</v>
      </c>
      <c r="Q21" s="352" t="n">
        <f aca="false">1.52*1.02</f>
        <v>1.5504</v>
      </c>
      <c r="R21" s="352" t="n">
        <v>3.14</v>
      </c>
      <c r="S21" s="119" t="n">
        <v>0</v>
      </c>
      <c r="T21" s="381" t="n">
        <v>0</v>
      </c>
      <c r="U21" s="121" t="n">
        <v>0</v>
      </c>
      <c r="V21" s="121" t="n">
        <v>0</v>
      </c>
      <c r="W21" s="122" t="n">
        <f aca="false">M21-N21-O21-P21-Q21-R21-S21-T21+U21+V21</f>
        <v>-9.525197</v>
      </c>
      <c r="X21" s="95" t="n">
        <f aca="false">X20+AO21</f>
        <v>0</v>
      </c>
      <c r="Y21" s="382" t="n">
        <f aca="false">Y20-(AP20/1.9835)</f>
        <v>1711.12405657393</v>
      </c>
      <c r="Z21" s="91"/>
      <c r="AA21" s="121" t="n">
        <v>0</v>
      </c>
      <c r="AB21" s="123" t="n">
        <v>1.7</v>
      </c>
      <c r="AC21" s="124" t="n">
        <v>1.3</v>
      </c>
      <c r="AD21" s="392" t="n">
        <v>824</v>
      </c>
      <c r="AE21" s="393" t="n">
        <f aca="false">AE20</f>
        <v>16031.2578774893</v>
      </c>
      <c r="AF21" s="394" t="n">
        <f aca="false">AD21</f>
        <v>824</v>
      </c>
      <c r="AG21" s="121" t="n">
        <f aca="false">N21+O21+P21+Q21+R21+S21+T21+W21+AA21+AD21</f>
        <v>883</v>
      </c>
      <c r="AH21" s="121" t="n">
        <f aca="false">IF(L21&lt;0,L21*-1,0)</f>
        <v>0</v>
      </c>
      <c r="AI21" s="391" t="n">
        <f aca="false">AG21+AH21</f>
        <v>883</v>
      </c>
      <c r="AJ21" s="88" t="n">
        <v>0.18</v>
      </c>
      <c r="AK21" s="89" t="n">
        <v>46</v>
      </c>
      <c r="AL21" s="90" t="n">
        <v>24</v>
      </c>
      <c r="AM21" s="95" t="n">
        <f aca="false">AM20</f>
        <v>12798.13705</v>
      </c>
      <c r="AN21" s="91"/>
      <c r="AO21" s="382" t="n">
        <v>0</v>
      </c>
      <c r="AP21" s="383" t="n">
        <f aca="false">29.8*(X20*1.9835+AO21*1.9835+Y20*1.9835)/E21</f>
        <v>0.639541537884024</v>
      </c>
      <c r="AQ21" s="92"/>
      <c r="AR21" s="11"/>
      <c r="AS21" s="1"/>
    </row>
    <row r="22" customFormat="false" ht="12.95" hidden="false" customHeight="true" outlineLevel="0" collapsed="false">
      <c r="A22" s="8" t="n">
        <f aca="false">A21+1</f>
        <v>11</v>
      </c>
      <c r="B22" s="384" t="n">
        <v>6907.04</v>
      </c>
      <c r="C22" s="83" t="n">
        <v>310295</v>
      </c>
      <c r="D22" s="89" t="n">
        <f aca="false">C22-C21</f>
        <v>118</v>
      </c>
      <c r="E22" s="83" t="n">
        <f aca="false">C22-152000</f>
        <v>158295</v>
      </c>
      <c r="F22" s="389" t="n">
        <f aca="false">D22/$D$2</f>
        <v>59.4907990925132</v>
      </c>
      <c r="G22" s="121" t="n">
        <v>455</v>
      </c>
      <c r="H22" s="121" t="n">
        <v>109</v>
      </c>
      <c r="I22" s="121" t="n">
        <f aca="false">G22+H22</f>
        <v>564</v>
      </c>
      <c r="J22" s="390" t="n">
        <f aca="false">IF(L22&gt;0,L22,0)</f>
        <v>344.490799092513</v>
      </c>
      <c r="K22" s="121" t="n">
        <f aca="false">I22+J22</f>
        <v>908.490799092513</v>
      </c>
      <c r="L22" s="121" t="n">
        <f aca="false">F22-(I22-AG22)</f>
        <v>344.490799092513</v>
      </c>
      <c r="M22" s="123" t="n">
        <v>25</v>
      </c>
      <c r="N22" s="215" t="n">
        <f aca="false">1.8299*1.03</f>
        <v>1.884797</v>
      </c>
      <c r="O22" s="391" t="n">
        <f aca="false">(9.7+7.5)*1.05</f>
        <v>18.06</v>
      </c>
      <c r="P22" s="324" t="n">
        <v>0</v>
      </c>
      <c r="Q22" s="352" t="n">
        <f aca="false">1.52*1.02</f>
        <v>1.5504</v>
      </c>
      <c r="R22" s="352" t="n">
        <v>2.75</v>
      </c>
      <c r="S22" s="119" t="n">
        <v>0</v>
      </c>
      <c r="T22" s="381" t="n">
        <v>0</v>
      </c>
      <c r="U22" s="121" t="n">
        <v>0</v>
      </c>
      <c r="V22" s="121" t="n">
        <v>0</v>
      </c>
      <c r="W22" s="122" t="n">
        <f aca="false">M22-N22-O22-P22-Q22-R22-S22-T22+U22+V22</f>
        <v>0.754803000000003</v>
      </c>
      <c r="X22" s="95" t="n">
        <f aca="false">X21+AO22</f>
        <v>0</v>
      </c>
      <c r="Y22" s="382" t="n">
        <f aca="false">Y21-(AP21/1.9835)</f>
        <v>1710.8016257507</v>
      </c>
      <c r="Z22" s="91"/>
      <c r="AA22" s="121" t="n">
        <v>0</v>
      </c>
      <c r="AB22" s="123" t="n">
        <v>1.7</v>
      </c>
      <c r="AC22" s="124" t="n">
        <v>1.3</v>
      </c>
      <c r="AD22" s="392" t="n">
        <v>824</v>
      </c>
      <c r="AE22" s="393" t="n">
        <f aca="false">AE21</f>
        <v>16031.2578774893</v>
      </c>
      <c r="AF22" s="394" t="n">
        <f aca="false">AD22</f>
        <v>824</v>
      </c>
      <c r="AG22" s="121" t="n">
        <f aca="false">N22+O22+P22+Q22+R22+S22+T22+W22+AA22+AD22</f>
        <v>849</v>
      </c>
      <c r="AH22" s="121" t="n">
        <f aca="false">IF(L22&lt;0,L22*-1,0)</f>
        <v>0</v>
      </c>
      <c r="AI22" s="391" t="n">
        <f aca="false">AG22+AH22</f>
        <v>849</v>
      </c>
      <c r="AJ22" s="88" t="n">
        <v>0</v>
      </c>
      <c r="AK22" s="89" t="n">
        <v>39</v>
      </c>
      <c r="AL22" s="90" t="n">
        <v>23</v>
      </c>
      <c r="AM22" s="95" t="n">
        <f aca="false">AM21</f>
        <v>12798.13705</v>
      </c>
      <c r="AN22" s="91"/>
      <c r="AO22" s="382" t="n">
        <v>0</v>
      </c>
      <c r="AP22" s="383" t="n">
        <f aca="false">29.8*(X21*1.9835+AO22*1.9835+Y21*1.9835)/E22</f>
        <v>0.638943959526131</v>
      </c>
      <c r="AQ22" s="92"/>
      <c r="AR22" s="11"/>
      <c r="AS22" s="1"/>
    </row>
    <row r="23" customFormat="false" ht="12.95" hidden="false" customHeight="true" outlineLevel="0" collapsed="false">
      <c r="A23" s="8" t="n">
        <f aca="false">A22+1</f>
        <v>12</v>
      </c>
      <c r="B23" s="384" t="n">
        <v>6907.07</v>
      </c>
      <c r="C23" s="83" t="n">
        <v>310412</v>
      </c>
      <c r="D23" s="89" t="n">
        <f aca="false">C23-C22</f>
        <v>117</v>
      </c>
      <c r="E23" s="83" t="n">
        <f aca="false">C23-152000</f>
        <v>158412</v>
      </c>
      <c r="F23" s="389" t="n">
        <f aca="false">D23/$D$2</f>
        <v>58.9866397781699</v>
      </c>
      <c r="G23" s="121" t="n">
        <v>394</v>
      </c>
      <c r="H23" s="121" t="n">
        <v>91</v>
      </c>
      <c r="I23" s="121" t="n">
        <f aca="false">G23+H23</f>
        <v>485</v>
      </c>
      <c r="J23" s="390" t="n">
        <f aca="false">IF(L23&gt;0,L23,0)</f>
        <v>401.98663977817</v>
      </c>
      <c r="K23" s="121" t="n">
        <f aca="false">I23+J23</f>
        <v>886.98663977817</v>
      </c>
      <c r="L23" s="121" t="n">
        <f aca="false">F23-(I23-AG23)</f>
        <v>401.98663977817</v>
      </c>
      <c r="M23" s="123" t="n">
        <v>5</v>
      </c>
      <c r="N23" s="215" t="n">
        <f aca="false">1.8299*1.03</f>
        <v>1.884797</v>
      </c>
      <c r="O23" s="391" t="n">
        <f aca="false">(0.42+4.1)*1.05</f>
        <v>4.746</v>
      </c>
      <c r="P23" s="324" t="n">
        <v>0</v>
      </c>
      <c r="Q23" s="352" t="n">
        <f aca="false">1.52*1.02</f>
        <v>1.5504</v>
      </c>
      <c r="R23" s="352" t="n">
        <v>2.43</v>
      </c>
      <c r="S23" s="119" t="n">
        <v>0</v>
      </c>
      <c r="T23" s="381" t="n">
        <v>0</v>
      </c>
      <c r="U23" s="121" t="n">
        <v>0</v>
      </c>
      <c r="V23" s="121" t="n">
        <v>0</v>
      </c>
      <c r="W23" s="122" t="n">
        <f aca="false">M23-N23-O23-P23-Q23-R23-S23-T23+U23+V23</f>
        <v>-5.611197</v>
      </c>
      <c r="X23" s="95" t="n">
        <f aca="false">X22+AO23</f>
        <v>0</v>
      </c>
      <c r="Y23" s="382" t="n">
        <f aca="false">Y22-(AP22/1.9835)</f>
        <v>1710.47949620216</v>
      </c>
      <c r="Z23" s="91"/>
      <c r="AA23" s="121" t="n">
        <v>0</v>
      </c>
      <c r="AB23" s="123" t="n">
        <v>1.7</v>
      </c>
      <c r="AC23" s="124" t="n">
        <v>1.3</v>
      </c>
      <c r="AD23" s="392" t="n">
        <v>823</v>
      </c>
      <c r="AE23" s="393" t="n">
        <f aca="false">AE22</f>
        <v>16031.2578774893</v>
      </c>
      <c r="AF23" s="394" t="n">
        <f aca="false">AD23</f>
        <v>823</v>
      </c>
      <c r="AG23" s="121" t="n">
        <f aca="false">N23+O23+P23+Q23+R23+S23+T23+W23+AA23+AD23</f>
        <v>828</v>
      </c>
      <c r="AH23" s="121" t="n">
        <f aca="false">IF(L23&lt;0,L23*-1,0)</f>
        <v>0</v>
      </c>
      <c r="AI23" s="391" t="n">
        <f aca="false">AG23+AH23</f>
        <v>828</v>
      </c>
      <c r="AJ23" s="88" t="n">
        <v>0</v>
      </c>
      <c r="AK23" s="89" t="n">
        <v>49</v>
      </c>
      <c r="AL23" s="90" t="n">
        <v>20</v>
      </c>
      <c r="AM23" s="95" t="n">
        <f aca="false">AM22</f>
        <v>12798.13705</v>
      </c>
      <c r="AN23" s="91"/>
      <c r="AO23" s="382" t="n">
        <v>0</v>
      </c>
      <c r="AP23" s="383" t="n">
        <f aca="false">29.8*(X22*1.9835+AO23*1.9835+Y22*1.9835)/E23</f>
        <v>0.638351739359139</v>
      </c>
      <c r="AQ23" s="92"/>
      <c r="AR23" s="11"/>
      <c r="AS23" s="1"/>
    </row>
    <row r="24" customFormat="false" ht="12.95" hidden="false" customHeight="true" outlineLevel="0" collapsed="false">
      <c r="A24" s="8" t="n">
        <f aca="false">A23+1</f>
        <v>13</v>
      </c>
      <c r="B24" s="384" t="n">
        <v>6907.17</v>
      </c>
      <c r="C24" s="83" t="n">
        <v>310804</v>
      </c>
      <c r="D24" s="89" t="n">
        <f aca="false">C24-C23</f>
        <v>392</v>
      </c>
      <c r="E24" s="83" t="n">
        <f aca="false">C24-152000</f>
        <v>158804</v>
      </c>
      <c r="F24" s="389" t="n">
        <f aca="false">D24/$D$2</f>
        <v>197.630451222586</v>
      </c>
      <c r="G24" s="121" t="n">
        <v>424</v>
      </c>
      <c r="H24" s="121" t="n">
        <v>102</v>
      </c>
      <c r="I24" s="121" t="n">
        <f aca="false">G24+H24</f>
        <v>526</v>
      </c>
      <c r="J24" s="390" t="n">
        <f aca="false">IF(L24&gt;0,L24,0)</f>
        <v>501.430451222586</v>
      </c>
      <c r="K24" s="121" t="n">
        <f aca="false">I24+J24</f>
        <v>1027.43045122259</v>
      </c>
      <c r="L24" s="121" t="n">
        <f aca="false">F24-(I24-AG24)</f>
        <v>501.430451222586</v>
      </c>
      <c r="M24" s="123" t="n">
        <v>5.8</v>
      </c>
      <c r="N24" s="215" t="n">
        <f aca="false">1.8299*1.03</f>
        <v>1.884797</v>
      </c>
      <c r="O24" s="391" t="n">
        <f aca="false">(0.48+0.9)*1.05</f>
        <v>1.449</v>
      </c>
      <c r="P24" s="324" t="n">
        <v>0</v>
      </c>
      <c r="Q24" s="352" t="n">
        <f aca="false">1.52*1.02</f>
        <v>1.5504</v>
      </c>
      <c r="R24" s="352" t="n">
        <v>2.45</v>
      </c>
      <c r="S24" s="119" t="n">
        <v>0</v>
      </c>
      <c r="T24" s="381" t="n">
        <v>0</v>
      </c>
      <c r="U24" s="121" t="n">
        <v>0</v>
      </c>
      <c r="V24" s="121" t="n">
        <v>0</v>
      </c>
      <c r="W24" s="122" t="n">
        <f aca="false">M24-N24-O24-P24-Q24-R24-S24-T24+U24+V24</f>
        <v>-1.534197</v>
      </c>
      <c r="X24" s="95" t="n">
        <f aca="false">X23+AO24</f>
        <v>0</v>
      </c>
      <c r="Y24" s="382" t="n">
        <f aca="false">Y23-(AP23/1.9835)</f>
        <v>1710.15766522693</v>
      </c>
      <c r="Z24" s="91"/>
      <c r="AA24" s="121" t="n">
        <v>0</v>
      </c>
      <c r="AB24" s="123" t="n">
        <v>1.7</v>
      </c>
      <c r="AC24" s="124" t="n">
        <v>1.3</v>
      </c>
      <c r="AD24" s="392" t="n">
        <v>824</v>
      </c>
      <c r="AE24" s="393" t="n">
        <f aca="false">AE23</f>
        <v>16031.2578774893</v>
      </c>
      <c r="AF24" s="394" t="n">
        <f aca="false">AD24</f>
        <v>824</v>
      </c>
      <c r="AG24" s="121" t="n">
        <f aca="false">N24+O24+P24+Q24+R24+S24+T24+W24+AA24+AD24</f>
        <v>829.8</v>
      </c>
      <c r="AH24" s="121" t="n">
        <f aca="false">IF(L24&lt;0,L24*-1,0)</f>
        <v>0</v>
      </c>
      <c r="AI24" s="391" t="n">
        <f aca="false">AG24+AH24</f>
        <v>829.8</v>
      </c>
      <c r="AJ24" s="88" t="n">
        <v>0</v>
      </c>
      <c r="AK24" s="89" t="n">
        <v>62</v>
      </c>
      <c r="AL24" s="90" t="n">
        <v>30</v>
      </c>
      <c r="AM24" s="95" t="n">
        <f aca="false">AM23</f>
        <v>12798.13705</v>
      </c>
      <c r="AN24" s="91"/>
      <c r="AO24" s="382" t="n">
        <v>0</v>
      </c>
      <c r="AP24" s="383" t="n">
        <f aca="false">29.8*(X23*1.9835+AO24*1.9835+Y23*1.9835)/E24</f>
        <v>0.636656099376376</v>
      </c>
      <c r="AQ24" s="92"/>
      <c r="AR24" s="11"/>
      <c r="AS24" s="1"/>
    </row>
    <row r="25" customFormat="false" ht="12.95" hidden="false" customHeight="true" outlineLevel="0" collapsed="false">
      <c r="A25" s="8" t="n">
        <f aca="false">A24+1</f>
        <v>14</v>
      </c>
      <c r="B25" s="384" t="n">
        <v>6907.54</v>
      </c>
      <c r="C25" s="83" t="n">
        <v>312254</v>
      </c>
      <c r="D25" s="89" t="n">
        <f aca="false">C25-C24</f>
        <v>1450</v>
      </c>
      <c r="E25" s="83" t="n">
        <f aca="false">C25-152000</f>
        <v>160254</v>
      </c>
      <c r="F25" s="389" t="n">
        <f aca="false">D25/$D$2</f>
        <v>731.031005797832</v>
      </c>
      <c r="G25" s="121" t="n">
        <v>578</v>
      </c>
      <c r="H25" s="121" t="n">
        <v>161</v>
      </c>
      <c r="I25" s="121" t="n">
        <f aca="false">G25+H25</f>
        <v>739</v>
      </c>
      <c r="J25" s="390" t="n">
        <f aca="false">IF(L25&gt;0,L25,0)</f>
        <v>716.031005797832</v>
      </c>
      <c r="K25" s="121" t="n">
        <f aca="false">I25+J25</f>
        <v>1455.03100579783</v>
      </c>
      <c r="L25" s="121" t="n">
        <f aca="false">F25-(I25-AG25)</f>
        <v>716.031005797832</v>
      </c>
      <c r="M25" s="123" t="n">
        <v>11</v>
      </c>
      <c r="N25" s="215" t="n">
        <f aca="false">1.8299*1.03</f>
        <v>1.884797</v>
      </c>
      <c r="O25" s="391" t="n">
        <f aca="false">(2.4+3.6)*1.05</f>
        <v>6.3</v>
      </c>
      <c r="P25" s="324" t="n">
        <v>0</v>
      </c>
      <c r="Q25" s="352" t="n">
        <f aca="false">1.52*1.02</f>
        <v>1.5504</v>
      </c>
      <c r="R25" s="352" t="n">
        <v>2.83</v>
      </c>
      <c r="S25" s="119" t="n">
        <v>0</v>
      </c>
      <c r="T25" s="381" t="n">
        <v>0</v>
      </c>
      <c r="U25" s="121" t="n">
        <v>0</v>
      </c>
      <c r="V25" s="121" t="n">
        <v>0</v>
      </c>
      <c r="W25" s="122" t="n">
        <f aca="false">M25-N25-O25-P25-Q25-R25-S25-T25+U25+V25</f>
        <v>-1.565197</v>
      </c>
      <c r="X25" s="95" t="n">
        <f aca="false">X24+AO25</f>
        <v>0</v>
      </c>
      <c r="Y25" s="382" t="n">
        <f aca="false">Y24-(AP24/1.9835)</f>
        <v>1709.8366891244</v>
      </c>
      <c r="Z25" s="91"/>
      <c r="AA25" s="121" t="n">
        <v>0</v>
      </c>
      <c r="AB25" s="123" t="n">
        <v>1.7</v>
      </c>
      <c r="AC25" s="124" t="n">
        <v>1.3</v>
      </c>
      <c r="AD25" s="392" t="n">
        <v>713</v>
      </c>
      <c r="AE25" s="393" t="n">
        <f aca="false">AE24</f>
        <v>16031.2578774893</v>
      </c>
      <c r="AF25" s="394" t="n">
        <f aca="false">AD25</f>
        <v>713</v>
      </c>
      <c r="AG25" s="121" t="n">
        <f aca="false">N25+O25+P25+Q25+R25+S25+T25+W25+AA25+AD25</f>
        <v>724</v>
      </c>
      <c r="AH25" s="121" t="n">
        <f aca="false">IF(L25&lt;0,L25*-1,0)</f>
        <v>0</v>
      </c>
      <c r="AI25" s="391" t="n">
        <f aca="false">AG25+AH25</f>
        <v>724</v>
      </c>
      <c r="AJ25" s="88" t="n">
        <v>0</v>
      </c>
      <c r="AK25" s="128" t="n">
        <v>66</v>
      </c>
      <c r="AL25" s="90" t="n">
        <v>33</v>
      </c>
      <c r="AM25" s="95" t="n">
        <f aca="false">AM24</f>
        <v>12798.13705</v>
      </c>
      <c r="AN25" s="91"/>
      <c r="AO25" s="382" t="n">
        <v>0</v>
      </c>
      <c r="AP25" s="383" t="n">
        <f aca="false">29.8*(X24*1.9835+AO25*1.9835+Y24*1.9835)/E25</f>
        <v>0.630776843782577</v>
      </c>
      <c r="AQ25" s="92"/>
      <c r="AR25" s="11"/>
      <c r="AS25" s="1"/>
    </row>
    <row r="26" customFormat="false" ht="12.95" hidden="false" customHeight="true" outlineLevel="0" collapsed="false">
      <c r="A26" s="8" t="n">
        <f aca="false">A25+1</f>
        <v>15</v>
      </c>
      <c r="B26" s="384" t="n">
        <v>6908.14</v>
      </c>
      <c r="C26" s="83" t="n">
        <v>314609</v>
      </c>
      <c r="D26" s="89" t="n">
        <f aca="false">C26-C25</f>
        <v>2355</v>
      </c>
      <c r="E26" s="83" t="n">
        <f aca="false">C26-152000</f>
        <v>162609</v>
      </c>
      <c r="F26" s="389" t="n">
        <f aca="false">D26/$D$2</f>
        <v>1187.29518527855</v>
      </c>
      <c r="G26" s="121" t="n">
        <v>923</v>
      </c>
      <c r="H26" s="121" t="n">
        <v>233</v>
      </c>
      <c r="I26" s="121" t="n">
        <f aca="false">G26+H26</f>
        <v>1156</v>
      </c>
      <c r="J26" s="390" t="n">
        <f aca="false">IF(L26&gt;0,L26,0)</f>
        <v>635.295185278548</v>
      </c>
      <c r="K26" s="121" t="n">
        <f aca="false">I26+J26</f>
        <v>1791.29518527855</v>
      </c>
      <c r="L26" s="121" t="n">
        <f aca="false">F26-(I26-AG26)</f>
        <v>635.295185278548</v>
      </c>
      <c r="M26" s="123" t="n">
        <v>95</v>
      </c>
      <c r="N26" s="215" t="n">
        <f aca="false">1.8299*1.03</f>
        <v>1.884797</v>
      </c>
      <c r="O26" s="391" t="n">
        <f aca="false">(24+25)*1.05</f>
        <v>51.45</v>
      </c>
      <c r="P26" s="324" t="n">
        <v>0</v>
      </c>
      <c r="Q26" s="352" t="n">
        <f aca="false">1.52*1.02</f>
        <v>1.5504</v>
      </c>
      <c r="R26" s="352" t="n">
        <v>3.51</v>
      </c>
      <c r="S26" s="119" t="n">
        <v>0</v>
      </c>
      <c r="T26" s="381" t="n">
        <v>0</v>
      </c>
      <c r="U26" s="121" t="n">
        <v>0</v>
      </c>
      <c r="V26" s="121" t="n">
        <v>0</v>
      </c>
      <c r="W26" s="122" t="n">
        <f aca="false">M26-N26-O26-P26-Q26-R26-S26-T26+U26+V26</f>
        <v>36.604803</v>
      </c>
      <c r="X26" s="95" t="n">
        <f aca="false">X25+AO26</f>
        <v>0</v>
      </c>
      <c r="Y26" s="382" t="n">
        <f aca="false">Y25-(AP25/1.9835)</f>
        <v>1709.51867710333</v>
      </c>
      <c r="Z26" s="91"/>
      <c r="AA26" s="121" t="n">
        <v>0</v>
      </c>
      <c r="AB26" s="123" t="n">
        <v>1.7</v>
      </c>
      <c r="AC26" s="124" t="n">
        <v>1.3</v>
      </c>
      <c r="AD26" s="392" t="n">
        <v>509</v>
      </c>
      <c r="AE26" s="393" t="n">
        <f aca="false">AE25</f>
        <v>16031.2578774893</v>
      </c>
      <c r="AF26" s="394" t="n">
        <f aca="false">AD26</f>
        <v>509</v>
      </c>
      <c r="AG26" s="121" t="n">
        <f aca="false">N26+O26+P26+Q26+R26+S26+T26+W26+AA26+AD26</f>
        <v>604</v>
      </c>
      <c r="AH26" s="121" t="n">
        <f aca="false">IF(L26&lt;0,L26*-1,0)</f>
        <v>0</v>
      </c>
      <c r="AI26" s="391" t="n">
        <f aca="false">AG26+AH26</f>
        <v>604</v>
      </c>
      <c r="AJ26" s="88" t="n">
        <v>0</v>
      </c>
      <c r="AK26" s="128" t="n">
        <v>72</v>
      </c>
      <c r="AL26" s="90" t="n">
        <v>27</v>
      </c>
      <c r="AM26" s="95" t="n">
        <f aca="false">AM25</f>
        <v>12798.13705</v>
      </c>
      <c r="AN26" s="91"/>
      <c r="AO26" s="382" t="n">
        <v>0</v>
      </c>
      <c r="AP26" s="383" t="n">
        <f aca="false">29.8*(X25*1.9835+AO26*1.9835+Y25*1.9835)/E26</f>
        <v>0.621524884672876</v>
      </c>
      <c r="AQ26" s="92"/>
      <c r="AR26" s="11"/>
      <c r="AS26" s="1"/>
    </row>
    <row r="27" customFormat="false" ht="12.95" hidden="false" customHeight="true" outlineLevel="0" collapsed="false">
      <c r="A27" s="8" t="n">
        <f aca="false">A26+1</f>
        <v>16</v>
      </c>
      <c r="B27" s="384" t="n">
        <v>6908.97</v>
      </c>
      <c r="C27" s="83" t="n">
        <v>317887</v>
      </c>
      <c r="D27" s="89" t="n">
        <f aca="false">C27-C26</f>
        <v>3278</v>
      </c>
      <c r="E27" s="83" t="n">
        <f aca="false">C27-152000</f>
        <v>165887</v>
      </c>
      <c r="F27" s="389" t="n">
        <f aca="false">D27/$D$2</f>
        <v>1652.63423241744</v>
      </c>
      <c r="G27" s="121" t="n">
        <v>1220</v>
      </c>
      <c r="H27" s="121" t="n">
        <v>291</v>
      </c>
      <c r="I27" s="121" t="n">
        <f aca="false">G27+H27</f>
        <v>1511</v>
      </c>
      <c r="J27" s="390" t="n">
        <f aca="false">IF(L27&gt;0,L27,0)</f>
        <v>735.634232417444</v>
      </c>
      <c r="K27" s="121" t="n">
        <f aca="false">I27+J27</f>
        <v>2246.63423241744</v>
      </c>
      <c r="L27" s="121" t="n">
        <f aca="false">F27-(I27-AG27)</f>
        <v>735.634232417444</v>
      </c>
      <c r="M27" s="123" t="n">
        <v>73</v>
      </c>
      <c r="N27" s="215" t="n">
        <f aca="false">1.8299*1.03</f>
        <v>1.884797</v>
      </c>
      <c r="O27" s="391" t="n">
        <f aca="false">(27+33)*1.05</f>
        <v>63</v>
      </c>
      <c r="P27" s="324" t="n">
        <v>0</v>
      </c>
      <c r="Q27" s="352" t="n">
        <f aca="false">1.52*1.02</f>
        <v>1.5504</v>
      </c>
      <c r="R27" s="352" t="n">
        <v>3.67</v>
      </c>
      <c r="S27" s="119" t="n">
        <v>0</v>
      </c>
      <c r="T27" s="381" t="n">
        <v>0</v>
      </c>
      <c r="U27" s="121" t="n">
        <v>0</v>
      </c>
      <c r="V27" s="121" t="n">
        <v>0</v>
      </c>
      <c r="W27" s="122" t="n">
        <f aca="false">M27-N27-O27-P27-Q27-R27-S27-T27+U27+V27</f>
        <v>2.89480299999999</v>
      </c>
      <c r="X27" s="95" t="n">
        <f aca="false">X26+AO27</f>
        <v>0</v>
      </c>
      <c r="Y27" s="382" t="n">
        <f aca="false">Y26-(AP26/1.9835)</f>
        <v>1709.20532954363</v>
      </c>
      <c r="Z27" s="91"/>
      <c r="AA27" s="121" t="n">
        <v>16</v>
      </c>
      <c r="AB27" s="123" t="n">
        <v>1.7</v>
      </c>
      <c r="AC27" s="124" t="n">
        <v>1.3</v>
      </c>
      <c r="AD27" s="392" t="n">
        <v>505</v>
      </c>
      <c r="AE27" s="393" t="n">
        <f aca="false">AE26</f>
        <v>16031.2578774893</v>
      </c>
      <c r="AF27" s="394" t="n">
        <f aca="false">AD27</f>
        <v>505</v>
      </c>
      <c r="AG27" s="121" t="n">
        <f aca="false">N27+O27+P27+Q27+R27+S27+T27+W27+AA27+AD27</f>
        <v>594</v>
      </c>
      <c r="AH27" s="121" t="n">
        <f aca="false">IF(L27&lt;0,L27*-1,0)</f>
        <v>0</v>
      </c>
      <c r="AI27" s="391" t="n">
        <f aca="false">AG27+AH27</f>
        <v>594</v>
      </c>
      <c r="AJ27" s="88" t="n">
        <v>0</v>
      </c>
      <c r="AK27" s="128" t="n">
        <v>54</v>
      </c>
      <c r="AL27" s="90" t="n">
        <v>32</v>
      </c>
      <c r="AM27" s="95" t="n">
        <f aca="false">AM26</f>
        <v>12798.13705</v>
      </c>
      <c r="AN27" s="91"/>
      <c r="AO27" s="382" t="n">
        <v>0</v>
      </c>
      <c r="AP27" s="383" t="n">
        <f aca="false">29.8*(X26*1.9835+AO27*1.9835+Y26*1.9835)/E27</f>
        <v>0.609129966916196</v>
      </c>
      <c r="AQ27" s="92"/>
      <c r="AR27" s="11"/>
      <c r="AS27" s="1"/>
    </row>
    <row r="28" customFormat="false" ht="12.95" hidden="false" customHeight="true" outlineLevel="0" collapsed="false">
      <c r="A28" s="8" t="n">
        <f aca="false">A27+1</f>
        <v>17</v>
      </c>
      <c r="B28" s="384" t="n">
        <v>6909.52</v>
      </c>
      <c r="C28" s="83" t="n">
        <v>320076</v>
      </c>
      <c r="D28" s="89" t="n">
        <f aca="false">C28-C27</f>
        <v>2189</v>
      </c>
      <c r="E28" s="83" t="n">
        <f aca="false">C28-152000</f>
        <v>168076</v>
      </c>
      <c r="F28" s="389" t="n">
        <f aca="false">D28/$D$2</f>
        <v>1103.60473909755</v>
      </c>
      <c r="G28" s="121" t="n">
        <v>992</v>
      </c>
      <c r="H28" s="121" t="n">
        <v>227</v>
      </c>
      <c r="I28" s="121" t="n">
        <f aca="false">G28+H28</f>
        <v>1219</v>
      </c>
      <c r="J28" s="390" t="n">
        <f aca="false">IF(L28&gt;0,L28,0)</f>
        <v>524.504739097555</v>
      </c>
      <c r="K28" s="121" t="n">
        <f aca="false">I28+J28</f>
        <v>1743.50473909755</v>
      </c>
      <c r="L28" s="121" t="n">
        <f aca="false">F28-(I28-AG28)</f>
        <v>524.504739097555</v>
      </c>
      <c r="M28" s="123" t="n">
        <v>56</v>
      </c>
      <c r="N28" s="215" t="n">
        <f aca="false">1.8299*1.03</f>
        <v>1.884797</v>
      </c>
      <c r="O28" s="391" t="n">
        <f aca="false">(20+21)*1.05</f>
        <v>43.05</v>
      </c>
      <c r="P28" s="324" t="n">
        <v>0</v>
      </c>
      <c r="Q28" s="352" t="n">
        <f aca="false">1.52*1.02</f>
        <v>1.5504</v>
      </c>
      <c r="R28" s="352" t="n">
        <v>2.82</v>
      </c>
      <c r="S28" s="119" t="n">
        <v>0</v>
      </c>
      <c r="T28" s="381" t="n">
        <v>0</v>
      </c>
      <c r="U28" s="121" t="n">
        <v>4.3</v>
      </c>
      <c r="V28" s="121" t="n">
        <v>0</v>
      </c>
      <c r="W28" s="122" t="n">
        <f aca="false">M28-N28-O28-P28-Q28-R28-S28-T28+U28+V28</f>
        <v>10.994803</v>
      </c>
      <c r="X28" s="95" t="n">
        <f aca="false">X27+AO28</f>
        <v>0</v>
      </c>
      <c r="Y28" s="382" t="n">
        <f aca="false">Y27-(AP27/1.9835)</f>
        <v>1708.89823099716</v>
      </c>
      <c r="Z28" s="91"/>
      <c r="AA28" s="121" t="n">
        <v>6.6</v>
      </c>
      <c r="AB28" s="123" t="n">
        <v>1.7</v>
      </c>
      <c r="AC28" s="124" t="n">
        <v>1.3</v>
      </c>
      <c r="AD28" s="392" t="n">
        <v>573</v>
      </c>
      <c r="AE28" s="393" t="n">
        <f aca="false">AE27</f>
        <v>16031.2578774893</v>
      </c>
      <c r="AF28" s="394" t="n">
        <f aca="false">AD28</f>
        <v>573</v>
      </c>
      <c r="AG28" s="121" t="n">
        <f aca="false">N28+O28+P28+Q28+R28+S28+T28+W28+AA28+AD28</f>
        <v>639.9</v>
      </c>
      <c r="AH28" s="121" t="n">
        <f aca="false">IF(L28&lt;0,L28*-1,0)</f>
        <v>0</v>
      </c>
      <c r="AI28" s="391" t="n">
        <f aca="false">AG28+AH28</f>
        <v>639.9</v>
      </c>
      <c r="AJ28" s="88" t="n">
        <v>0</v>
      </c>
      <c r="AK28" s="128" t="n">
        <v>53</v>
      </c>
      <c r="AL28" s="90" t="n">
        <v>27</v>
      </c>
      <c r="AM28" s="95" t="n">
        <f aca="false">AM27</f>
        <v>12798.13705</v>
      </c>
      <c r="AN28" s="91"/>
      <c r="AO28" s="382" t="n">
        <v>0</v>
      </c>
      <c r="AP28" s="383" t="n">
        <f aca="false">29.8*(X27*1.9835+AO28*1.9835+Y27*1.9835)/E28</f>
        <v>0.601086540495156</v>
      </c>
      <c r="AQ28" s="92"/>
      <c r="AR28" s="11"/>
      <c r="AS28" s="1"/>
    </row>
    <row r="29" customFormat="false" ht="12.95" hidden="false" customHeight="true" outlineLevel="0" collapsed="false">
      <c r="A29" s="8" t="n">
        <f aca="false">A28+1</f>
        <v>18</v>
      </c>
      <c r="B29" s="384" t="n">
        <v>6909.87</v>
      </c>
      <c r="C29" s="83" t="n">
        <v>321469</v>
      </c>
      <c r="D29" s="89" t="n">
        <f aca="false">C29-C28</f>
        <v>1393</v>
      </c>
      <c r="E29" s="83" t="n">
        <f aca="false">C29-152000</f>
        <v>169469</v>
      </c>
      <c r="F29" s="389" t="n">
        <f aca="false">D29/$D$2</f>
        <v>702.293924880262</v>
      </c>
      <c r="G29" s="121" t="n">
        <v>978</v>
      </c>
      <c r="H29" s="121" t="n">
        <v>221</v>
      </c>
      <c r="I29" s="121" t="n">
        <f aca="false">G29+H29</f>
        <v>1199</v>
      </c>
      <c r="J29" s="390" t="n">
        <f aca="false">IF(L29&gt;0,L29,0)</f>
        <v>483.293924880262</v>
      </c>
      <c r="K29" s="121" t="n">
        <f aca="false">I29+J29</f>
        <v>1682.29392488026</v>
      </c>
      <c r="L29" s="121" t="n">
        <f aca="false">F29-(I29-AG29)</f>
        <v>483.293924880262</v>
      </c>
      <c r="M29" s="123" t="n">
        <v>72</v>
      </c>
      <c r="N29" s="215" t="n">
        <f aca="false">1.8299*1.03</f>
        <v>1.884797</v>
      </c>
      <c r="O29" s="391" t="n">
        <f aca="false">(11+13)*1.05</f>
        <v>25.2</v>
      </c>
      <c r="P29" s="324" t="n">
        <v>0</v>
      </c>
      <c r="Q29" s="352" t="n">
        <f aca="false">1.52*1.02</f>
        <v>1.5504</v>
      </c>
      <c r="R29" s="352" t="n">
        <v>3.43</v>
      </c>
      <c r="S29" s="119" t="n">
        <v>0</v>
      </c>
      <c r="T29" s="381" t="n">
        <v>0</v>
      </c>
      <c r="U29" s="121" t="n">
        <v>11</v>
      </c>
      <c r="V29" s="121" t="n">
        <v>0</v>
      </c>
      <c r="W29" s="122" t="n">
        <f aca="false">M29-N29-O29-P29-Q29-R29-S29-T29+U29+V29</f>
        <v>50.934803</v>
      </c>
      <c r="X29" s="95" t="n">
        <f aca="false">X28+AO29</f>
        <v>0</v>
      </c>
      <c r="Y29" s="382" t="n">
        <f aca="false">Y28-(AP28/1.9835)</f>
        <v>1708.59518761905</v>
      </c>
      <c r="Z29" s="91"/>
      <c r="AA29" s="121" t="n">
        <v>0</v>
      </c>
      <c r="AB29" s="123" t="n">
        <v>1.7</v>
      </c>
      <c r="AC29" s="124" t="n">
        <v>1.3</v>
      </c>
      <c r="AD29" s="392" t="n">
        <v>897</v>
      </c>
      <c r="AE29" s="393" t="n">
        <f aca="false">AE28</f>
        <v>16031.2578774893</v>
      </c>
      <c r="AF29" s="394" t="n">
        <f aca="false">AD29</f>
        <v>897</v>
      </c>
      <c r="AG29" s="121" t="n">
        <f aca="false">N29+O29+P29+Q29+R29+S29+T29+W29+AA29+AD29</f>
        <v>980</v>
      </c>
      <c r="AH29" s="121" t="n">
        <f aca="false">IF(L29&lt;0,L29*-1,0)</f>
        <v>0</v>
      </c>
      <c r="AI29" s="391" t="n">
        <f aca="false">AG29+AH29</f>
        <v>980</v>
      </c>
      <c r="AJ29" s="88" t="n">
        <v>0</v>
      </c>
      <c r="AK29" s="128" t="n">
        <v>64</v>
      </c>
      <c r="AL29" s="90" t="n">
        <v>26</v>
      </c>
      <c r="AM29" s="95" t="n">
        <f aca="false">AM28</f>
        <v>12798.13705</v>
      </c>
      <c r="AN29" s="91"/>
      <c r="AO29" s="382" t="n">
        <v>0</v>
      </c>
      <c r="AP29" s="383" t="n">
        <f aca="false">29.8*(X28*1.9835+AO29*1.9835+Y28*1.9835)/E29</f>
        <v>0.596038622445696</v>
      </c>
      <c r="AQ29" s="92"/>
      <c r="AR29" s="11"/>
      <c r="AS29" s="1"/>
    </row>
    <row r="30" customFormat="false" ht="12.95" hidden="false" customHeight="true" outlineLevel="0" collapsed="false">
      <c r="A30" s="8" t="n">
        <f aca="false">A29+1</f>
        <v>19</v>
      </c>
      <c r="B30" s="384" t="n">
        <v>6910.29</v>
      </c>
      <c r="C30" s="83" t="n">
        <v>323150</v>
      </c>
      <c r="D30" s="89" t="n">
        <f aca="false">C30-C29</f>
        <v>1681</v>
      </c>
      <c r="E30" s="83" t="n">
        <f aca="false">C30-152000</f>
        <v>171150</v>
      </c>
      <c r="F30" s="389" t="n">
        <f aca="false">D30/$D$2</f>
        <v>847.491807411142</v>
      </c>
      <c r="G30" s="121" t="n">
        <v>1270</v>
      </c>
      <c r="H30" s="121" t="n">
        <v>270</v>
      </c>
      <c r="I30" s="121" t="n">
        <f aca="false">G30+H30</f>
        <v>1540</v>
      </c>
      <c r="J30" s="390" t="n">
        <f aca="false">IF(L30&gt;0,L30,0)</f>
        <v>521.491807411142</v>
      </c>
      <c r="K30" s="121" t="n">
        <f aca="false">I30+J30</f>
        <v>2061.49180741114</v>
      </c>
      <c r="L30" s="121" t="n">
        <f aca="false">F30-(I30-AG30)</f>
        <v>521.491807411142</v>
      </c>
      <c r="M30" s="123" t="n">
        <v>83</v>
      </c>
      <c r="N30" s="215" t="n">
        <f aca="false">1.8299*1.03</f>
        <v>1.884797</v>
      </c>
      <c r="O30" s="391" t="n">
        <f aca="false">(28+25)*1.05</f>
        <v>55.65</v>
      </c>
      <c r="P30" s="324" t="n">
        <v>0</v>
      </c>
      <c r="Q30" s="352" t="n">
        <f aca="false">1.52*1.02</f>
        <v>1.5504</v>
      </c>
      <c r="R30" s="352" t="n">
        <v>3.95</v>
      </c>
      <c r="S30" s="119" t="n">
        <v>0</v>
      </c>
      <c r="T30" s="381" t="n">
        <v>0</v>
      </c>
      <c r="U30" s="121" t="n">
        <v>21</v>
      </c>
      <c r="V30" s="121" t="n">
        <v>0</v>
      </c>
      <c r="W30" s="122" t="n">
        <f aca="false">M30-N30-O30-P30-Q30-R30-S30-T30+U30+V30</f>
        <v>40.964803</v>
      </c>
      <c r="X30" s="95" t="n">
        <f aca="false">X29+AO30</f>
        <v>0</v>
      </c>
      <c r="Y30" s="382" t="n">
        <f aca="false">Y29-(AP29/1.9835)</f>
        <v>1708.29468919583</v>
      </c>
      <c r="Z30" s="91"/>
      <c r="AA30" s="121" t="n">
        <v>0</v>
      </c>
      <c r="AB30" s="123" t="n">
        <v>1.7</v>
      </c>
      <c r="AC30" s="124" t="n">
        <v>1.3</v>
      </c>
      <c r="AD30" s="392" t="n">
        <v>1110</v>
      </c>
      <c r="AE30" s="393" t="n">
        <f aca="false">AE29</f>
        <v>16031.2578774893</v>
      </c>
      <c r="AF30" s="394" t="n">
        <f aca="false">AD30</f>
        <v>1110</v>
      </c>
      <c r="AG30" s="121" t="n">
        <f aca="false">N30+O30+P30+Q30+R30+S30+T30+W30+AA30+AD30</f>
        <v>1214</v>
      </c>
      <c r="AH30" s="121" t="n">
        <f aca="false">IF(L30&lt;0,L30*-1,0)</f>
        <v>0</v>
      </c>
      <c r="AI30" s="391" t="n">
        <f aca="false">AG30+AH30</f>
        <v>1214</v>
      </c>
      <c r="AJ30" s="88" t="n">
        <v>0</v>
      </c>
      <c r="AK30" s="128" t="n">
        <v>69</v>
      </c>
      <c r="AL30" s="90" t="n">
        <v>36</v>
      </c>
      <c r="AM30" s="95" t="n">
        <f aca="false">AM29</f>
        <v>12798.13705</v>
      </c>
      <c r="AN30" s="91"/>
      <c r="AO30" s="382" t="n">
        <v>0</v>
      </c>
      <c r="AP30" s="383" t="n">
        <f aca="false">29.8*(X29*1.9835+AO30*1.9835+Y29*1.9835)/E30</f>
        <v>0.590079795082342</v>
      </c>
      <c r="AQ30" s="92"/>
      <c r="AR30" s="11"/>
      <c r="AS30" s="1"/>
    </row>
    <row r="31" customFormat="false" ht="12.95" hidden="false" customHeight="true" outlineLevel="0" collapsed="false">
      <c r="A31" s="8" t="n">
        <f aca="false">A30+1</f>
        <v>20</v>
      </c>
      <c r="B31" s="384" t="n">
        <v>6910.88</v>
      </c>
      <c r="C31" s="83" t="n">
        <v>325518</v>
      </c>
      <c r="D31" s="89" t="n">
        <f aca="false">C31-C30</f>
        <v>2368</v>
      </c>
      <c r="E31" s="83" t="n">
        <f aca="false">C31-152000</f>
        <v>173518</v>
      </c>
      <c r="F31" s="389" t="n">
        <f aca="false">D31/$D$2</f>
        <v>1193.84925636501</v>
      </c>
      <c r="G31" s="121" t="n">
        <v>1590</v>
      </c>
      <c r="H31" s="121" t="n">
        <v>334</v>
      </c>
      <c r="I31" s="121" t="n">
        <f aca="false">G31+H31</f>
        <v>1924</v>
      </c>
      <c r="J31" s="390" t="n">
        <f aca="false">IF(L31&gt;0,L31,0)</f>
        <v>512.849256365011</v>
      </c>
      <c r="K31" s="121" t="n">
        <f aca="false">I31+J31</f>
        <v>2436.84925636501</v>
      </c>
      <c r="L31" s="121" t="n">
        <f aca="false">F31-(I31-AG31)</f>
        <v>512.849256365011</v>
      </c>
      <c r="M31" s="123" t="n">
        <v>98</v>
      </c>
      <c r="N31" s="215" t="n">
        <f aca="false">1.8299*1.03</f>
        <v>1.884797</v>
      </c>
      <c r="O31" s="391" t="n">
        <f aca="false">(31+33)*1.05</f>
        <v>67.2</v>
      </c>
      <c r="P31" s="324" t="n">
        <v>0</v>
      </c>
      <c r="Q31" s="352" t="n">
        <f aca="false">1.52*1.02</f>
        <v>1.5504</v>
      </c>
      <c r="R31" s="352" t="n">
        <v>4.2</v>
      </c>
      <c r="S31" s="119" t="n">
        <v>0.19</v>
      </c>
      <c r="T31" s="381" t="n">
        <v>0</v>
      </c>
      <c r="U31" s="121" t="n">
        <v>25</v>
      </c>
      <c r="V31" s="121" t="n">
        <v>0</v>
      </c>
      <c r="W31" s="122" t="n">
        <f aca="false">M31-N31-O31-P31-Q31-R31-S31-T31+U31+V31</f>
        <v>47.974803</v>
      </c>
      <c r="X31" s="95" t="n">
        <f aca="false">X30+AO31</f>
        <v>0</v>
      </c>
      <c r="Y31" s="382" t="n">
        <f aca="false">Y30-(AP30/1.9835)</f>
        <v>1707.99719497094</v>
      </c>
      <c r="Z31" s="91"/>
      <c r="AA31" s="121" t="n">
        <v>0</v>
      </c>
      <c r="AB31" s="123" t="n">
        <v>1.7</v>
      </c>
      <c r="AC31" s="124" t="n">
        <v>1.3</v>
      </c>
      <c r="AD31" s="392" t="n">
        <v>1120</v>
      </c>
      <c r="AE31" s="393" t="n">
        <f aca="false">AE30</f>
        <v>16031.2578774893</v>
      </c>
      <c r="AF31" s="394" t="n">
        <f aca="false">AD31</f>
        <v>1120</v>
      </c>
      <c r="AG31" s="121" t="n">
        <f aca="false">N31+O31+P31+Q31+R31+S31+T31+W31+AA31+AD31</f>
        <v>1243</v>
      </c>
      <c r="AH31" s="121" t="n">
        <f aca="false">IF(L31&lt;0,L31*-1,0)</f>
        <v>0</v>
      </c>
      <c r="AI31" s="391" t="n">
        <f aca="false">AG31+AH31</f>
        <v>1243</v>
      </c>
      <c r="AJ31" s="88" t="n">
        <v>0</v>
      </c>
      <c r="AK31" s="128" t="n">
        <v>64</v>
      </c>
      <c r="AL31" s="90" t="n">
        <v>33</v>
      </c>
      <c r="AM31" s="95" t="n">
        <f aca="false">AM30</f>
        <v>12798.13705</v>
      </c>
      <c r="AN31" s="91"/>
      <c r="AO31" s="382" t="n">
        <v>0</v>
      </c>
      <c r="AP31" s="383" t="n">
        <f aca="false">29.8*(X30*1.9835+AO31*1.9835+Y30*1.9835)/E31</f>
        <v>0.581924612878169</v>
      </c>
      <c r="AQ31" s="92"/>
      <c r="AR31" s="11"/>
      <c r="AS31" s="1"/>
    </row>
    <row r="32" customFormat="false" ht="12.95" hidden="false" customHeight="true" outlineLevel="0" collapsed="false">
      <c r="A32" s="8" t="n">
        <f aca="false">A31+1</f>
        <v>21</v>
      </c>
      <c r="B32" s="384" t="n">
        <v>6911.45</v>
      </c>
      <c r="C32" s="83" t="n">
        <v>327820</v>
      </c>
      <c r="D32" s="89" t="n">
        <f aca="false">C32-C31</f>
        <v>2302</v>
      </c>
      <c r="E32" s="83" t="n">
        <f aca="false">C32-152000</f>
        <v>175820</v>
      </c>
      <c r="F32" s="389" t="n">
        <f aca="false">D32/$D$2</f>
        <v>1160.57474161835</v>
      </c>
      <c r="G32" s="121" t="n">
        <v>1630</v>
      </c>
      <c r="H32" s="121" t="n">
        <v>312</v>
      </c>
      <c r="I32" s="121" t="n">
        <f aca="false">G32+H32</f>
        <v>1942</v>
      </c>
      <c r="J32" s="390" t="n">
        <f aca="false">IF(L32&gt;0,L32,0)</f>
        <v>524.574741618352</v>
      </c>
      <c r="K32" s="121" t="n">
        <f aca="false">I32+J32</f>
        <v>2466.57474161835</v>
      </c>
      <c r="L32" s="121" t="n">
        <f aca="false">F32-(I32-AG32)</f>
        <v>524.574741618352</v>
      </c>
      <c r="M32" s="123" t="n">
        <v>129</v>
      </c>
      <c r="N32" s="215" t="n">
        <f aca="false">1.8299*1.03</f>
        <v>1.884797</v>
      </c>
      <c r="O32" s="391" t="n">
        <f aca="false">(44+45)*1.05</f>
        <v>93.45</v>
      </c>
      <c r="P32" s="324" t="n">
        <v>0</v>
      </c>
      <c r="Q32" s="352" t="n">
        <f aca="false">1.52*1.02</f>
        <v>1.5504</v>
      </c>
      <c r="R32" s="352" t="n">
        <v>4.2</v>
      </c>
      <c r="S32" s="119" t="n">
        <v>0.1</v>
      </c>
      <c r="T32" s="381" t="n">
        <v>0</v>
      </c>
      <c r="U32" s="121" t="n">
        <v>29</v>
      </c>
      <c r="V32" s="121" t="n">
        <v>0</v>
      </c>
      <c r="W32" s="122" t="n">
        <f aca="false">M32-N32-O32-P32-Q32-R32-S32-T32+U32+V32</f>
        <v>56.814803</v>
      </c>
      <c r="X32" s="95" t="n">
        <f aca="false">X31+AO32</f>
        <v>0</v>
      </c>
      <c r="Y32" s="382" t="n">
        <f aca="false">Y31-(AP31/1.9835)</f>
        <v>1707.70381225711</v>
      </c>
      <c r="Z32" s="91"/>
      <c r="AA32" s="121" t="n">
        <v>28</v>
      </c>
      <c r="AB32" s="123" t="n">
        <v>1.7</v>
      </c>
      <c r="AC32" s="124" t="n">
        <v>1.3</v>
      </c>
      <c r="AD32" s="392" t="n">
        <v>1120</v>
      </c>
      <c r="AE32" s="393" t="n">
        <f aca="false">AE31</f>
        <v>16031.2578774893</v>
      </c>
      <c r="AF32" s="394" t="n">
        <f aca="false">AD32</f>
        <v>1120</v>
      </c>
      <c r="AG32" s="121" t="n">
        <f aca="false">N32+O32+P32+Q32+R32+S32+T32+W32+AA32+AD32</f>
        <v>1306</v>
      </c>
      <c r="AH32" s="121" t="n">
        <f aca="false">IF(L32&lt;0,L32*-1,0)</f>
        <v>0</v>
      </c>
      <c r="AI32" s="391" t="n">
        <f aca="false">AG32+AH32</f>
        <v>1306</v>
      </c>
      <c r="AJ32" s="88" t="n">
        <v>0</v>
      </c>
      <c r="AK32" s="89" t="n">
        <v>65</v>
      </c>
      <c r="AL32" s="90" t="n">
        <v>29</v>
      </c>
      <c r="AM32" s="95" t="n">
        <f aca="false">AM31</f>
        <v>12798.13705</v>
      </c>
      <c r="AN32" s="91"/>
      <c r="AO32" s="382" t="n">
        <v>0</v>
      </c>
      <c r="AP32" s="383" t="n">
        <f aca="false">29.8*(X31*1.9835+AO32*1.9835+Y31*1.9835)/E32</f>
        <v>0.574205497665229</v>
      </c>
      <c r="AQ32" s="92"/>
      <c r="AR32" s="11"/>
      <c r="AS32" s="1"/>
    </row>
    <row r="33" customFormat="false" ht="12.95" hidden="false" customHeight="true" outlineLevel="0" collapsed="false">
      <c r="A33" s="8" t="n">
        <f aca="false">A32+1</f>
        <v>22</v>
      </c>
      <c r="B33" s="384" t="n">
        <v>6911.98</v>
      </c>
      <c r="C33" s="83" t="n">
        <v>329963</v>
      </c>
      <c r="D33" s="89" t="n">
        <f aca="false">C33-C32</f>
        <v>2143</v>
      </c>
      <c r="E33" s="83" t="n">
        <f aca="false">C33-152000</f>
        <v>177963</v>
      </c>
      <c r="F33" s="389" t="n">
        <f aca="false">D33/$D$2</f>
        <v>1080.41341063776</v>
      </c>
      <c r="G33" s="121" t="n">
        <v>1620</v>
      </c>
      <c r="H33" s="121" t="n">
        <v>278</v>
      </c>
      <c r="I33" s="121" t="n">
        <f aca="false">G33+H33</f>
        <v>1898</v>
      </c>
      <c r="J33" s="390" t="n">
        <f aca="false">IF(L33&gt;0,L33,0)</f>
        <v>461.113410637762</v>
      </c>
      <c r="K33" s="121" t="n">
        <f aca="false">I33+J33</f>
        <v>2359.11341063776</v>
      </c>
      <c r="L33" s="121" t="n">
        <f aca="false">F33-(I33-AG33)</f>
        <v>461.113410637762</v>
      </c>
      <c r="M33" s="123" t="n">
        <v>136</v>
      </c>
      <c r="N33" s="215" t="n">
        <f aca="false">1.8299*1.03</f>
        <v>1.884797</v>
      </c>
      <c r="O33" s="391" t="n">
        <f aca="false">(48+47)*1.05</f>
        <v>99.75</v>
      </c>
      <c r="P33" s="324" t="n">
        <v>0</v>
      </c>
      <c r="Q33" s="352" t="n">
        <f aca="false">1.52*1.02</f>
        <v>1.5504</v>
      </c>
      <c r="R33" s="352" t="n">
        <v>3.68</v>
      </c>
      <c r="S33" s="119" t="n">
        <v>0</v>
      </c>
      <c r="T33" s="381" t="n">
        <v>0</v>
      </c>
      <c r="U33" s="121" t="n">
        <v>31</v>
      </c>
      <c r="V33" s="121" t="n">
        <v>7.7</v>
      </c>
      <c r="W33" s="122" t="n">
        <f aca="false">M33-N33-O33-P33-Q33-R33-S33-T33+U33+V33</f>
        <v>67.834803</v>
      </c>
      <c r="X33" s="95" t="n">
        <f aca="false">X32+AO33</f>
        <v>0</v>
      </c>
      <c r="Y33" s="382" t="n">
        <f aca="false">Y32-(AP32/1.9835)</f>
        <v>1707.41432120711</v>
      </c>
      <c r="Z33" s="91"/>
      <c r="AA33" s="121" t="n">
        <v>44</v>
      </c>
      <c r="AB33" s="123" t="n">
        <v>1.7</v>
      </c>
      <c r="AC33" s="124" t="n">
        <v>1.3</v>
      </c>
      <c r="AD33" s="392" t="n">
        <v>1060</v>
      </c>
      <c r="AE33" s="393" t="n">
        <f aca="false">AE32</f>
        <v>16031.2578774893</v>
      </c>
      <c r="AF33" s="394" t="n">
        <f aca="false">AD33</f>
        <v>1060</v>
      </c>
      <c r="AG33" s="121" t="n">
        <f aca="false">N33+O33+P33+Q33+R33+S33+T33+W33+AA33+AD33</f>
        <v>1278.7</v>
      </c>
      <c r="AH33" s="121" t="n">
        <f aca="false">IF(L33&lt;0,L33*-1,0)</f>
        <v>0</v>
      </c>
      <c r="AI33" s="391" t="n">
        <f aca="false">AG33+AH33</f>
        <v>1278.7</v>
      </c>
      <c r="AJ33" s="88" t="n">
        <v>0</v>
      </c>
      <c r="AK33" s="89" t="n">
        <v>65</v>
      </c>
      <c r="AL33" s="90" t="n">
        <v>30</v>
      </c>
      <c r="AM33" s="95" t="n">
        <f aca="false">AM32</f>
        <v>12798.13705</v>
      </c>
      <c r="AN33" s="91"/>
      <c r="AO33" s="382" t="n">
        <v>0</v>
      </c>
      <c r="AP33" s="383" t="n">
        <f aca="false">29.8*(X32*1.9835+AO33*1.9835+Y32*1.9835)/E33</f>
        <v>0.567193569708517</v>
      </c>
      <c r="AQ33" s="92"/>
      <c r="AR33" s="11"/>
      <c r="AS33" s="1"/>
    </row>
    <row r="34" customFormat="false" ht="12.95" hidden="false" customHeight="true" outlineLevel="0" collapsed="false">
      <c r="A34" s="8" t="n">
        <f aca="false">A33+1</f>
        <v>23</v>
      </c>
      <c r="B34" s="384" t="n">
        <v>6912.69</v>
      </c>
      <c r="C34" s="83" t="n">
        <v>332857</v>
      </c>
      <c r="D34" s="89" t="n">
        <f aca="false">C34-C33</f>
        <v>2894</v>
      </c>
      <c r="E34" s="83" t="n">
        <f aca="false">C34-152000</f>
        <v>180857</v>
      </c>
      <c r="F34" s="389" t="n">
        <f aca="false">D34/$D$2</f>
        <v>1459.0370557096</v>
      </c>
      <c r="G34" s="121" t="n">
        <v>1830</v>
      </c>
      <c r="H34" s="121" t="n">
        <v>298</v>
      </c>
      <c r="I34" s="121" t="n">
        <f aca="false">G34+H34</f>
        <v>2128</v>
      </c>
      <c r="J34" s="390" t="n">
        <f aca="false">IF(L34&gt;0,L34,0)</f>
        <v>471.537055709604</v>
      </c>
      <c r="K34" s="121" t="n">
        <f aca="false">I34+J34</f>
        <v>2599.5370557096</v>
      </c>
      <c r="L34" s="121" t="n">
        <f aca="false">F34-(I34-AG34)</f>
        <v>471.537055709604</v>
      </c>
      <c r="M34" s="123" t="n">
        <v>140</v>
      </c>
      <c r="N34" s="215" t="n">
        <f aca="false">1.8299*1.03</f>
        <v>1.884797</v>
      </c>
      <c r="O34" s="391" t="n">
        <f aca="false">(40+42)*1.05</f>
        <v>86.1</v>
      </c>
      <c r="P34" s="324" t="n">
        <v>0</v>
      </c>
      <c r="Q34" s="352" t="n">
        <f aca="false">1.52*1.02</f>
        <v>1.5504</v>
      </c>
      <c r="R34" s="352" t="n">
        <v>3.38</v>
      </c>
      <c r="S34" s="119" t="n">
        <v>0</v>
      </c>
      <c r="T34" s="381" t="n">
        <v>0</v>
      </c>
      <c r="U34" s="121" t="n">
        <v>32</v>
      </c>
      <c r="V34" s="121" t="n">
        <v>9.5</v>
      </c>
      <c r="W34" s="122" t="n">
        <f aca="false">M34-N34-O34-P34-Q34-R34-S34-T34+U34+V34</f>
        <v>88.584803</v>
      </c>
      <c r="X34" s="95" t="n">
        <f aca="false">X33+AO34</f>
        <v>0</v>
      </c>
      <c r="Y34" s="382" t="n">
        <f aca="false">Y33-(AP33/1.9835)</f>
        <v>1707.12836528591</v>
      </c>
      <c r="Z34" s="91"/>
      <c r="AA34" s="121" t="n">
        <v>39</v>
      </c>
      <c r="AB34" s="123" t="n">
        <v>1.7</v>
      </c>
      <c r="AC34" s="124" t="n">
        <v>1.3</v>
      </c>
      <c r="AD34" s="392" t="n">
        <v>920</v>
      </c>
      <c r="AE34" s="393" t="n">
        <f aca="false">AE33</f>
        <v>16031.2578774893</v>
      </c>
      <c r="AF34" s="394" t="n">
        <f aca="false">AD34</f>
        <v>920</v>
      </c>
      <c r="AG34" s="121" t="n">
        <f aca="false">N34+O34+P34+Q34+R34+S34+T34+W34+AA34+AD34</f>
        <v>1140.5</v>
      </c>
      <c r="AH34" s="121" t="n">
        <f aca="false">IF(L34&lt;0,L34*-1,0)</f>
        <v>0</v>
      </c>
      <c r="AI34" s="391" t="n">
        <f aca="false">AG34+AH34</f>
        <v>1140.5</v>
      </c>
      <c r="AJ34" s="88" t="n">
        <v>0</v>
      </c>
      <c r="AK34" s="89" t="n">
        <v>69</v>
      </c>
      <c r="AL34" s="129" t="n">
        <v>31</v>
      </c>
      <c r="AM34" s="95" t="n">
        <f aca="false">AM33</f>
        <v>12798.13705</v>
      </c>
      <c r="AN34" s="91"/>
      <c r="AO34" s="382" t="n">
        <v>0</v>
      </c>
      <c r="AP34" s="383" t="n">
        <f aca="false">29.8*(X33*1.9835+AO34*1.9835+Y33*1.9835)/E34</f>
        <v>0.558022956933966</v>
      </c>
      <c r="AQ34" s="92"/>
      <c r="AR34" s="11"/>
      <c r="AS34" s="1"/>
    </row>
    <row r="35" customFormat="false" ht="12.95" hidden="false" customHeight="true" outlineLevel="0" collapsed="false">
      <c r="A35" s="8" t="n">
        <f aca="false">A34+1</f>
        <v>24</v>
      </c>
      <c r="B35" s="384" t="n">
        <v>6913.34</v>
      </c>
      <c r="C35" s="83" t="n">
        <v>335518</v>
      </c>
      <c r="D35" s="89" t="n">
        <f aca="false">C35-C34</f>
        <v>2661</v>
      </c>
      <c r="E35" s="83" t="n">
        <f aca="false">C35-152000</f>
        <v>183518</v>
      </c>
      <c r="F35" s="389" t="n">
        <f aca="false">D35/$D$2</f>
        <v>1341.56793546761</v>
      </c>
      <c r="G35" s="121" t="n">
        <v>1930</v>
      </c>
      <c r="H35" s="121" t="n">
        <v>295</v>
      </c>
      <c r="I35" s="121" t="n">
        <f aca="false">G35+H35</f>
        <v>2225</v>
      </c>
      <c r="J35" s="390" t="n">
        <f aca="false">IF(L35&gt;0,L35,0)</f>
        <v>445.267935467608</v>
      </c>
      <c r="K35" s="121" t="n">
        <f aca="false">I35+J35</f>
        <v>2670.26793546761</v>
      </c>
      <c r="L35" s="121" t="n">
        <f aca="false">F35-(I35-AG35)</f>
        <v>445.267935467608</v>
      </c>
      <c r="M35" s="123" t="n">
        <v>150</v>
      </c>
      <c r="N35" s="215" t="n">
        <f aca="false">1.8299*1.03</f>
        <v>1.884797</v>
      </c>
      <c r="O35" s="391" t="n">
        <f aca="false">(43+43)*1.05</f>
        <v>90.3</v>
      </c>
      <c r="P35" s="324" t="n">
        <v>0</v>
      </c>
      <c r="Q35" s="352" t="n">
        <f aca="false">1.52*1.02</f>
        <v>1.5504</v>
      </c>
      <c r="R35" s="352" t="n">
        <v>4.16</v>
      </c>
      <c r="S35" s="119" t="n">
        <v>0</v>
      </c>
      <c r="T35" s="381" t="n">
        <v>0</v>
      </c>
      <c r="U35" s="121" t="n">
        <v>40</v>
      </c>
      <c r="V35" s="121" t="n">
        <v>10</v>
      </c>
      <c r="W35" s="122" t="n">
        <f aca="false">M35-N35-O35-P35-Q35-R35-S35-T35+U35+V35</f>
        <v>102.104803</v>
      </c>
      <c r="X35" s="95" t="n">
        <f aca="false">X34+AO35</f>
        <v>0</v>
      </c>
      <c r="Y35" s="382" t="n">
        <f aca="false">Y34-(AP34/1.9835)</f>
        <v>1706.84703281455</v>
      </c>
      <c r="Z35" s="91"/>
      <c r="AA35" s="121" t="n">
        <v>8.7</v>
      </c>
      <c r="AB35" s="123" t="n">
        <v>1.7</v>
      </c>
      <c r="AC35" s="124" t="n">
        <v>1.3</v>
      </c>
      <c r="AD35" s="392" t="n">
        <v>1120</v>
      </c>
      <c r="AE35" s="393" t="n">
        <f aca="false">AE34</f>
        <v>16031.2578774893</v>
      </c>
      <c r="AF35" s="394" t="n">
        <f aca="false">AD35</f>
        <v>1120</v>
      </c>
      <c r="AG35" s="121" t="n">
        <f aca="false">N35+O35+P35+Q35+R35+S35+T35+W35+AA35+AD35</f>
        <v>1328.7</v>
      </c>
      <c r="AH35" s="121" t="n">
        <f aca="false">IF(L35&lt;0,L35*-1,0)</f>
        <v>0</v>
      </c>
      <c r="AI35" s="391" t="n">
        <f aca="false">AG35+AH35</f>
        <v>1328.7</v>
      </c>
      <c r="AJ35" s="88" t="n">
        <v>0</v>
      </c>
      <c r="AK35" s="89" t="n">
        <v>65</v>
      </c>
      <c r="AL35" s="129" t="n">
        <v>33</v>
      </c>
      <c r="AM35" s="95" t="n">
        <f aca="false">AM34</f>
        <v>12798.13705</v>
      </c>
      <c r="AN35" s="91"/>
      <c r="AO35" s="382" t="n">
        <v>0</v>
      </c>
      <c r="AP35" s="383" t="n">
        <f aca="false">29.8*(X34*1.9835+AO35*1.9835+Y34*1.9835)/E35</f>
        <v>0.549839555541304</v>
      </c>
      <c r="AQ35" s="92"/>
      <c r="AR35" s="11"/>
      <c r="AS35" s="1"/>
    </row>
    <row r="36" customFormat="false" ht="12.95" hidden="false" customHeight="true" outlineLevel="0" collapsed="false">
      <c r="A36" s="8" t="n">
        <f aca="false">A35+1</f>
        <v>25</v>
      </c>
      <c r="B36" s="384" t="n">
        <v>6913.75</v>
      </c>
      <c r="C36" s="83" t="n">
        <v>337203</v>
      </c>
      <c r="D36" s="89" t="n">
        <f aca="false">C36-C35</f>
        <v>1685</v>
      </c>
      <c r="E36" s="83" t="n">
        <f aca="false">C36-152000</f>
        <v>185203</v>
      </c>
      <c r="F36" s="389" t="n">
        <f aca="false">D36/$D$2</f>
        <v>849.508444668515</v>
      </c>
      <c r="G36" s="121" t="n">
        <v>1660</v>
      </c>
      <c r="H36" s="121" t="n">
        <v>238</v>
      </c>
      <c r="I36" s="121" t="n">
        <f aca="false">G36+H36</f>
        <v>1898</v>
      </c>
      <c r="J36" s="390" t="n">
        <f aca="false">IF(L36&gt;0,L36,0)</f>
        <v>439.508444668515</v>
      </c>
      <c r="K36" s="121" t="n">
        <f aca="false">I36+J36</f>
        <v>2337.50844466851</v>
      </c>
      <c r="L36" s="121" t="n">
        <f aca="false">F36-(I36-AG36)</f>
        <v>439.508444668515</v>
      </c>
      <c r="M36" s="123" t="n">
        <v>147</v>
      </c>
      <c r="N36" s="215" t="n">
        <f aca="false">1.8299*1.03</f>
        <v>1.884797</v>
      </c>
      <c r="O36" s="391" t="n">
        <f aca="false">(40+39)*1.05</f>
        <v>82.95</v>
      </c>
      <c r="P36" s="324" t="n">
        <v>0</v>
      </c>
      <c r="Q36" s="352" t="n">
        <f aca="false">1.52*1.02</f>
        <v>1.5504</v>
      </c>
      <c r="R36" s="352" t="n">
        <v>4.2</v>
      </c>
      <c r="S36" s="119" t="n">
        <v>0.07</v>
      </c>
      <c r="T36" s="381" t="n">
        <v>0</v>
      </c>
      <c r="U36" s="121" t="n">
        <v>46</v>
      </c>
      <c r="V36" s="121" t="n">
        <v>14</v>
      </c>
      <c r="W36" s="122" t="n">
        <f aca="false">M36-N36-O36-P36-Q36-R36-S36-T36+U36+V36</f>
        <v>116.344803</v>
      </c>
      <c r="X36" s="95" t="n">
        <f aca="false">X35+AO36</f>
        <v>0</v>
      </c>
      <c r="Y36" s="382" t="n">
        <f aca="false">Y35-(AP35/1.9835)</f>
        <v>1706.56982608123</v>
      </c>
      <c r="Z36" s="91"/>
      <c r="AA36" s="121" t="n">
        <v>11</v>
      </c>
      <c r="AB36" s="123" t="n">
        <v>1.7</v>
      </c>
      <c r="AC36" s="124" t="n">
        <v>1.3</v>
      </c>
      <c r="AD36" s="392" t="n">
        <v>1270</v>
      </c>
      <c r="AE36" s="393" t="n">
        <f aca="false">AE35</f>
        <v>16031.2578774893</v>
      </c>
      <c r="AF36" s="394" t="n">
        <f aca="false">AD36</f>
        <v>1270</v>
      </c>
      <c r="AG36" s="121" t="n">
        <f aca="false">N36+O36+P36+Q36+R36+S36+T36+W36+AA36+AD36</f>
        <v>1488</v>
      </c>
      <c r="AH36" s="121" t="n">
        <f aca="false">IF(L36&lt;0,L36*-1,0)</f>
        <v>0</v>
      </c>
      <c r="AI36" s="391" t="n">
        <f aca="false">AG36+AH36</f>
        <v>1488</v>
      </c>
      <c r="AJ36" s="88" t="n">
        <v>0</v>
      </c>
      <c r="AK36" s="89" t="n">
        <v>58</v>
      </c>
      <c r="AL36" s="129" t="n">
        <v>25</v>
      </c>
      <c r="AM36" s="95" t="n">
        <f aca="false">AM35</f>
        <v>12798.13705</v>
      </c>
      <c r="AN36" s="91"/>
      <c r="AO36" s="382" t="n">
        <v>0</v>
      </c>
      <c r="AP36" s="383" t="n">
        <f aca="false">29.8*(X35*1.9835+AO36*1.9835+Y35*1.9835)/E36</f>
        <v>0.544747258250204</v>
      </c>
      <c r="AQ36" s="92"/>
      <c r="AR36" s="11"/>
      <c r="AS36" s="1"/>
    </row>
    <row r="37" customFormat="false" ht="12.95" hidden="false" customHeight="true" outlineLevel="0" collapsed="false">
      <c r="A37" s="8" t="n">
        <f aca="false">A36+1</f>
        <v>26</v>
      </c>
      <c r="B37" s="384" t="n">
        <v>6914.04</v>
      </c>
      <c r="C37" s="83" t="n">
        <v>338396</v>
      </c>
      <c r="D37" s="89" t="n">
        <f aca="false">C37-C36</f>
        <v>1193</v>
      </c>
      <c r="E37" s="83" t="n">
        <f aca="false">C37-152000</f>
        <v>186396</v>
      </c>
      <c r="F37" s="389" t="n">
        <f aca="false">D37/$D$2</f>
        <v>601.462062011596</v>
      </c>
      <c r="G37" s="121" t="n">
        <v>1530</v>
      </c>
      <c r="H37" s="121" t="n">
        <v>194</v>
      </c>
      <c r="I37" s="121" t="n">
        <f aca="false">G37+H37</f>
        <v>1724</v>
      </c>
      <c r="J37" s="390" t="n">
        <f aca="false">IF(L37&gt;0,L37,0)</f>
        <v>365.762062011596</v>
      </c>
      <c r="K37" s="121" t="n">
        <f aca="false">I37+J37</f>
        <v>2089.7620620116</v>
      </c>
      <c r="L37" s="121" t="n">
        <f aca="false">F37-(I37-AG37)</f>
        <v>365.762062011596</v>
      </c>
      <c r="M37" s="123" t="n">
        <v>156</v>
      </c>
      <c r="N37" s="215" t="n">
        <f aca="false">1.8299*1.03</f>
        <v>1.884797</v>
      </c>
      <c r="O37" s="391" t="n">
        <f aca="false">(41+42)*1.05</f>
        <v>87.15</v>
      </c>
      <c r="P37" s="324" t="n">
        <v>0</v>
      </c>
      <c r="Q37" s="352" t="n">
        <f aca="false">1.52*1.02</f>
        <v>1.5504</v>
      </c>
      <c r="R37" s="352" t="n">
        <v>4.2</v>
      </c>
      <c r="S37" s="119" t="n">
        <v>0.19</v>
      </c>
      <c r="T37" s="381" t="n">
        <v>0</v>
      </c>
      <c r="U37" s="121" t="n">
        <v>46</v>
      </c>
      <c r="V37" s="121" t="n">
        <v>12</v>
      </c>
      <c r="W37" s="122" t="n">
        <f aca="false">M37-N37-O37-P37-Q37-R37-S37-T37+U37+V37</f>
        <v>119.024803</v>
      </c>
      <c r="X37" s="95" t="n">
        <f aca="false">X36+AO37</f>
        <v>0</v>
      </c>
      <c r="Y37" s="382" t="n">
        <f aca="false">Y36-(AP36/1.9835)</f>
        <v>1706.29518667702</v>
      </c>
      <c r="Z37" s="91"/>
      <c r="AA37" s="121" t="n">
        <v>4.3</v>
      </c>
      <c r="AB37" s="123" t="n">
        <v>1.7</v>
      </c>
      <c r="AC37" s="124" t="n">
        <v>1.3</v>
      </c>
      <c r="AD37" s="392" t="n">
        <v>1270</v>
      </c>
      <c r="AE37" s="393" t="n">
        <f aca="false">AE36</f>
        <v>16031.2578774893</v>
      </c>
      <c r="AF37" s="394" t="n">
        <f aca="false">AD37</f>
        <v>1270</v>
      </c>
      <c r="AG37" s="121" t="n">
        <f aca="false">N37+O37+P37+Q37+R37+S37+T37+W37+AA37+AD37</f>
        <v>1488.3</v>
      </c>
      <c r="AH37" s="121" t="n">
        <f aca="false">IF(L37&lt;0,L37*-1,0)</f>
        <v>0</v>
      </c>
      <c r="AI37" s="391" t="n">
        <f aca="false">AG37+AH37</f>
        <v>1488.3</v>
      </c>
      <c r="AJ37" s="88" t="n">
        <v>0</v>
      </c>
      <c r="AK37" s="89" t="n">
        <v>62</v>
      </c>
      <c r="AL37" s="90" t="n">
        <v>23</v>
      </c>
      <c r="AM37" s="95" t="n">
        <f aca="false">AM36</f>
        <v>12798.13705</v>
      </c>
      <c r="AN37" s="91"/>
      <c r="AO37" s="382" t="n">
        <v>0</v>
      </c>
      <c r="AP37" s="383" t="n">
        <f aca="false">29.8*(X36*1.9835+AO37*1.9835+Y36*1.9835)/E37</f>
        <v>0.541172778659184</v>
      </c>
      <c r="AQ37" s="92"/>
      <c r="AR37" s="4"/>
      <c r="AS37" s="1"/>
    </row>
    <row r="38" customFormat="false" ht="12.95" hidden="false" customHeight="true" outlineLevel="0" collapsed="false">
      <c r="A38" s="8" t="n">
        <f aca="false">A37+1</f>
        <v>27</v>
      </c>
      <c r="B38" s="384" t="n">
        <v>6914.26</v>
      </c>
      <c r="C38" s="83" t="n">
        <v>339307</v>
      </c>
      <c r="D38" s="89" t="n">
        <f aca="false">C38-C37</f>
        <v>911</v>
      </c>
      <c r="E38" s="83" t="n">
        <f aca="false">C38-152000</f>
        <v>187307</v>
      </c>
      <c r="F38" s="389" t="n">
        <f aca="false">D38/$D$2</f>
        <v>459.289135366776</v>
      </c>
      <c r="G38" s="121" t="n">
        <v>1450</v>
      </c>
      <c r="H38" s="121" t="n">
        <v>176</v>
      </c>
      <c r="I38" s="121" t="n">
        <f aca="false">G38+H38</f>
        <v>1626</v>
      </c>
      <c r="J38" s="390" t="n">
        <f aca="false">IF(L38&gt;0,L38,0)</f>
        <v>310.289135366776</v>
      </c>
      <c r="K38" s="121" t="n">
        <f aca="false">I38+J38</f>
        <v>1936.28913536678</v>
      </c>
      <c r="L38" s="121" t="n">
        <f aca="false">F38-(I38-AG38)</f>
        <v>310.289135366776</v>
      </c>
      <c r="M38" s="123" t="n">
        <v>152</v>
      </c>
      <c r="N38" s="215" t="n">
        <f aca="false">1.8299*1.03</f>
        <v>1.884797</v>
      </c>
      <c r="O38" s="391" t="n">
        <f aca="false">(38+38)*1.05</f>
        <v>79.8</v>
      </c>
      <c r="P38" s="324" t="n">
        <v>0</v>
      </c>
      <c r="Q38" s="352" t="n">
        <f aca="false">1.52*1.02</f>
        <v>1.5504</v>
      </c>
      <c r="R38" s="352" t="n">
        <v>4.2</v>
      </c>
      <c r="S38" s="119" t="n">
        <v>0.06</v>
      </c>
      <c r="T38" s="381" t="n">
        <v>0</v>
      </c>
      <c r="U38" s="121" t="n">
        <v>45</v>
      </c>
      <c r="V38" s="121" t="n">
        <v>20</v>
      </c>
      <c r="W38" s="122" t="n">
        <f aca="false">M38-N38-O38-P38-Q38-R38-S38-T38+U38+V38</f>
        <v>129.504803</v>
      </c>
      <c r="X38" s="95" t="n">
        <f aca="false">X37+AO38</f>
        <v>0</v>
      </c>
      <c r="Y38" s="382" t="n">
        <f aca="false">Y37-(AP37/1.9835)</f>
        <v>1706.02234937999</v>
      </c>
      <c r="Z38" s="91"/>
      <c r="AA38" s="121" t="n">
        <v>0</v>
      </c>
      <c r="AB38" s="123" t="n">
        <v>1.7</v>
      </c>
      <c r="AC38" s="124" t="n">
        <v>1.3</v>
      </c>
      <c r="AD38" s="392" t="n">
        <v>1260</v>
      </c>
      <c r="AE38" s="393" t="n">
        <f aca="false">AE37</f>
        <v>16031.2578774893</v>
      </c>
      <c r="AF38" s="394" t="n">
        <f aca="false">AD38</f>
        <v>1260</v>
      </c>
      <c r="AG38" s="121" t="n">
        <f aca="false">N38+O38+P38+Q38+R38+S38+T38+W38+AA38+AD38</f>
        <v>1477</v>
      </c>
      <c r="AH38" s="121" t="n">
        <f aca="false">IF(L38&lt;0,L38*-1,0)</f>
        <v>0</v>
      </c>
      <c r="AI38" s="391" t="n">
        <f aca="false">AG38+AH38</f>
        <v>1477</v>
      </c>
      <c r="AJ38" s="88" t="n">
        <v>0</v>
      </c>
      <c r="AK38" s="89" t="n">
        <v>61</v>
      </c>
      <c r="AL38" s="90" t="n">
        <v>23</v>
      </c>
      <c r="AM38" s="95" t="n">
        <f aca="false">AM37</f>
        <v>12798.13705</v>
      </c>
      <c r="AN38" s="91"/>
      <c r="AO38" s="382" t="n">
        <v>0</v>
      </c>
      <c r="AP38" s="383" t="n">
        <f aca="false">29.8*(X37*1.9835+AO38*1.9835+Y37*1.9835)/E38</f>
        <v>0.538454023515733</v>
      </c>
      <c r="AQ38" s="92"/>
      <c r="AR38" s="11"/>
      <c r="AS38" s="1"/>
    </row>
    <row r="39" customFormat="false" ht="12.95" hidden="false" customHeight="true" outlineLevel="0" collapsed="false">
      <c r="A39" s="8" t="n">
        <f aca="false">A38+1</f>
        <v>28</v>
      </c>
      <c r="B39" s="384" t="n">
        <v>6914.59</v>
      </c>
      <c r="C39" s="83" t="n">
        <v>340674</v>
      </c>
      <c r="D39" s="89" t="n">
        <f aca="false">C39-C38</f>
        <v>1367</v>
      </c>
      <c r="E39" s="83" t="n">
        <f aca="false">C39-152000</f>
        <v>188674</v>
      </c>
      <c r="F39" s="389" t="n">
        <f aca="false">D39/$D$2</f>
        <v>689.185782707336</v>
      </c>
      <c r="G39" s="121" t="n">
        <v>1550</v>
      </c>
      <c r="H39" s="121" t="n">
        <v>175</v>
      </c>
      <c r="I39" s="121" t="n">
        <f aca="false">G39+H39</f>
        <v>1725</v>
      </c>
      <c r="J39" s="390" t="n">
        <f aca="false">IF(L39&gt;0,L39,0)</f>
        <v>348.185782707336</v>
      </c>
      <c r="K39" s="121" t="n">
        <f aca="false">I39+J39</f>
        <v>2073.18578270734</v>
      </c>
      <c r="L39" s="121" t="n">
        <f aca="false">F39-(I39-AG39)</f>
        <v>348.185782707336</v>
      </c>
      <c r="M39" s="123" t="n">
        <v>175</v>
      </c>
      <c r="N39" s="215" t="n">
        <f aca="false">1.8299*1.03</f>
        <v>1.884797</v>
      </c>
      <c r="O39" s="391" t="n">
        <f aca="false">(38+39)*1.05</f>
        <v>80.85</v>
      </c>
      <c r="P39" s="324" t="n">
        <v>0</v>
      </c>
      <c r="Q39" s="352" t="n">
        <f aca="false">1.52*1.02</f>
        <v>1.5504</v>
      </c>
      <c r="R39" s="352" t="n">
        <v>4.2</v>
      </c>
      <c r="S39" s="119" t="n">
        <v>0.19</v>
      </c>
      <c r="T39" s="381" t="n">
        <v>0</v>
      </c>
      <c r="U39" s="121" t="n">
        <v>45</v>
      </c>
      <c r="V39" s="121" t="n">
        <v>23</v>
      </c>
      <c r="W39" s="122" t="n">
        <f aca="false">M39-N39-O39-P39-Q39-R39-S39-T39+U39+V39</f>
        <v>154.324803</v>
      </c>
      <c r="X39" s="95" t="n">
        <f aca="false">X38+AO39</f>
        <v>0</v>
      </c>
      <c r="Y39" s="382" t="n">
        <f aca="false">Y38-(AP38/1.9835)</f>
        <v>1705.75088276869</v>
      </c>
      <c r="Z39" s="91"/>
      <c r="AA39" s="121" t="n">
        <v>11</v>
      </c>
      <c r="AB39" s="123" t="n">
        <v>1.7</v>
      </c>
      <c r="AC39" s="124" t="n">
        <v>1.3</v>
      </c>
      <c r="AD39" s="392" t="n">
        <v>1130</v>
      </c>
      <c r="AE39" s="393" t="n">
        <f aca="false">AE38</f>
        <v>16031.2578774893</v>
      </c>
      <c r="AF39" s="394" t="n">
        <f aca="false">AD39</f>
        <v>1130</v>
      </c>
      <c r="AG39" s="121" t="n">
        <f aca="false">N39+O39+P39+Q39+R39+S39+T39+W39+AA39+AD39</f>
        <v>1384</v>
      </c>
      <c r="AH39" s="121" t="n">
        <f aca="false">IF(L39&lt;0,L39*-1,0)</f>
        <v>0</v>
      </c>
      <c r="AI39" s="391" t="n">
        <f aca="false">AG39+AH39</f>
        <v>1384</v>
      </c>
      <c r="AJ39" s="88" t="n">
        <v>0</v>
      </c>
      <c r="AK39" s="89" t="n">
        <v>69</v>
      </c>
      <c r="AL39" s="90" t="n">
        <v>33</v>
      </c>
      <c r="AM39" s="95" t="n">
        <f aca="false">AM38</f>
        <v>12798.13705</v>
      </c>
      <c r="AN39" s="91"/>
      <c r="AO39" s="382" t="n">
        <v>0</v>
      </c>
      <c r="AP39" s="383" t="n">
        <f aca="false">29.8*(X38*1.9835+AO39*1.9835+Y38*1.9835)/E39</f>
        <v>0.534467286610012</v>
      </c>
      <c r="AQ39" s="92"/>
      <c r="AR39" s="11"/>
      <c r="AS39" s="1"/>
    </row>
    <row r="40" customFormat="false" ht="12.95" hidden="false" customHeight="true" outlineLevel="0" collapsed="false">
      <c r="A40" s="8" t="n">
        <f aca="false">A39+1</f>
        <v>29</v>
      </c>
      <c r="B40" s="384" t="n">
        <v>6915.02</v>
      </c>
      <c r="C40" s="83" t="n">
        <v>342456</v>
      </c>
      <c r="D40" s="89" t="n">
        <f aca="false">C40-C39</f>
        <v>1782</v>
      </c>
      <c r="E40" s="83" t="n">
        <f aca="false">C40-152000</f>
        <v>190456</v>
      </c>
      <c r="F40" s="389" t="n">
        <f aca="false">D40/$D$2</f>
        <v>898.411898159818</v>
      </c>
      <c r="G40" s="121" t="n">
        <v>1780</v>
      </c>
      <c r="H40" s="121" t="n">
        <v>175</v>
      </c>
      <c r="I40" s="121" t="n">
        <f aca="false">G40+H40</f>
        <v>1955</v>
      </c>
      <c r="J40" s="390" t="n">
        <f aca="false">IF(L40&gt;0,L40,0)</f>
        <v>214.411898159819</v>
      </c>
      <c r="K40" s="121" t="n">
        <f aca="false">I40+J40</f>
        <v>2169.41189815982</v>
      </c>
      <c r="L40" s="121" t="n">
        <f aca="false">F40-(I40-AG40)</f>
        <v>214.411898159819</v>
      </c>
      <c r="M40" s="123" t="n">
        <v>222</v>
      </c>
      <c r="N40" s="215" t="n">
        <f aca="false">1.8299*1.03</f>
        <v>1.884797</v>
      </c>
      <c r="O40" s="391" t="n">
        <f aca="false">(48+45)*1.05</f>
        <v>97.65</v>
      </c>
      <c r="P40" s="324" t="n">
        <v>0</v>
      </c>
      <c r="Q40" s="352" t="n">
        <f aca="false">1.52*1.02</f>
        <v>1.5504</v>
      </c>
      <c r="R40" s="352" t="n">
        <v>4.2</v>
      </c>
      <c r="S40" s="119" t="n">
        <v>0.13</v>
      </c>
      <c r="T40" s="381" t="n">
        <v>0</v>
      </c>
      <c r="U40" s="121" t="n">
        <v>52</v>
      </c>
      <c r="V40" s="121" t="n">
        <v>34</v>
      </c>
      <c r="W40" s="122" t="n">
        <f aca="false">M40-N40-O40-P40-Q40-R40-S40-T40+U40+V40</f>
        <v>202.584803</v>
      </c>
      <c r="X40" s="95" t="n">
        <f aca="false">X39+AO40</f>
        <v>0</v>
      </c>
      <c r="Y40" s="382" t="n">
        <f aca="false">Y39-(AP39/1.9835)</f>
        <v>1705.48142610793</v>
      </c>
      <c r="Z40" s="91"/>
      <c r="AA40" s="121" t="n">
        <v>14</v>
      </c>
      <c r="AB40" s="123" t="n">
        <v>1.7</v>
      </c>
      <c r="AC40" s="124" t="n">
        <v>1.3</v>
      </c>
      <c r="AD40" s="392" t="n">
        <v>949</v>
      </c>
      <c r="AE40" s="393" t="n">
        <f aca="false">AE39</f>
        <v>16031.2578774893</v>
      </c>
      <c r="AF40" s="394" t="n">
        <f aca="false">AD40</f>
        <v>949</v>
      </c>
      <c r="AG40" s="121" t="n">
        <f aca="false">N40+O40+P40+Q40+R40+S40+T40+W40+AA40+AD40</f>
        <v>1271</v>
      </c>
      <c r="AH40" s="121" t="n">
        <f aca="false">IF(L40&lt;0,L40*-1,0)</f>
        <v>0</v>
      </c>
      <c r="AI40" s="391" t="n">
        <f aca="false">AG40+AH40</f>
        <v>1271</v>
      </c>
      <c r="AJ40" s="88" t="n">
        <v>0</v>
      </c>
      <c r="AK40" s="128" t="n">
        <v>72</v>
      </c>
      <c r="AL40" s="90" t="n">
        <v>39</v>
      </c>
      <c r="AM40" s="95" t="n">
        <f aca="false">AM39</f>
        <v>12798.13705</v>
      </c>
      <c r="AN40" s="91"/>
      <c r="AO40" s="382" t="n">
        <v>0</v>
      </c>
      <c r="AP40" s="383" t="n">
        <f aca="false">29.8*(X39*1.9835+AO40*1.9835+Y39*1.9835)/E40</f>
        <v>0.529382297769336</v>
      </c>
      <c r="AQ40" s="92"/>
      <c r="AR40" s="11"/>
      <c r="AS40" s="1"/>
    </row>
    <row r="41" customFormat="false" ht="12.95" hidden="false" customHeight="true" outlineLevel="0" collapsed="false">
      <c r="A41" s="8" t="n">
        <v>30</v>
      </c>
      <c r="B41" s="384" t="n">
        <v>6915.56</v>
      </c>
      <c r="C41" s="83" t="n">
        <v>344710</v>
      </c>
      <c r="D41" s="89" t="n">
        <f aca="false">C41-C40</f>
        <v>2254</v>
      </c>
      <c r="E41" s="83" t="n">
        <f aca="false">C41-152000</f>
        <v>192710</v>
      </c>
      <c r="F41" s="389" t="n">
        <f aca="false">D41/$D$2</f>
        <v>1136.37509452987</v>
      </c>
      <c r="G41" s="121" t="n">
        <v>1900</v>
      </c>
      <c r="H41" s="121" t="n">
        <v>192</v>
      </c>
      <c r="I41" s="121" t="n">
        <f aca="false">G41+H41</f>
        <v>2092</v>
      </c>
      <c r="J41" s="390" t="n">
        <f aca="false">IF(L41&gt;0,L41,0)</f>
        <v>216.175094529871</v>
      </c>
      <c r="K41" s="121" t="n">
        <f aca="false">I41+J41</f>
        <v>2308.17509452987</v>
      </c>
      <c r="L41" s="121" t="n">
        <f aca="false">F41-(I41-AG41)</f>
        <v>216.175094529871</v>
      </c>
      <c r="M41" s="123" t="n">
        <v>254</v>
      </c>
      <c r="N41" s="215" t="n">
        <f aca="false">1.8299*1.03</f>
        <v>1.884797</v>
      </c>
      <c r="O41" s="391" t="n">
        <f aca="false">(47+46)*1.05</f>
        <v>97.65</v>
      </c>
      <c r="P41" s="324" t="n">
        <v>0</v>
      </c>
      <c r="Q41" s="352" t="n">
        <f aca="false">1.52*1.02</f>
        <v>1.5504</v>
      </c>
      <c r="R41" s="352" t="n">
        <v>4.2</v>
      </c>
      <c r="S41" s="119" t="n">
        <v>1.5</v>
      </c>
      <c r="T41" s="381" t="n">
        <v>0</v>
      </c>
      <c r="U41" s="121" t="n">
        <v>57</v>
      </c>
      <c r="V41" s="121" t="n">
        <v>48</v>
      </c>
      <c r="W41" s="122" t="n">
        <f aca="false">M41-N41-O41-P41-Q41-R41-S41-T41+U41+V41-AR41</f>
        <v>232.614803</v>
      </c>
      <c r="X41" s="95" t="n">
        <f aca="false">X40+AO41</f>
        <v>0</v>
      </c>
      <c r="Y41" s="382" t="n">
        <f aca="false">Y40-(AP40/1.9835)</f>
        <v>1705.21453309167</v>
      </c>
      <c r="Z41" s="91"/>
      <c r="AA41" s="121" t="n">
        <v>4.8</v>
      </c>
      <c r="AB41" s="123" t="n">
        <v>1.7</v>
      </c>
      <c r="AC41" s="124" t="n">
        <v>1.3</v>
      </c>
      <c r="AD41" s="392" t="n">
        <v>808</v>
      </c>
      <c r="AE41" s="393" t="n">
        <f aca="false">AE40</f>
        <v>16031.2578774893</v>
      </c>
      <c r="AF41" s="394" t="n">
        <f aca="false">AD41</f>
        <v>808</v>
      </c>
      <c r="AG41" s="121" t="n">
        <f aca="false">N41+O41+P41+Q41+R41+S41+T41+W41+AA41+AD41+AR41</f>
        <v>1171.8</v>
      </c>
      <c r="AH41" s="121" t="n">
        <f aca="false">IF(L41&lt;0,L41*-1,0)</f>
        <v>0</v>
      </c>
      <c r="AI41" s="391" t="n">
        <f aca="false">AG41+AH41</f>
        <v>1171.8</v>
      </c>
      <c r="AJ41" s="88" t="n">
        <v>0</v>
      </c>
      <c r="AK41" s="128" t="n">
        <v>69</v>
      </c>
      <c r="AL41" s="90" t="n">
        <v>34</v>
      </c>
      <c r="AM41" s="95" t="n">
        <f aca="false">AM40</f>
        <v>12798.13705</v>
      </c>
      <c r="AN41" s="91"/>
      <c r="AO41" s="382" t="n">
        <v>0</v>
      </c>
      <c r="AP41" s="383" t="n">
        <f aca="false">29.8*(X40*1.9835+AO41*1.9835+Y40*1.9835)/E41</f>
        <v>0.523107818892718</v>
      </c>
      <c r="AQ41" s="92"/>
      <c r="AR41" s="11" t="n">
        <v>19.6</v>
      </c>
      <c r="AS41" s="1"/>
    </row>
    <row r="42" customFormat="false" ht="3" hidden="false" customHeight="true" outlineLevel="0" collapsed="false">
      <c r="A42" s="98"/>
      <c r="B42" s="395"/>
      <c r="C42" s="106"/>
      <c r="D42" s="104"/>
      <c r="E42" s="106"/>
      <c r="F42" s="386"/>
      <c r="G42" s="104"/>
      <c r="H42" s="104"/>
      <c r="I42" s="104"/>
      <c r="J42" s="104"/>
      <c r="K42" s="104"/>
      <c r="L42" s="104"/>
      <c r="M42" s="107"/>
      <c r="N42" s="104"/>
      <c r="O42" s="104"/>
      <c r="P42" s="387"/>
      <c r="Q42" s="104"/>
      <c r="R42" s="104"/>
      <c r="S42" s="104"/>
      <c r="T42" s="388"/>
      <c r="U42" s="104"/>
      <c r="V42" s="104"/>
      <c r="W42" s="104"/>
      <c r="X42" s="110"/>
      <c r="Y42" s="110"/>
      <c r="Z42" s="112"/>
      <c r="AA42" s="104"/>
      <c r="AB42" s="107"/>
      <c r="AC42" s="108"/>
      <c r="AD42" s="104"/>
      <c r="AE42" s="104"/>
      <c r="AF42" s="104"/>
      <c r="AG42" s="104"/>
      <c r="AH42" s="104"/>
      <c r="AI42" s="104"/>
      <c r="AJ42" s="109"/>
      <c r="AK42" s="110"/>
      <c r="AL42" s="111"/>
      <c r="AM42" s="106"/>
      <c r="AN42" s="112"/>
      <c r="AO42" s="110"/>
      <c r="AP42" s="387"/>
      <c r="AQ42" s="387"/>
      <c r="AR42" s="387"/>
      <c r="AS42" s="387"/>
    </row>
    <row r="43" customFormat="false" ht="12.95" hidden="false" customHeight="true" outlineLevel="0" collapsed="false">
      <c r="A43" s="11" t="s">
        <v>79</v>
      </c>
      <c r="B43" s="380"/>
      <c r="C43" s="83"/>
      <c r="D43" s="83"/>
      <c r="E43" s="83"/>
      <c r="F43" s="131" t="n">
        <f aca="false">SUM(F12:F41)</f>
        <v>23338.0388202672</v>
      </c>
      <c r="G43" s="85" t="n">
        <f aca="false">SUM(G12:G41)</f>
        <v>31674</v>
      </c>
      <c r="H43" s="85" t="n">
        <f aca="false">SUM(H12:H41)</f>
        <v>6234</v>
      </c>
      <c r="I43" s="85" t="n">
        <f aca="false">SUM(I12:I41)</f>
        <v>37908</v>
      </c>
      <c r="J43" s="85" t="n">
        <f aca="false">SUM(J12:J41)</f>
        <v>16623.7388202672</v>
      </c>
      <c r="K43" s="85" t="n">
        <f aca="false">SUM(K12:K41)</f>
        <v>54531.7388202672</v>
      </c>
      <c r="L43" s="85" t="n">
        <f aca="false">SUM(L12:L41)</f>
        <v>16623.7388202672</v>
      </c>
      <c r="M43" s="86" t="n">
        <f aca="false">SUM(M12:M41)</f>
        <v>2745.8</v>
      </c>
      <c r="N43" s="83" t="n">
        <f aca="false">SUM(N12:N41)</f>
        <v>56.54391</v>
      </c>
      <c r="O43" s="83" t="n">
        <f aca="false">SUM(O12:O41)</f>
        <v>1695.33</v>
      </c>
      <c r="P43" s="324" t="n">
        <f aca="false">SUM(P12:P41)</f>
        <v>0</v>
      </c>
      <c r="Q43" s="83" t="n">
        <f aca="false">SUM(Q12:Q41)</f>
        <v>46.512</v>
      </c>
      <c r="R43" s="83" t="n">
        <f aca="false">SUM(R12:R41)</f>
        <v>106.19</v>
      </c>
      <c r="S43" s="83" t="n">
        <f aca="false">SUM(S12:S41)</f>
        <v>2.43</v>
      </c>
      <c r="T43" s="381" t="n">
        <f aca="false">SUM(T12:T41)</f>
        <v>0</v>
      </c>
      <c r="U43" s="85" t="n">
        <f aca="false">SUM(U12:U41)</f>
        <v>1031.3</v>
      </c>
      <c r="V43" s="85" t="n">
        <f aca="false">SUM(V12:V41)</f>
        <v>178.2</v>
      </c>
      <c r="W43" s="85" t="n">
        <f aca="false">SUM(W12:W41)</f>
        <v>2028.69409</v>
      </c>
      <c r="X43" s="382"/>
      <c r="Y43" s="382"/>
      <c r="Z43" s="91"/>
      <c r="AA43" s="85" t="n">
        <f aca="false">SUM(AA12:AA41)</f>
        <v>187.4</v>
      </c>
      <c r="AB43" s="85" t="n">
        <f aca="false">SUM(AB12:AB41)</f>
        <v>51</v>
      </c>
      <c r="AC43" s="85" t="n">
        <f aca="false">SUM(AC12:AC41)</f>
        <v>39</v>
      </c>
      <c r="AD43" s="85" t="n">
        <f aca="false">SUM(AD12:AD41)</f>
        <v>27051</v>
      </c>
      <c r="AE43" s="85"/>
      <c r="AF43" s="85" t="n">
        <f aca="false">SUM(AF12:AF41)</f>
        <v>27051</v>
      </c>
      <c r="AG43" s="85" t="n">
        <f aca="false">SUM(AG12:AG41)</f>
        <v>31193.7</v>
      </c>
      <c r="AH43" s="85" t="n">
        <f aca="false">SUM(AH12:AH41)</f>
        <v>0</v>
      </c>
      <c r="AI43" s="83" t="n">
        <f aca="false">SUM(AI12:AI41)</f>
        <v>31193.7</v>
      </c>
      <c r="AJ43" s="88" t="n">
        <f aca="false">SUM(AJ12:AJ41)</f>
        <v>0.69</v>
      </c>
      <c r="AK43" s="89" t="n">
        <f aca="false">AVERAGE(AK12:AK41)</f>
        <v>60.3333333333333</v>
      </c>
      <c r="AL43" s="90" t="n">
        <f aca="false">AVERAGE(AL12:AL41)</f>
        <v>29.8333333333333</v>
      </c>
      <c r="AM43" s="85" t="s">
        <v>110</v>
      </c>
      <c r="AN43" s="396" t="n">
        <f aca="false">SUM(AN12:AN41)</f>
        <v>0</v>
      </c>
      <c r="AO43" s="382"/>
      <c r="AP43" s="383"/>
      <c r="AQ43" s="92"/>
      <c r="AR43" s="1"/>
      <c r="AS43" s="1"/>
    </row>
    <row r="44" customFormat="false" ht="12.95" hidden="false" customHeight="true" outlineLevel="0" collapsed="false">
      <c r="A44" s="11" t="s">
        <v>81</v>
      </c>
      <c r="B44" s="380"/>
      <c r="C44" s="83"/>
      <c r="D44" s="83" t="n">
        <f aca="false">SUM(D12:D41)</f>
        <v>46291</v>
      </c>
      <c r="E44" s="83"/>
      <c r="F44" s="131" t="n">
        <f aca="false">F43*$D$2</f>
        <v>46291</v>
      </c>
      <c r="G44" s="85" t="n">
        <f aca="false">G43*$D$2</f>
        <v>62825.379</v>
      </c>
      <c r="H44" s="85" t="n">
        <f aca="false">H43*$D$2</f>
        <v>12365.139</v>
      </c>
      <c r="I44" s="85" t="n">
        <f aca="false">I43*$D$2</f>
        <v>75190.518</v>
      </c>
      <c r="J44" s="85" t="n">
        <f aca="false">J43*$D$2</f>
        <v>32973.18595</v>
      </c>
      <c r="K44" s="85" t="n">
        <f aca="false">K43*$D$2</f>
        <v>108163.70395</v>
      </c>
      <c r="L44" s="85" t="n">
        <f aca="false">L43*$D$2</f>
        <v>32973.18595</v>
      </c>
      <c r="M44" s="86" t="n">
        <f aca="false">M43*$D$2</f>
        <v>5446.2943</v>
      </c>
      <c r="N44" s="83" t="n">
        <f aca="false">N43*$D$2</f>
        <v>112.154845485</v>
      </c>
      <c r="O44" s="83" t="n">
        <f aca="false">O43*$D$2</f>
        <v>3362.687055</v>
      </c>
      <c r="P44" s="324" t="n">
        <f aca="false">P43*$D$2</f>
        <v>0</v>
      </c>
      <c r="Q44" s="83" t="n">
        <f aca="false">Q43*$D$2</f>
        <v>92.256552</v>
      </c>
      <c r="R44" s="83" t="n">
        <f aca="false">R43*$D$2</f>
        <v>210.627865</v>
      </c>
      <c r="S44" s="83" t="n">
        <f aca="false">S43*$D$2</f>
        <v>4.819905</v>
      </c>
      <c r="T44" s="381" t="n">
        <f aca="false">T43*$D$2</f>
        <v>0</v>
      </c>
      <c r="U44" s="85" t="n">
        <f aca="false">U43*$D$2</f>
        <v>2045.58355</v>
      </c>
      <c r="V44" s="85" t="n">
        <f aca="false">V43*$D$2</f>
        <v>353.4597</v>
      </c>
      <c r="W44" s="85" t="n">
        <f aca="false">W43*$D$2</f>
        <v>4023.914727515</v>
      </c>
      <c r="X44" s="382"/>
      <c r="Y44" s="382"/>
      <c r="Z44" s="91"/>
      <c r="AA44" s="85" t="n">
        <f aca="false">AA43*$D$2</f>
        <v>371.7079</v>
      </c>
      <c r="AB44" s="85" t="n">
        <f aca="false">AB43*$D$2</f>
        <v>101.1585</v>
      </c>
      <c r="AC44" s="85" t="n">
        <f aca="false">AC43*$D$2</f>
        <v>77.3565</v>
      </c>
      <c r="AD44" s="85" t="n">
        <f aca="false">AD43*$D$2</f>
        <v>53655.6585</v>
      </c>
      <c r="AE44" s="85"/>
      <c r="AF44" s="85" t="n">
        <f aca="false">AF43*$D$2</f>
        <v>53655.6585</v>
      </c>
      <c r="AG44" s="85" t="n">
        <f aca="false">AG43*$D$2</f>
        <v>61872.70395</v>
      </c>
      <c r="AH44" s="85" t="n">
        <f aca="false">AH43*$D$2</f>
        <v>0</v>
      </c>
      <c r="AI44" s="83" t="n">
        <f aca="false">AI43*$D$2</f>
        <v>61872.70395</v>
      </c>
      <c r="AJ44" s="88"/>
      <c r="AK44" s="89" t="n">
        <f aca="false">MAX(AK12:AK41)</f>
        <v>72</v>
      </c>
      <c r="AL44" s="90" t="n">
        <f aca="false">MAX(AL12:AL41)</f>
        <v>58</v>
      </c>
      <c r="AM44" s="85" t="s">
        <v>82</v>
      </c>
      <c r="AN44" s="396" t="n">
        <f aca="false">AN43*$D$2</f>
        <v>0</v>
      </c>
      <c r="AO44" s="382"/>
      <c r="AP44" s="383" t="n">
        <f aca="false">SUM(AP12:AP41)</f>
        <v>18.2267714315737</v>
      </c>
      <c r="AQ44" s="92"/>
      <c r="AR44" s="1"/>
      <c r="AS44" s="1"/>
    </row>
    <row r="45" customFormat="false" ht="3" hidden="false" customHeight="true" outlineLevel="0" collapsed="false">
      <c r="A45" s="98"/>
      <c r="B45" s="395"/>
      <c r="C45" s="106"/>
      <c r="D45" s="106"/>
      <c r="E45" s="106"/>
      <c r="F45" s="138"/>
      <c r="G45" s="106"/>
      <c r="H45" s="104"/>
      <c r="I45" s="106"/>
      <c r="J45" s="106"/>
      <c r="K45" s="106"/>
      <c r="L45" s="106"/>
      <c r="M45" s="136"/>
      <c r="N45" s="106"/>
      <c r="O45" s="106"/>
      <c r="P45" s="387"/>
      <c r="Q45" s="106"/>
      <c r="R45" s="106"/>
      <c r="S45" s="106"/>
      <c r="T45" s="388"/>
      <c r="U45" s="106"/>
      <c r="V45" s="106"/>
      <c r="W45" s="106"/>
      <c r="X45" s="110"/>
      <c r="Y45" s="110"/>
      <c r="Z45" s="112"/>
      <c r="AA45" s="106"/>
      <c r="AB45" s="106"/>
      <c r="AC45" s="106"/>
      <c r="AD45" s="106"/>
      <c r="AE45" s="104"/>
      <c r="AF45" s="106"/>
      <c r="AG45" s="106"/>
      <c r="AH45" s="106"/>
      <c r="AI45" s="106"/>
      <c r="AJ45" s="397"/>
      <c r="AK45" s="106"/>
      <c r="AL45" s="138"/>
      <c r="AM45" s="106"/>
      <c r="AN45" s="112"/>
      <c r="AO45" s="110"/>
      <c r="AP45" s="387"/>
      <c r="AQ45" s="387"/>
      <c r="AR45" s="387"/>
      <c r="AS45" s="387"/>
    </row>
    <row r="46" customFormat="false" ht="12.95" hidden="false" customHeight="true" outlineLevel="0" collapsed="false">
      <c r="A46" s="11" t="s">
        <v>83</v>
      </c>
      <c r="B46" s="380"/>
      <c r="C46" s="83"/>
      <c r="D46" s="83"/>
      <c r="E46" s="83"/>
      <c r="F46" s="131" t="n">
        <f aca="false">F43</f>
        <v>23338.0388202672</v>
      </c>
      <c r="G46" s="85" t="n">
        <f aca="false">G43</f>
        <v>31674</v>
      </c>
      <c r="H46" s="85" t="n">
        <f aca="false">H43</f>
        <v>6234</v>
      </c>
      <c r="I46" s="85" t="n">
        <f aca="false">I43</f>
        <v>37908</v>
      </c>
      <c r="J46" s="85" t="n">
        <f aca="false">J43</f>
        <v>16623.7388202672</v>
      </c>
      <c r="K46" s="85" t="n">
        <f aca="false">K43</f>
        <v>54531.7388202672</v>
      </c>
      <c r="L46" s="85" t="n">
        <f aca="false">L43</f>
        <v>16623.7388202672</v>
      </c>
      <c r="M46" s="86" t="n">
        <f aca="false">M43</f>
        <v>2745.8</v>
      </c>
      <c r="N46" s="83" t="n">
        <f aca="false">N43</f>
        <v>56.54391</v>
      </c>
      <c r="O46" s="83" t="n">
        <f aca="false">O9+O43</f>
        <v>1724.6985</v>
      </c>
      <c r="P46" s="324" t="n">
        <f aca="false">P9+P43</f>
        <v>0</v>
      </c>
      <c r="Q46" s="83"/>
      <c r="R46" s="83"/>
      <c r="S46" s="83"/>
      <c r="T46" s="381"/>
      <c r="U46" s="85" t="n">
        <f aca="false">U43</f>
        <v>1031.3</v>
      </c>
      <c r="V46" s="85" t="n">
        <f aca="false">V43</f>
        <v>178.2</v>
      </c>
      <c r="W46" s="85" t="n">
        <f aca="false">W9+W43-SUM(U12:U19)</f>
        <v>1578.73199</v>
      </c>
      <c r="X46" s="382" t="n">
        <f aca="false">X41</f>
        <v>0</v>
      </c>
      <c r="Y46" s="382" t="n">
        <f aca="false">Y41</f>
        <v>1705.21453309167</v>
      </c>
      <c r="Z46" s="91"/>
      <c r="AA46" s="85" t="n">
        <f aca="false">AA43</f>
        <v>187.4</v>
      </c>
      <c r="AB46" s="85" t="n">
        <f aca="false">AB43</f>
        <v>51</v>
      </c>
      <c r="AC46" s="85" t="n">
        <f aca="false">AC43</f>
        <v>39</v>
      </c>
      <c r="AD46" s="85"/>
      <c r="AE46" s="85"/>
      <c r="AF46" s="85" t="n">
        <f aca="false">AF43</f>
        <v>27051</v>
      </c>
      <c r="AG46" s="85" t="n">
        <f aca="false">AG43</f>
        <v>31193.7</v>
      </c>
      <c r="AH46" s="85" t="n">
        <f aca="false">AH43</f>
        <v>0</v>
      </c>
      <c r="AI46" s="83" t="n">
        <f aca="false">AI43</f>
        <v>31193.7</v>
      </c>
      <c r="AJ46" s="88"/>
      <c r="AK46" s="89" t="n">
        <f aca="false">MIN(AK12:AK41)</f>
        <v>39</v>
      </c>
      <c r="AL46" s="90" t="n">
        <f aca="false">MIN(AL12:AL41)</f>
        <v>20</v>
      </c>
      <c r="AM46" s="85" t="s">
        <v>84</v>
      </c>
      <c r="AN46" s="91"/>
      <c r="AO46" s="382"/>
      <c r="AP46" s="383"/>
      <c r="AQ46" s="92"/>
      <c r="AR46" s="1"/>
      <c r="AS46" s="1"/>
    </row>
    <row r="47" customFormat="false" ht="12.95" hidden="false" customHeight="true" outlineLevel="0" collapsed="false">
      <c r="A47" s="11" t="s">
        <v>85</v>
      </c>
      <c r="B47" s="380"/>
      <c r="C47" s="83"/>
      <c r="D47" s="83"/>
      <c r="E47" s="83"/>
      <c r="F47" s="131" t="n">
        <f aca="false">F46*$D$2</f>
        <v>46291</v>
      </c>
      <c r="G47" s="85" t="n">
        <f aca="false">G46*$D$2</f>
        <v>62825.379</v>
      </c>
      <c r="H47" s="85" t="n">
        <f aca="false">H46*$D$2</f>
        <v>12365.139</v>
      </c>
      <c r="I47" s="85" t="n">
        <f aca="false">I46*$D$2</f>
        <v>75190.518</v>
      </c>
      <c r="J47" s="85" t="n">
        <f aca="false">J46*$D$2</f>
        <v>32973.18595</v>
      </c>
      <c r="K47" s="85" t="n">
        <f aca="false">K46*$D$2</f>
        <v>108163.70395</v>
      </c>
      <c r="L47" s="85" t="n">
        <f aca="false">L46*$D$2</f>
        <v>32973.18595</v>
      </c>
      <c r="M47" s="86" t="n">
        <f aca="false">M46*$D$2</f>
        <v>5446.2943</v>
      </c>
      <c r="N47" s="83" t="n">
        <f aca="false">N46*$D$2</f>
        <v>112.154845485</v>
      </c>
      <c r="O47" s="83" t="n">
        <f aca="false">O46*$D$2</f>
        <v>3420.93947475</v>
      </c>
      <c r="P47" s="324" t="n">
        <f aca="false">P46*$D$2</f>
        <v>0</v>
      </c>
      <c r="Q47" s="83"/>
      <c r="R47" s="83"/>
      <c r="S47" s="83"/>
      <c r="T47" s="381"/>
      <c r="U47" s="85" t="n">
        <f aca="false">U46*$D$2</f>
        <v>2045.58355</v>
      </c>
      <c r="V47" s="85" t="n">
        <f aca="false">V46*$D$2</f>
        <v>353.4597</v>
      </c>
      <c r="W47" s="85" t="n">
        <f aca="false">W46*$D$2</f>
        <v>3131.414902165</v>
      </c>
      <c r="X47" s="382" t="n">
        <f aca="false">X46*$D$2</f>
        <v>0</v>
      </c>
      <c r="Y47" s="382" t="n">
        <f aca="false">Y46*$D$2</f>
        <v>3382.29302638732</v>
      </c>
      <c r="Z47" s="91"/>
      <c r="AA47" s="85" t="n">
        <f aca="false">AA46*$D$2</f>
        <v>371.7079</v>
      </c>
      <c r="AB47" s="85" t="n">
        <f aca="false">AB46*$D$2</f>
        <v>101.1585</v>
      </c>
      <c r="AC47" s="85" t="n">
        <f aca="false">AC46*$D$2</f>
        <v>77.3565</v>
      </c>
      <c r="AD47" s="85"/>
      <c r="AE47" s="85"/>
      <c r="AF47" s="85" t="n">
        <f aca="false">AF46*$D$2</f>
        <v>53655.6585</v>
      </c>
      <c r="AG47" s="85" t="n">
        <f aca="false">AG46*$D$2</f>
        <v>61872.70395</v>
      </c>
      <c r="AH47" s="85" t="n">
        <f aca="false">AH46*$D$2</f>
        <v>0</v>
      </c>
      <c r="AI47" s="83" t="n">
        <f aca="false">AI46*$D$2</f>
        <v>61872.70395</v>
      </c>
      <c r="AJ47" s="88"/>
      <c r="AK47" s="89"/>
      <c r="AL47" s="90"/>
      <c r="AM47" s="85"/>
      <c r="AN47" s="91"/>
      <c r="AO47" s="382"/>
      <c r="AP47" s="383" t="n">
        <f aca="false">AP44</f>
        <v>18.2267714315737</v>
      </c>
      <c r="AQ47" s="92"/>
      <c r="AR47" s="1"/>
      <c r="AS47" s="1"/>
    </row>
    <row r="48" customFormat="false" ht="3" hidden="false" customHeight="true" outlineLevel="0" collapsed="false">
      <c r="A48" s="98"/>
      <c r="B48" s="395"/>
      <c r="C48" s="106"/>
      <c r="D48" s="106"/>
      <c r="E48" s="106"/>
      <c r="F48" s="138"/>
      <c r="G48" s="106"/>
      <c r="H48" s="104"/>
      <c r="I48" s="106"/>
      <c r="J48" s="106"/>
      <c r="K48" s="106"/>
      <c r="L48" s="106"/>
      <c r="M48" s="136"/>
      <c r="N48" s="106"/>
      <c r="O48" s="106"/>
      <c r="P48" s="387"/>
      <c r="Q48" s="106"/>
      <c r="R48" s="106"/>
      <c r="S48" s="106"/>
      <c r="T48" s="388"/>
      <c r="U48" s="106"/>
      <c r="V48" s="106"/>
      <c r="W48" s="106"/>
      <c r="X48" s="110"/>
      <c r="Y48" s="110"/>
      <c r="Z48" s="112"/>
      <c r="AA48" s="106"/>
      <c r="AB48" s="106"/>
      <c r="AC48" s="106"/>
      <c r="AD48" s="106"/>
      <c r="AE48" s="106"/>
      <c r="AF48" s="106"/>
      <c r="AG48" s="106"/>
      <c r="AH48" s="106"/>
      <c r="AI48" s="106"/>
      <c r="AJ48" s="109"/>
      <c r="AK48" s="398"/>
      <c r="AL48" s="399"/>
      <c r="AM48" s="106"/>
      <c r="AN48" s="112"/>
      <c r="AO48" s="110"/>
      <c r="AP48" s="387"/>
      <c r="AQ48" s="387"/>
      <c r="AR48" s="387"/>
      <c r="AS48" s="387"/>
    </row>
    <row r="49" customFormat="false" ht="12.95" hidden="false" customHeight="true" outlineLevel="0" collapsed="false">
      <c r="A49" s="11" t="s">
        <v>86</v>
      </c>
      <c r="B49" s="380"/>
      <c r="C49" s="83"/>
      <c r="D49" s="83"/>
      <c r="E49" s="83"/>
      <c r="F49" s="131" t="n">
        <f aca="false">F10+F43</f>
        <v>28651.8779934459</v>
      </c>
      <c r="G49" s="85" t="n">
        <f aca="false">G10+G43</f>
        <v>47938</v>
      </c>
      <c r="H49" s="85" t="n">
        <f aca="false">H10+H43</f>
        <v>8380.14</v>
      </c>
      <c r="I49" s="85" t="n">
        <f aca="false">I10+I43</f>
        <v>56318.14</v>
      </c>
      <c r="J49" s="85" t="n">
        <f aca="false">J10+J43</f>
        <v>23621.864560121</v>
      </c>
      <c r="K49" s="85" t="n">
        <f aca="false">K10+K43</f>
        <v>79940.004560121</v>
      </c>
      <c r="L49" s="85" t="n">
        <f aca="false">L10+L43</f>
        <v>21599.9979934459</v>
      </c>
      <c r="M49" s="86" t="n">
        <f aca="false">M10+M43</f>
        <v>3658.6</v>
      </c>
      <c r="N49" s="83" t="n">
        <f aca="false">N10+N43</f>
        <v>56.54391</v>
      </c>
      <c r="O49" s="83" t="n">
        <f aca="false">O10+O43</f>
        <v>1724.6985</v>
      </c>
      <c r="P49" s="324"/>
      <c r="Q49" s="83" t="n">
        <f aca="false">Q10+Q43</f>
        <v>273.7986</v>
      </c>
      <c r="R49" s="83" t="n">
        <f aca="false">R10+R43</f>
        <v>570.433</v>
      </c>
      <c r="S49" s="83" t="n">
        <f aca="false">S10+S43</f>
        <v>6.62</v>
      </c>
      <c r="T49" s="381" t="n">
        <f aca="false">T10+T43</f>
        <v>-94.5288</v>
      </c>
      <c r="U49" s="85" t="n">
        <f aca="false">U10+U43</f>
        <v>7096.26</v>
      </c>
      <c r="V49" s="85" t="n">
        <f aca="false">V10+V43</f>
        <v>263</v>
      </c>
      <c r="W49" s="85" t="n">
        <f aca="false">W10+W43</f>
        <v>8031.03199</v>
      </c>
      <c r="X49" s="382"/>
      <c r="Y49" s="382"/>
      <c r="Z49" s="91"/>
      <c r="AA49" s="85"/>
      <c r="AB49" s="85"/>
      <c r="AC49" s="85"/>
      <c r="AD49" s="85" t="n">
        <f aca="false">AD10+AD43</f>
        <v>38061</v>
      </c>
      <c r="AE49" s="85" t="n">
        <f aca="false">AE41</f>
        <v>16031.2578774893</v>
      </c>
      <c r="AF49" s="85" t="n">
        <f aca="false">AF10+AF43</f>
        <v>33122</v>
      </c>
      <c r="AG49" s="85" t="n">
        <f aca="false">AG10+AG43</f>
        <v>49266.26</v>
      </c>
      <c r="AH49" s="85" t="n">
        <f aca="false">AH10+AH43</f>
        <v>2021.86656667507</v>
      </c>
      <c r="AI49" s="83" t="n">
        <f aca="false">AI10+AI43</f>
        <v>51288.1265666751</v>
      </c>
      <c r="AJ49" s="88" t="n">
        <f aca="false">AJ10+AJ43</f>
        <v>10.17</v>
      </c>
      <c r="AK49" s="89"/>
      <c r="AL49" s="90"/>
      <c r="AM49" s="85"/>
      <c r="AN49" s="396" t="n">
        <f aca="false">AN10+AN43</f>
        <v>0</v>
      </c>
      <c r="AO49" s="382"/>
      <c r="AP49" s="383"/>
      <c r="AQ49" s="92"/>
      <c r="AR49" s="1"/>
      <c r="AS49" s="1"/>
    </row>
    <row r="50" customFormat="false" ht="12.95" hidden="false" customHeight="true" outlineLevel="0" collapsed="false">
      <c r="A50" s="11" t="s">
        <v>87</v>
      </c>
      <c r="B50" s="380"/>
      <c r="C50" s="83"/>
      <c r="D50" s="83" t="n">
        <f aca="false">D10+D44</f>
        <v>56756</v>
      </c>
      <c r="E50" s="83" t="n">
        <f aca="false">E41</f>
        <v>192710</v>
      </c>
      <c r="F50" s="131" t="n">
        <f aca="false">F49*$D$2</f>
        <v>56831</v>
      </c>
      <c r="G50" s="85" t="n">
        <f aca="false">G49*$D$2</f>
        <v>95085.023</v>
      </c>
      <c r="H50" s="85" t="n">
        <f aca="false">H49*$D$2</f>
        <v>16622.00769</v>
      </c>
      <c r="I50" s="85" t="n">
        <f aca="false">I49*$D$2</f>
        <v>111707.03069</v>
      </c>
      <c r="J50" s="85" t="n">
        <f aca="false">J49*$D$2</f>
        <v>46853.968355</v>
      </c>
      <c r="K50" s="85" t="n">
        <f aca="false">K49*$D$2</f>
        <v>158560.999045</v>
      </c>
      <c r="L50" s="85" t="n">
        <f aca="false">L49*$D$2</f>
        <v>42843.59602</v>
      </c>
      <c r="M50" s="86" t="n">
        <f aca="false">M49*$D$2</f>
        <v>7256.8331</v>
      </c>
      <c r="N50" s="83" t="n">
        <f aca="false">N49*$D$2</f>
        <v>112.154845485</v>
      </c>
      <c r="O50" s="83" t="n">
        <f aca="false">O49*$D$2</f>
        <v>3420.93947475</v>
      </c>
      <c r="P50" s="324"/>
      <c r="Q50" s="83" t="n">
        <f aca="false">Q49*$D$2</f>
        <v>543.0795231</v>
      </c>
      <c r="R50" s="83" t="n">
        <f aca="false">R49*$D$2</f>
        <v>1131.4538555</v>
      </c>
      <c r="S50" s="83" t="n">
        <f aca="false">S49*$D$2</f>
        <v>13.13077</v>
      </c>
      <c r="T50" s="400" t="n">
        <f aca="false">T49*$D$2</f>
        <v>-187.4978748</v>
      </c>
      <c r="U50" s="85" t="n">
        <f aca="false">U49*$D$2</f>
        <v>14075.43171</v>
      </c>
      <c r="V50" s="85" t="n">
        <f aca="false">V49*$D$2</f>
        <v>521.6605</v>
      </c>
      <c r="W50" s="85" t="n">
        <f aca="false">W49*$D$2</f>
        <v>15929.551952165</v>
      </c>
      <c r="X50" s="382"/>
      <c r="Y50" s="382"/>
      <c r="Z50" s="91"/>
      <c r="AA50" s="85"/>
      <c r="AB50" s="85"/>
      <c r="AC50" s="85"/>
      <c r="AD50" s="85" t="n">
        <f aca="false">AD49*$D$2</f>
        <v>75493.9935</v>
      </c>
      <c r="AE50" s="85" t="n">
        <f aca="false">AE49*$D$2</f>
        <v>31798</v>
      </c>
      <c r="AF50" s="85" t="n">
        <f aca="false">AF49*$D$2</f>
        <v>65697.487</v>
      </c>
      <c r="AG50" s="85" t="n">
        <f aca="false">AG49*$D$2</f>
        <v>97719.62671</v>
      </c>
      <c r="AH50" s="85" t="n">
        <f aca="false">AH49*$D$2</f>
        <v>4010.372335</v>
      </c>
      <c r="AI50" s="83" t="n">
        <f aca="false">AI49*$D$2</f>
        <v>101729.999045</v>
      </c>
      <c r="AJ50" s="88"/>
      <c r="AK50" s="89"/>
      <c r="AL50" s="90"/>
      <c r="AM50" s="85" t="n">
        <f aca="false">AM41</f>
        <v>12798.13705</v>
      </c>
      <c r="AN50" s="396" t="n">
        <f aca="false">AN49*$D$2</f>
        <v>0</v>
      </c>
      <c r="AO50" s="382"/>
      <c r="AP50" s="383" t="n">
        <f aca="false">AP44</f>
        <v>18.2267714315737</v>
      </c>
      <c r="AQ50" s="92"/>
      <c r="AR50" s="1"/>
      <c r="AS50" s="1"/>
    </row>
    <row r="51" customFormat="false" ht="3" hidden="false" customHeight="true" outlineLevel="0" collapsed="false">
      <c r="A51" s="98"/>
      <c r="B51" s="130"/>
      <c r="C51" s="100"/>
      <c r="D51" s="98"/>
      <c r="E51" s="100"/>
      <c r="F51" s="101"/>
      <c r="G51" s="98"/>
      <c r="H51" s="98"/>
      <c r="I51" s="98"/>
      <c r="J51" s="98"/>
      <c r="K51" s="98"/>
      <c r="L51" s="98"/>
      <c r="M51" s="103"/>
      <c r="N51" s="98"/>
      <c r="O51" s="98"/>
      <c r="P51" s="102"/>
      <c r="Q51" s="98"/>
      <c r="R51" s="98"/>
      <c r="S51" s="98"/>
      <c r="T51" s="401"/>
      <c r="U51" s="98"/>
      <c r="V51" s="98"/>
      <c r="W51" s="98"/>
      <c r="X51" s="402"/>
      <c r="Y51" s="402"/>
      <c r="Z51" s="141"/>
      <c r="AA51" s="98"/>
      <c r="AB51" s="103"/>
      <c r="AC51" s="140"/>
      <c r="AD51" s="98"/>
      <c r="AE51" s="100"/>
      <c r="AF51" s="403"/>
      <c r="AG51" s="98"/>
      <c r="AH51" s="98"/>
      <c r="AI51" s="98"/>
      <c r="AJ51" s="130"/>
      <c r="AK51" s="98"/>
      <c r="AL51" s="101"/>
      <c r="AM51" s="100"/>
      <c r="AN51" s="141"/>
      <c r="AO51" s="402"/>
      <c r="AP51" s="102"/>
      <c r="AQ51" s="102"/>
      <c r="AR51" s="404"/>
      <c r="AS51" s="405"/>
    </row>
    <row r="52" customFormat="false" ht="14.1" hidden="false" customHeight="true" outlineLevel="0" collapsed="false">
      <c r="A52" s="144"/>
      <c r="B52" s="145"/>
      <c r="D52" s="11"/>
      <c r="F52" s="11"/>
      <c r="G52" s="11"/>
      <c r="I52" s="11"/>
      <c r="J52" s="11"/>
      <c r="K52" s="11"/>
      <c r="L52" s="11"/>
      <c r="M52" s="11"/>
      <c r="N52" s="11"/>
      <c r="O52" s="11"/>
      <c r="Q52" s="11"/>
      <c r="R52" s="11"/>
      <c r="S52" s="11"/>
      <c r="U52" s="11"/>
      <c r="V52" s="11"/>
      <c r="W52" s="11"/>
      <c r="AA52" s="11"/>
      <c r="AB52" s="11"/>
      <c r="AC52" s="11"/>
      <c r="AD52" s="11"/>
      <c r="AE52" s="2"/>
      <c r="AF52" s="93"/>
      <c r="AG52" s="11"/>
      <c r="AH52" s="11"/>
      <c r="AI52" s="26"/>
      <c r="AL52" s="115"/>
      <c r="AM52" s="2"/>
      <c r="AN52" s="4"/>
      <c r="AO52" s="358"/>
      <c r="AP52" s="43"/>
    </row>
    <row r="53" customFormat="false" ht="11.1" hidden="false" customHeight="true" outlineLevel="0" collapsed="false">
      <c r="A53" s="11"/>
      <c r="B53" s="146"/>
      <c r="F53" s="11"/>
      <c r="G53" s="11"/>
      <c r="I53" s="147"/>
      <c r="J53" s="11"/>
      <c r="K53" s="148"/>
      <c r="L53" s="11"/>
      <c r="M53" s="11"/>
      <c r="N53" s="11"/>
      <c r="O53" s="11"/>
      <c r="Q53" s="11"/>
      <c r="R53" s="11"/>
      <c r="S53" s="11"/>
      <c r="U53" s="11"/>
      <c r="V53" s="11"/>
      <c r="W53" s="11"/>
      <c r="AA53" s="11"/>
      <c r="AB53" s="11"/>
      <c r="AC53" s="11"/>
      <c r="AD53" s="11"/>
      <c r="AE53" s="2"/>
      <c r="AF53" s="93"/>
      <c r="AG53" s="11"/>
      <c r="AH53" s="11"/>
      <c r="AI53" s="118"/>
      <c r="AL53" s="115"/>
      <c r="AM53" s="2"/>
      <c r="AN53" s="4"/>
      <c r="AO53" s="358"/>
      <c r="AP53" s="43"/>
    </row>
    <row r="54" customFormat="false" ht="11.1" hidden="false" customHeight="true" outlineLevel="0" collapsed="false">
      <c r="D54" s="2"/>
      <c r="S54" s="4"/>
      <c r="W54" s="1"/>
      <c r="AD54" s="1"/>
      <c r="AE54" s="2"/>
      <c r="AF54" s="93"/>
      <c r="AI54" s="26"/>
      <c r="AL54" s="115"/>
      <c r="AM54" s="2"/>
      <c r="AN54" s="4"/>
      <c r="AO54" s="358"/>
      <c r="AP54" s="43"/>
    </row>
    <row r="55" customFormat="false" ht="11.1" hidden="false" customHeight="true" outlineLevel="0" collapsed="false">
      <c r="B55" s="3"/>
      <c r="D55" s="2"/>
      <c r="S55" s="4"/>
      <c r="W55" s="1"/>
      <c r="AD55" s="1"/>
      <c r="AE55" s="2"/>
      <c r="AF55" s="93"/>
      <c r="AI55" s="26"/>
      <c r="AL55" s="115"/>
      <c r="AM55" s="2"/>
      <c r="AN55" s="4"/>
      <c r="AO55" s="358"/>
      <c r="AP55" s="43"/>
    </row>
    <row r="56" customFormat="false" ht="11.1" hidden="false" customHeight="true" outlineLevel="0" collapsed="false">
      <c r="G56" s="149"/>
      <c r="AO56" s="358"/>
    </row>
  </sheetData>
  <mergeCells count="1">
    <mergeCell ref="M5:T5"/>
  </mergeCells>
  <printOptions headings="true" gridLines="true" gridLinesSet="true" horizontalCentered="true" verticalCentered="true"/>
  <pageMargins left="0.25" right="0.25" top="0.25" bottom="0" header="0.511811023622047" footer="0.511811023622047"/>
  <pageSetup paperSize="3" scale="63"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27" activePane="bottomRight" state="frozen"/>
      <selection pane="topLeft" activeCell="A1" activeCellId="0" sqref="A1"/>
      <selection pane="topRight" activeCell="F1" activeCellId="0" sqref="F1"/>
      <selection pane="bottomLeft" activeCell="A27" activeCellId="0" sqref="A27"/>
      <selection pane="bottomRight" activeCell="AH26" activeCellId="0" sqref="AH26"/>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151"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0" width="4.49"/>
    <col collapsed="false" customWidth="true" hidden="false" outlineLevel="0" max="15" min="15" style="151" width="5.49"/>
    <col collapsed="false" customWidth="true" hidden="false" outlineLevel="0" max="16" min="16" style="150" width="4.82"/>
    <col collapsed="false" customWidth="true" hidden="false" outlineLevel="0" max="17" min="17" style="151" width="4.32"/>
    <col collapsed="false" customWidth="true" hidden="false" outlineLevel="0" max="18" min="18" style="151" width="4.82"/>
    <col collapsed="false" customWidth="true" hidden="false" outlineLevel="0" max="19" min="19" style="10" width="4.32"/>
    <col collapsed="false" customWidth="true" hidden="false" outlineLevel="0" max="20" min="20" style="150" width="5.49"/>
    <col collapsed="false" customWidth="true" hidden="false" outlineLevel="0" max="22" min="21" style="10" width="5.49"/>
    <col collapsed="false" customWidth="true" hidden="false" outlineLevel="0" max="23" min="23" style="96" width="6.32"/>
    <col collapsed="false" customWidth="true" hidden="false" outlineLevel="0" max="29" min="24" style="10" width="5.49"/>
    <col collapsed="false" customWidth="true" hidden="false" outlineLevel="0" max="30" min="30" style="154" width="5.82"/>
    <col collapsed="false" customWidth="true" hidden="false" outlineLevel="0" max="31" min="31" style="10" width="5.49"/>
    <col collapsed="false" customWidth="true" hidden="false" outlineLevel="0" max="32" min="32" style="152" width="6.32"/>
    <col collapsed="false" customWidth="true" hidden="false" outlineLevel="0" max="33" min="33" style="10" width="6.32"/>
    <col collapsed="false" customWidth="true" hidden="false" outlineLevel="0" max="34" min="34" style="10" width="6.99"/>
    <col collapsed="false" customWidth="true" hidden="false" outlineLevel="0" max="35" min="35" style="150" width="6.99"/>
    <col collapsed="false" customWidth="true" hidden="false" outlineLevel="0" max="36" min="36" style="153" width="5.32"/>
    <col collapsed="false" customWidth="true" hidden="false" outlineLevel="0" max="37" min="37" style="154" width="3.82"/>
    <col collapsed="false" customWidth="true" hidden="false" outlineLevel="0" max="38" min="38" style="155" width="3.82"/>
    <col collapsed="false" customWidth="true" hidden="false" outlineLevel="0" max="39" min="39" style="154" width="5.49"/>
    <col collapsed="false" customWidth="true" hidden="false" outlineLevel="0" max="40" min="40" style="10" width="5.49"/>
    <col collapsed="false" customWidth="true" hidden="false" outlineLevel="0" max="41" min="41" style="10" width="6.32"/>
    <col collapsed="false" customWidth="true" hidden="false" outlineLevel="0" max="42" min="42" style="205" width="6.32"/>
    <col collapsed="false" customWidth="true" hidden="false" outlineLevel="0" max="43" min="43" style="10" width="6.32"/>
    <col collapsed="false" customWidth="true" hidden="false" outlineLevel="0" max="44" min="44" style="340" width="5.82"/>
    <col collapsed="false" customWidth="true" hidden="false" outlineLevel="0" max="45" min="45" style="152"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O1" s="158"/>
      <c r="Q1" s="158"/>
      <c r="R1" s="158"/>
      <c r="S1" s="158"/>
      <c r="U1" s="158"/>
      <c r="V1" s="158"/>
      <c r="X1" s="158"/>
      <c r="Y1" s="158"/>
      <c r="Z1" s="158"/>
      <c r="AA1" s="158"/>
      <c r="AB1" s="158"/>
      <c r="AC1" s="158"/>
      <c r="AE1" s="158"/>
      <c r="AF1" s="160"/>
      <c r="AG1" s="158"/>
      <c r="AH1" s="158"/>
      <c r="AM1" s="313"/>
      <c r="AN1" s="160"/>
      <c r="AO1" s="160"/>
    </row>
    <row r="2" customFormat="false" ht="14.1" hidden="false" customHeight="true" outlineLevel="0" collapsed="false">
      <c r="A2" s="160" t="s">
        <v>1</v>
      </c>
      <c r="B2" s="158"/>
      <c r="D2" s="161" t="n">
        <v>1.9835</v>
      </c>
      <c r="F2" s="158"/>
      <c r="G2" s="158"/>
      <c r="I2" s="158"/>
      <c r="J2" s="158"/>
      <c r="K2" s="162" t="s">
        <v>111</v>
      </c>
      <c r="L2" s="162"/>
      <c r="M2" s="162"/>
      <c r="N2" s="162"/>
      <c r="O2" s="162"/>
      <c r="P2" s="162"/>
      <c r="Q2" s="162"/>
      <c r="R2" s="162"/>
      <c r="S2" s="162"/>
      <c r="T2" s="162"/>
      <c r="U2" s="162"/>
      <c r="V2" s="162"/>
      <c r="W2" s="162"/>
      <c r="X2" s="162"/>
      <c r="Y2" s="162"/>
      <c r="Z2" s="162"/>
      <c r="AA2" s="158"/>
      <c r="AB2" s="158"/>
      <c r="AC2" s="158"/>
      <c r="AE2" s="158"/>
      <c r="AF2" s="160"/>
      <c r="AG2" s="158"/>
      <c r="AH2" s="158"/>
      <c r="AM2" s="313"/>
      <c r="AN2" s="160"/>
      <c r="AO2" s="160"/>
    </row>
    <row r="3" customFormat="false" ht="14.1" hidden="false" customHeight="true" outlineLevel="0" collapsed="false">
      <c r="A3" s="158"/>
      <c r="B3" s="158"/>
      <c r="D3" s="406"/>
      <c r="F3" s="158"/>
      <c r="G3" s="158"/>
      <c r="I3" s="158"/>
      <c r="J3" s="158"/>
      <c r="K3" s="158"/>
      <c r="L3" s="158"/>
      <c r="M3" s="158"/>
      <c r="O3" s="158"/>
      <c r="Q3" s="158"/>
      <c r="R3" s="158"/>
      <c r="S3" s="158"/>
      <c r="U3" s="158"/>
      <c r="V3" s="158"/>
      <c r="X3" s="158"/>
      <c r="Y3" s="158"/>
      <c r="Z3" s="158"/>
      <c r="AA3" s="158"/>
      <c r="AB3" s="158"/>
      <c r="AC3" s="158"/>
      <c r="AE3" s="158"/>
      <c r="AF3" s="160"/>
      <c r="AG3" s="158"/>
      <c r="AH3" s="158"/>
      <c r="AM3" s="313"/>
      <c r="AN3" s="168"/>
      <c r="AO3" s="168"/>
    </row>
    <row r="4" s="10" customFormat="true" ht="14.1" hidden="false" customHeight="true" outlineLevel="0" collapsed="false">
      <c r="A4" s="407"/>
      <c r="B4" s="174"/>
      <c r="C4" s="175"/>
      <c r="D4" s="270" t="s">
        <v>3</v>
      </c>
      <c r="E4" s="175"/>
      <c r="F4" s="407"/>
      <c r="G4" s="174"/>
      <c r="H4" s="408"/>
      <c r="I4" s="407"/>
      <c r="J4" s="407"/>
      <c r="K4" s="407"/>
      <c r="L4" s="407"/>
      <c r="M4" s="407"/>
      <c r="N4" s="409"/>
      <c r="O4" s="407"/>
      <c r="P4" s="409"/>
      <c r="Q4" s="407"/>
      <c r="R4" s="407"/>
      <c r="S4" s="407"/>
      <c r="T4" s="409"/>
      <c r="U4" s="410" t="s">
        <v>4</v>
      </c>
      <c r="V4" s="407"/>
      <c r="W4" s="175"/>
      <c r="X4" s="407"/>
      <c r="Y4" s="407"/>
      <c r="Z4" s="407"/>
      <c r="AA4" s="407"/>
      <c r="AB4" s="407"/>
      <c r="AC4" s="407"/>
      <c r="AD4" s="411"/>
      <c r="AE4" s="407"/>
      <c r="AF4" s="412"/>
      <c r="AG4" s="407"/>
      <c r="AH4" s="407"/>
      <c r="AI4" s="409"/>
      <c r="AJ4" s="179"/>
      <c r="AK4" s="180" t="s">
        <v>5</v>
      </c>
      <c r="AL4" s="181"/>
      <c r="AM4" s="413"/>
      <c r="AN4" s="76"/>
      <c r="AO4" s="178" t="s">
        <v>6</v>
      </c>
      <c r="AP4" s="414"/>
      <c r="AQ4" s="36"/>
      <c r="AR4" s="415"/>
      <c r="AS4" s="415"/>
    </row>
    <row r="5" customFormat="false" ht="12.95" hidden="false" customHeight="true" outlineLevel="0" collapsed="false">
      <c r="A5" s="184" t="s">
        <v>7</v>
      </c>
      <c r="B5" s="185" t="s">
        <v>8</v>
      </c>
      <c r="C5" s="186" t="s">
        <v>8</v>
      </c>
      <c r="D5" s="184" t="s">
        <v>9</v>
      </c>
      <c r="E5" s="186" t="s">
        <v>10</v>
      </c>
      <c r="F5" s="184" t="s">
        <v>11</v>
      </c>
      <c r="G5" s="416" t="s">
        <v>12</v>
      </c>
      <c r="H5" s="417" t="s">
        <v>13</v>
      </c>
      <c r="I5" s="343" t="s">
        <v>14</v>
      </c>
      <c r="J5" s="343" t="s">
        <v>15</v>
      </c>
      <c r="K5" s="343" t="s">
        <v>16</v>
      </c>
      <c r="L5" s="184" t="s">
        <v>15</v>
      </c>
      <c r="M5" s="189" t="s">
        <v>17</v>
      </c>
      <c r="N5" s="189"/>
      <c r="O5" s="189"/>
      <c r="P5" s="189"/>
      <c r="Q5" s="189"/>
      <c r="R5" s="189"/>
      <c r="S5" s="189"/>
      <c r="T5" s="189"/>
      <c r="U5" s="184" t="s">
        <v>18</v>
      </c>
      <c r="V5" s="184" t="s">
        <v>19</v>
      </c>
      <c r="W5" s="184" t="s">
        <v>16</v>
      </c>
      <c r="X5" s="186" t="s">
        <v>20</v>
      </c>
      <c r="Y5" s="186" t="s">
        <v>21</v>
      </c>
      <c r="Z5" s="186" t="s">
        <v>20</v>
      </c>
      <c r="AA5" s="184" t="s">
        <v>22</v>
      </c>
      <c r="AB5" s="191" t="s">
        <v>98</v>
      </c>
      <c r="AC5" s="192"/>
      <c r="AD5" s="194" t="s">
        <v>24</v>
      </c>
      <c r="AE5" s="186" t="s">
        <v>112</v>
      </c>
      <c r="AF5" s="186" t="s">
        <v>26</v>
      </c>
      <c r="AG5" s="184" t="s">
        <v>14</v>
      </c>
      <c r="AH5" s="184" t="s">
        <v>15</v>
      </c>
      <c r="AI5" s="184" t="s">
        <v>16</v>
      </c>
      <c r="AJ5" s="193" t="s">
        <v>27</v>
      </c>
      <c r="AK5" s="194" t="s">
        <v>28</v>
      </c>
      <c r="AL5" s="195" t="s">
        <v>29</v>
      </c>
      <c r="AM5" s="53" t="s">
        <v>90</v>
      </c>
      <c r="AN5" s="53" t="s">
        <v>20</v>
      </c>
      <c r="AO5" s="43" t="s">
        <v>91</v>
      </c>
      <c r="AP5" s="43" t="s">
        <v>91</v>
      </c>
      <c r="AQ5" s="55" t="s">
        <v>31</v>
      </c>
      <c r="AR5" s="190" t="s">
        <v>32</v>
      </c>
      <c r="AS5" s="56" t="s">
        <v>33</v>
      </c>
    </row>
    <row r="6" customFormat="false" ht="12.95" hidden="false" customHeight="true" outlineLevel="0" collapsed="false">
      <c r="A6" s="196" t="s">
        <v>113</v>
      </c>
      <c r="B6" s="185" t="s">
        <v>35</v>
      </c>
      <c r="C6" s="186" t="s">
        <v>9</v>
      </c>
      <c r="D6" s="184" t="s">
        <v>36</v>
      </c>
      <c r="E6" s="186" t="s">
        <v>37</v>
      </c>
      <c r="F6" s="184" t="s">
        <v>38</v>
      </c>
      <c r="G6" s="416" t="s">
        <v>39</v>
      </c>
      <c r="H6" s="417" t="s">
        <v>40</v>
      </c>
      <c r="I6" s="343" t="s">
        <v>41</v>
      </c>
      <c r="J6" s="343" t="s">
        <v>41</v>
      </c>
      <c r="K6" s="343" t="s">
        <v>41</v>
      </c>
      <c r="L6" s="184" t="s">
        <v>42</v>
      </c>
      <c r="M6" s="197" t="s">
        <v>43</v>
      </c>
      <c r="N6" s="188" t="s">
        <v>44</v>
      </c>
      <c r="O6" s="184" t="s">
        <v>45</v>
      </c>
      <c r="P6" s="188" t="s">
        <v>46</v>
      </c>
      <c r="Q6" s="184" t="s">
        <v>47</v>
      </c>
      <c r="R6" s="184" t="s">
        <v>48</v>
      </c>
      <c r="S6" s="184" t="s">
        <v>49</v>
      </c>
      <c r="T6" s="198" t="s">
        <v>50</v>
      </c>
      <c r="U6" s="184" t="s">
        <v>51</v>
      </c>
      <c r="V6" s="184" t="s">
        <v>52</v>
      </c>
      <c r="W6" s="184" t="s">
        <v>20</v>
      </c>
      <c r="X6" s="186" t="s">
        <v>62</v>
      </c>
      <c r="Y6" s="186" t="s">
        <v>54</v>
      </c>
      <c r="Z6" s="186" t="s">
        <v>100</v>
      </c>
      <c r="AA6" s="184" t="s">
        <v>56</v>
      </c>
      <c r="AB6" s="197"/>
      <c r="AC6" s="199"/>
      <c r="AD6" s="194" t="s">
        <v>58</v>
      </c>
      <c r="AE6" s="186" t="s">
        <v>59</v>
      </c>
      <c r="AF6" s="186"/>
      <c r="AG6" s="184" t="s">
        <v>60</v>
      </c>
      <c r="AH6" s="184" t="s">
        <v>60</v>
      </c>
      <c r="AI6" s="184" t="s">
        <v>60</v>
      </c>
      <c r="AJ6" s="200"/>
      <c r="AK6" s="194" t="s">
        <v>61</v>
      </c>
      <c r="AL6" s="195" t="s">
        <v>61</v>
      </c>
      <c r="AM6" s="53" t="s">
        <v>62</v>
      </c>
      <c r="AN6" s="53" t="s">
        <v>63</v>
      </c>
      <c r="AO6" s="43" t="s">
        <v>64</v>
      </c>
      <c r="AP6" s="43" t="s">
        <v>64</v>
      </c>
      <c r="AQ6" s="55" t="s">
        <v>65</v>
      </c>
      <c r="AR6" s="190" t="s">
        <v>66</v>
      </c>
      <c r="AS6" s="56" t="s">
        <v>67</v>
      </c>
    </row>
    <row r="7" customFormat="false" ht="12.95" hidden="false" customHeight="true" outlineLevel="0" collapsed="false">
      <c r="A7" s="184"/>
      <c r="B7" s="185"/>
      <c r="C7" s="186"/>
      <c r="D7" s="184"/>
      <c r="E7" s="186" t="s">
        <v>68</v>
      </c>
      <c r="F7" s="184"/>
      <c r="G7" s="185"/>
      <c r="H7" s="190"/>
      <c r="I7" s="184"/>
      <c r="J7" s="184"/>
      <c r="K7" s="184"/>
      <c r="L7" s="184"/>
      <c r="M7" s="197"/>
      <c r="N7" s="188" t="s">
        <v>69</v>
      </c>
      <c r="O7" s="184" t="s">
        <v>70</v>
      </c>
      <c r="P7" s="188"/>
      <c r="Q7" s="184"/>
      <c r="R7" s="184"/>
      <c r="S7" s="184" t="s">
        <v>45</v>
      </c>
      <c r="T7" s="198" t="s">
        <v>26</v>
      </c>
      <c r="U7" s="184"/>
      <c r="V7" s="184"/>
      <c r="W7" s="184"/>
      <c r="X7" s="186"/>
      <c r="Y7" s="186"/>
      <c r="Z7" s="186"/>
      <c r="AA7" s="184"/>
      <c r="AB7" s="206"/>
      <c r="AC7" s="207"/>
      <c r="AD7" s="194"/>
      <c r="AE7" s="186"/>
      <c r="AF7" s="186"/>
      <c r="AG7" s="184"/>
      <c r="AH7" s="184"/>
      <c r="AI7" s="184"/>
      <c r="AJ7" s="200"/>
      <c r="AK7" s="194"/>
      <c r="AL7" s="195"/>
      <c r="AM7" s="53" t="s">
        <v>68</v>
      </c>
      <c r="AN7" s="53" t="s">
        <v>38</v>
      </c>
      <c r="AO7" s="43" t="s">
        <v>109</v>
      </c>
      <c r="AP7" s="43" t="s">
        <v>95</v>
      </c>
      <c r="AQ7" s="55" t="s">
        <v>74</v>
      </c>
      <c r="AR7" s="190" t="s">
        <v>75</v>
      </c>
      <c r="AS7" s="56" t="s">
        <v>57</v>
      </c>
    </row>
    <row r="8" customFormat="false" ht="12.95" hidden="false" customHeight="true" outlineLevel="0" collapsed="false">
      <c r="A8" s="184"/>
      <c r="B8" s="185"/>
      <c r="C8" s="186"/>
      <c r="D8" s="184"/>
      <c r="E8" s="186"/>
      <c r="F8" s="184"/>
      <c r="G8" s="185"/>
      <c r="H8" s="190"/>
      <c r="I8" s="184"/>
      <c r="J8" s="184"/>
      <c r="K8" s="184"/>
      <c r="L8" s="184"/>
      <c r="M8" s="197"/>
      <c r="N8" s="188" t="n">
        <v>1.03</v>
      </c>
      <c r="O8" s="210" t="n">
        <v>1.05</v>
      </c>
      <c r="P8" s="188" t="n">
        <v>1.02</v>
      </c>
      <c r="Q8" s="210" t="n">
        <v>1.02</v>
      </c>
      <c r="R8" s="210" t="n">
        <v>1.04</v>
      </c>
      <c r="S8" s="184" t="s">
        <v>55</v>
      </c>
      <c r="T8" s="198"/>
      <c r="U8" s="184"/>
      <c r="V8" s="184"/>
      <c r="W8" s="184"/>
      <c r="X8" s="186"/>
      <c r="Y8" s="186"/>
      <c r="Z8" s="186"/>
      <c r="AA8" s="184"/>
      <c r="AB8" s="206"/>
      <c r="AC8" s="207"/>
      <c r="AD8" s="194"/>
      <c r="AE8" s="186"/>
      <c r="AF8" s="186"/>
      <c r="AG8" s="184"/>
      <c r="AH8" s="184"/>
      <c r="AI8" s="184"/>
      <c r="AJ8" s="200"/>
      <c r="AK8" s="194"/>
      <c r="AL8" s="195"/>
      <c r="AM8" s="53"/>
      <c r="AN8" s="53"/>
      <c r="AO8" s="43"/>
      <c r="AP8" s="43" t="s">
        <v>71</v>
      </c>
      <c r="AQ8" s="312"/>
    </row>
    <row r="9" customFormat="false" ht="12.95" hidden="false" customHeight="true" outlineLevel="0" collapsed="false">
      <c r="A9" s="160" t="s">
        <v>77</v>
      </c>
      <c r="B9" s="213"/>
      <c r="C9" s="95"/>
      <c r="D9" s="95"/>
      <c r="E9" s="95"/>
      <c r="F9" s="95" t="n">
        <f aca="false">APR!F46</f>
        <v>23338.0388202672</v>
      </c>
      <c r="G9" s="418" t="n">
        <f aca="false">APR!G46</f>
        <v>31674</v>
      </c>
      <c r="H9" s="133" t="n">
        <f aca="false">APR!H46</f>
        <v>6234</v>
      </c>
      <c r="I9" s="95" t="n">
        <f aca="false">APR!I46</f>
        <v>37908</v>
      </c>
      <c r="J9" s="95" t="n">
        <f aca="false">APR!J46</f>
        <v>16623.7388202672</v>
      </c>
      <c r="K9" s="95" t="n">
        <f aca="false">APR!K46</f>
        <v>54531.7388202672</v>
      </c>
      <c r="L9" s="95" t="n">
        <f aca="false">APR!L46</f>
        <v>16623.7388202672</v>
      </c>
      <c r="M9" s="216" t="n">
        <f aca="false">APR!M46</f>
        <v>2745.8</v>
      </c>
      <c r="N9" s="218" t="n">
        <f aca="false">APR!N46</f>
        <v>56.54391</v>
      </c>
      <c r="O9" s="95" t="n">
        <f aca="false">APR!O46</f>
        <v>1724.6985</v>
      </c>
      <c r="P9" s="215" t="n">
        <f aca="false">APR!P46</f>
        <v>0</v>
      </c>
      <c r="Q9" s="95"/>
      <c r="R9" s="95"/>
      <c r="S9" s="95"/>
      <c r="T9" s="217"/>
      <c r="U9" s="95" t="n">
        <f aca="false">APR!U46</f>
        <v>1031.3</v>
      </c>
      <c r="V9" s="95" t="n">
        <f aca="false">APR!V46</f>
        <v>178.2</v>
      </c>
      <c r="W9" s="95" t="n">
        <f aca="false">APR!W46</f>
        <v>1578.73199</v>
      </c>
      <c r="X9" s="95" t="n">
        <f aca="false">APR!X46</f>
        <v>0</v>
      </c>
      <c r="Y9" s="95" t="n">
        <f aca="false">APR!Y46</f>
        <v>1705.21453309167</v>
      </c>
      <c r="Z9" s="95"/>
      <c r="AA9" s="95" t="n">
        <f aca="false">APR!AA46</f>
        <v>187.4</v>
      </c>
      <c r="AB9" s="95" t="n">
        <f aca="false">APR!AB46</f>
        <v>51</v>
      </c>
      <c r="AC9" s="95" t="n">
        <f aca="false">APR!AC46</f>
        <v>39</v>
      </c>
      <c r="AD9" s="133"/>
      <c r="AE9" s="95"/>
      <c r="AF9" s="95" t="n">
        <f aca="false">APR!AF46</f>
        <v>27051</v>
      </c>
      <c r="AG9" s="95" t="n">
        <f aca="false">APR!AG46</f>
        <v>31193.7</v>
      </c>
      <c r="AH9" s="95" t="n">
        <f aca="false">APR!AH46</f>
        <v>0</v>
      </c>
      <c r="AI9" s="95" t="n">
        <f aca="false">APR!AI46</f>
        <v>31193.7</v>
      </c>
      <c r="AJ9" s="221"/>
      <c r="AK9" s="133"/>
      <c r="AL9" s="222"/>
      <c r="AM9" s="133"/>
      <c r="AN9" s="133"/>
      <c r="AO9" s="122"/>
      <c r="AP9" s="215" t="n">
        <f aca="false">APR!AP47</f>
        <v>18.2267714315737</v>
      </c>
      <c r="AQ9" s="95" t="n">
        <f aca="false">APR!AQ46</f>
        <v>0</v>
      </c>
    </row>
    <row r="10" s="228" customFormat="true" ht="12.95" hidden="false" customHeight="true" outlineLevel="0" collapsed="false">
      <c r="A10" s="224" t="s">
        <v>78</v>
      </c>
      <c r="B10" s="94" t="n">
        <f aca="false">APR!B41</f>
        <v>6915.56</v>
      </c>
      <c r="C10" s="95" t="n">
        <f aca="false">APR!C41</f>
        <v>344710</v>
      </c>
      <c r="D10" s="95" t="n">
        <f aca="false">APR!D50</f>
        <v>56756</v>
      </c>
      <c r="E10" s="95" t="n">
        <f aca="false">APR!E50</f>
        <v>192710</v>
      </c>
      <c r="F10" s="95" t="n">
        <f aca="false">APR!F49</f>
        <v>28651.8779934459</v>
      </c>
      <c r="G10" s="418" t="n">
        <f aca="false">APR!G49</f>
        <v>47938</v>
      </c>
      <c r="H10" s="133" t="n">
        <f aca="false">APR!H49</f>
        <v>8380.14</v>
      </c>
      <c r="I10" s="95" t="n">
        <f aca="false">APR!I49</f>
        <v>56318.14</v>
      </c>
      <c r="J10" s="95" t="n">
        <f aca="false">APR!J49</f>
        <v>23621.864560121</v>
      </c>
      <c r="K10" s="95" t="n">
        <f aca="false">APR!K49</f>
        <v>79940.004560121</v>
      </c>
      <c r="L10" s="95" t="n">
        <f aca="false">APR!L49</f>
        <v>21599.9979934459</v>
      </c>
      <c r="M10" s="216" t="n">
        <f aca="false">APR!M49</f>
        <v>3658.6</v>
      </c>
      <c r="N10" s="218" t="n">
        <f aca="false">APR!N49</f>
        <v>56.54391</v>
      </c>
      <c r="O10" s="95" t="n">
        <f aca="false">APR!O49</f>
        <v>1724.6985</v>
      </c>
      <c r="P10" s="215"/>
      <c r="Q10" s="95" t="n">
        <f aca="false">APR!Q49</f>
        <v>273.7986</v>
      </c>
      <c r="R10" s="95" t="n">
        <f aca="false">APR!R49</f>
        <v>570.433</v>
      </c>
      <c r="S10" s="225" t="n">
        <f aca="false">APR!S49</f>
        <v>6.62</v>
      </c>
      <c r="T10" s="226" t="n">
        <f aca="false">APR!T49</f>
        <v>-94.5288</v>
      </c>
      <c r="U10" s="95" t="n">
        <f aca="false">APR!U49</f>
        <v>7096.26</v>
      </c>
      <c r="V10" s="95" t="n">
        <f aca="false">APR!V49</f>
        <v>263</v>
      </c>
      <c r="W10" s="95" t="n">
        <f aca="false">APR!W49</f>
        <v>8031.03199</v>
      </c>
      <c r="X10" s="95"/>
      <c r="Y10" s="95"/>
      <c r="Z10" s="95"/>
      <c r="AA10" s="95"/>
      <c r="AB10" s="216"/>
      <c r="AC10" s="219"/>
      <c r="AD10" s="133" t="n">
        <f aca="false">APR!AD49</f>
        <v>38061</v>
      </c>
      <c r="AE10" s="95" t="n">
        <f aca="false">APR!AE49</f>
        <v>16031.2578774893</v>
      </c>
      <c r="AF10" s="95" t="n">
        <f aca="false">APR!AF49</f>
        <v>33122</v>
      </c>
      <c r="AG10" s="95" t="n">
        <f aca="false">APR!AG49</f>
        <v>49266.26</v>
      </c>
      <c r="AH10" s="95" t="n">
        <f aca="false">APR!AH49</f>
        <v>2021.86656667507</v>
      </c>
      <c r="AI10" s="95" t="n">
        <f aca="false">APR!AI49</f>
        <v>51288.1265666751</v>
      </c>
      <c r="AJ10" s="221" t="n">
        <f aca="false">APR!AJ49</f>
        <v>10.17</v>
      </c>
      <c r="AK10" s="133"/>
      <c r="AL10" s="222"/>
      <c r="AM10" s="419" t="n">
        <f aca="false">APR!AM50</f>
        <v>12798.13705</v>
      </c>
      <c r="AN10" s="320" t="n">
        <f aca="false">APR!AN49</f>
        <v>0</v>
      </c>
      <c r="AO10" s="95"/>
      <c r="AP10" s="215" t="n">
        <f aca="false">APR!AP50</f>
        <v>18.2267714315737</v>
      </c>
      <c r="AQ10" s="95" t="n">
        <f aca="false">APR!AQ49</f>
        <v>0</v>
      </c>
      <c r="AR10" s="151"/>
      <c r="AS10" s="96"/>
    </row>
    <row r="11" customFormat="false" ht="2.25" hidden="false" customHeight="true" outlineLevel="0" collapsed="false">
      <c r="A11" s="229"/>
      <c r="B11" s="230"/>
      <c r="C11" s="231"/>
      <c r="D11" s="232"/>
      <c r="E11" s="231"/>
      <c r="F11" s="232"/>
      <c r="G11" s="247"/>
      <c r="H11" s="237"/>
      <c r="I11" s="232"/>
      <c r="J11" s="232"/>
      <c r="K11" s="232"/>
      <c r="L11" s="232"/>
      <c r="M11" s="235"/>
      <c r="N11" s="234"/>
      <c r="O11" s="232"/>
      <c r="P11" s="234"/>
      <c r="Q11" s="232"/>
      <c r="R11" s="232"/>
      <c r="S11" s="232"/>
      <c r="T11" s="236"/>
      <c r="U11" s="232"/>
      <c r="V11" s="232"/>
      <c r="W11" s="232"/>
      <c r="X11" s="231"/>
      <c r="Y11" s="231"/>
      <c r="Z11" s="231"/>
      <c r="AA11" s="232"/>
      <c r="AB11" s="235"/>
      <c r="AC11" s="238"/>
      <c r="AD11" s="240"/>
      <c r="AE11" s="231"/>
      <c r="AF11" s="231"/>
      <c r="AG11" s="232"/>
      <c r="AH11" s="232"/>
      <c r="AI11" s="232"/>
      <c r="AJ11" s="239"/>
      <c r="AK11" s="240"/>
      <c r="AL11" s="241"/>
      <c r="AM11" s="240"/>
      <c r="AN11" s="240"/>
      <c r="AO11" s="240"/>
      <c r="AP11" s="234"/>
      <c r="AQ11" s="234"/>
      <c r="AR11" s="237"/>
      <c r="AS11" s="237"/>
    </row>
    <row r="12" customFormat="false" ht="12.95" hidden="false" customHeight="true" outlineLevel="0" collapsed="false">
      <c r="A12" s="155" t="n">
        <v>1</v>
      </c>
      <c r="B12" s="94" t="n">
        <v>6916.13</v>
      </c>
      <c r="C12" s="95" t="n">
        <v>347094</v>
      </c>
      <c r="D12" s="133" t="n">
        <f aca="false">C12-C10</f>
        <v>2384</v>
      </c>
      <c r="E12" s="95" t="n">
        <f aca="false">C12-152000</f>
        <v>195094</v>
      </c>
      <c r="F12" s="122" t="n">
        <f aca="false">D12/$D$2</f>
        <v>1201.9158053945</v>
      </c>
      <c r="G12" s="213" t="n">
        <v>1960</v>
      </c>
      <c r="H12" s="218" t="n">
        <v>181</v>
      </c>
      <c r="I12" s="122" t="n">
        <f aca="false">G12+H12</f>
        <v>2141</v>
      </c>
      <c r="J12" s="218" t="n">
        <f aca="false">IF(L12&gt;0,L12,0)</f>
        <v>225.915805394505</v>
      </c>
      <c r="K12" s="122" t="n">
        <f aca="false">I12+J12</f>
        <v>2366.9158053945</v>
      </c>
      <c r="L12" s="122" t="n">
        <f aca="false">F12-(I12-AG12)</f>
        <v>225.915805394505</v>
      </c>
      <c r="M12" s="244" t="n">
        <v>263</v>
      </c>
      <c r="N12" s="215" t="n">
        <f aca="false">1.8299*1.03</f>
        <v>1.884797</v>
      </c>
      <c r="O12" s="122" t="n">
        <f aca="false">(41+46)*1.05</f>
        <v>91.35</v>
      </c>
      <c r="P12" s="215" t="n">
        <v>0</v>
      </c>
      <c r="Q12" s="352" t="n">
        <f aca="false">2.01*1.02</f>
        <v>2.0502</v>
      </c>
      <c r="R12" s="352" t="n">
        <v>2.87</v>
      </c>
      <c r="S12" s="119" t="n">
        <v>0</v>
      </c>
      <c r="T12" s="381" t="n">
        <v>0</v>
      </c>
      <c r="U12" s="122" t="n">
        <v>57</v>
      </c>
      <c r="V12" s="122" t="n">
        <v>49</v>
      </c>
      <c r="W12" s="122" t="n">
        <f aca="false">M12-N12-O12-P12-Q12-R12-S12-T12+U12+V12-AR12</f>
        <v>227.645003</v>
      </c>
      <c r="X12" s="95" t="n">
        <f aca="false">X9+AO12</f>
        <v>0</v>
      </c>
      <c r="Y12" s="95" t="n">
        <f aca="false">Y9</f>
        <v>1705.21453309167</v>
      </c>
      <c r="Z12" s="95"/>
      <c r="AA12" s="122" t="n">
        <v>0</v>
      </c>
      <c r="AB12" s="244" t="n">
        <v>1.7</v>
      </c>
      <c r="AC12" s="245" t="n">
        <v>1.3</v>
      </c>
      <c r="AD12" s="354" t="n">
        <v>796</v>
      </c>
      <c r="AE12" s="353" t="n">
        <f aca="false">AE10</f>
        <v>16031.2578774893</v>
      </c>
      <c r="AF12" s="394" t="n">
        <f aca="false">AD12</f>
        <v>796</v>
      </c>
      <c r="AG12" s="121" t="n">
        <f aca="false">N12+O12+P12+Q12+R12+S12+T12+W12+AA12+AD12+AR12</f>
        <v>1165</v>
      </c>
      <c r="AH12" s="122" t="n">
        <f aca="false">IF(L12&lt;0,L12*-1,0)</f>
        <v>0</v>
      </c>
      <c r="AI12" s="122" t="n">
        <f aca="false">AG12+AH12</f>
        <v>1165</v>
      </c>
      <c r="AJ12" s="221" t="n">
        <v>0</v>
      </c>
      <c r="AK12" s="133" t="n">
        <v>48</v>
      </c>
      <c r="AL12" s="222" t="n">
        <v>27</v>
      </c>
      <c r="AM12" s="133" t="n">
        <f aca="false">AM10</f>
        <v>12798.13705</v>
      </c>
      <c r="AN12" s="133"/>
      <c r="AO12" s="382"/>
      <c r="AP12" s="215" t="n">
        <f aca="false">47.3*(X9*1.9835+AO12*1.9835+Y12*1.9835)/E12</f>
        <v>0.820027577209551</v>
      </c>
      <c r="AQ12" s="223"/>
      <c r="AR12" s="151" t="n">
        <v>43.2</v>
      </c>
      <c r="AS12" s="10"/>
    </row>
    <row r="13" customFormat="false" ht="12.95" hidden="false" customHeight="true" outlineLevel="0" collapsed="false">
      <c r="A13" s="155" t="n">
        <f aca="false">A12+1</f>
        <v>2</v>
      </c>
      <c r="B13" s="94" t="n">
        <v>6916.31</v>
      </c>
      <c r="C13" s="95" t="n">
        <v>347851</v>
      </c>
      <c r="D13" s="133" t="n">
        <f aca="false">C13-C12</f>
        <v>757</v>
      </c>
      <c r="E13" s="95" t="n">
        <f aca="false">C13-152000</f>
        <v>195851</v>
      </c>
      <c r="F13" s="122" t="n">
        <f aca="false">D13/$D$2</f>
        <v>381.648600957903</v>
      </c>
      <c r="G13" s="213" t="n">
        <v>1500</v>
      </c>
      <c r="H13" s="218" t="n">
        <v>89</v>
      </c>
      <c r="I13" s="122" t="n">
        <f aca="false">G13+H13</f>
        <v>1589</v>
      </c>
      <c r="J13" s="218" t="n">
        <f aca="false">IF(L13&gt;0,L13,0)</f>
        <v>205.448600957903</v>
      </c>
      <c r="K13" s="122" t="n">
        <f aca="false">I13+J13</f>
        <v>1794.4486009579</v>
      </c>
      <c r="L13" s="122" t="n">
        <f aca="false">F13-(I13-AG13)</f>
        <v>205.448600957903</v>
      </c>
      <c r="M13" s="244" t="n">
        <v>232</v>
      </c>
      <c r="N13" s="215" t="n">
        <f aca="false">1.8299*1.03</f>
        <v>1.884797</v>
      </c>
      <c r="O13" s="122" t="n">
        <f aca="false">(40+39)*1.05</f>
        <v>82.95</v>
      </c>
      <c r="P13" s="215" t="n">
        <v>0</v>
      </c>
      <c r="Q13" s="352" t="n">
        <f aca="false">2.01*1.02</f>
        <v>2.0502</v>
      </c>
      <c r="R13" s="352" t="n">
        <v>2.92</v>
      </c>
      <c r="S13" s="119" t="n">
        <v>0</v>
      </c>
      <c r="T13" s="381" t="n">
        <v>0</v>
      </c>
      <c r="U13" s="122" t="n">
        <v>55</v>
      </c>
      <c r="V13" s="122" t="n">
        <v>50</v>
      </c>
      <c r="W13" s="122" t="n">
        <f aca="false">M13-N13-O13-P13-Q13-R13-S13-T13+U13+V13-AR13</f>
        <v>205.395003</v>
      </c>
      <c r="X13" s="95" t="n">
        <f aca="false">X12+AO13</f>
        <v>0</v>
      </c>
      <c r="Y13" s="95" t="n">
        <f aca="false">Y12-(AP12/1.9835)</f>
        <v>1704.8011085506</v>
      </c>
      <c r="Z13" s="95"/>
      <c r="AA13" s="122" t="n">
        <v>5.8</v>
      </c>
      <c r="AB13" s="244" t="n">
        <v>1.7</v>
      </c>
      <c r="AC13" s="245" t="n">
        <v>1.3</v>
      </c>
      <c r="AD13" s="354" t="n">
        <v>1070</v>
      </c>
      <c r="AE13" s="353" t="n">
        <f aca="false">AE12</f>
        <v>16031.2578774893</v>
      </c>
      <c r="AF13" s="394" t="n">
        <f aca="false">AD13</f>
        <v>1070</v>
      </c>
      <c r="AG13" s="121" t="n">
        <f aca="false">N13+O13+P13+Q13+R13+S13+T13+W13+AA13+AD13+AR13</f>
        <v>1412.8</v>
      </c>
      <c r="AH13" s="122" t="n">
        <f aca="false">IF(L13&lt;0,L13*-1,0)</f>
        <v>0</v>
      </c>
      <c r="AI13" s="122" t="n">
        <f aca="false">AG13+AH13</f>
        <v>1412.8</v>
      </c>
      <c r="AJ13" s="221" t="n">
        <v>0</v>
      </c>
      <c r="AK13" s="133" t="n">
        <v>52</v>
      </c>
      <c r="AL13" s="222" t="n">
        <v>25</v>
      </c>
      <c r="AM13" s="133" t="n">
        <f aca="false">AM12</f>
        <v>12798.13705</v>
      </c>
      <c r="AN13" s="133"/>
      <c r="AO13" s="382"/>
      <c r="AP13" s="215" t="n">
        <f aca="false">47.3*(X12*1.9835+AO13*1.9835+Y13*1.9835)/E13</f>
        <v>0.816659975408439</v>
      </c>
      <c r="AQ13" s="223"/>
      <c r="AR13" s="151" t="n">
        <v>41.8</v>
      </c>
      <c r="AS13" s="10"/>
    </row>
    <row r="14" customFormat="false" ht="12.95" hidden="false" customHeight="true" outlineLevel="0" collapsed="false">
      <c r="A14" s="155" t="n">
        <f aca="false">A13+1</f>
        <v>3</v>
      </c>
      <c r="B14" s="94" t="n">
        <v>6916.33</v>
      </c>
      <c r="C14" s="95" t="n">
        <v>347935</v>
      </c>
      <c r="D14" s="133" t="n">
        <f aca="false">C14-C13</f>
        <v>84</v>
      </c>
      <c r="E14" s="95" t="n">
        <f aca="false">C14-152000</f>
        <v>195935</v>
      </c>
      <c r="F14" s="122" t="n">
        <f aca="false">D14/$D$2</f>
        <v>42.3493824048399</v>
      </c>
      <c r="G14" s="213" t="n">
        <v>1320</v>
      </c>
      <c r="H14" s="218" t="n">
        <v>75</v>
      </c>
      <c r="I14" s="122" t="n">
        <f aca="false">G14+H14</f>
        <v>1395</v>
      </c>
      <c r="J14" s="218" t="n">
        <f aca="false">IF(L14&gt;0,L14,0)</f>
        <v>233.54938240484</v>
      </c>
      <c r="K14" s="122" t="n">
        <f aca="false">I14+J14</f>
        <v>1628.54938240484</v>
      </c>
      <c r="L14" s="122" t="n">
        <f aca="false">F14-(I14-AG14)</f>
        <v>233.54938240484</v>
      </c>
      <c r="M14" s="244" t="n">
        <v>272</v>
      </c>
      <c r="N14" s="215" t="n">
        <f aca="false">1.8299*1.03</f>
        <v>1.884797</v>
      </c>
      <c r="O14" s="122" t="n">
        <f aca="false">(43+44)*1.05</f>
        <v>91.35</v>
      </c>
      <c r="P14" s="215" t="n">
        <v>0</v>
      </c>
      <c r="Q14" s="352" t="n">
        <f aca="false">2.01*1.02</f>
        <v>2.0502</v>
      </c>
      <c r="R14" s="352" t="n">
        <v>2.92</v>
      </c>
      <c r="S14" s="119" t="n">
        <v>0</v>
      </c>
      <c r="T14" s="381" t="n">
        <v>0</v>
      </c>
      <c r="U14" s="122" t="n">
        <v>66</v>
      </c>
      <c r="V14" s="122" t="n">
        <v>54</v>
      </c>
      <c r="W14" s="122" t="n">
        <f aca="false">M14-N14-O14-P14-Q14-R14-S14-T14+U14+V14-AR14</f>
        <v>250.795003</v>
      </c>
      <c r="X14" s="95" t="n">
        <f aca="false">X13+AO14</f>
        <v>0</v>
      </c>
      <c r="Y14" s="95" t="n">
        <f aca="false">Y13-(AP13/1.9835)</f>
        <v>1704.38938181734</v>
      </c>
      <c r="Z14" s="95"/>
      <c r="AA14" s="122" t="n">
        <v>4.2</v>
      </c>
      <c r="AB14" s="244" t="n">
        <v>1.7</v>
      </c>
      <c r="AC14" s="245" t="n">
        <v>1.3</v>
      </c>
      <c r="AD14" s="354" t="n">
        <v>1190</v>
      </c>
      <c r="AE14" s="353" t="n">
        <f aca="false">AE13</f>
        <v>16031.2578774893</v>
      </c>
      <c r="AF14" s="394" t="n">
        <f aca="false">AD14</f>
        <v>1190</v>
      </c>
      <c r="AG14" s="121" t="n">
        <f aca="false">N14+O14+P14+Q14+R14+S14+T14+W14+AA14+AD14+AR14</f>
        <v>1586.2</v>
      </c>
      <c r="AH14" s="122" t="n">
        <f aca="false">IF(L14&lt;0,L14*-1,0)</f>
        <v>0</v>
      </c>
      <c r="AI14" s="122" t="n">
        <f aca="false">AG14+AH14</f>
        <v>1586.2</v>
      </c>
      <c r="AJ14" s="221" t="n">
        <v>0</v>
      </c>
      <c r="AK14" s="133" t="n">
        <v>58</v>
      </c>
      <c r="AL14" s="222" t="n">
        <v>28</v>
      </c>
      <c r="AM14" s="133" t="n">
        <f aca="false">AM13</f>
        <v>12798.13705</v>
      </c>
      <c r="AN14" s="133"/>
      <c r="AO14" s="382"/>
      <c r="AP14" s="215" t="n">
        <f aca="false">47.3*(X13*1.9835+AO14*1.9835+Y14*1.9835)/E14</f>
        <v>0.816112715068167</v>
      </c>
      <c r="AQ14" s="223"/>
      <c r="AR14" s="151" t="n">
        <v>43</v>
      </c>
      <c r="AS14" s="10"/>
    </row>
    <row r="15" customFormat="false" ht="12.95" hidden="false" customHeight="true" outlineLevel="0" collapsed="false">
      <c r="A15" s="155" t="n">
        <f aca="false">A14+1</f>
        <v>4</v>
      </c>
      <c r="B15" s="94" t="n">
        <v>6916.33</v>
      </c>
      <c r="C15" s="95" t="n">
        <v>347935</v>
      </c>
      <c r="D15" s="133" t="n">
        <f aca="false">C15-C14</f>
        <v>0</v>
      </c>
      <c r="E15" s="95" t="n">
        <f aca="false">C15-152000</f>
        <v>195935</v>
      </c>
      <c r="F15" s="122" t="n">
        <f aca="false">D15/$D$2</f>
        <v>0</v>
      </c>
      <c r="G15" s="213" t="n">
        <v>1280</v>
      </c>
      <c r="H15" s="218" t="n">
        <v>74</v>
      </c>
      <c r="I15" s="122" t="n">
        <f aca="false">G15+H15</f>
        <v>1354</v>
      </c>
      <c r="J15" s="218" t="n">
        <f aca="false">IF(L15&gt;0,L15,0)</f>
        <v>233.7</v>
      </c>
      <c r="K15" s="122" t="n">
        <f aca="false">I15+J15</f>
        <v>1587.7</v>
      </c>
      <c r="L15" s="122" t="n">
        <f aca="false">F15-(I15-AG15)</f>
        <v>233.7</v>
      </c>
      <c r="M15" s="244" t="n">
        <v>259</v>
      </c>
      <c r="N15" s="215" t="n">
        <f aca="false">1.8299*1.03</f>
        <v>1.884797</v>
      </c>
      <c r="O15" s="122" t="n">
        <f aca="false">(40+37)*1.05</f>
        <v>80.85</v>
      </c>
      <c r="P15" s="215" t="n">
        <v>0</v>
      </c>
      <c r="Q15" s="352" t="n">
        <f aca="false">2.01*1.02</f>
        <v>2.0502</v>
      </c>
      <c r="R15" s="352" t="n">
        <v>2.93</v>
      </c>
      <c r="S15" s="119" t="n">
        <v>0</v>
      </c>
      <c r="T15" s="381" t="n">
        <v>0</v>
      </c>
      <c r="U15" s="122" t="n">
        <v>75</v>
      </c>
      <c r="V15" s="122" t="n">
        <v>56</v>
      </c>
      <c r="W15" s="122" t="n">
        <f aca="false">M15-N15-O15-P15-Q15-R15-S15-T15+U15+V15-AR15</f>
        <v>260.285003</v>
      </c>
      <c r="X15" s="95" t="n">
        <f aca="false">X14+AO15</f>
        <v>0</v>
      </c>
      <c r="Y15" s="95" t="n">
        <f aca="false">Y14-(AP14/1.9835)</f>
        <v>1703.97793099049</v>
      </c>
      <c r="Z15" s="95"/>
      <c r="AA15" s="122" t="n">
        <v>7.7</v>
      </c>
      <c r="AB15" s="244" t="n">
        <v>1.7</v>
      </c>
      <c r="AC15" s="245" t="n">
        <v>1.3</v>
      </c>
      <c r="AD15" s="354" t="n">
        <v>1190</v>
      </c>
      <c r="AE15" s="353" t="n">
        <f aca="false">AE14</f>
        <v>16031.2578774893</v>
      </c>
      <c r="AF15" s="394" t="n">
        <f aca="false">AD15</f>
        <v>1190</v>
      </c>
      <c r="AG15" s="121" t="n">
        <f aca="false">N15+O15+P15+Q15+R15+S15+T15+W15+AA15+AD15+AR15</f>
        <v>1587.7</v>
      </c>
      <c r="AH15" s="122" t="n">
        <f aca="false">IF(L15&lt;0,L15*-1,0)</f>
        <v>0</v>
      </c>
      <c r="AI15" s="122" t="n">
        <f aca="false">AG15+AH15</f>
        <v>1587.7</v>
      </c>
      <c r="AJ15" s="221" t="n">
        <v>0</v>
      </c>
      <c r="AK15" s="133" t="n">
        <v>68</v>
      </c>
      <c r="AL15" s="222" t="n">
        <v>30</v>
      </c>
      <c r="AM15" s="133" t="n">
        <f aca="false">AM14</f>
        <v>12798.13705</v>
      </c>
      <c r="AN15" s="133"/>
      <c r="AO15" s="382"/>
      <c r="AP15" s="215" t="n">
        <f aca="false">47.3*(X14*1.9835+AO15*1.9835+Y15*1.9835)/E15</f>
        <v>0.815915700081449</v>
      </c>
      <c r="AQ15" s="223"/>
      <c r="AR15" s="151" t="n">
        <v>42</v>
      </c>
      <c r="AS15" s="10"/>
    </row>
    <row r="16" customFormat="false" ht="12.95" hidden="false" customHeight="true" outlineLevel="0" collapsed="false">
      <c r="A16" s="155" t="n">
        <f aca="false">A15+1</f>
        <v>5</v>
      </c>
      <c r="B16" s="94" t="n">
        <v>6916.41</v>
      </c>
      <c r="C16" s="95" t="n">
        <v>348272</v>
      </c>
      <c r="D16" s="133" t="n">
        <f aca="false">C16-C15</f>
        <v>337</v>
      </c>
      <c r="E16" s="95" t="n">
        <f aca="false">C16-152000</f>
        <v>196272</v>
      </c>
      <c r="F16" s="122" t="n">
        <f aca="false">D16/$D$2</f>
        <v>169.901688933703</v>
      </c>
      <c r="G16" s="213" t="n">
        <v>1420</v>
      </c>
      <c r="H16" s="218" t="n">
        <v>114</v>
      </c>
      <c r="I16" s="122" t="n">
        <f aca="false">G16+H16</f>
        <v>1534</v>
      </c>
      <c r="J16" s="218" t="n">
        <f aca="false">IF(L16&gt;0,L16,0)</f>
        <v>188.901688933703</v>
      </c>
      <c r="K16" s="122" t="n">
        <f aca="false">I16+J16</f>
        <v>1722.9016889337</v>
      </c>
      <c r="L16" s="122" t="n">
        <f aca="false">F16-(I16-AG16)</f>
        <v>188.901688933703</v>
      </c>
      <c r="M16" s="244" t="n">
        <v>307</v>
      </c>
      <c r="N16" s="215" t="n">
        <f aca="false">1.8299*1.03</f>
        <v>1.884797</v>
      </c>
      <c r="O16" s="122" t="n">
        <f aca="false">(41+37)*1.05</f>
        <v>81.9</v>
      </c>
      <c r="P16" s="215" t="n">
        <v>1.16</v>
      </c>
      <c r="Q16" s="352" t="n">
        <f aca="false">2.01*1.02</f>
        <v>2.0502</v>
      </c>
      <c r="R16" s="352" t="n">
        <v>2.97</v>
      </c>
      <c r="S16" s="119" t="n">
        <v>0</v>
      </c>
      <c r="T16" s="381" t="n">
        <v>0</v>
      </c>
      <c r="U16" s="122" t="n">
        <v>75</v>
      </c>
      <c r="V16" s="122" t="n">
        <v>56</v>
      </c>
      <c r="W16" s="122" t="n">
        <f aca="false">M16-N16-O16-P16-Q16-R16-S16-T16+U16+V16-AR16</f>
        <v>308.395003</v>
      </c>
      <c r="X16" s="95" t="n">
        <f aca="false">X15+AO16</f>
        <v>0</v>
      </c>
      <c r="Y16" s="95" t="n">
        <f aca="false">Y15-(AP15/1.9835)</f>
        <v>1703.56657949057</v>
      </c>
      <c r="Z16" s="95"/>
      <c r="AA16" s="122" t="n">
        <v>15</v>
      </c>
      <c r="AB16" s="244" t="n">
        <v>1.7</v>
      </c>
      <c r="AC16" s="245" t="n">
        <v>1.3</v>
      </c>
      <c r="AD16" s="354" t="n">
        <v>1100</v>
      </c>
      <c r="AE16" s="353" t="n">
        <f aca="false">AE15</f>
        <v>16031.2578774893</v>
      </c>
      <c r="AF16" s="394" t="n">
        <f aca="false">AD16</f>
        <v>1100</v>
      </c>
      <c r="AG16" s="121" t="n">
        <f aca="false">N16+O16+P16+Q16+R16+S16+T16+W16+AA16+AD16+AR16</f>
        <v>1553</v>
      </c>
      <c r="AH16" s="122" t="n">
        <f aca="false">IF(L16&lt;0,L16*-1,0)</f>
        <v>0</v>
      </c>
      <c r="AI16" s="122" t="n">
        <f aca="false">AG16+AH16</f>
        <v>1553</v>
      </c>
      <c r="AJ16" s="221" t="n">
        <v>0</v>
      </c>
      <c r="AK16" s="133" t="n">
        <v>73</v>
      </c>
      <c r="AL16" s="222" t="n">
        <v>38</v>
      </c>
      <c r="AM16" s="133" t="n">
        <f aca="false">AM15</f>
        <v>12798.13705</v>
      </c>
      <c r="AN16" s="133"/>
      <c r="AO16" s="382"/>
      <c r="AP16" s="215" t="n">
        <f aca="false">47.3*(X15*1.9835+AO16*1.9835+Y16*1.9835)/E16</f>
        <v>0.814318139535159</v>
      </c>
      <c r="AQ16" s="223"/>
      <c r="AR16" s="151" t="n">
        <v>39.64</v>
      </c>
      <c r="AS16" s="10"/>
    </row>
    <row r="17" customFormat="false" ht="12.95" hidden="false" customHeight="true" outlineLevel="0" collapsed="false">
      <c r="A17" s="155" t="n">
        <f aca="false">A16+1</f>
        <v>6</v>
      </c>
      <c r="B17" s="94" t="n">
        <v>6916.73</v>
      </c>
      <c r="C17" s="95" t="n">
        <v>349702</v>
      </c>
      <c r="D17" s="133" t="n">
        <f aca="false">C17-C16</f>
        <v>1430</v>
      </c>
      <c r="E17" s="95" t="n">
        <f aca="false">C17-152000</f>
        <v>197702</v>
      </c>
      <c r="F17" s="122" t="n">
        <f aca="false">D17/$D$2</f>
        <v>720.947819510965</v>
      </c>
      <c r="G17" s="213" t="n">
        <v>1770</v>
      </c>
      <c r="H17" s="218" t="n">
        <v>145</v>
      </c>
      <c r="I17" s="122" t="n">
        <f aca="false">G17+H17</f>
        <v>1915</v>
      </c>
      <c r="J17" s="218" t="n">
        <f aca="false">IF(L17&gt;0,L17,0)</f>
        <v>284.947819510965</v>
      </c>
      <c r="K17" s="122" t="n">
        <f aca="false">I17+J17</f>
        <v>2199.94781951097</v>
      </c>
      <c r="L17" s="122" t="n">
        <f aca="false">F17-(I17-AG17)</f>
        <v>284.947819510965</v>
      </c>
      <c r="M17" s="244" t="n">
        <v>324</v>
      </c>
      <c r="N17" s="215" t="n">
        <f aca="false">1.8299*1.03</f>
        <v>1.884797</v>
      </c>
      <c r="O17" s="122" t="n">
        <f aca="false">(43+43)*1.05</f>
        <v>90.3</v>
      </c>
      <c r="P17" s="215" t="n">
        <v>3.65</v>
      </c>
      <c r="Q17" s="352" t="n">
        <f aca="false">2.01*1.02</f>
        <v>2.0502</v>
      </c>
      <c r="R17" s="352" t="n">
        <v>3</v>
      </c>
      <c r="S17" s="119" t="n">
        <v>0</v>
      </c>
      <c r="T17" s="381" t="n">
        <v>0</v>
      </c>
      <c r="U17" s="122" t="n">
        <v>87</v>
      </c>
      <c r="V17" s="122" t="n">
        <v>36</v>
      </c>
      <c r="W17" s="122" t="n">
        <f aca="false">M17-N17-O17-P17-Q17-R17-S17-T17+U17+V17-AR17</f>
        <v>306.325003</v>
      </c>
      <c r="X17" s="95" t="n">
        <f aca="false">X16+AO17</f>
        <v>0</v>
      </c>
      <c r="Y17" s="95" t="n">
        <f aca="false">Y16-(AP16/1.9835)</f>
        <v>1703.15603341569</v>
      </c>
      <c r="Z17" s="95"/>
      <c r="AA17" s="122" t="n">
        <v>34</v>
      </c>
      <c r="AB17" s="244" t="n">
        <v>1.7</v>
      </c>
      <c r="AC17" s="245" t="n">
        <v>1.3</v>
      </c>
      <c r="AD17" s="354" t="n">
        <v>998</v>
      </c>
      <c r="AE17" s="353" t="n">
        <f aca="false">AE16</f>
        <v>16031.2578774893</v>
      </c>
      <c r="AF17" s="394" t="n">
        <f aca="false">AD17</f>
        <v>998</v>
      </c>
      <c r="AG17" s="121" t="n">
        <f aca="false">N17+O17+P17+Q17+R17+S17+T17+W17+AA17+AD17+AR17</f>
        <v>1479</v>
      </c>
      <c r="AH17" s="122" t="n">
        <f aca="false">IF(L17&lt;0,L17*-1,0)</f>
        <v>0</v>
      </c>
      <c r="AI17" s="122" t="n">
        <f aca="false">AG17+AH17</f>
        <v>1479</v>
      </c>
      <c r="AJ17" s="221" t="n">
        <v>0</v>
      </c>
      <c r="AK17" s="133" t="n">
        <v>71</v>
      </c>
      <c r="AL17" s="222" t="n">
        <v>40</v>
      </c>
      <c r="AM17" s="133" t="n">
        <f aca="false">AM16</f>
        <v>12798.13705</v>
      </c>
      <c r="AN17" s="133"/>
      <c r="AO17" s="382"/>
      <c r="AP17" s="215" t="n">
        <f aca="false">47.3*(X16*1.9835+AO17*1.9835+Y17*1.9835)/E17</f>
        <v>0.808233263370349</v>
      </c>
      <c r="AQ17" s="223"/>
      <c r="AR17" s="151" t="n">
        <v>39.79</v>
      </c>
      <c r="AS17" s="10"/>
    </row>
    <row r="18" customFormat="false" ht="12.95" hidden="false" customHeight="true" outlineLevel="0" collapsed="false">
      <c r="A18" s="155" t="n">
        <f aca="false">A17+1</f>
        <v>7</v>
      </c>
      <c r="B18" s="94" t="n">
        <v>6917.03</v>
      </c>
      <c r="C18" s="95" t="n">
        <v>350881</v>
      </c>
      <c r="D18" s="133" t="n">
        <f aca="false">C18-C17</f>
        <v>1179</v>
      </c>
      <c r="E18" s="95" t="n">
        <f aca="false">C18-152000</f>
        <v>198881</v>
      </c>
      <c r="F18" s="122" t="n">
        <f aca="false">D18/$D$2</f>
        <v>594.403831610789</v>
      </c>
      <c r="G18" s="213" t="n">
        <v>1700</v>
      </c>
      <c r="H18" s="218" t="n">
        <v>101</v>
      </c>
      <c r="I18" s="122" t="n">
        <f aca="false">G18+H18</f>
        <v>1801</v>
      </c>
      <c r="J18" s="218" t="n">
        <f aca="false">IF(L18&gt;0,L18,0)</f>
        <v>247.403831610789</v>
      </c>
      <c r="K18" s="122" t="n">
        <f aca="false">I18+J18</f>
        <v>2048.40383161079</v>
      </c>
      <c r="L18" s="122" t="n">
        <f aca="false">F18-(I18-AG18)</f>
        <v>247.403831610789</v>
      </c>
      <c r="M18" s="244" t="n">
        <v>302</v>
      </c>
      <c r="N18" s="215" t="n">
        <f aca="false">1.8299*1.03</f>
        <v>1.884797</v>
      </c>
      <c r="O18" s="122" t="n">
        <f aca="false">(40+40)*1.05</f>
        <v>84</v>
      </c>
      <c r="P18" s="215" t="n">
        <v>2.51</v>
      </c>
      <c r="Q18" s="352" t="n">
        <f aca="false">2.01*1.02</f>
        <v>2.0502</v>
      </c>
      <c r="R18" s="352" t="n">
        <v>3.07</v>
      </c>
      <c r="S18" s="119" t="n">
        <v>0</v>
      </c>
      <c r="T18" s="381" t="n">
        <v>0</v>
      </c>
      <c r="U18" s="122" t="n">
        <v>102</v>
      </c>
      <c r="V18" s="122" t="n">
        <v>33</v>
      </c>
      <c r="W18" s="122" t="n">
        <f aca="false">M18-N18-O18-P18-Q18-R18-S18-T18+U18+V18-AR18</f>
        <v>303.095003</v>
      </c>
      <c r="X18" s="95" t="n">
        <f aca="false">X17+AO18</f>
        <v>0</v>
      </c>
      <c r="Y18" s="95" t="n">
        <f aca="false">Y17-(AP17/1.9835)</f>
        <v>1702.7485550878</v>
      </c>
      <c r="Z18" s="95"/>
      <c r="AA18" s="122" t="n">
        <v>18</v>
      </c>
      <c r="AB18" s="244" t="n">
        <v>1.7</v>
      </c>
      <c r="AC18" s="245" t="n">
        <v>1.3</v>
      </c>
      <c r="AD18" s="354" t="n">
        <v>999</v>
      </c>
      <c r="AE18" s="353" t="n">
        <f aca="false">AE17</f>
        <v>16031.2578774893</v>
      </c>
      <c r="AF18" s="394" t="n">
        <f aca="false">AD18</f>
        <v>999</v>
      </c>
      <c r="AG18" s="121" t="n">
        <f aca="false">N18+O18+P18+Q18+R18+S18+T18+W18+AA18+AD18+AR18</f>
        <v>1454</v>
      </c>
      <c r="AH18" s="122" t="n">
        <f aca="false">IF(L18&lt;0,L18*-1,0)</f>
        <v>0</v>
      </c>
      <c r="AI18" s="122" t="n">
        <f aca="false">AG18+AH18</f>
        <v>1454</v>
      </c>
      <c r="AJ18" s="221" t="n">
        <v>0</v>
      </c>
      <c r="AK18" s="133" t="n">
        <v>70</v>
      </c>
      <c r="AL18" s="222" t="n">
        <v>37</v>
      </c>
      <c r="AM18" s="133" t="n">
        <f aca="false">AM17</f>
        <v>12798.13705</v>
      </c>
      <c r="AN18" s="133"/>
      <c r="AO18" s="382"/>
      <c r="AP18" s="215" t="n">
        <f aca="false">47.3*(X17*1.9835+AO18*1.9835+Y18*1.9835)/E18</f>
        <v>0.803249698068128</v>
      </c>
      <c r="AQ18" s="223"/>
      <c r="AR18" s="151" t="n">
        <v>40.39</v>
      </c>
      <c r="AS18" s="10"/>
    </row>
    <row r="19" customFormat="false" ht="12.95" hidden="false" customHeight="true" outlineLevel="0" collapsed="false">
      <c r="A19" s="155" t="n">
        <f aca="false">A18+1</f>
        <v>8</v>
      </c>
      <c r="B19" s="94" t="n">
        <v>6917.47</v>
      </c>
      <c r="C19" s="95" t="n">
        <v>352747</v>
      </c>
      <c r="D19" s="133" t="n">
        <f aca="false">C19-C18</f>
        <v>1866</v>
      </c>
      <c r="E19" s="95" t="n">
        <f aca="false">C19-152000</f>
        <v>200747</v>
      </c>
      <c r="F19" s="122" t="n">
        <f aca="false">D19/$D$2</f>
        <v>940.761280564658</v>
      </c>
      <c r="G19" s="213" t="n">
        <v>1940</v>
      </c>
      <c r="H19" s="218" t="n">
        <v>129</v>
      </c>
      <c r="I19" s="122" t="n">
        <f aca="false">G19+H19</f>
        <v>2069</v>
      </c>
      <c r="J19" s="218" t="n">
        <f aca="false">IF(L19&gt;0,L19,0)</f>
        <v>417.761280564658</v>
      </c>
      <c r="K19" s="122" t="n">
        <f aca="false">I19+J19</f>
        <v>2486.76128056466</v>
      </c>
      <c r="L19" s="122" t="n">
        <f aca="false">F19-(I19-AG19)</f>
        <v>417.761280564658</v>
      </c>
      <c r="M19" s="244" t="n">
        <v>330</v>
      </c>
      <c r="N19" s="215" t="n">
        <f aca="false">1.8299*1.03</f>
        <v>1.884797</v>
      </c>
      <c r="O19" s="122" t="n">
        <f aca="false">(41+40)*1.05</f>
        <v>85.05</v>
      </c>
      <c r="P19" s="215" t="n">
        <v>0</v>
      </c>
      <c r="Q19" s="352" t="n">
        <f aca="false">2.01*1.02</f>
        <v>2.0502</v>
      </c>
      <c r="R19" s="352" t="n">
        <v>3.15</v>
      </c>
      <c r="S19" s="119" t="n">
        <v>0</v>
      </c>
      <c r="T19" s="381" t="n">
        <v>0</v>
      </c>
      <c r="U19" s="122" t="n">
        <v>113</v>
      </c>
      <c r="V19" s="122" t="n">
        <v>56</v>
      </c>
      <c r="W19" s="122" t="n">
        <f aca="false">M19-N19-O19-P19-Q19-R19-S19-T19+U19+V19-AR19</f>
        <v>363.865003</v>
      </c>
      <c r="X19" s="95" t="n">
        <f aca="false">X18+AO19</f>
        <v>0</v>
      </c>
      <c r="Y19" s="95" t="n">
        <f aca="false">Y18-(AP18/1.9835)</f>
        <v>1702.34358927077</v>
      </c>
      <c r="Z19" s="95"/>
      <c r="AA19" s="122" t="n">
        <v>48</v>
      </c>
      <c r="AB19" s="244" t="n">
        <v>1.7</v>
      </c>
      <c r="AC19" s="245" t="n">
        <v>1.3</v>
      </c>
      <c r="AD19" s="354" t="n">
        <v>999</v>
      </c>
      <c r="AE19" s="353" t="n">
        <f aca="false">AE18</f>
        <v>16031.2578774893</v>
      </c>
      <c r="AF19" s="394" t="n">
        <f aca="false">AD19</f>
        <v>999</v>
      </c>
      <c r="AG19" s="121" t="n">
        <f aca="false">N19+O19+P19+Q19+R19+S19+T19+W19+AA19+AD19+AR19</f>
        <v>1546</v>
      </c>
      <c r="AH19" s="122" t="n">
        <f aca="false">IF(L19&lt;0,L19*-1,0)</f>
        <v>0</v>
      </c>
      <c r="AI19" s="122" t="n">
        <f aca="false">AG19+AH19</f>
        <v>1546</v>
      </c>
      <c r="AJ19" s="221" t="n">
        <v>0.14</v>
      </c>
      <c r="AK19" s="133" t="n">
        <v>61</v>
      </c>
      <c r="AL19" s="222" t="n">
        <v>40</v>
      </c>
      <c r="AM19" s="133" t="n">
        <f aca="false">AM18</f>
        <v>12798.13705</v>
      </c>
      <c r="AN19" s="133"/>
      <c r="AO19" s="382"/>
      <c r="AP19" s="215" t="n">
        <f aca="false">47.3*(X18*1.9835+AO19*1.9835+Y19*1.9835)/E19</f>
        <v>0.795594003849466</v>
      </c>
      <c r="AQ19" s="223"/>
      <c r="AR19" s="151" t="n">
        <v>43</v>
      </c>
      <c r="AS19" s="10"/>
    </row>
    <row r="20" customFormat="false" ht="12.95" hidden="false" customHeight="true" outlineLevel="0" collapsed="false">
      <c r="A20" s="155" t="n">
        <f aca="false">A19+1</f>
        <v>9</v>
      </c>
      <c r="B20" s="94" t="n">
        <v>6917.68</v>
      </c>
      <c r="C20" s="95" t="n">
        <v>353637</v>
      </c>
      <c r="D20" s="133" t="n">
        <f aca="false">C20-C19</f>
        <v>890</v>
      </c>
      <c r="E20" s="95" t="n">
        <f aca="false">C20-152000</f>
        <v>201637</v>
      </c>
      <c r="F20" s="122" t="n">
        <f aca="false">D20/$D$2</f>
        <v>448.701789765566</v>
      </c>
      <c r="G20" s="213" t="n">
        <v>1680</v>
      </c>
      <c r="H20" s="218" t="n">
        <v>93</v>
      </c>
      <c r="I20" s="122" t="n">
        <f aca="false">G20+H20</f>
        <v>1773</v>
      </c>
      <c r="J20" s="218" t="n">
        <f aca="false">IF(L20&gt;0,L20,0)</f>
        <v>327.701789765566</v>
      </c>
      <c r="K20" s="122" t="n">
        <f aca="false">I20+J20</f>
        <v>2100.70178976557</v>
      </c>
      <c r="L20" s="122" t="n">
        <f aca="false">F20-(I20-AG20)</f>
        <v>327.701789765566</v>
      </c>
      <c r="M20" s="244" t="n">
        <v>344</v>
      </c>
      <c r="N20" s="215" t="n">
        <f aca="false">1.8299*1.03</f>
        <v>1.884797</v>
      </c>
      <c r="O20" s="122" t="n">
        <f aca="false">(48+50)*1.05</f>
        <v>102.9</v>
      </c>
      <c r="P20" s="215" t="n">
        <v>0</v>
      </c>
      <c r="Q20" s="352" t="n">
        <f aca="false">2.01*1.02</f>
        <v>2.0502</v>
      </c>
      <c r="R20" s="352" t="n">
        <v>3.16</v>
      </c>
      <c r="S20" s="119" t="n">
        <v>0</v>
      </c>
      <c r="T20" s="381" t="n">
        <v>0</v>
      </c>
      <c r="U20" s="122" t="n">
        <v>127</v>
      </c>
      <c r="V20" s="122" t="n">
        <v>58</v>
      </c>
      <c r="W20" s="122" t="n">
        <f aca="false">M20-N20-O20-P20-Q20-R20-S20-T20+U20+V20-AR20</f>
        <v>374.105003</v>
      </c>
      <c r="X20" s="95" t="n">
        <f aca="false">X19+AO20</f>
        <v>0</v>
      </c>
      <c r="Y20" s="95" t="n">
        <f aca="false">Y19-(AP19/1.9835)</f>
        <v>1701.9424831433</v>
      </c>
      <c r="Z20" s="95"/>
      <c r="AA20" s="122" t="n">
        <v>33</v>
      </c>
      <c r="AB20" s="244" t="n">
        <v>1.7</v>
      </c>
      <c r="AC20" s="245" t="n">
        <v>1.3</v>
      </c>
      <c r="AD20" s="354" t="n">
        <v>1090</v>
      </c>
      <c r="AE20" s="353" t="n">
        <f aca="false">AE19</f>
        <v>16031.2578774893</v>
      </c>
      <c r="AF20" s="394" t="n">
        <f aca="false">AD20</f>
        <v>1090</v>
      </c>
      <c r="AG20" s="121" t="n">
        <f aca="false">N20+O20+P20+Q20+R20+S20+T20+W20+AA20+AD20+AR20</f>
        <v>1652</v>
      </c>
      <c r="AH20" s="122" t="n">
        <f aca="false">IF(L20&lt;0,L20*-1,0)</f>
        <v>0</v>
      </c>
      <c r="AI20" s="122" t="n">
        <f aca="false">AG20+AH20</f>
        <v>1652</v>
      </c>
      <c r="AJ20" s="221" t="n">
        <v>0</v>
      </c>
      <c r="AK20" s="133" t="n">
        <v>70</v>
      </c>
      <c r="AL20" s="222" t="n">
        <v>36</v>
      </c>
      <c r="AM20" s="133" t="n">
        <f aca="false">AM19</f>
        <v>12798.13705</v>
      </c>
      <c r="AN20" s="133"/>
      <c r="AO20" s="382"/>
      <c r="AP20" s="215" t="n">
        <f aca="false">47.3*(X19*1.9835+AO20*1.9835+Y20*1.9835)/E20</f>
        <v>0.791895722979348</v>
      </c>
      <c r="AQ20" s="223"/>
      <c r="AR20" s="151" t="n">
        <v>44.9</v>
      </c>
      <c r="AS20" s="10"/>
    </row>
    <row r="21" customFormat="false" ht="12.95" hidden="false" customHeight="true" outlineLevel="0" collapsed="false">
      <c r="A21" s="155" t="n">
        <f aca="false">A20+1</f>
        <v>10</v>
      </c>
      <c r="B21" s="94" t="n">
        <v>6917.8</v>
      </c>
      <c r="C21" s="95" t="n">
        <v>354146</v>
      </c>
      <c r="D21" s="133" t="n">
        <f aca="false">C21-C20</f>
        <v>509</v>
      </c>
      <c r="E21" s="95" t="n">
        <f aca="false">C21-152000</f>
        <v>202146</v>
      </c>
      <c r="F21" s="122" t="n">
        <f aca="false">D21/$D$2</f>
        <v>256.617091000756</v>
      </c>
      <c r="G21" s="213" t="n">
        <v>1660</v>
      </c>
      <c r="H21" s="218" t="n">
        <v>92</v>
      </c>
      <c r="I21" s="122" t="n">
        <f aca="false">G21+H21</f>
        <v>1752</v>
      </c>
      <c r="J21" s="218" t="n">
        <f aca="false">IF(L21&gt;0,L21,0)</f>
        <v>316.617091000756</v>
      </c>
      <c r="K21" s="122" t="n">
        <f aca="false">I21+J21</f>
        <v>2068.61709100076</v>
      </c>
      <c r="L21" s="122" t="n">
        <f aca="false">F21-(I21-AG21)</f>
        <v>316.617091000756</v>
      </c>
      <c r="M21" s="244" t="n">
        <v>344</v>
      </c>
      <c r="N21" s="215" t="n">
        <f aca="false">1.8299*1.03</f>
        <v>1.884797</v>
      </c>
      <c r="O21" s="122" t="n">
        <f aca="false">(46+45)*1.05</f>
        <v>95.55</v>
      </c>
      <c r="P21" s="215" t="n">
        <v>0</v>
      </c>
      <c r="Q21" s="352" t="n">
        <f aca="false">2.01*1.02</f>
        <v>2.0502</v>
      </c>
      <c r="R21" s="352" t="n">
        <v>3.18</v>
      </c>
      <c r="S21" s="119" t="n">
        <v>0</v>
      </c>
      <c r="T21" s="381" t="n">
        <v>0</v>
      </c>
      <c r="U21" s="122" t="n">
        <v>127</v>
      </c>
      <c r="V21" s="122" t="n">
        <v>61</v>
      </c>
      <c r="W21" s="122" t="n">
        <f aca="false">M21-N21-O21-P21-Q21-R21-S21-T21+U21+V21-AR21</f>
        <v>386.735003</v>
      </c>
      <c r="X21" s="95" t="n">
        <f aca="false">X20+AO21</f>
        <v>0</v>
      </c>
      <c r="Y21" s="95" t="n">
        <f aca="false">Y20-(AP20/1.9835)</f>
        <v>1701.54324153857</v>
      </c>
      <c r="Z21" s="95"/>
      <c r="AA21" s="122" t="n">
        <v>60</v>
      </c>
      <c r="AB21" s="244" t="n">
        <v>1.7</v>
      </c>
      <c r="AC21" s="245" t="n">
        <v>1.3</v>
      </c>
      <c r="AD21" s="354" t="n">
        <v>1220</v>
      </c>
      <c r="AE21" s="353" t="n">
        <f aca="false">AE20</f>
        <v>16031.2578774893</v>
      </c>
      <c r="AF21" s="394" t="n">
        <f aca="false">AD21</f>
        <v>1220</v>
      </c>
      <c r="AG21" s="121" t="n">
        <f aca="false">N21+O21+P21+Q21+R21+S21+T21+W21+AA21+AD21+AR21</f>
        <v>1812</v>
      </c>
      <c r="AH21" s="122" t="n">
        <f aca="false">IF(L21&lt;0,L21*-1,0)</f>
        <v>0</v>
      </c>
      <c r="AI21" s="122" t="n">
        <f aca="false">AG21+AH21</f>
        <v>1812</v>
      </c>
      <c r="AJ21" s="221" t="n">
        <v>0</v>
      </c>
      <c r="AK21" s="133" t="n">
        <v>66</v>
      </c>
      <c r="AL21" s="222" t="n">
        <v>39</v>
      </c>
      <c r="AM21" s="133" t="n">
        <f aca="false">AM20</f>
        <v>12798.13705</v>
      </c>
      <c r="AN21" s="133"/>
      <c r="AO21" s="382"/>
      <c r="AP21" s="215" t="n">
        <f aca="false">47.3*(X20*1.9835+AO21*1.9835+Y21*1.9835)/E21</f>
        <v>0.789716448639546</v>
      </c>
      <c r="AQ21" s="223"/>
      <c r="AR21" s="151" t="n">
        <v>42.6</v>
      </c>
      <c r="AS21" s="10"/>
    </row>
    <row r="22" customFormat="false" ht="12.95" hidden="false" customHeight="true" outlineLevel="0" collapsed="false">
      <c r="A22" s="155" t="n">
        <f aca="false">A21+1</f>
        <v>11</v>
      </c>
      <c r="B22" s="94" t="n">
        <v>6917.83</v>
      </c>
      <c r="C22" s="95" t="n">
        <v>354273</v>
      </c>
      <c r="D22" s="133" t="n">
        <f aca="false">C22-C21</f>
        <v>127</v>
      </c>
      <c r="E22" s="95" t="n">
        <f aca="false">C22-152000</f>
        <v>202273</v>
      </c>
      <c r="F22" s="122" t="n">
        <f aca="false">D22/$D$2</f>
        <v>64.0282329216032</v>
      </c>
      <c r="G22" s="213" t="n">
        <v>1610</v>
      </c>
      <c r="H22" s="218" t="n">
        <v>89</v>
      </c>
      <c r="I22" s="122" t="n">
        <f aca="false">G22+H22</f>
        <v>1699</v>
      </c>
      <c r="J22" s="218" t="n">
        <f aca="false">IF(L22&gt;0,L22,0)</f>
        <v>266.028232921603</v>
      </c>
      <c r="K22" s="122" t="n">
        <f aca="false">I22+J22</f>
        <v>1965.0282329216</v>
      </c>
      <c r="L22" s="122" t="n">
        <f aca="false">F22-(I22-AG22)</f>
        <v>266.028232921603</v>
      </c>
      <c r="M22" s="244" t="n">
        <v>348</v>
      </c>
      <c r="N22" s="215" t="n">
        <f aca="false">1.8299*1.03</f>
        <v>1.884797</v>
      </c>
      <c r="O22" s="122" t="n">
        <f aca="false">(45+45)*1.05</f>
        <v>94.5</v>
      </c>
      <c r="P22" s="215" t="n">
        <v>0</v>
      </c>
      <c r="Q22" s="352" t="n">
        <f aca="false">2.01*1.02</f>
        <v>2.0502</v>
      </c>
      <c r="R22" s="352" t="n">
        <v>3.18</v>
      </c>
      <c r="S22" s="119" t="n">
        <v>0</v>
      </c>
      <c r="T22" s="381" t="n">
        <v>0</v>
      </c>
      <c r="U22" s="122" t="n">
        <v>127</v>
      </c>
      <c r="V22" s="122" t="n">
        <v>61</v>
      </c>
      <c r="W22" s="122" t="n">
        <f aca="false">M22-N22-O22-P22-Q22-R22-S22-T22+U22+V22-AR22</f>
        <v>391.085003</v>
      </c>
      <c r="X22" s="95" t="n">
        <f aca="false">X21+AO22</f>
        <v>0</v>
      </c>
      <c r="Y22" s="95" t="n">
        <f aca="false">Y21-(AP21/1.9835)</f>
        <v>1701.1450986353</v>
      </c>
      <c r="Z22" s="95"/>
      <c r="AA22" s="122" t="n">
        <v>45</v>
      </c>
      <c r="AB22" s="244" t="n">
        <v>1.7</v>
      </c>
      <c r="AC22" s="245" t="n">
        <v>1.3</v>
      </c>
      <c r="AD22" s="354" t="n">
        <v>1320</v>
      </c>
      <c r="AE22" s="353" t="n">
        <f aca="false">AE21</f>
        <v>16031.2578774893</v>
      </c>
      <c r="AF22" s="394" t="n">
        <f aca="false">AD22</f>
        <v>1320</v>
      </c>
      <c r="AG22" s="121" t="n">
        <f aca="false">N22+O22+P22+Q22+R22+S22+T22+W22+AA22+AD22+AR22</f>
        <v>1901</v>
      </c>
      <c r="AH22" s="122" t="n">
        <f aca="false">IF(L22&lt;0,L22*-1,0)</f>
        <v>0</v>
      </c>
      <c r="AI22" s="122" t="n">
        <f aca="false">AG22+AH22</f>
        <v>1901</v>
      </c>
      <c r="AJ22" s="221" t="n">
        <v>0</v>
      </c>
      <c r="AK22" s="133" t="n">
        <v>74</v>
      </c>
      <c r="AL22" s="222" t="n">
        <v>35</v>
      </c>
      <c r="AM22" s="133" t="n">
        <f aca="false">AM21</f>
        <v>12798.13705</v>
      </c>
      <c r="AN22" s="133"/>
      <c r="AO22" s="382"/>
      <c r="AP22" s="215" t="n">
        <f aca="false">47.3*(X21*1.9835+AO22*1.9835+Y22*1.9835)/E22</f>
        <v>0.789035944682034</v>
      </c>
      <c r="AQ22" s="223"/>
      <c r="AR22" s="151" t="n">
        <v>43.3</v>
      </c>
      <c r="AS22" s="10"/>
    </row>
    <row r="23" customFormat="false" ht="12.95" hidden="false" customHeight="true" outlineLevel="0" collapsed="false">
      <c r="A23" s="155" t="n">
        <f aca="false">A22+1</f>
        <v>12</v>
      </c>
      <c r="B23" s="94" t="n">
        <v>6918.1</v>
      </c>
      <c r="C23" s="95" t="n">
        <v>355421</v>
      </c>
      <c r="D23" s="133" t="n">
        <f aca="false">C23-C22</f>
        <v>1148</v>
      </c>
      <c r="E23" s="95" t="n">
        <f aca="false">C23-152000</f>
        <v>203421</v>
      </c>
      <c r="F23" s="122" t="n">
        <f aca="false">D23/$D$2</f>
        <v>578.774892866146</v>
      </c>
      <c r="G23" s="213" t="n">
        <v>1930</v>
      </c>
      <c r="H23" s="218" t="n">
        <v>111</v>
      </c>
      <c r="I23" s="122" t="n">
        <f aca="false">G23+H23</f>
        <v>2041</v>
      </c>
      <c r="J23" s="218" t="n">
        <f aca="false">IF(L23&gt;0,L23,0)</f>
        <v>318.774892866146</v>
      </c>
      <c r="K23" s="122" t="n">
        <f aca="false">I23+J23</f>
        <v>2359.77489286615</v>
      </c>
      <c r="L23" s="122" t="n">
        <f aca="false">F23-(I23-AG23)</f>
        <v>318.774892866146</v>
      </c>
      <c r="M23" s="244" t="n">
        <v>356</v>
      </c>
      <c r="N23" s="215" t="n">
        <f aca="false">1.8299*1.03</f>
        <v>1.884797</v>
      </c>
      <c r="O23" s="122" t="n">
        <f aca="false">(43+43)*1.05</f>
        <v>90.3</v>
      </c>
      <c r="P23" s="215" t="n">
        <v>0</v>
      </c>
      <c r="Q23" s="352" t="n">
        <f aca="false">2.01*1.02</f>
        <v>2.0502</v>
      </c>
      <c r="R23" s="352" t="n">
        <v>3.2</v>
      </c>
      <c r="S23" s="119" t="n">
        <v>0</v>
      </c>
      <c r="T23" s="381" t="n">
        <v>0</v>
      </c>
      <c r="U23" s="122" t="n">
        <v>127</v>
      </c>
      <c r="V23" s="122" t="n">
        <v>52</v>
      </c>
      <c r="W23" s="122" t="n">
        <f aca="false">M23-N23-O23-P23-Q23-R23-S23-T23+U23+V23-AR23</f>
        <v>395.265003</v>
      </c>
      <c r="X23" s="95" t="n">
        <f aca="false">X22+AO23</f>
        <v>0</v>
      </c>
      <c r="Y23" s="95" t="n">
        <f aca="false">Y22-(AP22/1.9835)</f>
        <v>1700.74729881443</v>
      </c>
      <c r="Z23" s="95"/>
      <c r="AA23" s="122" t="n">
        <v>66</v>
      </c>
      <c r="AB23" s="244" t="n">
        <v>1.7</v>
      </c>
      <c r="AC23" s="245" t="n">
        <v>1.3</v>
      </c>
      <c r="AD23" s="354" t="n">
        <v>1180</v>
      </c>
      <c r="AE23" s="353" t="n">
        <f aca="false">AE22</f>
        <v>16031.2578774893</v>
      </c>
      <c r="AF23" s="394" t="n">
        <f aca="false">AD23</f>
        <v>1180</v>
      </c>
      <c r="AG23" s="121" t="n">
        <f aca="false">N23+O23+P23+Q23+R23+S23+T23+W23+AA23+AD23+AR23</f>
        <v>1781</v>
      </c>
      <c r="AH23" s="122" t="n">
        <f aca="false">IF(L23&lt;0,L23*-1,0)</f>
        <v>0</v>
      </c>
      <c r="AI23" s="122" t="n">
        <f aca="false">AG23+AH23</f>
        <v>1781</v>
      </c>
      <c r="AJ23" s="221" t="n">
        <v>0</v>
      </c>
      <c r="AK23" s="133" t="n">
        <v>70</v>
      </c>
      <c r="AL23" s="222" t="n">
        <v>37</v>
      </c>
      <c r="AM23" s="133" t="n">
        <f aca="false">AM22</f>
        <v>12798.13705</v>
      </c>
      <c r="AN23" s="133"/>
      <c r="AO23" s="382"/>
      <c r="AP23" s="215" t="n">
        <f aca="false">47.3*(X22*1.9835+AO23*1.9835+Y23*1.9835)/E23</f>
        <v>0.784399576437465</v>
      </c>
      <c r="AQ23" s="223"/>
      <c r="AR23" s="151" t="n">
        <v>42.3</v>
      </c>
      <c r="AS23" s="10"/>
    </row>
    <row r="24" customFormat="false" ht="12.95" hidden="false" customHeight="true" outlineLevel="0" collapsed="false">
      <c r="A24" s="155" t="n">
        <f aca="false">A23+1</f>
        <v>13</v>
      </c>
      <c r="B24" s="94" t="n">
        <v>6918.47</v>
      </c>
      <c r="C24" s="95" t="n">
        <v>357002</v>
      </c>
      <c r="D24" s="133" t="n">
        <f aca="false">C24-C23</f>
        <v>1581</v>
      </c>
      <c r="E24" s="95" t="n">
        <f aca="false">C24-152000</f>
        <v>205002</v>
      </c>
      <c r="F24" s="122" t="n">
        <f aca="false">D24/$D$2</f>
        <v>797.075875976809</v>
      </c>
      <c r="G24" s="213" t="n">
        <v>2060</v>
      </c>
      <c r="H24" s="218" t="n">
        <v>105</v>
      </c>
      <c r="I24" s="122" t="n">
        <f aca="false">G24+H24</f>
        <v>2165</v>
      </c>
      <c r="J24" s="218" t="n">
        <f aca="false">IF(L24&gt;0,L24,0)</f>
        <v>306.075875976809</v>
      </c>
      <c r="K24" s="122" t="n">
        <f aca="false">I24+J24</f>
        <v>2471.07587597681</v>
      </c>
      <c r="L24" s="122" t="n">
        <f aca="false">F24-(I24-AG24)</f>
        <v>306.075875976809</v>
      </c>
      <c r="M24" s="244" t="n">
        <v>368</v>
      </c>
      <c r="N24" s="215" t="n">
        <f aca="false">1.8299*1.03</f>
        <v>1.884797</v>
      </c>
      <c r="O24" s="122" t="n">
        <f aca="false">(46+47)*1.05</f>
        <v>97.65</v>
      </c>
      <c r="P24" s="215" t="n">
        <v>0</v>
      </c>
      <c r="Q24" s="352" t="n">
        <f aca="false">2.01*1.02</f>
        <v>2.0502</v>
      </c>
      <c r="R24" s="352" t="n">
        <v>3.26</v>
      </c>
      <c r="S24" s="119" t="n">
        <v>0</v>
      </c>
      <c r="T24" s="381" t="n">
        <v>0</v>
      </c>
      <c r="U24" s="122" t="n">
        <v>127</v>
      </c>
      <c r="V24" s="122" t="n">
        <v>66</v>
      </c>
      <c r="W24" s="122" t="n">
        <f aca="false">M24-N24-O24-P24-Q24-R24-S24-T24+U24+V24-AR24</f>
        <v>414.055003</v>
      </c>
      <c r="X24" s="95" t="n">
        <f aca="false">X23+AO24</f>
        <v>0</v>
      </c>
      <c r="Y24" s="95" t="n">
        <f aca="false">Y23-(AP23/1.9835)</f>
        <v>1700.35183646181</v>
      </c>
      <c r="Z24" s="95"/>
      <c r="AA24" s="122" t="n">
        <v>43</v>
      </c>
      <c r="AB24" s="244" t="n">
        <v>1.7</v>
      </c>
      <c r="AC24" s="245" t="n">
        <v>1.3</v>
      </c>
      <c r="AD24" s="354" t="n">
        <v>1070</v>
      </c>
      <c r="AE24" s="353" t="n">
        <f aca="false">AE23</f>
        <v>16031.2578774893</v>
      </c>
      <c r="AF24" s="394" t="n">
        <f aca="false">AD24</f>
        <v>1070</v>
      </c>
      <c r="AG24" s="121" t="n">
        <f aca="false">N24+O24+P24+Q24+R24+S24+T24+W24+AA24+AD24+AR24</f>
        <v>1674</v>
      </c>
      <c r="AH24" s="122" t="n">
        <f aca="false">IF(L24&lt;0,L24*-1,0)</f>
        <v>0</v>
      </c>
      <c r="AI24" s="122" t="n">
        <f aca="false">AG24+AH24</f>
        <v>1674</v>
      </c>
      <c r="AJ24" s="221" t="n">
        <v>0.01</v>
      </c>
      <c r="AK24" s="133" t="n">
        <v>59</v>
      </c>
      <c r="AL24" s="222" t="n">
        <v>37</v>
      </c>
      <c r="AM24" s="133" t="n">
        <f aca="false">AM23</f>
        <v>12798.13705</v>
      </c>
      <c r="AN24" s="133"/>
      <c r="AO24" s="382"/>
      <c r="AP24" s="215" t="n">
        <f aca="false">47.3*(X23*1.9835+AO24*1.9835+Y24*1.9835)/E24</f>
        <v>0.778169208780988</v>
      </c>
      <c r="AQ24" s="223"/>
      <c r="AR24" s="151" t="n">
        <v>42.1</v>
      </c>
      <c r="AS24" s="10"/>
    </row>
    <row r="25" customFormat="false" ht="12.95" hidden="false" customHeight="true" outlineLevel="0" collapsed="false">
      <c r="A25" s="155" t="n">
        <f aca="false">A24+1</f>
        <v>14</v>
      </c>
      <c r="B25" s="94" t="n">
        <v>6918.5</v>
      </c>
      <c r="C25" s="95" t="n">
        <v>357130</v>
      </c>
      <c r="D25" s="133" t="n">
        <f aca="false">C25-C24</f>
        <v>128</v>
      </c>
      <c r="E25" s="95" t="n">
        <f aca="false">C25-152000</f>
        <v>205130</v>
      </c>
      <c r="F25" s="122" t="n">
        <f aca="false">D25/$D$2</f>
        <v>64.5323922359466</v>
      </c>
      <c r="G25" s="213" t="n">
        <v>1690</v>
      </c>
      <c r="H25" s="218" t="n">
        <v>67</v>
      </c>
      <c r="I25" s="122" t="n">
        <f aca="false">G25+H25</f>
        <v>1757</v>
      </c>
      <c r="J25" s="218" t="n">
        <f aca="false">IF(L25&gt;0,L25,0)</f>
        <v>330.532392235947</v>
      </c>
      <c r="K25" s="122" t="n">
        <f aca="false">I25+J25</f>
        <v>2087.53239223595</v>
      </c>
      <c r="L25" s="122" t="n">
        <f aca="false">F25-(I25-AG25)</f>
        <v>330.532392235947</v>
      </c>
      <c r="M25" s="244" t="n">
        <v>364</v>
      </c>
      <c r="N25" s="215" t="n">
        <f aca="false">1.8299*1.03</f>
        <v>1.884797</v>
      </c>
      <c r="O25" s="122" t="n">
        <f aca="false">(50+50)*1.05</f>
        <v>105</v>
      </c>
      <c r="P25" s="215" t="n">
        <v>0</v>
      </c>
      <c r="Q25" s="352" t="n">
        <f aca="false">2.01*1.02</f>
        <v>2.0502</v>
      </c>
      <c r="R25" s="352" t="n">
        <v>3.3</v>
      </c>
      <c r="S25" s="119" t="n">
        <v>0</v>
      </c>
      <c r="T25" s="381" t="n">
        <v>0</v>
      </c>
      <c r="U25" s="122" t="n">
        <v>127</v>
      </c>
      <c r="V25" s="122" t="n">
        <v>67</v>
      </c>
      <c r="W25" s="122" t="n">
        <f aca="false">M25-N25-O25-P25-Q25-R25-S25-T25+U25+V25-AR25</f>
        <v>403.365003</v>
      </c>
      <c r="X25" s="95" t="n">
        <f aca="false">X24+AO25</f>
        <v>0</v>
      </c>
      <c r="Y25" s="95" t="n">
        <f aca="false">Y24-(AP24/1.9835)</f>
        <v>1699.95951520706</v>
      </c>
      <c r="Z25" s="95"/>
      <c r="AA25" s="122" t="n">
        <v>85</v>
      </c>
      <c r="AB25" s="244" t="n">
        <v>1.7</v>
      </c>
      <c r="AC25" s="245" t="n">
        <v>1.3</v>
      </c>
      <c r="AD25" s="354" t="n">
        <v>1380</v>
      </c>
      <c r="AE25" s="353" t="n">
        <f aca="false">AE24</f>
        <v>16031.2578774893</v>
      </c>
      <c r="AF25" s="394" t="n">
        <f aca="false">AD25</f>
        <v>1380</v>
      </c>
      <c r="AG25" s="121" t="n">
        <f aca="false">N25+O25+P25+Q25+R25+S25+T25+W25+AA25+AD25+AR25</f>
        <v>2023</v>
      </c>
      <c r="AH25" s="122" t="n">
        <f aca="false">IF(L25&lt;0,L25*-1,0)</f>
        <v>0</v>
      </c>
      <c r="AI25" s="122" t="n">
        <f aca="false">AG25+AH25</f>
        <v>2023</v>
      </c>
      <c r="AJ25" s="221" t="n">
        <v>0</v>
      </c>
      <c r="AK25" s="133" t="n">
        <v>65</v>
      </c>
      <c r="AL25" s="222" t="n">
        <v>32</v>
      </c>
      <c r="AM25" s="133" t="n">
        <f aca="false">AM24</f>
        <v>12798.13705</v>
      </c>
      <c r="AN25" s="133"/>
      <c r="AO25" s="382"/>
      <c r="AP25" s="215" t="n">
        <f aca="false">47.3*(X24*1.9835+AO25*1.9835+Y25*1.9835)/E25</f>
        <v>0.777504200921098</v>
      </c>
      <c r="AQ25" s="223"/>
      <c r="AR25" s="151" t="n">
        <v>42.4</v>
      </c>
      <c r="AS25" s="10"/>
    </row>
    <row r="26" customFormat="false" ht="12.95" hidden="false" customHeight="true" outlineLevel="0" collapsed="false">
      <c r="A26" s="155" t="n">
        <f aca="false">A25+1</f>
        <v>15</v>
      </c>
      <c r="B26" s="94" t="n">
        <v>6918.35</v>
      </c>
      <c r="C26" s="95" t="n">
        <v>356489</v>
      </c>
      <c r="D26" s="133" t="n">
        <f aca="false">C26-C25</f>
        <v>-641</v>
      </c>
      <c r="E26" s="95" t="n">
        <f aca="false">C26-152000</f>
        <v>204489</v>
      </c>
      <c r="F26" s="122" t="n">
        <f aca="false">D26/$D$2</f>
        <v>-323.166120494076</v>
      </c>
      <c r="G26" s="213" t="n">
        <v>1640</v>
      </c>
      <c r="H26" s="218" t="n">
        <v>57</v>
      </c>
      <c r="I26" s="122" t="n">
        <f aca="false">G26+H26</f>
        <v>1697</v>
      </c>
      <c r="J26" s="218" t="n">
        <f aca="false">IF(L26&gt;0,L26,0)</f>
        <v>374.833879505924</v>
      </c>
      <c r="K26" s="355" t="n">
        <f aca="false">I26+J26</f>
        <v>2071.83387950592</v>
      </c>
      <c r="L26" s="122" t="n">
        <f aca="false">F26-(I26-AG26)</f>
        <v>374.833879505924</v>
      </c>
      <c r="M26" s="244" t="n">
        <v>368</v>
      </c>
      <c r="N26" s="215" t="n">
        <f aca="false">1.8299*1.03</f>
        <v>1.884797</v>
      </c>
      <c r="O26" s="122" t="n">
        <f aca="false">(48+44)*1.05</f>
        <v>96.6</v>
      </c>
      <c r="P26" s="215" t="n">
        <v>0</v>
      </c>
      <c r="Q26" s="352" t="n">
        <f aca="false">2.01*1.02</f>
        <v>2.0502</v>
      </c>
      <c r="R26" s="352" t="n">
        <v>3.32</v>
      </c>
      <c r="S26" s="119" t="n">
        <v>0</v>
      </c>
      <c r="T26" s="381" t="n">
        <v>0</v>
      </c>
      <c r="U26" s="122" t="n">
        <v>143</v>
      </c>
      <c r="V26" s="122" t="n">
        <v>67</v>
      </c>
      <c r="W26" s="122" t="n">
        <f aca="false">M26-N26-O26-P26-Q26-R26-S26-T26+U26+V26-AR26</f>
        <v>431.845003</v>
      </c>
      <c r="X26" s="95" t="n">
        <f aca="false">X25+AO26</f>
        <v>0</v>
      </c>
      <c r="Y26" s="95" t="n">
        <f aca="false">Y25-(AP25/1.9835)</f>
        <v>1699.56752922223</v>
      </c>
      <c r="Z26" s="95"/>
      <c r="AA26" s="122" t="n">
        <v>117</v>
      </c>
      <c r="AB26" s="244" t="n">
        <v>1.7</v>
      </c>
      <c r="AC26" s="245" t="n">
        <v>1.3</v>
      </c>
      <c r="AD26" s="354" t="n">
        <v>1700</v>
      </c>
      <c r="AE26" s="353" t="n">
        <f aca="false">AE25</f>
        <v>16031.2578774893</v>
      </c>
      <c r="AF26" s="394" t="n">
        <f aca="false">AD26</f>
        <v>1700</v>
      </c>
      <c r="AG26" s="121" t="n">
        <f aca="false">N26+O26+P26+Q26+R26+S26+T26+W26+AA26+AD26+AR26</f>
        <v>2395</v>
      </c>
      <c r="AH26" s="122" t="n">
        <f aca="false">IF(L26&lt;0,L26*-1,0)</f>
        <v>0</v>
      </c>
      <c r="AI26" s="122" t="n">
        <f aca="false">AG26+AH26</f>
        <v>2395</v>
      </c>
      <c r="AJ26" s="221" t="n">
        <v>0</v>
      </c>
      <c r="AK26" s="133" t="n">
        <v>61</v>
      </c>
      <c r="AL26" s="222" t="n">
        <v>40</v>
      </c>
      <c r="AM26" s="133" t="n">
        <f aca="false">AM25</f>
        <v>12798.13705</v>
      </c>
      <c r="AN26" s="133"/>
      <c r="AO26" s="382"/>
      <c r="AP26" s="215" t="n">
        <f aca="false">47.3*(X25*1.9835+AO26*1.9835+Y26*1.9835)/E26</f>
        <v>0.779761555811028</v>
      </c>
      <c r="AQ26" s="223"/>
      <c r="AR26" s="151" t="n">
        <v>42.3</v>
      </c>
      <c r="AS26" s="10"/>
    </row>
    <row r="27" customFormat="false" ht="12.95" hidden="false" customHeight="true" outlineLevel="0" collapsed="false">
      <c r="A27" s="155" t="n">
        <f aca="false">A26+1</f>
        <v>16</v>
      </c>
      <c r="B27" s="94" t="n">
        <v>6918.01</v>
      </c>
      <c r="C27" s="95" t="n">
        <v>355036</v>
      </c>
      <c r="D27" s="133" t="n">
        <f aca="false">C27-C26</f>
        <v>-1453</v>
      </c>
      <c r="E27" s="95" t="n">
        <f aca="false">C27-152000</f>
        <v>203036</v>
      </c>
      <c r="F27" s="122" t="n">
        <f aca="false">D27/$D$2</f>
        <v>-732.543483740862</v>
      </c>
      <c r="G27" s="213" t="n">
        <v>1510</v>
      </c>
      <c r="H27" s="218" t="n">
        <v>44</v>
      </c>
      <c r="I27" s="122" t="n">
        <f aca="false">G27+H27</f>
        <v>1554</v>
      </c>
      <c r="J27" s="218" t="n">
        <f aca="false">IF(L27&gt;0,L27,0)</f>
        <v>339.456516259138</v>
      </c>
      <c r="K27" s="122" t="n">
        <f aca="false">I27+J27</f>
        <v>1893.45651625914</v>
      </c>
      <c r="L27" s="122" t="n">
        <f aca="false">F27-(I27-AG27)</f>
        <v>339.456516259138</v>
      </c>
      <c r="M27" s="244" t="n">
        <v>344</v>
      </c>
      <c r="N27" s="215" t="n">
        <f aca="false">1.8299*1.03</f>
        <v>1.884797</v>
      </c>
      <c r="O27" s="122" t="n">
        <f aca="false">(42+43)*1.05</f>
        <v>89.25</v>
      </c>
      <c r="P27" s="215" t="n">
        <v>0</v>
      </c>
      <c r="Q27" s="352" t="n">
        <f aca="false">2.01*1.02</f>
        <v>2.0502</v>
      </c>
      <c r="R27" s="352" t="n">
        <v>3.32</v>
      </c>
      <c r="S27" s="119" t="n">
        <v>0</v>
      </c>
      <c r="T27" s="381" t="n">
        <v>0</v>
      </c>
      <c r="U27" s="122" t="n">
        <v>156</v>
      </c>
      <c r="V27" s="122" t="n">
        <v>66</v>
      </c>
      <c r="W27" s="122" t="n">
        <f aca="false">M27-N27-O27-P27-Q27-R27-S27-T27+U27+V27-AR27</f>
        <v>426.895003</v>
      </c>
      <c r="X27" s="95" t="n">
        <f aca="false">X26+AO27</f>
        <v>0</v>
      </c>
      <c r="Y27" s="95" t="n">
        <f aca="false">Y26-(AP26/1.9835)</f>
        <v>1699.1744051709</v>
      </c>
      <c r="Z27" s="95"/>
      <c r="AA27" s="122" t="n">
        <v>130</v>
      </c>
      <c r="AB27" s="244" t="n">
        <v>1.7</v>
      </c>
      <c r="AC27" s="245" t="n">
        <v>1.3</v>
      </c>
      <c r="AD27" s="354" t="n">
        <v>1930</v>
      </c>
      <c r="AE27" s="353" t="n">
        <f aca="false">AE26</f>
        <v>16031.2578774893</v>
      </c>
      <c r="AF27" s="394" t="n">
        <f aca="false">AD27</f>
        <v>1930</v>
      </c>
      <c r="AG27" s="121" t="n">
        <f aca="false">N27+O27+P27+Q27+R27+S27+T27+W27+AA27+AD27+AR27</f>
        <v>2626</v>
      </c>
      <c r="AH27" s="122" t="n">
        <f aca="false">IF(L27&lt;0,L27*-1,0)</f>
        <v>0</v>
      </c>
      <c r="AI27" s="122" t="n">
        <f aca="false">AG27+AH27</f>
        <v>2626</v>
      </c>
      <c r="AJ27" s="221" t="n">
        <v>0</v>
      </c>
      <c r="AK27" s="133" t="n">
        <v>67</v>
      </c>
      <c r="AL27" s="222" t="n">
        <v>34</v>
      </c>
      <c r="AM27" s="133" t="n">
        <f aca="false">AM26</f>
        <v>12798.13705</v>
      </c>
      <c r="AN27" s="133"/>
      <c r="AO27" s="382"/>
      <c r="AP27" s="215" t="n">
        <f aca="false">47.3*(X26*1.9835+AO27*1.9835+Y27*1.9835)/E27</f>
        <v>0.785160159107998</v>
      </c>
      <c r="AQ27" s="223"/>
      <c r="AR27" s="151" t="n">
        <v>42.6</v>
      </c>
      <c r="AS27" s="10"/>
    </row>
    <row r="28" customFormat="false" ht="12.95" hidden="false" customHeight="true" outlineLevel="0" collapsed="false">
      <c r="A28" s="155" t="n">
        <f aca="false">A27+1</f>
        <v>17</v>
      </c>
      <c r="B28" s="94" t="n">
        <v>6917.82</v>
      </c>
      <c r="C28" s="95" t="n">
        <v>354231</v>
      </c>
      <c r="D28" s="133" t="n">
        <f aca="false">C28-C27</f>
        <v>-805</v>
      </c>
      <c r="E28" s="95" t="n">
        <f aca="false">C28-152000</f>
        <v>202231</v>
      </c>
      <c r="F28" s="122" t="n">
        <f aca="false">D28/$D$2</f>
        <v>-405.848248046383</v>
      </c>
      <c r="G28" s="213" t="n">
        <v>1870</v>
      </c>
      <c r="H28" s="218" t="n">
        <v>50</v>
      </c>
      <c r="I28" s="122" t="n">
        <f aca="false">G28+H28</f>
        <v>1920</v>
      </c>
      <c r="J28" s="218" t="n">
        <f aca="false">IF(L28&gt;0,L28,0)</f>
        <v>293.151751953617</v>
      </c>
      <c r="K28" s="355" t="n">
        <f aca="false">I28+J28</f>
        <v>2213.15175195362</v>
      </c>
      <c r="L28" s="122" t="n">
        <f aca="false">F28-(I28-AG28)</f>
        <v>293.151751953617</v>
      </c>
      <c r="M28" s="244" t="n">
        <v>290</v>
      </c>
      <c r="N28" s="215" t="n">
        <f aca="false">1.8299*1.03</f>
        <v>1.884797</v>
      </c>
      <c r="O28" s="122" t="n">
        <f aca="false">(28+29)*1.05</f>
        <v>59.85</v>
      </c>
      <c r="P28" s="215" t="n">
        <v>0</v>
      </c>
      <c r="Q28" s="352" t="n">
        <f aca="false">2.01*1.02</f>
        <v>2.0502</v>
      </c>
      <c r="R28" s="352" t="n">
        <v>3.33</v>
      </c>
      <c r="S28" s="119" t="n">
        <v>0</v>
      </c>
      <c r="T28" s="381" t="n">
        <v>0</v>
      </c>
      <c r="U28" s="122" t="n">
        <v>155</v>
      </c>
      <c r="V28" s="122" t="n">
        <v>67</v>
      </c>
      <c r="W28" s="122" t="n">
        <f aca="false">M28-N28-O28-P28-Q28-R28-S28-T28+U28+V28-AR28</f>
        <v>403.785003</v>
      </c>
      <c r="X28" s="95" t="n">
        <f aca="false">X27+AO28</f>
        <v>0</v>
      </c>
      <c r="Y28" s="95" t="n">
        <f aca="false">Y27-(AP27/1.9835)</f>
        <v>1698.77855936343</v>
      </c>
      <c r="Z28" s="95"/>
      <c r="AA28" s="122" t="n">
        <v>147</v>
      </c>
      <c r="AB28" s="244" t="n">
        <v>1.7</v>
      </c>
      <c r="AC28" s="245" t="n">
        <v>1.3</v>
      </c>
      <c r="AD28" s="354" t="n">
        <v>1960</v>
      </c>
      <c r="AE28" s="353" t="n">
        <f aca="false">AE27</f>
        <v>16031.2578774893</v>
      </c>
      <c r="AF28" s="394" t="n">
        <f aca="false">AD28</f>
        <v>1960</v>
      </c>
      <c r="AG28" s="121" t="n">
        <f aca="false">N28+O28+P28+Q28+R28+S28+T28+W28+AA28+AD28+AR28</f>
        <v>2619</v>
      </c>
      <c r="AH28" s="122" t="n">
        <f aca="false">IF(L28&lt;0,L28*-1,0)</f>
        <v>0</v>
      </c>
      <c r="AI28" s="122" t="n">
        <f aca="false">AG28+AH28</f>
        <v>2619</v>
      </c>
      <c r="AJ28" s="221" t="n">
        <v>0</v>
      </c>
      <c r="AK28" s="133" t="n">
        <v>75</v>
      </c>
      <c r="AL28" s="222" t="n">
        <v>44</v>
      </c>
      <c r="AM28" s="133" t="n">
        <f aca="false">AM27</f>
        <v>12798.13705</v>
      </c>
      <c r="AN28" s="133"/>
      <c r="AO28" s="382"/>
      <c r="AP28" s="215" t="n">
        <f aca="false">47.3*(X27*1.9835+AO28*1.9835+Y28*1.9835)/E28</f>
        <v>0.788101922994623</v>
      </c>
      <c r="AQ28" s="223"/>
      <c r="AR28" s="151" t="n">
        <v>41.1</v>
      </c>
      <c r="AS28" s="10"/>
    </row>
    <row r="29" customFormat="false" ht="12.95" hidden="false" customHeight="true" outlineLevel="0" collapsed="false">
      <c r="A29" s="155" t="n">
        <f aca="false">A28+1</f>
        <v>18</v>
      </c>
      <c r="B29" s="94" t="n">
        <v>6917.96</v>
      </c>
      <c r="C29" s="95" t="n">
        <v>354824</v>
      </c>
      <c r="D29" s="133" t="n">
        <f aca="false">C29-C28</f>
        <v>593</v>
      </c>
      <c r="E29" s="95" t="n">
        <f aca="false">C29-152000</f>
        <v>202824</v>
      </c>
      <c r="F29" s="122" t="n">
        <f aca="false">D29/$D$2</f>
        <v>298.966473405596</v>
      </c>
      <c r="G29" s="213" t="n">
        <v>2550</v>
      </c>
      <c r="H29" s="218" t="n">
        <v>79</v>
      </c>
      <c r="I29" s="122" t="n">
        <f aca="false">G29+H29</f>
        <v>2629</v>
      </c>
      <c r="J29" s="218" t="n">
        <f aca="false">IF(L29&gt;0,L29,0)</f>
        <v>303.966473405596</v>
      </c>
      <c r="K29" s="122" t="n">
        <f aca="false">I29+J29</f>
        <v>2932.9664734056</v>
      </c>
      <c r="L29" s="122" t="n">
        <f aca="false">F29-(I29-AG29)</f>
        <v>303.966473405596</v>
      </c>
      <c r="M29" s="244" t="n">
        <v>301</v>
      </c>
      <c r="N29" s="215" t="n">
        <f aca="false">1.8299*1.03</f>
        <v>1.884797</v>
      </c>
      <c r="O29" s="122" t="n">
        <f aca="false">(19+21)*1.05</f>
        <v>42</v>
      </c>
      <c r="P29" s="215" t="n">
        <v>0</v>
      </c>
      <c r="Q29" s="352" t="n">
        <f aca="false">2.01*1.02</f>
        <v>2.0502</v>
      </c>
      <c r="R29" s="352" t="n">
        <v>3.34</v>
      </c>
      <c r="S29" s="119" t="n">
        <v>0</v>
      </c>
      <c r="T29" s="381" t="n">
        <v>0</v>
      </c>
      <c r="U29" s="122" t="n">
        <v>151</v>
      </c>
      <c r="V29" s="122" t="n">
        <v>70</v>
      </c>
      <c r="W29" s="122" t="n">
        <f aca="false">M29-N29-O29-P29-Q29-R29-S29-T29+U29+V29-AR29</f>
        <v>432.725003</v>
      </c>
      <c r="X29" s="95" t="n">
        <f aca="false">X28+AO29</f>
        <v>0</v>
      </c>
      <c r="Y29" s="95" t="n">
        <f aca="false">Y28-(AP28/1.9835)</f>
        <v>1698.3812304383</v>
      </c>
      <c r="Z29" s="95"/>
      <c r="AA29" s="122" t="n">
        <v>152</v>
      </c>
      <c r="AB29" s="244" t="n">
        <v>1.7</v>
      </c>
      <c r="AC29" s="245" t="n">
        <v>1.3</v>
      </c>
      <c r="AD29" s="354" t="n">
        <v>1960</v>
      </c>
      <c r="AE29" s="353" t="n">
        <f aca="false">AE28</f>
        <v>16031.2578774893</v>
      </c>
      <c r="AF29" s="394" t="n">
        <f aca="false">AD29</f>
        <v>1960</v>
      </c>
      <c r="AG29" s="121" t="n">
        <f aca="false">N29+O29+P29+Q29+R29+S29+T29+W29+AA29+AD29+AR29</f>
        <v>2634</v>
      </c>
      <c r="AH29" s="122" t="n">
        <f aca="false">IF(L29&lt;0,L29*-1,0)</f>
        <v>0</v>
      </c>
      <c r="AI29" s="122" t="n">
        <f aca="false">AG29+AH29</f>
        <v>2634</v>
      </c>
      <c r="AJ29" s="221" t="n">
        <v>0</v>
      </c>
      <c r="AK29" s="133" t="n">
        <v>77</v>
      </c>
      <c r="AL29" s="222" t="n">
        <v>46</v>
      </c>
      <c r="AM29" s="133" t="n">
        <f aca="false">AM28</f>
        <v>12798.13705</v>
      </c>
      <c r="AN29" s="133"/>
      <c r="AO29" s="382"/>
      <c r="AP29" s="215" t="n">
        <f aca="false">47.3*(X28*1.9835+AO29*1.9835+Y29*1.9835)/E29</f>
        <v>0.785613944938311</v>
      </c>
      <c r="AQ29" s="223"/>
      <c r="AR29" s="151" t="n">
        <v>40</v>
      </c>
      <c r="AS29" s="10"/>
    </row>
    <row r="30" customFormat="false" ht="12.95" hidden="false" customHeight="true" outlineLevel="0" collapsed="false">
      <c r="A30" s="155" t="n">
        <f aca="false">A29+1</f>
        <v>19</v>
      </c>
      <c r="B30" s="94" t="n">
        <v>6918.23</v>
      </c>
      <c r="C30" s="325" t="n">
        <v>355977</v>
      </c>
      <c r="D30" s="133" t="n">
        <f aca="false">C30-C29</f>
        <v>1153</v>
      </c>
      <c r="E30" s="95" t="n">
        <f aca="false">C30-152000</f>
        <v>203977</v>
      </c>
      <c r="F30" s="122" t="n">
        <f aca="false">D30/$D$2</f>
        <v>581.295689437862</v>
      </c>
      <c r="G30" s="213" t="n">
        <v>2960</v>
      </c>
      <c r="H30" s="218" t="n">
        <v>89</v>
      </c>
      <c r="I30" s="122" t="n">
        <f aca="false">G30+H30</f>
        <v>3049</v>
      </c>
      <c r="J30" s="218" t="n">
        <f aca="false">IF(L30&gt;0,L30,0)</f>
        <v>245.295689437862</v>
      </c>
      <c r="K30" s="122" t="n">
        <f aca="false">I30+J30</f>
        <v>3294.29568943786</v>
      </c>
      <c r="L30" s="122" t="n">
        <f aca="false">F30-(I30-AG30)</f>
        <v>245.295689437862</v>
      </c>
      <c r="M30" s="244" t="n">
        <v>337</v>
      </c>
      <c r="N30" s="215" t="n">
        <f aca="false">1.8299*1.03</f>
        <v>1.884797</v>
      </c>
      <c r="O30" s="122" t="n">
        <f aca="false">(40+41)*1.05</f>
        <v>85.05</v>
      </c>
      <c r="P30" s="215" t="n">
        <v>0</v>
      </c>
      <c r="Q30" s="352" t="n">
        <f aca="false">2.01*1.02</f>
        <v>2.0502</v>
      </c>
      <c r="R30" s="352" t="n">
        <v>3.35</v>
      </c>
      <c r="S30" s="119" t="n">
        <v>0</v>
      </c>
      <c r="T30" s="381" t="n">
        <v>0</v>
      </c>
      <c r="U30" s="122" t="n">
        <v>150</v>
      </c>
      <c r="V30" s="122" t="n">
        <v>75</v>
      </c>
      <c r="W30" s="122" t="n">
        <f aca="false">M30-N30-O30-P30-Q30-R30-S30-T30+U30+V30-AR30</f>
        <v>454.465003</v>
      </c>
      <c r="X30" s="95" t="n">
        <f aca="false">X29+AO30</f>
        <v>0</v>
      </c>
      <c r="Y30" s="95" t="n">
        <f aca="false">Y29-(AP29/1.9835)</f>
        <v>1697.98515585049</v>
      </c>
      <c r="Z30" s="95"/>
      <c r="AA30" s="122" t="n">
        <v>191</v>
      </c>
      <c r="AB30" s="244" t="n">
        <v>1.7</v>
      </c>
      <c r="AC30" s="245" t="n">
        <v>1.3</v>
      </c>
      <c r="AD30" s="354" t="n">
        <v>1960</v>
      </c>
      <c r="AE30" s="353" t="n">
        <f aca="false">AE29</f>
        <v>16031.2578774893</v>
      </c>
      <c r="AF30" s="394" t="n">
        <f aca="false">AD30</f>
        <v>1960</v>
      </c>
      <c r="AG30" s="121" t="n">
        <f aca="false">N30+O30+P30+Q30+R30+S30+T30+W30+AA30+AD30+AR30</f>
        <v>2713</v>
      </c>
      <c r="AH30" s="122" t="n">
        <f aca="false">IF(L30&lt;0,L30*-1,0)</f>
        <v>0</v>
      </c>
      <c r="AI30" s="122" t="n">
        <f aca="false">AG30+AH30</f>
        <v>2713</v>
      </c>
      <c r="AJ30" s="221" t="n">
        <v>0</v>
      </c>
      <c r="AK30" s="133" t="n">
        <v>82</v>
      </c>
      <c r="AL30" s="222" t="n">
        <v>47</v>
      </c>
      <c r="AM30" s="133" t="n">
        <f aca="false">AM29</f>
        <v>12798.13705</v>
      </c>
      <c r="AN30" s="133"/>
      <c r="AO30" s="382"/>
      <c r="AP30" s="215" t="n">
        <f aca="false">47.3*(X29*1.9835+AO30*1.9835+Y30*1.9835)/E30</f>
        <v>0.780991009910786</v>
      </c>
      <c r="AQ30" s="223"/>
      <c r="AR30" s="151" t="n">
        <v>15.2</v>
      </c>
      <c r="AS30" s="10"/>
    </row>
    <row r="31" customFormat="false" ht="12.95" hidden="false" customHeight="true" outlineLevel="0" collapsed="false">
      <c r="A31" s="155" t="n">
        <f aca="false">A30+1</f>
        <v>20</v>
      </c>
      <c r="B31" s="94" t="n">
        <v>6918.92</v>
      </c>
      <c r="C31" s="95" t="n">
        <v>358925</v>
      </c>
      <c r="D31" s="133" t="n">
        <f aca="false">C31-C30</f>
        <v>2948</v>
      </c>
      <c r="E31" s="95" t="n">
        <f aca="false">C31-152000</f>
        <v>206925</v>
      </c>
      <c r="F31" s="122" t="n">
        <f aca="false">D31/$D$2</f>
        <v>1486.26165868414</v>
      </c>
      <c r="G31" s="213" t="n">
        <v>3650</v>
      </c>
      <c r="H31" s="218" t="n">
        <v>108</v>
      </c>
      <c r="I31" s="122" t="n">
        <f aca="false">G31+H31</f>
        <v>3758</v>
      </c>
      <c r="J31" s="218" t="n">
        <f aca="false">IF(L31&gt;0,L31,0)</f>
        <v>421.261658684144</v>
      </c>
      <c r="K31" s="122" t="n">
        <f aca="false">I31+J31</f>
        <v>4179.26165868414</v>
      </c>
      <c r="L31" s="122" t="n">
        <f aca="false">F31-(I31-AG31)</f>
        <v>421.261658684144</v>
      </c>
      <c r="M31" s="244" t="n">
        <v>325</v>
      </c>
      <c r="N31" s="215" t="n">
        <f aca="false">1.8299*1.03</f>
        <v>1.884797</v>
      </c>
      <c r="O31" s="122" t="n">
        <f aca="false">(45+45)*1.05</f>
        <v>94.5</v>
      </c>
      <c r="P31" s="215" t="n">
        <v>0</v>
      </c>
      <c r="Q31" s="352" t="n">
        <f aca="false">2.01*1.02</f>
        <v>2.0502</v>
      </c>
      <c r="R31" s="352" t="n">
        <v>3.4</v>
      </c>
      <c r="S31" s="119" t="n">
        <v>0</v>
      </c>
      <c r="T31" s="381" t="n">
        <v>0</v>
      </c>
      <c r="U31" s="122" t="n">
        <v>151</v>
      </c>
      <c r="V31" s="122" t="n">
        <v>66</v>
      </c>
      <c r="W31" s="122" t="n">
        <f aca="false">M31-N31-O31-P31-Q31-R31-S31-T31+U31+V31-AR31</f>
        <v>440.165003</v>
      </c>
      <c r="X31" s="95" t="n">
        <f aca="false">X30+AO31</f>
        <v>0</v>
      </c>
      <c r="Y31" s="95" t="n">
        <f aca="false">Y30-(AP30/1.9835)</f>
        <v>1697.59141195842</v>
      </c>
      <c r="Z31" s="95"/>
      <c r="AA31" s="122" t="n">
        <v>181</v>
      </c>
      <c r="AB31" s="244" t="n">
        <v>1.7</v>
      </c>
      <c r="AC31" s="245" t="n">
        <v>1.3</v>
      </c>
      <c r="AD31" s="354" t="n">
        <v>1970</v>
      </c>
      <c r="AE31" s="353" t="n">
        <f aca="false">AE30</f>
        <v>16031.2578774893</v>
      </c>
      <c r="AF31" s="394" t="n">
        <f aca="false">AD31</f>
        <v>1970</v>
      </c>
      <c r="AG31" s="121" t="n">
        <f aca="false">N31+O31+P31+Q31+R31+S31+T31+W31+AA31+AD31+AR31</f>
        <v>2693</v>
      </c>
      <c r="AH31" s="122" t="n">
        <f aca="false">IF(L31&lt;0,L31*-1,0)</f>
        <v>0</v>
      </c>
      <c r="AI31" s="122" t="n">
        <f aca="false">AG31+AH31</f>
        <v>2693</v>
      </c>
      <c r="AJ31" s="221" t="n">
        <v>0</v>
      </c>
      <c r="AK31" s="133" t="n">
        <v>84</v>
      </c>
      <c r="AL31" s="222" t="n">
        <v>50</v>
      </c>
      <c r="AM31" s="133" t="n">
        <f aca="false">AM30</f>
        <v>12798.13705</v>
      </c>
      <c r="AN31" s="133"/>
      <c r="AO31" s="382"/>
      <c r="AP31" s="215" t="n">
        <f aca="false">47.3*(X30*1.9835+AO31*1.9835+Y31*1.9835)/E31</f>
        <v>0.769685936227153</v>
      </c>
      <c r="AQ31" s="223"/>
      <c r="AR31" s="151"/>
      <c r="AS31" s="10"/>
    </row>
    <row r="32" customFormat="false" ht="12.95" hidden="false" customHeight="true" outlineLevel="0" collapsed="false">
      <c r="A32" s="155" t="n">
        <f aca="false">A31+1</f>
        <v>21</v>
      </c>
      <c r="B32" s="420" t="n">
        <v>6919.66</v>
      </c>
      <c r="C32" s="95" t="n">
        <v>362109</v>
      </c>
      <c r="D32" s="133" t="n">
        <f aca="false">C32-C31</f>
        <v>3184</v>
      </c>
      <c r="E32" s="95" t="n">
        <f aca="false">C32-152000</f>
        <v>210109</v>
      </c>
      <c r="F32" s="122" t="n">
        <f aca="false">D32/$D$2</f>
        <v>1605.24325686917</v>
      </c>
      <c r="G32" s="213" t="n">
        <v>4040</v>
      </c>
      <c r="H32" s="218" t="n">
        <v>96</v>
      </c>
      <c r="I32" s="122" t="n">
        <f aca="false">G32+H32</f>
        <v>4136</v>
      </c>
      <c r="J32" s="218" t="n">
        <f aca="false">IF(L32&gt;0,L32,0)</f>
        <v>233.243256869171</v>
      </c>
      <c r="K32" s="122" t="n">
        <f aca="false">I32+J32</f>
        <v>4369.24325686917</v>
      </c>
      <c r="L32" s="122" t="n">
        <f aca="false">F32-(I32-AG32)</f>
        <v>233.243256869171</v>
      </c>
      <c r="M32" s="244" t="n">
        <v>353</v>
      </c>
      <c r="N32" s="215" t="n">
        <f aca="false">1.8299*1.03</f>
        <v>1.884797</v>
      </c>
      <c r="O32" s="122" t="n">
        <f aca="false">(54+55)*1.05</f>
        <v>114.45</v>
      </c>
      <c r="P32" s="215" t="n">
        <v>0</v>
      </c>
      <c r="Q32" s="352" t="n">
        <f aca="false">2.01*1.02</f>
        <v>2.0502</v>
      </c>
      <c r="R32" s="352" t="n">
        <v>3.44</v>
      </c>
      <c r="S32" s="119" t="n">
        <v>0</v>
      </c>
      <c r="T32" s="381" t="n">
        <v>0</v>
      </c>
      <c r="U32" s="122" t="n">
        <v>155</v>
      </c>
      <c r="V32" s="122" t="n">
        <v>81</v>
      </c>
      <c r="W32" s="122" t="n">
        <f aca="false">M32-N32-O32-P32-Q32-R32-S32-T32+U32+V32-AR32</f>
        <v>467.175003</v>
      </c>
      <c r="X32" s="95" t="n">
        <f aca="false">X31+AO32</f>
        <v>0</v>
      </c>
      <c r="Y32" s="95" t="n">
        <f aca="false">Y31-(AP31/1.9835)</f>
        <v>1697.20336762455</v>
      </c>
      <c r="Z32" s="95"/>
      <c r="AA32" s="122" t="n">
        <v>205</v>
      </c>
      <c r="AB32" s="244" t="n">
        <v>1.7</v>
      </c>
      <c r="AC32" s="245" t="n">
        <v>1.3</v>
      </c>
      <c r="AD32" s="354" t="n">
        <v>1970</v>
      </c>
      <c r="AE32" s="353" t="n">
        <f aca="false">AE31</f>
        <v>16031.2578774893</v>
      </c>
      <c r="AF32" s="394" t="n">
        <f aca="false">AD32</f>
        <v>1970</v>
      </c>
      <c r="AG32" s="121" t="n">
        <f aca="false">N32+O32+P32+Q32+R32+S32+T32+W32+AA32+AD32+AR32</f>
        <v>2764</v>
      </c>
      <c r="AH32" s="122" t="n">
        <f aca="false">IF(L32&lt;0,L32*-1,0)</f>
        <v>0</v>
      </c>
      <c r="AI32" s="122" t="n">
        <f aca="false">AG32+AH32</f>
        <v>2764</v>
      </c>
      <c r="AJ32" s="221" t="n">
        <v>0</v>
      </c>
      <c r="AK32" s="133" t="n">
        <v>70</v>
      </c>
      <c r="AL32" s="222" t="n">
        <v>39</v>
      </c>
      <c r="AM32" s="133" t="n">
        <f aca="false">AM31</f>
        <v>12798.13705</v>
      </c>
      <c r="AN32" s="133"/>
      <c r="AO32" s="382"/>
      <c r="AP32" s="215" t="n">
        <f aca="false">47.3*(X31*1.9835+AO32*1.9835+Y32*1.9835)/E32</f>
        <v>0.757848812802022</v>
      </c>
      <c r="AQ32" s="223"/>
      <c r="AR32" s="151"/>
      <c r="AS32" s="10"/>
    </row>
    <row r="33" customFormat="false" ht="12.95" hidden="false" customHeight="true" outlineLevel="0" collapsed="false">
      <c r="A33" s="155" t="n">
        <f aca="false">A32+1</f>
        <v>22</v>
      </c>
      <c r="B33" s="94" t="n">
        <v>6919.98</v>
      </c>
      <c r="C33" s="95" t="n">
        <v>363487</v>
      </c>
      <c r="D33" s="133" t="n">
        <f aca="false">C33-C32</f>
        <v>1378</v>
      </c>
      <c r="E33" s="95" t="n">
        <f aca="false">C33-152000</f>
        <v>211487</v>
      </c>
      <c r="F33" s="122" t="n">
        <f aca="false">D33/$D$2</f>
        <v>694.731535165112</v>
      </c>
      <c r="G33" s="213" t="n">
        <v>3190</v>
      </c>
      <c r="H33" s="218" t="n">
        <v>64</v>
      </c>
      <c r="I33" s="122" t="n">
        <f aca="false">G33+H33</f>
        <v>3254</v>
      </c>
      <c r="J33" s="218" t="n">
        <f aca="false">IF(L33&gt;0,L33,0)</f>
        <v>166.731535165112</v>
      </c>
      <c r="K33" s="122" t="n">
        <f aca="false">I33+J33</f>
        <v>3420.73153516511</v>
      </c>
      <c r="L33" s="122" t="n">
        <f aca="false">F33-(I33-AG33)</f>
        <v>166.731535165112</v>
      </c>
      <c r="M33" s="244" t="n">
        <v>315</v>
      </c>
      <c r="N33" s="215" t="n">
        <f aca="false">1.8299*1.03</f>
        <v>1.884797</v>
      </c>
      <c r="O33" s="122" t="n">
        <f aca="false">(54+51)*1.05</f>
        <v>110.25</v>
      </c>
      <c r="P33" s="215" t="n">
        <v>0</v>
      </c>
      <c r="Q33" s="352" t="n">
        <f aca="false">2.01*1.02</f>
        <v>2.0502</v>
      </c>
      <c r="R33" s="352" t="n">
        <v>3.48</v>
      </c>
      <c r="S33" s="119" t="n">
        <v>0</v>
      </c>
      <c r="T33" s="381" t="n">
        <v>0</v>
      </c>
      <c r="U33" s="122" t="n">
        <v>150</v>
      </c>
      <c r="V33" s="122" t="n">
        <v>81</v>
      </c>
      <c r="W33" s="122" t="n">
        <f aca="false">M33-N33-O33-P33-Q33-R33-S33-T33+U33+V33-AR33</f>
        <v>428.335003</v>
      </c>
      <c r="X33" s="95" t="n">
        <f aca="false">X32+AO33</f>
        <v>0</v>
      </c>
      <c r="Y33" s="95" t="n">
        <f aca="false">Y32-(AP32/1.9835)</f>
        <v>1696.82129108671</v>
      </c>
      <c r="Z33" s="95"/>
      <c r="AA33" s="122" t="n">
        <v>210</v>
      </c>
      <c r="AB33" s="244" t="n">
        <v>1.7</v>
      </c>
      <c r="AC33" s="245" t="n">
        <v>1.3</v>
      </c>
      <c r="AD33" s="354" t="n">
        <v>1970</v>
      </c>
      <c r="AE33" s="353" t="n">
        <f aca="false">AE32</f>
        <v>16031.2578774893</v>
      </c>
      <c r="AF33" s="394" t="n">
        <f aca="false">AD33</f>
        <v>1970</v>
      </c>
      <c r="AG33" s="121" t="n">
        <f aca="false">N33+O33+P33+Q33+R33+S33+T33+W33+AA33+AD33+AR33</f>
        <v>2726</v>
      </c>
      <c r="AH33" s="122" t="n">
        <f aca="false">IF(L33&lt;0,L33*-1,0)</f>
        <v>0</v>
      </c>
      <c r="AI33" s="122" t="n">
        <f aca="false">AG33+AH33</f>
        <v>2726</v>
      </c>
      <c r="AJ33" s="221" t="n">
        <v>0.21</v>
      </c>
      <c r="AK33" s="133" t="n">
        <v>55</v>
      </c>
      <c r="AL33" s="222" t="n">
        <v>34</v>
      </c>
      <c r="AM33" s="133" t="n">
        <f aca="false">AM32</f>
        <v>12798.13705</v>
      </c>
      <c r="AN33" s="133"/>
      <c r="AO33" s="382"/>
      <c r="AP33" s="215" t="n">
        <f aca="false">47.3*(X32*1.9835+AO33*1.9835+Y33*1.9835)/E33</f>
        <v>0.752741350343872</v>
      </c>
      <c r="AQ33" s="223"/>
      <c r="AR33" s="151"/>
      <c r="AS33" s="10"/>
    </row>
    <row r="34" customFormat="false" ht="12.95" hidden="false" customHeight="true" outlineLevel="0" collapsed="false">
      <c r="A34" s="155" t="n">
        <f aca="false">A33+1</f>
        <v>23</v>
      </c>
      <c r="B34" s="94" t="n">
        <v>6919.95</v>
      </c>
      <c r="C34" s="95" t="n">
        <v>363358</v>
      </c>
      <c r="D34" s="133" t="n">
        <f aca="false">C34-C33</f>
        <v>-129</v>
      </c>
      <c r="E34" s="95" t="n">
        <f aca="false">C34-152000</f>
        <v>211358</v>
      </c>
      <c r="F34" s="122" t="n">
        <f aca="false">D34/$D$2</f>
        <v>-65.0365515502899</v>
      </c>
      <c r="G34" s="213" t="n">
        <v>2330</v>
      </c>
      <c r="H34" s="218" t="n">
        <v>43</v>
      </c>
      <c r="I34" s="122" t="n">
        <f aca="false">G34+H34</f>
        <v>2373</v>
      </c>
      <c r="J34" s="218" t="n">
        <f aca="false">IF(L34&gt;0,L34,0)</f>
        <v>161.96344844971</v>
      </c>
      <c r="K34" s="122" t="n">
        <f aca="false">I34+J34</f>
        <v>2534.96344844971</v>
      </c>
      <c r="L34" s="122" t="n">
        <f aca="false">F34-(I34-AG34)</f>
        <v>161.96344844971</v>
      </c>
      <c r="M34" s="244" t="n">
        <v>296</v>
      </c>
      <c r="N34" s="215" t="n">
        <f aca="false">1.8299*1.03</f>
        <v>1.884797</v>
      </c>
      <c r="O34" s="122" t="n">
        <f aca="false">(51+51)*1.05</f>
        <v>107.1</v>
      </c>
      <c r="P34" s="215" t="n">
        <v>0</v>
      </c>
      <c r="Q34" s="352" t="n">
        <f aca="false">2.01*1.02</f>
        <v>2.0502</v>
      </c>
      <c r="R34" s="352" t="n">
        <v>3.5</v>
      </c>
      <c r="S34" s="119" t="n">
        <v>0</v>
      </c>
      <c r="T34" s="381" t="n">
        <v>0</v>
      </c>
      <c r="U34" s="122" t="n">
        <v>151</v>
      </c>
      <c r="V34" s="122" t="n">
        <v>77</v>
      </c>
      <c r="W34" s="122" t="n">
        <f aca="false">M34-N34-O34-P34-Q34-R34-S34-T34+U34+V34-AR34</f>
        <v>409.465003</v>
      </c>
      <c r="X34" s="95" t="n">
        <f aca="false">X33+AO34</f>
        <v>0</v>
      </c>
      <c r="Y34" s="95" t="n">
        <f aca="false">Y33-(AP33/1.9835)</f>
        <v>1696.44178952365</v>
      </c>
      <c r="Z34" s="95"/>
      <c r="AA34" s="122" t="n">
        <v>156</v>
      </c>
      <c r="AB34" s="244" t="n">
        <v>1.7</v>
      </c>
      <c r="AC34" s="245" t="n">
        <v>1.3</v>
      </c>
      <c r="AD34" s="354" t="n">
        <v>1920</v>
      </c>
      <c r="AE34" s="353" t="n">
        <f aca="false">AE33</f>
        <v>16031.2578774893</v>
      </c>
      <c r="AF34" s="394" t="n">
        <f aca="false">AD34</f>
        <v>1920</v>
      </c>
      <c r="AG34" s="121" t="n">
        <f aca="false">N34+O34+P34+Q34+R34+S34+T34+W34+AA34+AD34+AR34</f>
        <v>2600</v>
      </c>
      <c r="AH34" s="122" t="n">
        <f aca="false">IF(L34&lt;0,L34*-1,0)</f>
        <v>0</v>
      </c>
      <c r="AI34" s="122" t="n">
        <f aca="false">AG34+AH34</f>
        <v>2600</v>
      </c>
      <c r="AJ34" s="221" t="n">
        <v>0.3</v>
      </c>
      <c r="AK34" s="133" t="n">
        <v>46</v>
      </c>
      <c r="AL34" s="222" t="n">
        <v>34</v>
      </c>
      <c r="AM34" s="133" t="n">
        <f aca="false">AM33</f>
        <v>12798.13705</v>
      </c>
      <c r="AN34" s="133"/>
      <c r="AO34" s="382"/>
      <c r="AP34" s="215" t="n">
        <f aca="false">47.3*(X33*1.9835+AO34*1.9835+Y34*1.9835)/E34</f>
        <v>0.753032320963972</v>
      </c>
      <c r="AQ34" s="223"/>
      <c r="AR34" s="151"/>
      <c r="AS34" s="10"/>
    </row>
    <row r="35" customFormat="false" ht="12.95" hidden="false" customHeight="true" outlineLevel="0" collapsed="false">
      <c r="A35" s="155" t="n">
        <f aca="false">A34+1</f>
        <v>24</v>
      </c>
      <c r="B35" s="94" t="n">
        <v>6919.9</v>
      </c>
      <c r="C35" s="95" t="n">
        <v>363142</v>
      </c>
      <c r="D35" s="133" t="n">
        <f aca="false">C35-C34</f>
        <v>-216</v>
      </c>
      <c r="E35" s="95" t="n">
        <f aca="false">C35-152000</f>
        <v>211142</v>
      </c>
      <c r="F35" s="122" t="n">
        <f aca="false">D35/$D$2</f>
        <v>-108.89841189816</v>
      </c>
      <c r="G35" s="213" t="n">
        <v>1830</v>
      </c>
      <c r="H35" s="218" t="n">
        <v>27</v>
      </c>
      <c r="I35" s="122" t="n">
        <f aca="false">G35+H35</f>
        <v>1857</v>
      </c>
      <c r="J35" s="218" t="n">
        <f aca="false">IF(L35&gt;0,L35,0)</f>
        <v>306.10158810184</v>
      </c>
      <c r="K35" s="122" t="n">
        <f aca="false">I35+J35</f>
        <v>2163.10158810184</v>
      </c>
      <c r="L35" s="122" t="n">
        <f aca="false">F35-(I35-AG35)</f>
        <v>306.10158810184</v>
      </c>
      <c r="M35" s="244" t="n">
        <v>178</v>
      </c>
      <c r="N35" s="215" t="n">
        <f aca="false">1.8299*1.03</f>
        <v>1.884797</v>
      </c>
      <c r="O35" s="122" t="n">
        <f aca="false">(22+19)*1.05</f>
        <v>43.05</v>
      </c>
      <c r="P35" s="215" t="n">
        <v>0</v>
      </c>
      <c r="Q35" s="352" t="n">
        <f aca="false">2.01*1.02</f>
        <v>2.0502</v>
      </c>
      <c r="R35" s="352" t="n">
        <v>3.55</v>
      </c>
      <c r="S35" s="119" t="n">
        <v>0</v>
      </c>
      <c r="T35" s="381" t="n">
        <v>0</v>
      </c>
      <c r="U35" s="122" t="n">
        <v>152</v>
      </c>
      <c r="V35" s="122" t="n">
        <v>74</v>
      </c>
      <c r="W35" s="122" t="n">
        <f aca="false">M35-N35-O35-P35-Q35-R35-S35-T35+U35+V35-AR35</f>
        <v>353.465003</v>
      </c>
      <c r="X35" s="95" t="n">
        <f aca="false">X34+AO35</f>
        <v>0</v>
      </c>
      <c r="Y35" s="95" t="n">
        <f aca="false">Y34-(AP34/1.9835)</f>
        <v>1696.06214126503</v>
      </c>
      <c r="Z35" s="95"/>
      <c r="AA35" s="122" t="n">
        <v>88</v>
      </c>
      <c r="AB35" s="244" t="n">
        <v>1.7</v>
      </c>
      <c r="AC35" s="245" t="n">
        <v>1.3</v>
      </c>
      <c r="AD35" s="354" t="n">
        <v>1780</v>
      </c>
      <c r="AE35" s="353" t="n">
        <f aca="false">AE34</f>
        <v>16031.2578774893</v>
      </c>
      <c r="AF35" s="394" t="n">
        <f aca="false">AD35</f>
        <v>1780</v>
      </c>
      <c r="AG35" s="121" t="n">
        <f aca="false">N35+O35+P35+Q35+R35+S35+T35+W35+AA35+AD35+AR35</f>
        <v>2272</v>
      </c>
      <c r="AH35" s="122" t="n">
        <f aca="false">IF(L35&lt;0,L35*-1,0)</f>
        <v>0</v>
      </c>
      <c r="AI35" s="122" t="n">
        <f aca="false">AG35+AH35</f>
        <v>2272</v>
      </c>
      <c r="AJ35" s="221" t="n">
        <v>0.26</v>
      </c>
      <c r="AK35" s="133" t="n">
        <v>54</v>
      </c>
      <c r="AL35" s="222" t="n">
        <v>33</v>
      </c>
      <c r="AM35" s="133" t="n">
        <f aca="false">AM34</f>
        <v>12798.13705</v>
      </c>
      <c r="AN35" s="133"/>
      <c r="AO35" s="382"/>
      <c r="AP35" s="215" t="n">
        <f aca="false">47.3*(X34*1.9835+AO35*1.9835+Y35*1.9835)/E35</f>
        <v>0.753633985022031</v>
      </c>
      <c r="AQ35" s="223"/>
      <c r="AR35" s="151"/>
      <c r="AS35" s="10"/>
    </row>
    <row r="36" customFormat="false" ht="12.95" hidden="false" customHeight="true" outlineLevel="0" collapsed="false">
      <c r="A36" s="155" t="n">
        <f aca="false">A35+1</f>
        <v>25</v>
      </c>
      <c r="B36" s="94" t="n">
        <v>6919.64</v>
      </c>
      <c r="C36" s="95" t="n">
        <v>362023</v>
      </c>
      <c r="D36" s="133" t="n">
        <f aca="false">C36-C35</f>
        <v>-1119</v>
      </c>
      <c r="E36" s="95" t="n">
        <f aca="false">C36-152000</f>
        <v>210023</v>
      </c>
      <c r="F36" s="122" t="n">
        <f aca="false">D36/$D$2</f>
        <v>-564.154272750189</v>
      </c>
      <c r="G36" s="213" t="n">
        <v>1520</v>
      </c>
      <c r="H36" s="218" t="n">
        <v>21</v>
      </c>
      <c r="I36" s="122" t="n">
        <f aca="false">G36+H36</f>
        <v>1541</v>
      </c>
      <c r="J36" s="218" t="n">
        <f aca="false">IF(L36&gt;0,L36,0)</f>
        <v>168.845727249811</v>
      </c>
      <c r="K36" s="122" t="n">
        <f aca="false">I36+J36</f>
        <v>1709.84572724981</v>
      </c>
      <c r="L36" s="122" t="n">
        <f aca="false">F36-(I36-AG36)</f>
        <v>168.845727249811</v>
      </c>
      <c r="M36" s="244" t="n">
        <v>192</v>
      </c>
      <c r="N36" s="215" t="n">
        <f aca="false">1.8299*1.03</f>
        <v>1.884797</v>
      </c>
      <c r="O36" s="122" t="n">
        <f aca="false">(12+15)*1.05</f>
        <v>28.35</v>
      </c>
      <c r="P36" s="215" t="n">
        <v>0</v>
      </c>
      <c r="Q36" s="352" t="n">
        <f aca="false">2.01*1.02</f>
        <v>2.0502</v>
      </c>
      <c r="R36" s="352" t="n">
        <v>3.56</v>
      </c>
      <c r="S36" s="119" t="n">
        <v>0</v>
      </c>
      <c r="T36" s="381" t="n">
        <v>0</v>
      </c>
      <c r="U36" s="122" t="n">
        <v>152</v>
      </c>
      <c r="V36" s="122" t="n">
        <v>72</v>
      </c>
      <c r="W36" s="122" t="n">
        <f aca="false">M36-N36-O36-P36-Q36-R36-S36-T36+U36+V36-AR36</f>
        <v>380.155003</v>
      </c>
      <c r="X36" s="95" t="n">
        <f aca="false">X35+AO36</f>
        <v>0</v>
      </c>
      <c r="Y36" s="95" t="n">
        <f aca="false">Y35-(AP35/1.9835)</f>
        <v>1695.68218967188</v>
      </c>
      <c r="Z36" s="95"/>
      <c r="AA36" s="122" t="n">
        <v>108</v>
      </c>
      <c r="AB36" s="244" t="n">
        <v>1.7</v>
      </c>
      <c r="AC36" s="245" t="n">
        <v>1.3</v>
      </c>
      <c r="AD36" s="354" t="n">
        <v>1750</v>
      </c>
      <c r="AE36" s="353" t="n">
        <f aca="false">AE35</f>
        <v>16031.2578774893</v>
      </c>
      <c r="AF36" s="394" t="n">
        <f aca="false">AD36</f>
        <v>1750</v>
      </c>
      <c r="AG36" s="121" t="n">
        <f aca="false">N36+O36+P36+Q36+R36+S36+T36+W36+AA36+AD36+AR36</f>
        <v>2274</v>
      </c>
      <c r="AH36" s="122" t="n">
        <f aca="false">IF(L36&lt;0,L36*-1,0)</f>
        <v>0</v>
      </c>
      <c r="AI36" s="122" t="n">
        <f aca="false">AG36+AH36</f>
        <v>2274</v>
      </c>
      <c r="AJ36" s="221" t="n">
        <v>0</v>
      </c>
      <c r="AK36" s="133" t="n">
        <v>71</v>
      </c>
      <c r="AL36" s="222" t="n">
        <v>38</v>
      </c>
      <c r="AM36" s="133" t="n">
        <f aca="false">AM35</f>
        <v>12798.13705</v>
      </c>
      <c r="AN36" s="133"/>
      <c r="AO36" s="382"/>
      <c r="AP36" s="215" t="n">
        <f aca="false">47.3*(X35*1.9835+AO36*1.9835+Y36*1.9835)/E36</f>
        <v>0.757479609271509</v>
      </c>
      <c r="AQ36" s="223"/>
      <c r="AR36" s="151"/>
      <c r="AS36" s="10"/>
    </row>
    <row r="37" customFormat="false" ht="12.95" hidden="false" customHeight="true" outlineLevel="0" collapsed="false">
      <c r="A37" s="155" t="n">
        <f aca="false">A36+1</f>
        <v>26</v>
      </c>
      <c r="B37" s="94" t="n">
        <v>6919.34</v>
      </c>
      <c r="C37" s="95" t="n">
        <v>360731</v>
      </c>
      <c r="D37" s="133" t="n">
        <f aca="false">C37-C36</f>
        <v>-1292</v>
      </c>
      <c r="E37" s="95" t="n">
        <f aca="false">C37-152000</f>
        <v>208731</v>
      </c>
      <c r="F37" s="122" t="n">
        <f aca="false">D37/$D$2</f>
        <v>-651.373834131586</v>
      </c>
      <c r="G37" s="213" t="n">
        <v>1410</v>
      </c>
      <c r="H37" s="218" t="n">
        <v>22</v>
      </c>
      <c r="I37" s="122" t="n">
        <f aca="false">G37+H37</f>
        <v>1432</v>
      </c>
      <c r="J37" s="218" t="n">
        <f aca="false">IF(L37&gt;0,L37,0)</f>
        <v>81.6261658684144</v>
      </c>
      <c r="K37" s="122" t="n">
        <f aca="false">I37+J37</f>
        <v>1513.62616586841</v>
      </c>
      <c r="L37" s="122" t="n">
        <f aca="false">F37-(I37-AG37)</f>
        <v>81.6261658684144</v>
      </c>
      <c r="M37" s="244" t="n">
        <v>265</v>
      </c>
      <c r="N37" s="215" t="n">
        <f aca="false">1.8299*1.03</f>
        <v>1.884797</v>
      </c>
      <c r="O37" s="122" t="n">
        <f aca="false">(36+38)*1.05</f>
        <v>77.7</v>
      </c>
      <c r="P37" s="215" t="n">
        <v>0</v>
      </c>
      <c r="Q37" s="352" t="n">
        <f aca="false">2.01*1.02</f>
        <v>2.0502</v>
      </c>
      <c r="R37" s="352" t="n">
        <v>3.56</v>
      </c>
      <c r="S37" s="119" t="n">
        <v>0</v>
      </c>
      <c r="T37" s="381" t="n">
        <v>0</v>
      </c>
      <c r="U37" s="122" t="n">
        <v>151</v>
      </c>
      <c r="V37" s="122" t="n">
        <v>71</v>
      </c>
      <c r="W37" s="122" t="n">
        <f aca="false">M37-N37-O37-P37-Q37-R37-S37-T37+U37+V37-AR37</f>
        <v>401.805003</v>
      </c>
      <c r="X37" s="95" t="n">
        <f aca="false">X36+AO37</f>
        <v>0</v>
      </c>
      <c r="Y37" s="95" t="n">
        <f aca="false">Y36-(AP36/1.9835)</f>
        <v>1695.30029927144</v>
      </c>
      <c r="Z37" s="95"/>
      <c r="AA37" s="122" t="n">
        <v>188</v>
      </c>
      <c r="AB37" s="244" t="n">
        <v>1.7</v>
      </c>
      <c r="AC37" s="245" t="n">
        <v>1.3</v>
      </c>
      <c r="AD37" s="354" t="n">
        <v>1490</v>
      </c>
      <c r="AE37" s="353" t="n">
        <f aca="false">AE36</f>
        <v>16031.2578774893</v>
      </c>
      <c r="AF37" s="394" t="n">
        <f aca="false">AD37</f>
        <v>1490</v>
      </c>
      <c r="AG37" s="121" t="n">
        <f aca="false">N37+O37+P37+Q37+R37+S37+T37+W37+AA37+AD37+AR37</f>
        <v>2165</v>
      </c>
      <c r="AH37" s="122" t="n">
        <f aca="false">IF(L37&lt;0,L37*-1,0)</f>
        <v>0</v>
      </c>
      <c r="AI37" s="122" t="n">
        <f aca="false">AG37+AH37</f>
        <v>2165</v>
      </c>
      <c r="AJ37" s="221" t="n">
        <v>0</v>
      </c>
      <c r="AK37" s="133" t="n">
        <v>70</v>
      </c>
      <c r="AL37" s="222" t="n">
        <v>39</v>
      </c>
      <c r="AM37" s="133" t="n">
        <f aca="false">AM36</f>
        <v>12798.13705</v>
      </c>
      <c r="AN37" s="133"/>
      <c r="AO37" s="382"/>
      <c r="AP37" s="215" t="n">
        <f aca="false">47.3*(X36*1.9835+AO37*1.9835+Y37*1.9835)/E37</f>
        <v>0.761996594624237</v>
      </c>
      <c r="AQ37" s="223"/>
      <c r="AR37" s="151"/>
      <c r="AS37" s="10"/>
    </row>
    <row r="38" customFormat="false" ht="12.95" hidden="false" customHeight="true" outlineLevel="0" collapsed="false">
      <c r="A38" s="155" t="n">
        <f aca="false">A37+1</f>
        <v>27</v>
      </c>
      <c r="B38" s="94" t="n">
        <v>6919.28</v>
      </c>
      <c r="C38" s="95" t="n">
        <v>360473</v>
      </c>
      <c r="D38" s="133" t="n">
        <f aca="false">C38-C37</f>
        <v>-258</v>
      </c>
      <c r="E38" s="95" t="n">
        <f aca="false">C38-152000</f>
        <v>208473</v>
      </c>
      <c r="F38" s="122" t="n">
        <f aca="false">D38/$D$2</f>
        <v>-130.07310310058</v>
      </c>
      <c r="G38" s="213" t="n">
        <v>1400</v>
      </c>
      <c r="H38" s="218" t="n">
        <v>48</v>
      </c>
      <c r="I38" s="122" t="n">
        <f aca="false">G38+H38</f>
        <v>1448</v>
      </c>
      <c r="J38" s="218" t="n">
        <f aca="false">IF(L38&gt;0,L38,0)</f>
        <v>98.9268968994202</v>
      </c>
      <c r="K38" s="122" t="n">
        <f aca="false">I38+J38</f>
        <v>1546.92689689942</v>
      </c>
      <c r="L38" s="122" t="n">
        <f aca="false">F38-(I38-AG38)</f>
        <v>98.9268968994202</v>
      </c>
      <c r="M38" s="244" t="n">
        <v>286</v>
      </c>
      <c r="N38" s="215" t="n">
        <f aca="false">1.8299*1.03</f>
        <v>1.884797</v>
      </c>
      <c r="O38" s="122" t="n">
        <f aca="false">(48+49)*1.05</f>
        <v>101.85</v>
      </c>
      <c r="P38" s="215" t="n">
        <v>0</v>
      </c>
      <c r="Q38" s="352" t="n">
        <f aca="false">2.01*1.02</f>
        <v>2.0502</v>
      </c>
      <c r="R38" s="352" t="n">
        <v>3.56</v>
      </c>
      <c r="S38" s="119" t="n">
        <v>0</v>
      </c>
      <c r="T38" s="381" t="n">
        <v>0</v>
      </c>
      <c r="U38" s="122" t="n">
        <v>150</v>
      </c>
      <c r="V38" s="122" t="n">
        <v>71</v>
      </c>
      <c r="W38" s="122" t="n">
        <f aca="false">M38-N38-O38-P38-Q38-R38-S38-T38+U38+V38-AR38</f>
        <v>397.655003</v>
      </c>
      <c r="X38" s="95" t="n">
        <f aca="false">X37+AO38</f>
        <v>0</v>
      </c>
      <c r="Y38" s="95" t="n">
        <f aca="false">Y37-(AP37/1.9835)</f>
        <v>1694.91613159076</v>
      </c>
      <c r="Z38" s="95"/>
      <c r="AA38" s="122" t="n">
        <v>205</v>
      </c>
      <c r="AB38" s="244" t="n">
        <v>1.7</v>
      </c>
      <c r="AC38" s="245" t="n">
        <v>1.3</v>
      </c>
      <c r="AD38" s="354" t="n">
        <v>965</v>
      </c>
      <c r="AE38" s="353" t="n">
        <f aca="false">AE37</f>
        <v>16031.2578774893</v>
      </c>
      <c r="AF38" s="394" t="n">
        <f aca="false">AD38</f>
        <v>965</v>
      </c>
      <c r="AG38" s="121" t="n">
        <f aca="false">N38+O38+P38+Q38+R38+S38+T38+W38+AA38+AD38+AR38</f>
        <v>1677</v>
      </c>
      <c r="AH38" s="122" t="n">
        <f aca="false">IF(L38&lt;0,L38*-1,0)</f>
        <v>0</v>
      </c>
      <c r="AI38" s="122" t="n">
        <f aca="false">AG38+AH38</f>
        <v>1677</v>
      </c>
      <c r="AJ38" s="221" t="n">
        <v>0</v>
      </c>
      <c r="AK38" s="133" t="n">
        <v>74</v>
      </c>
      <c r="AL38" s="222" t="n">
        <v>37</v>
      </c>
      <c r="AM38" s="133" t="n">
        <f aca="false">AM37</f>
        <v>12798.13705</v>
      </c>
      <c r="AN38" s="133"/>
      <c r="AO38" s="382"/>
      <c r="AP38" s="215" t="n">
        <f aca="false">47.3*(X37*1.9835+AO38*1.9835+Y38*1.9835)/E38</f>
        <v>0.762766731200615</v>
      </c>
      <c r="AQ38" s="223"/>
      <c r="AR38" s="151"/>
      <c r="AS38" s="10"/>
    </row>
    <row r="39" customFormat="false" ht="12.95" hidden="false" customHeight="true" outlineLevel="0" collapsed="false">
      <c r="A39" s="155" t="n">
        <v>28</v>
      </c>
      <c r="B39" s="94" t="n">
        <v>6919.38</v>
      </c>
      <c r="C39" s="95" t="n">
        <v>360903</v>
      </c>
      <c r="D39" s="133" t="n">
        <f aca="false">C39-C38</f>
        <v>430</v>
      </c>
      <c r="E39" s="95" t="n">
        <f aca="false">C39-152000</f>
        <v>208903</v>
      </c>
      <c r="F39" s="122" t="n">
        <f aca="false">D39/$D$2</f>
        <v>216.788505167633</v>
      </c>
      <c r="G39" s="213" t="n">
        <v>1630</v>
      </c>
      <c r="H39" s="218" t="n">
        <v>52</v>
      </c>
      <c r="I39" s="122" t="n">
        <f aca="false">G39+H39</f>
        <v>1682</v>
      </c>
      <c r="J39" s="218" t="n">
        <f aca="false">IF(L39&gt;0,L39,0)</f>
        <v>75.788505167633</v>
      </c>
      <c r="K39" s="122" t="n">
        <f aca="false">I39+J39</f>
        <v>1757.78850516763</v>
      </c>
      <c r="L39" s="122" t="n">
        <f aca="false">F39-(I39-AG39)</f>
        <v>75.788505167633</v>
      </c>
      <c r="M39" s="244" t="n">
        <v>286</v>
      </c>
      <c r="N39" s="215" t="n">
        <f aca="false">1.8299*1.03</f>
        <v>1.884797</v>
      </c>
      <c r="O39" s="122" t="n">
        <f aca="false">(42+41)*1.05</f>
        <v>87.15</v>
      </c>
      <c r="P39" s="215" t="n">
        <v>0</v>
      </c>
      <c r="Q39" s="352" t="n">
        <f aca="false">2.01*1.02</f>
        <v>2.0502</v>
      </c>
      <c r="R39" s="352" t="n">
        <v>3.58</v>
      </c>
      <c r="S39" s="119" t="n">
        <v>0</v>
      </c>
      <c r="T39" s="381" t="n">
        <v>0</v>
      </c>
      <c r="U39" s="122" t="n">
        <v>150</v>
      </c>
      <c r="V39" s="122" t="n">
        <v>71</v>
      </c>
      <c r="W39" s="122" t="n">
        <f aca="false">M39-N39-O39-P39-Q39-R39-S39-T39+U39+V39-AR39</f>
        <v>412.335003</v>
      </c>
      <c r="X39" s="95" t="n">
        <f aca="false">X38+AO39</f>
        <v>0</v>
      </c>
      <c r="Y39" s="95" t="n">
        <f aca="false">Y38-(AP38/1.9835)</f>
        <v>1694.53157563855</v>
      </c>
      <c r="Z39" s="95"/>
      <c r="AA39" s="122" t="n">
        <v>227</v>
      </c>
      <c r="AB39" s="244" t="n">
        <v>1.7</v>
      </c>
      <c r="AC39" s="245" t="n">
        <v>1.3</v>
      </c>
      <c r="AD39" s="354" t="n">
        <v>807</v>
      </c>
      <c r="AE39" s="353" t="n">
        <f aca="false">AE38</f>
        <v>16031.2578774893</v>
      </c>
      <c r="AF39" s="394" t="n">
        <f aca="false">AD39</f>
        <v>807</v>
      </c>
      <c r="AG39" s="121" t="n">
        <f aca="false">N39+O39+P39+Q39+R39+S39+T39+W39+AA39+AD39+AR39</f>
        <v>1541</v>
      </c>
      <c r="AH39" s="122" t="n">
        <f aca="false">IF(L39&lt;0,L39*-1,0)</f>
        <v>0</v>
      </c>
      <c r="AI39" s="122" t="n">
        <f aca="false">AG39+AH39</f>
        <v>1541</v>
      </c>
      <c r="AJ39" s="221" t="n">
        <v>0</v>
      </c>
      <c r="AK39" s="133" t="n">
        <v>77</v>
      </c>
      <c r="AL39" s="222" t="n">
        <v>48</v>
      </c>
      <c r="AM39" s="133" t="n">
        <f aca="false">AM38</f>
        <v>12798.13705</v>
      </c>
      <c r="AN39" s="133"/>
      <c r="AO39" s="382"/>
      <c r="AP39" s="215" t="n">
        <f aca="false">47.3*(X38*1.9835+AO39*1.9835+Y39*1.9835)/E39</f>
        <v>0.761023967521768</v>
      </c>
      <c r="AQ39" s="223"/>
      <c r="AR39" s="151"/>
      <c r="AS39" s="10"/>
    </row>
    <row r="40" customFormat="false" ht="12.95" hidden="false" customHeight="true" outlineLevel="0" collapsed="false">
      <c r="A40" s="155" t="n">
        <v>29</v>
      </c>
      <c r="B40" s="94" t="n">
        <v>6919.68</v>
      </c>
      <c r="C40" s="95" t="n">
        <v>362195</v>
      </c>
      <c r="D40" s="133" t="n">
        <f aca="false">C40-C39</f>
        <v>1292</v>
      </c>
      <c r="E40" s="95" t="n">
        <f aca="false">C40-152000</f>
        <v>210195</v>
      </c>
      <c r="F40" s="122" t="n">
        <f aca="false">D40/$D$2</f>
        <v>651.373834131586</v>
      </c>
      <c r="G40" s="213" t="n">
        <v>2100</v>
      </c>
      <c r="H40" s="218" t="n">
        <v>55</v>
      </c>
      <c r="I40" s="122" t="n">
        <f aca="false">G40+H40</f>
        <v>2155</v>
      </c>
      <c r="J40" s="218" t="n">
        <f aca="false">IF(L40&gt;0,L40,0)</f>
        <v>58.3738341315856</v>
      </c>
      <c r="K40" s="122" t="n">
        <f aca="false">I40+J40</f>
        <v>2213.37383413159</v>
      </c>
      <c r="L40" s="122" t="n">
        <f aca="false">F40-(I40-AG40)</f>
        <v>58.3738341315856</v>
      </c>
      <c r="M40" s="244" t="n">
        <v>294</v>
      </c>
      <c r="N40" s="215" t="n">
        <f aca="false">1.8299*1.03</f>
        <v>1.884797</v>
      </c>
      <c r="O40" s="122" t="n">
        <f aca="false">(43+46)*1.05</f>
        <v>93.45</v>
      </c>
      <c r="P40" s="215" t="n">
        <v>0</v>
      </c>
      <c r="Q40" s="352" t="n">
        <f aca="false">2.01*1.02</f>
        <v>2.0502</v>
      </c>
      <c r="R40" s="352" t="n">
        <v>3.59</v>
      </c>
      <c r="S40" s="119" t="n">
        <v>0</v>
      </c>
      <c r="T40" s="381" t="n">
        <v>0</v>
      </c>
      <c r="U40" s="122" t="n">
        <v>151</v>
      </c>
      <c r="V40" s="122" t="n">
        <v>71</v>
      </c>
      <c r="W40" s="122" t="n">
        <f aca="false">M40-N40-O40-P40-Q40-R40-S40-T40+U40+V40-AR40</f>
        <v>415.025003</v>
      </c>
      <c r="X40" s="95" t="n">
        <f aca="false">X39+AO40</f>
        <v>0</v>
      </c>
      <c r="Y40" s="95" t="n">
        <f aca="false">Y39-(AP39/1.9835)</f>
        <v>1694.14789831689</v>
      </c>
      <c r="Z40" s="95"/>
      <c r="AA40" s="122" t="n">
        <v>236</v>
      </c>
      <c r="AB40" s="244" t="n">
        <v>1.7</v>
      </c>
      <c r="AC40" s="245" t="n">
        <v>1.3</v>
      </c>
      <c r="AD40" s="354" t="n">
        <v>810</v>
      </c>
      <c r="AE40" s="353" t="n">
        <f aca="false">AE39</f>
        <v>16031.2578774893</v>
      </c>
      <c r="AF40" s="394" t="n">
        <f aca="false">AD40</f>
        <v>810</v>
      </c>
      <c r="AG40" s="121" t="n">
        <f aca="false">N40+O40+P40+Q40+R40+S40+T40+W40+AA40+AD40+AR40</f>
        <v>1562</v>
      </c>
      <c r="AH40" s="122" t="n">
        <f aca="false">IF(L40&lt;0,L40*-1,0)</f>
        <v>0</v>
      </c>
      <c r="AI40" s="122" t="n">
        <f aca="false">AG40+AH40</f>
        <v>1562</v>
      </c>
      <c r="AJ40" s="221" t="n">
        <v>0</v>
      </c>
      <c r="AK40" s="133" t="n">
        <v>72</v>
      </c>
      <c r="AL40" s="222" t="n">
        <v>40</v>
      </c>
      <c r="AM40" s="133" t="n">
        <f aca="false">AM39</f>
        <v>12798.13705</v>
      </c>
      <c r="AN40" s="133"/>
      <c r="AO40" s="382"/>
      <c r="AP40" s="215" t="n">
        <f aca="false">47.3*(X39*1.9835+AO40*1.9835+Y40*1.9835)/E40</f>
        <v>0.756174949230649</v>
      </c>
      <c r="AQ40" s="223"/>
      <c r="AR40" s="151"/>
      <c r="AS40" s="10"/>
    </row>
    <row r="41" customFormat="false" ht="12.95" hidden="false" customHeight="true" outlineLevel="0" collapsed="false">
      <c r="A41" s="155" t="n">
        <v>30</v>
      </c>
      <c r="B41" s="94" t="n">
        <v>6920.01</v>
      </c>
      <c r="C41" s="95" t="n">
        <v>363617</v>
      </c>
      <c r="D41" s="133" t="n">
        <f aca="false">C41-C40</f>
        <v>1422</v>
      </c>
      <c r="E41" s="95" t="n">
        <f aca="false">C41-152000</f>
        <v>211617</v>
      </c>
      <c r="F41" s="122" t="n">
        <f aca="false">D41/$D$2</f>
        <v>716.914544996219</v>
      </c>
      <c r="G41" s="213" t="n">
        <v>2210</v>
      </c>
      <c r="H41" s="218" t="n">
        <v>37</v>
      </c>
      <c r="I41" s="122" t="n">
        <f aca="false">G41+H41</f>
        <v>2247</v>
      </c>
      <c r="J41" s="218" t="n">
        <f aca="false">IF(L41&gt;0,L41,0)</f>
        <v>52.9145449962188</v>
      </c>
      <c r="K41" s="122" t="n">
        <f aca="false">I41+J41</f>
        <v>2299.91454499622</v>
      </c>
      <c r="L41" s="122" t="n">
        <f aca="false">F41-(I41-AG41)</f>
        <v>52.9145449962188</v>
      </c>
      <c r="M41" s="244" t="n">
        <v>302</v>
      </c>
      <c r="N41" s="215" t="n">
        <f aca="false">1.8299*1.03</f>
        <v>1.884797</v>
      </c>
      <c r="O41" s="122" t="n">
        <f aca="false">(42+42)*1.05</f>
        <v>88.2</v>
      </c>
      <c r="P41" s="215" t="n">
        <v>0</v>
      </c>
      <c r="Q41" s="352" t="n">
        <f aca="false">2.01*1.02</f>
        <v>2.0502</v>
      </c>
      <c r="R41" s="352" t="n">
        <v>3.61</v>
      </c>
      <c r="S41" s="119" t="n">
        <v>0</v>
      </c>
      <c r="T41" s="381" t="n">
        <v>0</v>
      </c>
      <c r="U41" s="122" t="n">
        <v>152</v>
      </c>
      <c r="V41" s="122" t="n">
        <v>71</v>
      </c>
      <c r="W41" s="122" t="n">
        <f aca="false">M41-N41-O41-P41-Q41-R41-S41-T41+U41+V41-AR41</f>
        <v>429.255003</v>
      </c>
      <c r="X41" s="95" t="n">
        <f aca="false">X40+AO41</f>
        <v>0</v>
      </c>
      <c r="Y41" s="95" t="n">
        <f aca="false">Y40-(AP40/1.9835)</f>
        <v>1693.76666567296</v>
      </c>
      <c r="Z41" s="95"/>
      <c r="AA41" s="122" t="n">
        <v>247</v>
      </c>
      <c r="AB41" s="244" t="n">
        <v>1.7</v>
      </c>
      <c r="AC41" s="245" t="n">
        <v>1.3</v>
      </c>
      <c r="AD41" s="354" t="n">
        <v>811</v>
      </c>
      <c r="AE41" s="353" t="n">
        <f aca="false">AE40</f>
        <v>16031.2578774893</v>
      </c>
      <c r="AF41" s="394" t="n">
        <f aca="false">AD41</f>
        <v>811</v>
      </c>
      <c r="AG41" s="121" t="n">
        <f aca="false">N41+O41+P41+Q41+R41+S41+T41+W41+AA41+AD41+AR41</f>
        <v>1583</v>
      </c>
      <c r="AH41" s="122" t="n">
        <f aca="false">IF(L41&lt;0,L41*-1,0)</f>
        <v>0</v>
      </c>
      <c r="AI41" s="122" t="n">
        <f aca="false">AG41+AH41</f>
        <v>1583</v>
      </c>
      <c r="AJ41" s="221" t="n">
        <v>0</v>
      </c>
      <c r="AK41" s="133" t="n">
        <v>74</v>
      </c>
      <c r="AL41" s="222" t="n">
        <v>39</v>
      </c>
      <c r="AM41" s="133" t="n">
        <f aca="false">AM40</f>
        <v>12798.13705</v>
      </c>
      <c r="AN41" s="133"/>
      <c r="AO41" s="382"/>
      <c r="AP41" s="215" t="n">
        <f aca="false">47.3*(X40*1.9835+AO41*1.9835+Y41*1.9835)/E41</f>
        <v>0.750924672301552</v>
      </c>
      <c r="AQ41" s="223"/>
      <c r="AR41" s="151"/>
      <c r="AS41" s="10"/>
    </row>
    <row r="42" customFormat="false" ht="12.95" hidden="false" customHeight="true" outlineLevel="0" collapsed="false">
      <c r="A42" s="155" t="n">
        <v>31</v>
      </c>
      <c r="B42" s="94" t="n">
        <v>6920.41</v>
      </c>
      <c r="C42" s="95" t="n">
        <v>365353</v>
      </c>
      <c r="D42" s="133" t="n">
        <f aca="false">C42-C41</f>
        <v>1736</v>
      </c>
      <c r="E42" s="95" t="n">
        <f aca="false">C42-152000</f>
        <v>213353</v>
      </c>
      <c r="F42" s="122" t="n">
        <f aca="false">D42/$D$2</f>
        <v>875.220569700025</v>
      </c>
      <c r="G42" s="213" t="n">
        <v>2360</v>
      </c>
      <c r="H42" s="218" t="n">
        <v>29</v>
      </c>
      <c r="I42" s="122" t="n">
        <f aca="false">G42+H42</f>
        <v>2389</v>
      </c>
      <c r="J42" s="218" t="n">
        <f aca="false">IF(L42&gt;0,L42,0)</f>
        <v>71.2205697000252</v>
      </c>
      <c r="K42" s="122" t="n">
        <f aca="false">I42+J42</f>
        <v>2460.22056970003</v>
      </c>
      <c r="L42" s="122" t="n">
        <f aca="false">F42-(I42-AG42)</f>
        <v>71.2205697000252</v>
      </c>
      <c r="M42" s="244" t="n">
        <v>306</v>
      </c>
      <c r="N42" s="215" t="n">
        <f aca="false">1.8299*1.03</f>
        <v>1.884797</v>
      </c>
      <c r="O42" s="122" t="n">
        <f aca="false">(45+43)*1.05</f>
        <v>92.4</v>
      </c>
      <c r="P42" s="215" t="n">
        <v>0</v>
      </c>
      <c r="Q42" s="352" t="n">
        <f aca="false">2.01*1.02</f>
        <v>2.0502</v>
      </c>
      <c r="R42" s="352" t="n">
        <v>3.64</v>
      </c>
      <c r="S42" s="119" t="n">
        <v>0</v>
      </c>
      <c r="T42" s="381" t="n">
        <v>0</v>
      </c>
      <c r="U42" s="122" t="n">
        <v>152</v>
      </c>
      <c r="V42" s="122" t="n">
        <v>72</v>
      </c>
      <c r="W42" s="122" t="n">
        <f aca="false">M42-N42-O42-P42-Q42-R42-S42-T42+U42+V42-AR42</f>
        <v>430.025003</v>
      </c>
      <c r="X42" s="95" t="n">
        <f aca="false">X41+AO42</f>
        <v>0</v>
      </c>
      <c r="Y42" s="95" t="n">
        <f aca="false">Y41-(AP41/1.9835)</f>
        <v>1693.38808000505</v>
      </c>
      <c r="Z42" s="95"/>
      <c r="AA42" s="122" t="n">
        <v>244</v>
      </c>
      <c r="AB42" s="244" t="n">
        <v>1.7</v>
      </c>
      <c r="AC42" s="245" t="n">
        <v>1.3</v>
      </c>
      <c r="AD42" s="354" t="n">
        <v>811</v>
      </c>
      <c r="AE42" s="353" t="n">
        <f aca="false">AE41</f>
        <v>16031.2578774893</v>
      </c>
      <c r="AF42" s="394" t="n">
        <f aca="false">AD42</f>
        <v>811</v>
      </c>
      <c r="AG42" s="121" t="n">
        <f aca="false">N42+O42+P42+Q42+R42+S42+T42+W42+AA42+AD42+AR42</f>
        <v>1585</v>
      </c>
      <c r="AH42" s="122" t="n">
        <f aca="false">IF(L42&lt;0,L42*-1,0)</f>
        <v>0</v>
      </c>
      <c r="AI42" s="122" t="n">
        <f aca="false">AG42+AH42</f>
        <v>1585</v>
      </c>
      <c r="AJ42" s="221" t="n">
        <v>0</v>
      </c>
      <c r="AK42" s="133" t="n">
        <v>81</v>
      </c>
      <c r="AL42" s="222" t="n">
        <v>44</v>
      </c>
      <c r="AM42" s="133" t="n">
        <f aca="false">AM41</f>
        <v>12798.13705</v>
      </c>
      <c r="AN42" s="133"/>
      <c r="AO42" s="382"/>
      <c r="AP42" s="215" t="n">
        <f aca="false">47.3*(X41*1.9835+AO42*1.9835+Y42*1.9835)/E42</f>
        <v>0.744648107321846</v>
      </c>
      <c r="AQ42" s="223"/>
      <c r="AR42" s="151"/>
      <c r="AS42" s="10"/>
    </row>
    <row r="43" customFormat="false" ht="3" hidden="false" customHeight="true" outlineLevel="0" collapsed="false">
      <c r="A43" s="229"/>
      <c r="B43" s="247"/>
      <c r="C43" s="231"/>
      <c r="D43" s="232"/>
      <c r="E43" s="231"/>
      <c r="F43" s="232"/>
      <c r="G43" s="247"/>
      <c r="H43" s="237"/>
      <c r="I43" s="232"/>
      <c r="J43" s="232"/>
      <c r="K43" s="232"/>
      <c r="L43" s="232"/>
      <c r="M43" s="235"/>
      <c r="N43" s="234"/>
      <c r="O43" s="232"/>
      <c r="P43" s="234"/>
      <c r="Q43" s="232"/>
      <c r="R43" s="232"/>
      <c r="S43" s="232"/>
      <c r="T43" s="236"/>
      <c r="U43" s="232"/>
      <c r="V43" s="232"/>
      <c r="W43" s="232"/>
      <c r="X43" s="231"/>
      <c r="Y43" s="231"/>
      <c r="Z43" s="231"/>
      <c r="AA43" s="232"/>
      <c r="AB43" s="235"/>
      <c r="AC43" s="238"/>
      <c r="AD43" s="240"/>
      <c r="AE43" s="232"/>
      <c r="AF43" s="232"/>
      <c r="AG43" s="232"/>
      <c r="AH43" s="232"/>
      <c r="AI43" s="232"/>
      <c r="AJ43" s="239"/>
      <c r="AK43" s="240"/>
      <c r="AL43" s="241"/>
      <c r="AM43" s="240"/>
      <c r="AN43" s="240"/>
      <c r="AO43" s="240"/>
      <c r="AP43" s="234"/>
      <c r="AQ43" s="234"/>
      <c r="AR43" s="237"/>
      <c r="AS43" s="237"/>
    </row>
    <row r="44" customFormat="false" ht="12.95" hidden="false" customHeight="true" outlineLevel="0" collapsed="false">
      <c r="A44" s="158" t="s">
        <v>79</v>
      </c>
      <c r="B44" s="213"/>
      <c r="C44" s="95"/>
      <c r="D44" s="95"/>
      <c r="E44" s="95"/>
      <c r="F44" s="95" t="n">
        <f aca="false">SUM(F12:F42)</f>
        <v>10407.3607259894</v>
      </c>
      <c r="G44" s="418" t="n">
        <f aca="false">SUM(G12:G42)</f>
        <v>61720</v>
      </c>
      <c r="H44" s="218" t="n">
        <f aca="false">SUM(H12:H42)</f>
        <v>2386</v>
      </c>
      <c r="I44" s="95" t="n">
        <f aca="false">SUM(I12:I42)</f>
        <v>64106</v>
      </c>
      <c r="J44" s="95" t="n">
        <f aca="false">SUM(J12:J42)</f>
        <v>7357.06072598941</v>
      </c>
      <c r="K44" s="95" t="n">
        <f aca="false">SUM(K12:K42)</f>
        <v>71463.0607259894</v>
      </c>
      <c r="L44" s="95" t="n">
        <f aca="false">SUM(L12:L42)</f>
        <v>7357.06072598941</v>
      </c>
      <c r="M44" s="216" t="n">
        <f aca="false">SUM(M12:M42)</f>
        <v>9451</v>
      </c>
      <c r="N44" s="218" t="n">
        <f aca="false">SUM(N12:N42)</f>
        <v>58.428707</v>
      </c>
      <c r="O44" s="95" t="n">
        <f aca="false">SUM(O12:O42)</f>
        <v>2684.85</v>
      </c>
      <c r="P44" s="215" t="n">
        <f aca="false">SUM(P12:P42)</f>
        <v>7.32</v>
      </c>
      <c r="Q44" s="95" t="n">
        <f aca="false">SUM(Q12:Q42)</f>
        <v>63.5562</v>
      </c>
      <c r="R44" s="95" t="n">
        <f aca="false">SUM(R12:R42)</f>
        <v>102.24</v>
      </c>
      <c r="S44" s="95" t="n">
        <f aca="false">SUM(S12:S42)</f>
        <v>0</v>
      </c>
      <c r="T44" s="219" t="n">
        <f aca="false">SUM(T12:T42)</f>
        <v>0</v>
      </c>
      <c r="U44" s="95" t="n">
        <f aca="false">SUM(U12:U42)</f>
        <v>3964</v>
      </c>
      <c r="V44" s="95" t="n">
        <f aca="false">SUM(V12:V42)</f>
        <v>1978</v>
      </c>
      <c r="W44" s="95" t="n">
        <f aca="false">SUM(W12:W42)</f>
        <v>11704.985093</v>
      </c>
      <c r="X44" s="95"/>
      <c r="Y44" s="95"/>
      <c r="Z44" s="95"/>
      <c r="AA44" s="95" t="n">
        <f aca="false">SUM(AA12:AA42)</f>
        <v>3496.7</v>
      </c>
      <c r="AB44" s="95" t="n">
        <f aca="false">SUM(AB12:AB42)</f>
        <v>52.7</v>
      </c>
      <c r="AC44" s="95" t="n">
        <f aca="false">SUM(AC12:AC42)</f>
        <v>40.3</v>
      </c>
      <c r="AD44" s="133" t="n">
        <f aca="false">SUM(AD12:AD42)</f>
        <v>42166</v>
      </c>
      <c r="AE44" s="95"/>
      <c r="AF44" s="95" t="n">
        <f aca="false">SUM(AF12:AF42)</f>
        <v>42166</v>
      </c>
      <c r="AG44" s="95" t="n">
        <f aca="false">SUM(AG12:AG42)</f>
        <v>61055.7</v>
      </c>
      <c r="AH44" s="95" t="n">
        <f aca="false">SUM(AH12:AH42)</f>
        <v>0</v>
      </c>
      <c r="AI44" s="95" t="n">
        <f aca="false">SUM(AI12:AI42)</f>
        <v>61055.7</v>
      </c>
      <c r="AJ44" s="221" t="n">
        <f aca="false">SUM(AJ12:AJ42)</f>
        <v>0.92</v>
      </c>
      <c r="AK44" s="133" t="n">
        <f aca="false">AVERAGE(AK12:AK42)</f>
        <v>67.5806451612903</v>
      </c>
      <c r="AL44" s="222" t="n">
        <f aca="false">AVERAGE(AL12:AL42)</f>
        <v>37.6451612903226</v>
      </c>
      <c r="AM44" s="133" t="s">
        <v>110</v>
      </c>
      <c r="AN44" s="95" t="n">
        <f aca="false">SUM(AN12:AN42)</f>
        <v>0</v>
      </c>
      <c r="AO44" s="122"/>
      <c r="AP44" s="215"/>
      <c r="AQ44" s="223" t="n">
        <f aca="false">SUM(AQ12:AQ42)</f>
        <v>0</v>
      </c>
      <c r="AR44" s="218" t="n">
        <f aca="false">SUM(AR12:AR42)</f>
        <v>771.62</v>
      </c>
      <c r="AS44" s="10"/>
    </row>
    <row r="45" customFormat="false" ht="12.95" hidden="false" customHeight="true" outlineLevel="0" collapsed="false">
      <c r="A45" s="158" t="s">
        <v>81</v>
      </c>
      <c r="B45" s="213"/>
      <c r="C45" s="95"/>
      <c r="D45" s="95" t="n">
        <f aca="false">SUM(D12:D42)</f>
        <v>20643</v>
      </c>
      <c r="E45" s="95"/>
      <c r="F45" s="95" t="n">
        <f aca="false">F44*$D$2</f>
        <v>20643</v>
      </c>
      <c r="G45" s="418" t="n">
        <f aca="false">G44*$D$2</f>
        <v>122421.62</v>
      </c>
      <c r="H45" s="218" t="n">
        <f aca="false">H44*$D$2</f>
        <v>4732.631</v>
      </c>
      <c r="I45" s="95" t="n">
        <f aca="false">I44*$D$2</f>
        <v>127154.251</v>
      </c>
      <c r="J45" s="95" t="n">
        <f aca="false">J44*$D$2</f>
        <v>14592.72995</v>
      </c>
      <c r="K45" s="95" t="n">
        <f aca="false">K44*$D$2</f>
        <v>141746.98095</v>
      </c>
      <c r="L45" s="95" t="n">
        <f aca="false">L44*$D$2</f>
        <v>14592.72995</v>
      </c>
      <c r="M45" s="216" t="n">
        <f aca="false">M44*$D$2</f>
        <v>18746.0585</v>
      </c>
      <c r="N45" s="133" t="n">
        <f aca="false">N44*$D$2</f>
        <v>115.8933403345</v>
      </c>
      <c r="O45" s="95" t="n">
        <f aca="false">O44*$D$2</f>
        <v>5325.399975</v>
      </c>
      <c r="P45" s="215" t="n">
        <f aca="false">P44*$D$2</f>
        <v>14.51922</v>
      </c>
      <c r="Q45" s="95" t="n">
        <f aca="false">Q44*$D$2</f>
        <v>126.0637227</v>
      </c>
      <c r="R45" s="95" t="n">
        <f aca="false">R44*$D$2</f>
        <v>202.79304</v>
      </c>
      <c r="S45" s="95" t="n">
        <f aca="false">S44*$D$2</f>
        <v>0</v>
      </c>
      <c r="T45" s="219" t="n">
        <f aca="false">T44*$D$2</f>
        <v>0</v>
      </c>
      <c r="U45" s="95" t="n">
        <f aca="false">U44*$D$2</f>
        <v>7862.594</v>
      </c>
      <c r="V45" s="95" t="n">
        <f aca="false">V44*$D$2</f>
        <v>3923.363</v>
      </c>
      <c r="W45" s="95" t="n">
        <f aca="false">W44*$D$2</f>
        <v>23216.8379319655</v>
      </c>
      <c r="X45" s="95"/>
      <c r="Y45" s="95"/>
      <c r="Z45" s="95"/>
      <c r="AA45" s="95" t="n">
        <f aca="false">AA44*$D$2</f>
        <v>6935.70445</v>
      </c>
      <c r="AB45" s="95" t="n">
        <f aca="false">AB44*$D$2</f>
        <v>104.53045</v>
      </c>
      <c r="AC45" s="95" t="n">
        <f aca="false">AC44*$D$2</f>
        <v>79.93505</v>
      </c>
      <c r="AD45" s="133" t="n">
        <f aca="false">AD44*$D$2</f>
        <v>83636.261</v>
      </c>
      <c r="AE45" s="95"/>
      <c r="AF45" s="421" t="n">
        <f aca="false">AF44*$D$2</f>
        <v>83636.261</v>
      </c>
      <c r="AG45" s="421" t="n">
        <f aca="false">AG44*$D$2</f>
        <v>121103.98095</v>
      </c>
      <c r="AH45" s="95" t="n">
        <f aca="false">AH44*$D$2</f>
        <v>0</v>
      </c>
      <c r="AI45" s="95" t="n">
        <f aca="false">AI44*$D$2</f>
        <v>121103.98095</v>
      </c>
      <c r="AJ45" s="221"/>
      <c r="AK45" s="133" t="n">
        <f aca="false">MAX(AK12:AK42)</f>
        <v>84</v>
      </c>
      <c r="AL45" s="222" t="n">
        <f aca="false">MAX(AL12:AL42)</f>
        <v>50</v>
      </c>
      <c r="AM45" s="133" t="s">
        <v>82</v>
      </c>
      <c r="AN45" s="95" t="n">
        <f aca="false">AN44*$D$2</f>
        <v>0</v>
      </c>
      <c r="AO45" s="122"/>
      <c r="AP45" s="215" t="n">
        <f aca="false">SUM(AP12:AP42)</f>
        <v>24.2024178046252</v>
      </c>
      <c r="AQ45" s="95" t="n">
        <f aca="false">AQ44*$D$2</f>
        <v>0</v>
      </c>
      <c r="AR45" s="218" t="n">
        <f aca="false">AR44*$D$2</f>
        <v>1530.50827</v>
      </c>
      <c r="AS45" s="10"/>
    </row>
    <row r="46" customFormat="false" ht="3" hidden="false" customHeight="true" outlineLevel="0" collapsed="false">
      <c r="A46" s="229"/>
      <c r="B46" s="247"/>
      <c r="C46" s="231"/>
      <c r="D46" s="231"/>
      <c r="E46" s="231"/>
      <c r="F46" s="231"/>
      <c r="G46" s="253"/>
      <c r="H46" s="237"/>
      <c r="I46" s="231"/>
      <c r="J46" s="231"/>
      <c r="K46" s="231"/>
      <c r="L46" s="231"/>
      <c r="M46" s="251"/>
      <c r="N46" s="234"/>
      <c r="O46" s="231"/>
      <c r="P46" s="234"/>
      <c r="Q46" s="231"/>
      <c r="R46" s="231"/>
      <c r="S46" s="231"/>
      <c r="T46" s="252"/>
      <c r="U46" s="231"/>
      <c r="V46" s="231"/>
      <c r="W46" s="231"/>
      <c r="X46" s="231"/>
      <c r="Y46" s="231"/>
      <c r="Z46" s="231"/>
      <c r="AA46" s="231"/>
      <c r="AB46" s="231"/>
      <c r="AC46" s="231"/>
      <c r="AD46" s="240"/>
      <c r="AE46" s="232"/>
      <c r="AF46" s="231"/>
      <c r="AG46" s="231"/>
      <c r="AH46" s="231"/>
      <c r="AI46" s="231"/>
      <c r="AJ46" s="231"/>
      <c r="AK46" s="231"/>
      <c r="AL46" s="231"/>
      <c r="AM46" s="240"/>
      <c r="AN46" s="231"/>
      <c r="AO46" s="231"/>
      <c r="AP46" s="234"/>
      <c r="AQ46" s="234"/>
      <c r="AR46" s="237"/>
      <c r="AS46" s="237"/>
    </row>
    <row r="47" customFormat="false" ht="12.95" hidden="false" customHeight="true" outlineLevel="0" collapsed="false">
      <c r="A47" s="158" t="s">
        <v>83</v>
      </c>
      <c r="B47" s="213"/>
      <c r="C47" s="95"/>
      <c r="D47" s="95"/>
      <c r="E47" s="95"/>
      <c r="F47" s="95" t="n">
        <f aca="false">F9+F44</f>
        <v>33745.3995462566</v>
      </c>
      <c r="G47" s="418" t="n">
        <f aca="false">G9+G44</f>
        <v>93394</v>
      </c>
      <c r="H47" s="218" t="n">
        <f aca="false">H9+H44</f>
        <v>8620</v>
      </c>
      <c r="I47" s="95" t="n">
        <f aca="false">I9+I44</f>
        <v>102014</v>
      </c>
      <c r="J47" s="95" t="n">
        <f aca="false">J9+J44</f>
        <v>23980.7995462566</v>
      </c>
      <c r="K47" s="95" t="n">
        <f aca="false">K9+K44</f>
        <v>125994.799546257</v>
      </c>
      <c r="L47" s="95" t="n">
        <f aca="false">L9+L44</f>
        <v>23980.7995462566</v>
      </c>
      <c r="M47" s="216" t="n">
        <f aca="false">M9+M44</f>
        <v>12196.8</v>
      </c>
      <c r="N47" s="133" t="n">
        <f aca="false">N9+N44</f>
        <v>114.972617</v>
      </c>
      <c r="O47" s="95" t="n">
        <f aca="false">O9+O44</f>
        <v>4409.5485</v>
      </c>
      <c r="P47" s="215" t="n">
        <f aca="false">P9+P44</f>
        <v>7.32</v>
      </c>
      <c r="Q47" s="95"/>
      <c r="R47" s="95"/>
      <c r="S47" s="95"/>
      <c r="T47" s="219"/>
      <c r="U47" s="95" t="n">
        <f aca="false">U9+U44</f>
        <v>4995.3</v>
      </c>
      <c r="V47" s="95" t="n">
        <f aca="false">V9+V44</f>
        <v>2156.2</v>
      </c>
      <c r="W47" s="95" t="n">
        <f aca="false">W9+W44</f>
        <v>13283.717083</v>
      </c>
      <c r="X47" s="95" t="n">
        <f aca="false">X42</f>
        <v>0</v>
      </c>
      <c r="Y47" s="95" t="n">
        <f aca="false">Y42+Y44</f>
        <v>1693.38808000505</v>
      </c>
      <c r="Z47" s="95"/>
      <c r="AA47" s="95" t="n">
        <f aca="false">AA9+AA44</f>
        <v>3684.1</v>
      </c>
      <c r="AB47" s="95" t="n">
        <f aca="false">AB9+AB44</f>
        <v>103.7</v>
      </c>
      <c r="AC47" s="95" t="n">
        <f aca="false">AC9+AC44</f>
        <v>79.3</v>
      </c>
      <c r="AD47" s="133"/>
      <c r="AE47" s="95"/>
      <c r="AF47" s="95" t="n">
        <f aca="false">AF9+AF44</f>
        <v>69217</v>
      </c>
      <c r="AG47" s="95" t="n">
        <f aca="false">AG9+AG44</f>
        <v>92249.4</v>
      </c>
      <c r="AH47" s="95" t="n">
        <f aca="false">AH9+AH44</f>
        <v>0</v>
      </c>
      <c r="AI47" s="95" t="n">
        <f aca="false">AI9+AI44</f>
        <v>92249.4</v>
      </c>
      <c r="AJ47" s="221"/>
      <c r="AK47" s="133" t="n">
        <f aca="false">MIN(AK12:AK42)</f>
        <v>46</v>
      </c>
      <c r="AL47" s="222" t="n">
        <f aca="false">MIN(AL12:AL42)</f>
        <v>25</v>
      </c>
      <c r="AM47" s="133" t="s">
        <v>84</v>
      </c>
      <c r="AN47" s="133"/>
      <c r="AO47" s="122"/>
      <c r="AP47" s="215"/>
      <c r="AQ47" s="95" t="n">
        <f aca="false">AQ9+AQ44</f>
        <v>0</v>
      </c>
      <c r="AR47" s="218" t="n">
        <f aca="false">AR9+AR44</f>
        <v>771.62</v>
      </c>
      <c r="AS47" s="10"/>
    </row>
    <row r="48" customFormat="false" ht="12.95" hidden="false" customHeight="true" outlineLevel="0" collapsed="false">
      <c r="A48" s="158" t="s">
        <v>85</v>
      </c>
      <c r="B48" s="213"/>
      <c r="C48" s="95"/>
      <c r="D48" s="95"/>
      <c r="E48" s="95"/>
      <c r="F48" s="95" t="n">
        <f aca="false">F47*$D$2</f>
        <v>66934</v>
      </c>
      <c r="G48" s="418" t="n">
        <f aca="false">G47*$D$2</f>
        <v>185246.999</v>
      </c>
      <c r="H48" s="218" t="n">
        <f aca="false">H47*$D$2</f>
        <v>17097.77</v>
      </c>
      <c r="I48" s="95" t="n">
        <f aca="false">I47*$D$2</f>
        <v>202344.769</v>
      </c>
      <c r="J48" s="95" t="n">
        <f aca="false">J47*$D$2</f>
        <v>47565.9159</v>
      </c>
      <c r="K48" s="95" t="n">
        <f aca="false">K47*$D$2</f>
        <v>249910.6849</v>
      </c>
      <c r="L48" s="95" t="n">
        <f aca="false">L47*$D$2</f>
        <v>47565.9159</v>
      </c>
      <c r="M48" s="216" t="n">
        <f aca="false">M47*$D$2</f>
        <v>24192.3528</v>
      </c>
      <c r="N48" s="133" t="n">
        <f aca="false">N47*$D$2</f>
        <v>228.0481858195</v>
      </c>
      <c r="O48" s="95" t="n">
        <f aca="false">O47*$D$2</f>
        <v>8746.33944975</v>
      </c>
      <c r="P48" s="215" t="n">
        <f aca="false">P47*$D$2</f>
        <v>14.51922</v>
      </c>
      <c r="Q48" s="95"/>
      <c r="R48" s="95"/>
      <c r="S48" s="95"/>
      <c r="T48" s="219"/>
      <c r="U48" s="95" t="n">
        <f aca="false">U47*$D$2</f>
        <v>9908.17755</v>
      </c>
      <c r="V48" s="95" t="n">
        <f aca="false">V47*$D$2</f>
        <v>4276.8227</v>
      </c>
      <c r="W48" s="95" t="n">
        <f aca="false">W47*$D$2</f>
        <v>26348.2528341305</v>
      </c>
      <c r="X48" s="95" t="n">
        <f aca="false">X47*$D$2</f>
        <v>0</v>
      </c>
      <c r="Y48" s="95" t="n">
        <f aca="false">Y47*$D$2</f>
        <v>3358.83525669002</v>
      </c>
      <c r="Z48" s="95"/>
      <c r="AA48" s="95" t="n">
        <f aca="false">AA47*$D$2</f>
        <v>7307.41235</v>
      </c>
      <c r="AB48" s="95" t="n">
        <f aca="false">AB47*$D$2</f>
        <v>205.68895</v>
      </c>
      <c r="AC48" s="95" t="n">
        <f aca="false">AC47*$D$2</f>
        <v>157.29155</v>
      </c>
      <c r="AD48" s="133"/>
      <c r="AE48" s="95"/>
      <c r="AF48" s="95" t="n">
        <f aca="false">AF47*$D$2</f>
        <v>137291.9195</v>
      </c>
      <c r="AG48" s="95" t="n">
        <f aca="false">AG47*$D$2</f>
        <v>182976.6849</v>
      </c>
      <c r="AH48" s="95" t="n">
        <f aca="false">AH47*$D$2</f>
        <v>0</v>
      </c>
      <c r="AI48" s="95" t="n">
        <f aca="false">AI47*$D$2</f>
        <v>182976.6849</v>
      </c>
      <c r="AJ48" s="221"/>
      <c r="AK48" s="133"/>
      <c r="AL48" s="222"/>
      <c r="AM48" s="133"/>
      <c r="AN48" s="133"/>
      <c r="AO48" s="122"/>
      <c r="AP48" s="215" t="n">
        <f aca="false">AP9+AP45</f>
        <v>42.4291892361989</v>
      </c>
      <c r="AQ48" s="95" t="n">
        <f aca="false">AQ47*$D$2</f>
        <v>0</v>
      </c>
      <c r="AR48" s="218" t="n">
        <f aca="false">AR47*$D$2</f>
        <v>1530.50827</v>
      </c>
      <c r="AS48" s="10"/>
    </row>
    <row r="49" customFormat="false" ht="3" hidden="false" customHeight="true" outlineLevel="0" collapsed="false">
      <c r="A49" s="229"/>
      <c r="B49" s="247"/>
      <c r="C49" s="231"/>
      <c r="D49" s="231"/>
      <c r="E49" s="231"/>
      <c r="F49" s="231"/>
      <c r="G49" s="253"/>
      <c r="H49" s="237"/>
      <c r="I49" s="231"/>
      <c r="J49" s="231"/>
      <c r="K49" s="231"/>
      <c r="L49" s="231"/>
      <c r="M49" s="251"/>
      <c r="N49" s="237"/>
      <c r="O49" s="231"/>
      <c r="P49" s="234"/>
      <c r="Q49" s="231"/>
      <c r="R49" s="231"/>
      <c r="S49" s="231"/>
      <c r="T49" s="252"/>
      <c r="U49" s="231"/>
      <c r="V49" s="231"/>
      <c r="W49" s="231"/>
      <c r="X49" s="231"/>
      <c r="Y49" s="231"/>
      <c r="Z49" s="231"/>
      <c r="AA49" s="231"/>
      <c r="AB49" s="251"/>
      <c r="AC49" s="252"/>
      <c r="AD49" s="240"/>
      <c r="AE49" s="231"/>
      <c r="AF49" s="231"/>
      <c r="AG49" s="231"/>
      <c r="AH49" s="231"/>
      <c r="AI49" s="231"/>
      <c r="AJ49" s="239"/>
      <c r="AK49" s="422"/>
      <c r="AL49" s="255"/>
      <c r="AM49" s="334"/>
      <c r="AN49" s="255"/>
      <c r="AO49" s="255"/>
      <c r="AP49" s="234"/>
      <c r="AQ49" s="234"/>
      <c r="AR49" s="237"/>
      <c r="AS49" s="237"/>
    </row>
    <row r="50" customFormat="false" ht="12.95" hidden="false" customHeight="true" outlineLevel="0" collapsed="false">
      <c r="A50" s="158" t="s">
        <v>86</v>
      </c>
      <c r="B50" s="213"/>
      <c r="C50" s="95"/>
      <c r="D50" s="95"/>
      <c r="E50" s="95"/>
      <c r="F50" s="95" t="n">
        <f aca="false">F10+F44</f>
        <v>39059.2387194353</v>
      </c>
      <c r="G50" s="418" t="n">
        <f aca="false">G10+G44</f>
        <v>109658</v>
      </c>
      <c r="H50" s="218" t="n">
        <f aca="false">H10+H44</f>
        <v>10766.14</v>
      </c>
      <c r="I50" s="95" t="n">
        <f aca="false">I10+I44</f>
        <v>120424.14</v>
      </c>
      <c r="J50" s="95" t="n">
        <f aca="false">J10+J44</f>
        <v>30978.9252861104</v>
      </c>
      <c r="K50" s="95" t="n">
        <f aca="false">K10+K44</f>
        <v>151403.06528611</v>
      </c>
      <c r="L50" s="95" t="n">
        <f aca="false">L10+L44</f>
        <v>28957.0587194353</v>
      </c>
      <c r="M50" s="216" t="n">
        <f aca="false">M10+M44</f>
        <v>13109.6</v>
      </c>
      <c r="N50" s="133" t="n">
        <f aca="false">N10+N44</f>
        <v>114.972617</v>
      </c>
      <c r="O50" s="95" t="n">
        <f aca="false">O10+O44</f>
        <v>4409.5485</v>
      </c>
      <c r="P50" s="352" t="n">
        <f aca="false">P10+P44</f>
        <v>7.32</v>
      </c>
      <c r="Q50" s="95" t="n">
        <f aca="false">Q10+Q44</f>
        <v>337.3548</v>
      </c>
      <c r="R50" s="95" t="n">
        <f aca="false">R10+R44</f>
        <v>672.673</v>
      </c>
      <c r="S50" s="95" t="n">
        <f aca="false">S10+S44</f>
        <v>6.62</v>
      </c>
      <c r="T50" s="219" t="n">
        <f aca="false">T10+T44</f>
        <v>-94.5288</v>
      </c>
      <c r="U50" s="95" t="n">
        <f aca="false">U10+U44</f>
        <v>11060.26</v>
      </c>
      <c r="V50" s="95" t="n">
        <f aca="false">V10+V44</f>
        <v>2241</v>
      </c>
      <c r="W50" s="95" t="n">
        <f aca="false">W10+W44</f>
        <v>19736.017083</v>
      </c>
      <c r="X50" s="95"/>
      <c r="Y50" s="95"/>
      <c r="Z50" s="95"/>
      <c r="AA50" s="95"/>
      <c r="AB50" s="216"/>
      <c r="AC50" s="219"/>
      <c r="AD50" s="133" t="n">
        <f aca="false">AD10+AD44</f>
        <v>80227</v>
      </c>
      <c r="AE50" s="95" t="n">
        <f aca="false">AE42</f>
        <v>16031.2578774893</v>
      </c>
      <c r="AF50" s="95" t="n">
        <f aca="false">AF10+AF44</f>
        <v>75288</v>
      </c>
      <c r="AG50" s="95" t="n">
        <f aca="false">AG10+AG44</f>
        <v>110321.96</v>
      </c>
      <c r="AH50" s="95" t="n">
        <f aca="false">AH10+AH44</f>
        <v>2021.86656667507</v>
      </c>
      <c r="AI50" s="95" t="n">
        <f aca="false">AI10+AI44</f>
        <v>112343.826566675</v>
      </c>
      <c r="AJ50" s="221" t="n">
        <f aca="false">AJ10+AJ44</f>
        <v>11.09</v>
      </c>
      <c r="AK50" s="133"/>
      <c r="AL50" s="222"/>
      <c r="AM50" s="133"/>
      <c r="AN50" s="95" t="n">
        <f aca="false">AN10+AN44</f>
        <v>0</v>
      </c>
      <c r="AO50" s="122"/>
      <c r="AP50" s="215"/>
      <c r="AQ50" s="95" t="n">
        <f aca="false">AQ10+AQ44</f>
        <v>0</v>
      </c>
      <c r="AR50" s="218"/>
      <c r="AS50" s="10"/>
    </row>
    <row r="51" customFormat="false" ht="12.95" hidden="false" customHeight="true" outlineLevel="0" collapsed="false">
      <c r="A51" s="158" t="s">
        <v>87</v>
      </c>
      <c r="B51" s="213"/>
      <c r="C51" s="95"/>
      <c r="D51" s="95" t="n">
        <f aca="false">D10+D45</f>
        <v>77399</v>
      </c>
      <c r="E51" s="95" t="n">
        <f aca="false">E42</f>
        <v>213353</v>
      </c>
      <c r="F51" s="95" t="n">
        <f aca="false">F50*$D$2</f>
        <v>77474</v>
      </c>
      <c r="G51" s="418" t="n">
        <f aca="false">G50*$D$2</f>
        <v>217506.643</v>
      </c>
      <c r="H51" s="218" t="n">
        <f aca="false">H50*$D$2</f>
        <v>21354.63869</v>
      </c>
      <c r="I51" s="95" t="n">
        <f aca="false">I50*$D$2</f>
        <v>238861.28169</v>
      </c>
      <c r="J51" s="95" t="n">
        <f aca="false">J50*$D$2</f>
        <v>61446.698305</v>
      </c>
      <c r="K51" s="95" t="n">
        <f aca="false">K50*$D$2</f>
        <v>300307.979995</v>
      </c>
      <c r="L51" s="95" t="n">
        <f aca="false">L50*$D$2</f>
        <v>57436.32597</v>
      </c>
      <c r="M51" s="216" t="n">
        <f aca="false">M50*$D$2</f>
        <v>26002.8916</v>
      </c>
      <c r="N51" s="133" t="n">
        <f aca="false">N50*$D$2</f>
        <v>228.0481858195</v>
      </c>
      <c r="O51" s="95" t="n">
        <f aca="false">O50*$D$2</f>
        <v>8746.33944975</v>
      </c>
      <c r="P51" s="352" t="n">
        <f aca="false">P50*$D$2</f>
        <v>14.51922</v>
      </c>
      <c r="Q51" s="95" t="n">
        <f aca="false">Q50*$D$2</f>
        <v>669.1432458</v>
      </c>
      <c r="R51" s="95" t="n">
        <f aca="false">R50*$D$2</f>
        <v>1334.2468955</v>
      </c>
      <c r="S51" s="95" t="n">
        <f aca="false">S50*$D$2</f>
        <v>13.13077</v>
      </c>
      <c r="T51" s="219" t="n">
        <f aca="false">T50*$D$2</f>
        <v>-187.4978748</v>
      </c>
      <c r="U51" s="95" t="n">
        <f aca="false">U50*$D$2</f>
        <v>21938.02571</v>
      </c>
      <c r="V51" s="95" t="n">
        <f aca="false">V50*$D$2</f>
        <v>4445.0235</v>
      </c>
      <c r="W51" s="95" t="n">
        <f aca="false">W50*$D$2</f>
        <v>39146.3898841305</v>
      </c>
      <c r="X51" s="95"/>
      <c r="Y51" s="95"/>
      <c r="Z51" s="95"/>
      <c r="AA51" s="95"/>
      <c r="AB51" s="259"/>
      <c r="AC51" s="260"/>
      <c r="AD51" s="133" t="n">
        <f aca="false">AD50*$D$2</f>
        <v>159130.2545</v>
      </c>
      <c r="AE51" s="95" t="n">
        <f aca="false">AE50*$D$2</f>
        <v>31798</v>
      </c>
      <c r="AF51" s="95" t="n">
        <f aca="false">AF50*$D$2</f>
        <v>149333.748</v>
      </c>
      <c r="AG51" s="95" t="n">
        <f aca="false">AG50*$D$2</f>
        <v>218823.60766</v>
      </c>
      <c r="AH51" s="95" t="n">
        <f aca="false">AH50*$D$2</f>
        <v>4010.372335</v>
      </c>
      <c r="AI51" s="95" t="n">
        <f aca="false">AI50*$D$2</f>
        <v>222833.979995</v>
      </c>
      <c r="AJ51" s="221"/>
      <c r="AK51" s="133"/>
      <c r="AL51" s="222"/>
      <c r="AM51" s="133" t="n">
        <f aca="false">AM42</f>
        <v>12798.13705</v>
      </c>
      <c r="AN51" s="95" t="n">
        <f aca="false">AN50*$D$2</f>
        <v>0</v>
      </c>
      <c r="AO51" s="122"/>
      <c r="AP51" s="215" t="n">
        <f aca="false">AP10+AP45</f>
        <v>42.4291892361989</v>
      </c>
      <c r="AQ51" s="95" t="n">
        <f aca="false">AQ50*$D$2</f>
        <v>0</v>
      </c>
      <c r="AR51" s="218"/>
      <c r="AS51" s="10"/>
    </row>
    <row r="52" customFormat="false" ht="3" hidden="false" customHeight="true" outlineLevel="0" collapsed="false">
      <c r="A52" s="229"/>
      <c r="B52" s="247"/>
      <c r="C52" s="231"/>
      <c r="D52" s="232"/>
      <c r="E52" s="231"/>
      <c r="F52" s="423"/>
      <c r="G52" s="424"/>
      <c r="H52" s="425"/>
      <c r="I52" s="232"/>
      <c r="J52" s="232"/>
      <c r="K52" s="232"/>
      <c r="L52" s="232"/>
      <c r="M52" s="235"/>
      <c r="N52" s="234"/>
      <c r="O52" s="232"/>
      <c r="P52" s="234"/>
      <c r="Q52" s="232"/>
      <c r="R52" s="232"/>
      <c r="S52" s="232"/>
      <c r="T52" s="236"/>
      <c r="U52" s="232"/>
      <c r="V52" s="232"/>
      <c r="W52" s="232"/>
      <c r="X52" s="231"/>
      <c r="Y52" s="231"/>
      <c r="Z52" s="231"/>
      <c r="AA52" s="232"/>
      <c r="AB52" s="235"/>
      <c r="AC52" s="238"/>
      <c r="AD52" s="240"/>
      <c r="AE52" s="231"/>
      <c r="AF52" s="231"/>
      <c r="AG52" s="232"/>
      <c r="AH52" s="232"/>
      <c r="AI52" s="232"/>
      <c r="AJ52" s="232"/>
      <c r="AK52" s="232"/>
      <c r="AL52" s="232"/>
      <c r="AM52" s="240"/>
      <c r="AN52" s="232"/>
      <c r="AO52" s="232"/>
      <c r="AP52" s="234"/>
      <c r="AQ52" s="234"/>
      <c r="AR52" s="237"/>
      <c r="AS52" s="237"/>
    </row>
    <row r="53" customFormat="false" ht="11.1" hidden="false" customHeight="true" outlineLevel="0" collapsed="false">
      <c r="A53" s="426"/>
      <c r="B53" s="262"/>
      <c r="D53" s="158"/>
      <c r="F53" s="427"/>
      <c r="G53" s="427"/>
      <c r="H53" s="428"/>
      <c r="I53" s="158"/>
      <c r="J53" s="158"/>
      <c r="K53" s="158"/>
      <c r="L53" s="158"/>
      <c r="M53" s="158"/>
      <c r="O53" s="158"/>
      <c r="Q53" s="158"/>
      <c r="R53" s="158"/>
      <c r="S53" s="158"/>
      <c r="U53" s="158"/>
      <c r="V53" s="158"/>
      <c r="W53" s="158"/>
      <c r="X53" s="96"/>
      <c r="Y53" s="96"/>
      <c r="Z53" s="96"/>
      <c r="AA53" s="158"/>
      <c r="AB53" s="158"/>
      <c r="AC53" s="158"/>
      <c r="AE53" s="96"/>
      <c r="AF53" s="224"/>
      <c r="AG53" s="158"/>
      <c r="AH53" s="158"/>
      <c r="AI53" s="158"/>
      <c r="AL53" s="154"/>
      <c r="AM53" s="155"/>
      <c r="AN53" s="155"/>
      <c r="AO53" s="160"/>
      <c r="AP53" s="188"/>
    </row>
    <row r="54" customFormat="false" ht="11.1" hidden="false" customHeight="true" outlineLevel="0" collapsed="false">
      <c r="A54" s="158"/>
      <c r="B54" s="96"/>
      <c r="E54" s="429"/>
      <c r="F54" s="224"/>
      <c r="G54" s="152"/>
      <c r="I54" s="429"/>
      <c r="J54" s="158"/>
      <c r="K54" s="148"/>
      <c r="L54" s="158"/>
      <c r="M54" s="158"/>
      <c r="O54" s="26"/>
      <c r="P54" s="82"/>
      <c r="Q54" s="26"/>
      <c r="R54" s="26"/>
      <c r="S54" s="158"/>
      <c r="U54" s="158"/>
      <c r="V54" s="96"/>
      <c r="W54" s="26"/>
      <c r="X54" s="96"/>
      <c r="Y54" s="96"/>
      <c r="Z54" s="96"/>
      <c r="AA54" s="96"/>
      <c r="AB54" s="96"/>
      <c r="AC54" s="96"/>
      <c r="AE54" s="430"/>
      <c r="AF54" s="431"/>
      <c r="AG54" s="158"/>
      <c r="AH54" s="158"/>
      <c r="AM54" s="313"/>
      <c r="AN54" s="160"/>
      <c r="AO54" s="160"/>
    </row>
    <row r="56" customFormat="false" ht="11.1" hidden="false" customHeight="true" outlineLevel="0" collapsed="false">
      <c r="B56" s="150"/>
      <c r="D56" s="96"/>
      <c r="F56" s="432"/>
      <c r="AA56" s="96"/>
      <c r="AB56" s="96"/>
      <c r="AC56" s="96"/>
      <c r="AM56" s="313"/>
      <c r="AN56" s="152"/>
      <c r="AO56" s="152"/>
    </row>
    <row r="57" customFormat="false" ht="11.1" hidden="false" customHeight="true" outlineLevel="0" collapsed="false">
      <c r="B57" s="1"/>
      <c r="D57" s="1"/>
      <c r="G57" s="433"/>
      <c r="H57" s="434"/>
      <c r="I57" s="435"/>
      <c r="AM57" s="313"/>
      <c r="AN57" s="152"/>
      <c r="AO57" s="152"/>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8" activePane="bottomRight" state="frozen"/>
      <selection pane="topLeft" activeCell="A1" activeCellId="0" sqref="A1"/>
      <selection pane="topRight" activeCell="B1" activeCellId="0" sqref="B1"/>
      <selection pane="bottomLeft" activeCell="A18" activeCellId="0" sqref="A18"/>
      <selection pane="bottomRight" activeCell="D2" activeCellId="0" sqref="D2"/>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82"/>
    <col collapsed="false" customWidth="true" hidden="false" outlineLevel="0" max="4" min="4" style="1" width="6.8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82"/>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3" width="4.82"/>
    <col collapsed="false" customWidth="true" hidden="false" outlineLevel="0" max="18" min="17" style="4" width="4.32"/>
    <col collapsed="false" customWidth="true" hidden="false" outlineLevel="0" max="19" min="19" style="1" width="4.32"/>
    <col collapsed="false" customWidth="true" hidden="false" outlineLevel="0" max="20" min="20" style="3" width="5.49"/>
    <col collapsed="false" customWidth="true" hidden="false" outlineLevel="0" max="22" min="21" style="1" width="5.49"/>
    <col collapsed="false" customWidth="true" hidden="false" outlineLevel="0" max="23" min="23" style="2" width="6.32"/>
    <col collapsed="false" customWidth="true" hidden="false" outlineLevel="0" max="29" min="24" style="1" width="5.49"/>
    <col collapsed="false" customWidth="true" hidden="false" outlineLevel="0" max="30" min="30" style="2" width="6.66"/>
    <col collapsed="false" customWidth="true" hidden="false" outlineLevel="0" max="31" min="31" style="1" width="6.66"/>
    <col collapsed="false" customWidth="true" hidden="false" outlineLevel="0" max="32" min="32" style="312" width="6.32"/>
    <col collapsed="false" customWidth="true" hidden="false" outlineLevel="0" max="33" min="33" style="1" width="6.32"/>
    <col collapsed="false" customWidth="true" hidden="false" outlineLevel="0" max="34" min="34" style="1" width="6.99"/>
    <col collapsed="false" customWidth="true" hidden="false" outlineLevel="0" max="35" min="35" style="3" width="6.99"/>
    <col collapsed="false" customWidth="true" hidden="false" outlineLevel="0" max="36" min="36" style="6" width="5.32"/>
    <col collapsed="false" customWidth="true" hidden="false" outlineLevel="0" max="37" min="37" style="7" width="3.82"/>
    <col collapsed="false" customWidth="true" hidden="false" outlineLevel="0" max="38" min="38" style="8" width="3.82"/>
    <col collapsed="false" customWidth="true" hidden="false" outlineLevel="0" max="40" min="39" style="1" width="5.49"/>
    <col collapsed="false" customWidth="true" hidden="false" outlineLevel="0" max="41" min="41" style="1" width="6.32"/>
    <col collapsed="false" customWidth="true" hidden="false" outlineLevel="0" max="42" min="42" style="205" width="6.32"/>
    <col collapsed="false" customWidth="true" hidden="false" outlineLevel="0" max="43" min="43" style="5" width="6.32"/>
    <col collapsed="false" customWidth="true" hidden="false" outlineLevel="0" max="44" min="44" style="1" width="5.82"/>
    <col collapsed="false" customWidth="true" hidden="false" outlineLevel="0" max="45" min="45" style="4" width="4.99"/>
  </cols>
  <sheetData>
    <row r="1" customFormat="false" ht="14.1" hidden="false" customHeight="true" outlineLevel="0" collapsed="false">
      <c r="A1" s="11" t="s">
        <v>96</v>
      </c>
      <c r="B1" s="11"/>
      <c r="D1" s="11"/>
      <c r="F1" s="11"/>
      <c r="G1" s="11"/>
      <c r="I1" s="11"/>
      <c r="J1" s="11"/>
      <c r="K1" s="12" t="s">
        <v>0</v>
      </c>
      <c r="L1" s="11"/>
      <c r="M1" s="11"/>
      <c r="N1" s="11"/>
      <c r="S1" s="11"/>
      <c r="U1" s="11"/>
      <c r="V1" s="11"/>
      <c r="X1" s="11"/>
      <c r="Y1" s="11"/>
      <c r="Z1" s="11"/>
      <c r="AA1" s="11"/>
      <c r="AB1" s="11"/>
      <c r="AC1" s="11"/>
      <c r="AE1" s="11"/>
      <c r="AF1" s="13"/>
      <c r="AG1" s="11"/>
      <c r="AH1" s="11"/>
      <c r="AM1" s="13"/>
      <c r="AN1" s="13"/>
      <c r="AO1" s="13"/>
    </row>
    <row r="2" customFormat="false" ht="14.1" hidden="false" customHeight="true" outlineLevel="0" collapsed="false">
      <c r="A2" s="13" t="s">
        <v>1</v>
      </c>
      <c r="B2" s="11"/>
      <c r="D2" s="14" t="n">
        <v>1.9835</v>
      </c>
      <c r="F2" s="11"/>
      <c r="G2" s="11"/>
      <c r="I2" s="11"/>
      <c r="J2" s="11"/>
      <c r="K2" s="359" t="s">
        <v>114</v>
      </c>
      <c r="L2" s="360"/>
      <c r="M2" s="63"/>
      <c r="N2" s="63"/>
      <c r="O2" s="77"/>
      <c r="P2" s="5"/>
      <c r="Q2" s="77"/>
      <c r="R2" s="77"/>
      <c r="S2" s="63"/>
      <c r="T2" s="5"/>
      <c r="U2" s="63"/>
      <c r="V2" s="63"/>
      <c r="W2" s="74"/>
      <c r="X2" s="63"/>
      <c r="Y2" s="63"/>
      <c r="Z2" s="63"/>
      <c r="AA2" s="63"/>
      <c r="AB2" s="63"/>
      <c r="AC2" s="63"/>
      <c r="AD2" s="74"/>
      <c r="AE2" s="11"/>
      <c r="AF2" s="13"/>
      <c r="AG2" s="11"/>
      <c r="AH2" s="11"/>
      <c r="AM2" s="13"/>
      <c r="AN2" s="13"/>
      <c r="AO2" s="13"/>
    </row>
    <row r="3" customFormat="false" ht="14.1" hidden="false" customHeight="true" outlineLevel="0" collapsed="false">
      <c r="A3" s="15"/>
      <c r="B3" s="15"/>
      <c r="C3" s="16"/>
      <c r="D3" s="17"/>
      <c r="E3" s="16"/>
      <c r="F3" s="15"/>
      <c r="G3" s="15"/>
      <c r="H3" s="18"/>
      <c r="I3" s="15"/>
      <c r="J3" s="15"/>
      <c r="K3" s="15"/>
      <c r="L3" s="15"/>
      <c r="M3" s="15"/>
      <c r="N3" s="15"/>
      <c r="O3" s="23"/>
      <c r="P3" s="18"/>
      <c r="Q3" s="23"/>
      <c r="R3" s="23"/>
      <c r="S3" s="15"/>
      <c r="T3" s="18"/>
      <c r="U3" s="15"/>
      <c r="V3" s="15"/>
      <c r="W3" s="16"/>
      <c r="X3" s="15"/>
      <c r="Y3" s="15"/>
      <c r="Z3" s="15"/>
      <c r="AA3" s="15"/>
      <c r="AB3" s="15"/>
      <c r="AC3" s="15"/>
      <c r="AD3" s="16"/>
      <c r="AE3" s="15"/>
      <c r="AF3" s="436"/>
      <c r="AG3" s="15"/>
      <c r="AH3" s="15"/>
      <c r="AI3" s="18"/>
      <c r="AJ3" s="20"/>
      <c r="AK3" s="21"/>
      <c r="AL3" s="22"/>
      <c r="AM3" s="436"/>
      <c r="AN3" s="436"/>
      <c r="AO3" s="436"/>
    </row>
    <row r="4" s="1" customFormat="true" ht="14.1" hidden="false" customHeight="true" outlineLevel="0" collapsed="false">
      <c r="A4" s="11"/>
      <c r="B4" s="27"/>
      <c r="C4" s="28"/>
      <c r="D4" s="366" t="s">
        <v>3</v>
      </c>
      <c r="E4" s="28"/>
      <c r="F4" s="30"/>
      <c r="G4" s="11"/>
      <c r="H4" s="3"/>
      <c r="I4" s="11"/>
      <c r="J4" s="11"/>
      <c r="K4" s="11"/>
      <c r="L4" s="11"/>
      <c r="M4" s="11"/>
      <c r="N4" s="11"/>
      <c r="O4" s="4"/>
      <c r="P4" s="3"/>
      <c r="Q4" s="4"/>
      <c r="R4" s="4"/>
      <c r="S4" s="11"/>
      <c r="T4" s="3"/>
      <c r="U4" s="31" t="s">
        <v>4</v>
      </c>
      <c r="V4" s="11"/>
      <c r="W4" s="2"/>
      <c r="X4" s="11"/>
      <c r="Y4" s="11"/>
      <c r="Z4" s="11"/>
      <c r="AA4" s="11"/>
      <c r="AB4" s="11"/>
      <c r="AC4" s="11"/>
      <c r="AD4" s="2"/>
      <c r="AE4" s="11"/>
      <c r="AF4" s="13"/>
      <c r="AG4" s="11"/>
      <c r="AH4" s="11"/>
      <c r="AI4" s="3"/>
      <c r="AJ4" s="32"/>
      <c r="AK4" s="33" t="s">
        <v>5</v>
      </c>
      <c r="AL4" s="34"/>
      <c r="AM4" s="413"/>
      <c r="AN4" s="413"/>
      <c r="AO4" s="178" t="s">
        <v>6</v>
      </c>
      <c r="AP4" s="414"/>
      <c r="AQ4" s="368"/>
      <c r="AR4" s="36"/>
      <c r="AS4" s="371"/>
    </row>
    <row r="5" customFormat="false" ht="12.95" hidden="false" customHeight="true" outlineLevel="0" collapsed="false">
      <c r="A5" s="38" t="s">
        <v>7</v>
      </c>
      <c r="B5" s="39" t="s">
        <v>8</v>
      </c>
      <c r="C5" s="40" t="s">
        <v>8</v>
      </c>
      <c r="D5" s="41" t="s">
        <v>9</v>
      </c>
      <c r="E5" s="40" t="s">
        <v>10</v>
      </c>
      <c r="F5" s="42" t="s">
        <v>11</v>
      </c>
      <c r="G5" s="38" t="s">
        <v>12</v>
      </c>
      <c r="H5" s="43" t="s">
        <v>13</v>
      </c>
      <c r="I5" s="38" t="s">
        <v>14</v>
      </c>
      <c r="J5" s="38" t="s">
        <v>15</v>
      </c>
      <c r="K5" s="38" t="s">
        <v>16</v>
      </c>
      <c r="L5" s="38" t="s">
        <v>15</v>
      </c>
      <c r="M5" s="189" t="s">
        <v>17</v>
      </c>
      <c r="N5" s="189"/>
      <c r="O5" s="189"/>
      <c r="P5" s="189"/>
      <c r="Q5" s="189"/>
      <c r="R5" s="189"/>
      <c r="S5" s="189"/>
      <c r="T5" s="189"/>
      <c r="U5" s="38" t="s">
        <v>18</v>
      </c>
      <c r="V5" s="38" t="s">
        <v>19</v>
      </c>
      <c r="W5" s="38" t="s">
        <v>16</v>
      </c>
      <c r="X5" s="46" t="s">
        <v>20</v>
      </c>
      <c r="Y5" s="46" t="s">
        <v>21</v>
      </c>
      <c r="Z5" s="186" t="s">
        <v>20</v>
      </c>
      <c r="AA5" s="38" t="s">
        <v>22</v>
      </c>
      <c r="AB5" s="47" t="s">
        <v>23</v>
      </c>
      <c r="AC5" s="48"/>
      <c r="AD5" s="38" t="s">
        <v>24</v>
      </c>
      <c r="AE5" s="186" t="s">
        <v>112</v>
      </c>
      <c r="AF5" s="186" t="s">
        <v>26</v>
      </c>
      <c r="AG5" s="184" t="s">
        <v>14</v>
      </c>
      <c r="AH5" s="184" t="s">
        <v>15</v>
      </c>
      <c r="AI5" s="184" t="s">
        <v>16</v>
      </c>
      <c r="AJ5" s="49" t="s">
        <v>27</v>
      </c>
      <c r="AK5" s="50" t="s">
        <v>28</v>
      </c>
      <c r="AL5" s="51" t="s">
        <v>29</v>
      </c>
      <c r="AM5" s="53" t="s">
        <v>90</v>
      </c>
      <c r="AN5" s="53" t="s">
        <v>20</v>
      </c>
      <c r="AO5" s="43" t="s">
        <v>91</v>
      </c>
      <c r="AP5" s="43" t="s">
        <v>91</v>
      </c>
      <c r="AQ5" s="43" t="s">
        <v>31</v>
      </c>
      <c r="AR5" s="55" t="s">
        <v>32</v>
      </c>
      <c r="AS5" s="190" t="s">
        <v>33</v>
      </c>
    </row>
    <row r="6" customFormat="false" ht="12.95" hidden="false" customHeight="true" outlineLevel="0" collapsed="false">
      <c r="A6" s="57" t="s">
        <v>115</v>
      </c>
      <c r="B6" s="39" t="s">
        <v>35</v>
      </c>
      <c r="C6" s="40" t="s">
        <v>9</v>
      </c>
      <c r="D6" s="41" t="s">
        <v>36</v>
      </c>
      <c r="E6" s="40" t="s">
        <v>37</v>
      </c>
      <c r="F6" s="42" t="s">
        <v>38</v>
      </c>
      <c r="G6" s="38" t="s">
        <v>39</v>
      </c>
      <c r="H6" s="43" t="s">
        <v>40</v>
      </c>
      <c r="I6" s="38" t="s">
        <v>41</v>
      </c>
      <c r="J6" s="38" t="s">
        <v>41</v>
      </c>
      <c r="K6" s="38" t="s">
        <v>41</v>
      </c>
      <c r="L6" s="38" t="s">
        <v>42</v>
      </c>
      <c r="M6" s="197" t="s">
        <v>43</v>
      </c>
      <c r="N6" s="184" t="s">
        <v>44</v>
      </c>
      <c r="O6" s="184" t="s">
        <v>45</v>
      </c>
      <c r="P6" s="188" t="s">
        <v>46</v>
      </c>
      <c r="Q6" s="184" t="s">
        <v>47</v>
      </c>
      <c r="R6" s="184" t="s">
        <v>48</v>
      </c>
      <c r="S6" s="184" t="s">
        <v>49</v>
      </c>
      <c r="T6" s="198" t="s">
        <v>50</v>
      </c>
      <c r="U6" s="38" t="s">
        <v>51</v>
      </c>
      <c r="V6" s="38" t="s">
        <v>52</v>
      </c>
      <c r="W6" s="38" t="s">
        <v>20</v>
      </c>
      <c r="X6" s="46" t="s">
        <v>62</v>
      </c>
      <c r="Y6" s="46" t="s">
        <v>54</v>
      </c>
      <c r="Z6" s="186" t="s">
        <v>55</v>
      </c>
      <c r="AA6" s="38" t="s">
        <v>56</v>
      </c>
      <c r="AB6" s="58" t="s">
        <v>57</v>
      </c>
      <c r="AC6" s="61" t="s">
        <v>55</v>
      </c>
      <c r="AD6" s="38" t="s">
        <v>58</v>
      </c>
      <c r="AE6" s="186" t="s">
        <v>59</v>
      </c>
      <c r="AF6" s="186"/>
      <c r="AG6" s="184" t="s">
        <v>60</v>
      </c>
      <c r="AH6" s="184" t="s">
        <v>60</v>
      </c>
      <c r="AI6" s="184" t="s">
        <v>60</v>
      </c>
      <c r="AJ6" s="62"/>
      <c r="AK6" s="50" t="s">
        <v>61</v>
      </c>
      <c r="AL6" s="51" t="s">
        <v>61</v>
      </c>
      <c r="AM6" s="53" t="s">
        <v>62</v>
      </c>
      <c r="AN6" s="53" t="s">
        <v>63</v>
      </c>
      <c r="AO6" s="43" t="s">
        <v>64</v>
      </c>
      <c r="AP6" s="43" t="s">
        <v>64</v>
      </c>
      <c r="AQ6" s="43" t="s">
        <v>65</v>
      </c>
      <c r="AR6" s="55" t="s">
        <v>66</v>
      </c>
      <c r="AS6" s="190" t="s">
        <v>67</v>
      </c>
    </row>
    <row r="7" customFormat="false" ht="12.95" hidden="false" customHeight="true" outlineLevel="0" collapsed="false">
      <c r="A7" s="38"/>
      <c r="B7" s="39"/>
      <c r="C7" s="40"/>
      <c r="D7" s="41"/>
      <c r="E7" s="40" t="s">
        <v>68</v>
      </c>
      <c r="F7" s="42"/>
      <c r="G7" s="38"/>
      <c r="H7" s="43"/>
      <c r="I7" s="38"/>
      <c r="J7" s="38"/>
      <c r="K7" s="38"/>
      <c r="L7" s="38"/>
      <c r="M7" s="197"/>
      <c r="N7" s="184" t="s">
        <v>69</v>
      </c>
      <c r="O7" s="184" t="s">
        <v>70</v>
      </c>
      <c r="P7" s="188"/>
      <c r="Q7" s="184"/>
      <c r="R7" s="184"/>
      <c r="S7" s="184" t="s">
        <v>45</v>
      </c>
      <c r="T7" s="198" t="s">
        <v>26</v>
      </c>
      <c r="U7" s="38"/>
      <c r="V7" s="38"/>
      <c r="W7" s="38"/>
      <c r="X7" s="46"/>
      <c r="Y7" s="46"/>
      <c r="Z7" s="46"/>
      <c r="AA7" s="38"/>
      <c r="AB7" s="68"/>
      <c r="AC7" s="69"/>
      <c r="AD7" s="38"/>
      <c r="AE7" s="46"/>
      <c r="AF7" s="46"/>
      <c r="AG7" s="38"/>
      <c r="AH7" s="38"/>
      <c r="AI7" s="38"/>
      <c r="AJ7" s="62"/>
      <c r="AK7" s="50"/>
      <c r="AL7" s="51"/>
      <c r="AM7" s="53" t="s">
        <v>68</v>
      </c>
      <c r="AN7" s="53" t="s">
        <v>38</v>
      </c>
      <c r="AO7" s="43" t="s">
        <v>109</v>
      </c>
      <c r="AP7" s="43" t="s">
        <v>95</v>
      </c>
      <c r="AQ7" s="43" t="s">
        <v>74</v>
      </c>
      <c r="AR7" s="55" t="s">
        <v>75</v>
      </c>
      <c r="AS7" s="190" t="s">
        <v>57</v>
      </c>
    </row>
    <row r="8" customFormat="false" ht="12.95" hidden="false" customHeight="true" outlineLevel="0" collapsed="false">
      <c r="A8" s="38"/>
      <c r="B8" s="39"/>
      <c r="C8" s="40"/>
      <c r="D8" s="41"/>
      <c r="E8" s="40"/>
      <c r="F8" s="42"/>
      <c r="G8" s="38"/>
      <c r="H8" s="43"/>
      <c r="I8" s="38"/>
      <c r="J8" s="38"/>
      <c r="K8" s="38"/>
      <c r="L8" s="38"/>
      <c r="M8" s="197"/>
      <c r="N8" s="277" t="n">
        <v>1.03</v>
      </c>
      <c r="O8" s="277" t="n">
        <v>1.05</v>
      </c>
      <c r="P8" s="205" t="n">
        <v>1.02</v>
      </c>
      <c r="Q8" s="277" t="n">
        <v>1.02</v>
      </c>
      <c r="R8" s="277" t="n">
        <v>1.04</v>
      </c>
      <c r="S8" s="184" t="s">
        <v>55</v>
      </c>
      <c r="T8" s="198"/>
      <c r="U8" s="38"/>
      <c r="V8" s="38"/>
      <c r="W8" s="38"/>
      <c r="X8" s="46"/>
      <c r="Y8" s="46"/>
      <c r="Z8" s="46"/>
      <c r="AA8" s="38"/>
      <c r="AB8" s="68"/>
      <c r="AC8" s="69"/>
      <c r="AD8" s="38"/>
      <c r="AE8" s="46"/>
      <c r="AF8" s="46"/>
      <c r="AG8" s="38"/>
      <c r="AH8" s="38"/>
      <c r="AI8" s="38"/>
      <c r="AJ8" s="62"/>
      <c r="AK8" s="50"/>
      <c r="AL8" s="51"/>
      <c r="AM8" s="53"/>
      <c r="AN8" s="53"/>
      <c r="AO8" s="43" t="s">
        <v>116</v>
      </c>
      <c r="AP8" s="43" t="s">
        <v>71</v>
      </c>
      <c r="AQ8" s="437"/>
    </row>
    <row r="9" customFormat="false" ht="12.95" hidden="false" customHeight="true" outlineLevel="0" collapsed="false">
      <c r="A9" s="11" t="s">
        <v>77</v>
      </c>
      <c r="B9" s="380"/>
      <c r="C9" s="83"/>
      <c r="D9" s="83"/>
      <c r="E9" s="83"/>
      <c r="F9" s="83" t="n">
        <f aca="false">MAY!F47</f>
        <v>33745.3995462566</v>
      </c>
      <c r="G9" s="83" t="n">
        <f aca="false">MAY!G47</f>
        <v>93394</v>
      </c>
      <c r="H9" s="89" t="n">
        <f aca="false">MAY!H47</f>
        <v>8620</v>
      </c>
      <c r="I9" s="83" t="n">
        <f aca="false">MAY!I47</f>
        <v>102014</v>
      </c>
      <c r="J9" s="83" t="n">
        <f aca="false">MAY!J47</f>
        <v>23980.7995462566</v>
      </c>
      <c r="K9" s="83" t="n">
        <f aca="false">MAY!K47</f>
        <v>125994.799546257</v>
      </c>
      <c r="L9" s="83" t="n">
        <f aca="false">MAY!L47</f>
        <v>23980.7995462566</v>
      </c>
      <c r="M9" s="83" t="n">
        <f aca="false">MAY!M47</f>
        <v>12196.8</v>
      </c>
      <c r="N9" s="83" t="n">
        <f aca="false">MAY!N47</f>
        <v>114.972617</v>
      </c>
      <c r="O9" s="83" t="n">
        <f aca="false">MAY!O47</f>
        <v>4409.5485</v>
      </c>
      <c r="P9" s="324" t="n">
        <f aca="false">MAY!P47</f>
        <v>7.32</v>
      </c>
      <c r="Q9" s="396"/>
      <c r="R9" s="396"/>
      <c r="S9" s="83"/>
      <c r="T9" s="381"/>
      <c r="U9" s="83" t="n">
        <f aca="false">MAY!U47</f>
        <v>4995.3</v>
      </c>
      <c r="V9" s="83" t="n">
        <f aca="false">MAY!V47</f>
        <v>2156.2</v>
      </c>
      <c r="W9" s="83" t="n">
        <f aca="false">MAY!W47</f>
        <v>13283.717083</v>
      </c>
      <c r="X9" s="83" t="n">
        <f aca="false">MAY!X47</f>
        <v>0</v>
      </c>
      <c r="Y9" s="83" t="n">
        <f aca="false">MAY!Y47</f>
        <v>1693.38808000505</v>
      </c>
      <c r="Z9" s="85"/>
      <c r="AA9" s="83" t="n">
        <f aca="false">MAY!AA47</f>
        <v>3684.1</v>
      </c>
      <c r="AB9" s="83" t="n">
        <f aca="false">MAY!AB47</f>
        <v>103.7</v>
      </c>
      <c r="AC9" s="83" t="n">
        <f aca="false">MAY!AC47</f>
        <v>79.3</v>
      </c>
      <c r="AD9" s="85"/>
      <c r="AE9" s="85"/>
      <c r="AF9" s="83" t="n">
        <f aca="false">MAY!AF47</f>
        <v>69217</v>
      </c>
      <c r="AG9" s="83" t="n">
        <f aca="false">MAY!AG47</f>
        <v>92249.4</v>
      </c>
      <c r="AH9" s="83" t="n">
        <f aca="false">MAY!AH47</f>
        <v>0</v>
      </c>
      <c r="AI9" s="83" t="n">
        <f aca="false">MAY!AI47</f>
        <v>92249.4</v>
      </c>
      <c r="AJ9" s="88"/>
      <c r="AK9" s="89"/>
      <c r="AL9" s="90"/>
      <c r="AM9" s="382"/>
      <c r="AN9" s="382"/>
      <c r="AO9" s="85"/>
      <c r="AP9" s="83" t="n">
        <f aca="false">MAY!AP48</f>
        <v>42.4291892361989</v>
      </c>
      <c r="AQ9" s="324" t="n">
        <f aca="false">MAY!AQ47</f>
        <v>0</v>
      </c>
      <c r="AR9" s="83" t="n">
        <f aca="false">MAY!AR47</f>
        <v>771.62</v>
      </c>
    </row>
    <row r="10" s="97" customFormat="true" ht="12.95" hidden="false" customHeight="true" outlineLevel="0" collapsed="false">
      <c r="A10" s="2" t="s">
        <v>78</v>
      </c>
      <c r="B10" s="119" t="n">
        <f aca="false">MAY!B42</f>
        <v>6920.41</v>
      </c>
      <c r="C10" s="83" t="n">
        <f aca="false">MAY!C42</f>
        <v>365353</v>
      </c>
      <c r="D10" s="83" t="n">
        <f aca="false">MAY!D51</f>
        <v>77399</v>
      </c>
      <c r="E10" s="83" t="n">
        <f aca="false">MAY!E51</f>
        <v>213353</v>
      </c>
      <c r="F10" s="83" t="n">
        <f aca="false">MAY!F50</f>
        <v>39059.2387194353</v>
      </c>
      <c r="G10" s="83" t="n">
        <f aca="false">MAY!G50</f>
        <v>109658</v>
      </c>
      <c r="H10" s="89" t="n">
        <f aca="false">MAY!H50</f>
        <v>10766.14</v>
      </c>
      <c r="I10" s="83" t="n">
        <f aca="false">MAY!I50</f>
        <v>120424.14</v>
      </c>
      <c r="J10" s="83" t="n">
        <f aca="false">MAY!J50</f>
        <v>30978.9252861104</v>
      </c>
      <c r="K10" s="83" t="n">
        <f aca="false">MAY!K50</f>
        <v>151403.06528611</v>
      </c>
      <c r="L10" s="83" t="n">
        <f aca="false">MAY!L50</f>
        <v>28957.0587194353</v>
      </c>
      <c r="M10" s="83" t="n">
        <f aca="false">MAY!M50</f>
        <v>13109.6</v>
      </c>
      <c r="N10" s="83" t="n">
        <f aca="false">MAY!N50</f>
        <v>114.972617</v>
      </c>
      <c r="O10" s="83" t="n">
        <f aca="false">MAY!O50</f>
        <v>4409.5485</v>
      </c>
      <c r="P10" s="324"/>
      <c r="Q10" s="83" t="n">
        <f aca="false">MAY!Q50</f>
        <v>337.3548</v>
      </c>
      <c r="R10" s="83" t="n">
        <f aca="false">MAY!R50</f>
        <v>672.673</v>
      </c>
      <c r="S10" s="83" t="n">
        <f aca="false">MAY!S50</f>
        <v>6.62</v>
      </c>
      <c r="T10" s="381" t="n">
        <f aca="false">MAY!T50</f>
        <v>-94.5288</v>
      </c>
      <c r="U10" s="83" t="n">
        <f aca="false">MAY!U50</f>
        <v>11060.26</v>
      </c>
      <c r="V10" s="83" t="n">
        <f aca="false">MAY!V50</f>
        <v>2241</v>
      </c>
      <c r="W10" s="83" t="n">
        <f aca="false">MAY!W50</f>
        <v>19736.017083</v>
      </c>
      <c r="X10" s="85"/>
      <c r="Y10" s="85"/>
      <c r="Z10" s="85"/>
      <c r="AA10" s="83"/>
      <c r="AB10" s="86"/>
      <c r="AC10" s="87"/>
      <c r="AD10" s="83" t="n">
        <f aca="false">MAY!AD50</f>
        <v>80227</v>
      </c>
      <c r="AE10" s="83" t="n">
        <f aca="false">MAY!AE50</f>
        <v>16031.2578774893</v>
      </c>
      <c r="AF10" s="83" t="n">
        <f aca="false">MAY!AF50</f>
        <v>75288</v>
      </c>
      <c r="AG10" s="83" t="n">
        <f aca="false">MAY!AG50</f>
        <v>110321.96</v>
      </c>
      <c r="AH10" s="83" t="n">
        <f aca="false">MAY!AH50</f>
        <v>2021.86656667507</v>
      </c>
      <c r="AI10" s="83" t="n">
        <f aca="false">MAY!AI50</f>
        <v>112343.826566675</v>
      </c>
      <c r="AJ10" s="119" t="n">
        <f aca="false">MAY!AJ50</f>
        <v>11.09</v>
      </c>
      <c r="AK10" s="89"/>
      <c r="AL10" s="90"/>
      <c r="AM10" s="83" t="n">
        <f aca="false">MAY!AM51</f>
        <v>12798.13705</v>
      </c>
      <c r="AN10" s="83" t="n">
        <f aca="false">MAY!AN50</f>
        <v>0</v>
      </c>
      <c r="AO10" s="121"/>
      <c r="AP10" s="83" t="n">
        <f aca="false">MAY!AP51</f>
        <v>42.4291892361989</v>
      </c>
      <c r="AQ10" s="324" t="n">
        <f aca="false">MAY!AQ50</f>
        <v>0</v>
      </c>
      <c r="AR10" s="83" t="n">
        <f aca="false">MAY!AR50</f>
        <v>0</v>
      </c>
      <c r="AS10" s="4"/>
    </row>
    <row r="11" customFormat="false" ht="3" hidden="false" customHeight="true" outlineLevel="0" collapsed="false">
      <c r="A11" s="98"/>
      <c r="B11" s="385"/>
      <c r="C11" s="106"/>
      <c r="D11" s="104"/>
      <c r="E11" s="106"/>
      <c r="F11" s="386"/>
      <c r="G11" s="104"/>
      <c r="H11" s="387"/>
      <c r="I11" s="104"/>
      <c r="J11" s="104"/>
      <c r="K11" s="104"/>
      <c r="L11" s="104"/>
      <c r="M11" s="107"/>
      <c r="N11" s="104"/>
      <c r="O11" s="112" t="n">
        <v>0</v>
      </c>
      <c r="P11" s="387"/>
      <c r="Q11" s="112"/>
      <c r="R11" s="112"/>
      <c r="S11" s="104"/>
      <c r="T11" s="388"/>
      <c r="U11" s="104"/>
      <c r="V11" s="104" t="n">
        <v>0</v>
      </c>
      <c r="W11" s="104"/>
      <c r="X11" s="106"/>
      <c r="Y11" s="106"/>
      <c r="Z11" s="106"/>
      <c r="AA11" s="104"/>
      <c r="AB11" s="107"/>
      <c r="AC11" s="108"/>
      <c r="AD11" s="104"/>
      <c r="AE11" s="106"/>
      <c r="AF11" s="106"/>
      <c r="AG11" s="104"/>
      <c r="AH11" s="104"/>
      <c r="AI11" s="104"/>
      <c r="AJ11" s="109"/>
      <c r="AK11" s="110"/>
      <c r="AL11" s="111"/>
      <c r="AM11" s="110"/>
      <c r="AN11" s="110"/>
      <c r="AO11" s="110"/>
      <c r="AP11" s="234"/>
      <c r="AQ11" s="234"/>
      <c r="AR11" s="240"/>
      <c r="AS11" s="237"/>
    </row>
    <row r="12" customFormat="false" ht="12.95" hidden="false" customHeight="true" outlineLevel="0" collapsed="false">
      <c r="A12" s="8" t="n">
        <v>1</v>
      </c>
      <c r="B12" s="384" t="n">
        <v>6920.92</v>
      </c>
      <c r="C12" s="83" t="n">
        <v>367567</v>
      </c>
      <c r="D12" s="89" t="n">
        <f aca="false">C12-C10</f>
        <v>2214</v>
      </c>
      <c r="E12" s="83" t="n">
        <f aca="false">C12-152000</f>
        <v>215567</v>
      </c>
      <c r="F12" s="389" t="n">
        <f aca="false">D12/$D$2</f>
        <v>1116.20872195614</v>
      </c>
      <c r="G12" s="121" t="n">
        <v>2680</v>
      </c>
      <c r="H12" s="383" t="n">
        <v>26</v>
      </c>
      <c r="I12" s="121" t="n">
        <f aca="false">G12+H12</f>
        <v>2706</v>
      </c>
      <c r="J12" s="390" t="n">
        <f aca="false">IF(L12&gt;0,L12,0)</f>
        <v>0</v>
      </c>
      <c r="K12" s="121" t="n">
        <f aca="false">I12+J12</f>
        <v>2706</v>
      </c>
      <c r="L12" s="121" t="n">
        <f aca="false">F12-(I12-AG12)</f>
        <v>-27.7912780438619</v>
      </c>
      <c r="M12" s="123" t="n">
        <v>299</v>
      </c>
      <c r="N12" s="215" t="n">
        <f aca="false">1.8299*1.03</f>
        <v>1.884797</v>
      </c>
      <c r="O12" s="218" t="n">
        <f aca="false">(40+43)*1.05</f>
        <v>87.15</v>
      </c>
      <c r="P12" s="215" t="n">
        <v>0</v>
      </c>
      <c r="Q12" s="215" t="n">
        <f aca="false">2.69*1.02</f>
        <v>2.7438</v>
      </c>
      <c r="R12" s="215" t="n">
        <v>4.2</v>
      </c>
      <c r="S12" s="324" t="n">
        <v>3.2</v>
      </c>
      <c r="T12" s="381" t="n">
        <v>0</v>
      </c>
      <c r="U12" s="121" t="n">
        <v>153</v>
      </c>
      <c r="V12" s="121" t="n">
        <v>72</v>
      </c>
      <c r="W12" s="122" t="n">
        <f aca="false">M12-N12-O12-P12-Q12-R12-S12-T12+U12+V12-AR12</f>
        <v>424.821403</v>
      </c>
      <c r="X12" s="95" t="n">
        <v>0</v>
      </c>
      <c r="Y12" s="95" t="n">
        <f aca="false">Y9-(AP11/1.9835)</f>
        <v>1693.38808000505</v>
      </c>
      <c r="Z12" s="85"/>
      <c r="AA12" s="121" t="n">
        <v>227</v>
      </c>
      <c r="AB12" s="123" t="n">
        <v>1.7</v>
      </c>
      <c r="AC12" s="124" t="n">
        <v>1.3</v>
      </c>
      <c r="AD12" s="392" t="n">
        <v>811</v>
      </c>
      <c r="AE12" s="393" t="n">
        <f aca="false">AE10</f>
        <v>16031.2578774893</v>
      </c>
      <c r="AF12" s="394" t="n">
        <f aca="false">AD12</f>
        <v>811</v>
      </c>
      <c r="AG12" s="121" t="n">
        <f aca="false">N12+O12+P12+Q12+R12+S12+T12+W12+AA12+AD12</f>
        <v>1562</v>
      </c>
      <c r="AH12" s="121" t="n">
        <f aca="false">IF(L12&lt;0,L12*-1,0)</f>
        <v>27.7912780438619</v>
      </c>
      <c r="AI12" s="121" t="n">
        <f aca="false">AG12+AH12</f>
        <v>1589.79127804386</v>
      </c>
      <c r="AJ12" s="88" t="n">
        <v>0</v>
      </c>
      <c r="AK12" s="89" t="n">
        <v>84</v>
      </c>
      <c r="AL12" s="90" t="n">
        <v>45</v>
      </c>
      <c r="AM12" s="382" t="n">
        <f aca="false">AM10</f>
        <v>12798.13705</v>
      </c>
      <c r="AN12" s="382"/>
      <c r="AO12" s="382" t="n">
        <v>0</v>
      </c>
      <c r="AP12" s="215" t="n">
        <f aca="false">64*(X9*1.9835+Y12*1.9835+AO12*1.9835)/E12</f>
        <v>0.99720948210144</v>
      </c>
      <c r="AQ12" s="383"/>
      <c r="AR12" s="11"/>
    </row>
    <row r="13" customFormat="false" ht="12.95" hidden="false" customHeight="true" outlineLevel="0" collapsed="false">
      <c r="A13" s="8" t="n">
        <f aca="false">A12+1</f>
        <v>2</v>
      </c>
      <c r="B13" s="384" t="n">
        <v>6921.52</v>
      </c>
      <c r="C13" s="83" t="n">
        <v>370192</v>
      </c>
      <c r="D13" s="89" t="n">
        <f aca="false">C13-C12</f>
        <v>2625</v>
      </c>
      <c r="E13" s="83" t="n">
        <f aca="false">C13-152000</f>
        <v>218192</v>
      </c>
      <c r="F13" s="389" t="n">
        <f aca="false">D13/$D$2</f>
        <v>1323.41820015125</v>
      </c>
      <c r="G13" s="121" t="n">
        <v>3040</v>
      </c>
      <c r="H13" s="383" t="n">
        <v>26</v>
      </c>
      <c r="I13" s="121" t="n">
        <f aca="false">G13+H13</f>
        <v>3066</v>
      </c>
      <c r="J13" s="390" t="n">
        <f aca="false">IF(L13&gt;0,L13,0)</f>
        <v>0</v>
      </c>
      <c r="K13" s="121" t="n">
        <f aca="false">I13+J13</f>
        <v>3066</v>
      </c>
      <c r="L13" s="121" t="n">
        <f aca="false">F13-(I13-AG13)</f>
        <v>-28.5817998487523</v>
      </c>
      <c r="M13" s="123" t="n">
        <v>307</v>
      </c>
      <c r="N13" s="215" t="n">
        <f aca="false">1.8299*1.03</f>
        <v>1.884797</v>
      </c>
      <c r="O13" s="218" t="n">
        <f aca="false">(40+40)*1.05</f>
        <v>84</v>
      </c>
      <c r="P13" s="215" t="n">
        <v>0</v>
      </c>
      <c r="Q13" s="215" t="n">
        <f aca="false">2.69*1.02</f>
        <v>2.7438</v>
      </c>
      <c r="R13" s="215" t="n">
        <v>4.2</v>
      </c>
      <c r="S13" s="324" t="n">
        <v>3.14</v>
      </c>
      <c r="T13" s="381" t="n">
        <v>0</v>
      </c>
      <c r="U13" s="121" t="n">
        <v>266</v>
      </c>
      <c r="V13" s="121" t="n">
        <v>71</v>
      </c>
      <c r="W13" s="122" t="n">
        <f aca="false">M13-N13-O13-P13-Q13-R13-S13-T13+U13+V13-AR13</f>
        <v>548.031403</v>
      </c>
      <c r="X13" s="95" t="n">
        <v>0</v>
      </c>
      <c r="Y13" s="95" t="n">
        <f aca="false">Y12-(AP12/1.9835)</f>
        <v>1692.8853275563</v>
      </c>
      <c r="Z13" s="95"/>
      <c r="AA13" s="121" t="n">
        <v>257</v>
      </c>
      <c r="AB13" s="123" t="n">
        <v>1.7</v>
      </c>
      <c r="AC13" s="124" t="n">
        <v>1.3</v>
      </c>
      <c r="AD13" s="392" t="n">
        <v>813</v>
      </c>
      <c r="AE13" s="393" t="n">
        <f aca="false">AE12</f>
        <v>16031.2578774893</v>
      </c>
      <c r="AF13" s="394" t="n">
        <f aca="false">AD13</f>
        <v>813</v>
      </c>
      <c r="AG13" s="121" t="n">
        <f aca="false">N13+O13+P13+Q13+R13+S13+T13+W13+AA13+AD13</f>
        <v>1714</v>
      </c>
      <c r="AH13" s="121" t="n">
        <f aca="false">IF(L13&lt;0,L13*-1,0)</f>
        <v>28.5817998487523</v>
      </c>
      <c r="AI13" s="121" t="n">
        <f aca="false">AG13+AH13</f>
        <v>1742.58179984875</v>
      </c>
      <c r="AJ13" s="88" t="n">
        <v>0</v>
      </c>
      <c r="AK13" s="89" t="n">
        <v>78</v>
      </c>
      <c r="AL13" s="90" t="n">
        <v>48</v>
      </c>
      <c r="AM13" s="382" t="n">
        <f aca="false">AM12</f>
        <v>12798.13705</v>
      </c>
      <c r="AN13" s="382"/>
      <c r="AO13" s="382" t="n">
        <v>0</v>
      </c>
      <c r="AP13" s="215" t="n">
        <f aca="false">64*(X12*1.9835+Y13*1.9835+AO13*1.9835)/E13</f>
        <v>0.98491986425399</v>
      </c>
      <c r="AQ13" s="383"/>
      <c r="AR13" s="11"/>
    </row>
    <row r="14" customFormat="false" ht="12.95" hidden="false" customHeight="true" outlineLevel="0" collapsed="false">
      <c r="A14" s="8" t="n">
        <f aca="false">A13+1</f>
        <v>3</v>
      </c>
      <c r="B14" s="384" t="n">
        <v>6922.09</v>
      </c>
      <c r="C14" s="83" t="n">
        <v>372691</v>
      </c>
      <c r="D14" s="89" t="n">
        <f aca="false">C14-C13</f>
        <v>2499</v>
      </c>
      <c r="E14" s="83" t="n">
        <f aca="false">C14-152000</f>
        <v>220691</v>
      </c>
      <c r="F14" s="389" t="n">
        <f aca="false">D14/$D$2</f>
        <v>1259.89412654399</v>
      </c>
      <c r="G14" s="121" t="n">
        <v>3090</v>
      </c>
      <c r="H14" s="383" t="n">
        <v>19</v>
      </c>
      <c r="I14" s="121" t="n">
        <f aca="false">G14+H14</f>
        <v>3109</v>
      </c>
      <c r="J14" s="390" t="n">
        <f aca="false">IF(L14&gt;0,L14,0)</f>
        <v>143.694126543988</v>
      </c>
      <c r="K14" s="121" t="n">
        <f aca="false">I14+J14</f>
        <v>3252.69412654399</v>
      </c>
      <c r="L14" s="121" t="n">
        <f aca="false">F14-(I14-AG14)</f>
        <v>143.694126543988</v>
      </c>
      <c r="M14" s="123" t="n">
        <v>314</v>
      </c>
      <c r="N14" s="215" t="n">
        <f aca="false">1.8299*1.03</f>
        <v>1.884797</v>
      </c>
      <c r="O14" s="396" t="n">
        <f aca="false">(40+38)*1.05</f>
        <v>81.9</v>
      </c>
      <c r="P14" s="324" t="n">
        <v>0</v>
      </c>
      <c r="Q14" s="215" t="n">
        <f aca="false">2.69*1.02</f>
        <v>2.7438</v>
      </c>
      <c r="R14" s="215" t="n">
        <v>4.2</v>
      </c>
      <c r="S14" s="324" t="n">
        <v>3.06</v>
      </c>
      <c r="T14" s="381" t="n">
        <v>0</v>
      </c>
      <c r="U14" s="121" t="n">
        <v>460</v>
      </c>
      <c r="V14" s="121" t="n">
        <v>73</v>
      </c>
      <c r="W14" s="122" t="n">
        <f aca="false">M14-N14-O14-P14-Q14-R14-S14-T14+U14+V14-AR14+41.8</f>
        <v>795.011403</v>
      </c>
      <c r="X14" s="95" t="n">
        <v>0</v>
      </c>
      <c r="Y14" s="95" t="n">
        <f aca="false">Y13-(AP13/1.9835)</f>
        <v>1692.38877103285</v>
      </c>
      <c r="Z14" s="95"/>
      <c r="AA14" s="121" t="n">
        <v>289</v>
      </c>
      <c r="AB14" s="123" t="n">
        <v>1.7</v>
      </c>
      <c r="AC14" s="124" t="n">
        <v>1.3</v>
      </c>
      <c r="AD14" s="392" t="n">
        <v>815</v>
      </c>
      <c r="AE14" s="393" t="n">
        <f aca="false">AE13</f>
        <v>16031.2578774893</v>
      </c>
      <c r="AF14" s="394" t="n">
        <f aca="false">AD14</f>
        <v>815</v>
      </c>
      <c r="AG14" s="121" t="n">
        <f aca="false">N14+O14+P14+Q14+R14+S14+T14+W14+AA14+AD14</f>
        <v>1992.8</v>
      </c>
      <c r="AH14" s="121" t="n">
        <f aca="false">IF(L14&lt;0,L14*-1,0)</f>
        <v>0</v>
      </c>
      <c r="AI14" s="121" t="n">
        <f aca="false">AG14+AH14</f>
        <v>1992.8</v>
      </c>
      <c r="AJ14" s="88" t="n">
        <v>0</v>
      </c>
      <c r="AK14" s="89" t="n">
        <v>76</v>
      </c>
      <c r="AL14" s="90" t="n">
        <v>45</v>
      </c>
      <c r="AM14" s="382" t="n">
        <f aca="false">AM13</f>
        <v>12798.13705</v>
      </c>
      <c r="AN14" s="382"/>
      <c r="AO14" s="382" t="n">
        <v>0</v>
      </c>
      <c r="AP14" s="215" t="n">
        <f aca="false">64*(X13*1.9835+Y14*1.9835+AO14*1.9835)/E14</f>
        <v>0.973481474776925</v>
      </c>
      <c r="AQ14" s="383"/>
      <c r="AR14" s="11"/>
      <c r="AS14" s="4" t="n">
        <v>41.8</v>
      </c>
    </row>
    <row r="15" customFormat="false" ht="12.95" hidden="false" customHeight="true" outlineLevel="0" collapsed="false">
      <c r="A15" s="8" t="n">
        <f aca="false">A14+1</f>
        <v>4</v>
      </c>
      <c r="B15" s="384" t="n">
        <v>6922.64</v>
      </c>
      <c r="C15" s="83" t="n">
        <v>375119</v>
      </c>
      <c r="D15" s="89" t="n">
        <f aca="false">C15-C14</f>
        <v>2428</v>
      </c>
      <c r="E15" s="83" t="n">
        <f aca="false">C15-152000</f>
        <v>223119</v>
      </c>
      <c r="F15" s="389" t="n">
        <f aca="false">D15/$D$2</f>
        <v>1224.09881522561</v>
      </c>
      <c r="G15" s="121" t="n">
        <v>2850</v>
      </c>
      <c r="H15" s="383" t="n">
        <v>15</v>
      </c>
      <c r="I15" s="121" t="n">
        <f aca="false">G15+H15</f>
        <v>2865</v>
      </c>
      <c r="J15" s="390" t="n">
        <f aca="false">IF(L15&gt;0,L15,0)</f>
        <v>23.0988152256114</v>
      </c>
      <c r="K15" s="121" t="n">
        <f aca="false">I15+J15</f>
        <v>2888.09881522561</v>
      </c>
      <c r="L15" s="121" t="n">
        <f aca="false">F15-(I15-AG15)</f>
        <v>23.0988152256114</v>
      </c>
      <c r="M15" s="123" t="n">
        <v>341</v>
      </c>
      <c r="N15" s="215" t="n">
        <f aca="false">1.8299*1.03</f>
        <v>1.884797</v>
      </c>
      <c r="O15" s="396" t="n">
        <f aca="false">(44+44)*1.05</f>
        <v>92.4</v>
      </c>
      <c r="P15" s="324" t="n">
        <v>0</v>
      </c>
      <c r="Q15" s="215" t="n">
        <f aca="false">2.69*1.02</f>
        <v>2.7438</v>
      </c>
      <c r="R15" s="215" t="n">
        <v>4.2</v>
      </c>
      <c r="S15" s="324" t="n">
        <v>2.9</v>
      </c>
      <c r="T15" s="381" t="n">
        <v>0</v>
      </c>
      <c r="U15" s="121" t="n">
        <v>174</v>
      </c>
      <c r="V15" s="121" t="n">
        <v>74</v>
      </c>
      <c r="W15" s="122" t="n">
        <f aca="false">M15-N15-O15-P15-Q15-R15-S15-T15+U15+V15-AR15</f>
        <v>484.871403</v>
      </c>
      <c r="X15" s="95" t="n">
        <v>0</v>
      </c>
      <c r="Y15" s="95" t="n">
        <f aca="false">Y14-(AP14/1.9835)</f>
        <v>1691.89798128</v>
      </c>
      <c r="Z15" s="95"/>
      <c r="AA15" s="121" t="n">
        <v>273</v>
      </c>
      <c r="AB15" s="123" t="n">
        <v>1.7</v>
      </c>
      <c r="AC15" s="124" t="n">
        <v>1.3</v>
      </c>
      <c r="AD15" s="392" t="n">
        <v>802</v>
      </c>
      <c r="AE15" s="393" t="n">
        <f aca="false">AE14</f>
        <v>16031.2578774893</v>
      </c>
      <c r="AF15" s="394" t="n">
        <f aca="false">AD15</f>
        <v>802</v>
      </c>
      <c r="AG15" s="121" t="n">
        <f aca="false">N15+O15+P15+Q15+R15+S15+T15+W15+AA15+AD15</f>
        <v>1664</v>
      </c>
      <c r="AH15" s="121" t="n">
        <f aca="false">IF(L15&lt;0,L15*-1,0)</f>
        <v>0</v>
      </c>
      <c r="AI15" s="121" t="n">
        <f aca="false">AG15+AH15</f>
        <v>1664</v>
      </c>
      <c r="AJ15" s="88" t="n">
        <v>0.08</v>
      </c>
      <c r="AK15" s="89" t="n">
        <v>69</v>
      </c>
      <c r="AL15" s="90" t="n">
        <v>44</v>
      </c>
      <c r="AM15" s="382" t="n">
        <f aca="false">AM14</f>
        <v>12798.13705</v>
      </c>
      <c r="AN15" s="382"/>
      <c r="AO15" s="382" t="n">
        <v>0</v>
      </c>
      <c r="AP15" s="215" t="n">
        <f aca="false">64*(X14*1.9835+Y15*1.9835+AO15*1.9835)/E15</f>
        <v>0.962608730478393</v>
      </c>
      <c r="AQ15" s="383"/>
      <c r="AR15" s="11"/>
    </row>
    <row r="16" customFormat="false" ht="12.95" hidden="false" customHeight="true" outlineLevel="0" collapsed="false">
      <c r="A16" s="8" t="n">
        <f aca="false">A15+1</f>
        <v>5</v>
      </c>
      <c r="B16" s="384" t="n">
        <v>6923.17</v>
      </c>
      <c r="C16" s="83" t="n">
        <v>377465</v>
      </c>
      <c r="D16" s="89" t="n">
        <f aca="false">C16-C15</f>
        <v>2346</v>
      </c>
      <c r="E16" s="83" t="n">
        <f aca="false">C16-152000</f>
        <v>225465</v>
      </c>
      <c r="F16" s="389" t="n">
        <f aca="false">D16/$D$2</f>
        <v>1182.75775144946</v>
      </c>
      <c r="G16" s="121" t="n">
        <v>2170</v>
      </c>
      <c r="H16" s="383" t="n">
        <v>16</v>
      </c>
      <c r="I16" s="121" t="n">
        <f aca="false">G16+H16</f>
        <v>2186</v>
      </c>
      <c r="J16" s="390" t="n">
        <f aca="false">IF(L16&gt;0,L16,0)</f>
        <v>327.757751449458</v>
      </c>
      <c r="K16" s="121" t="n">
        <f aca="false">I16+J16</f>
        <v>2513.75775144946</v>
      </c>
      <c r="L16" s="121" t="n">
        <f aca="false">F16-(I16-AG16)</f>
        <v>327.757751449458</v>
      </c>
      <c r="M16" s="123" t="n">
        <v>303</v>
      </c>
      <c r="N16" s="215" t="n">
        <f aca="false">1.8299*1.03</f>
        <v>1.884797</v>
      </c>
      <c r="O16" s="396" t="n">
        <f aca="false">(42+42)*1.05</f>
        <v>88.2</v>
      </c>
      <c r="P16" s="324" t="n">
        <v>0</v>
      </c>
      <c r="Q16" s="215" t="n">
        <f aca="false">2.69*1.02</f>
        <v>2.7438</v>
      </c>
      <c r="R16" s="215" t="n">
        <v>4.2</v>
      </c>
      <c r="S16" s="324" t="n">
        <v>1.51</v>
      </c>
      <c r="T16" s="381" t="n">
        <v>0</v>
      </c>
      <c r="U16" s="121" t="n">
        <v>87</v>
      </c>
      <c r="V16" s="121" t="n">
        <v>75</v>
      </c>
      <c r="W16" s="122" t="n">
        <f aca="false">M16-N16-O16-P16-Q16-R16-S16-T16+U16+V16-AR16</f>
        <v>366.461403</v>
      </c>
      <c r="X16" s="95" t="n">
        <v>0</v>
      </c>
      <c r="Y16" s="95" t="n">
        <f aca="false">Y15-(AP15/1.9835)</f>
        <v>1691.41267312246</v>
      </c>
      <c r="Z16" s="95"/>
      <c r="AA16" s="121" t="n">
        <v>223</v>
      </c>
      <c r="AB16" s="123" t="n">
        <v>1.7</v>
      </c>
      <c r="AC16" s="124" t="n">
        <v>1.3</v>
      </c>
      <c r="AD16" s="392" t="n">
        <v>643</v>
      </c>
      <c r="AE16" s="393" t="n">
        <f aca="false">AE15</f>
        <v>16031.2578774893</v>
      </c>
      <c r="AF16" s="394" t="n">
        <f aca="false">AD16</f>
        <v>643</v>
      </c>
      <c r="AG16" s="121" t="n">
        <f aca="false">N16+O16+P16+Q16+R16+S16+T16+W16+AA16+AD16</f>
        <v>1331</v>
      </c>
      <c r="AH16" s="121" t="n">
        <f aca="false">IF(L16&lt;0,L16*-1,0)</f>
        <v>0</v>
      </c>
      <c r="AI16" s="121" t="n">
        <f aca="false">AG16+AH16</f>
        <v>1331</v>
      </c>
      <c r="AJ16" s="88" t="n">
        <v>0.19</v>
      </c>
      <c r="AK16" s="89" t="n">
        <v>58</v>
      </c>
      <c r="AL16" s="90" t="n">
        <v>37</v>
      </c>
      <c r="AM16" s="382" t="n">
        <f aca="false">AM15</f>
        <v>12798.13705</v>
      </c>
      <c r="AN16" s="382"/>
      <c r="AO16" s="382" t="n">
        <v>0</v>
      </c>
      <c r="AP16" s="215" t="n">
        <f aca="false">64*(X15*1.9835+Y16*1.9835+AO16*1.9835)/E16</f>
        <v>0.952319386054855</v>
      </c>
      <c r="AQ16" s="383"/>
      <c r="AR16" s="11"/>
    </row>
    <row r="17" customFormat="false" ht="12.95" hidden="false" customHeight="true" outlineLevel="0" collapsed="false">
      <c r="A17" s="8" t="n">
        <f aca="false">A16+1</f>
        <v>6</v>
      </c>
      <c r="B17" s="384" t="n">
        <v>6923.32</v>
      </c>
      <c r="C17" s="83" t="n">
        <v>378133</v>
      </c>
      <c r="D17" s="89" t="n">
        <f aca="false">C17-C16</f>
        <v>668</v>
      </c>
      <c r="E17" s="83" t="n">
        <f aca="false">C17-152000</f>
        <v>226133</v>
      </c>
      <c r="F17" s="389" t="n">
        <f aca="false">D17/$D$2</f>
        <v>336.778421981346</v>
      </c>
      <c r="G17" s="121" t="n">
        <v>1720</v>
      </c>
      <c r="H17" s="383" t="n">
        <v>16</v>
      </c>
      <c r="I17" s="121" t="n">
        <f aca="false">G17+H17</f>
        <v>1736</v>
      </c>
      <c r="J17" s="390" t="n">
        <f aca="false">IF(L17&gt;0,L17,0)</f>
        <v>0</v>
      </c>
      <c r="K17" s="121" t="n">
        <f aca="false">I17+J17</f>
        <v>1736</v>
      </c>
      <c r="L17" s="121" t="n">
        <f aca="false">F17-(I17-AG17)</f>
        <v>-10.2215780186539</v>
      </c>
      <c r="M17" s="123" t="n">
        <v>302</v>
      </c>
      <c r="N17" s="215" t="n">
        <f aca="false">1.8299*1.03</f>
        <v>1.884797</v>
      </c>
      <c r="O17" s="396" t="n">
        <f aca="false">(43+43)*1.05</f>
        <v>90.3</v>
      </c>
      <c r="P17" s="324" t="n">
        <v>0</v>
      </c>
      <c r="Q17" s="215" t="n">
        <f aca="false">2.69*1.02</f>
        <v>2.7438</v>
      </c>
      <c r="R17" s="215" t="n">
        <v>4.2</v>
      </c>
      <c r="S17" s="324" t="n">
        <v>2.4</v>
      </c>
      <c r="T17" s="381" t="n">
        <v>0</v>
      </c>
      <c r="U17" s="121" t="n">
        <v>87</v>
      </c>
      <c r="V17" s="121" t="n">
        <v>74</v>
      </c>
      <c r="W17" s="122" t="n">
        <f aca="false">M17-N17-O17-P17-Q17-R17-S17-T17+U17+V17-AR17</f>
        <v>361.471403</v>
      </c>
      <c r="X17" s="95" t="n">
        <v>0</v>
      </c>
      <c r="Y17" s="95" t="n">
        <f aca="false">Y16-(AP16/1.9835)</f>
        <v>1690.93255243375</v>
      </c>
      <c r="Z17" s="95"/>
      <c r="AA17" s="121" t="n">
        <v>260</v>
      </c>
      <c r="AB17" s="123" t="n">
        <v>1.7</v>
      </c>
      <c r="AC17" s="124" t="n">
        <v>1.3</v>
      </c>
      <c r="AD17" s="392" t="n">
        <v>666</v>
      </c>
      <c r="AE17" s="393" t="n">
        <f aca="false">AE16</f>
        <v>16031.2578774893</v>
      </c>
      <c r="AF17" s="394" t="n">
        <f aca="false">AD17</f>
        <v>666</v>
      </c>
      <c r="AG17" s="121" t="n">
        <f aca="false">N17+O17+P17+Q17+R17+S17+T17+W17+AA17+AD17</f>
        <v>1389</v>
      </c>
      <c r="AH17" s="121" t="n">
        <f aca="false">IF(L17&lt;0,L17*-1,0)</f>
        <v>10.2215780186539</v>
      </c>
      <c r="AI17" s="121" t="n">
        <f aca="false">AG17+AH17</f>
        <v>1399.22157801865</v>
      </c>
      <c r="AJ17" s="88" t="n">
        <v>0</v>
      </c>
      <c r="AK17" s="89" t="n">
        <v>78</v>
      </c>
      <c r="AL17" s="90" t="n">
        <v>39</v>
      </c>
      <c r="AM17" s="382" t="n">
        <f aca="false">AM16</f>
        <v>12798.13705</v>
      </c>
      <c r="AN17" s="382"/>
      <c r="AO17" s="382" t="n">
        <v>0</v>
      </c>
      <c r="AP17" s="215" t="n">
        <f aca="false">64*(X16*1.9835+Y17*1.9835+AO17*1.9835)/E17</f>
        <v>0.949236696705702</v>
      </c>
      <c r="AQ17" s="383"/>
      <c r="AR17" s="11"/>
    </row>
    <row r="18" customFormat="false" ht="12.95" hidden="false" customHeight="true" outlineLevel="0" collapsed="false">
      <c r="A18" s="8" t="n">
        <f aca="false">A17+1</f>
        <v>7</v>
      </c>
      <c r="B18" s="384" t="n">
        <v>6923.48</v>
      </c>
      <c r="C18" s="83" t="n">
        <v>378845</v>
      </c>
      <c r="D18" s="89" t="n">
        <f aca="false">C18-C17</f>
        <v>712</v>
      </c>
      <c r="E18" s="83" t="n">
        <f aca="false">C18-152000</f>
        <v>226845</v>
      </c>
      <c r="F18" s="389" t="n">
        <f aca="false">D18/$D$2</f>
        <v>358.961431812453</v>
      </c>
      <c r="G18" s="121" t="n">
        <v>1770</v>
      </c>
      <c r="H18" s="383" t="n">
        <v>12</v>
      </c>
      <c r="I18" s="121" t="n">
        <f aca="false">G18+H18</f>
        <v>1782</v>
      </c>
      <c r="J18" s="390" t="n">
        <f aca="false">IF(L18&gt;0,L18,0)</f>
        <v>100.961431812453</v>
      </c>
      <c r="K18" s="121" t="n">
        <f aca="false">I18+J18</f>
        <v>1882.96143181245</v>
      </c>
      <c r="L18" s="121" t="n">
        <f aca="false">F18-(I18-AG18)</f>
        <v>100.961431812453</v>
      </c>
      <c r="M18" s="123" t="n">
        <v>310</v>
      </c>
      <c r="N18" s="215" t="n">
        <f aca="false">1.8299*1.03</f>
        <v>1.884797</v>
      </c>
      <c r="O18" s="396" t="n">
        <f aca="false">(41+41)*1.05</f>
        <v>86.1</v>
      </c>
      <c r="P18" s="324" t="n">
        <v>0</v>
      </c>
      <c r="Q18" s="215" t="n">
        <f aca="false">2.69*1.02</f>
        <v>2.7438</v>
      </c>
      <c r="R18" s="215" t="n">
        <v>4.2</v>
      </c>
      <c r="S18" s="324" t="n">
        <v>2.38</v>
      </c>
      <c r="T18" s="381" t="n">
        <v>0</v>
      </c>
      <c r="U18" s="121" t="n">
        <v>87</v>
      </c>
      <c r="V18" s="121" t="n">
        <v>74</v>
      </c>
      <c r="W18" s="122" t="n">
        <f aca="false">M18-N18-O18-P18-Q18-R18-S18-T18+U18+V18-AR18</f>
        <v>373.691403</v>
      </c>
      <c r="X18" s="95" t="n">
        <v>0</v>
      </c>
      <c r="Y18" s="95" t="n">
        <f aca="false">Y17-(AP17/1.9835)</f>
        <v>1690.45398591159</v>
      </c>
      <c r="Z18" s="95"/>
      <c r="AA18" s="121" t="n">
        <v>265</v>
      </c>
      <c r="AB18" s="123" t="n">
        <v>1.7</v>
      </c>
      <c r="AC18" s="124" t="n">
        <v>1.3</v>
      </c>
      <c r="AD18" s="392" t="n">
        <v>788</v>
      </c>
      <c r="AE18" s="393" t="n">
        <f aca="false">AE17</f>
        <v>16031.2578774893</v>
      </c>
      <c r="AF18" s="394" t="n">
        <f aca="false">AD18</f>
        <v>788</v>
      </c>
      <c r="AG18" s="121" t="n">
        <f aca="false">N18+O18+P18+Q18+R18+S18+T18+W18+AA18+AD18</f>
        <v>1524</v>
      </c>
      <c r="AH18" s="121" t="n">
        <f aca="false">IF(L18&lt;0,L18*-1,0)</f>
        <v>0</v>
      </c>
      <c r="AI18" s="121" t="n">
        <f aca="false">AG18+AH18</f>
        <v>1524</v>
      </c>
      <c r="AJ18" s="88" t="n">
        <v>0</v>
      </c>
      <c r="AK18" s="89" t="n">
        <v>81</v>
      </c>
      <c r="AL18" s="90" t="n">
        <v>39</v>
      </c>
      <c r="AM18" s="382" t="n">
        <f aca="false">AM17</f>
        <v>12798.13705</v>
      </c>
      <c r="AN18" s="382"/>
      <c r="AO18" s="382" t="n">
        <v>0</v>
      </c>
      <c r="AP18" s="215" t="n">
        <f aca="false">64*(X17*1.9835+Y18*1.9835+AO18*1.9835)/E18</f>
        <v>0.945989511726338</v>
      </c>
      <c r="AQ18" s="383"/>
      <c r="AR18" s="11"/>
    </row>
    <row r="19" customFormat="false" ht="12.95" hidden="false" customHeight="true" outlineLevel="0" collapsed="false">
      <c r="A19" s="8" t="n">
        <f aca="false">A18+1</f>
        <v>8</v>
      </c>
      <c r="B19" s="384" t="n">
        <v>6923.84</v>
      </c>
      <c r="C19" s="83" t="n">
        <v>380448</v>
      </c>
      <c r="D19" s="89" t="n">
        <f aca="false">C19-C18</f>
        <v>1603</v>
      </c>
      <c r="E19" s="83" t="n">
        <f aca="false">C19-152000</f>
        <v>228448</v>
      </c>
      <c r="F19" s="389" t="n">
        <f aca="false">D19/$D$2</f>
        <v>808.167380892362</v>
      </c>
      <c r="G19" s="121" t="n">
        <v>2160</v>
      </c>
      <c r="H19" s="383" t="n">
        <v>6.6</v>
      </c>
      <c r="I19" s="121" t="n">
        <f aca="false">G19+H19</f>
        <v>2166.6</v>
      </c>
      <c r="J19" s="390" t="n">
        <f aca="false">IF(L19&gt;0,L19,0)</f>
        <v>102.567380892362</v>
      </c>
      <c r="K19" s="121" t="n">
        <f aca="false">I19+J19</f>
        <v>2269.16738089236</v>
      </c>
      <c r="L19" s="121" t="n">
        <f aca="false">F19-(I19-AG19)</f>
        <v>102.567380892362</v>
      </c>
      <c r="M19" s="123" t="n">
        <v>299</v>
      </c>
      <c r="N19" s="215" t="n">
        <f aca="false">1.8299*1.03</f>
        <v>1.884797</v>
      </c>
      <c r="O19" s="396" t="n">
        <f aca="false">(40+40)*1.05</f>
        <v>84</v>
      </c>
      <c r="P19" s="324" t="n">
        <v>0</v>
      </c>
      <c r="Q19" s="215" t="n">
        <f aca="false">2.69*1.02</f>
        <v>2.7438</v>
      </c>
      <c r="R19" s="215" t="n">
        <v>4.2</v>
      </c>
      <c r="S19" s="324" t="n">
        <v>2.99</v>
      </c>
      <c r="T19" s="381" t="n">
        <v>0</v>
      </c>
      <c r="U19" s="121" t="n">
        <v>88</v>
      </c>
      <c r="V19" s="121" t="n">
        <v>74</v>
      </c>
      <c r="W19" s="122" t="n">
        <f aca="false">M19-N19-O19-P19-Q19-R19-S19-T19+U19+V19-AR19</f>
        <v>365.181403</v>
      </c>
      <c r="X19" s="95" t="n">
        <v>0</v>
      </c>
      <c r="Y19" s="95" t="n">
        <f aca="false">Y18-(AP18/1.9835)</f>
        <v>1689.97705648799</v>
      </c>
      <c r="Z19" s="95"/>
      <c r="AA19" s="121" t="n">
        <v>215</v>
      </c>
      <c r="AB19" s="123" t="n">
        <v>1.7</v>
      </c>
      <c r="AC19" s="124" t="n">
        <v>1.3</v>
      </c>
      <c r="AD19" s="392" t="n">
        <v>785</v>
      </c>
      <c r="AE19" s="393" t="n">
        <f aca="false">AE18</f>
        <v>16031.2578774893</v>
      </c>
      <c r="AF19" s="394" t="n">
        <f aca="false">AD19</f>
        <v>785</v>
      </c>
      <c r="AG19" s="121" t="n">
        <f aca="false">N19+O19+P19+Q19+R19+S19+T19+W19+AA19+AD19</f>
        <v>1461</v>
      </c>
      <c r="AH19" s="121" t="n">
        <f aca="false">IF(L19&lt;0,L19*-1,0)</f>
        <v>0</v>
      </c>
      <c r="AI19" s="121" t="n">
        <f aca="false">AG19+AH19</f>
        <v>1461</v>
      </c>
      <c r="AJ19" s="88" t="n">
        <v>0</v>
      </c>
      <c r="AK19" s="89" t="n">
        <v>72</v>
      </c>
      <c r="AL19" s="90" t="n">
        <v>44</v>
      </c>
      <c r="AM19" s="382" t="n">
        <f aca="false">AM18</f>
        <v>12798.13705</v>
      </c>
      <c r="AN19" s="382"/>
      <c r="AO19" s="382" t="n">
        <v>0</v>
      </c>
      <c r="AP19" s="215" t="n">
        <f aca="false">64*(X18*1.9835+Y19*1.9835+AO19*1.9835)/E19</f>
        <v>0.939086564377061</v>
      </c>
      <c r="AQ19" s="383"/>
      <c r="AR19" s="11"/>
    </row>
    <row r="20" customFormat="false" ht="12.95" hidden="false" customHeight="true" outlineLevel="0" collapsed="false">
      <c r="A20" s="8" t="n">
        <f aca="false">A19+1</f>
        <v>9</v>
      </c>
      <c r="B20" s="384" t="n">
        <v>6924.05</v>
      </c>
      <c r="C20" s="83" t="n">
        <v>381384</v>
      </c>
      <c r="D20" s="89" t="n">
        <f aca="false">C20-C19</f>
        <v>936</v>
      </c>
      <c r="E20" s="83" t="n">
        <f aca="false">C20-152000</f>
        <v>229384</v>
      </c>
      <c r="F20" s="389" t="n">
        <f aca="false">D20/$D$2</f>
        <v>471.893118225359</v>
      </c>
      <c r="G20" s="121" t="n">
        <v>2030</v>
      </c>
      <c r="H20" s="383" t="n">
        <v>5.7</v>
      </c>
      <c r="I20" s="121" t="n">
        <f aca="false">G20+H20</f>
        <v>2035.7</v>
      </c>
      <c r="J20" s="390" t="n">
        <f aca="false">IF(L20&gt;0,L20,0)</f>
        <v>47.1931182253592</v>
      </c>
      <c r="K20" s="121" t="n">
        <f aca="false">I20+J20</f>
        <v>2082.89311822536</v>
      </c>
      <c r="L20" s="121" t="n">
        <f aca="false">F20-(I20-AG20)</f>
        <v>47.1931182253592</v>
      </c>
      <c r="M20" s="123" t="n">
        <v>284</v>
      </c>
      <c r="N20" s="215" t="n">
        <f aca="false">1.8299*1.03</f>
        <v>1.884797</v>
      </c>
      <c r="O20" s="396" t="n">
        <f aca="false">(34+34)*1.05</f>
        <v>71.4</v>
      </c>
      <c r="P20" s="324" t="n">
        <v>0</v>
      </c>
      <c r="Q20" s="215" t="n">
        <f aca="false">2.69*1.02</f>
        <v>2.7438</v>
      </c>
      <c r="R20" s="215" t="n">
        <v>4.2</v>
      </c>
      <c r="S20" s="324" t="n">
        <v>3.12</v>
      </c>
      <c r="T20" s="381" t="n">
        <v>0</v>
      </c>
      <c r="U20" s="121" t="n">
        <v>165</v>
      </c>
      <c r="V20" s="121" t="n">
        <v>73</v>
      </c>
      <c r="W20" s="122" t="n">
        <f aca="false">M20-N20-O20-P20-Q20-R20-S20-T20+U20+V20-AR20</f>
        <v>438.651403</v>
      </c>
      <c r="X20" s="95" t="n">
        <v>0</v>
      </c>
      <c r="Y20" s="95" t="n">
        <f aca="false">Y19-(AP19/1.9835)</f>
        <v>1689.50360724958</v>
      </c>
      <c r="Z20" s="95"/>
      <c r="AA20" s="121" t="n">
        <v>230</v>
      </c>
      <c r="AB20" s="123" t="n">
        <v>1.7</v>
      </c>
      <c r="AC20" s="124" t="n">
        <v>1.3</v>
      </c>
      <c r="AD20" s="392" t="n">
        <v>859</v>
      </c>
      <c r="AE20" s="393" t="n">
        <f aca="false">AE19</f>
        <v>16031.2578774893</v>
      </c>
      <c r="AF20" s="394" t="n">
        <f aca="false">AD20</f>
        <v>859</v>
      </c>
      <c r="AG20" s="121" t="n">
        <f aca="false">N20+O20+P20+Q20+R20+S20+T20+W20+AA20+AD20</f>
        <v>1611</v>
      </c>
      <c r="AH20" s="121" t="n">
        <f aca="false">IF(L20&lt;0,L20*-1,0)</f>
        <v>0</v>
      </c>
      <c r="AI20" s="121" t="n">
        <f aca="false">AG20+AH20</f>
        <v>1611</v>
      </c>
      <c r="AJ20" s="88" t="n">
        <v>0</v>
      </c>
      <c r="AK20" s="89" t="n">
        <v>72</v>
      </c>
      <c r="AL20" s="90" t="n">
        <v>32</v>
      </c>
      <c r="AM20" s="382" t="n">
        <f aca="false">AM19</f>
        <v>12798.13705</v>
      </c>
      <c r="AN20" s="382"/>
      <c r="AO20" s="382" t="n">
        <v>0</v>
      </c>
      <c r="AP20" s="215" t="n">
        <f aca="false">64*(X19*1.9835+Y20*1.9835+AO20*1.9835)/E20</f>
        <v>0.934992614649194</v>
      </c>
      <c r="AQ20" s="383"/>
      <c r="AR20" s="11"/>
    </row>
    <row r="21" customFormat="false" ht="12.95" hidden="false" customHeight="true" outlineLevel="0" collapsed="false">
      <c r="A21" s="8" t="n">
        <f aca="false">A20+1</f>
        <v>10</v>
      </c>
      <c r="B21" s="384" t="n">
        <v>6924</v>
      </c>
      <c r="C21" s="83" t="n">
        <v>381160</v>
      </c>
      <c r="D21" s="89" t="n">
        <f aca="false">C21-C20</f>
        <v>-224</v>
      </c>
      <c r="E21" s="83" t="n">
        <f aca="false">C21-152000</f>
        <v>229160</v>
      </c>
      <c r="F21" s="389" t="n">
        <f aca="false">D21/$D$2</f>
        <v>-112.931686412906</v>
      </c>
      <c r="G21" s="121" t="n">
        <v>1890</v>
      </c>
      <c r="H21" s="383" t="n">
        <v>4.7</v>
      </c>
      <c r="I21" s="121" t="n">
        <f aca="false">G21+H21</f>
        <v>1894.7</v>
      </c>
      <c r="J21" s="390" t="n">
        <f aca="false">IF(L21&gt;0,L21,0)</f>
        <v>0</v>
      </c>
      <c r="K21" s="121" t="n">
        <f aca="false">I21+J21</f>
        <v>1894.7</v>
      </c>
      <c r="L21" s="121" t="n">
        <f aca="false">F21-(I21-AG21)</f>
        <v>-31.6316864129065</v>
      </c>
      <c r="M21" s="123" t="n">
        <v>308</v>
      </c>
      <c r="N21" s="215" t="n">
        <f aca="false">1.8299*1.03</f>
        <v>1.884797</v>
      </c>
      <c r="O21" s="396" t="n">
        <f aca="false">(38+41)*1.05</f>
        <v>82.95</v>
      </c>
      <c r="P21" s="324" t="n">
        <v>0</v>
      </c>
      <c r="Q21" s="215" t="n">
        <f aca="false">2.69*1.02</f>
        <v>2.7438</v>
      </c>
      <c r="R21" s="215" t="n">
        <v>4.2</v>
      </c>
      <c r="S21" s="324" t="n">
        <v>2.8</v>
      </c>
      <c r="T21" s="381" t="n">
        <v>0</v>
      </c>
      <c r="U21" s="121" t="n">
        <v>240</v>
      </c>
      <c r="V21" s="121" t="n">
        <v>74</v>
      </c>
      <c r="W21" s="122" t="n">
        <f aca="false">M21-N21-O21-P21-Q21-R21-S21-T21+U21+V21-AR21</f>
        <v>527.421403</v>
      </c>
      <c r="X21" s="95" t="n">
        <v>0</v>
      </c>
      <c r="Y21" s="95" t="n">
        <f aca="false">Y20-(AP20/1.9835)</f>
        <v>1689.03222201406</v>
      </c>
      <c r="Z21" s="95"/>
      <c r="AA21" s="121" t="n">
        <v>264</v>
      </c>
      <c r="AB21" s="123" t="n">
        <v>1.7</v>
      </c>
      <c r="AC21" s="124" t="n">
        <v>1.3</v>
      </c>
      <c r="AD21" s="392" t="n">
        <v>1090</v>
      </c>
      <c r="AE21" s="393" t="n">
        <f aca="false">AE20</f>
        <v>16031.2578774893</v>
      </c>
      <c r="AF21" s="394" t="n">
        <f aca="false">AD21</f>
        <v>1090</v>
      </c>
      <c r="AG21" s="121" t="n">
        <f aca="false">N21+O21+P21+Q21+R21+S21+T21+W21+AA21+AD21</f>
        <v>1976</v>
      </c>
      <c r="AH21" s="121" t="n">
        <f aca="false">IF(L21&lt;0,L21*-1,0)</f>
        <v>31.6316864129065</v>
      </c>
      <c r="AI21" s="121" t="n">
        <f aca="false">AG21+AH21</f>
        <v>2007.63168641291</v>
      </c>
      <c r="AJ21" s="88" t="n">
        <v>0</v>
      </c>
      <c r="AK21" s="89" t="n">
        <v>82</v>
      </c>
      <c r="AL21" s="90" t="n">
        <v>38</v>
      </c>
      <c r="AM21" s="382" t="n">
        <f aca="false">AM20</f>
        <v>12798.13705</v>
      </c>
      <c r="AN21" s="382"/>
      <c r="AO21" s="382" t="n">
        <v>0</v>
      </c>
      <c r="AP21" s="215" t="n">
        <f aca="false">64*(X20*1.9835+Y21*1.9835+AO21*1.9835)/E21</f>
        <v>0.935645428483824</v>
      </c>
      <c r="AQ21" s="383"/>
      <c r="AR21" s="11"/>
    </row>
    <row r="22" customFormat="false" ht="12.95" hidden="false" customHeight="true" outlineLevel="0" collapsed="false">
      <c r="A22" s="8" t="n">
        <f aca="false">A21+1</f>
        <v>11</v>
      </c>
      <c r="B22" s="384" t="n">
        <v>6924.06</v>
      </c>
      <c r="C22" s="83" t="n">
        <v>381429</v>
      </c>
      <c r="D22" s="89" t="n">
        <f aca="false">C22-C21</f>
        <v>269</v>
      </c>
      <c r="E22" s="83" t="n">
        <f aca="false">C22-152000</f>
        <v>229429</v>
      </c>
      <c r="F22" s="389" t="n">
        <f aca="false">D22/$D$2</f>
        <v>135.618855558356</v>
      </c>
      <c r="G22" s="121" t="n">
        <v>2040</v>
      </c>
      <c r="H22" s="383" t="n">
        <v>3.5</v>
      </c>
      <c r="I22" s="121" t="n">
        <f aca="false">G22+H22</f>
        <v>2043.5</v>
      </c>
      <c r="J22" s="390" t="n">
        <f aca="false">IF(L22&gt;0,L22,0)</f>
        <v>0</v>
      </c>
      <c r="K22" s="121" t="n">
        <f aca="false">I22+J22</f>
        <v>2043.5</v>
      </c>
      <c r="L22" s="121" t="n">
        <f aca="false">F22-(I22-AG22)</f>
        <v>-85.8811444416436</v>
      </c>
      <c r="M22" s="123" t="n">
        <v>269</v>
      </c>
      <c r="N22" s="215" t="n">
        <f aca="false">1.8299*1.03</f>
        <v>1.884797</v>
      </c>
      <c r="O22" s="396" t="n">
        <f aca="false">(25+30)*1.05</f>
        <v>57.75</v>
      </c>
      <c r="P22" s="324" t="n">
        <v>0</v>
      </c>
      <c r="Q22" s="215" t="n">
        <f aca="false">2.69*1.02</f>
        <v>2.7438</v>
      </c>
      <c r="R22" s="215" t="n">
        <v>4.2</v>
      </c>
      <c r="S22" s="324" t="n">
        <v>3.32</v>
      </c>
      <c r="T22" s="381" t="n">
        <v>0</v>
      </c>
      <c r="U22" s="121" t="n">
        <v>242</v>
      </c>
      <c r="V22" s="121" t="n">
        <v>75</v>
      </c>
      <c r="W22" s="122" t="n">
        <f aca="false">M22-N22-O22-P22-Q22-R22-S22-T22+U22+V22-AR22</f>
        <v>516.101403</v>
      </c>
      <c r="X22" s="95" t="n">
        <v>0</v>
      </c>
      <c r="Y22" s="95" t="n">
        <f aca="false">Y21-(AP21/1.9835)</f>
        <v>1688.56050765637</v>
      </c>
      <c r="Z22" s="95"/>
      <c r="AA22" s="121" t="n">
        <v>249</v>
      </c>
      <c r="AB22" s="123" t="n">
        <v>1.7</v>
      </c>
      <c r="AC22" s="124" t="n">
        <v>1.3</v>
      </c>
      <c r="AD22" s="392" t="n">
        <v>987</v>
      </c>
      <c r="AE22" s="393" t="n">
        <f aca="false">AE21</f>
        <v>16031.2578774893</v>
      </c>
      <c r="AF22" s="394" t="n">
        <f aca="false">AD22</f>
        <v>987</v>
      </c>
      <c r="AG22" s="121" t="n">
        <f aca="false">N22+O22+P22+Q22+R22+S22+T22+W22+AA22+AD22</f>
        <v>1822</v>
      </c>
      <c r="AH22" s="121" t="n">
        <f aca="false">IF(L22&lt;0,L22*-1,0)</f>
        <v>85.8811444416436</v>
      </c>
      <c r="AI22" s="121" t="n">
        <f aca="false">AG22+AH22</f>
        <v>1907.88114444164</v>
      </c>
      <c r="AJ22" s="88" t="n">
        <v>0</v>
      </c>
      <c r="AK22" s="89" t="n">
        <v>68</v>
      </c>
      <c r="AL22" s="90" t="n">
        <v>43</v>
      </c>
      <c r="AM22" s="382" t="n">
        <f aca="false">AM21</f>
        <v>12798.13705</v>
      </c>
      <c r="AN22" s="382"/>
      <c r="AO22" s="382" t="n">
        <v>0</v>
      </c>
      <c r="AP22" s="215" t="n">
        <f aca="false">64*(X21*1.9835+Y22*1.9835+AO22*1.9835)/E22</f>
        <v>0.93428740518387</v>
      </c>
      <c r="AQ22" s="383"/>
      <c r="AR22" s="11"/>
    </row>
    <row r="23" customFormat="false" ht="12.95" hidden="false" customHeight="true" outlineLevel="0" collapsed="false">
      <c r="A23" s="8" t="n">
        <f aca="false">A22+1</f>
        <v>12</v>
      </c>
      <c r="B23" s="384" t="n">
        <v>6924.15</v>
      </c>
      <c r="C23" s="83" t="n">
        <v>381833</v>
      </c>
      <c r="D23" s="89" t="n">
        <f aca="false">C23-C22</f>
        <v>404</v>
      </c>
      <c r="E23" s="83" t="n">
        <f aca="false">C23-152000</f>
        <v>229833</v>
      </c>
      <c r="F23" s="389" t="n">
        <f aca="false">D23/$D$2</f>
        <v>203.680362994706</v>
      </c>
      <c r="G23" s="121" t="n">
        <v>1750</v>
      </c>
      <c r="H23" s="383" t="n">
        <v>2.8</v>
      </c>
      <c r="I23" s="121" t="n">
        <f aca="false">G23+H23</f>
        <v>1752.8</v>
      </c>
      <c r="J23" s="390" t="n">
        <f aca="false">IF(L23&gt;0,L23,0)</f>
        <v>216.880362994706</v>
      </c>
      <c r="K23" s="121" t="n">
        <f aca="false">I23+J23</f>
        <v>1969.68036299471</v>
      </c>
      <c r="L23" s="121" t="n">
        <f aca="false">F23-(I23-AG23)</f>
        <v>216.880362994706</v>
      </c>
      <c r="M23" s="123" t="n">
        <v>271</v>
      </c>
      <c r="N23" s="215" t="n">
        <f aca="false">1.8299*1.03</f>
        <v>1.884797</v>
      </c>
      <c r="O23" s="396" t="n">
        <f aca="false">(31+32)*1.05</f>
        <v>66.15</v>
      </c>
      <c r="P23" s="324" t="n">
        <v>0</v>
      </c>
      <c r="Q23" s="215" t="n">
        <f aca="false">2.69*1.02</f>
        <v>2.7438</v>
      </c>
      <c r="R23" s="215" t="n">
        <v>4.2</v>
      </c>
      <c r="S23" s="324" t="n">
        <v>1.57</v>
      </c>
      <c r="T23" s="381" t="n">
        <v>0</v>
      </c>
      <c r="U23" s="121" t="n">
        <v>237</v>
      </c>
      <c r="V23" s="121" t="n">
        <v>74</v>
      </c>
      <c r="W23" s="122" t="n">
        <f aca="false">M23-N23-O23-P23-Q23-R23-S23-T23+U23+V23-AR23</f>
        <v>505.451403</v>
      </c>
      <c r="X23" s="95" t="n">
        <v>0</v>
      </c>
      <c r="Y23" s="95" t="n">
        <f aca="false">Y22-(AP22/1.9835)</f>
        <v>1688.08947795877</v>
      </c>
      <c r="Z23" s="95"/>
      <c r="AA23" s="121" t="n">
        <v>249</v>
      </c>
      <c r="AB23" s="123" t="n">
        <v>1.7</v>
      </c>
      <c r="AC23" s="124" t="n">
        <v>1.3</v>
      </c>
      <c r="AD23" s="392" t="n">
        <v>935</v>
      </c>
      <c r="AE23" s="393" t="n">
        <f aca="false">AE22</f>
        <v>16031.2578774893</v>
      </c>
      <c r="AF23" s="394" t="n">
        <f aca="false">AD23</f>
        <v>935</v>
      </c>
      <c r="AG23" s="121" t="n">
        <f aca="false">N23+O23+P23+Q23+R23+S23+T23+W23+AA23+AD23</f>
        <v>1766</v>
      </c>
      <c r="AH23" s="121" t="n">
        <f aca="false">IF(L23&lt;0,L23*-1,0)</f>
        <v>0</v>
      </c>
      <c r="AI23" s="121" t="n">
        <f aca="false">AG23+AH23</f>
        <v>1766</v>
      </c>
      <c r="AJ23" s="88" t="n">
        <v>0</v>
      </c>
      <c r="AK23" s="89" t="n">
        <v>71</v>
      </c>
      <c r="AL23" s="90" t="n">
        <v>39</v>
      </c>
      <c r="AM23" s="382" t="n">
        <f aca="false">AM22</f>
        <v>12798.13705</v>
      </c>
      <c r="AN23" s="382"/>
      <c r="AO23" s="382" t="n">
        <v>0</v>
      </c>
      <c r="AP23" s="215" t="n">
        <f aca="false">64*(X22*1.9835+Y23*1.9835+AO23*1.9835)/E23</f>
        <v>0.93238495207389</v>
      </c>
      <c r="AQ23" s="383"/>
      <c r="AR23" s="11"/>
    </row>
    <row r="24" customFormat="false" ht="12.95" hidden="false" customHeight="true" outlineLevel="0" collapsed="false">
      <c r="A24" s="8" t="n">
        <f aca="false">A23+1</f>
        <v>13</v>
      </c>
      <c r="B24" s="384" t="n">
        <v>6924.16</v>
      </c>
      <c r="C24" s="83" t="n">
        <v>381878</v>
      </c>
      <c r="D24" s="89" t="n">
        <f aca="false">C24-C23</f>
        <v>45</v>
      </c>
      <c r="E24" s="83" t="n">
        <f aca="false">C24-152000</f>
        <v>229878</v>
      </c>
      <c r="F24" s="389" t="n">
        <f aca="false">D24/$D$2</f>
        <v>22.68716914545</v>
      </c>
      <c r="G24" s="121" t="n">
        <v>1550</v>
      </c>
      <c r="H24" s="383" t="n">
        <v>2.7</v>
      </c>
      <c r="I24" s="121" t="n">
        <f aca="false">G24+H24</f>
        <v>1552.7</v>
      </c>
      <c r="J24" s="390" t="n">
        <f aca="false">IF(L24&gt;0,L24,0)</f>
        <v>68.9871691454499</v>
      </c>
      <c r="K24" s="121" t="n">
        <f aca="false">I24+J24</f>
        <v>1621.68716914545</v>
      </c>
      <c r="L24" s="121" t="n">
        <f aca="false">F24-(I24-AG24)</f>
        <v>68.9871691454499</v>
      </c>
      <c r="M24" s="123" t="n">
        <v>259</v>
      </c>
      <c r="N24" s="215" t="n">
        <f aca="false">1.8299*1.03</f>
        <v>1.884797</v>
      </c>
      <c r="O24" s="396" t="n">
        <f aca="false">(29+32)*1.05</f>
        <v>64.05</v>
      </c>
      <c r="P24" s="324" t="n">
        <v>0</v>
      </c>
      <c r="Q24" s="215" t="n">
        <f aca="false">2.69*1.02</f>
        <v>2.7438</v>
      </c>
      <c r="R24" s="215" t="n">
        <v>4.2</v>
      </c>
      <c r="S24" s="324" t="n">
        <v>3.38</v>
      </c>
      <c r="T24" s="381" t="n">
        <v>0</v>
      </c>
      <c r="U24" s="121" t="n">
        <v>235</v>
      </c>
      <c r="V24" s="121" t="n">
        <v>72</v>
      </c>
      <c r="W24" s="122" t="n">
        <f aca="false">M24-N24-O24-P24-Q24-R24-S24-T24+U24+V24-AR24</f>
        <v>489.741403</v>
      </c>
      <c r="X24" s="95" t="n">
        <v>0</v>
      </c>
      <c r="Y24" s="95" t="n">
        <f aca="false">Y23-(AP23/1.9835)</f>
        <v>1687.61940740063</v>
      </c>
      <c r="Z24" s="95"/>
      <c r="AA24" s="121" t="n">
        <v>251</v>
      </c>
      <c r="AB24" s="123" t="n">
        <v>1.7</v>
      </c>
      <c r="AC24" s="124" t="n">
        <v>1.3</v>
      </c>
      <c r="AD24" s="392" t="n">
        <v>782</v>
      </c>
      <c r="AE24" s="393" t="n">
        <f aca="false">AE23</f>
        <v>16031.2578774893</v>
      </c>
      <c r="AF24" s="394" t="n">
        <f aca="false">AD24</f>
        <v>782</v>
      </c>
      <c r="AG24" s="121" t="n">
        <f aca="false">N24+O24+P24+Q24+R24+S24+T24+W24+AA24+AD24</f>
        <v>1599</v>
      </c>
      <c r="AH24" s="121" t="n">
        <f aca="false">IF(L24&lt;0,L24*-1,0)</f>
        <v>0</v>
      </c>
      <c r="AI24" s="121" t="n">
        <f aca="false">AG24+AH24</f>
        <v>1599</v>
      </c>
      <c r="AJ24" s="88" t="n">
        <v>0</v>
      </c>
      <c r="AK24" s="89" t="n">
        <v>78</v>
      </c>
      <c r="AL24" s="90" t="n">
        <v>36</v>
      </c>
      <c r="AM24" s="382" t="n">
        <f aca="false">AM23</f>
        <v>12798.13705</v>
      </c>
      <c r="AN24" s="382"/>
      <c r="AO24" s="382" t="n">
        <v>0</v>
      </c>
      <c r="AP24" s="215" t="n">
        <f aca="false">64*(X23*1.9835+Y24*1.9835+AO24*1.9835)/E24</f>
        <v>0.931942848176275</v>
      </c>
      <c r="AQ24" s="383"/>
      <c r="AR24" s="11"/>
    </row>
    <row r="25" customFormat="false" ht="12.95" hidden="false" customHeight="true" outlineLevel="0" collapsed="false">
      <c r="A25" s="8" t="n">
        <f aca="false">A24+1</f>
        <v>14</v>
      </c>
      <c r="B25" s="384" t="n">
        <v>6924.22</v>
      </c>
      <c r="C25" s="83" t="n">
        <v>382147</v>
      </c>
      <c r="D25" s="89" t="n">
        <f aca="false">C25-C24</f>
        <v>269</v>
      </c>
      <c r="E25" s="83" t="n">
        <f aca="false">C25-152000</f>
        <v>230147</v>
      </c>
      <c r="F25" s="389" t="n">
        <f aca="false">D25/$D$2</f>
        <v>135.618855558356</v>
      </c>
      <c r="G25" s="121" t="n">
        <v>1560</v>
      </c>
      <c r="H25" s="383" t="n">
        <v>2.7</v>
      </c>
      <c r="I25" s="121" t="n">
        <f aca="false">G25+H25</f>
        <v>1562.7</v>
      </c>
      <c r="J25" s="390" t="n">
        <f aca="false">IF(L25&gt;0,L25,0)</f>
        <v>48.9188555583564</v>
      </c>
      <c r="K25" s="121" t="n">
        <f aca="false">I25+J25</f>
        <v>1611.61885555836</v>
      </c>
      <c r="L25" s="121" t="n">
        <f aca="false">F25-(I25-AG25)</f>
        <v>48.9188555583564</v>
      </c>
      <c r="M25" s="123" t="n">
        <v>261</v>
      </c>
      <c r="N25" s="215" t="n">
        <f aca="false">1.8299*1.03</f>
        <v>1.884797</v>
      </c>
      <c r="O25" s="396" t="n">
        <f aca="false">(27+30)*1.05</f>
        <v>59.85</v>
      </c>
      <c r="P25" s="324" t="n">
        <v>0</v>
      </c>
      <c r="Q25" s="215" t="n">
        <f aca="false">2.69*1.02</f>
        <v>2.7438</v>
      </c>
      <c r="R25" s="215" t="n">
        <v>4.2</v>
      </c>
      <c r="S25" s="324" t="n">
        <v>3.36</v>
      </c>
      <c r="T25" s="381" t="n">
        <v>0</v>
      </c>
      <c r="U25" s="121" t="n">
        <v>234</v>
      </c>
      <c r="V25" s="121" t="n">
        <v>72</v>
      </c>
      <c r="W25" s="122" t="n">
        <f aca="false">M25-N25-O25-P25-Q25-R25-S25-T25+U25+V25-AR25</f>
        <v>494.961403</v>
      </c>
      <c r="X25" s="95" t="n">
        <v>0</v>
      </c>
      <c r="Y25" s="95" t="n">
        <f aca="false">Y24-(AP24/1.9835)</f>
        <v>1687.14955973329</v>
      </c>
      <c r="Z25" s="95"/>
      <c r="AA25" s="121" t="n">
        <v>264</v>
      </c>
      <c r="AB25" s="123" t="n">
        <v>1.7</v>
      </c>
      <c r="AC25" s="124" t="n">
        <v>1.3</v>
      </c>
      <c r="AD25" s="392" t="n">
        <v>645</v>
      </c>
      <c r="AE25" s="393" t="n">
        <f aca="false">AE24</f>
        <v>16031.2578774893</v>
      </c>
      <c r="AF25" s="394" t="n">
        <f aca="false">AD25</f>
        <v>645</v>
      </c>
      <c r="AG25" s="121" t="n">
        <f aca="false">N25+O25+P25+Q25+R25+S25+T25+W25+AA25+AD25</f>
        <v>1476</v>
      </c>
      <c r="AH25" s="121" t="n">
        <f aca="false">IF(L25&lt;0,L25*-1,0)</f>
        <v>0</v>
      </c>
      <c r="AI25" s="121" t="n">
        <f aca="false">AG25+AH25</f>
        <v>1476</v>
      </c>
      <c r="AJ25" s="88" t="n">
        <v>0</v>
      </c>
      <c r="AK25" s="89" t="n">
        <v>82</v>
      </c>
      <c r="AL25" s="90" t="n">
        <v>39</v>
      </c>
      <c r="AM25" s="382" t="n">
        <f aca="false">AM24</f>
        <v>12798.13705</v>
      </c>
      <c r="AN25" s="382"/>
      <c r="AO25" s="382" t="n">
        <v>0</v>
      </c>
      <c r="AP25" s="215" t="n">
        <f aca="false">64*(X24*1.9835+Y25*1.9835+AO25*1.9835)/E25</f>
        <v>0.930594418831366</v>
      </c>
      <c r="AQ25" s="383"/>
      <c r="AR25" s="11"/>
    </row>
    <row r="26" customFormat="false" ht="12.95" hidden="false" customHeight="true" outlineLevel="0" collapsed="false">
      <c r="A26" s="8" t="n">
        <f aca="false">A25+1</f>
        <v>15</v>
      </c>
      <c r="B26" s="384" t="n">
        <v>6924.31</v>
      </c>
      <c r="C26" s="83" t="n">
        <v>382551</v>
      </c>
      <c r="D26" s="89" t="n">
        <f aca="false">C26-C25</f>
        <v>404</v>
      </c>
      <c r="E26" s="83" t="n">
        <f aca="false">C26-152000</f>
        <v>230551</v>
      </c>
      <c r="F26" s="389" t="n">
        <f aca="false">D26/$D$2</f>
        <v>203.680362994706</v>
      </c>
      <c r="G26" s="121" t="n">
        <v>1630</v>
      </c>
      <c r="H26" s="383" t="n">
        <v>3.2</v>
      </c>
      <c r="I26" s="121" t="n">
        <f aca="false">G26+H26</f>
        <v>1633.2</v>
      </c>
      <c r="J26" s="390" t="n">
        <f aca="false">IF(L26&gt;0,L26,0)</f>
        <v>100.480362994706</v>
      </c>
      <c r="K26" s="121" t="n">
        <f aca="false">I26+J26</f>
        <v>1733.68036299471</v>
      </c>
      <c r="L26" s="121" t="n">
        <f aca="false">F26-(I26-AG26)</f>
        <v>100.480362994706</v>
      </c>
      <c r="M26" s="123" t="n">
        <v>257</v>
      </c>
      <c r="N26" s="215" t="n">
        <f aca="false">1.8299*1.03</f>
        <v>1.884797</v>
      </c>
      <c r="O26" s="396" t="n">
        <f aca="false">(25+27)*1.05</f>
        <v>54.6</v>
      </c>
      <c r="P26" s="324" t="n">
        <v>0</v>
      </c>
      <c r="Q26" s="215" t="n">
        <f aca="false">2.69*1.02</f>
        <v>2.7438</v>
      </c>
      <c r="R26" s="215" t="n">
        <v>4.2</v>
      </c>
      <c r="S26" s="324" t="n">
        <v>3.09</v>
      </c>
      <c r="T26" s="381" t="n">
        <v>0</v>
      </c>
      <c r="U26" s="121" t="n">
        <v>237</v>
      </c>
      <c r="V26" s="121" t="n">
        <v>74</v>
      </c>
      <c r="W26" s="122" t="n">
        <f aca="false">M26-N26-O26-P26-Q26-R26-S26-T26+U26+V26-AR26</f>
        <v>501.481403</v>
      </c>
      <c r="X26" s="95" t="n">
        <v>0</v>
      </c>
      <c r="Y26" s="95" t="n">
        <f aca="false">Y25-(AP25/1.9835)</f>
        <v>1686.68039188916</v>
      </c>
      <c r="Z26" s="95"/>
      <c r="AA26" s="121" t="n">
        <v>187</v>
      </c>
      <c r="AB26" s="123" t="n">
        <v>1.7</v>
      </c>
      <c r="AC26" s="124" t="n">
        <v>1.3</v>
      </c>
      <c r="AD26" s="392" t="n">
        <v>775</v>
      </c>
      <c r="AE26" s="393" t="n">
        <f aca="false">AE25</f>
        <v>16031.2578774893</v>
      </c>
      <c r="AF26" s="394" t="n">
        <f aca="false">AD26</f>
        <v>775</v>
      </c>
      <c r="AG26" s="121" t="n">
        <f aca="false">N26+O26+P26+Q26+R26+S26+T26+W26+AA26+AD26</f>
        <v>1530</v>
      </c>
      <c r="AH26" s="121" t="n">
        <f aca="false">IF(L26&lt;0,L26*-1,0)</f>
        <v>0</v>
      </c>
      <c r="AI26" s="121" t="n">
        <f aca="false">AG26+AH26</f>
        <v>1530</v>
      </c>
      <c r="AJ26" s="88" t="n">
        <v>0</v>
      </c>
      <c r="AK26" s="89" t="n">
        <v>84</v>
      </c>
      <c r="AL26" s="90" t="n">
        <v>40</v>
      </c>
      <c r="AM26" s="382" t="n">
        <f aca="false">AM25</f>
        <v>12798.13705</v>
      </c>
      <c r="AN26" s="382"/>
      <c r="AO26" s="382" t="n">
        <v>0</v>
      </c>
      <c r="AP26" s="215" t="n">
        <f aca="false">64*(X25*1.9835+Y26*1.9835+AO26*1.9835)/E26</f>
        <v>0.928705386955499</v>
      </c>
      <c r="AQ26" s="383"/>
      <c r="AR26" s="11"/>
    </row>
    <row r="27" customFormat="false" ht="12.95" hidden="false" customHeight="true" outlineLevel="0" collapsed="false">
      <c r="A27" s="8" t="n">
        <f aca="false">A26+1</f>
        <v>16</v>
      </c>
      <c r="B27" s="384" t="n">
        <v>6924.28</v>
      </c>
      <c r="C27" s="83" t="n">
        <v>382416</v>
      </c>
      <c r="D27" s="89" t="n">
        <f aca="false">C27-C26</f>
        <v>-135</v>
      </c>
      <c r="E27" s="83" t="n">
        <f aca="false">C27-152000</f>
        <v>230416</v>
      </c>
      <c r="F27" s="389" t="n">
        <f aca="false">D27/$D$2</f>
        <v>-68.0615074363499</v>
      </c>
      <c r="G27" s="121" t="n">
        <v>1800</v>
      </c>
      <c r="H27" s="383" t="n">
        <v>3.5</v>
      </c>
      <c r="I27" s="121" t="n">
        <f aca="false">G27+H27</f>
        <v>1803.5</v>
      </c>
      <c r="J27" s="390" t="n">
        <f aca="false">IF(L27&gt;0,L27,0)</f>
        <v>0</v>
      </c>
      <c r="K27" s="121" t="n">
        <f aca="false">I27+J27</f>
        <v>1803.5</v>
      </c>
      <c r="L27" s="121" t="n">
        <f aca="false">F27-(I27-AG27)</f>
        <v>-58.5615074363499</v>
      </c>
      <c r="M27" s="123" t="n">
        <v>288</v>
      </c>
      <c r="N27" s="215" t="n">
        <f aca="false">1.8299*1.03</f>
        <v>1.884797</v>
      </c>
      <c r="O27" s="396" t="n">
        <f aca="false">(40+40)*1.05</f>
        <v>84</v>
      </c>
      <c r="P27" s="324" t="n">
        <v>0</v>
      </c>
      <c r="Q27" s="215" t="n">
        <f aca="false">2.69*1.02</f>
        <v>2.7438</v>
      </c>
      <c r="R27" s="215" t="n">
        <v>4.2</v>
      </c>
      <c r="S27" s="324" t="n">
        <v>4.33</v>
      </c>
      <c r="T27" s="381" t="n">
        <v>0</v>
      </c>
      <c r="U27" s="121" t="n">
        <v>236</v>
      </c>
      <c r="V27" s="121" t="n">
        <v>73</v>
      </c>
      <c r="W27" s="122" t="n">
        <f aca="false">M27-N27-O27-P27-Q27-R27-S27-T27+U27+V27-AR27</f>
        <v>499.841403</v>
      </c>
      <c r="X27" s="95" t="n">
        <v>0</v>
      </c>
      <c r="Y27" s="95" t="n">
        <f aca="false">Y26-(AP26/1.9835)</f>
        <v>1686.21217641804</v>
      </c>
      <c r="Z27" s="95"/>
      <c r="AA27" s="121" t="n">
        <v>221</v>
      </c>
      <c r="AB27" s="123" t="n">
        <v>1.7</v>
      </c>
      <c r="AC27" s="124" t="n">
        <v>1.3</v>
      </c>
      <c r="AD27" s="392" t="n">
        <v>995</v>
      </c>
      <c r="AE27" s="393" t="n">
        <f aca="false">AE26</f>
        <v>16031.2578774893</v>
      </c>
      <c r="AF27" s="394" t="n">
        <f aca="false">AD27</f>
        <v>995</v>
      </c>
      <c r="AG27" s="121" t="n">
        <f aca="false">N27+O27+P27+Q27+R27+S27+T27+W27+AA27+AD27</f>
        <v>1813</v>
      </c>
      <c r="AH27" s="121" t="n">
        <f aca="false">IF(L27&lt;0,L27*-1,0)</f>
        <v>58.5615074363499</v>
      </c>
      <c r="AI27" s="121" t="n">
        <f aca="false">AG27+AH27</f>
        <v>1871.56150743635</v>
      </c>
      <c r="AJ27" s="88" t="n">
        <v>0</v>
      </c>
      <c r="AK27" s="89" t="n">
        <v>88</v>
      </c>
      <c r="AL27" s="90" t="n">
        <v>50</v>
      </c>
      <c r="AM27" s="382" t="n">
        <f aca="false">AM26</f>
        <v>12798.13705</v>
      </c>
      <c r="AN27" s="382"/>
      <c r="AO27" s="382" t="n">
        <v>0</v>
      </c>
      <c r="AP27" s="215" t="n">
        <f aca="false">64*(X26*1.9835+Y27*1.9835+AO27*1.9835)/E27</f>
        <v>0.928991556676672</v>
      </c>
      <c r="AQ27" s="383"/>
      <c r="AR27" s="11"/>
    </row>
    <row r="28" customFormat="false" ht="12.95" hidden="false" customHeight="true" outlineLevel="0" collapsed="false">
      <c r="A28" s="8" t="n">
        <f aca="false">A27+1</f>
        <v>17</v>
      </c>
      <c r="B28" s="384" t="n">
        <v>6924.23</v>
      </c>
      <c r="C28" s="83" t="n">
        <v>382192</v>
      </c>
      <c r="D28" s="89" t="n">
        <f aca="false">C28-C27</f>
        <v>-224</v>
      </c>
      <c r="E28" s="83" t="n">
        <f aca="false">C28-152000</f>
        <v>230192</v>
      </c>
      <c r="F28" s="389" t="n">
        <f aca="false">D28/$D$2</f>
        <v>-112.931686412906</v>
      </c>
      <c r="G28" s="121" t="n">
        <v>1900</v>
      </c>
      <c r="H28" s="383" t="n">
        <v>1.8</v>
      </c>
      <c r="I28" s="121" t="n">
        <f aca="false">G28+H28</f>
        <v>1901.8</v>
      </c>
      <c r="J28" s="390" t="n">
        <f aca="false">IF(L28&gt;0,L28,0)</f>
        <v>53.2683135870936</v>
      </c>
      <c r="K28" s="121" t="n">
        <f aca="false">I28+J28</f>
        <v>1955.06831358709</v>
      </c>
      <c r="L28" s="121" t="n">
        <f aca="false">F28-(I28-AG28)</f>
        <v>53.2683135870936</v>
      </c>
      <c r="M28" s="123" t="n">
        <v>303</v>
      </c>
      <c r="N28" s="215" t="n">
        <f aca="false">1.8299*1.03</f>
        <v>1.884797</v>
      </c>
      <c r="O28" s="396" t="n">
        <f aca="false">(45+49)*1.05</f>
        <v>98.7</v>
      </c>
      <c r="P28" s="324" t="n">
        <v>0</v>
      </c>
      <c r="Q28" s="215" t="n">
        <f aca="false">2.69*1.02</f>
        <v>2.7438</v>
      </c>
      <c r="R28" s="215" t="n">
        <v>4.2</v>
      </c>
      <c r="S28" s="324" t="n">
        <v>4.15</v>
      </c>
      <c r="T28" s="381" t="n">
        <v>0</v>
      </c>
      <c r="U28" s="121" t="n">
        <v>278</v>
      </c>
      <c r="V28" s="121" t="n">
        <v>73</v>
      </c>
      <c r="W28" s="122" t="n">
        <f aca="false">M28-N28-O28-P28-Q28-R28-S28-T28+U28+V28-AR28</f>
        <v>542.321403</v>
      </c>
      <c r="X28" s="95" t="n">
        <v>0</v>
      </c>
      <c r="Y28" s="95" t="n">
        <f aca="false">Y27-(AP27/1.9835)</f>
        <v>1685.7438166718</v>
      </c>
      <c r="Z28" s="95"/>
      <c r="AA28" s="121" t="n">
        <v>204</v>
      </c>
      <c r="AB28" s="123" t="n">
        <v>1.7</v>
      </c>
      <c r="AC28" s="124" t="n">
        <v>1.3</v>
      </c>
      <c r="AD28" s="392" t="n">
        <v>1210</v>
      </c>
      <c r="AE28" s="393" t="n">
        <f aca="false">AE27</f>
        <v>16031.2578774893</v>
      </c>
      <c r="AF28" s="394" t="n">
        <f aca="false">AD28</f>
        <v>1210</v>
      </c>
      <c r="AG28" s="121" t="n">
        <f aca="false">N28+O28+P28+Q28+R28+S28+T28+W28+AA28+AD28</f>
        <v>2068</v>
      </c>
      <c r="AH28" s="121" t="n">
        <f aca="false">IF(L28&lt;0,L28*-1,0)</f>
        <v>0</v>
      </c>
      <c r="AI28" s="121" t="n">
        <f aca="false">AG28+AH28</f>
        <v>2068</v>
      </c>
      <c r="AJ28" s="88" t="n">
        <v>0</v>
      </c>
      <c r="AK28" s="89" t="n">
        <v>87</v>
      </c>
      <c r="AL28" s="90" t="n">
        <v>50</v>
      </c>
      <c r="AM28" s="382" t="n">
        <f aca="false">AM27</f>
        <v>12798.13705</v>
      </c>
      <c r="AN28" s="382"/>
      <c r="AO28" s="382" t="n">
        <v>0</v>
      </c>
      <c r="AP28" s="215" t="n">
        <f aca="false">64*(X27*1.9835+Y28*1.9835+AO28*1.9835)/E28</f>
        <v>0.929637272640164</v>
      </c>
      <c r="AQ28" s="383"/>
      <c r="AR28" s="11"/>
    </row>
    <row r="29" customFormat="false" ht="12.95" hidden="false" customHeight="true" outlineLevel="0" collapsed="false">
      <c r="A29" s="8" t="n">
        <f aca="false">A28+1</f>
        <v>18</v>
      </c>
      <c r="B29" s="384" t="n">
        <v>6924.21</v>
      </c>
      <c r="C29" s="83" t="n">
        <v>382102</v>
      </c>
      <c r="D29" s="89" t="n">
        <f aca="false">C29-C28</f>
        <v>-90</v>
      </c>
      <c r="E29" s="83" t="n">
        <f aca="false">C29-152000</f>
        <v>230102</v>
      </c>
      <c r="F29" s="389" t="n">
        <f aca="false">D29/$D$2</f>
        <v>-45.3743382908999</v>
      </c>
      <c r="G29" s="121" t="n">
        <v>1890</v>
      </c>
      <c r="H29" s="383" t="n">
        <v>1.3</v>
      </c>
      <c r="I29" s="121" t="n">
        <f aca="false">G29+H29</f>
        <v>1891.3</v>
      </c>
      <c r="J29" s="390" t="n">
        <f aca="false">IF(L29&gt;0,L29,0)</f>
        <v>33.3256617091001</v>
      </c>
      <c r="K29" s="121" t="n">
        <f aca="false">I29+J29</f>
        <v>1924.6256617091</v>
      </c>
      <c r="L29" s="121" t="n">
        <f aca="false">F29-(I29-AG29)</f>
        <v>33.3256617091001</v>
      </c>
      <c r="M29" s="123" t="n">
        <v>314</v>
      </c>
      <c r="N29" s="215" t="n">
        <f aca="false">1.8299*1.03</f>
        <v>1.884797</v>
      </c>
      <c r="O29" s="396" t="n">
        <f aca="false">(49+51)*1.05</f>
        <v>105</v>
      </c>
      <c r="P29" s="324" t="n">
        <v>0</v>
      </c>
      <c r="Q29" s="215" t="n">
        <f aca="false">2.69*1.02</f>
        <v>2.7438</v>
      </c>
      <c r="R29" s="215" t="n">
        <v>4.2</v>
      </c>
      <c r="S29" s="324" t="n">
        <v>4.1</v>
      </c>
      <c r="T29" s="381" t="n">
        <v>0</v>
      </c>
      <c r="U29" s="121" t="n">
        <v>309</v>
      </c>
      <c r="V29" s="121" t="n">
        <v>73</v>
      </c>
      <c r="W29" s="122" t="n">
        <f aca="false">M29-N29-O29-P29-Q29-R29-S29-T29+U29+V29-AR29</f>
        <v>578.071403</v>
      </c>
      <c r="X29" s="95" t="n">
        <v>0</v>
      </c>
      <c r="Y29" s="95" t="n">
        <f aca="false">Y28-(AP28/1.9835)</f>
        <v>1685.27513138184</v>
      </c>
      <c r="Z29" s="95"/>
      <c r="AA29" s="121" t="n">
        <v>204</v>
      </c>
      <c r="AB29" s="123" t="n">
        <v>1.7</v>
      </c>
      <c r="AC29" s="124" t="n">
        <v>1.3</v>
      </c>
      <c r="AD29" s="392" t="n">
        <v>1070</v>
      </c>
      <c r="AE29" s="393" t="n">
        <f aca="false">AE28</f>
        <v>16031.2578774893</v>
      </c>
      <c r="AF29" s="394" t="n">
        <f aca="false">AD29</f>
        <v>1070</v>
      </c>
      <c r="AG29" s="121" t="n">
        <f aca="false">N29+O29+P29+Q29+R29+S29+T29+W29+AA29+AD29</f>
        <v>1970</v>
      </c>
      <c r="AH29" s="121" t="n">
        <f aca="false">IF(L29&lt;0,L29*-1,0)</f>
        <v>0</v>
      </c>
      <c r="AI29" s="121" t="n">
        <f aca="false">AG29+AH29</f>
        <v>1970</v>
      </c>
      <c r="AJ29" s="88" t="n">
        <v>0</v>
      </c>
      <c r="AK29" s="89" t="n">
        <v>86</v>
      </c>
      <c r="AL29" s="90" t="n">
        <v>48</v>
      </c>
      <c r="AM29" s="382" t="n">
        <f aca="false">AM28</f>
        <v>12798.13705</v>
      </c>
      <c r="AN29" s="382"/>
      <c r="AO29" s="382" t="n">
        <v>0</v>
      </c>
      <c r="AP29" s="215" t="n">
        <f aca="false">64*(X28*1.9835+Y29*1.9835+AO29*1.9835)/E29</f>
        <v>0.929742315486766</v>
      </c>
      <c r="AQ29" s="383"/>
      <c r="AR29" s="11"/>
    </row>
    <row r="30" customFormat="false" ht="12.95" hidden="false" customHeight="true" outlineLevel="0" collapsed="false">
      <c r="A30" s="8" t="n">
        <f aca="false">A29+1</f>
        <v>19</v>
      </c>
      <c r="B30" s="384" t="n">
        <v>6924.25</v>
      </c>
      <c r="C30" s="83" t="n">
        <v>382281</v>
      </c>
      <c r="D30" s="89" t="n">
        <f aca="false">C30-C29</f>
        <v>179</v>
      </c>
      <c r="E30" s="83" t="n">
        <f aca="false">C30-152000</f>
        <v>230281</v>
      </c>
      <c r="F30" s="389" t="n">
        <f aca="false">D30/$D$2</f>
        <v>90.2445172674565</v>
      </c>
      <c r="G30" s="121" t="n">
        <v>1770</v>
      </c>
      <c r="H30" s="383" t="n">
        <v>1</v>
      </c>
      <c r="I30" s="121" t="n">
        <f aca="false">G30+H30</f>
        <v>1771</v>
      </c>
      <c r="J30" s="390" t="n">
        <f aca="false">IF(L30&gt;0,L30,0)</f>
        <v>35.2445172674565</v>
      </c>
      <c r="K30" s="121" t="n">
        <f aca="false">I30+J30</f>
        <v>1806.24451726746</v>
      </c>
      <c r="L30" s="121" t="n">
        <f aca="false">F30-(I30-AG30)</f>
        <v>35.2445172674565</v>
      </c>
      <c r="M30" s="123" t="n">
        <v>338</v>
      </c>
      <c r="N30" s="215" t="n">
        <f aca="false">1.8299*1.03</f>
        <v>1.884797</v>
      </c>
      <c r="O30" s="396" t="n">
        <f aca="false">(56+58)*1.05</f>
        <v>119.7</v>
      </c>
      <c r="P30" s="324" t="n">
        <v>0</v>
      </c>
      <c r="Q30" s="215" t="n">
        <f aca="false">2.69*1.02</f>
        <v>2.7438</v>
      </c>
      <c r="R30" s="215" t="n">
        <v>4.2</v>
      </c>
      <c r="S30" s="324" t="n">
        <v>4.36</v>
      </c>
      <c r="T30" s="381" t="n">
        <v>0</v>
      </c>
      <c r="U30" s="121" t="n">
        <v>288</v>
      </c>
      <c r="V30" s="121" t="n">
        <v>73</v>
      </c>
      <c r="W30" s="122" t="n">
        <f aca="false">M30-N30-O30-P30-Q30-R30-S30-T30+U30+V30-AR30</f>
        <v>566.111403</v>
      </c>
      <c r="X30" s="95" t="n">
        <v>0</v>
      </c>
      <c r="Y30" s="95" t="n">
        <f aca="false">Y29-(AP29/1.9835)</f>
        <v>1684.80639313354</v>
      </c>
      <c r="Z30" s="95"/>
      <c r="AA30" s="121" t="n">
        <v>192</v>
      </c>
      <c r="AB30" s="123" t="n">
        <v>1.7</v>
      </c>
      <c r="AC30" s="124" t="n">
        <v>1.3</v>
      </c>
      <c r="AD30" s="392" t="n">
        <v>825</v>
      </c>
      <c r="AE30" s="393" t="n">
        <f aca="false">AE29</f>
        <v>16031.2578774893</v>
      </c>
      <c r="AF30" s="394" t="n">
        <f aca="false">AD30</f>
        <v>825</v>
      </c>
      <c r="AG30" s="121" t="n">
        <f aca="false">N30+O30+P30+Q30+R30+S30+T30+W30+AA30+AD30</f>
        <v>1716</v>
      </c>
      <c r="AH30" s="121" t="n">
        <f aca="false">IF(L30&lt;0,L30*-1,0)</f>
        <v>0</v>
      </c>
      <c r="AI30" s="121" t="n">
        <f aca="false">AG30+AH30</f>
        <v>1716</v>
      </c>
      <c r="AJ30" s="88" t="n">
        <v>0</v>
      </c>
      <c r="AK30" s="89" t="n">
        <v>84</v>
      </c>
      <c r="AL30" s="90" t="n">
        <v>51</v>
      </c>
      <c r="AM30" s="382" t="n">
        <f aca="false">AM29</f>
        <v>12798.13705</v>
      </c>
      <c r="AN30" s="382"/>
      <c r="AO30" s="382" t="n">
        <v>0</v>
      </c>
      <c r="AP30" s="215" t="n">
        <f aca="false">64*(X29*1.9835+Y30*1.9835+AO30*1.9835)/E30</f>
        <v>0.928761221159994</v>
      </c>
      <c r="AQ30" s="383"/>
      <c r="AR30" s="11"/>
    </row>
    <row r="31" customFormat="false" ht="12.95" hidden="false" customHeight="true" outlineLevel="0" collapsed="false">
      <c r="A31" s="8" t="n">
        <f aca="false">A30+1</f>
        <v>20</v>
      </c>
      <c r="B31" s="384" t="n">
        <v>6924.3</v>
      </c>
      <c r="C31" s="83" t="n">
        <v>382506</v>
      </c>
      <c r="D31" s="89" t="n">
        <f aca="false">C31-C30</f>
        <v>225</v>
      </c>
      <c r="E31" s="83" t="n">
        <f aca="false">C31-152000</f>
        <v>230506</v>
      </c>
      <c r="F31" s="389" t="n">
        <f aca="false">D31/$D$2</f>
        <v>113.43584572725</v>
      </c>
      <c r="G31" s="121" t="n">
        <v>1570</v>
      </c>
      <c r="H31" s="383" t="n">
        <v>0.75</v>
      </c>
      <c r="I31" s="121" t="n">
        <f aca="false">G31+H31</f>
        <v>1570.75</v>
      </c>
      <c r="J31" s="390" t="n">
        <f aca="false">IF(L31&gt;0,L31,0)</f>
        <v>61.6858457272498</v>
      </c>
      <c r="K31" s="121" t="n">
        <f aca="false">I31+J31</f>
        <v>1632.43584572725</v>
      </c>
      <c r="L31" s="121" t="n">
        <f aca="false">F31-(I31-AG31)</f>
        <v>61.6858457272498</v>
      </c>
      <c r="M31" s="123" t="n">
        <v>336</v>
      </c>
      <c r="N31" s="215" t="n">
        <f aca="false">1.8299*1.03</f>
        <v>1.884797</v>
      </c>
      <c r="O31" s="91" t="n">
        <f aca="false">(55+56)*1.05</f>
        <v>116.55</v>
      </c>
      <c r="P31" s="324" t="n">
        <v>0</v>
      </c>
      <c r="Q31" s="215" t="n">
        <f aca="false">2.69*1.02</f>
        <v>2.7438</v>
      </c>
      <c r="R31" s="215" t="n">
        <v>4.2</v>
      </c>
      <c r="S31" s="324" t="n">
        <v>4.69</v>
      </c>
      <c r="T31" s="381" t="n">
        <v>0</v>
      </c>
      <c r="U31" s="121" t="n">
        <v>263</v>
      </c>
      <c r="V31" s="121" t="n">
        <v>72</v>
      </c>
      <c r="W31" s="122" t="n">
        <f aca="false">M31-N31-O31-P31-Q31-R31-S31-T31+U31+V31-AR31</f>
        <v>540.931403</v>
      </c>
      <c r="X31" s="95" t="n">
        <v>0</v>
      </c>
      <c r="Y31" s="95" t="n">
        <f aca="false">Y30-(AP30/1.9835)</f>
        <v>1684.3381495131</v>
      </c>
      <c r="Z31" s="95"/>
      <c r="AA31" s="121" t="n">
        <v>204</v>
      </c>
      <c r="AB31" s="123" t="n">
        <v>1.7</v>
      </c>
      <c r="AC31" s="124" t="n">
        <v>1.3</v>
      </c>
      <c r="AD31" s="392" t="n">
        <v>644</v>
      </c>
      <c r="AE31" s="393" t="n">
        <f aca="false">AE30</f>
        <v>16031.2578774893</v>
      </c>
      <c r="AF31" s="394" t="n">
        <f aca="false">AD31</f>
        <v>644</v>
      </c>
      <c r="AG31" s="121" t="n">
        <f aca="false">N31+O31+P31+Q31+R31+S31+T31+W31+AA31+AD31</f>
        <v>1519</v>
      </c>
      <c r="AH31" s="121" t="n">
        <f aca="false">IF(L31&lt;0,L31*-1,0)</f>
        <v>0</v>
      </c>
      <c r="AI31" s="121" t="n">
        <f aca="false">AG31+AH31</f>
        <v>1519</v>
      </c>
      <c r="AJ31" s="88" t="n">
        <v>0</v>
      </c>
      <c r="AK31" s="89" t="n">
        <v>84</v>
      </c>
      <c r="AL31" s="90" t="n">
        <v>49</v>
      </c>
      <c r="AM31" s="382" t="n">
        <f aca="false">AM30</f>
        <v>12798.13705</v>
      </c>
      <c r="AN31" s="382"/>
      <c r="AO31" s="382" t="n">
        <v>0</v>
      </c>
      <c r="AP31" s="215" t="n">
        <f aca="false">64*(X30*1.9835+Y31*1.9835+AO31*1.9835)/E31</f>
        <v>0.927596774278285</v>
      </c>
      <c r="AQ31" s="383"/>
      <c r="AR31" s="11"/>
    </row>
    <row r="32" customFormat="false" ht="12.95" hidden="false" customHeight="true" outlineLevel="0" collapsed="false">
      <c r="A32" s="8" t="n">
        <f aca="false">A31+1</f>
        <v>21</v>
      </c>
      <c r="B32" s="384" t="n">
        <v>6924.3</v>
      </c>
      <c r="C32" s="83" t="n">
        <v>382506</v>
      </c>
      <c r="D32" s="89" t="n">
        <f aca="false">C32-C31</f>
        <v>0</v>
      </c>
      <c r="E32" s="83" t="n">
        <f aca="false">C32-152000</f>
        <v>230506</v>
      </c>
      <c r="F32" s="389" t="n">
        <f aca="false">D32/$D$2</f>
        <v>0</v>
      </c>
      <c r="G32" s="121" t="n">
        <v>1370</v>
      </c>
      <c r="H32" s="383" t="n">
        <v>0.67</v>
      </c>
      <c r="I32" s="121" t="n">
        <f aca="false">G32+H32</f>
        <v>1370.67</v>
      </c>
      <c r="J32" s="390" t="n">
        <f aca="false">IF(L32&gt;0,L32,0)</f>
        <v>102.33</v>
      </c>
      <c r="K32" s="121" t="n">
        <f aca="false">I32+J32</f>
        <v>1473</v>
      </c>
      <c r="L32" s="121" t="n">
        <f aca="false">F32-(I32-AG32)</f>
        <v>102.33</v>
      </c>
      <c r="M32" s="123" t="n">
        <v>341</v>
      </c>
      <c r="N32" s="215" t="n">
        <f aca="false">1.8299*1.03</f>
        <v>1.884797</v>
      </c>
      <c r="O32" s="396" t="n">
        <f aca="false">(59+56)*1.05</f>
        <v>120.75</v>
      </c>
      <c r="P32" s="324" t="n">
        <v>0</v>
      </c>
      <c r="Q32" s="215" t="n">
        <f aca="false">2.69*1.02</f>
        <v>2.7438</v>
      </c>
      <c r="R32" s="215" t="n">
        <v>4.2</v>
      </c>
      <c r="S32" s="324" t="n">
        <v>4.55</v>
      </c>
      <c r="T32" s="381" t="n">
        <v>0</v>
      </c>
      <c r="U32" s="121" t="n">
        <v>166</v>
      </c>
      <c r="V32" s="121" t="n">
        <v>74</v>
      </c>
      <c r="W32" s="122" t="n">
        <f aca="false">M32-N32-O32-P32-Q32-R32-S32-T32+U32+V32-AR32</f>
        <v>446.871403</v>
      </c>
      <c r="X32" s="95" t="n">
        <v>0</v>
      </c>
      <c r="Y32" s="95" t="n">
        <f aca="false">Y31-(AP31/1.9835)</f>
        <v>1683.87049295939</v>
      </c>
      <c r="Z32" s="95"/>
      <c r="AA32" s="121" t="n">
        <v>186</v>
      </c>
      <c r="AB32" s="123" t="n">
        <v>1.7</v>
      </c>
      <c r="AC32" s="124" t="n">
        <v>1.3</v>
      </c>
      <c r="AD32" s="392" t="n">
        <v>706</v>
      </c>
      <c r="AE32" s="393" t="n">
        <f aca="false">AE31</f>
        <v>16031.2578774893</v>
      </c>
      <c r="AF32" s="394" t="n">
        <f aca="false">AD32</f>
        <v>706</v>
      </c>
      <c r="AG32" s="121" t="n">
        <f aca="false">N32+O32+P32+Q32+R32+S32+T32+W32+AA32+AD32</f>
        <v>1473</v>
      </c>
      <c r="AH32" s="121" t="n">
        <f aca="false">IF(L32&lt;0,L32*-1,0)</f>
        <v>0</v>
      </c>
      <c r="AI32" s="121" t="n">
        <f aca="false">AG32+AH32</f>
        <v>1473</v>
      </c>
      <c r="AJ32" s="88" t="n">
        <v>0</v>
      </c>
      <c r="AK32" s="89" t="n">
        <v>85</v>
      </c>
      <c r="AL32" s="90" t="n">
        <v>52</v>
      </c>
      <c r="AM32" s="382" t="n">
        <f aca="false">AM31</f>
        <v>12798.13705</v>
      </c>
      <c r="AN32" s="382"/>
      <c r="AO32" s="382" t="n">
        <v>0</v>
      </c>
      <c r="AP32" s="215" t="n">
        <f aca="false">64*(X31*1.9835+Y32*1.9835+AO32*1.9835)/E32</f>
        <v>0.927339226997286</v>
      </c>
      <c r="AQ32" s="383"/>
      <c r="AR32" s="11"/>
    </row>
    <row r="33" customFormat="false" ht="12.95" hidden="false" customHeight="true" outlineLevel="0" collapsed="false">
      <c r="A33" s="8" t="n">
        <f aca="false">A32+1</f>
        <v>22</v>
      </c>
      <c r="B33" s="384" t="n">
        <v>6924.28</v>
      </c>
      <c r="C33" s="83" t="n">
        <v>382416</v>
      </c>
      <c r="D33" s="89" t="n">
        <f aca="false">C33-C32</f>
        <v>-90</v>
      </c>
      <c r="E33" s="83" t="n">
        <f aca="false">C33-152000</f>
        <v>230416</v>
      </c>
      <c r="F33" s="389" t="n">
        <f aca="false">D33/$D$2</f>
        <v>-45.3743382908999</v>
      </c>
      <c r="G33" s="121" t="n">
        <v>1250</v>
      </c>
      <c r="H33" s="383" t="n">
        <v>3.3</v>
      </c>
      <c r="I33" s="121" t="n">
        <f aca="false">G33+H33</f>
        <v>1253.3</v>
      </c>
      <c r="J33" s="390" t="n">
        <f aca="false">IF(L33&gt;0,L33,0)</f>
        <v>77.3256617091001</v>
      </c>
      <c r="K33" s="121" t="n">
        <f aca="false">I33+J33</f>
        <v>1330.6256617091</v>
      </c>
      <c r="L33" s="121" t="n">
        <f aca="false">F33-(I33-AG33)</f>
        <v>77.3256617091001</v>
      </c>
      <c r="M33" s="123" t="n">
        <v>342</v>
      </c>
      <c r="N33" s="215" t="n">
        <f aca="false">1.8299*1.03</f>
        <v>1.884797</v>
      </c>
      <c r="O33" s="396" t="n">
        <f aca="false">(56+55)*1.05</f>
        <v>116.55</v>
      </c>
      <c r="P33" s="324" t="n">
        <v>0</v>
      </c>
      <c r="Q33" s="215" t="n">
        <f aca="false">2.69*1.02</f>
        <v>2.7438</v>
      </c>
      <c r="R33" s="215" t="n">
        <v>4.2</v>
      </c>
      <c r="S33" s="324" t="n">
        <v>4.15</v>
      </c>
      <c r="T33" s="381" t="n">
        <v>0</v>
      </c>
      <c r="U33" s="121" t="n">
        <v>112</v>
      </c>
      <c r="V33" s="121" t="n">
        <v>75</v>
      </c>
      <c r="W33" s="122" t="n">
        <f aca="false">M33-N33-O33-P33-Q33-R33-S33-T33+U33+V33-AR33</f>
        <v>399.471403</v>
      </c>
      <c r="X33" s="95" t="n">
        <v>0</v>
      </c>
      <c r="Y33" s="95" t="n">
        <f aca="false">Y32-(AP32/1.9835)</f>
        <v>1683.40296625054</v>
      </c>
      <c r="Z33" s="95"/>
      <c r="AA33" s="121" t="n">
        <v>155</v>
      </c>
      <c r="AB33" s="123" t="n">
        <v>1.7</v>
      </c>
      <c r="AC33" s="124" t="n">
        <v>1.3</v>
      </c>
      <c r="AD33" s="392" t="n">
        <v>692</v>
      </c>
      <c r="AE33" s="393" t="n">
        <f aca="false">AE32</f>
        <v>16031.2578774893</v>
      </c>
      <c r="AF33" s="394" t="n">
        <f aca="false">AD33</f>
        <v>692</v>
      </c>
      <c r="AG33" s="121" t="n">
        <f aca="false">N33+O33+P33+Q33+R33+S33+T33+W33+AA33+AD33</f>
        <v>1376</v>
      </c>
      <c r="AH33" s="121" t="n">
        <f aca="false">IF(L33&lt;0,L33*-1,0)</f>
        <v>0</v>
      </c>
      <c r="AI33" s="121" t="n">
        <f aca="false">AG33+AH33</f>
        <v>1376</v>
      </c>
      <c r="AJ33" s="88" t="n">
        <v>0</v>
      </c>
      <c r="AK33" s="89" t="n">
        <v>86</v>
      </c>
      <c r="AL33" s="90" t="n">
        <v>53</v>
      </c>
      <c r="AM33" s="382" t="n">
        <f aca="false">AM32</f>
        <v>12798.13705</v>
      </c>
      <c r="AN33" s="382"/>
      <c r="AO33" s="382" t="n">
        <v>0</v>
      </c>
      <c r="AP33" s="215" t="n">
        <f aca="false">64*(X32*1.9835+Y33*1.9835+AO33*1.9835)/E33</f>
        <v>0.927443867386417</v>
      </c>
      <c r="AQ33" s="383"/>
      <c r="AR33" s="11"/>
    </row>
    <row r="34" customFormat="false" ht="12.95" hidden="false" customHeight="true" outlineLevel="0" collapsed="false">
      <c r="A34" s="8" t="n">
        <f aca="false">A33+1</f>
        <v>23</v>
      </c>
      <c r="B34" s="384" t="n">
        <v>6924.26</v>
      </c>
      <c r="C34" s="83" t="n">
        <v>382326</v>
      </c>
      <c r="D34" s="89" t="n">
        <f aca="false">C34-C33</f>
        <v>-90</v>
      </c>
      <c r="E34" s="83" t="n">
        <f aca="false">C34-152000</f>
        <v>230326</v>
      </c>
      <c r="F34" s="389" t="n">
        <f aca="false">D34/$D$2</f>
        <v>-45.3743382908999</v>
      </c>
      <c r="G34" s="121" t="n">
        <v>1190</v>
      </c>
      <c r="H34" s="383" t="n">
        <v>3.4</v>
      </c>
      <c r="I34" s="121" t="n">
        <f aca="false">G34+H34</f>
        <v>1193.4</v>
      </c>
      <c r="J34" s="390" t="n">
        <f aca="false">IF(L34&gt;0,L34,0)</f>
        <v>33.2256617091</v>
      </c>
      <c r="K34" s="121" t="n">
        <f aca="false">I34+J34</f>
        <v>1226.6256617091</v>
      </c>
      <c r="L34" s="121" t="n">
        <f aca="false">F34-(I34-AG34)</f>
        <v>33.2256617091</v>
      </c>
      <c r="M34" s="123" t="n">
        <v>355</v>
      </c>
      <c r="N34" s="215" t="n">
        <f aca="false">1.8299*1.03</f>
        <v>1.884797</v>
      </c>
      <c r="O34" s="396" t="n">
        <f aca="false">(54+56)*1.05</f>
        <v>115.5</v>
      </c>
      <c r="P34" s="324" t="n">
        <v>0</v>
      </c>
      <c r="Q34" s="215" t="n">
        <f aca="false">2.69*1.02</f>
        <v>2.7438</v>
      </c>
      <c r="R34" s="215" t="n">
        <v>4.2</v>
      </c>
      <c r="S34" s="324" t="n">
        <v>5.42</v>
      </c>
      <c r="T34" s="381" t="n">
        <v>0</v>
      </c>
      <c r="U34" s="121" t="n">
        <v>131</v>
      </c>
      <c r="V34" s="121" t="n">
        <v>74</v>
      </c>
      <c r="W34" s="122" t="n">
        <f aca="false">M34-N34-O34-P34-Q34-R34-S34-T34+U34+V34-AR34</f>
        <v>430.251403</v>
      </c>
      <c r="X34" s="95" t="n">
        <v>0</v>
      </c>
      <c r="Y34" s="95" t="n">
        <f aca="false">Y33-(AP33/1.9835)</f>
        <v>1682.93538678627</v>
      </c>
      <c r="Z34" s="95"/>
      <c r="AA34" s="121" t="n">
        <v>165</v>
      </c>
      <c r="AB34" s="123" t="n">
        <v>1.7</v>
      </c>
      <c r="AC34" s="124" t="n">
        <v>1.3</v>
      </c>
      <c r="AD34" s="392" t="n">
        <v>547</v>
      </c>
      <c r="AE34" s="393" t="n">
        <f aca="false">AE33</f>
        <v>16031.2578774893</v>
      </c>
      <c r="AF34" s="394" t="n">
        <f aca="false">AD34</f>
        <v>547</v>
      </c>
      <c r="AG34" s="121" t="n">
        <f aca="false">N34+O34+P34+Q34+R34+S34+T34+W34+AA34+AD34</f>
        <v>1272</v>
      </c>
      <c r="AH34" s="121" t="n">
        <f aca="false">IF(L34&lt;0,L34*-1,0)</f>
        <v>0</v>
      </c>
      <c r="AI34" s="121" t="n">
        <f aca="false">AG34+AH34</f>
        <v>1272</v>
      </c>
      <c r="AJ34" s="88" t="n">
        <v>0</v>
      </c>
      <c r="AK34" s="89" t="n">
        <v>86</v>
      </c>
      <c r="AL34" s="90" t="n">
        <v>54</v>
      </c>
      <c r="AM34" s="382" t="n">
        <f aca="false">AM33</f>
        <v>12798.13705</v>
      </c>
      <c r="AN34" s="382"/>
      <c r="AO34" s="382" t="n">
        <v>0</v>
      </c>
      <c r="AP34" s="215" t="n">
        <f aca="false">64*(X33*1.9835+Y34*1.9835+AO34*1.9835)/E34</f>
        <v>0.927548560476003</v>
      </c>
      <c r="AQ34" s="383"/>
      <c r="AR34" s="11"/>
    </row>
    <row r="35" customFormat="false" ht="12.95" hidden="false" customHeight="true" outlineLevel="0" collapsed="false">
      <c r="A35" s="8" t="n">
        <f aca="false">A34+1</f>
        <v>24</v>
      </c>
      <c r="B35" s="384" t="n">
        <v>6924.25</v>
      </c>
      <c r="C35" s="83" t="n">
        <v>382281</v>
      </c>
      <c r="D35" s="89" t="n">
        <f aca="false">C35-C34</f>
        <v>-45</v>
      </c>
      <c r="E35" s="83" t="n">
        <f aca="false">C35-152000</f>
        <v>230281</v>
      </c>
      <c r="F35" s="389" t="n">
        <f aca="false">D35/$D$2</f>
        <v>-22.68716914545</v>
      </c>
      <c r="G35" s="121" t="n">
        <v>1050</v>
      </c>
      <c r="H35" s="383" t="n">
        <v>1.5</v>
      </c>
      <c r="I35" s="121" t="n">
        <f aca="false">G35+H35</f>
        <v>1051.5</v>
      </c>
      <c r="J35" s="390" t="n">
        <f aca="false">IF(L35&gt;0,L35,0)</f>
        <v>9.81283085455004</v>
      </c>
      <c r="K35" s="121" t="n">
        <f aca="false">I35+J35</f>
        <v>1061.31283085455</v>
      </c>
      <c r="L35" s="121" t="n">
        <f aca="false">F35-(I35-AG35)</f>
        <v>9.81283085455004</v>
      </c>
      <c r="M35" s="123" t="n">
        <v>352</v>
      </c>
      <c r="N35" s="215" t="n">
        <f aca="false">1.8299*1.03</f>
        <v>1.884797</v>
      </c>
      <c r="O35" s="396" t="n">
        <f aca="false">(52+54)*1.05</f>
        <v>111.3</v>
      </c>
      <c r="P35" s="324" t="n">
        <v>0</v>
      </c>
      <c r="Q35" s="215" t="n">
        <f aca="false">2.69*1.02</f>
        <v>2.7438</v>
      </c>
      <c r="R35" s="215" t="n">
        <v>4.2</v>
      </c>
      <c r="S35" s="324" t="n">
        <v>5.77</v>
      </c>
      <c r="T35" s="381" t="n">
        <v>0</v>
      </c>
      <c r="U35" s="121" t="n">
        <v>164</v>
      </c>
      <c r="V35" s="121" t="n">
        <v>74</v>
      </c>
      <c r="W35" s="122" t="n">
        <f aca="false">M35-N35-O35-P35-Q35-R35-S35-T35+U35+V35-AR35</f>
        <v>464.101403</v>
      </c>
      <c r="X35" s="95" t="n">
        <v>0</v>
      </c>
      <c r="Y35" s="95" t="n">
        <f aca="false">Y34-(AP34/1.9835)</f>
        <v>1682.46775454</v>
      </c>
      <c r="Z35" s="95"/>
      <c r="AA35" s="121" t="n">
        <v>171</v>
      </c>
      <c r="AB35" s="123" t="n">
        <v>1.7</v>
      </c>
      <c r="AC35" s="124" t="n">
        <v>1.3</v>
      </c>
      <c r="AD35" s="392" t="n">
        <v>323</v>
      </c>
      <c r="AE35" s="393" t="n">
        <f aca="false">AE34</f>
        <v>16031.2578774893</v>
      </c>
      <c r="AF35" s="394" t="n">
        <f aca="false">AD35</f>
        <v>323</v>
      </c>
      <c r="AG35" s="121" t="n">
        <f aca="false">N35+O35+P35+Q35+R35+S35+T35+W35+AA35+AD35</f>
        <v>1084</v>
      </c>
      <c r="AH35" s="121" t="n">
        <f aca="false">IF(L35&lt;0,L35*-1,0)</f>
        <v>0</v>
      </c>
      <c r="AI35" s="121" t="n">
        <f aca="false">AG35+AH35</f>
        <v>1084</v>
      </c>
      <c r="AJ35" s="88" t="n">
        <v>0</v>
      </c>
      <c r="AK35" s="89" t="n">
        <v>86</v>
      </c>
      <c r="AL35" s="90" t="n">
        <v>52</v>
      </c>
      <c r="AM35" s="382" t="n">
        <f aca="false">AM34</f>
        <v>12798.13705</v>
      </c>
      <c r="AN35" s="382"/>
      <c r="AO35" s="382" t="n">
        <v>0</v>
      </c>
      <c r="AP35" s="215" t="n">
        <f aca="false">64*(X34*1.9835+Y35*1.9835+AO35*1.9835)/E35</f>
        <v>0.927472030399058</v>
      </c>
      <c r="AQ35" s="383"/>
      <c r="AR35" s="11"/>
    </row>
    <row r="36" customFormat="false" ht="12.95" hidden="false" customHeight="true" outlineLevel="0" collapsed="false">
      <c r="A36" s="8" t="n">
        <f aca="false">A35+1</f>
        <v>25</v>
      </c>
      <c r="B36" s="384" t="n">
        <v>6924.21</v>
      </c>
      <c r="C36" s="83" t="n">
        <v>382102</v>
      </c>
      <c r="D36" s="89" t="n">
        <f aca="false">C36-C35</f>
        <v>-179</v>
      </c>
      <c r="E36" s="83" t="n">
        <f aca="false">C36-152000</f>
        <v>230102</v>
      </c>
      <c r="F36" s="389" t="n">
        <f aca="false">D36/$D$2</f>
        <v>-90.2445172674565</v>
      </c>
      <c r="G36" s="121" t="n">
        <v>933</v>
      </c>
      <c r="H36" s="383" t="n">
        <v>0.62</v>
      </c>
      <c r="I36" s="121" t="n">
        <f aca="false">G36+H36</f>
        <v>933.62</v>
      </c>
      <c r="J36" s="390" t="n">
        <f aca="false">IF(L36&gt;0,L36,0)</f>
        <v>0</v>
      </c>
      <c r="K36" s="121" t="n">
        <f aca="false">I36+J36</f>
        <v>933.62</v>
      </c>
      <c r="L36" s="121" t="n">
        <f aca="false">F36-(I36-AG36)</f>
        <v>-67.8645172674565</v>
      </c>
      <c r="M36" s="123" t="n">
        <v>349</v>
      </c>
      <c r="N36" s="215" t="n">
        <f aca="false">1.8299*1.03</f>
        <v>1.884797</v>
      </c>
      <c r="O36" s="396" t="n">
        <f aca="false">(52+53)*1.05</f>
        <v>110.25</v>
      </c>
      <c r="P36" s="324" t="n">
        <v>0</v>
      </c>
      <c r="Q36" s="215" t="n">
        <f aca="false">2.69*1.02</f>
        <v>2.7438</v>
      </c>
      <c r="R36" s="215" t="n">
        <v>4.2</v>
      </c>
      <c r="S36" s="324" t="n">
        <v>5.8</v>
      </c>
      <c r="T36" s="381" t="n">
        <v>0</v>
      </c>
      <c r="U36" s="121" t="n">
        <v>219</v>
      </c>
      <c r="V36" s="121" t="n">
        <v>75</v>
      </c>
      <c r="W36" s="122" t="n">
        <f aca="false">M36-N36-O36-P36-Q36-R36-S36-T36+U36+V36-AR36</f>
        <v>518.121403</v>
      </c>
      <c r="X36" s="95" t="n">
        <f aca="false">X35+AO36</f>
        <v>276.878597</v>
      </c>
      <c r="Y36" s="95" t="n">
        <f aca="false">Y35-(AP35/1.9835)</f>
        <v>1682.00016087708</v>
      </c>
      <c r="Z36" s="95"/>
      <c r="AA36" s="121" t="n">
        <v>180</v>
      </c>
      <c r="AB36" s="123" t="n">
        <v>1.7</v>
      </c>
      <c r="AC36" s="124" t="n">
        <v>1.3</v>
      </c>
      <c r="AD36" s="438" t="n">
        <v>133</v>
      </c>
      <c r="AE36" s="393" t="n">
        <f aca="false">AE35-AD36</f>
        <v>15898.2578774893</v>
      </c>
      <c r="AF36" s="85" t="n">
        <v>0</v>
      </c>
      <c r="AG36" s="121" t="n">
        <f aca="false">N36+O36+P36+Q36+R36+S36+T36+W36+AA36+AD36</f>
        <v>956</v>
      </c>
      <c r="AH36" s="121" t="n">
        <f aca="false">IF(L36&lt;0,L36*-1,0)</f>
        <v>67.8645172674565</v>
      </c>
      <c r="AI36" s="121" t="n">
        <f aca="false">AG36+AH36</f>
        <v>1023.86451726746</v>
      </c>
      <c r="AJ36" s="88" t="n">
        <v>0</v>
      </c>
      <c r="AK36" s="89" t="n">
        <v>86</v>
      </c>
      <c r="AL36" s="90" t="n">
        <v>48</v>
      </c>
      <c r="AM36" s="382" t="n">
        <f aca="false">AM35+(82*1.9835)</f>
        <v>12960.78405</v>
      </c>
      <c r="AN36" s="382"/>
      <c r="AO36" s="382" t="n">
        <f aca="false">795-W36</f>
        <v>276.878597</v>
      </c>
      <c r="AP36" s="215" t="n">
        <f aca="false">64*(X35*1.9835+Y36*1.9835+AO36*1.9835)/E36</f>
        <v>1.08068554397592</v>
      </c>
      <c r="AQ36" s="383"/>
      <c r="AR36" s="11"/>
    </row>
    <row r="37" customFormat="false" ht="12.95" hidden="false" customHeight="true" outlineLevel="0" collapsed="false">
      <c r="A37" s="8" t="n">
        <f aca="false">A36+1</f>
        <v>26</v>
      </c>
      <c r="B37" s="384" t="n">
        <v>6924.17</v>
      </c>
      <c r="C37" s="83" t="n">
        <v>381923</v>
      </c>
      <c r="D37" s="89" t="n">
        <f aca="false">C37-C36</f>
        <v>-179</v>
      </c>
      <c r="E37" s="83" t="n">
        <f aca="false">C37-152000</f>
        <v>229923</v>
      </c>
      <c r="F37" s="389" t="n">
        <f aca="false">D37/$D$2</f>
        <v>-90.2445172674565</v>
      </c>
      <c r="G37" s="121" t="n">
        <v>885</v>
      </c>
      <c r="H37" s="383" t="n">
        <v>0.34</v>
      </c>
      <c r="I37" s="121" t="n">
        <f aca="false">G37+H37</f>
        <v>885.34</v>
      </c>
      <c r="J37" s="390" t="n">
        <f aca="false">IF(L37&gt;0,L37,0)</f>
        <v>0</v>
      </c>
      <c r="K37" s="121" t="n">
        <f aca="false">I37+J37</f>
        <v>885.34</v>
      </c>
      <c r="L37" s="121" t="n">
        <f aca="false">F37-(I37-AG37)</f>
        <v>-38.5845172674565</v>
      </c>
      <c r="M37" s="123" t="n">
        <v>358</v>
      </c>
      <c r="N37" s="215" t="n">
        <f aca="false">1.8299*1.03</f>
        <v>1.884797</v>
      </c>
      <c r="O37" s="396" t="n">
        <f aca="false">(54+54)*1.05</f>
        <v>113.4</v>
      </c>
      <c r="P37" s="324" t="n">
        <v>0</v>
      </c>
      <c r="Q37" s="215" t="n">
        <f aca="false">2.69*1.02</f>
        <v>2.7438</v>
      </c>
      <c r="R37" s="215" t="n">
        <v>4.2</v>
      </c>
      <c r="S37" s="324" t="n">
        <v>4.57</v>
      </c>
      <c r="T37" s="381" t="n">
        <v>0</v>
      </c>
      <c r="U37" s="121" t="n">
        <v>202</v>
      </c>
      <c r="V37" s="121" t="n">
        <v>76</v>
      </c>
      <c r="W37" s="122" t="n">
        <f aca="false">M37-N37-O37-P37-Q37-R37-S37-T37+U37+V37-AR37</f>
        <v>509.201403</v>
      </c>
      <c r="X37" s="95" t="n">
        <f aca="false">X36+AO37</f>
        <v>562.677194</v>
      </c>
      <c r="Y37" s="95" t="n">
        <f aca="false">Y36-(AP36/1.9835)</f>
        <v>1681.45532319421</v>
      </c>
      <c r="Z37" s="95"/>
      <c r="AA37" s="439" t="n">
        <v>169</v>
      </c>
      <c r="AB37" s="123" t="n">
        <v>1.7</v>
      </c>
      <c r="AC37" s="124" t="n">
        <v>1.3</v>
      </c>
      <c r="AD37" s="438" t="n">
        <v>132</v>
      </c>
      <c r="AE37" s="393" t="n">
        <f aca="false">AE36-AD37</f>
        <v>15766.2578774893</v>
      </c>
      <c r="AF37" s="85" t="n">
        <v>0</v>
      </c>
      <c r="AG37" s="121" t="n">
        <f aca="false">N37+O37+P37+Q37+R37+S37+T37+W37+AA37+AD37</f>
        <v>937</v>
      </c>
      <c r="AH37" s="121" t="n">
        <f aca="false">IF(L37&lt;0,L37*-1,0)</f>
        <v>38.5845172674565</v>
      </c>
      <c r="AI37" s="121" t="n">
        <f aca="false">AG37+AH37</f>
        <v>975.584517267457</v>
      </c>
      <c r="AJ37" s="88" t="n">
        <v>0</v>
      </c>
      <c r="AK37" s="89" t="n">
        <v>84</v>
      </c>
      <c r="AL37" s="90" t="n">
        <v>53</v>
      </c>
      <c r="AM37" s="382" t="n">
        <f aca="false">AM36+(31*1.9835)</f>
        <v>13022.27255</v>
      </c>
      <c r="AN37" s="382"/>
      <c r="AO37" s="382" t="n">
        <f aca="false">795-W37</f>
        <v>285.798597</v>
      </c>
      <c r="AP37" s="215" t="n">
        <f aca="false">64*(X36*1.9835+Y37*1.9835+AO37*1.9835)/E37</f>
        <v>1.23901983821845</v>
      </c>
      <c r="AQ37" s="383"/>
      <c r="AR37" s="4"/>
    </row>
    <row r="38" customFormat="false" ht="12.95" hidden="false" customHeight="true" outlineLevel="0" collapsed="false">
      <c r="A38" s="8" t="n">
        <f aca="false">A37+1</f>
        <v>27</v>
      </c>
      <c r="B38" s="384" t="n">
        <v>6924.1</v>
      </c>
      <c r="C38" s="83" t="n">
        <v>381608</v>
      </c>
      <c r="D38" s="89" t="n">
        <f aca="false">C38-C37</f>
        <v>-315</v>
      </c>
      <c r="E38" s="83" t="n">
        <f aca="false">C38-152000</f>
        <v>229608</v>
      </c>
      <c r="F38" s="389" t="n">
        <f aca="false">D38/$D$2</f>
        <v>-158.81018401815</v>
      </c>
      <c r="G38" s="121" t="n">
        <v>810</v>
      </c>
      <c r="H38" s="383" t="n">
        <v>0.23</v>
      </c>
      <c r="I38" s="121" t="n">
        <f aca="false">G38+H38</f>
        <v>810.23</v>
      </c>
      <c r="J38" s="390" t="n">
        <f aca="false">IF(L38&gt;0,L38,0)</f>
        <v>0</v>
      </c>
      <c r="K38" s="121" t="n">
        <f aca="false">I38+J38</f>
        <v>810.23</v>
      </c>
      <c r="L38" s="121" t="n">
        <f aca="false">F38-(I38-AG38)</f>
        <v>-59.0401840181498</v>
      </c>
      <c r="M38" s="123" t="n">
        <v>347</v>
      </c>
      <c r="N38" s="215" t="n">
        <f aca="false">1.8299*1.03</f>
        <v>1.884797</v>
      </c>
      <c r="O38" s="396" t="n">
        <f aca="false">(47+49)*1.05</f>
        <v>100.8</v>
      </c>
      <c r="P38" s="324" t="n">
        <v>0</v>
      </c>
      <c r="Q38" s="215" t="n">
        <f aca="false">2.69*1.02</f>
        <v>2.7438</v>
      </c>
      <c r="R38" s="215" t="n">
        <v>4.2</v>
      </c>
      <c r="S38" s="324" t="n">
        <v>4.07</v>
      </c>
      <c r="T38" s="381" t="n">
        <v>0</v>
      </c>
      <c r="U38" s="121" t="n">
        <v>165</v>
      </c>
      <c r="V38" s="121" t="n">
        <v>76</v>
      </c>
      <c r="W38" s="122" t="n">
        <f aca="false">M38-N38-O38-P38-Q38-R38-S38-T38+U38+V38-AR38</f>
        <v>474.301403</v>
      </c>
      <c r="X38" s="95" t="n">
        <f aca="false">X37+AO38</f>
        <v>883.375791</v>
      </c>
      <c r="Y38" s="95" t="n">
        <f aca="false">Y37-(AP37/1.9835)</f>
        <v>1680.83065980211</v>
      </c>
      <c r="Z38" s="95"/>
      <c r="AA38" s="121" t="n">
        <v>190</v>
      </c>
      <c r="AB38" s="123" t="n">
        <v>1.7</v>
      </c>
      <c r="AC38" s="124" t="n">
        <v>1.3</v>
      </c>
      <c r="AD38" s="438" t="n">
        <v>132</v>
      </c>
      <c r="AE38" s="393" t="n">
        <f aca="false">AE37-AD38</f>
        <v>15634.2578774893</v>
      </c>
      <c r="AF38" s="85" t="n">
        <v>0</v>
      </c>
      <c r="AG38" s="121" t="n">
        <f aca="false">N38+O38+P38+Q38+R38+S38+T38+W38+AA38+AD38</f>
        <v>910</v>
      </c>
      <c r="AH38" s="121" t="n">
        <f aca="false">IF(L38&lt;0,L38*-1,0)</f>
        <v>59.0401840181498</v>
      </c>
      <c r="AI38" s="121" t="n">
        <f aca="false">AG38+AH38</f>
        <v>969.04018401815</v>
      </c>
      <c r="AJ38" s="88" t="n">
        <v>0</v>
      </c>
      <c r="AK38" s="89" t="n">
        <v>87</v>
      </c>
      <c r="AL38" s="90" t="n">
        <v>51</v>
      </c>
      <c r="AM38" s="382" t="n">
        <f aca="false">AM37</f>
        <v>13022.27255</v>
      </c>
      <c r="AN38" s="382"/>
      <c r="AO38" s="382" t="n">
        <f aca="false">795-W38</f>
        <v>320.698597</v>
      </c>
      <c r="AP38" s="215" t="n">
        <f aca="false">64*(X37*1.9835+Y38*1.9835+AO38*1.9835)/E38</f>
        <v>1.41767980075008</v>
      </c>
      <c r="AQ38" s="383"/>
      <c r="AR38" s="11"/>
    </row>
    <row r="39" customFormat="false" ht="12.95" hidden="false" customHeight="true" outlineLevel="0" collapsed="false">
      <c r="A39" s="8" t="n">
        <f aca="false">A38+1</f>
        <v>28</v>
      </c>
      <c r="B39" s="384" t="n">
        <v>6924.03</v>
      </c>
      <c r="C39" s="83" t="n">
        <v>381294</v>
      </c>
      <c r="D39" s="89" t="n">
        <f aca="false">C39-C38</f>
        <v>-314</v>
      </c>
      <c r="E39" s="83" t="n">
        <f aca="false">C39-152000</f>
        <v>229294</v>
      </c>
      <c r="F39" s="389" t="n">
        <f aca="false">D39/$D$2</f>
        <v>-158.306024703806</v>
      </c>
      <c r="G39" s="121" t="n">
        <v>739</v>
      </c>
      <c r="H39" s="383" t="n">
        <v>0.16</v>
      </c>
      <c r="I39" s="121" t="n">
        <f aca="false">G39+H39</f>
        <v>739.16</v>
      </c>
      <c r="J39" s="390" t="n">
        <f aca="false">IF(L39&gt;0,L39,0)</f>
        <v>0</v>
      </c>
      <c r="K39" s="121" t="n">
        <f aca="false">I39+J39</f>
        <v>739.16</v>
      </c>
      <c r="L39" s="121" t="n">
        <f aca="false">F39-(I39-AG39)</f>
        <v>-39.4660247038064</v>
      </c>
      <c r="M39" s="123" t="n">
        <v>305</v>
      </c>
      <c r="N39" s="215" t="n">
        <f aca="false">1.8299*1.03</f>
        <v>1.884797</v>
      </c>
      <c r="O39" s="396" t="n">
        <f aca="false">(34+35)*1.05</f>
        <v>72.45</v>
      </c>
      <c r="P39" s="324" t="n">
        <v>0</v>
      </c>
      <c r="Q39" s="215" t="n">
        <f aca="false">2.69*1.02</f>
        <v>2.7438</v>
      </c>
      <c r="R39" s="215" t="n">
        <v>4.2</v>
      </c>
      <c r="S39" s="324" t="n">
        <v>3.27</v>
      </c>
      <c r="T39" s="381" t="n">
        <v>0</v>
      </c>
      <c r="U39" s="121" t="n">
        <v>149</v>
      </c>
      <c r="V39" s="121" t="n">
        <v>76</v>
      </c>
      <c r="W39" s="122" t="n">
        <f aca="false">M39-N39-O39-P39-Q39-R39-S39-T39+U39+V39-AR39</f>
        <v>445.451403</v>
      </c>
      <c r="X39" s="95" t="n">
        <f aca="false">X38+AO39</f>
        <v>1168.440588</v>
      </c>
      <c r="Y39" s="95" t="n">
        <f aca="false">Y38-(AP38/1.9835)</f>
        <v>1680.11592332581</v>
      </c>
      <c r="Z39" s="95"/>
      <c r="AA39" s="121" t="n">
        <v>196</v>
      </c>
      <c r="AB39" s="123" t="n">
        <v>1.7</v>
      </c>
      <c r="AC39" s="124" t="n">
        <v>1.3</v>
      </c>
      <c r="AD39" s="438" t="n">
        <v>132</v>
      </c>
      <c r="AE39" s="393" t="n">
        <f aca="false">AE38-AD39</f>
        <v>15502.2578774893</v>
      </c>
      <c r="AF39" s="85" t="n">
        <v>0</v>
      </c>
      <c r="AG39" s="121" t="n">
        <f aca="false">N39+O39+P39+Q39+R39+S39+T39+W39+AA39+AD39</f>
        <v>858</v>
      </c>
      <c r="AH39" s="121" t="n">
        <f aca="false">IF(L39&lt;0,L39*-1,0)</f>
        <v>39.4660247038064</v>
      </c>
      <c r="AI39" s="121" t="n">
        <f aca="false">AG39+AH39</f>
        <v>897.466024703807</v>
      </c>
      <c r="AJ39" s="88" t="n">
        <v>0</v>
      </c>
      <c r="AK39" s="89" t="n">
        <v>88</v>
      </c>
      <c r="AL39" s="90" t="n">
        <v>55</v>
      </c>
      <c r="AM39" s="382" t="n">
        <f aca="false">AM38</f>
        <v>13022.27255</v>
      </c>
      <c r="AN39" s="382"/>
      <c r="AO39" s="382" t="n">
        <f aca="false">I39-Q39-R39-W39-AB39</f>
        <v>285.064797</v>
      </c>
      <c r="AP39" s="215" t="n">
        <f aca="false">64*(X38*1.9835+Y39*1.9835+AO39*1.9835)/E39</f>
        <v>1.57704587897522</v>
      </c>
      <c r="AQ39" s="383"/>
      <c r="AR39" s="11"/>
    </row>
    <row r="40" customFormat="false" ht="12.95" hidden="false" customHeight="true" outlineLevel="0" collapsed="false">
      <c r="A40" s="8" t="n">
        <f aca="false">A39+1</f>
        <v>29</v>
      </c>
      <c r="B40" s="384" t="n">
        <v>6923.95</v>
      </c>
      <c r="C40" s="83" t="n">
        <v>380937</v>
      </c>
      <c r="D40" s="89" t="n">
        <f aca="false">C40-C39</f>
        <v>-357</v>
      </c>
      <c r="E40" s="83" t="n">
        <f aca="false">C40-152000</f>
        <v>228937</v>
      </c>
      <c r="F40" s="389" t="n">
        <f aca="false">D40/$D$2</f>
        <v>-179.98487522057</v>
      </c>
      <c r="G40" s="121" t="n">
        <v>703</v>
      </c>
      <c r="H40" s="383" t="n">
        <v>0.17</v>
      </c>
      <c r="I40" s="121" t="n">
        <f aca="false">G40+H40</f>
        <v>703.17</v>
      </c>
      <c r="J40" s="390" t="n">
        <f aca="false">IF(L40&gt;0,L40,0)</f>
        <v>0</v>
      </c>
      <c r="K40" s="121" t="n">
        <f aca="false">I40+J40</f>
        <v>703.17</v>
      </c>
      <c r="L40" s="121" t="n">
        <f aca="false">F40-(I40-AG40)</f>
        <v>-19.1548752205697</v>
      </c>
      <c r="M40" s="123" t="n">
        <v>294</v>
      </c>
      <c r="N40" s="215" t="n">
        <f aca="false">1.8299*1.03</f>
        <v>1.884797</v>
      </c>
      <c r="O40" s="396" t="n">
        <f aca="false">(28+31)*1.05</f>
        <v>61.95</v>
      </c>
      <c r="P40" s="324" t="n">
        <v>0</v>
      </c>
      <c r="Q40" s="215" t="n">
        <f aca="false">2.69*1.02</f>
        <v>2.7438</v>
      </c>
      <c r="R40" s="215" t="n">
        <v>4.2</v>
      </c>
      <c r="S40" s="324" t="n">
        <v>4.17</v>
      </c>
      <c r="T40" s="381" t="n">
        <v>0</v>
      </c>
      <c r="U40" s="121" t="n">
        <v>156</v>
      </c>
      <c r="V40" s="121" t="n">
        <v>76</v>
      </c>
      <c r="W40" s="122" t="n">
        <f aca="false">M40-N40-O40-P40-Q40-R40-S40-T40+U40+V40-AR40</f>
        <v>451.051403</v>
      </c>
      <c r="X40" s="95" t="n">
        <f aca="false">X39+AO40</f>
        <v>1411.915385</v>
      </c>
      <c r="Y40" s="95" t="n">
        <f aca="false">Y39-(AP39/1.9835)</f>
        <v>1679.32084095678</v>
      </c>
      <c r="Z40" s="95"/>
      <c r="AA40" s="121" t="n">
        <v>206</v>
      </c>
      <c r="AB40" s="123" t="n">
        <v>1.7</v>
      </c>
      <c r="AC40" s="124" t="n">
        <v>1.3</v>
      </c>
      <c r="AD40" s="438" t="n">
        <v>132</v>
      </c>
      <c r="AE40" s="393" t="n">
        <f aca="false">AE39-AD40</f>
        <v>15370.2578774893</v>
      </c>
      <c r="AF40" s="85" t="n">
        <v>0</v>
      </c>
      <c r="AG40" s="121" t="n">
        <f aca="false">N40+O40+P40+Q40+R40+S40+T40+W40+AA40+AD40</f>
        <v>864</v>
      </c>
      <c r="AH40" s="121" t="n">
        <f aca="false">IF(L40&lt;0,L40*-1,0)</f>
        <v>19.1548752205697</v>
      </c>
      <c r="AI40" s="121" t="n">
        <f aca="false">AG40+AH40</f>
        <v>883.15487522057</v>
      </c>
      <c r="AJ40" s="88" t="n">
        <v>0</v>
      </c>
      <c r="AK40" s="89" t="n">
        <v>83</v>
      </c>
      <c r="AL40" s="90" t="n">
        <v>56</v>
      </c>
      <c r="AM40" s="382" t="n">
        <f aca="false">AM39</f>
        <v>13022.27255</v>
      </c>
      <c r="AN40" s="382"/>
      <c r="AO40" s="382" t="n">
        <f aca="false">I40-Q40-R40-W40-AB40</f>
        <v>243.474797</v>
      </c>
      <c r="AP40" s="215" t="n">
        <f aca="false">64*(X39*1.9835+Y40*1.9835+AO40*1.9835)/E40</f>
        <v>1.71406933552836</v>
      </c>
      <c r="AQ40" s="383"/>
      <c r="AR40" s="11"/>
    </row>
    <row r="41" customFormat="false" ht="12.95" hidden="false" customHeight="true" outlineLevel="0" collapsed="false">
      <c r="A41" s="8" t="n">
        <v>30</v>
      </c>
      <c r="B41" s="384" t="n">
        <v>6923.8</v>
      </c>
      <c r="C41" s="83" t="n">
        <v>380492</v>
      </c>
      <c r="D41" s="89" t="n">
        <f aca="false">C41-C40</f>
        <v>-445</v>
      </c>
      <c r="E41" s="83" t="n">
        <f aca="false">C41-152000</f>
        <v>228492</v>
      </c>
      <c r="F41" s="389" t="n">
        <f aca="false">D41/$D$2</f>
        <v>-224.350894882783</v>
      </c>
      <c r="G41" s="121" t="n">
        <v>657</v>
      </c>
      <c r="H41" s="383" t="n">
        <v>0.21</v>
      </c>
      <c r="I41" s="121" t="n">
        <f aca="false">G41+H41</f>
        <v>657.21</v>
      </c>
      <c r="J41" s="390" t="n">
        <f aca="false">IF(L41&gt;0,L41,0)</f>
        <v>14.439105117217</v>
      </c>
      <c r="K41" s="121" t="n">
        <f aca="false">I41+J41</f>
        <v>671.649105117217</v>
      </c>
      <c r="L41" s="121" t="n">
        <f aca="false">F41-(I41-AG41)</f>
        <v>14.439105117217</v>
      </c>
      <c r="M41" s="123" t="n">
        <v>310</v>
      </c>
      <c r="N41" s="215" t="n">
        <f aca="false">1.8299*1.03</f>
        <v>1.884797</v>
      </c>
      <c r="O41" s="396" t="n">
        <f aca="false">(32+35)*1.05</f>
        <v>70.35</v>
      </c>
      <c r="P41" s="324" t="n">
        <v>0</v>
      </c>
      <c r="Q41" s="215" t="n">
        <f aca="false">2.69*1.02</f>
        <v>2.7438</v>
      </c>
      <c r="R41" s="215" t="n">
        <v>4.2</v>
      </c>
      <c r="S41" s="324" t="n">
        <v>3.17</v>
      </c>
      <c r="T41" s="381" t="n">
        <v>0</v>
      </c>
      <c r="U41" s="121" t="n">
        <v>160</v>
      </c>
      <c r="V41" s="121" t="n">
        <v>76</v>
      </c>
      <c r="W41" s="122" t="n">
        <f aca="false">M41-N41-O41-P41-Q41-R41-S41-T41+U41+V41-AR41</f>
        <v>463.651403</v>
      </c>
      <c r="X41" s="95" t="n">
        <f aca="false">X40+AO41</f>
        <v>1596.830182</v>
      </c>
      <c r="Y41" s="95" t="n">
        <f aca="false">Y40-(AP40/1.9835)</f>
        <v>1678.45667693584</v>
      </c>
      <c r="Z41" s="95"/>
      <c r="AA41" s="121" t="n">
        <v>218</v>
      </c>
      <c r="AB41" s="123" t="n">
        <v>1.7</v>
      </c>
      <c r="AC41" s="124" t="n">
        <v>1.3</v>
      </c>
      <c r="AD41" s="438" t="n">
        <v>132</v>
      </c>
      <c r="AE41" s="393" t="n">
        <f aca="false">AE40-AD41</f>
        <v>15238.2578774893</v>
      </c>
      <c r="AF41" s="85" t="n">
        <v>0</v>
      </c>
      <c r="AG41" s="121" t="n">
        <f aca="false">N41+O41+P41+Q41+R41+S41+T41+W41+AA41+AD41</f>
        <v>896</v>
      </c>
      <c r="AH41" s="121" t="n">
        <f aca="false">IF(L41&lt;0,L41*-1,0)</f>
        <v>0</v>
      </c>
      <c r="AI41" s="121" t="n">
        <f aca="false">AG41+AH41</f>
        <v>896</v>
      </c>
      <c r="AJ41" s="88" t="n">
        <v>0</v>
      </c>
      <c r="AK41" s="89" t="n">
        <v>83</v>
      </c>
      <c r="AL41" s="90" t="n">
        <v>54</v>
      </c>
      <c r="AM41" s="382" t="n">
        <f aca="false">AM40</f>
        <v>13022.27255</v>
      </c>
      <c r="AN41" s="382"/>
      <c r="AO41" s="382" t="n">
        <f aca="false">I41-Q41-R41-W41-AB41</f>
        <v>184.914797</v>
      </c>
      <c r="AP41" s="215" t="n">
        <f aca="false">64*(X40*1.9835+Y41*1.9835+AO41*1.9835)/E41</f>
        <v>1.8196611479647</v>
      </c>
      <c r="AQ41" s="383"/>
      <c r="AR41" s="11"/>
    </row>
    <row r="42" customFormat="false" ht="3" hidden="false" customHeight="true" outlineLevel="0" collapsed="false">
      <c r="A42" s="98"/>
      <c r="B42" s="395"/>
      <c r="C42" s="106"/>
      <c r="D42" s="104"/>
      <c r="E42" s="106"/>
      <c r="F42" s="386"/>
      <c r="G42" s="104"/>
      <c r="H42" s="387"/>
      <c r="I42" s="104"/>
      <c r="J42" s="104"/>
      <c r="K42" s="104"/>
      <c r="L42" s="104"/>
      <c r="M42" s="107"/>
      <c r="N42" s="104"/>
      <c r="O42" s="112"/>
      <c r="P42" s="387"/>
      <c r="Q42" s="112"/>
      <c r="R42" s="112"/>
      <c r="S42" s="104"/>
      <c r="T42" s="388"/>
      <c r="U42" s="104"/>
      <c r="V42" s="104"/>
      <c r="W42" s="104"/>
      <c r="X42" s="106"/>
      <c r="Y42" s="106"/>
      <c r="Z42" s="106"/>
      <c r="AA42" s="104"/>
      <c r="AB42" s="107"/>
      <c r="AC42" s="108"/>
      <c r="AD42" s="104"/>
      <c r="AE42" s="440"/>
      <c r="AF42" s="104"/>
      <c r="AG42" s="104"/>
      <c r="AH42" s="104"/>
      <c r="AI42" s="104"/>
      <c r="AJ42" s="109"/>
      <c r="AK42" s="110"/>
      <c r="AL42" s="111"/>
      <c r="AM42" s="110"/>
      <c r="AN42" s="110"/>
      <c r="AO42" s="110"/>
      <c r="AP42" s="234"/>
      <c r="AQ42" s="234"/>
      <c r="AR42" s="240"/>
      <c r="AS42" s="237"/>
    </row>
    <row r="43" customFormat="false" ht="12.95" hidden="false" customHeight="true" outlineLevel="0" collapsed="false">
      <c r="A43" s="11" t="s">
        <v>79</v>
      </c>
      <c r="B43" s="380"/>
      <c r="C43" s="83"/>
      <c r="D43" s="83"/>
      <c r="E43" s="83"/>
      <c r="F43" s="131" t="n">
        <f aca="false">SUM(F12:F41)</f>
        <v>7632.46785984371</v>
      </c>
      <c r="G43" s="85" t="n">
        <f aca="false">SUM(G12:G41)</f>
        <v>50447</v>
      </c>
      <c r="H43" s="383" t="n">
        <f aca="false">SUM(H12:H41)</f>
        <v>180.85</v>
      </c>
      <c r="I43" s="85" t="n">
        <f aca="false">SUM(I12:I41)</f>
        <v>50627.85</v>
      </c>
      <c r="J43" s="85" t="n">
        <f aca="false">SUM(J12:J41)</f>
        <v>1601.19697252332</v>
      </c>
      <c r="K43" s="85" t="n">
        <f aca="false">SUM(K12:K41)</f>
        <v>52229.0469725233</v>
      </c>
      <c r="L43" s="85" t="n">
        <f aca="false">SUM(L12:L41)</f>
        <v>1134.41785984371</v>
      </c>
      <c r="M43" s="86" t="n">
        <f aca="false">SUM(M12:M41)</f>
        <v>9316</v>
      </c>
      <c r="N43" s="83" t="n">
        <f aca="false">SUM(N12:N41)</f>
        <v>56.54391</v>
      </c>
      <c r="O43" s="89" t="n">
        <f aca="false">SUM(O12:O41)</f>
        <v>2668.05</v>
      </c>
      <c r="P43" s="324" t="n">
        <f aca="false">SUM(P12:P41)</f>
        <v>0</v>
      </c>
      <c r="Q43" s="89" t="n">
        <f aca="false">SUM(Q12:Q41)</f>
        <v>82.314</v>
      </c>
      <c r="R43" s="89" t="n">
        <f aca="false">SUM(R12:R41)</f>
        <v>126</v>
      </c>
      <c r="S43" s="89" t="n">
        <f aca="false">SUM(S12:S41)</f>
        <v>108.79</v>
      </c>
      <c r="T43" s="400" t="n">
        <f aca="false">SUM(T12:T41)</f>
        <v>0</v>
      </c>
      <c r="U43" s="85" t="n">
        <f aca="false">SUM(U12:U41)</f>
        <v>5990</v>
      </c>
      <c r="V43" s="85" t="n">
        <f aca="false">SUM(V12:V41)</f>
        <v>2217</v>
      </c>
      <c r="W43" s="85" t="n">
        <f aca="false">SUM(W12:W41)</f>
        <v>14523.10209</v>
      </c>
      <c r="X43" s="85"/>
      <c r="Y43" s="85"/>
      <c r="Z43" s="85"/>
      <c r="AA43" s="85" t="n">
        <f aca="false">SUM(AA12:AA41)</f>
        <v>6564</v>
      </c>
      <c r="AB43" s="85" t="n">
        <f aca="false">SUM(AB12:AB41)</f>
        <v>51</v>
      </c>
      <c r="AC43" s="85" t="n">
        <f aca="false">SUM(AC12:AC41)</f>
        <v>39</v>
      </c>
      <c r="AD43" s="85" t="n">
        <f aca="false">SUM(AD12:AD41)</f>
        <v>20001</v>
      </c>
      <c r="AE43" s="85"/>
      <c r="AF43" s="85" t="n">
        <f aca="false">SUM(AF12:AF41)</f>
        <v>19208</v>
      </c>
      <c r="AG43" s="85" t="n">
        <f aca="false">SUM(AG12:AG41)</f>
        <v>44129.8</v>
      </c>
      <c r="AH43" s="85" t="n">
        <f aca="false">SUM(AH12:AH41)</f>
        <v>466.779112679607</v>
      </c>
      <c r="AI43" s="85" t="n">
        <f aca="false">SUM(AI12:AI41)</f>
        <v>44596.5791126796</v>
      </c>
      <c r="AJ43" s="88" t="n">
        <f aca="false">SUM(AJ12:AJ41)</f>
        <v>0.27</v>
      </c>
      <c r="AK43" s="89" t="n">
        <f aca="false">AVERAGE(AK12:AK41)</f>
        <v>80.5333333333333</v>
      </c>
      <c r="AL43" s="90" t="n">
        <f aca="false">AVERAGE(AL12:AL41)</f>
        <v>46.1333333333333</v>
      </c>
      <c r="AM43" s="382" t="s">
        <v>110</v>
      </c>
      <c r="AN43" s="85" t="n">
        <f aca="false">SUM(AN12:AN41)</f>
        <v>0</v>
      </c>
      <c r="AO43" s="121"/>
      <c r="AP43" s="215"/>
      <c r="AQ43" s="383" t="n">
        <f aca="false">SUM(AQ12:AQ41)</f>
        <v>0</v>
      </c>
      <c r="AR43" s="382" t="n">
        <f aca="false">SUM(AR12:AR41)</f>
        <v>0</v>
      </c>
      <c r="AS43" s="91" t="n">
        <f aca="false">SUM(AS12:AS41)</f>
        <v>41.8</v>
      </c>
    </row>
    <row r="44" customFormat="false" ht="12.95" hidden="false" customHeight="true" outlineLevel="0" collapsed="false">
      <c r="A44" s="11" t="s">
        <v>81</v>
      </c>
      <c r="B44" s="380"/>
      <c r="C44" s="83"/>
      <c r="D44" s="83" t="n">
        <f aca="false">SUM(D12:D41)</f>
        <v>15139</v>
      </c>
      <c r="E44" s="83"/>
      <c r="F44" s="131" t="n">
        <f aca="false">F43*$D$2</f>
        <v>15139</v>
      </c>
      <c r="G44" s="85" t="n">
        <f aca="false">G43*$D$2</f>
        <v>100061.6245</v>
      </c>
      <c r="H44" s="383" t="n">
        <f aca="false">H43*$D$2</f>
        <v>358.715975</v>
      </c>
      <c r="I44" s="85" t="n">
        <f aca="false">I43*$D$2</f>
        <v>100420.340475</v>
      </c>
      <c r="J44" s="85" t="n">
        <f aca="false">J43*$D$2</f>
        <v>3175.974195</v>
      </c>
      <c r="K44" s="85" t="n">
        <f aca="false">K43*$D$2</f>
        <v>103596.31467</v>
      </c>
      <c r="L44" s="85" t="n">
        <f aca="false">L43*$D$2</f>
        <v>2250.117825</v>
      </c>
      <c r="M44" s="86" t="n">
        <f aca="false">M43*$D$2</f>
        <v>18478.286</v>
      </c>
      <c r="N44" s="83" t="n">
        <f aca="false">N43*$D$2</f>
        <v>112.154845485</v>
      </c>
      <c r="O44" s="89" t="n">
        <f aca="false">O43*$D$2</f>
        <v>5292.077175</v>
      </c>
      <c r="P44" s="324" t="n">
        <f aca="false">P43*$D$2</f>
        <v>0</v>
      </c>
      <c r="Q44" s="89" t="n">
        <f aca="false">Q43*$D$2</f>
        <v>163.269819</v>
      </c>
      <c r="R44" s="89" t="n">
        <f aca="false">R43*$D$2</f>
        <v>249.921</v>
      </c>
      <c r="S44" s="89" t="n">
        <f aca="false">S43*$D$2</f>
        <v>215.784965</v>
      </c>
      <c r="T44" s="400" t="n">
        <f aca="false">T43*$D$2</f>
        <v>0</v>
      </c>
      <c r="U44" s="85" t="n">
        <f aca="false">U43*$D$2</f>
        <v>11881.165</v>
      </c>
      <c r="V44" s="85" t="n">
        <f aca="false">V43*$D$2</f>
        <v>4397.4195</v>
      </c>
      <c r="W44" s="85" t="n">
        <f aca="false">W43*$D$2</f>
        <v>28806.572995515</v>
      </c>
      <c r="X44" s="85"/>
      <c r="Y44" s="85"/>
      <c r="Z44" s="85"/>
      <c r="AA44" s="85" t="n">
        <f aca="false">AA43*$D$2</f>
        <v>13019.694</v>
      </c>
      <c r="AB44" s="85" t="n">
        <f aca="false">AB43*$D$2</f>
        <v>101.1585</v>
      </c>
      <c r="AC44" s="85" t="n">
        <f aca="false">AC43*$D$2</f>
        <v>77.3565</v>
      </c>
      <c r="AD44" s="85" t="n">
        <f aca="false">AD43*$D$2</f>
        <v>39671.9835</v>
      </c>
      <c r="AE44" s="85"/>
      <c r="AF44" s="85" t="n">
        <f aca="false">AF43*$D$2</f>
        <v>38099.068</v>
      </c>
      <c r="AG44" s="85" t="n">
        <f aca="false">AG43*$D$2</f>
        <v>87531.4583</v>
      </c>
      <c r="AH44" s="85" t="n">
        <f aca="false">AH43*$D$2</f>
        <v>925.85637</v>
      </c>
      <c r="AI44" s="85" t="n">
        <f aca="false">AI43*$D$2</f>
        <v>88457.31467</v>
      </c>
      <c r="AJ44" s="88"/>
      <c r="AK44" s="89" t="n">
        <f aca="false">MAX(AK12:AK41)</f>
        <v>88</v>
      </c>
      <c r="AL44" s="90" t="n">
        <f aca="false">MAX(AL12:AL41)</f>
        <v>56</v>
      </c>
      <c r="AM44" s="382" t="s">
        <v>82</v>
      </c>
      <c r="AN44" s="85" t="n">
        <f aca="false">AN43*$D$2</f>
        <v>0</v>
      </c>
      <c r="AO44" s="121"/>
      <c r="AP44" s="215" t="n">
        <f aca="false">SUM(AP12:AP41)</f>
        <v>31.436099135742</v>
      </c>
      <c r="AQ44" s="215" t="n">
        <f aca="false">AQ43*$D$2</f>
        <v>0</v>
      </c>
      <c r="AR44" s="133" t="n">
        <f aca="false">AR43*$D$2</f>
        <v>0</v>
      </c>
      <c r="AS44" s="218" t="n">
        <f aca="false">AS43*$D$2</f>
        <v>82.9103</v>
      </c>
    </row>
    <row r="45" customFormat="false" ht="3" hidden="false" customHeight="true" outlineLevel="0" collapsed="false">
      <c r="A45" s="98"/>
      <c r="B45" s="395"/>
      <c r="C45" s="106"/>
      <c r="D45" s="106"/>
      <c r="E45" s="106"/>
      <c r="F45" s="138"/>
      <c r="G45" s="106"/>
      <c r="H45" s="387"/>
      <c r="I45" s="106"/>
      <c r="J45" s="106"/>
      <c r="K45" s="106"/>
      <c r="L45" s="106"/>
      <c r="M45" s="136"/>
      <c r="N45" s="106"/>
      <c r="O45" s="110"/>
      <c r="P45" s="387"/>
      <c r="Q45" s="112"/>
      <c r="R45" s="112"/>
      <c r="S45" s="106"/>
      <c r="T45" s="137"/>
      <c r="U45" s="106"/>
      <c r="V45" s="106"/>
      <c r="W45" s="106"/>
      <c r="X45" s="106"/>
      <c r="Y45" s="106"/>
      <c r="Z45" s="106"/>
      <c r="AA45" s="106"/>
      <c r="AB45" s="106"/>
      <c r="AC45" s="106"/>
      <c r="AD45" s="106"/>
      <c r="AE45" s="104"/>
      <c r="AF45" s="106"/>
      <c r="AG45" s="106"/>
      <c r="AH45" s="106"/>
      <c r="AI45" s="106"/>
      <c r="AJ45" s="397"/>
      <c r="AK45" s="106"/>
      <c r="AL45" s="138"/>
      <c r="AM45" s="106"/>
      <c r="AN45" s="106"/>
      <c r="AO45" s="106"/>
      <c r="AP45" s="234"/>
      <c r="AQ45" s="234"/>
      <c r="AR45" s="240"/>
      <c r="AS45" s="237"/>
    </row>
    <row r="46" customFormat="false" ht="12.95" hidden="false" customHeight="true" outlineLevel="0" collapsed="false">
      <c r="A46" s="11" t="s">
        <v>83</v>
      </c>
      <c r="B46" s="380"/>
      <c r="C46" s="83"/>
      <c r="D46" s="83"/>
      <c r="E46" s="83"/>
      <c r="F46" s="131" t="n">
        <f aca="false">F9+F43</f>
        <v>41377.8674061003</v>
      </c>
      <c r="G46" s="85" t="n">
        <f aca="false">G9+G43</f>
        <v>143841</v>
      </c>
      <c r="H46" s="91" t="n">
        <f aca="false">H9+H43</f>
        <v>8800.85</v>
      </c>
      <c r="I46" s="85" t="n">
        <f aca="false">I9+I43</f>
        <v>152641.85</v>
      </c>
      <c r="J46" s="85" t="n">
        <f aca="false">J9+J43</f>
        <v>25581.9965187799</v>
      </c>
      <c r="K46" s="85" t="n">
        <f aca="false">K9+K43</f>
        <v>178223.84651878</v>
      </c>
      <c r="L46" s="85" t="n">
        <f aca="false">L9+L43</f>
        <v>25115.2174061003</v>
      </c>
      <c r="M46" s="86" t="n">
        <f aca="false">M9+M43</f>
        <v>21512.8</v>
      </c>
      <c r="N46" s="83" t="n">
        <f aca="false">N9+N43</f>
        <v>171.516527</v>
      </c>
      <c r="O46" s="89" t="n">
        <f aca="false">O9+O43</f>
        <v>7077.5985</v>
      </c>
      <c r="P46" s="324" t="n">
        <f aca="false">P9+P43</f>
        <v>7.32</v>
      </c>
      <c r="Q46" s="396"/>
      <c r="R46" s="396"/>
      <c r="S46" s="83"/>
      <c r="T46" s="87"/>
      <c r="U46" s="85" t="n">
        <f aca="false">U9+U43</f>
        <v>10985.3</v>
      </c>
      <c r="V46" s="85" t="n">
        <f aca="false">V9+V43</f>
        <v>4373.2</v>
      </c>
      <c r="W46" s="85" t="n">
        <f aca="false">W9+W43</f>
        <v>27806.819173</v>
      </c>
      <c r="X46" s="441" t="n">
        <f aca="false">X41</f>
        <v>1596.830182</v>
      </c>
      <c r="Y46" s="441" t="n">
        <f aca="false">Y41</f>
        <v>1678.45667693584</v>
      </c>
      <c r="Z46" s="441"/>
      <c r="AA46" s="85" t="n">
        <f aca="false">AA9+AA43</f>
        <v>10248.1</v>
      </c>
      <c r="AB46" s="85" t="n">
        <f aca="false">AB9+AB43</f>
        <v>154.7</v>
      </c>
      <c r="AC46" s="85" t="n">
        <f aca="false">AC9+AC43</f>
        <v>118.3</v>
      </c>
      <c r="AD46" s="85"/>
      <c r="AE46" s="441"/>
      <c r="AF46" s="85" t="n">
        <f aca="false">AF9+AF43</f>
        <v>88425</v>
      </c>
      <c r="AG46" s="85" t="n">
        <f aca="false">AG9+AG43</f>
        <v>136379.2</v>
      </c>
      <c r="AH46" s="85" t="n">
        <f aca="false">AH9+AH43</f>
        <v>466.779112679607</v>
      </c>
      <c r="AI46" s="85" t="n">
        <f aca="false">AI9+AI43</f>
        <v>136845.97911268</v>
      </c>
      <c r="AJ46" s="88"/>
      <c r="AK46" s="89" t="n">
        <f aca="false">MIN(AK12:AK41)</f>
        <v>58</v>
      </c>
      <c r="AL46" s="90" t="n">
        <f aca="false">MIN(AL12:AL41)</f>
        <v>32</v>
      </c>
      <c r="AM46" s="382" t="s">
        <v>84</v>
      </c>
      <c r="AN46" s="382"/>
      <c r="AO46" s="121"/>
      <c r="AP46" s="215"/>
      <c r="AQ46" s="215" t="n">
        <f aca="false">AQ9+AQ43</f>
        <v>0</v>
      </c>
      <c r="AR46" s="215" t="n">
        <f aca="false">AR9+AR43</f>
        <v>771.62</v>
      </c>
      <c r="AS46" s="218" t="n">
        <f aca="false">AS9+AS43</f>
        <v>41.8</v>
      </c>
    </row>
    <row r="47" customFormat="false" ht="12.95" hidden="false" customHeight="true" outlineLevel="0" collapsed="false">
      <c r="A47" s="11" t="s">
        <v>85</v>
      </c>
      <c r="B47" s="380"/>
      <c r="C47" s="83"/>
      <c r="D47" s="83"/>
      <c r="E47" s="83"/>
      <c r="F47" s="131" t="n">
        <f aca="false">F46*$D$2</f>
        <v>82073</v>
      </c>
      <c r="G47" s="85" t="n">
        <f aca="false">G46*$D$2</f>
        <v>285308.6235</v>
      </c>
      <c r="H47" s="382" t="n">
        <f aca="false">H46*$D$2</f>
        <v>17456.485975</v>
      </c>
      <c r="I47" s="85" t="n">
        <f aca="false">I46*$D$2</f>
        <v>302765.109475</v>
      </c>
      <c r="J47" s="85" t="n">
        <f aca="false">J46*$D$2</f>
        <v>50741.890095</v>
      </c>
      <c r="K47" s="85" t="n">
        <f aca="false">K46*$D$2</f>
        <v>353506.99957</v>
      </c>
      <c r="L47" s="85" t="n">
        <f aca="false">L46*$D$2</f>
        <v>49816.033725</v>
      </c>
      <c r="M47" s="86" t="n">
        <f aca="false">M46*$D$2</f>
        <v>42670.6388</v>
      </c>
      <c r="N47" s="83" t="n">
        <f aca="false">N46*$D$2</f>
        <v>340.2030313045</v>
      </c>
      <c r="O47" s="89" t="n">
        <f aca="false">O46*$D$2</f>
        <v>14038.41662475</v>
      </c>
      <c r="P47" s="324" t="n">
        <f aca="false">P46*$D$2</f>
        <v>14.51922</v>
      </c>
      <c r="Q47" s="396"/>
      <c r="R47" s="396"/>
      <c r="S47" s="83"/>
      <c r="T47" s="87"/>
      <c r="U47" s="85" t="n">
        <f aca="false">U46*$D$2</f>
        <v>21789.34255</v>
      </c>
      <c r="V47" s="85" t="n">
        <f aca="false">V46*$D$2</f>
        <v>8674.2422</v>
      </c>
      <c r="W47" s="85" t="n">
        <f aca="false">W46*$D$2</f>
        <v>55154.8258296455</v>
      </c>
      <c r="X47" s="85" t="n">
        <f aca="false">X46*$D$2</f>
        <v>3167.312665997</v>
      </c>
      <c r="Y47" s="85" t="n">
        <f aca="false">Y46*$D$2</f>
        <v>3329.21881870224</v>
      </c>
      <c r="Z47" s="85"/>
      <c r="AA47" s="85" t="n">
        <f aca="false">AA46*$D$2</f>
        <v>20327.10635</v>
      </c>
      <c r="AB47" s="85" t="n">
        <f aca="false">AB46*$D$2</f>
        <v>306.84745</v>
      </c>
      <c r="AC47" s="85" t="n">
        <f aca="false">AC46*$D$2</f>
        <v>234.64805</v>
      </c>
      <c r="AD47" s="85"/>
      <c r="AE47" s="85"/>
      <c r="AF47" s="85" t="n">
        <f aca="false">AF46*$D$2</f>
        <v>175390.9875</v>
      </c>
      <c r="AG47" s="85" t="n">
        <f aca="false">AG46*$D$2</f>
        <v>270508.1432</v>
      </c>
      <c r="AH47" s="85" t="n">
        <f aca="false">AH46*$D$2</f>
        <v>925.85637</v>
      </c>
      <c r="AI47" s="85" t="n">
        <f aca="false">AI46*$D$2</f>
        <v>271433.99957</v>
      </c>
      <c r="AJ47" s="88"/>
      <c r="AK47" s="89"/>
      <c r="AL47" s="90"/>
      <c r="AM47" s="382"/>
      <c r="AN47" s="382"/>
      <c r="AO47" s="121"/>
      <c r="AP47" s="215" t="n">
        <f aca="false">AP9+AP44</f>
        <v>73.8652883719409</v>
      </c>
      <c r="AQ47" s="383" t="n">
        <f aca="false">AQ46*$D$2</f>
        <v>0</v>
      </c>
      <c r="AR47" s="382" t="n">
        <f aca="false">AR46*$D$2</f>
        <v>1530.50827</v>
      </c>
      <c r="AS47" s="91" t="n">
        <f aca="false">AS46*$D$2</f>
        <v>82.9103</v>
      </c>
    </row>
    <row r="48" customFormat="false" ht="3" hidden="false" customHeight="true" outlineLevel="0" collapsed="false">
      <c r="A48" s="98"/>
      <c r="B48" s="395"/>
      <c r="C48" s="106"/>
      <c r="D48" s="106"/>
      <c r="E48" s="106"/>
      <c r="F48" s="138"/>
      <c r="G48" s="106"/>
      <c r="H48" s="112"/>
      <c r="I48" s="106"/>
      <c r="J48" s="106"/>
      <c r="K48" s="106"/>
      <c r="L48" s="106"/>
      <c r="M48" s="136"/>
      <c r="N48" s="106"/>
      <c r="O48" s="110"/>
      <c r="P48" s="387"/>
      <c r="Q48" s="112"/>
      <c r="R48" s="112"/>
      <c r="S48" s="106"/>
      <c r="T48" s="137"/>
      <c r="U48" s="106"/>
      <c r="V48" s="106"/>
      <c r="W48" s="106"/>
      <c r="X48" s="106"/>
      <c r="Y48" s="106"/>
      <c r="Z48" s="106"/>
      <c r="AA48" s="106"/>
      <c r="AB48" s="106"/>
      <c r="AC48" s="106"/>
      <c r="AD48" s="106"/>
      <c r="AE48" s="106"/>
      <c r="AF48" s="106"/>
      <c r="AG48" s="106"/>
      <c r="AH48" s="106"/>
      <c r="AI48" s="106"/>
      <c r="AJ48" s="109"/>
      <c r="AK48" s="398"/>
      <c r="AL48" s="399"/>
      <c r="AM48" s="398"/>
      <c r="AN48" s="398"/>
      <c r="AO48" s="398"/>
      <c r="AP48" s="234"/>
      <c r="AQ48" s="234"/>
      <c r="AR48" s="240"/>
      <c r="AS48" s="237"/>
    </row>
    <row r="49" customFormat="false" ht="12.95" hidden="false" customHeight="true" outlineLevel="0" collapsed="false">
      <c r="A49" s="11" t="s">
        <v>86</v>
      </c>
      <c r="B49" s="380"/>
      <c r="C49" s="83"/>
      <c r="D49" s="83"/>
      <c r="E49" s="83"/>
      <c r="F49" s="131" t="n">
        <f aca="false">F10+F43</f>
        <v>46691.706579279</v>
      </c>
      <c r="G49" s="85" t="n">
        <f aca="false">G10+G43</f>
        <v>160105</v>
      </c>
      <c r="H49" s="382" t="n">
        <f aca="false">H10+H43</f>
        <v>10946.99</v>
      </c>
      <c r="I49" s="85" t="n">
        <f aca="false">I10+I43</f>
        <v>171051.99</v>
      </c>
      <c r="J49" s="85" t="n">
        <f aca="false">J10+J43</f>
        <v>32580.1222586337</v>
      </c>
      <c r="K49" s="85" t="n">
        <f aca="false">K10+K43</f>
        <v>203632.112258634</v>
      </c>
      <c r="L49" s="85" t="n">
        <f aca="false">L10+L43</f>
        <v>30091.4765792791</v>
      </c>
      <c r="M49" s="86" t="n">
        <f aca="false">M10+M43</f>
        <v>22425.6</v>
      </c>
      <c r="N49" s="83" t="n">
        <f aca="false">N10+N43</f>
        <v>171.516527</v>
      </c>
      <c r="O49" s="89" t="n">
        <f aca="false">O10+O43</f>
        <v>7077.5985</v>
      </c>
      <c r="P49" s="324"/>
      <c r="Q49" s="89" t="n">
        <f aca="false">Q10+Q43</f>
        <v>419.6688</v>
      </c>
      <c r="R49" s="89" t="n">
        <f aca="false">R10+R43</f>
        <v>798.673</v>
      </c>
      <c r="S49" s="89" t="n">
        <f aca="false">S10+S43</f>
        <v>115.41</v>
      </c>
      <c r="T49" s="400" t="n">
        <f aca="false">T10+T43</f>
        <v>-94.5288</v>
      </c>
      <c r="U49" s="85" t="n">
        <f aca="false">U10+U43</f>
        <v>17050.26</v>
      </c>
      <c r="V49" s="85" t="n">
        <f aca="false">V10+V43</f>
        <v>4458</v>
      </c>
      <c r="W49" s="85" t="n">
        <f aca="false">W10+W43</f>
        <v>34259.119173</v>
      </c>
      <c r="X49" s="85"/>
      <c r="Y49" s="85"/>
      <c r="Z49" s="85"/>
      <c r="AA49" s="85"/>
      <c r="AB49" s="85"/>
      <c r="AC49" s="85"/>
      <c r="AD49" s="85" t="n">
        <f aca="false">AD10+AD43</f>
        <v>100228</v>
      </c>
      <c r="AE49" s="85" t="n">
        <f aca="false">AE41</f>
        <v>15238.2578774893</v>
      </c>
      <c r="AF49" s="85" t="n">
        <f aca="false">AF10+AF43</f>
        <v>94496</v>
      </c>
      <c r="AG49" s="85" t="n">
        <f aca="false">AG10+AG43</f>
        <v>154451.76</v>
      </c>
      <c r="AH49" s="85" t="n">
        <f aca="false">AH10+AH43</f>
        <v>2488.64567935468</v>
      </c>
      <c r="AI49" s="85" t="n">
        <f aca="false">AI10+AI43</f>
        <v>156940.405679355</v>
      </c>
      <c r="AJ49" s="88" t="n">
        <f aca="false">AJ10+AJ43</f>
        <v>11.36</v>
      </c>
      <c r="AK49" s="89"/>
      <c r="AL49" s="90"/>
      <c r="AM49" s="382"/>
      <c r="AN49" s="85" t="n">
        <f aca="false">AN10+AN43</f>
        <v>0</v>
      </c>
      <c r="AO49" s="121"/>
      <c r="AP49" s="215"/>
      <c r="AQ49" s="383" t="n">
        <f aca="false">AQ10+AQ43</f>
        <v>0</v>
      </c>
      <c r="AR49" s="382"/>
    </row>
    <row r="50" customFormat="false" ht="12.95" hidden="false" customHeight="true" outlineLevel="0" collapsed="false">
      <c r="A50" s="11" t="s">
        <v>87</v>
      </c>
      <c r="B50" s="380"/>
      <c r="C50" s="83"/>
      <c r="D50" s="83" t="n">
        <f aca="false">D10+D44</f>
        <v>92538</v>
      </c>
      <c r="E50" s="83" t="n">
        <f aca="false">E41</f>
        <v>228492</v>
      </c>
      <c r="F50" s="131" t="n">
        <f aca="false">F49*$D$2</f>
        <v>92613</v>
      </c>
      <c r="G50" s="85" t="n">
        <f aca="false">G49*$D$2</f>
        <v>317568.2675</v>
      </c>
      <c r="H50" s="382" t="n">
        <f aca="false">H49*$D$2</f>
        <v>21713.354665</v>
      </c>
      <c r="I50" s="85" t="n">
        <f aca="false">I49*$D$2</f>
        <v>339281.622165</v>
      </c>
      <c r="J50" s="85" t="n">
        <f aca="false">J49*$D$2</f>
        <v>64622.6725</v>
      </c>
      <c r="K50" s="85" t="n">
        <f aca="false">K49*$D$2</f>
        <v>403904.294665</v>
      </c>
      <c r="L50" s="85" t="n">
        <f aca="false">L49*$D$2</f>
        <v>59686.443795</v>
      </c>
      <c r="M50" s="86" t="n">
        <f aca="false">M49*$D$2</f>
        <v>44481.1776</v>
      </c>
      <c r="N50" s="83" t="n">
        <f aca="false">N49*$D$2</f>
        <v>340.2030313045</v>
      </c>
      <c r="O50" s="89" t="n">
        <f aca="false">O49*$D$2</f>
        <v>14038.41662475</v>
      </c>
      <c r="P50" s="324"/>
      <c r="Q50" s="89" t="n">
        <f aca="false">Q49*$D$2</f>
        <v>832.4130648</v>
      </c>
      <c r="R50" s="89" t="n">
        <f aca="false">R49*$D$2</f>
        <v>1584.1678955</v>
      </c>
      <c r="S50" s="89" t="n">
        <f aca="false">S49*$D$2</f>
        <v>228.915735</v>
      </c>
      <c r="T50" s="400" t="n">
        <f aca="false">T49*$D$2</f>
        <v>-187.4978748</v>
      </c>
      <c r="U50" s="85" t="n">
        <f aca="false">U49*$D$2</f>
        <v>33819.19071</v>
      </c>
      <c r="V50" s="85" t="n">
        <f aca="false">V49*$D$2</f>
        <v>8842.443</v>
      </c>
      <c r="W50" s="85" t="n">
        <f aca="false">W49*$D$2</f>
        <v>67952.9628796455</v>
      </c>
      <c r="X50" s="85"/>
      <c r="Y50" s="85"/>
      <c r="Z50" s="85"/>
      <c r="AA50" s="85"/>
      <c r="AB50" s="85"/>
      <c r="AC50" s="85"/>
      <c r="AD50" s="85" t="n">
        <f aca="false">AD49*$D$2</f>
        <v>198802.238</v>
      </c>
      <c r="AE50" s="85" t="n">
        <f aca="false">AE49*$D$2</f>
        <v>30225.0845</v>
      </c>
      <c r="AF50" s="85" t="n">
        <f aca="false">AF49*$D$2</f>
        <v>187432.816</v>
      </c>
      <c r="AG50" s="85" t="n">
        <f aca="false">AG49*$D$2</f>
        <v>306355.06596</v>
      </c>
      <c r="AH50" s="85" t="n">
        <f aca="false">AH49*$D$2</f>
        <v>4936.228705</v>
      </c>
      <c r="AI50" s="85" t="n">
        <f aca="false">AI49*$D$2</f>
        <v>311291.294665</v>
      </c>
      <c r="AJ50" s="88"/>
      <c r="AK50" s="89"/>
      <c r="AL50" s="90"/>
      <c r="AM50" s="382" t="n">
        <f aca="false">AM41</f>
        <v>13022.27255</v>
      </c>
      <c r="AN50" s="85" t="n">
        <f aca="false">AN49*$D$2</f>
        <v>0</v>
      </c>
      <c r="AO50" s="121"/>
      <c r="AP50" s="215" t="n">
        <f aca="false">AP10+AP44</f>
        <v>73.8652883719409</v>
      </c>
      <c r="AQ50" s="383" t="n">
        <f aca="false">AQ49*$D$2</f>
        <v>0</v>
      </c>
      <c r="AR50" s="382"/>
    </row>
    <row r="51" customFormat="false" ht="3" hidden="false" customHeight="true" outlineLevel="0" collapsed="false">
      <c r="A51" s="98"/>
      <c r="B51" s="395"/>
      <c r="C51" s="106"/>
      <c r="D51" s="104"/>
      <c r="E51" s="106"/>
      <c r="F51" s="386"/>
      <c r="G51" s="104"/>
      <c r="H51" s="387"/>
      <c r="I51" s="104"/>
      <c r="J51" s="104"/>
      <c r="K51" s="442"/>
      <c r="L51" s="104"/>
      <c r="M51" s="107"/>
      <c r="N51" s="104"/>
      <c r="O51" s="112"/>
      <c r="P51" s="387"/>
      <c r="Q51" s="112"/>
      <c r="R51" s="112"/>
      <c r="S51" s="104"/>
      <c r="T51" s="388"/>
      <c r="U51" s="104"/>
      <c r="V51" s="104"/>
      <c r="W51" s="104"/>
      <c r="X51" s="106"/>
      <c r="Y51" s="106"/>
      <c r="Z51" s="106"/>
      <c r="AA51" s="104"/>
      <c r="AB51" s="103"/>
      <c r="AC51" s="140"/>
      <c r="AD51" s="104"/>
      <c r="AE51" s="106"/>
      <c r="AF51" s="443"/>
      <c r="AG51" s="104"/>
      <c r="AH51" s="104"/>
      <c r="AI51" s="104"/>
      <c r="AJ51" s="395"/>
      <c r="AK51" s="104"/>
      <c r="AL51" s="386"/>
      <c r="AM51" s="104"/>
      <c r="AN51" s="104"/>
      <c r="AO51" s="104"/>
      <c r="AP51" s="234"/>
      <c r="AQ51" s="234"/>
      <c r="AR51" s="234"/>
      <c r="AS51" s="237"/>
    </row>
    <row r="52" customFormat="false" ht="14.1" hidden="false" customHeight="true" outlineLevel="0" collapsed="false">
      <c r="A52" s="144"/>
      <c r="B52" s="146"/>
      <c r="D52" s="11"/>
      <c r="E52" s="444"/>
      <c r="I52" s="11"/>
      <c r="J52" s="11"/>
      <c r="K52" s="445"/>
      <c r="L52" s="96"/>
      <c r="M52" s="11"/>
      <c r="N52" s="11"/>
      <c r="S52" s="11"/>
      <c r="U52" s="11"/>
      <c r="V52" s="11"/>
      <c r="W52" s="11"/>
      <c r="AA52" s="11"/>
      <c r="AB52" s="11"/>
      <c r="AC52" s="11"/>
      <c r="AD52" s="11"/>
      <c r="AE52" s="444"/>
      <c r="AF52" s="446"/>
      <c r="AG52" s="11"/>
      <c r="AH52" s="11"/>
      <c r="AI52" s="11"/>
      <c r="AL52" s="7"/>
      <c r="AM52" s="8"/>
      <c r="AN52" s="8"/>
      <c r="AO52" s="13"/>
      <c r="AP52" s="188"/>
    </row>
    <row r="53" customFormat="false" ht="11.1" hidden="false" customHeight="true" outlineLevel="0" collapsed="false">
      <c r="A53" s="11"/>
      <c r="B53" s="146"/>
      <c r="E53" s="429"/>
      <c r="F53" s="160"/>
      <c r="I53" s="147"/>
      <c r="J53" s="11"/>
      <c r="K53" s="148"/>
      <c r="L53" s="151"/>
      <c r="M53" s="11"/>
      <c r="N53" s="11"/>
      <c r="S53" s="118"/>
      <c r="T53" s="82"/>
      <c r="U53" s="26"/>
      <c r="V53" s="118"/>
      <c r="W53" s="447"/>
      <c r="X53" s="96"/>
      <c r="Y53" s="96"/>
      <c r="Z53" s="96"/>
      <c r="AA53" s="26"/>
      <c r="AB53" s="26"/>
      <c r="AC53" s="26"/>
      <c r="AD53" s="11"/>
      <c r="AE53" s="2"/>
      <c r="AF53" s="93"/>
      <c r="AG53" s="11"/>
      <c r="AH53" s="11"/>
      <c r="AI53" s="11"/>
      <c r="AL53" s="7"/>
      <c r="AM53" s="8"/>
      <c r="AN53" s="8"/>
      <c r="AO53" s="13"/>
    </row>
    <row r="54" customFormat="false" ht="11.1" hidden="false" customHeight="true" outlineLevel="0" collapsed="false">
      <c r="B54" s="96"/>
      <c r="C54" s="96"/>
      <c r="D54" s="10"/>
      <c r="E54" s="429"/>
      <c r="F54" s="224"/>
      <c r="K54" s="448"/>
      <c r="L54" s="430"/>
      <c r="M54" s="449"/>
      <c r="N54" s="449"/>
      <c r="O54" s="450"/>
      <c r="P54" s="451"/>
      <c r="Q54" s="450"/>
      <c r="R54" s="450"/>
      <c r="S54" s="26"/>
      <c r="T54" s="82"/>
      <c r="U54" s="26"/>
      <c r="V54" s="118"/>
      <c r="W54" s="79"/>
      <c r="X54" s="96"/>
      <c r="Y54" s="96"/>
      <c r="Z54" s="96"/>
      <c r="AA54" s="96"/>
      <c r="AB54" s="96"/>
      <c r="AC54" s="96"/>
      <c r="AE54" s="26"/>
      <c r="AF54" s="452"/>
      <c r="AM54" s="312"/>
      <c r="AN54" s="312"/>
      <c r="AO54" s="312"/>
    </row>
    <row r="55" customFormat="false" ht="11.1" hidden="false" customHeight="true" outlineLevel="0" collapsed="false">
      <c r="B55" s="10"/>
      <c r="C55" s="96"/>
      <c r="D55" s="96"/>
      <c r="E55" s="429"/>
      <c r="H55" s="150"/>
      <c r="K55" s="448"/>
      <c r="L55" s="151"/>
      <c r="O55" s="151"/>
      <c r="P55" s="150"/>
      <c r="Q55" s="151"/>
      <c r="R55" s="151"/>
      <c r="S55" s="26"/>
      <c r="T55" s="82"/>
      <c r="U55" s="26"/>
      <c r="V55" s="26"/>
      <c r="W55" s="79"/>
      <c r="X55" s="154"/>
      <c r="Y55" s="154"/>
      <c r="Z55" s="154"/>
      <c r="AA55" s="96"/>
      <c r="AB55" s="96"/>
      <c r="AC55" s="96"/>
      <c r="AE55" s="96"/>
      <c r="AF55" s="224"/>
      <c r="AM55" s="312"/>
      <c r="AN55" s="312"/>
      <c r="AO55" s="312"/>
    </row>
    <row r="56" customFormat="false" ht="11.1" hidden="false" customHeight="true" outlineLevel="0" collapsed="false">
      <c r="B56" s="150"/>
      <c r="C56" s="96"/>
      <c r="D56" s="96"/>
      <c r="E56" s="429"/>
      <c r="F56" s="432"/>
      <c r="G56" s="10"/>
      <c r="K56" s="148"/>
      <c r="X56" s="2"/>
      <c r="Y56" s="2"/>
      <c r="Z56" s="2"/>
      <c r="AM56" s="312"/>
      <c r="AN56" s="312"/>
      <c r="AO56" s="312"/>
    </row>
    <row r="58" customFormat="false" ht="11.1" hidden="false" customHeight="true" outlineLevel="0" collapsed="false">
      <c r="B58" s="145"/>
    </row>
  </sheetData>
  <mergeCells count="1">
    <mergeCell ref="M5:T5"/>
  </mergeCells>
  <printOptions headings="true" gridLines="true" gridLinesSet="true" horizontalCentered="true" verticalCentered="true"/>
  <pageMargins left="0.25" right="0.25" top="0.25" bottom="0" header="0.511811023622047" footer="0.511811023622047"/>
  <pageSetup paperSize="3" scale="63"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24" activePane="bottomRight" state="frozen"/>
      <selection pane="topLeft" activeCell="A1" activeCellId="0" sqref="A1"/>
      <selection pane="topRight" activeCell="F1" activeCellId="0" sqref="F1"/>
      <selection pane="bottomLeft" activeCell="A24" activeCellId="0" sqref="A24"/>
      <selection pane="bottomRight" activeCell="AJ10" activeCellId="0" sqref="AJ10"/>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8.82"/>
    <col collapsed="false" customWidth="true" hidden="false" outlineLevel="0" max="7" min="7" style="10" width="6.82"/>
    <col collapsed="false" customWidth="true" hidden="false" outlineLevel="0" max="8" min="8" style="151" width="5.82"/>
    <col collapsed="false" customWidth="true" hidden="false" outlineLevel="0" max="11" min="9" style="10" width="6.32"/>
    <col collapsed="false" customWidth="true" hidden="false" outlineLevel="0" max="12" min="12" style="10" width="8.82"/>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7" min="17" style="151" width="4.66"/>
    <col collapsed="false" customWidth="true" hidden="false" outlineLevel="0" max="18" min="18" style="151" width="4.99"/>
    <col collapsed="false" customWidth="true" hidden="false" outlineLevel="0" max="19" min="19" style="10" width="4.32"/>
    <col collapsed="false" customWidth="true" hidden="false" outlineLevel="0" max="20" min="20" style="150" width="5.49"/>
    <col collapsed="false" customWidth="true" hidden="false" outlineLevel="0" max="22" min="21" style="10" width="5.49"/>
    <col collapsed="false" customWidth="true" hidden="false" outlineLevel="0" max="23" min="23" style="96" width="6.32"/>
    <col collapsed="false" customWidth="true" hidden="false" outlineLevel="0" max="29" min="24" style="10" width="5.49"/>
    <col collapsed="false" customWidth="true" hidden="false" outlineLevel="0" max="30" min="30" style="96" width="6.49"/>
    <col collapsed="false" customWidth="true" hidden="false" outlineLevel="0" max="31" min="31" style="10" width="6.82"/>
    <col collapsed="false" customWidth="true" hidden="false" outlineLevel="0" max="32" min="32" style="152" width="6.32"/>
    <col collapsed="false" customWidth="true" hidden="false" outlineLevel="0" max="33" min="33" style="10" width="6.32"/>
    <col collapsed="false" customWidth="true" hidden="false" outlineLevel="0" max="34" min="34" style="10" width="8.16"/>
    <col collapsed="false" customWidth="true" hidden="false" outlineLevel="0" max="35" min="35" style="150" width="8.16"/>
    <col collapsed="false" customWidth="true" hidden="false" outlineLevel="0" max="36" min="36" style="154" width="5.32"/>
    <col collapsed="false" customWidth="true" hidden="false" outlineLevel="0" max="37" min="37" style="154" width="3.82"/>
    <col collapsed="false" customWidth="true" hidden="false" outlineLevel="0" max="38" min="38" style="155" width="3.82"/>
    <col collapsed="false" customWidth="true" hidden="false" outlineLevel="0" max="40" min="39" style="10" width="5.49"/>
    <col collapsed="false" customWidth="true" hidden="false" outlineLevel="0" max="41" min="41" style="151" width="6.32"/>
    <col collapsed="false" customWidth="true" hidden="false" outlineLevel="0" max="43" min="42" style="205" width="6.32"/>
    <col collapsed="false" customWidth="true" hidden="false" outlineLevel="0" max="44" min="44" style="432" width="6.82"/>
    <col collapsed="false" customWidth="true" hidden="false" outlineLevel="0" max="45" min="45" style="151" width="4.99"/>
    <col collapsed="false" customWidth="false" hidden="false" outlineLevel="0" max="257" min="46" style="157" width="9.32"/>
  </cols>
  <sheetData>
    <row r="1" customFormat="false" ht="14.1" hidden="false" customHeight="true" outlineLevel="0" collapsed="false">
      <c r="A1" s="11"/>
      <c r="B1" s="11"/>
      <c r="C1" s="2"/>
      <c r="D1" s="11"/>
      <c r="E1" s="2"/>
      <c r="F1" s="11"/>
      <c r="G1" s="11"/>
      <c r="H1" s="4"/>
      <c r="I1" s="11"/>
      <c r="J1" s="11"/>
      <c r="K1" s="12" t="s">
        <v>0</v>
      </c>
      <c r="L1" s="11"/>
      <c r="M1" s="11"/>
      <c r="N1" s="11"/>
      <c r="O1" s="11"/>
      <c r="P1" s="3"/>
      <c r="Q1" s="11"/>
      <c r="R1" s="11"/>
      <c r="S1" s="11"/>
      <c r="T1" s="3"/>
      <c r="U1" s="11"/>
      <c r="V1" s="11"/>
      <c r="W1" s="2"/>
      <c r="X1" s="11"/>
      <c r="Y1" s="11"/>
      <c r="Z1" s="11"/>
      <c r="AA1" s="11"/>
      <c r="AB1" s="11"/>
      <c r="AC1" s="11"/>
      <c r="AD1" s="2"/>
      <c r="AE1" s="11"/>
      <c r="AF1" s="13"/>
      <c r="AG1" s="11"/>
      <c r="AH1" s="11"/>
      <c r="AI1" s="3"/>
      <c r="AJ1" s="6"/>
      <c r="AK1" s="7"/>
      <c r="AL1" s="8"/>
      <c r="AM1" s="13"/>
      <c r="AN1" s="13"/>
      <c r="AO1" s="453"/>
      <c r="AQ1" s="5"/>
      <c r="AR1" s="437"/>
      <c r="AS1" s="4"/>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3" t="s">
        <v>1</v>
      </c>
      <c r="B2" s="11"/>
      <c r="C2" s="2"/>
      <c r="D2" s="14" t="n">
        <v>1.9835</v>
      </c>
      <c r="E2" s="2"/>
      <c r="F2" s="11"/>
      <c r="G2" s="11"/>
      <c r="H2" s="4"/>
      <c r="I2" s="11"/>
      <c r="J2" s="11"/>
      <c r="K2" s="454" t="s">
        <v>117</v>
      </c>
      <c r="L2" s="454"/>
      <c r="M2" s="454"/>
      <c r="N2" s="454"/>
      <c r="O2" s="454"/>
      <c r="P2" s="454"/>
      <c r="Q2" s="454"/>
      <c r="R2" s="454"/>
      <c r="S2" s="454"/>
      <c r="T2" s="454"/>
      <c r="U2" s="454"/>
      <c r="V2" s="454"/>
      <c r="W2" s="454"/>
      <c r="X2" s="454"/>
      <c r="Y2" s="454"/>
      <c r="Z2" s="454"/>
      <c r="AA2" s="454"/>
      <c r="AB2" s="454"/>
      <c r="AC2" s="454"/>
      <c r="AD2" s="454"/>
      <c r="AE2" s="11"/>
      <c r="AF2" s="13"/>
      <c r="AG2" s="11"/>
      <c r="AH2" s="11"/>
      <c r="AI2" s="3"/>
      <c r="AJ2" s="6"/>
      <c r="AK2" s="7"/>
      <c r="AL2" s="8"/>
      <c r="AM2" s="13"/>
      <c r="AN2" s="13"/>
      <c r="AO2" s="453"/>
      <c r="AQ2" s="5"/>
      <c r="AR2" s="437"/>
      <c r="AS2" s="4"/>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5"/>
      <c r="B3" s="15"/>
      <c r="C3" s="16"/>
      <c r="D3" s="17"/>
      <c r="E3" s="16"/>
      <c r="F3" s="15"/>
      <c r="G3" s="15"/>
      <c r="H3" s="23"/>
      <c r="I3" s="15"/>
      <c r="J3" s="15"/>
      <c r="K3" s="15"/>
      <c r="L3" s="15"/>
      <c r="M3" s="15"/>
      <c r="N3" s="15"/>
      <c r="O3" s="15"/>
      <c r="P3" s="18"/>
      <c r="Q3" s="15"/>
      <c r="R3" s="15"/>
      <c r="S3" s="15"/>
      <c r="T3" s="18"/>
      <c r="U3" s="15"/>
      <c r="V3" s="15"/>
      <c r="W3" s="16"/>
      <c r="X3" s="15"/>
      <c r="Y3" s="15"/>
      <c r="Z3" s="15"/>
      <c r="AA3" s="15"/>
      <c r="AB3" s="15"/>
      <c r="AC3" s="15"/>
      <c r="AD3" s="16"/>
      <c r="AE3" s="15"/>
      <c r="AF3" s="436"/>
      <c r="AG3" s="15"/>
      <c r="AH3" s="15"/>
      <c r="AI3" s="18"/>
      <c r="AJ3" s="20"/>
      <c r="AK3" s="21"/>
      <c r="AL3" s="22"/>
      <c r="AM3" s="436"/>
      <c r="AN3" s="436"/>
      <c r="AO3" s="455"/>
      <c r="AQ3" s="5"/>
      <c r="AR3" s="437"/>
      <c r="AS3" s="4"/>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27"/>
      <c r="C4" s="28"/>
      <c r="D4" s="366" t="s">
        <v>3</v>
      </c>
      <c r="E4" s="28"/>
      <c r="F4" s="30"/>
      <c r="G4" s="11"/>
      <c r="H4" s="4"/>
      <c r="I4" s="11"/>
      <c r="J4" s="11"/>
      <c r="K4" s="11"/>
      <c r="L4" s="11"/>
      <c r="M4" s="11"/>
      <c r="N4" s="11"/>
      <c r="O4" s="11"/>
      <c r="P4" s="3"/>
      <c r="Q4" s="11"/>
      <c r="R4" s="11"/>
      <c r="S4" s="11"/>
      <c r="T4" s="3"/>
      <c r="U4" s="31" t="s">
        <v>4</v>
      </c>
      <c r="V4" s="11"/>
      <c r="W4" s="2"/>
      <c r="X4" s="11"/>
      <c r="Y4" s="11"/>
      <c r="Z4" s="11"/>
      <c r="AA4" s="11"/>
      <c r="AB4" s="11"/>
      <c r="AC4" s="11"/>
      <c r="AD4" s="2"/>
      <c r="AE4" s="11"/>
      <c r="AF4" s="13"/>
      <c r="AG4" s="11"/>
      <c r="AH4" s="11"/>
      <c r="AI4" s="3"/>
      <c r="AJ4" s="32"/>
      <c r="AK4" s="33" t="s">
        <v>5</v>
      </c>
      <c r="AL4" s="34"/>
      <c r="AM4" s="413"/>
      <c r="AN4" s="413"/>
      <c r="AO4" s="456" t="s">
        <v>6</v>
      </c>
      <c r="AP4" s="414"/>
      <c r="AQ4" s="368"/>
      <c r="AR4" s="457"/>
      <c r="AS4" s="458"/>
    </row>
    <row r="5" s="152" customFormat="true" ht="12.95" hidden="false" customHeight="true" outlineLevel="0" collapsed="false">
      <c r="A5" s="184" t="s">
        <v>7</v>
      </c>
      <c r="B5" s="185" t="s">
        <v>8</v>
      </c>
      <c r="C5" s="186" t="s">
        <v>8</v>
      </c>
      <c r="D5" s="184" t="s">
        <v>9</v>
      </c>
      <c r="E5" s="186" t="s">
        <v>10</v>
      </c>
      <c r="F5" s="187" t="s">
        <v>11</v>
      </c>
      <c r="G5" s="343" t="s">
        <v>12</v>
      </c>
      <c r="H5" s="417" t="s">
        <v>13</v>
      </c>
      <c r="I5" s="343" t="s">
        <v>14</v>
      </c>
      <c r="J5" s="343" t="s">
        <v>15</v>
      </c>
      <c r="K5" s="343" t="s">
        <v>16</v>
      </c>
      <c r="L5" s="184" t="s">
        <v>15</v>
      </c>
      <c r="M5" s="189" t="s">
        <v>17</v>
      </c>
      <c r="N5" s="189"/>
      <c r="O5" s="189"/>
      <c r="P5" s="189"/>
      <c r="Q5" s="189"/>
      <c r="R5" s="189"/>
      <c r="S5" s="189"/>
      <c r="T5" s="189"/>
      <c r="U5" s="38" t="s">
        <v>18</v>
      </c>
      <c r="V5" s="38" t="s">
        <v>19</v>
      </c>
      <c r="W5" s="38" t="s">
        <v>16</v>
      </c>
      <c r="X5" s="46" t="s">
        <v>20</v>
      </c>
      <c r="Y5" s="46" t="s">
        <v>21</v>
      </c>
      <c r="Z5" s="186" t="s">
        <v>20</v>
      </c>
      <c r="AA5" s="38" t="s">
        <v>22</v>
      </c>
      <c r="AB5" s="191" t="s">
        <v>89</v>
      </c>
      <c r="AC5" s="192"/>
      <c r="AD5" s="38" t="s">
        <v>24</v>
      </c>
      <c r="AE5" s="186" t="s">
        <v>112</v>
      </c>
      <c r="AF5" s="186" t="s">
        <v>26</v>
      </c>
      <c r="AG5" s="184" t="s">
        <v>14</v>
      </c>
      <c r="AH5" s="184" t="s">
        <v>15</v>
      </c>
      <c r="AI5" s="184" t="s">
        <v>16</v>
      </c>
      <c r="AJ5" s="459" t="s">
        <v>27</v>
      </c>
      <c r="AK5" s="194" t="s">
        <v>28</v>
      </c>
      <c r="AL5" s="195" t="s">
        <v>29</v>
      </c>
      <c r="AM5" s="53" t="s">
        <v>90</v>
      </c>
      <c r="AN5" s="53" t="s">
        <v>20</v>
      </c>
      <c r="AO5" s="52" t="s">
        <v>91</v>
      </c>
      <c r="AP5" s="43" t="s">
        <v>91</v>
      </c>
      <c r="AQ5" s="43" t="s">
        <v>31</v>
      </c>
      <c r="AR5" s="188" t="s">
        <v>32</v>
      </c>
      <c r="AS5" s="190" t="s">
        <v>33</v>
      </c>
    </row>
    <row r="6" s="152" customFormat="true" ht="12.95" hidden="false" customHeight="true" outlineLevel="0" collapsed="false">
      <c r="A6" s="196" t="s">
        <v>118</v>
      </c>
      <c r="B6" s="185" t="s">
        <v>35</v>
      </c>
      <c r="C6" s="186" t="s">
        <v>9</v>
      </c>
      <c r="D6" s="184" t="s">
        <v>36</v>
      </c>
      <c r="E6" s="186" t="s">
        <v>37</v>
      </c>
      <c r="F6" s="187" t="s">
        <v>38</v>
      </c>
      <c r="G6" s="343" t="s">
        <v>39</v>
      </c>
      <c r="H6" s="417" t="s">
        <v>40</v>
      </c>
      <c r="I6" s="343" t="s">
        <v>41</v>
      </c>
      <c r="J6" s="343" t="s">
        <v>41</v>
      </c>
      <c r="K6" s="343" t="s">
        <v>41</v>
      </c>
      <c r="L6" s="184" t="s">
        <v>42</v>
      </c>
      <c r="M6" s="197" t="s">
        <v>43</v>
      </c>
      <c r="N6" s="184" t="s">
        <v>119</v>
      </c>
      <c r="O6" s="184" t="s">
        <v>45</v>
      </c>
      <c r="P6" s="188" t="s">
        <v>46</v>
      </c>
      <c r="Q6" s="184" t="s">
        <v>47</v>
      </c>
      <c r="R6" s="184" t="s">
        <v>48</v>
      </c>
      <c r="S6" s="184" t="s">
        <v>49</v>
      </c>
      <c r="T6" s="198" t="s">
        <v>50</v>
      </c>
      <c r="U6" s="38" t="s">
        <v>51</v>
      </c>
      <c r="V6" s="38" t="s">
        <v>52</v>
      </c>
      <c r="W6" s="38" t="s">
        <v>20</v>
      </c>
      <c r="X6" s="46" t="s">
        <v>62</v>
      </c>
      <c r="Y6" s="186" t="s">
        <v>54</v>
      </c>
      <c r="Z6" s="186" t="s">
        <v>55</v>
      </c>
      <c r="AA6" s="38" t="s">
        <v>56</v>
      </c>
      <c r="AB6" s="197" t="s">
        <v>20</v>
      </c>
      <c r="AC6" s="199" t="s">
        <v>55</v>
      </c>
      <c r="AD6" s="38" t="s">
        <v>58</v>
      </c>
      <c r="AE6" s="186" t="s">
        <v>59</v>
      </c>
      <c r="AF6" s="186"/>
      <c r="AG6" s="184" t="s">
        <v>60</v>
      </c>
      <c r="AH6" s="184" t="s">
        <v>60</v>
      </c>
      <c r="AI6" s="184" t="s">
        <v>60</v>
      </c>
      <c r="AJ6" s="460"/>
      <c r="AK6" s="194" t="s">
        <v>61</v>
      </c>
      <c r="AL6" s="195" t="s">
        <v>61</v>
      </c>
      <c r="AM6" s="53" t="s">
        <v>62</v>
      </c>
      <c r="AN6" s="53" t="s">
        <v>63</v>
      </c>
      <c r="AO6" s="52" t="s">
        <v>64</v>
      </c>
      <c r="AP6" s="43" t="s">
        <v>64</v>
      </c>
      <c r="AQ6" s="43" t="s">
        <v>65</v>
      </c>
      <c r="AR6" s="188" t="s">
        <v>120</v>
      </c>
      <c r="AS6" s="190" t="s">
        <v>67</v>
      </c>
    </row>
    <row r="7" s="152" customFormat="true" ht="12.95" hidden="false" customHeight="true" outlineLevel="0" collapsed="false">
      <c r="A7" s="184"/>
      <c r="B7" s="185"/>
      <c r="C7" s="186"/>
      <c r="D7" s="184"/>
      <c r="E7" s="186" t="s">
        <v>68</v>
      </c>
      <c r="F7" s="187"/>
      <c r="G7" s="184"/>
      <c r="H7" s="190"/>
      <c r="I7" s="184"/>
      <c r="J7" s="184"/>
      <c r="K7" s="184"/>
      <c r="L7" s="184"/>
      <c r="M7" s="197"/>
      <c r="N7" s="184"/>
      <c r="O7" s="184" t="s">
        <v>70</v>
      </c>
      <c r="P7" s="188"/>
      <c r="Q7" s="184"/>
      <c r="R7" s="184"/>
      <c r="S7" s="184" t="s">
        <v>45</v>
      </c>
      <c r="T7" s="198" t="s">
        <v>26</v>
      </c>
      <c r="U7" s="38"/>
      <c r="V7" s="38"/>
      <c r="W7" s="38"/>
      <c r="X7" s="46"/>
      <c r="Y7" s="46"/>
      <c r="Z7" s="46"/>
      <c r="AA7" s="38"/>
      <c r="AB7" s="206"/>
      <c r="AC7" s="207"/>
      <c r="AD7" s="38"/>
      <c r="AE7" s="46"/>
      <c r="AF7" s="46"/>
      <c r="AG7" s="38"/>
      <c r="AH7" s="38"/>
      <c r="AI7" s="38"/>
      <c r="AJ7" s="460"/>
      <c r="AK7" s="194"/>
      <c r="AL7" s="195"/>
      <c r="AM7" s="53" t="s">
        <v>68</v>
      </c>
      <c r="AN7" s="53" t="s">
        <v>38</v>
      </c>
      <c r="AO7" s="52" t="s">
        <v>109</v>
      </c>
      <c r="AP7" s="43" t="s">
        <v>95</v>
      </c>
      <c r="AQ7" s="43" t="s">
        <v>74</v>
      </c>
      <c r="AR7" s="188" t="s">
        <v>75</v>
      </c>
      <c r="AS7" s="190" t="s">
        <v>57</v>
      </c>
    </row>
    <row r="8" s="152" customFormat="true" ht="12.95" hidden="false" customHeight="true" outlineLevel="0" collapsed="false">
      <c r="A8" s="201"/>
      <c r="B8" s="202"/>
      <c r="C8" s="203"/>
      <c r="D8" s="201"/>
      <c r="E8" s="203"/>
      <c r="F8" s="204"/>
      <c r="G8" s="201"/>
      <c r="H8" s="211"/>
      <c r="I8" s="201"/>
      <c r="J8" s="201"/>
      <c r="K8" s="201"/>
      <c r="L8" s="201"/>
      <c r="M8" s="206"/>
      <c r="N8" s="277" t="n">
        <v>1.03</v>
      </c>
      <c r="O8" s="277" t="n">
        <v>1.05</v>
      </c>
      <c r="P8" s="205" t="n">
        <v>1.02</v>
      </c>
      <c r="Q8" s="277" t="n">
        <v>1.02</v>
      </c>
      <c r="R8" s="277" t="n">
        <v>1.04</v>
      </c>
      <c r="S8" s="184" t="s">
        <v>55</v>
      </c>
      <c r="T8" s="348"/>
      <c r="U8" s="201"/>
      <c r="V8" s="201"/>
      <c r="W8" s="201"/>
      <c r="X8" s="203"/>
      <c r="Y8" s="203"/>
      <c r="Z8" s="203" t="n">
        <v>11013</v>
      </c>
      <c r="AA8" s="201"/>
      <c r="AB8" s="206"/>
      <c r="AC8" s="207"/>
      <c r="AD8" s="201"/>
      <c r="AE8" s="203"/>
      <c r="AF8" s="203"/>
      <c r="AG8" s="201"/>
      <c r="AH8" s="201"/>
      <c r="AI8" s="201"/>
      <c r="AJ8" s="461"/>
      <c r="AK8" s="155"/>
      <c r="AL8" s="209"/>
      <c r="AM8" s="8"/>
      <c r="AN8" s="8"/>
      <c r="AO8" s="77"/>
      <c r="AP8" s="43" t="s">
        <v>71</v>
      </c>
      <c r="AQ8" s="3"/>
      <c r="AR8" s="150"/>
      <c r="AS8" s="151"/>
    </row>
    <row r="9" customFormat="false" ht="12.95" hidden="false" customHeight="true" outlineLevel="0" collapsed="false">
      <c r="A9" s="160" t="s">
        <v>77</v>
      </c>
      <c r="B9" s="213"/>
      <c r="C9" s="95"/>
      <c r="D9" s="95"/>
      <c r="E9" s="95"/>
      <c r="F9" s="214" t="n">
        <f aca="false">JUN!F46</f>
        <v>41377.8674061003</v>
      </c>
      <c r="G9" s="95" t="n">
        <f aca="false">JUN!G46</f>
        <v>143841</v>
      </c>
      <c r="H9" s="133" t="n">
        <f aca="false">JUN!H46</f>
        <v>8800.85</v>
      </c>
      <c r="I9" s="95" t="n">
        <f aca="false">JUN!I46</f>
        <v>152641.85</v>
      </c>
      <c r="J9" s="95" t="n">
        <f aca="false">JUN!J46</f>
        <v>25581.9965187799</v>
      </c>
      <c r="K9" s="95" t="n">
        <f aca="false">JUN!K46</f>
        <v>178223.84651878</v>
      </c>
      <c r="L9" s="95" t="n">
        <f aca="false">JUN!L46</f>
        <v>25115.2174061003</v>
      </c>
      <c r="M9" s="216" t="n">
        <f aca="false">JUN!M46</f>
        <v>21512.8</v>
      </c>
      <c r="N9" s="95" t="n">
        <f aca="false">JUN!N46</f>
        <v>171.516527</v>
      </c>
      <c r="O9" s="95" t="n">
        <f aca="false">JUN!O46</f>
        <v>7077.5985</v>
      </c>
      <c r="P9" s="215" t="n">
        <f aca="false">JUN!P46</f>
        <v>7.32</v>
      </c>
      <c r="Q9" s="95"/>
      <c r="R9" s="95"/>
      <c r="S9" s="95"/>
      <c r="T9" s="217"/>
      <c r="U9" s="95" t="n">
        <f aca="false">JUN!U46</f>
        <v>10985.3</v>
      </c>
      <c r="V9" s="95" t="n">
        <f aca="false">JUN!V46</f>
        <v>4373.2</v>
      </c>
      <c r="W9" s="95" t="n">
        <f aca="false">JUN!W46</f>
        <v>27806.819173</v>
      </c>
      <c r="X9" s="95" t="n">
        <f aca="false">JUN!X46</f>
        <v>1596.830182</v>
      </c>
      <c r="Y9" s="95" t="n">
        <f aca="false">JUN!Y46</f>
        <v>1678.45667693584</v>
      </c>
      <c r="Z9" s="203" t="n">
        <f aca="false">Z8/1.9835</f>
        <v>5552.30652886312</v>
      </c>
      <c r="AA9" s="95" t="n">
        <f aca="false">JUN!AA46</f>
        <v>10248.1</v>
      </c>
      <c r="AB9" s="216" t="n">
        <f aca="false">JUN!AB46</f>
        <v>154.7</v>
      </c>
      <c r="AC9" s="219" t="n">
        <f aca="false">JUN!AC46</f>
        <v>118.3</v>
      </c>
      <c r="AD9" s="95"/>
      <c r="AE9" s="95"/>
      <c r="AF9" s="95"/>
      <c r="AG9" s="95" t="n">
        <f aca="false">JUN!AG46</f>
        <v>136379.2</v>
      </c>
      <c r="AH9" s="95" t="n">
        <f aca="false">JUN!AH46</f>
        <v>466.779112679607</v>
      </c>
      <c r="AI9" s="95" t="n">
        <f aca="false">JUN!AI46</f>
        <v>136845.97911268</v>
      </c>
      <c r="AJ9" s="337"/>
      <c r="AK9" s="133"/>
      <c r="AL9" s="222"/>
      <c r="AM9" s="133"/>
      <c r="AN9" s="133"/>
      <c r="AO9" s="218"/>
      <c r="AP9" s="215" t="n">
        <f aca="false">JUN!AP47</f>
        <v>73.8652883719409</v>
      </c>
      <c r="AQ9" s="383" t="n">
        <f aca="false">JUN!AQ46</f>
        <v>0</v>
      </c>
      <c r="AR9" s="383" t="n">
        <f aca="false">JUN!AR46</f>
        <v>771.62</v>
      </c>
      <c r="AS9" s="91" t="n">
        <f aca="false">JUN!AS46</f>
        <v>41.8</v>
      </c>
    </row>
    <row r="10" s="228" customFormat="true" ht="12.95" hidden="false" customHeight="true" outlineLevel="0" collapsed="false">
      <c r="A10" s="224" t="s">
        <v>78</v>
      </c>
      <c r="B10" s="94" t="n">
        <f aca="false">JUN!B41</f>
        <v>6923.8</v>
      </c>
      <c r="C10" s="95" t="n">
        <f aca="false">JUN!C41</f>
        <v>380492</v>
      </c>
      <c r="D10" s="95" t="n">
        <f aca="false">JUN!D50</f>
        <v>92538</v>
      </c>
      <c r="E10" s="95" t="n">
        <f aca="false">JUN!E50</f>
        <v>228492</v>
      </c>
      <c r="F10" s="214" t="n">
        <f aca="false">JUN!F49</f>
        <v>46691.706579279</v>
      </c>
      <c r="G10" s="95" t="n">
        <f aca="false">JUN!G49</f>
        <v>160105</v>
      </c>
      <c r="H10" s="133" t="n">
        <f aca="false">JUN!H49</f>
        <v>10946.99</v>
      </c>
      <c r="I10" s="95" t="n">
        <f aca="false">JUN!I49</f>
        <v>171051.99</v>
      </c>
      <c r="J10" s="95" t="n">
        <f aca="false">JUN!J49</f>
        <v>32580.1222586337</v>
      </c>
      <c r="K10" s="95" t="n">
        <f aca="false">JUN!K49</f>
        <v>203632.112258634</v>
      </c>
      <c r="L10" s="95" t="n">
        <f aca="false">JUN!L49</f>
        <v>30091.4765792791</v>
      </c>
      <c r="M10" s="216" t="n">
        <f aca="false">JUN!M49</f>
        <v>22425.6</v>
      </c>
      <c r="N10" s="95" t="n">
        <f aca="false">JUN!N49</f>
        <v>171.516527</v>
      </c>
      <c r="O10" s="95" t="n">
        <f aca="false">JUN!O49</f>
        <v>7077.5985</v>
      </c>
      <c r="P10" s="215"/>
      <c r="Q10" s="95" t="n">
        <f aca="false">JUN!Q49</f>
        <v>419.6688</v>
      </c>
      <c r="R10" s="95" t="n">
        <f aca="false">JUN!R49</f>
        <v>798.673</v>
      </c>
      <c r="S10" s="95" t="n">
        <f aca="false">JUN!S49</f>
        <v>115.41</v>
      </c>
      <c r="T10" s="217" t="n">
        <f aca="false">JUN!T49</f>
        <v>-94.5288</v>
      </c>
      <c r="U10" s="95" t="n">
        <f aca="false">JUN!U49</f>
        <v>17050.26</v>
      </c>
      <c r="V10" s="95" t="n">
        <f aca="false">JUN!V49</f>
        <v>4458</v>
      </c>
      <c r="W10" s="95" t="n">
        <f aca="false">JUN!W49</f>
        <v>34259.119173</v>
      </c>
      <c r="X10" s="95"/>
      <c r="Y10" s="95"/>
      <c r="Z10" s="95"/>
      <c r="AA10" s="95" t="n">
        <f aca="false">JUN!AA49</f>
        <v>0</v>
      </c>
      <c r="AB10" s="216"/>
      <c r="AC10" s="219"/>
      <c r="AD10" s="95" t="n">
        <f aca="false">JUN!AD49</f>
        <v>100228</v>
      </c>
      <c r="AE10" s="95" t="n">
        <f aca="false">JUN!AE49</f>
        <v>15238.2578774893</v>
      </c>
      <c r="AF10" s="95" t="n">
        <f aca="false">JUN!AF49</f>
        <v>94496</v>
      </c>
      <c r="AG10" s="95" t="n">
        <f aca="false">JUN!AG49</f>
        <v>154451.76</v>
      </c>
      <c r="AH10" s="95" t="n">
        <f aca="false">JUN!AH49</f>
        <v>2488.64567935468</v>
      </c>
      <c r="AI10" s="95" t="n">
        <f aca="false">JUN!AI49</f>
        <v>156940.405679355</v>
      </c>
      <c r="AJ10" s="462" t="n">
        <f aca="false">JUN!AJ49</f>
        <v>11.36</v>
      </c>
      <c r="AK10" s="133"/>
      <c r="AL10" s="222"/>
      <c r="AM10" s="95" t="n">
        <f aca="false">JUN!AM50</f>
        <v>13022.27255</v>
      </c>
      <c r="AN10" s="95" t="n">
        <f aca="false">JUN!AN49</f>
        <v>0</v>
      </c>
      <c r="AO10" s="218"/>
      <c r="AP10" s="215" t="n">
        <f aca="false">JUN!AP50</f>
        <v>73.8652883719409</v>
      </c>
      <c r="AQ10" s="215"/>
      <c r="AR10" s="215"/>
      <c r="AS10" s="151"/>
    </row>
    <row r="11" customFormat="false" ht="3" hidden="false" customHeight="true" outlineLevel="0" collapsed="false">
      <c r="A11" s="229"/>
      <c r="B11" s="230"/>
      <c r="C11" s="231"/>
      <c r="D11" s="232"/>
      <c r="E11" s="231"/>
      <c r="F11" s="233"/>
      <c r="G11" s="232"/>
      <c r="H11" s="237"/>
      <c r="I11" s="232"/>
      <c r="J11" s="232"/>
      <c r="K11" s="232"/>
      <c r="L11" s="232"/>
      <c r="M11" s="235"/>
      <c r="N11" s="232"/>
      <c r="O11" s="232"/>
      <c r="P11" s="234"/>
      <c r="Q11" s="232"/>
      <c r="R11" s="232"/>
      <c r="S11" s="232"/>
      <c r="T11" s="236"/>
      <c r="U11" s="232"/>
      <c r="V11" s="232"/>
      <c r="W11" s="232"/>
      <c r="X11" s="231"/>
      <c r="Y11" s="231"/>
      <c r="Z11" s="231"/>
      <c r="AA11" s="232"/>
      <c r="AB11" s="235"/>
      <c r="AC11" s="238"/>
      <c r="AD11" s="232"/>
      <c r="AE11" s="231"/>
      <c r="AF11" s="231"/>
      <c r="AG11" s="232"/>
      <c r="AH11" s="232"/>
      <c r="AI11" s="232"/>
      <c r="AJ11" s="463"/>
      <c r="AK11" s="240"/>
      <c r="AL11" s="241"/>
      <c r="AM11" s="240"/>
      <c r="AN11" s="240"/>
      <c r="AO11" s="237"/>
      <c r="AP11" s="234"/>
      <c r="AQ11" s="234"/>
      <c r="AR11" s="234"/>
      <c r="AS11" s="237"/>
    </row>
    <row r="12" customFormat="false" ht="12.95" hidden="false" customHeight="true" outlineLevel="0" collapsed="false">
      <c r="A12" s="155" t="n">
        <v>1</v>
      </c>
      <c r="B12" s="94" t="n">
        <v>6923.7</v>
      </c>
      <c r="C12" s="95" t="n">
        <v>379824</v>
      </c>
      <c r="D12" s="133" t="n">
        <f aca="false">C12-C10</f>
        <v>-668</v>
      </c>
      <c r="E12" s="95" t="n">
        <f aca="false">C12-152000</f>
        <v>227824</v>
      </c>
      <c r="F12" s="243" t="n">
        <f aca="false">D12/$D$2</f>
        <v>-336.778421981346</v>
      </c>
      <c r="G12" s="122" t="n">
        <v>632</v>
      </c>
      <c r="H12" s="215" t="n">
        <v>0.42</v>
      </c>
      <c r="I12" s="122" t="n">
        <f aca="false">G12+H12</f>
        <v>632.42</v>
      </c>
      <c r="J12" s="218" t="n">
        <f aca="false">IF(L12&gt;0,L12,0)</f>
        <v>0</v>
      </c>
      <c r="K12" s="122" t="n">
        <f aca="false">I12+J12</f>
        <v>632.42</v>
      </c>
      <c r="L12" s="122" t="n">
        <f aca="false">F12-(I12-AG12)</f>
        <v>-109.198421981346</v>
      </c>
      <c r="M12" s="244" t="n">
        <v>291</v>
      </c>
      <c r="N12" s="215" t="n">
        <f aca="false">1.8299*1.03</f>
        <v>1.884797</v>
      </c>
      <c r="O12" s="122" t="n">
        <f aca="false">(33+36)*1.05</f>
        <v>72.45</v>
      </c>
      <c r="P12" s="215" t="n">
        <v>0</v>
      </c>
      <c r="Q12" s="215" t="n">
        <f aca="false">2.68*1.02</f>
        <v>2.7336</v>
      </c>
      <c r="R12" s="215" t="n">
        <v>4.2</v>
      </c>
      <c r="S12" s="324" t="n">
        <v>3.99</v>
      </c>
      <c r="T12" s="381" t="n">
        <v>0</v>
      </c>
      <c r="U12" s="122" t="n">
        <v>166</v>
      </c>
      <c r="V12" s="122" t="n">
        <v>74</v>
      </c>
      <c r="W12" s="122" t="n">
        <f aca="false">M12-N12-O12-P12-Q12-R12-S12-T12+U12+V12</f>
        <v>445.741603</v>
      </c>
      <c r="X12" s="95" t="n">
        <f aca="false">X9-(AP12/1.9835)</f>
        <v>1594.49371226334</v>
      </c>
      <c r="Y12" s="95" t="n">
        <f aca="false">Y9+AQ12</f>
        <v>1678.45667693584</v>
      </c>
      <c r="Z12" s="95" t="n">
        <f aca="false">Z9</f>
        <v>5552.30652886312</v>
      </c>
      <c r="AA12" s="122" t="n">
        <v>209</v>
      </c>
      <c r="AB12" s="244" t="n">
        <v>1.7</v>
      </c>
      <c r="AC12" s="245" t="n">
        <v>1.3</v>
      </c>
      <c r="AD12" s="464" t="n">
        <v>120</v>
      </c>
      <c r="AE12" s="353" t="n">
        <f aca="false">AE10-AD12</f>
        <v>15118.2578774893</v>
      </c>
      <c r="AF12" s="95"/>
      <c r="AG12" s="121" t="n">
        <f aca="false">N12+O12+P12+Q12+R12+S12+T12+W12+AA12+AD12</f>
        <v>860</v>
      </c>
      <c r="AH12" s="122" t="n">
        <f aca="false">IF(L12&lt;0,L12*-1,0)</f>
        <v>109.198421981346</v>
      </c>
      <c r="AI12" s="122" t="n">
        <f aca="false">AG12+AH12</f>
        <v>969.198421981346</v>
      </c>
      <c r="AJ12" s="337" t="n">
        <v>0</v>
      </c>
      <c r="AK12" s="465" t="n">
        <v>86</v>
      </c>
      <c r="AL12" s="466" t="n">
        <v>48</v>
      </c>
      <c r="AM12" s="133" t="n">
        <f aca="false">AM10</f>
        <v>13022.27255</v>
      </c>
      <c r="AN12" s="133"/>
      <c r="AO12" s="91"/>
      <c r="AP12" s="215" t="n">
        <f aca="false">60.3*(X9*1.9835+Y9*1.9835+Z9*1.9835)/E12</f>
        <v>4.63438772266032</v>
      </c>
      <c r="AQ12" s="383"/>
      <c r="AR12" s="3"/>
      <c r="AS12" s="4"/>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2.95" hidden="false" customHeight="true" outlineLevel="0" collapsed="false">
      <c r="A13" s="155" t="n">
        <f aca="false">A12+1</f>
        <v>2</v>
      </c>
      <c r="B13" s="94" t="n">
        <v>6923.55</v>
      </c>
      <c r="C13" s="95" t="n">
        <v>379157</v>
      </c>
      <c r="D13" s="133" t="n">
        <f aca="false">C13-C12</f>
        <v>-667</v>
      </c>
      <c r="E13" s="95" t="n">
        <f aca="false">C13-152000</f>
        <v>227157</v>
      </c>
      <c r="F13" s="243" t="n">
        <f aca="false">D13/$D$2</f>
        <v>-336.274262667003</v>
      </c>
      <c r="G13" s="122" t="n">
        <v>551</v>
      </c>
      <c r="H13" s="215" t="n">
        <v>0.14</v>
      </c>
      <c r="I13" s="122" t="n">
        <f aca="false">G13+H13</f>
        <v>551.14</v>
      </c>
      <c r="J13" s="218" t="n">
        <f aca="false">IF(L13&gt;0,L13,0)</f>
        <v>0</v>
      </c>
      <c r="K13" s="122" t="n">
        <f aca="false">I13+J13</f>
        <v>551.14</v>
      </c>
      <c r="L13" s="122" t="n">
        <f aca="false">F13-(I13-AG13)</f>
        <v>-7.41426266700273</v>
      </c>
      <c r="M13" s="244" t="n">
        <v>309</v>
      </c>
      <c r="N13" s="215" t="n">
        <f aca="false">1.8299*1.03</f>
        <v>1.884797</v>
      </c>
      <c r="O13" s="122" t="n">
        <f aca="false">(32+36)*1.05</f>
        <v>71.4</v>
      </c>
      <c r="P13" s="215" t="n">
        <v>0</v>
      </c>
      <c r="Q13" s="215" t="n">
        <f aca="false">2.68*1.02</f>
        <v>2.7336</v>
      </c>
      <c r="R13" s="215" t="n">
        <v>4.2</v>
      </c>
      <c r="S13" s="324" t="n">
        <v>4.62</v>
      </c>
      <c r="T13" s="381" t="n">
        <v>0</v>
      </c>
      <c r="U13" s="122" t="n">
        <v>171</v>
      </c>
      <c r="V13" s="122" t="n">
        <v>73</v>
      </c>
      <c r="W13" s="122" t="n">
        <f aca="false">M13-N13-O13-P13-Q13-R13-S13-T13+U13+V13</f>
        <v>468.161603</v>
      </c>
      <c r="X13" s="95" t="n">
        <f aca="false">X12-(AP12/1.9835)</f>
        <v>1592.15724252668</v>
      </c>
      <c r="Y13" s="95" t="n">
        <f aca="false">Y12+AQ13</f>
        <v>1678.45667693584</v>
      </c>
      <c r="Z13" s="95" t="n">
        <f aca="false">Z12</f>
        <v>5552.30652886312</v>
      </c>
      <c r="AA13" s="122" t="n">
        <v>207</v>
      </c>
      <c r="AB13" s="244" t="n">
        <v>1.7</v>
      </c>
      <c r="AC13" s="245" t="n">
        <v>1.3</v>
      </c>
      <c r="AD13" s="464" t="n">
        <v>120</v>
      </c>
      <c r="AE13" s="353" t="n">
        <f aca="false">AE12-AD13</f>
        <v>14998.2578774893</v>
      </c>
      <c r="AF13" s="95"/>
      <c r="AG13" s="121" t="n">
        <f aca="false">N13+O13+P13+Q13+R13+S13+T13+W13+AA13+AD13</f>
        <v>880</v>
      </c>
      <c r="AH13" s="122" t="n">
        <f aca="false">IF(L13&lt;0,L13*-1,0)</f>
        <v>7.41426266700273</v>
      </c>
      <c r="AI13" s="122" t="n">
        <f aca="false">AG13+AH13</f>
        <v>887.414262667003</v>
      </c>
      <c r="AJ13" s="337" t="n">
        <v>0.01</v>
      </c>
      <c r="AK13" s="133" t="n">
        <v>86</v>
      </c>
      <c r="AL13" s="222" t="n">
        <v>52</v>
      </c>
      <c r="AM13" s="133" t="n">
        <f aca="false">AM12</f>
        <v>13022.27255</v>
      </c>
      <c r="AN13" s="133"/>
      <c r="AO13" s="91"/>
      <c r="AP13" s="215" t="n">
        <f aca="false">60.3*(X12*1.9835+Y12*1.9835+Z12*1.9835)/E13</f>
        <v>4.64676543072715</v>
      </c>
      <c r="AQ13" s="383"/>
      <c r="AR13" s="3"/>
      <c r="AS13" s="4"/>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55" t="n">
        <f aca="false">A13+1</f>
        <v>3</v>
      </c>
      <c r="B14" s="94" t="n">
        <v>6923.36</v>
      </c>
      <c r="C14" s="95" t="n">
        <v>378311</v>
      </c>
      <c r="D14" s="133" t="n">
        <f aca="false">C14-C13</f>
        <v>-846</v>
      </c>
      <c r="E14" s="95" t="n">
        <f aca="false">C14-152000</f>
        <v>226311</v>
      </c>
      <c r="F14" s="243" t="n">
        <f aca="false">D14/$D$2</f>
        <v>-426.518779934459</v>
      </c>
      <c r="G14" s="122" t="n">
        <v>514</v>
      </c>
      <c r="H14" s="215" t="n">
        <v>0.12</v>
      </c>
      <c r="I14" s="122" t="n">
        <f aca="false">G14+H14</f>
        <v>514.12</v>
      </c>
      <c r="J14" s="218" t="n">
        <f aca="false">IF(L14&gt;0,L14,0)</f>
        <v>0</v>
      </c>
      <c r="K14" s="122" t="n">
        <f aca="false">I14+J14</f>
        <v>514.12</v>
      </c>
      <c r="L14" s="122" t="n">
        <f aca="false">F14-(I14-AG14)</f>
        <v>-32.6387799344592</v>
      </c>
      <c r="M14" s="244" t="n">
        <v>322</v>
      </c>
      <c r="N14" s="215" t="n">
        <f aca="false">1.8299*1.03</f>
        <v>1.884797</v>
      </c>
      <c r="O14" s="122" t="n">
        <f aca="false">(38+41)*1.05</f>
        <v>82.95</v>
      </c>
      <c r="P14" s="215" t="n">
        <v>0</v>
      </c>
      <c r="Q14" s="215" t="n">
        <f aca="false">2.68*1.02</f>
        <v>2.7336</v>
      </c>
      <c r="R14" s="215" t="n">
        <v>4.2</v>
      </c>
      <c r="S14" s="324" t="n">
        <v>3.75</v>
      </c>
      <c r="T14" s="381" t="n">
        <v>0</v>
      </c>
      <c r="U14" s="122" t="n">
        <v>171</v>
      </c>
      <c r="V14" s="122" t="n">
        <v>73</v>
      </c>
      <c r="W14" s="122" t="n">
        <f aca="false">M14-N14-O14-P14-Q14-R14-S14-T14+U14+V14</f>
        <v>470.481603</v>
      </c>
      <c r="X14" s="95" t="n">
        <f aca="false">X13-(AP13/1.9835)</f>
        <v>1589.81453245321</v>
      </c>
      <c r="Y14" s="95" t="n">
        <f aca="false">Y13+AQ14</f>
        <v>1678.45667693584</v>
      </c>
      <c r="Z14" s="95" t="n">
        <f aca="false">Z13</f>
        <v>5552.30652886312</v>
      </c>
      <c r="AA14" s="122" t="n">
        <v>222</v>
      </c>
      <c r="AB14" s="244" t="n">
        <v>1.7</v>
      </c>
      <c r="AC14" s="245" t="n">
        <v>1.3</v>
      </c>
      <c r="AD14" s="464" t="n">
        <v>120</v>
      </c>
      <c r="AE14" s="353" t="n">
        <f aca="false">AE13-AD14</f>
        <v>14878.2578774893</v>
      </c>
      <c r="AF14" s="95"/>
      <c r="AG14" s="121" t="n">
        <f aca="false">N14+O14+P14+Q14+R14+S14+T14+W14+AA14+AD14</f>
        <v>908</v>
      </c>
      <c r="AH14" s="122" t="n">
        <f aca="false">IF(L14&lt;0,L14*-1,0)</f>
        <v>32.6387799344592</v>
      </c>
      <c r="AI14" s="122" t="n">
        <f aca="false">AG14+AH14</f>
        <v>940.638779934459</v>
      </c>
      <c r="AJ14" s="337" t="n">
        <v>0.01</v>
      </c>
      <c r="AK14" s="133" t="n">
        <v>90</v>
      </c>
      <c r="AL14" s="222" t="n">
        <v>50</v>
      </c>
      <c r="AM14" s="133" t="n">
        <f aca="false">AM13</f>
        <v>13022.27255</v>
      </c>
      <c r="AN14" s="133"/>
      <c r="AO14" s="91"/>
      <c r="AP14" s="215" t="n">
        <f aca="false">60.3*(X13*1.9835+Y13*1.9835+Z13*1.9835)/E14</f>
        <v>4.66290123488479</v>
      </c>
      <c r="AQ14" s="383"/>
      <c r="AR14" s="3"/>
      <c r="AS14" s="4"/>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55" t="n">
        <f aca="false">A14+1</f>
        <v>4</v>
      </c>
      <c r="B15" s="94" t="n">
        <v>6923.15</v>
      </c>
      <c r="C15" s="95" t="n">
        <v>377376</v>
      </c>
      <c r="D15" s="133" t="n">
        <f aca="false">C15-C14</f>
        <v>-935</v>
      </c>
      <c r="E15" s="95" t="n">
        <f aca="false">C15-152000</f>
        <v>225376</v>
      </c>
      <c r="F15" s="243" t="n">
        <f aca="false">D15/$D$2</f>
        <v>-471.388958911016</v>
      </c>
      <c r="G15" s="122" t="n">
        <v>484</v>
      </c>
      <c r="H15" s="215" t="n">
        <v>0.08</v>
      </c>
      <c r="I15" s="122" t="n">
        <f aca="false">G15+H15</f>
        <v>484.08</v>
      </c>
      <c r="J15" s="218" t="n">
        <f aca="false">IF(L15&gt;0,L15,0)</f>
        <v>0</v>
      </c>
      <c r="K15" s="122" t="n">
        <f aca="false">I15+J15</f>
        <v>484.08</v>
      </c>
      <c r="L15" s="122" t="n">
        <f aca="false">F15-(I15-AG15)</f>
        <v>-35.4689589110159</v>
      </c>
      <c r="M15" s="244" t="n">
        <v>329</v>
      </c>
      <c r="N15" s="215" t="n">
        <f aca="false">1.8299*1.03</f>
        <v>1.884797</v>
      </c>
      <c r="O15" s="122" t="n">
        <f aca="false">(36+37)*1.05</f>
        <v>76.65</v>
      </c>
      <c r="P15" s="215" t="n">
        <v>0</v>
      </c>
      <c r="Q15" s="215" t="n">
        <f aca="false">2.68*1.02</f>
        <v>2.7336</v>
      </c>
      <c r="R15" s="215" t="n">
        <v>4.2</v>
      </c>
      <c r="S15" s="324" t="n">
        <v>4.39</v>
      </c>
      <c r="T15" s="381" t="n">
        <v>0</v>
      </c>
      <c r="U15" s="122" t="n">
        <v>170</v>
      </c>
      <c r="V15" s="122" t="n">
        <v>73</v>
      </c>
      <c r="W15" s="122" t="n">
        <f aca="false">M15-N15-O15-P15-Q15-R15-S15-T15+U15+V15</f>
        <v>482.141603</v>
      </c>
      <c r="X15" s="95" t="n">
        <f aca="false">X14-(AP14/1.9835)</f>
        <v>1587.46368736378</v>
      </c>
      <c r="Y15" s="95" t="n">
        <f aca="false">Y14+AQ15</f>
        <v>1678.45667693584</v>
      </c>
      <c r="Z15" s="95" t="n">
        <f aca="false">Z14</f>
        <v>5552.30652886312</v>
      </c>
      <c r="AA15" s="122" t="n">
        <v>228</v>
      </c>
      <c r="AB15" s="244" t="n">
        <v>1.7</v>
      </c>
      <c r="AC15" s="245" t="n">
        <v>1.3</v>
      </c>
      <c r="AD15" s="464" t="n">
        <v>120</v>
      </c>
      <c r="AE15" s="353" t="n">
        <f aca="false">AE14-AD15</f>
        <v>14758.2578774893</v>
      </c>
      <c r="AF15" s="95"/>
      <c r="AG15" s="121" t="n">
        <f aca="false">N15+O15+P15+Q15+R15+S15+T15+W15+AA15+AD15</f>
        <v>920</v>
      </c>
      <c r="AH15" s="122" t="n">
        <f aca="false">IF(L15&lt;0,L15*-1,0)</f>
        <v>35.4689589110159</v>
      </c>
      <c r="AI15" s="122" t="n">
        <f aca="false">AG15+AH15</f>
        <v>955.468958911016</v>
      </c>
      <c r="AJ15" s="337" t="n">
        <v>0</v>
      </c>
      <c r="AK15" s="133" t="n">
        <v>90</v>
      </c>
      <c r="AL15" s="222" t="n">
        <v>50</v>
      </c>
      <c r="AM15" s="133" t="n">
        <f aca="false">AM14</f>
        <v>13022.27255</v>
      </c>
      <c r="AN15" s="133"/>
      <c r="AO15" s="91"/>
      <c r="AP15" s="215" t="n">
        <f aca="false">60.3*(X14*1.9835+Y14*1.9835+Z14*1.9835)/E15</f>
        <v>4.68100259749281</v>
      </c>
      <c r="AQ15" s="383"/>
      <c r="AR15" s="3"/>
      <c r="AS15" s="4"/>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55" t="n">
        <f aca="false">A15+1</f>
        <v>5</v>
      </c>
      <c r="B16" s="94" t="n">
        <v>6922.91</v>
      </c>
      <c r="C16" s="95" t="n">
        <v>376311</v>
      </c>
      <c r="D16" s="133" t="n">
        <f aca="false">C16-C15</f>
        <v>-1065</v>
      </c>
      <c r="E16" s="95" t="n">
        <f aca="false">C16-152000</f>
        <v>224311</v>
      </c>
      <c r="F16" s="243" t="n">
        <f aca="false">D16/$D$2</f>
        <v>-536.929669775649</v>
      </c>
      <c r="G16" s="122" t="n">
        <v>448</v>
      </c>
      <c r="H16" s="215" t="n">
        <v>0.08</v>
      </c>
      <c r="I16" s="122" t="n">
        <f aca="false">G16+H16</f>
        <v>448.08</v>
      </c>
      <c r="J16" s="218" t="n">
        <f aca="false">IF(L16&gt;0,L16,0)</f>
        <v>0</v>
      </c>
      <c r="K16" s="122" t="n">
        <f aca="false">I16+J16</f>
        <v>448.08</v>
      </c>
      <c r="L16" s="122" t="n">
        <f aca="false">F16-(I16-AG16)</f>
        <v>-44.0096697756491</v>
      </c>
      <c r="M16" s="244" t="n">
        <v>321</v>
      </c>
      <c r="N16" s="215" t="n">
        <f aca="false">1.8299*1.03</f>
        <v>1.884797</v>
      </c>
      <c r="O16" s="122" t="n">
        <f aca="false">(33+35)*1.05</f>
        <v>71.4</v>
      </c>
      <c r="P16" s="215" t="n">
        <v>0</v>
      </c>
      <c r="Q16" s="215" t="n">
        <f aca="false">2.68*1.02</f>
        <v>2.7336</v>
      </c>
      <c r="R16" s="215" t="n">
        <v>4.2</v>
      </c>
      <c r="S16" s="324" t="n">
        <v>3.89</v>
      </c>
      <c r="T16" s="381" t="n">
        <v>0</v>
      </c>
      <c r="U16" s="122" t="n">
        <v>170</v>
      </c>
      <c r="V16" s="122" t="n">
        <v>74</v>
      </c>
      <c r="W16" s="122" t="n">
        <f aca="false">M16-N16-O16-P16-Q16-R16-S16-T16+U16+V16</f>
        <v>480.891603</v>
      </c>
      <c r="X16" s="95" t="n">
        <f aca="false">X15-(W16-I16)-Q16-R16-AB16-(AP16/1.935)</f>
        <v>1543.58852368968</v>
      </c>
      <c r="Y16" s="95" t="n">
        <f aca="false">Y15+AQ16</f>
        <v>1678.45667693584</v>
      </c>
      <c r="Z16" s="95" t="n">
        <f aca="false">Z15</f>
        <v>5552.30652886312</v>
      </c>
      <c r="AA16" s="122" t="n">
        <v>256</v>
      </c>
      <c r="AB16" s="244" t="n">
        <v>1.7</v>
      </c>
      <c r="AC16" s="245" t="n">
        <v>1.3</v>
      </c>
      <c r="AD16" s="464" t="n">
        <v>120</v>
      </c>
      <c r="AE16" s="353" t="n">
        <f aca="false">AE15-AD16</f>
        <v>14638.2578774893</v>
      </c>
      <c r="AF16" s="95"/>
      <c r="AG16" s="121" t="n">
        <f aca="false">N16+O16+P16+Q16+R16+S16+T16+W16+AA16+AD16</f>
        <v>941</v>
      </c>
      <c r="AH16" s="122" t="n">
        <f aca="false">IF(L16&lt;0,L16*-1,0)</f>
        <v>44.0096697756491</v>
      </c>
      <c r="AI16" s="122" t="n">
        <f aca="false">AG16+AH16</f>
        <v>985.009669775649</v>
      </c>
      <c r="AJ16" s="337" t="n">
        <v>0.01</v>
      </c>
      <c r="AK16" s="133" t="n">
        <v>85</v>
      </c>
      <c r="AL16" s="222" t="n">
        <v>60</v>
      </c>
      <c r="AM16" s="133" t="n">
        <f aca="false">AM15</f>
        <v>13022.27255</v>
      </c>
      <c r="AN16" s="133"/>
      <c r="AO16" s="91"/>
      <c r="AP16" s="215" t="n">
        <f aca="false">60.3*(X15*1.9835+Y15*1.9835+Z15*1.9835)/E16</f>
        <v>4.701973904392</v>
      </c>
      <c r="AQ16" s="383"/>
      <c r="AR16" s="3"/>
      <c r="AS16" s="4"/>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55" t="n">
        <f aca="false">A16+1</f>
        <v>6</v>
      </c>
      <c r="B17" s="94" t="n">
        <v>6922.72</v>
      </c>
      <c r="C17" s="95" t="n">
        <v>375472</v>
      </c>
      <c r="D17" s="133" t="n">
        <f aca="false">C17-C16</f>
        <v>-839</v>
      </c>
      <c r="E17" s="95" t="n">
        <f aca="false">C17-152000</f>
        <v>223472</v>
      </c>
      <c r="F17" s="243" t="n">
        <f aca="false">D17/$D$2</f>
        <v>-422.989664734056</v>
      </c>
      <c r="G17" s="122" t="n">
        <v>544</v>
      </c>
      <c r="H17" s="215" t="n">
        <v>0.09</v>
      </c>
      <c r="I17" s="122" t="n">
        <f aca="false">G17+H17</f>
        <v>544.09</v>
      </c>
      <c r="J17" s="218" t="n">
        <f aca="false">IF(L17&gt;0,L17,0)</f>
        <v>0</v>
      </c>
      <c r="K17" s="122" t="n">
        <f aca="false">I17+J17</f>
        <v>544.09</v>
      </c>
      <c r="L17" s="122" t="n">
        <f aca="false">F17-(I17-AG17)</f>
        <v>-62.079664734056</v>
      </c>
      <c r="M17" s="244" t="n">
        <v>335</v>
      </c>
      <c r="N17" s="215" t="n">
        <f aca="false">1.8299*1.03</f>
        <v>1.884797</v>
      </c>
      <c r="O17" s="122" t="n">
        <f aca="false">(34+36)*1.05</f>
        <v>73.5</v>
      </c>
      <c r="P17" s="215" t="n">
        <v>0</v>
      </c>
      <c r="Q17" s="215" t="n">
        <f aca="false">2.68*1.02</f>
        <v>2.7336</v>
      </c>
      <c r="R17" s="215" t="n">
        <v>4.2</v>
      </c>
      <c r="S17" s="324" t="n">
        <v>3.76</v>
      </c>
      <c r="T17" s="381" t="n">
        <v>0</v>
      </c>
      <c r="U17" s="122" t="n">
        <v>170</v>
      </c>
      <c r="V17" s="122" t="n">
        <v>76</v>
      </c>
      <c r="W17" s="122" t="n">
        <f aca="false">M17-N17-O17-P17-Q17-R17-S17-T17+U17+V17</f>
        <v>494.921603</v>
      </c>
      <c r="X17" s="95" t="n">
        <f aca="false">X16-(AP16/1.9835)</f>
        <v>1541.21797974998</v>
      </c>
      <c r="Y17" s="95" t="n">
        <f aca="false">Y16+AQ17</f>
        <v>1678.45667693584</v>
      </c>
      <c r="Z17" s="95" t="n">
        <f aca="false">Z16</f>
        <v>5552.30652886312</v>
      </c>
      <c r="AA17" s="122" t="n">
        <v>204</v>
      </c>
      <c r="AB17" s="244" t="n">
        <v>1.7</v>
      </c>
      <c r="AC17" s="245" t="n">
        <v>1.3</v>
      </c>
      <c r="AD17" s="464" t="n">
        <v>120</v>
      </c>
      <c r="AE17" s="353" t="n">
        <f aca="false">AE16-AD17</f>
        <v>14518.2578774893</v>
      </c>
      <c r="AF17" s="95"/>
      <c r="AG17" s="121" t="n">
        <f aca="false">N17+O17+P17+Q17+R17+S17+T17+W17+AA17+AD17</f>
        <v>905</v>
      </c>
      <c r="AH17" s="122" t="n">
        <f aca="false">IF(L17&lt;0,L17*-1,0)</f>
        <v>62.079664734056</v>
      </c>
      <c r="AI17" s="122" t="n">
        <f aca="false">AG17+AH17</f>
        <v>967.079664734056</v>
      </c>
      <c r="AJ17" s="337" t="n">
        <v>0.01</v>
      </c>
      <c r="AK17" s="133" t="n">
        <v>84</v>
      </c>
      <c r="AL17" s="222" t="n">
        <v>56</v>
      </c>
      <c r="AM17" s="133" t="n">
        <f aca="false">AM16</f>
        <v>13022.27255</v>
      </c>
      <c r="AN17" s="133"/>
      <c r="AO17" s="91"/>
      <c r="AP17" s="215" t="n">
        <f aca="false">60.3*(X16*1.9835+Y16*1.9835+Z16*1.9835)/E17</f>
        <v>4.69614438194975</v>
      </c>
      <c r="AQ17" s="383"/>
      <c r="AR17" s="3"/>
      <c r="AS17" s="4"/>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55" t="n">
        <f aca="false">A17+1</f>
        <v>7</v>
      </c>
      <c r="B18" s="94" t="n">
        <v>6922.52</v>
      </c>
      <c r="C18" s="95" t="n">
        <v>374589</v>
      </c>
      <c r="D18" s="133" t="n">
        <f aca="false">C18-C17</f>
        <v>-883</v>
      </c>
      <c r="E18" s="95" t="n">
        <f aca="false">C18-152000</f>
        <v>222589</v>
      </c>
      <c r="F18" s="243" t="n">
        <f aca="false">D18/$D$2</f>
        <v>-445.172674565163</v>
      </c>
      <c r="G18" s="122" t="n">
        <v>468</v>
      </c>
      <c r="H18" s="215" t="n">
        <v>0.07</v>
      </c>
      <c r="I18" s="122" t="n">
        <f aca="false">G18+H18</f>
        <v>468.07</v>
      </c>
      <c r="J18" s="218" t="n">
        <f aca="false">IF(L18&gt;0,L18,0)</f>
        <v>32.7573254348374</v>
      </c>
      <c r="K18" s="122" t="n">
        <f aca="false">I18+J18</f>
        <v>500.827325434837</v>
      </c>
      <c r="L18" s="122" t="n">
        <f aca="false">F18-(I18-AG18)</f>
        <v>32.7573254348374</v>
      </c>
      <c r="M18" s="244" t="n">
        <v>330</v>
      </c>
      <c r="N18" s="215" t="n">
        <f aca="false">1.8299*1.03</f>
        <v>1.884797</v>
      </c>
      <c r="O18" s="122" t="n">
        <f aca="false">(34+34)*1.05</f>
        <v>71.4</v>
      </c>
      <c r="P18" s="215" t="n">
        <v>0</v>
      </c>
      <c r="Q18" s="215" t="n">
        <f aca="false">2.68*1.02</f>
        <v>2.7336</v>
      </c>
      <c r="R18" s="215" t="n">
        <v>4.2</v>
      </c>
      <c r="S18" s="324" t="n">
        <v>3.36</v>
      </c>
      <c r="T18" s="381" t="n">
        <v>0</v>
      </c>
      <c r="U18" s="122" t="n">
        <v>170</v>
      </c>
      <c r="V18" s="122" t="n">
        <v>74</v>
      </c>
      <c r="W18" s="122" t="n">
        <f aca="false">M18-N18-O18-P18-Q18-R18-S18-T18+U18+V18</f>
        <v>490.421603</v>
      </c>
      <c r="X18" s="95" t="n">
        <f aca="false">X17-(W18-I18)-Q18-R18-AB18-(AP18/1.935)</f>
        <v>1507.79685944476</v>
      </c>
      <c r="Y18" s="95" t="n">
        <f aca="false">Y17+AQ18</f>
        <v>1678.45667693584</v>
      </c>
      <c r="Z18" s="95" t="n">
        <f aca="false">Z17</f>
        <v>5552.30652886312</v>
      </c>
      <c r="AA18" s="122" t="n">
        <v>252</v>
      </c>
      <c r="AB18" s="244" t="n">
        <v>1.7</v>
      </c>
      <c r="AC18" s="245" t="n">
        <v>1.3</v>
      </c>
      <c r="AD18" s="464" t="n">
        <v>120</v>
      </c>
      <c r="AE18" s="353" t="n">
        <f aca="false">AE17-AD18</f>
        <v>14398.2578774893</v>
      </c>
      <c r="AF18" s="95"/>
      <c r="AG18" s="121" t="n">
        <f aca="false">N18+O18+P18+Q18+R18+S18+T18+W18+AA18+AD18</f>
        <v>946</v>
      </c>
      <c r="AH18" s="122" t="n">
        <f aca="false">IF(L18&lt;0,L18*-1,0)</f>
        <v>0</v>
      </c>
      <c r="AI18" s="122" t="n">
        <f aca="false">AG18+AH18</f>
        <v>946</v>
      </c>
      <c r="AJ18" s="337" t="n">
        <v>0</v>
      </c>
      <c r="AK18" s="465" t="n">
        <v>81</v>
      </c>
      <c r="AL18" s="466" t="n">
        <v>56</v>
      </c>
      <c r="AM18" s="133" t="n">
        <f aca="false">AM17</f>
        <v>13022.27255</v>
      </c>
      <c r="AN18" s="133"/>
      <c r="AO18" s="91"/>
      <c r="AP18" s="215" t="n">
        <f aca="false">60.3*(X17*1.9835+Y17*1.9835+Z17*1.9835)/E18</f>
        <v>4.71349998560863</v>
      </c>
      <c r="AQ18" s="383"/>
      <c r="AR18" s="3"/>
      <c r="AS18" s="4"/>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55" t="n">
        <f aca="false">A18+1</f>
        <v>8</v>
      </c>
      <c r="B19" s="94" t="n">
        <v>6922.27</v>
      </c>
      <c r="C19" s="95" t="n">
        <v>373486</v>
      </c>
      <c r="D19" s="133" t="n">
        <f aca="false">C19-C18</f>
        <v>-1103</v>
      </c>
      <c r="E19" s="95" t="n">
        <f aca="false">C19-152000</f>
        <v>221486</v>
      </c>
      <c r="F19" s="243" t="n">
        <f aca="false">D19/$D$2</f>
        <v>-556.087723720696</v>
      </c>
      <c r="G19" s="122" t="n">
        <v>433</v>
      </c>
      <c r="H19" s="215" t="n">
        <v>0.07</v>
      </c>
      <c r="I19" s="122" t="n">
        <f aca="false">G19+H19</f>
        <v>433.07</v>
      </c>
      <c r="J19" s="218" t="n">
        <f aca="false">IF(L19&gt;0,L19,0)</f>
        <v>0</v>
      </c>
      <c r="K19" s="122" t="n">
        <f aca="false">I19+J19</f>
        <v>433.07</v>
      </c>
      <c r="L19" s="122" t="n">
        <f aca="false">F19-(I19-AG19)</f>
        <v>-27.1577237206957</v>
      </c>
      <c r="M19" s="244" t="n">
        <v>345</v>
      </c>
      <c r="N19" s="215" t="n">
        <f aca="false">1.8299*1.03</f>
        <v>1.884797</v>
      </c>
      <c r="O19" s="122" t="n">
        <f aca="false">(35+38)*1.05</f>
        <v>76.65</v>
      </c>
      <c r="P19" s="215" t="n">
        <v>0</v>
      </c>
      <c r="Q19" s="215" t="n">
        <f aca="false">2.68*1.02</f>
        <v>2.7336</v>
      </c>
      <c r="R19" s="215" t="n">
        <v>4.2</v>
      </c>
      <c r="S19" s="324" t="n">
        <v>4.18</v>
      </c>
      <c r="T19" s="381" t="n">
        <v>0</v>
      </c>
      <c r="U19" s="122" t="n">
        <v>163</v>
      </c>
      <c r="V19" s="122" t="n">
        <v>73</v>
      </c>
      <c r="W19" s="122" t="n">
        <f aca="false">M19-N19-O19-P19-Q19-R19-S19-T19+U19+V19</f>
        <v>491.351603</v>
      </c>
      <c r="X19" s="95" t="n">
        <f aca="false">X18-(W19-I19)-Q19-R19-AB19-(AP19/1.935)</f>
        <v>1438.44293530224</v>
      </c>
      <c r="Y19" s="95" t="n">
        <f aca="false">Y18+AQ19</f>
        <v>1678.45667693584</v>
      </c>
      <c r="Z19" s="95" t="n">
        <f aca="false">Z18</f>
        <v>5552.30652886312</v>
      </c>
      <c r="AA19" s="122" t="n">
        <v>264</v>
      </c>
      <c r="AB19" s="244" t="n">
        <v>1.7</v>
      </c>
      <c r="AC19" s="245" t="n">
        <v>1.3</v>
      </c>
      <c r="AD19" s="464" t="n">
        <v>117</v>
      </c>
      <c r="AE19" s="353" t="n">
        <f aca="false">AE18-AD19</f>
        <v>14281.2578774893</v>
      </c>
      <c r="AF19" s="95"/>
      <c r="AG19" s="121" t="n">
        <f aca="false">N19+O19+P19+Q19+R19+S19+T19+W19+AA19+AD19</f>
        <v>962</v>
      </c>
      <c r="AH19" s="122" t="n">
        <f aca="false">IF(L19&lt;0,L19*-1,0)</f>
        <v>27.1577237206957</v>
      </c>
      <c r="AI19" s="122" t="n">
        <f aca="false">AG19+AH19</f>
        <v>989.157723720696</v>
      </c>
      <c r="AJ19" s="337" t="n">
        <v>0</v>
      </c>
      <c r="AK19" s="133" t="n">
        <v>85</v>
      </c>
      <c r="AL19" s="222" t="n">
        <v>50</v>
      </c>
      <c r="AM19" s="133" t="n">
        <f aca="false">AM18</f>
        <v>13022.27255</v>
      </c>
      <c r="AN19" s="133"/>
      <c r="AO19" s="91"/>
      <c r="AP19" s="215" t="n">
        <f aca="false">60.3*(X18*1.9835+Y18*1.9835+Z18*1.9835)/E19</f>
        <v>4.71892541077756</v>
      </c>
      <c r="AQ19" s="383"/>
      <c r="AR19" s="3"/>
      <c r="AS19" s="4"/>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55" t="n">
        <f aca="false">A19+1</f>
        <v>9</v>
      </c>
      <c r="B20" s="94" t="n">
        <v>6921.99</v>
      </c>
      <c r="C20" s="95" t="n">
        <v>372250</v>
      </c>
      <c r="D20" s="133" t="n">
        <f aca="false">C20-C19</f>
        <v>-1236</v>
      </c>
      <c r="E20" s="95" t="n">
        <f aca="false">C20-152000</f>
        <v>220250</v>
      </c>
      <c r="F20" s="243" t="n">
        <f aca="false">D20/$D$2</f>
        <v>-623.140912528359</v>
      </c>
      <c r="G20" s="122" t="n">
        <v>363</v>
      </c>
      <c r="H20" s="215" t="n">
        <v>0.05</v>
      </c>
      <c r="I20" s="122" t="n">
        <f aca="false">G20+H20</f>
        <v>363.05</v>
      </c>
      <c r="J20" s="218" t="n">
        <f aca="false">IF(L20&gt;0,L20,0)</f>
        <v>0</v>
      </c>
      <c r="K20" s="122" t="n">
        <f aca="false">I20+J20</f>
        <v>363.05</v>
      </c>
      <c r="L20" s="122" t="n">
        <f aca="false">F20-(I20-AG20)</f>
        <v>-41.1909125283589</v>
      </c>
      <c r="M20" s="244" t="n">
        <v>351</v>
      </c>
      <c r="N20" s="215" t="n">
        <f aca="false">1.8299*1.03</f>
        <v>1.884797</v>
      </c>
      <c r="O20" s="122" t="n">
        <f aca="false">(39+40)*1.05</f>
        <v>82.95</v>
      </c>
      <c r="P20" s="215" t="n">
        <v>0</v>
      </c>
      <c r="Q20" s="215" t="n">
        <f aca="false">2.68*1.02</f>
        <v>2.7336</v>
      </c>
      <c r="R20" s="215" t="n">
        <v>4.2</v>
      </c>
      <c r="S20" s="324" t="n">
        <v>5.55</v>
      </c>
      <c r="T20" s="381" t="n">
        <v>0</v>
      </c>
      <c r="U20" s="122" t="n">
        <v>159</v>
      </c>
      <c r="V20" s="122" t="n">
        <v>73</v>
      </c>
      <c r="W20" s="122" t="n">
        <f aca="false">M20-N20-O20-P20-Q20-R20-S20-T20+U20+V20</f>
        <v>485.681603</v>
      </c>
      <c r="X20" s="95" t="n">
        <f aca="false">X19-(W20-I20)-Q20-R20-AB20-(AP20/1.935)</f>
        <v>1304.74478915514</v>
      </c>
      <c r="Y20" s="95" t="n">
        <f aca="false">Y19+AQ20</f>
        <v>1678.45667693584</v>
      </c>
      <c r="Z20" s="95" t="n">
        <f aca="false">Z19</f>
        <v>5552.30652886312</v>
      </c>
      <c r="AA20" s="122" t="n">
        <v>249</v>
      </c>
      <c r="AB20" s="244" t="n">
        <v>1.7</v>
      </c>
      <c r="AC20" s="245" t="n">
        <v>1.3</v>
      </c>
      <c r="AD20" s="464" t="n">
        <v>113</v>
      </c>
      <c r="AE20" s="353" t="n">
        <f aca="false">AE19-AD20</f>
        <v>14168.2578774893</v>
      </c>
      <c r="AF20" s="95"/>
      <c r="AG20" s="121" t="n">
        <f aca="false">N20+O20+P20+Q20+R20+S20+T20+W20+AA20+AD20</f>
        <v>945</v>
      </c>
      <c r="AH20" s="122" t="n">
        <f aca="false">IF(L20&lt;0,L20*-1,0)</f>
        <v>41.1909125283589</v>
      </c>
      <c r="AI20" s="122" t="n">
        <f aca="false">AG20+AH20</f>
        <v>986.190912528359</v>
      </c>
      <c r="AJ20" s="337" t="n">
        <v>0</v>
      </c>
      <c r="AK20" s="223" t="n">
        <v>86</v>
      </c>
      <c r="AL20" s="222" t="n">
        <v>51</v>
      </c>
      <c r="AM20" s="133" t="n">
        <f aca="false">AM19</f>
        <v>13022.27255</v>
      </c>
      <c r="AN20" s="133"/>
      <c r="AO20" s="91"/>
      <c r="AP20" s="215" t="n">
        <f aca="false">60.3*(X19*1.9835+Y19*1.9835+Z19*1.9835)/E20</f>
        <v>4.70774498963322</v>
      </c>
      <c r="AQ20" s="383"/>
      <c r="AR20" s="3"/>
      <c r="AS20" s="4"/>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55" t="n">
        <f aca="false">A20+1</f>
        <v>10</v>
      </c>
      <c r="B21" s="94" t="n">
        <v>6921.67</v>
      </c>
      <c r="C21" s="95" t="n">
        <v>370849</v>
      </c>
      <c r="D21" s="133" t="n">
        <f aca="false">C21-C20</f>
        <v>-1401</v>
      </c>
      <c r="E21" s="95" t="n">
        <f aca="false">C21-152000</f>
        <v>218849</v>
      </c>
      <c r="F21" s="243" t="n">
        <f aca="false">D21/$D$2</f>
        <v>-706.327199395009</v>
      </c>
      <c r="G21" s="122" t="n">
        <v>331</v>
      </c>
      <c r="H21" s="215" t="n">
        <v>0.06</v>
      </c>
      <c r="I21" s="122" t="n">
        <f aca="false">G21+H21</f>
        <v>331.06</v>
      </c>
      <c r="J21" s="218" t="n">
        <f aca="false">IF(L21&gt;0,L21,0)</f>
        <v>0</v>
      </c>
      <c r="K21" s="122" t="n">
        <f aca="false">I21+J21</f>
        <v>331.06</v>
      </c>
      <c r="L21" s="122" t="n">
        <f aca="false">F21-(I21-AG21)</f>
        <v>-55.3871993950088</v>
      </c>
      <c r="M21" s="244" t="n">
        <v>356</v>
      </c>
      <c r="N21" s="215" t="n">
        <f aca="false">1.8299*1.03</f>
        <v>1.884797</v>
      </c>
      <c r="O21" s="122" t="n">
        <f aca="false">(36+37)*1.05</f>
        <v>76.65</v>
      </c>
      <c r="P21" s="215" t="n">
        <v>0</v>
      </c>
      <c r="Q21" s="215" t="n">
        <f aca="false">2.68*1.02</f>
        <v>2.7336</v>
      </c>
      <c r="R21" s="215" t="n">
        <v>4.2</v>
      </c>
      <c r="S21" s="324" t="n">
        <v>4.66</v>
      </c>
      <c r="T21" s="381" t="n">
        <v>0</v>
      </c>
      <c r="U21" s="122" t="n">
        <v>158</v>
      </c>
      <c r="V21" s="122" t="n">
        <v>76</v>
      </c>
      <c r="W21" s="122" t="n">
        <f aca="false">M21-(N21-AR21)-O21-P21-Q21-R21-S21-T21+U21+V21-AR21</f>
        <v>499.871603</v>
      </c>
      <c r="X21" s="95" t="n">
        <f aca="false">X20-(W21-I21)-Q21-R21-AB21-(AP21/1.935)</f>
        <v>1124.88882960985</v>
      </c>
      <c r="Y21" s="95" t="n">
        <f aca="false">Y20+AQ21</f>
        <v>1678.45667693584</v>
      </c>
      <c r="Z21" s="95" t="n">
        <f aca="false">Z20</f>
        <v>5552.30652886312</v>
      </c>
      <c r="AA21" s="122" t="n">
        <v>279</v>
      </c>
      <c r="AB21" s="244" t="n">
        <v>1.7</v>
      </c>
      <c r="AC21" s="245" t="n">
        <v>1.3</v>
      </c>
      <c r="AD21" s="464" t="n">
        <v>113</v>
      </c>
      <c r="AE21" s="353" t="n">
        <f aca="false">AE20-AD21</f>
        <v>14055.2578774893</v>
      </c>
      <c r="AF21" s="95"/>
      <c r="AG21" s="121" t="n">
        <f aca="false">N21+O21+P21+Q21+R21+S21+T21+W21+AA21+AD21</f>
        <v>982</v>
      </c>
      <c r="AH21" s="122" t="n">
        <f aca="false">IF(L21&lt;0,L21*-1,0)</f>
        <v>55.3871993950088</v>
      </c>
      <c r="AI21" s="122" t="n">
        <f aca="false">AG21+AH21</f>
        <v>1037.38719939501</v>
      </c>
      <c r="AJ21" s="337" t="n">
        <v>0</v>
      </c>
      <c r="AK21" s="133" t="n">
        <v>88</v>
      </c>
      <c r="AL21" s="222" t="n">
        <v>55</v>
      </c>
      <c r="AM21" s="133" t="n">
        <f aca="false">AM20</f>
        <v>13022.27255</v>
      </c>
      <c r="AN21" s="133"/>
      <c r="AO21" s="91"/>
      <c r="AP21" s="215" t="n">
        <f aca="false">60.3*(X20*1.9835+Y20*1.9835+Z20*1.9835)/E21</f>
        <v>4.66481391512817</v>
      </c>
      <c r="AQ21" s="383"/>
      <c r="AR21" s="3"/>
      <c r="AS21" s="4"/>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55" t="n">
        <f aca="false">A21+1</f>
        <v>11</v>
      </c>
      <c r="B22" s="94" t="n">
        <v>6921.35</v>
      </c>
      <c r="C22" s="95" t="n">
        <v>369447</v>
      </c>
      <c r="D22" s="133" t="n">
        <f aca="false">C22-C21</f>
        <v>-1402</v>
      </c>
      <c r="E22" s="95" t="n">
        <f aca="false">C22-152000</f>
        <v>217447</v>
      </c>
      <c r="F22" s="243" t="n">
        <f aca="false">D22/$D$2</f>
        <v>-706.831358709352</v>
      </c>
      <c r="G22" s="122" t="n">
        <v>309</v>
      </c>
      <c r="H22" s="215" t="n">
        <v>0.06</v>
      </c>
      <c r="I22" s="122" t="n">
        <f aca="false">G22+H22</f>
        <v>309.06</v>
      </c>
      <c r="J22" s="218" t="n">
        <f aca="false">IF(L22&gt;0,L22,0)</f>
        <v>0</v>
      </c>
      <c r="K22" s="122" t="n">
        <f aca="false">I22+J22</f>
        <v>309.06</v>
      </c>
      <c r="L22" s="122" t="n">
        <f aca="false">F22-(I22-AG22)</f>
        <v>-25.8913587093521</v>
      </c>
      <c r="M22" s="244" t="n">
        <v>356</v>
      </c>
      <c r="N22" s="215" t="n">
        <f aca="false">1.8299*1.03</f>
        <v>1.884797</v>
      </c>
      <c r="O22" s="122" t="n">
        <f aca="false">(38+41)*1.05</f>
        <v>82.95</v>
      </c>
      <c r="P22" s="215" t="n">
        <v>0</v>
      </c>
      <c r="Q22" s="215" t="n">
        <f aca="false">2.68*1.02</f>
        <v>2.7336</v>
      </c>
      <c r="R22" s="215" t="n">
        <v>4.2</v>
      </c>
      <c r="S22" s="324" t="n">
        <v>4.74</v>
      </c>
      <c r="T22" s="381" t="n">
        <v>0</v>
      </c>
      <c r="U22" s="122" t="n">
        <v>157</v>
      </c>
      <c r="V22" s="122" t="n">
        <v>82</v>
      </c>
      <c r="W22" s="122" t="n">
        <f aca="false">M22-(N22-AR22)-O22-P22-Q22-R22-S22-T22+U22+V22-AR22</f>
        <v>498.491603</v>
      </c>
      <c r="X22" s="95" t="n">
        <f aca="false">X21-(W22-I22)-Q22-R22-AB22-(AP22/1.935)</f>
        <v>924.448452377244</v>
      </c>
      <c r="Y22" s="95" t="n">
        <f aca="false">Y21+AQ22</f>
        <v>1678.45667693584</v>
      </c>
      <c r="Z22" s="95" t="n">
        <f aca="false">Z21</f>
        <v>5552.30652886312</v>
      </c>
      <c r="AA22" s="122" t="n">
        <v>282</v>
      </c>
      <c r="AB22" s="244" t="n">
        <v>1.7</v>
      </c>
      <c r="AC22" s="245" t="n">
        <v>1.3</v>
      </c>
      <c r="AD22" s="464" t="n">
        <v>113</v>
      </c>
      <c r="AE22" s="353" t="n">
        <f aca="false">AE21-AD22</f>
        <v>13942.2578774893</v>
      </c>
      <c r="AF22" s="95"/>
      <c r="AG22" s="121" t="n">
        <f aca="false">N22+O22+P22+Q22+R22+S22+T22+W22+AA22+AD22</f>
        <v>990</v>
      </c>
      <c r="AH22" s="122" t="n">
        <f aca="false">IF(L22&lt;0,L22*-1,0)</f>
        <v>25.8913587093521</v>
      </c>
      <c r="AI22" s="122" t="n">
        <f aca="false">AG22+AH22</f>
        <v>1015.89135870935</v>
      </c>
      <c r="AJ22" s="337" t="n">
        <v>0</v>
      </c>
      <c r="AK22" s="133" t="n">
        <v>83</v>
      </c>
      <c r="AL22" s="222" t="n">
        <v>53</v>
      </c>
      <c r="AM22" s="133" t="n">
        <f aca="false">AM21</f>
        <v>13022.27255</v>
      </c>
      <c r="AN22" s="133"/>
      <c r="AO22" s="91"/>
      <c r="AP22" s="215" t="n">
        <f aca="false">60.3*(X21*1.9835+Y21*1.9835+Z21*1.9835)/E22</f>
        <v>4.595962140097</v>
      </c>
      <c r="AQ22" s="383"/>
      <c r="AR22" s="3"/>
      <c r="AS22" s="4"/>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55" t="n">
        <f aca="false">A22+1</f>
        <v>12</v>
      </c>
      <c r="B23" s="94" t="n">
        <v>6921.04</v>
      </c>
      <c r="C23" s="95" t="n">
        <v>368090</v>
      </c>
      <c r="D23" s="133" t="n">
        <f aca="false">C23-C22</f>
        <v>-1357</v>
      </c>
      <c r="E23" s="95" t="n">
        <f aca="false">C23-152000</f>
        <v>216090</v>
      </c>
      <c r="F23" s="243" t="n">
        <f aca="false">D23/$D$2</f>
        <v>-684.144189563902</v>
      </c>
      <c r="G23" s="122" t="n">
        <v>335</v>
      </c>
      <c r="H23" s="215" t="n">
        <v>0.07</v>
      </c>
      <c r="I23" s="122" t="n">
        <f aca="false">G23+H23</f>
        <v>335.07</v>
      </c>
      <c r="J23" s="218" t="n">
        <f aca="false">IF(L23&gt;0,L23,0)</f>
        <v>0</v>
      </c>
      <c r="K23" s="122" t="n">
        <f aca="false">I23+J23</f>
        <v>335.07</v>
      </c>
      <c r="L23" s="122" t="n">
        <f aca="false">F23-(I23-AG23)</f>
        <v>-55.2141895639021</v>
      </c>
      <c r="M23" s="244" t="n">
        <v>340</v>
      </c>
      <c r="N23" s="215" t="n">
        <f aca="false">1.8299*1.03</f>
        <v>1.884797</v>
      </c>
      <c r="O23" s="122" t="n">
        <f aca="false">(36+38)*1.05</f>
        <v>77.7</v>
      </c>
      <c r="P23" s="215" t="n">
        <v>0</v>
      </c>
      <c r="Q23" s="215" t="n">
        <f aca="false">2.68*1.02</f>
        <v>2.7336</v>
      </c>
      <c r="R23" s="215" t="n">
        <v>4.2</v>
      </c>
      <c r="S23" s="324" t="n">
        <v>2.2</v>
      </c>
      <c r="T23" s="381" t="n">
        <v>0</v>
      </c>
      <c r="U23" s="122" t="n">
        <v>157</v>
      </c>
      <c r="V23" s="122" t="n">
        <v>84</v>
      </c>
      <c r="W23" s="122" t="n">
        <f aca="false">M23-(N23-AR23)-O23-P23-Q23-R23-S23-T23+U23+V23-AR23</f>
        <v>492.281603</v>
      </c>
      <c r="X23" s="95" t="n">
        <f aca="false">X22-(W23-I23)-Q23-R23-AB23-(AP23/1.935)</f>
        <v>756.270494451255</v>
      </c>
      <c r="Y23" s="95" t="n">
        <f aca="false">Y22+AQ23</f>
        <v>1678.45667693584</v>
      </c>
      <c r="Z23" s="95" t="n">
        <f aca="false">Z22</f>
        <v>5552.30652886312</v>
      </c>
      <c r="AA23" s="122" t="n">
        <v>270</v>
      </c>
      <c r="AB23" s="244" t="n">
        <v>1.7</v>
      </c>
      <c r="AC23" s="245" t="n">
        <v>1.3</v>
      </c>
      <c r="AD23" s="464" t="n">
        <v>113</v>
      </c>
      <c r="AE23" s="353" t="n">
        <f aca="false">AE22-AD23</f>
        <v>13829.2578774893</v>
      </c>
      <c r="AF23" s="95"/>
      <c r="AG23" s="121" t="n">
        <f aca="false">N23+O23+P23+Q23+R23+S23+T23+W23+AA23+AD23</f>
        <v>964</v>
      </c>
      <c r="AH23" s="122" t="n">
        <f aca="false">IF(L23&lt;0,L23*-1,0)</f>
        <v>55.2141895639021</v>
      </c>
      <c r="AI23" s="122" t="n">
        <f aca="false">AG23+AH23</f>
        <v>1019.2141895639</v>
      </c>
      <c r="AJ23" s="337" t="n">
        <v>0</v>
      </c>
      <c r="AK23" s="133" t="n">
        <v>86</v>
      </c>
      <c r="AL23" s="222" t="n">
        <v>51</v>
      </c>
      <c r="AM23" s="133" t="n">
        <f aca="false">AM22</f>
        <v>13022.27255</v>
      </c>
      <c r="AN23" s="133"/>
      <c r="AO23" s="91"/>
      <c r="AP23" s="215" t="n">
        <f aca="false">60.3*(X22*1.9835+Y22*1.9835+Z22*1.9835)/E23</f>
        <v>4.51388078178883</v>
      </c>
      <c r="AQ23" s="383"/>
      <c r="AR23" s="3"/>
      <c r="AS23" s="4"/>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55" t="n">
        <f aca="false">A23+1</f>
        <v>13</v>
      </c>
      <c r="B24" s="94" t="n">
        <v>6920.72</v>
      </c>
      <c r="C24" s="95" t="n">
        <v>366699</v>
      </c>
      <c r="D24" s="133" t="n">
        <f aca="false">C24-C23</f>
        <v>-1391</v>
      </c>
      <c r="E24" s="95" t="n">
        <f aca="false">C24-152000</f>
        <v>214699</v>
      </c>
      <c r="F24" s="243" t="n">
        <f aca="false">D24/$D$2</f>
        <v>-701.285606251575</v>
      </c>
      <c r="G24" s="122" t="n">
        <v>285</v>
      </c>
      <c r="H24" s="215" t="n">
        <v>0.07</v>
      </c>
      <c r="I24" s="122" t="n">
        <f aca="false">G24+H24</f>
        <v>285.07</v>
      </c>
      <c r="J24" s="218" t="n">
        <f aca="false">IF(L24&gt;0,L24,0)</f>
        <v>0</v>
      </c>
      <c r="K24" s="122" t="n">
        <f aca="false">I24+J24</f>
        <v>285.07</v>
      </c>
      <c r="L24" s="122" t="n">
        <f aca="false">F24-(I24-AG24)</f>
        <v>-42.3556062515754</v>
      </c>
      <c r="M24" s="244" t="n">
        <v>345</v>
      </c>
      <c r="N24" s="215" t="n">
        <f aca="false">1.8299*1.03</f>
        <v>1.884797</v>
      </c>
      <c r="O24" s="122" t="n">
        <f aca="false">(39+36)*1.05</f>
        <v>78.75</v>
      </c>
      <c r="P24" s="215" t="n">
        <v>0</v>
      </c>
      <c r="Q24" s="215" t="n">
        <f aca="false">2.68*1.02</f>
        <v>2.7336</v>
      </c>
      <c r="R24" s="215" t="n">
        <v>4.2</v>
      </c>
      <c r="S24" s="324" t="n">
        <v>3.42</v>
      </c>
      <c r="T24" s="381" t="n">
        <v>0</v>
      </c>
      <c r="U24" s="122" t="n">
        <v>158</v>
      </c>
      <c r="V24" s="122" t="n">
        <v>86</v>
      </c>
      <c r="W24" s="122" t="n">
        <f aca="false">M24-(N24-AR24)-O24-P24-Q24-R24-S24-T24+U24+V24-AR24</f>
        <v>498.011603</v>
      </c>
      <c r="X24" s="95" t="n">
        <f aca="false">X23-(W24-I24)-Q24-R24-AB24-(AP24/1.935)</f>
        <v>532.395841068577</v>
      </c>
      <c r="Y24" s="95" t="n">
        <f aca="false">Y23+AQ24</f>
        <v>1678.45667693584</v>
      </c>
      <c r="Z24" s="95" t="n">
        <f aca="false">Z23</f>
        <v>5552.30652886312</v>
      </c>
      <c r="AA24" s="122" t="n">
        <v>242</v>
      </c>
      <c r="AB24" s="244" t="n">
        <v>1.7</v>
      </c>
      <c r="AC24" s="245" t="n">
        <v>1.3</v>
      </c>
      <c r="AD24" s="464" t="n">
        <v>113</v>
      </c>
      <c r="AE24" s="353" t="n">
        <f aca="false">AE23-AD24</f>
        <v>13716.2578774893</v>
      </c>
      <c r="AF24" s="95"/>
      <c r="AG24" s="121" t="n">
        <f aca="false">N24+O24+P24+Q24+R24+S24+T24+W24+AA24+AD24</f>
        <v>944</v>
      </c>
      <c r="AH24" s="122" t="n">
        <f aca="false">IF(L24&lt;0,L24*-1,0)</f>
        <v>42.3556062515754</v>
      </c>
      <c r="AI24" s="122" t="n">
        <f aca="false">AG24+AH24</f>
        <v>986.355606251575</v>
      </c>
      <c r="AJ24" s="337" t="n">
        <v>0</v>
      </c>
      <c r="AK24" s="133" t="n">
        <v>83</v>
      </c>
      <c r="AL24" s="222" t="n">
        <v>50</v>
      </c>
      <c r="AM24" s="133" t="n">
        <f aca="false">AM23</f>
        <v>13022.27255</v>
      </c>
      <c r="AN24" s="133"/>
      <c r="AO24" s="91"/>
      <c r="AP24" s="215" t="n">
        <f aca="false">60.3*(X23*1.9835+Y23*1.9835+Z23*1.9835)/E24</f>
        <v>4.44943649048255</v>
      </c>
      <c r="AQ24" s="383"/>
      <c r="AR24" s="3"/>
      <c r="AS24" s="4"/>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55" t="n">
        <f aca="false">A24+1</f>
        <v>14</v>
      </c>
      <c r="B25" s="94" t="n">
        <v>6920.43</v>
      </c>
      <c r="C25" s="95" t="n">
        <v>365440</v>
      </c>
      <c r="D25" s="133" t="n">
        <f aca="false">C25-C24</f>
        <v>-1259</v>
      </c>
      <c r="E25" s="95" t="n">
        <f aca="false">C25-152000</f>
        <v>213440</v>
      </c>
      <c r="F25" s="243" t="n">
        <f aca="false">D25/$D$2</f>
        <v>-634.736576758256</v>
      </c>
      <c r="G25" s="122" t="n">
        <v>296</v>
      </c>
      <c r="H25" s="215" t="n">
        <v>0.05</v>
      </c>
      <c r="I25" s="122" t="n">
        <f aca="false">G25+H25</f>
        <v>296.05</v>
      </c>
      <c r="J25" s="218" t="n">
        <f aca="false">IF(L25&gt;0,L25,0)</f>
        <v>5.21342324174441</v>
      </c>
      <c r="K25" s="122" t="n">
        <f aca="false">I25+J25</f>
        <v>301.263423241744</v>
      </c>
      <c r="L25" s="122" t="n">
        <f aca="false">F25-(I25-AG25)</f>
        <v>5.21342324174441</v>
      </c>
      <c r="M25" s="244" t="n">
        <v>338</v>
      </c>
      <c r="N25" s="215" t="n">
        <f aca="false">1.8299*1.03</f>
        <v>1.884797</v>
      </c>
      <c r="O25" s="122" t="n">
        <f aca="false">(37+38)*1.05</f>
        <v>78.75</v>
      </c>
      <c r="P25" s="215" t="n">
        <v>0</v>
      </c>
      <c r="Q25" s="215" t="n">
        <f aca="false">2.68*1.02</f>
        <v>2.7336</v>
      </c>
      <c r="R25" s="215" t="n">
        <v>4.2</v>
      </c>
      <c r="S25" s="324" t="n">
        <v>5.11</v>
      </c>
      <c r="T25" s="381" t="n">
        <v>0</v>
      </c>
      <c r="U25" s="122" t="n">
        <v>159</v>
      </c>
      <c r="V25" s="122" t="n">
        <v>86</v>
      </c>
      <c r="W25" s="122" t="n">
        <f aca="false">M25-(N25-AR25)-O25-P25-Q25-R25-S25-T25+U25+V25-AR25</f>
        <v>490.321603</v>
      </c>
      <c r="X25" s="95" t="n">
        <f aca="false">X24-(W25-I25)-Q25-R25-AB25-(AP25/1.935)</f>
        <v>327.242457347991</v>
      </c>
      <c r="Y25" s="95" t="n">
        <f aca="false">Y24+AQ25</f>
        <v>1678.45667693584</v>
      </c>
      <c r="Z25" s="95" t="n">
        <f aca="false">Z24</f>
        <v>5552.30652886312</v>
      </c>
      <c r="AA25" s="122" t="n">
        <v>240</v>
      </c>
      <c r="AB25" s="244" t="n">
        <v>1.7</v>
      </c>
      <c r="AC25" s="245" t="n">
        <v>1.3</v>
      </c>
      <c r="AD25" s="464" t="n">
        <v>113</v>
      </c>
      <c r="AE25" s="353" t="n">
        <f aca="false">AE24-AD25</f>
        <v>13603.2578774893</v>
      </c>
      <c r="AF25" s="95"/>
      <c r="AG25" s="121" t="n">
        <f aca="false">N25+O25+P25+Q25+R25+S25+T25+W25+AA25+AD25</f>
        <v>936</v>
      </c>
      <c r="AH25" s="122" t="n">
        <f aca="false">IF(L25&lt;0,L25*-1,0)</f>
        <v>0</v>
      </c>
      <c r="AI25" s="122" t="n">
        <f aca="false">AG25+AH25</f>
        <v>936</v>
      </c>
      <c r="AJ25" s="337" t="n">
        <v>0</v>
      </c>
      <c r="AK25" s="133" t="n">
        <v>84</v>
      </c>
      <c r="AL25" s="222" t="n">
        <v>51</v>
      </c>
      <c r="AM25" s="133" t="n">
        <f aca="false">AM24</f>
        <v>13022.27255</v>
      </c>
      <c r="AN25" s="133"/>
      <c r="AO25" s="91"/>
      <c r="AP25" s="215" t="n">
        <f aca="false">60.3*(X24*1.9835+Y24*1.9835+Z24*1.9835)/E25</f>
        <v>4.35022969433351</v>
      </c>
      <c r="AQ25" s="383"/>
      <c r="AR25" s="3"/>
      <c r="AS25" s="4"/>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55" t="n">
        <f aca="false">A25+1</f>
        <v>15</v>
      </c>
      <c r="B26" s="94" t="n">
        <v>6920.11</v>
      </c>
      <c r="C26" s="95" t="n">
        <v>364051</v>
      </c>
      <c r="D26" s="133" t="n">
        <f aca="false">C26-C25</f>
        <v>-1389</v>
      </c>
      <c r="E26" s="95" t="n">
        <f aca="false">C26-152000</f>
        <v>212051</v>
      </c>
      <c r="F26" s="243" t="n">
        <f aca="false">D26/$D$2</f>
        <v>-700.277287622889</v>
      </c>
      <c r="G26" s="122" t="n">
        <v>296</v>
      </c>
      <c r="H26" s="215" t="n">
        <v>0.06</v>
      </c>
      <c r="I26" s="122" t="n">
        <f aca="false">G26+H26</f>
        <v>296.06</v>
      </c>
      <c r="J26" s="218" t="n">
        <f aca="false">IF(L26&gt;0,L26,0)</f>
        <v>0</v>
      </c>
      <c r="K26" s="122" t="n">
        <f aca="false">I26+J26</f>
        <v>296.06</v>
      </c>
      <c r="L26" s="122" t="n">
        <f aca="false">F26-(I26-AG26)</f>
        <v>-18.3372876228888</v>
      </c>
      <c r="M26" s="244" t="n">
        <v>336</v>
      </c>
      <c r="N26" s="215" t="n">
        <f aca="false">1.8299*1.03</f>
        <v>1.884797</v>
      </c>
      <c r="O26" s="122" t="n">
        <f aca="false">(34+37)*1.05</f>
        <v>74.55</v>
      </c>
      <c r="P26" s="215" t="n">
        <v>0</v>
      </c>
      <c r="Q26" s="215" t="n">
        <f aca="false">2.68*1.02</f>
        <v>2.7336</v>
      </c>
      <c r="R26" s="215" t="n">
        <v>4.2</v>
      </c>
      <c r="S26" s="324" t="n">
        <v>2.6</v>
      </c>
      <c r="T26" s="381" t="n">
        <v>0</v>
      </c>
      <c r="U26" s="122" t="n">
        <v>157</v>
      </c>
      <c r="V26" s="122" t="n">
        <v>86</v>
      </c>
      <c r="W26" s="122" t="n">
        <f aca="false">M26-(N26-AR26)-O26-P26-Q26-R26-S26-T26+U26+V26-AR26</f>
        <v>493.031603</v>
      </c>
      <c r="X26" s="95" t="n">
        <f aca="false">X25-(W26-I26)-Q26-R26-AB26-(AP26/1.935)</f>
        <v>119.434148132536</v>
      </c>
      <c r="Y26" s="95" t="n">
        <f aca="false">Y25+AQ26</f>
        <v>1684.17667693584</v>
      </c>
      <c r="Z26" s="95" t="n">
        <f aca="false">Z25</f>
        <v>5552.30652886312</v>
      </c>
      <c r="AA26" s="122" t="n">
        <v>286</v>
      </c>
      <c r="AB26" s="244" t="n">
        <v>1.7</v>
      </c>
      <c r="AC26" s="245" t="n">
        <v>1.3</v>
      </c>
      <c r="AD26" s="464" t="n">
        <v>113</v>
      </c>
      <c r="AE26" s="353" t="n">
        <f aca="false">AE25-AD26</f>
        <v>13490.2578774893</v>
      </c>
      <c r="AF26" s="95"/>
      <c r="AG26" s="121" t="n">
        <f aca="false">N26+O26+P26+Q26+R26+S26+T26+W26+AA26+AD26</f>
        <v>978</v>
      </c>
      <c r="AH26" s="122" t="n">
        <f aca="false">IF(L26&lt;0,L26*-1,0)</f>
        <v>18.3372876228888</v>
      </c>
      <c r="AI26" s="122" t="n">
        <f aca="false">AG26+AH26</f>
        <v>996.337287622889</v>
      </c>
      <c r="AJ26" s="337" t="n">
        <v>0.03</v>
      </c>
      <c r="AK26" s="223" t="n">
        <v>88</v>
      </c>
      <c r="AL26" s="222" t="n">
        <v>51</v>
      </c>
      <c r="AM26" s="133" t="n">
        <f aca="false">AM25</f>
        <v>13022.27255</v>
      </c>
      <c r="AN26" s="133"/>
      <c r="AO26" s="91"/>
      <c r="AP26" s="215" t="n">
        <f aca="false">60.3*(X25*1.9835+Y25*1.9835+Z25*1.9835)/E26</f>
        <v>4.26301052690614</v>
      </c>
      <c r="AQ26" s="383" t="n">
        <v>5.72</v>
      </c>
      <c r="AR26" s="3"/>
      <c r="AS26" s="4"/>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55" t="n">
        <f aca="false">A26+1</f>
        <v>16</v>
      </c>
      <c r="B27" s="94" t="n">
        <v>6919.78</v>
      </c>
      <c r="C27" s="95" t="n">
        <v>362626</v>
      </c>
      <c r="D27" s="133" t="n">
        <f aca="false">C27-C26</f>
        <v>-1425</v>
      </c>
      <c r="E27" s="95" t="n">
        <f aca="false">C27-152000</f>
        <v>210626</v>
      </c>
      <c r="F27" s="243" t="n">
        <f aca="false">D27/$D$2</f>
        <v>-718.427022939249</v>
      </c>
      <c r="G27" s="122" t="n">
        <v>283</v>
      </c>
      <c r="H27" s="215" t="n">
        <v>0.09</v>
      </c>
      <c r="I27" s="122" t="n">
        <f aca="false">G27+H27</f>
        <v>283.09</v>
      </c>
      <c r="J27" s="218" t="n">
        <f aca="false">IF(L27&gt;0,L27,0)</f>
        <v>0</v>
      </c>
      <c r="K27" s="122" t="n">
        <f aca="false">I27+J27</f>
        <v>283.09</v>
      </c>
      <c r="L27" s="122" t="n">
        <f aca="false">F27-(I27-AG27)</f>
        <v>-38.5170229392487</v>
      </c>
      <c r="M27" s="244" t="n">
        <v>333</v>
      </c>
      <c r="N27" s="215" t="n">
        <f aca="false">1.8299*1.03</f>
        <v>1.884797</v>
      </c>
      <c r="O27" s="122" t="n">
        <f aca="false">(33+33)*1.05</f>
        <v>69.3</v>
      </c>
      <c r="P27" s="215" t="n">
        <v>0</v>
      </c>
      <c r="Q27" s="215" t="n">
        <f aca="false">2.68*1.02</f>
        <v>2.7336</v>
      </c>
      <c r="R27" s="215" t="n">
        <v>4.2</v>
      </c>
      <c r="S27" s="324" t="n">
        <v>4.09</v>
      </c>
      <c r="T27" s="381" t="n">
        <v>0</v>
      </c>
      <c r="U27" s="122" t="n">
        <v>158</v>
      </c>
      <c r="V27" s="122" t="n">
        <v>87</v>
      </c>
      <c r="W27" s="122" t="n">
        <f aca="false">M27-(N27-AR27)-O27-P27-Q27-R27-S27-T27+U27+V27-AR27</f>
        <v>495.791603</v>
      </c>
      <c r="X27" s="95" t="n">
        <f aca="false">X26-(W27-I27)-Q27-R27-AB27-(AP27/1.935)+104</f>
        <v>-0.0597604200420392</v>
      </c>
      <c r="Y27" s="95" t="n">
        <f aca="false">Y26+AQ27-104</f>
        <v>1592.67667693584</v>
      </c>
      <c r="Z27" s="95" t="n">
        <f aca="false">Z26</f>
        <v>5552.30652886312</v>
      </c>
      <c r="AA27" s="122" t="n">
        <v>281</v>
      </c>
      <c r="AB27" s="244" t="n">
        <v>1.7</v>
      </c>
      <c r="AC27" s="245" t="n">
        <v>1.3</v>
      </c>
      <c r="AD27" s="464" t="n">
        <v>104</v>
      </c>
      <c r="AE27" s="353" t="n">
        <f aca="false">AE26-AD27</f>
        <v>13386.2578774893</v>
      </c>
      <c r="AF27" s="95"/>
      <c r="AG27" s="121" t="n">
        <f aca="false">N27+O27+P27+Q27+R27+S27+T27+W27+AA27+AD27</f>
        <v>963</v>
      </c>
      <c r="AH27" s="122" t="n">
        <f aca="false">IF(L27&lt;0,L27*-1,0)</f>
        <v>38.5170229392487</v>
      </c>
      <c r="AI27" s="122" t="n">
        <f aca="false">AG27+AH27</f>
        <v>1001.51702293925</v>
      </c>
      <c r="AJ27" s="337" t="n">
        <v>0</v>
      </c>
      <c r="AK27" s="223" t="n">
        <v>86</v>
      </c>
      <c r="AL27" s="222" t="n">
        <v>52</v>
      </c>
      <c r="AM27" s="133" t="n">
        <f aca="false">AM26</f>
        <v>13022.27255</v>
      </c>
      <c r="AN27" s="133"/>
      <c r="AO27" s="91"/>
      <c r="AP27" s="215" t="n">
        <f aca="false">60.3*(X26*1.9835+Y26*1.9835+Z26*1.9835)/E27</f>
        <v>4.17709524423786</v>
      </c>
      <c r="AQ27" s="383" t="n">
        <v>12.5</v>
      </c>
      <c r="AR27" s="3"/>
      <c r="AS27" s="4"/>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55" t="n">
        <f aca="false">A27+1</f>
        <v>17</v>
      </c>
      <c r="B28" s="94" t="n">
        <v>6919.5</v>
      </c>
      <c r="C28" s="95" t="n">
        <v>361420</v>
      </c>
      <c r="D28" s="133" t="n">
        <f aca="false">C28-C27</f>
        <v>-1206</v>
      </c>
      <c r="E28" s="95" t="n">
        <f aca="false">C28-152000</f>
        <v>209420</v>
      </c>
      <c r="F28" s="243" t="n">
        <f aca="false">D28/$D$2</f>
        <v>-608.016133098059</v>
      </c>
      <c r="G28" s="122" t="n">
        <v>384</v>
      </c>
      <c r="H28" s="215" t="n">
        <v>0.08</v>
      </c>
      <c r="I28" s="122" t="n">
        <f aca="false">G28+H28</f>
        <v>384.08</v>
      </c>
      <c r="J28" s="218" t="n">
        <f aca="false">IF(L28&gt;0,L28,0)</f>
        <v>0</v>
      </c>
      <c r="K28" s="122" t="n">
        <f aca="false">I28+J28</f>
        <v>384.08</v>
      </c>
      <c r="L28" s="122" t="n">
        <f aca="false">F28-(I28-AG28)</f>
        <v>-27.0961330980589</v>
      </c>
      <c r="M28" s="244" t="n">
        <v>333</v>
      </c>
      <c r="N28" s="215" t="n">
        <f aca="false">1.8299*1.03</f>
        <v>1.884797</v>
      </c>
      <c r="O28" s="122" t="n">
        <f aca="false">(35+36)*1.05</f>
        <v>74.55</v>
      </c>
      <c r="P28" s="215" t="n">
        <v>0</v>
      </c>
      <c r="Q28" s="215" t="n">
        <f aca="false">2.68*1.02</f>
        <v>2.7336</v>
      </c>
      <c r="R28" s="215" t="n">
        <v>4.2</v>
      </c>
      <c r="S28" s="324" t="n">
        <v>4.47</v>
      </c>
      <c r="T28" s="381" t="n">
        <v>0</v>
      </c>
      <c r="U28" s="122" t="n">
        <v>158</v>
      </c>
      <c r="V28" s="122" t="n">
        <v>88</v>
      </c>
      <c r="W28" s="122" t="n">
        <f aca="false">M28-(N28-AR28)-O28-P28-Q28-R28-S28-T28+U28+V28-AR28</f>
        <v>491.161603</v>
      </c>
      <c r="X28" s="95"/>
      <c r="Y28" s="95" t="n">
        <f aca="false">Y27-(W28-I28)-Q28-R28-AB28-(AP28/1.9835)+AQ28</f>
        <v>1487.40417814864</v>
      </c>
      <c r="Z28" s="95" t="n">
        <f aca="false">Z27</f>
        <v>5552.30652886312</v>
      </c>
      <c r="AA28" s="122" t="n">
        <v>283</v>
      </c>
      <c r="AB28" s="244" t="n">
        <v>1.7</v>
      </c>
      <c r="AC28" s="245" t="n">
        <v>1.3</v>
      </c>
      <c r="AD28" s="464" t="n">
        <v>103</v>
      </c>
      <c r="AE28" s="353" t="n">
        <f aca="false">AE27-AD28</f>
        <v>13283.2578774893</v>
      </c>
      <c r="AF28" s="95"/>
      <c r="AG28" s="121" t="n">
        <f aca="false">N28+O28+P28+Q28+R28+S28+T28+W28+AA28+AD28</f>
        <v>965</v>
      </c>
      <c r="AH28" s="122" t="n">
        <f aca="false">IF(L28&lt;0,L28*-1,0)</f>
        <v>27.0961330980589</v>
      </c>
      <c r="AI28" s="122" t="n">
        <f aca="false">AG28+AH28</f>
        <v>992.096133098059</v>
      </c>
      <c r="AJ28" s="337" t="n">
        <v>0</v>
      </c>
      <c r="AK28" s="223" t="n">
        <v>82</v>
      </c>
      <c r="AL28" s="222" t="n">
        <v>51</v>
      </c>
      <c r="AM28" s="133" t="n">
        <f aca="false">AM27</f>
        <v>13022.27255</v>
      </c>
      <c r="AN28" s="133"/>
      <c r="AO28" s="91"/>
      <c r="AP28" s="215" t="n">
        <f aca="false">60.3*(X27*1.9835+Y27*1.9835+Z27*1.9835)/E28</f>
        <v>4.08064619391996</v>
      </c>
      <c r="AQ28" s="383" t="n">
        <v>12.5</v>
      </c>
      <c r="AR28" s="3"/>
      <c r="AS28" s="4"/>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55" t="n">
        <f aca="false">A28+1</f>
        <v>18</v>
      </c>
      <c r="B29" s="94" t="n">
        <v>6919.18</v>
      </c>
      <c r="C29" s="95" t="n">
        <v>360042</v>
      </c>
      <c r="D29" s="133" t="n">
        <f aca="false">C29-C28</f>
        <v>-1378</v>
      </c>
      <c r="E29" s="95" t="n">
        <f aca="false">C29-152000</f>
        <v>208042</v>
      </c>
      <c r="F29" s="243" t="n">
        <f aca="false">D29/$D$2</f>
        <v>-694.731535165112</v>
      </c>
      <c r="G29" s="122" t="n">
        <v>314</v>
      </c>
      <c r="H29" s="215" t="n">
        <v>0.26</v>
      </c>
      <c r="I29" s="122" t="n">
        <f aca="false">G29+H29</f>
        <v>314.26</v>
      </c>
      <c r="J29" s="218" t="n">
        <f aca="false">IF(L29&gt;0,L29,0)</f>
        <v>0</v>
      </c>
      <c r="K29" s="122" t="n">
        <f aca="false">I29+J29</f>
        <v>314.26</v>
      </c>
      <c r="L29" s="122" t="n">
        <f aca="false">F29-(I29-AG29)</f>
        <v>-48.9915351651122</v>
      </c>
      <c r="M29" s="244" t="n">
        <v>331</v>
      </c>
      <c r="N29" s="215" t="n">
        <f aca="false">1.8299*1.03</f>
        <v>1.884797</v>
      </c>
      <c r="O29" s="122" t="n">
        <f aca="false">(38+40)*1.05</f>
        <v>81.9</v>
      </c>
      <c r="P29" s="215" t="n">
        <v>0</v>
      </c>
      <c r="Q29" s="215" t="n">
        <f aca="false">2.68*1.02</f>
        <v>2.7336</v>
      </c>
      <c r="R29" s="215" t="n">
        <v>4.2</v>
      </c>
      <c r="S29" s="324" t="n">
        <v>4.56</v>
      </c>
      <c r="T29" s="381" t="n">
        <v>0</v>
      </c>
      <c r="U29" s="122" t="n">
        <v>158</v>
      </c>
      <c r="V29" s="122" t="n">
        <v>85</v>
      </c>
      <c r="W29" s="122" t="n">
        <f aca="false">M29-(N29-AR29)-O29-P29-Q29-R29-S29-T29+U29+V29-AR29</f>
        <v>478.721603</v>
      </c>
      <c r="X29" s="95"/>
      <c r="Y29" s="95" t="n">
        <f aca="false">Y28+AQ29-102</f>
        <v>1397.90417814864</v>
      </c>
      <c r="Z29" s="95" t="n">
        <f aca="false">Z28</f>
        <v>5552.30652886312</v>
      </c>
      <c r="AA29" s="122" t="n">
        <v>283</v>
      </c>
      <c r="AB29" s="244" t="n">
        <v>1.7</v>
      </c>
      <c r="AC29" s="245" t="n">
        <v>1.3</v>
      </c>
      <c r="AD29" s="464" t="n">
        <v>103</v>
      </c>
      <c r="AE29" s="353" t="n">
        <f aca="false">AE28-AD29</f>
        <v>13180.2578774893</v>
      </c>
      <c r="AF29" s="95"/>
      <c r="AG29" s="121" t="n">
        <f aca="false">N29+O29+P29+Q29+R29+S29+T29+W29+AA29+AD29</f>
        <v>960</v>
      </c>
      <c r="AH29" s="122" t="n">
        <f aca="false">IF(L29&lt;0,L29*-1,0)</f>
        <v>48.9915351651122</v>
      </c>
      <c r="AI29" s="122" t="n">
        <f aca="false">AG29+AH29</f>
        <v>1008.99153516511</v>
      </c>
      <c r="AJ29" s="337" t="n">
        <v>0</v>
      </c>
      <c r="AK29" s="223" t="n">
        <v>87</v>
      </c>
      <c r="AL29" s="222" t="n">
        <v>53</v>
      </c>
      <c r="AM29" s="133" t="n">
        <f aca="false">AM28</f>
        <v>13022.27255</v>
      </c>
      <c r="AN29" s="133"/>
      <c r="AO29" s="91"/>
      <c r="AP29" s="215" t="n">
        <f aca="false">60.3*(X28*1.9835+Y28*1.9835+Z28*1.9835)/E29</f>
        <v>4.04718735206197</v>
      </c>
      <c r="AQ29" s="383" t="n">
        <v>12.5</v>
      </c>
      <c r="AR29" s="3"/>
      <c r="AS29" s="4"/>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55" t="n">
        <f aca="false">A29+1</f>
        <v>19</v>
      </c>
      <c r="B30" s="94" t="n">
        <v>6918.88</v>
      </c>
      <c r="C30" s="95" t="n">
        <v>358754</v>
      </c>
      <c r="D30" s="133" t="n">
        <f aca="false">C30-C29</f>
        <v>-1288</v>
      </c>
      <c r="E30" s="95" t="n">
        <f aca="false">C30-152000</f>
        <v>206754</v>
      </c>
      <c r="F30" s="243" t="n">
        <f aca="false">D30/$D$2</f>
        <v>-649.357196874212</v>
      </c>
      <c r="G30" s="122" t="n">
        <v>275</v>
      </c>
      <c r="H30" s="215" t="n">
        <v>0.43</v>
      </c>
      <c r="I30" s="122" t="n">
        <f aca="false">G30+H30</f>
        <v>275.43</v>
      </c>
      <c r="J30" s="218" t="n">
        <f aca="false">IF(L30&gt;0,L30,0)</f>
        <v>4.21280312578767</v>
      </c>
      <c r="K30" s="122" t="n">
        <f aca="false">I30+J30</f>
        <v>279.642803125788</v>
      </c>
      <c r="L30" s="122" t="n">
        <f aca="false">F30-(I30-AG30)</f>
        <v>4.21280312578767</v>
      </c>
      <c r="M30" s="244" t="n">
        <v>305</v>
      </c>
      <c r="N30" s="215" t="n">
        <f aca="false">1.8299*1.03</f>
        <v>1.884797</v>
      </c>
      <c r="O30" s="122" t="n">
        <f aca="false">(39+44)*1.05</f>
        <v>87.15</v>
      </c>
      <c r="P30" s="215" t="n">
        <v>0</v>
      </c>
      <c r="Q30" s="215" t="n">
        <f aca="false">2.68*1.02</f>
        <v>2.7336</v>
      </c>
      <c r="R30" s="215" t="n">
        <v>4.2</v>
      </c>
      <c r="S30" s="324" t="n">
        <v>4.5</v>
      </c>
      <c r="T30" s="381" t="n">
        <v>0</v>
      </c>
      <c r="U30" s="122" t="n">
        <v>158</v>
      </c>
      <c r="V30" s="122" t="n">
        <v>84</v>
      </c>
      <c r="W30" s="122" t="n">
        <f aca="false">M30-(N30-AR30)-O30-P30-Q30-R30-S30-T30+U30+V30-AR30</f>
        <v>446.531603</v>
      </c>
      <c r="X30" s="95"/>
      <c r="Y30" s="95" t="n">
        <f aca="false">Y29-(W30-I30)-Q30-R30-AB30-(AP30/1.9835)+AQ30</f>
        <v>1228.64193961059</v>
      </c>
      <c r="Z30" s="95" t="n">
        <f aca="false">Z29</f>
        <v>5552.30652886312</v>
      </c>
      <c r="AA30" s="122" t="n">
        <v>279</v>
      </c>
      <c r="AB30" s="244" t="n">
        <v>1.7</v>
      </c>
      <c r="AC30" s="245" t="n">
        <v>1.3</v>
      </c>
      <c r="AD30" s="464" t="n">
        <v>103</v>
      </c>
      <c r="AE30" s="353" t="n">
        <f aca="false">AE29-AD30</f>
        <v>13077.2578774893</v>
      </c>
      <c r="AF30" s="95"/>
      <c r="AG30" s="121" t="n">
        <f aca="false">N30+O30+P30+Q30+R30+S30+T30+W30+AA30+AD30</f>
        <v>929</v>
      </c>
      <c r="AH30" s="122" t="n">
        <f aca="false">IF(L30&lt;0,L30*-1,0)</f>
        <v>0</v>
      </c>
      <c r="AI30" s="122" t="n">
        <f aca="false">AG30+AH30</f>
        <v>929</v>
      </c>
      <c r="AJ30" s="337" t="n">
        <v>0</v>
      </c>
      <c r="AK30" s="223" t="n">
        <v>91</v>
      </c>
      <c r="AL30" s="222" t="n">
        <v>52</v>
      </c>
      <c r="AM30" s="133" t="n">
        <f aca="false">AM29</f>
        <v>13022.27255</v>
      </c>
      <c r="AN30" s="133"/>
      <c r="AO30" s="91"/>
      <c r="AP30" s="215" t="n">
        <f aca="false">60.3*(X29*1.9835+Y29*1.9835+Z29*1.9835)/E30</f>
        <v>4.02062498971085</v>
      </c>
      <c r="AQ30" s="383" t="n">
        <v>12.5</v>
      </c>
      <c r="AR30" s="3"/>
      <c r="AS30" s="4"/>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55" t="n">
        <f aca="false">A30+1</f>
        <v>20</v>
      </c>
      <c r="B31" s="94" t="n">
        <v>6918.54</v>
      </c>
      <c r="C31" s="95" t="n">
        <v>357301</v>
      </c>
      <c r="D31" s="133" t="n">
        <f aca="false">C31-C30</f>
        <v>-1453</v>
      </c>
      <c r="E31" s="95" t="n">
        <f aca="false">C31-152000</f>
        <v>205301</v>
      </c>
      <c r="F31" s="243" t="n">
        <f aca="false">D31/$D$2</f>
        <v>-732.543483740862</v>
      </c>
      <c r="G31" s="122" t="n">
        <v>250</v>
      </c>
      <c r="H31" s="215" t="n">
        <v>0.37</v>
      </c>
      <c r="I31" s="122" t="n">
        <f aca="false">G31+H31</f>
        <v>250.37</v>
      </c>
      <c r="J31" s="218" t="n">
        <f aca="false">IF(L31&gt;0,L31,0)</f>
        <v>0</v>
      </c>
      <c r="K31" s="122" t="n">
        <f aca="false">I31+J31</f>
        <v>250.37</v>
      </c>
      <c r="L31" s="122" t="n">
        <f aca="false">F31-(I31-AG31)</f>
        <v>-90.9134837408621</v>
      </c>
      <c r="M31" s="244" t="n">
        <v>299</v>
      </c>
      <c r="N31" s="215" t="n">
        <f aca="false">1.8299*1.03</f>
        <v>1.884797</v>
      </c>
      <c r="O31" s="122" t="n">
        <f aca="false">(35+37)*1.05</f>
        <v>75.6</v>
      </c>
      <c r="P31" s="215" t="n">
        <v>0</v>
      </c>
      <c r="Q31" s="215" t="n">
        <f aca="false">2.68*1.02</f>
        <v>2.7336</v>
      </c>
      <c r="R31" s="215" t="n">
        <v>4.2</v>
      </c>
      <c r="S31" s="324" t="n">
        <v>3.88</v>
      </c>
      <c r="T31" s="381" t="n">
        <v>0</v>
      </c>
      <c r="U31" s="122" t="n">
        <v>159</v>
      </c>
      <c r="V31" s="122" t="n">
        <v>85</v>
      </c>
      <c r="W31" s="122" t="n">
        <f aca="false">M31-(N31-AR31)-O31-P31-Q31-R31-S31-T31+U31+V31-AR31</f>
        <v>454.701603</v>
      </c>
      <c r="X31" s="95"/>
      <c r="Y31" s="95" t="n">
        <f aca="false">Y30-(W31-I31)-Q31-R31-AB31-(AP31/1.9835)+AQ31</f>
        <v>1026.18506977678</v>
      </c>
      <c r="Z31" s="95" t="n">
        <f aca="false">Z30</f>
        <v>5552.30652886312</v>
      </c>
      <c r="AA31" s="122" t="n">
        <v>245</v>
      </c>
      <c r="AB31" s="244" t="n">
        <v>1.7</v>
      </c>
      <c r="AC31" s="245" t="n">
        <v>1.3</v>
      </c>
      <c r="AD31" s="464" t="n">
        <v>104</v>
      </c>
      <c r="AE31" s="353" t="n">
        <f aca="false">AE30-AD31</f>
        <v>12973.2578774893</v>
      </c>
      <c r="AF31" s="95"/>
      <c r="AG31" s="121" t="n">
        <f aca="false">N31+O31+P31+Q31+R31+S31+T31+W31+AA31+AD31</f>
        <v>892</v>
      </c>
      <c r="AH31" s="122" t="n">
        <f aca="false">IF(L31&lt;0,L31*-1,0)</f>
        <v>90.9134837408621</v>
      </c>
      <c r="AI31" s="122" t="n">
        <f aca="false">AG31+AH31</f>
        <v>982.913483740862</v>
      </c>
      <c r="AJ31" s="337" t="n">
        <v>0.14</v>
      </c>
      <c r="AK31" s="223" t="n">
        <v>87</v>
      </c>
      <c r="AL31" s="222" t="n">
        <v>54</v>
      </c>
      <c r="AM31" s="133" t="n">
        <f aca="false">AM30</f>
        <v>13022.27255</v>
      </c>
      <c r="AN31" s="133"/>
      <c r="AO31" s="91"/>
      <c r="AP31" s="215" t="n">
        <f aca="false">60.3*(X30*1.9835+Y30*1.9835+Z30*1.9835)/E31</f>
        <v>3.9504711648712</v>
      </c>
      <c r="AQ31" s="383" t="n">
        <v>12.5</v>
      </c>
      <c r="AR31" s="3"/>
      <c r="AS31" s="4"/>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55" t="n">
        <f aca="false">A31+1</f>
        <v>21</v>
      </c>
      <c r="B32" s="94" t="n">
        <v>6918.32</v>
      </c>
      <c r="C32" s="95" t="n">
        <v>356361</v>
      </c>
      <c r="D32" s="133" t="n">
        <f aca="false">C32-C31</f>
        <v>-940</v>
      </c>
      <c r="E32" s="95" t="n">
        <f aca="false">C32-152000</f>
        <v>204361</v>
      </c>
      <c r="F32" s="243" t="n">
        <f aca="false">D32/$D$2</f>
        <v>-473.909755482733</v>
      </c>
      <c r="G32" s="122" t="n">
        <v>332</v>
      </c>
      <c r="H32" s="215" t="n">
        <v>0.16</v>
      </c>
      <c r="I32" s="122" t="n">
        <f aca="false">G32+H32</f>
        <v>332.16</v>
      </c>
      <c r="J32" s="218" t="n">
        <f aca="false">IF(L32&gt;0,L32,0)</f>
        <v>155.930244517267</v>
      </c>
      <c r="K32" s="122" t="n">
        <f aca="false">I32+J32</f>
        <v>488.090244517267</v>
      </c>
      <c r="L32" s="122" t="n">
        <f aca="false">F32-(I32-AG32)</f>
        <v>155.930244517267</v>
      </c>
      <c r="M32" s="244" t="n">
        <v>384</v>
      </c>
      <c r="N32" s="215" t="n">
        <f aca="false">1.8299*1.03</f>
        <v>1.884797</v>
      </c>
      <c r="O32" s="122" t="n">
        <f aca="false">(41+39)*1.05</f>
        <v>84</v>
      </c>
      <c r="P32" s="215" t="n">
        <v>0</v>
      </c>
      <c r="Q32" s="215" t="n">
        <f aca="false">2.68*1.02</f>
        <v>2.7336</v>
      </c>
      <c r="R32" s="215" t="n">
        <v>4.2</v>
      </c>
      <c r="S32" s="324" t="n">
        <v>2.79</v>
      </c>
      <c r="T32" s="381" t="n">
        <v>0</v>
      </c>
      <c r="U32" s="122" t="n">
        <v>118</v>
      </c>
      <c r="V32" s="122" t="n">
        <v>82</v>
      </c>
      <c r="W32" s="122" t="n">
        <f aca="false">M32-(N32-AR32)-O32-P32-Q32-R32-S32-T32+U32+V32-AR32</f>
        <v>488.391603</v>
      </c>
      <c r="X32" s="95"/>
      <c r="Y32" s="95" t="n">
        <f aca="false">Y31-(W32-I32)-Q32-R32-AB32-(AP32/1.9835)+AQ32</f>
        <v>871.878777021892</v>
      </c>
      <c r="Z32" s="95" t="n">
        <f aca="false">Z31</f>
        <v>5552.30652886312</v>
      </c>
      <c r="AA32" s="122" t="n">
        <v>275</v>
      </c>
      <c r="AB32" s="244" t="n">
        <v>1.7</v>
      </c>
      <c r="AC32" s="245" t="n">
        <v>1.3</v>
      </c>
      <c r="AD32" s="464" t="n">
        <v>103</v>
      </c>
      <c r="AE32" s="353" t="n">
        <f aca="false">AE31-AD32</f>
        <v>12870.2578774893</v>
      </c>
      <c r="AF32" s="95"/>
      <c r="AG32" s="121" t="n">
        <f aca="false">N32+O32+P32+Q32+R32+S32+T32+W32+AA32+AD32</f>
        <v>962</v>
      </c>
      <c r="AH32" s="122" t="n">
        <f aca="false">IF(L32&lt;0,L32*-1,0)</f>
        <v>0</v>
      </c>
      <c r="AI32" s="122" t="n">
        <f aca="false">AG32+AH32</f>
        <v>962</v>
      </c>
      <c r="AJ32" s="337" t="n">
        <v>0</v>
      </c>
      <c r="AK32" s="133" t="n">
        <v>83</v>
      </c>
      <c r="AL32" s="222" t="n">
        <v>53</v>
      </c>
      <c r="AM32" s="133" t="n">
        <f aca="false">AM31</f>
        <v>13022.27255</v>
      </c>
      <c r="AN32" s="133"/>
      <c r="AO32" s="91"/>
      <c r="AP32" s="215" t="n">
        <f aca="false">60.3*(X31*1.9835+Y31*1.9835+Z31*1.9835)/E32</f>
        <v>3.85015152881374</v>
      </c>
      <c r="AQ32" s="383" t="n">
        <v>12.5</v>
      </c>
      <c r="AR32" s="3"/>
      <c r="AS32" s="4"/>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55" t="n">
        <f aca="false">A32+1</f>
        <v>22</v>
      </c>
      <c r="B33" s="94" t="n">
        <v>6918.06</v>
      </c>
      <c r="C33" s="95" t="n">
        <v>355250</v>
      </c>
      <c r="D33" s="133" t="n">
        <f aca="false">C33-C32</f>
        <v>-1111</v>
      </c>
      <c r="E33" s="95" t="n">
        <f aca="false">C33-152000</f>
        <v>203250</v>
      </c>
      <c r="F33" s="243" t="n">
        <f aca="false">D33/$D$2</f>
        <v>-560.120998235442</v>
      </c>
      <c r="G33" s="122" t="n">
        <v>336</v>
      </c>
      <c r="H33" s="215" t="n">
        <v>0.32</v>
      </c>
      <c r="I33" s="122" t="n">
        <f aca="false">G33+H33</f>
        <v>336.32</v>
      </c>
      <c r="J33" s="218" t="n">
        <f aca="false">IF(L33&gt;0,L33,0)</f>
        <v>25.5590017645577</v>
      </c>
      <c r="K33" s="122" t="n">
        <f aca="false">I33+J33</f>
        <v>361.879001764558</v>
      </c>
      <c r="L33" s="122" t="n">
        <f aca="false">F33-(I33-AG33)</f>
        <v>25.5590017645577</v>
      </c>
      <c r="M33" s="244" t="n">
        <v>390</v>
      </c>
      <c r="N33" s="215" t="n">
        <f aca="false">1.8299*1.03</f>
        <v>1.884797</v>
      </c>
      <c r="O33" s="122" t="n">
        <f aca="false">(42+38)*1.05</f>
        <v>84</v>
      </c>
      <c r="P33" s="215" t="n">
        <v>0</v>
      </c>
      <c r="Q33" s="215" t="n">
        <f aca="false">2.68*1.02</f>
        <v>2.7336</v>
      </c>
      <c r="R33" s="215" t="n">
        <v>4.2</v>
      </c>
      <c r="S33" s="324" t="n">
        <v>3.54</v>
      </c>
      <c r="T33" s="381" t="n">
        <v>0</v>
      </c>
      <c r="U33" s="122" t="n">
        <v>85</v>
      </c>
      <c r="V33" s="122" t="n">
        <v>84</v>
      </c>
      <c r="W33" s="122" t="n">
        <f aca="false">M33-(N33-AR33)-O33-P33-Q33-R33-S33-T33+U33+V33-AR33</f>
        <v>462.641603</v>
      </c>
      <c r="X33" s="95"/>
      <c r="Y33" s="95" t="n">
        <f aca="false">Y32-(W33-I33)-Q33-R33-AB33-(AP33/1.9835)+AQ33</f>
        <v>747.517653362876</v>
      </c>
      <c r="Z33" s="95" t="n">
        <f aca="false">Z32</f>
        <v>5552.30652886312</v>
      </c>
      <c r="AA33" s="122" t="n">
        <v>263</v>
      </c>
      <c r="AB33" s="244" t="n">
        <v>1.7</v>
      </c>
      <c r="AC33" s="245" t="n">
        <v>1.3</v>
      </c>
      <c r="AD33" s="464" t="n">
        <v>100</v>
      </c>
      <c r="AE33" s="353" t="n">
        <f aca="false">AE32-AD33</f>
        <v>12770.2578774893</v>
      </c>
      <c r="AF33" s="95"/>
      <c r="AG33" s="121" t="n">
        <f aca="false">N33+O33+P33+Q33+R33+S33+T33+W33+AA33+AD33</f>
        <v>922</v>
      </c>
      <c r="AH33" s="122" t="n">
        <f aca="false">IF(L33&lt;0,L33*-1,0)</f>
        <v>0</v>
      </c>
      <c r="AI33" s="122" t="n">
        <f aca="false">AG33+AH33</f>
        <v>922</v>
      </c>
      <c r="AJ33" s="337" t="n">
        <v>0.05</v>
      </c>
      <c r="AK33" s="133" t="n">
        <v>85</v>
      </c>
      <c r="AL33" s="222" t="n">
        <v>52</v>
      </c>
      <c r="AM33" s="133" t="n">
        <f aca="false">AM32</f>
        <v>13022.27255</v>
      </c>
      <c r="AN33" s="133"/>
      <c r="AO33" s="91"/>
      <c r="AP33" s="215" t="n">
        <f aca="false">60.3*(X32*1.9835+Y32*1.9835+Z32*1.9835)/E33</f>
        <v>3.78039362715691</v>
      </c>
      <c r="AQ33" s="383" t="n">
        <v>12.5</v>
      </c>
      <c r="AR33" s="3"/>
      <c r="AS33" s="4"/>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55" t="n">
        <f aca="false">A33+1</f>
        <v>23</v>
      </c>
      <c r="B34" s="94" t="n">
        <v>6917.87</v>
      </c>
      <c r="C34" s="95" t="n">
        <v>354443</v>
      </c>
      <c r="D34" s="133" t="n">
        <f aca="false">C34-C33</f>
        <v>-807</v>
      </c>
      <c r="E34" s="95" t="n">
        <f aca="false">C34-152000</f>
        <v>202443</v>
      </c>
      <c r="F34" s="243" t="n">
        <f aca="false">D34/$D$2</f>
        <v>-406.856566675069</v>
      </c>
      <c r="G34" s="122" t="n">
        <v>304</v>
      </c>
      <c r="H34" s="215" t="n">
        <v>0.91</v>
      </c>
      <c r="I34" s="122" t="n">
        <f aca="false">G34+H34</f>
        <v>304.91</v>
      </c>
      <c r="J34" s="218" t="n">
        <f aca="false">IF(L34&gt;0,L34,0)</f>
        <v>28.2334333249307</v>
      </c>
      <c r="K34" s="122" t="n">
        <f aca="false">I34+J34</f>
        <v>333.143433324931</v>
      </c>
      <c r="L34" s="122" t="n">
        <f aca="false">F34-(I34-AG34)</f>
        <v>28.2334333249307</v>
      </c>
      <c r="M34" s="244" t="n">
        <v>228</v>
      </c>
      <c r="N34" s="215" t="n">
        <f aca="false">1.8299*1.03</f>
        <v>1.884797</v>
      </c>
      <c r="O34" s="122" t="n">
        <f aca="false">(33+33)*1.05</f>
        <v>69.3</v>
      </c>
      <c r="P34" s="215" t="n">
        <v>0</v>
      </c>
      <c r="Q34" s="215" t="n">
        <f aca="false">2.68*1.02</f>
        <v>2.7336</v>
      </c>
      <c r="R34" s="215" t="n">
        <v>4.2</v>
      </c>
      <c r="S34" s="324" t="n">
        <v>2.56</v>
      </c>
      <c r="T34" s="381" t="n">
        <v>0</v>
      </c>
      <c r="U34" s="122" t="n">
        <v>86</v>
      </c>
      <c r="V34" s="122" t="n">
        <v>84</v>
      </c>
      <c r="W34" s="122" t="n">
        <f aca="false">M34-(N34-AR34)-O34-P34-Q34-R34-S34-T34+U34+V34-AR34</f>
        <v>317.321603</v>
      </c>
      <c r="X34" s="95"/>
      <c r="Y34" s="95" t="n">
        <f aca="false">Y33-(W34-I34)-Q34-R34-AB34-(AP34/1.9835)+AQ34</f>
        <v>737.095974524303</v>
      </c>
      <c r="Z34" s="95" t="n">
        <f aca="false">Z33</f>
        <v>5552.30652886312</v>
      </c>
      <c r="AA34" s="122" t="n">
        <v>242</v>
      </c>
      <c r="AB34" s="244" t="n">
        <v>1.7</v>
      </c>
      <c r="AC34" s="245" t="n">
        <v>1.3</v>
      </c>
      <c r="AD34" s="464" t="n">
        <v>100</v>
      </c>
      <c r="AE34" s="353" t="n">
        <f aca="false">AE33-AD34</f>
        <v>12670.2578774893</v>
      </c>
      <c r="AF34" s="95"/>
      <c r="AG34" s="121" t="n">
        <f aca="false">N34+O34+P34+Q34+R34+S34+T34+W34+AA34+AD34</f>
        <v>740</v>
      </c>
      <c r="AH34" s="122" t="n">
        <f aca="false">IF(L34&lt;0,L34*-1,0)</f>
        <v>0</v>
      </c>
      <c r="AI34" s="122" t="n">
        <f aca="false">AG34+AH34</f>
        <v>740</v>
      </c>
      <c r="AJ34" s="337" t="n">
        <v>0</v>
      </c>
      <c r="AK34" s="133" t="n">
        <v>83</v>
      </c>
      <c r="AL34" s="246" t="n">
        <v>57</v>
      </c>
      <c r="AM34" s="133" t="n">
        <f aca="false">AM33</f>
        <v>13022.27255</v>
      </c>
      <c r="AN34" s="133"/>
      <c r="AO34" s="91"/>
      <c r="AP34" s="215" t="n">
        <f aca="false">60.3*(X33*1.9835+Y33*1.9835+Z33*1.9835)/E34</f>
        <v>3.72198982580948</v>
      </c>
      <c r="AQ34" s="383" t="n">
        <v>12.5</v>
      </c>
      <c r="AR34" s="3"/>
      <c r="AS34" s="4"/>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55" t="n">
        <f aca="false">A34+1</f>
        <v>24</v>
      </c>
      <c r="B35" s="94" t="n">
        <v>6917.7</v>
      </c>
      <c r="C35" s="95" t="n">
        <v>353722</v>
      </c>
      <c r="D35" s="133" t="n">
        <f aca="false">C35-C34</f>
        <v>-721</v>
      </c>
      <c r="E35" s="95" t="n">
        <f aca="false">C35-152000</f>
        <v>201722</v>
      </c>
      <c r="F35" s="243" t="n">
        <f aca="false">D35/$D$2</f>
        <v>-363.498865641543</v>
      </c>
      <c r="G35" s="122" t="n">
        <v>383</v>
      </c>
      <c r="H35" s="215" t="n">
        <v>0.52</v>
      </c>
      <c r="I35" s="122" t="n">
        <f aca="false">G35+H35</f>
        <v>383.52</v>
      </c>
      <c r="J35" s="218" t="n">
        <f aca="false">IF(L35&gt;0,L35,0)</f>
        <v>8.98113435845733</v>
      </c>
      <c r="K35" s="122" t="n">
        <f aca="false">I35+J35</f>
        <v>392.501134358457</v>
      </c>
      <c r="L35" s="122" t="n">
        <f aca="false">F35-(I35-AG35)</f>
        <v>8.98113435845733</v>
      </c>
      <c r="M35" s="244" t="n">
        <v>250</v>
      </c>
      <c r="N35" s="215" t="n">
        <f aca="false">1.8299*1.03</f>
        <v>1.884797</v>
      </c>
      <c r="O35" s="122" t="n">
        <f aca="false">(36+39)*1.05</f>
        <v>78.75</v>
      </c>
      <c r="P35" s="215" t="n">
        <v>0</v>
      </c>
      <c r="Q35" s="215" t="n">
        <f aca="false">2.68*1.02</f>
        <v>2.7336</v>
      </c>
      <c r="R35" s="215" t="n">
        <v>4.2</v>
      </c>
      <c r="S35" s="324" t="n">
        <v>3.46</v>
      </c>
      <c r="T35" s="381" t="n">
        <v>0</v>
      </c>
      <c r="U35" s="122" t="n">
        <v>86</v>
      </c>
      <c r="V35" s="122" t="n">
        <v>80</v>
      </c>
      <c r="W35" s="122" t="n">
        <f aca="false">M35-(N35-AR35)-O35-P35-Q35-R35-S35-T35+U35+V35-AR35</f>
        <v>324.971603</v>
      </c>
      <c r="X35" s="95"/>
      <c r="Y35" s="95" t="n">
        <f aca="false">Y34-(AP35/1.9835)+AQ35</f>
        <v>747.715907050481</v>
      </c>
      <c r="Z35" s="95" t="n">
        <f aca="false">Z34</f>
        <v>5552.30652886312</v>
      </c>
      <c r="AA35" s="122" t="n">
        <v>240</v>
      </c>
      <c r="AB35" s="244" t="n">
        <v>1.7</v>
      </c>
      <c r="AC35" s="245" t="n">
        <v>1.3</v>
      </c>
      <c r="AD35" s="464" t="n">
        <v>100</v>
      </c>
      <c r="AE35" s="353" t="n">
        <f aca="false">AE34-AD35</f>
        <v>12570.2578774893</v>
      </c>
      <c r="AF35" s="95"/>
      <c r="AG35" s="121" t="n">
        <f aca="false">N35+O35+P35+Q35+R35+S35+T35+W35+AA35+AD35</f>
        <v>756</v>
      </c>
      <c r="AH35" s="122" t="n">
        <f aca="false">IF(L35&lt;0,L35*-1,0)</f>
        <v>0</v>
      </c>
      <c r="AI35" s="122" t="n">
        <f aca="false">AG35+AH35</f>
        <v>756</v>
      </c>
      <c r="AJ35" s="337" t="n">
        <v>0</v>
      </c>
      <c r="AK35" s="133" t="n">
        <v>86</v>
      </c>
      <c r="AL35" s="246" t="n">
        <v>55</v>
      </c>
      <c r="AM35" s="133" t="n">
        <f aca="false">AM34</f>
        <v>13022.27255</v>
      </c>
      <c r="AN35" s="133"/>
      <c r="AO35" s="91" t="n">
        <v>49.87</v>
      </c>
      <c r="AP35" s="215" t="n">
        <f aca="false">60.3*(X34*1.9835+Y34*1.9835+Z34*1.9835+AO34*1.9835)/E35</f>
        <v>3.72911383432535</v>
      </c>
      <c r="AQ35" s="383" t="n">
        <v>12.5</v>
      </c>
      <c r="AR35" s="3"/>
      <c r="AS35" s="4"/>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55" t="n">
        <f aca="false">A35+1</f>
        <v>25</v>
      </c>
      <c r="B36" s="94" t="n">
        <v>6917.53</v>
      </c>
      <c r="C36" s="95" t="n">
        <v>353001</v>
      </c>
      <c r="D36" s="133" t="n">
        <f aca="false">C36-C35</f>
        <v>-721</v>
      </c>
      <c r="E36" s="95" t="n">
        <f aca="false">C36-152000</f>
        <v>201001</v>
      </c>
      <c r="F36" s="243" t="n">
        <f aca="false">D36/$D$2</f>
        <v>-363.498865641543</v>
      </c>
      <c r="G36" s="122" t="n">
        <v>349</v>
      </c>
      <c r="H36" s="215" t="n">
        <v>0.32</v>
      </c>
      <c r="I36" s="122" t="n">
        <f aca="false">G36+H36</f>
        <v>349.32</v>
      </c>
      <c r="J36" s="218" t="n">
        <f aca="false">IF(L36&gt;0,L36,0)</f>
        <v>0</v>
      </c>
      <c r="K36" s="122" t="n">
        <f aca="false">I36+J36</f>
        <v>349.32</v>
      </c>
      <c r="L36" s="122" t="n">
        <f aca="false">F36-(I36-AG36)</f>
        <v>-30.8188656415427</v>
      </c>
      <c r="M36" s="244" t="n">
        <v>200</v>
      </c>
      <c r="N36" s="215" t="n">
        <f aca="false">1.8299*1.03</f>
        <v>1.884797</v>
      </c>
      <c r="O36" s="122" t="n">
        <f aca="false">(30+31)*1.05</f>
        <v>64.05</v>
      </c>
      <c r="P36" s="215" t="n">
        <v>0</v>
      </c>
      <c r="Q36" s="215" t="n">
        <f aca="false">2.68*1.02</f>
        <v>2.7336</v>
      </c>
      <c r="R36" s="215" t="n">
        <v>4.2</v>
      </c>
      <c r="S36" s="324" t="n">
        <v>2.17</v>
      </c>
      <c r="T36" s="381" t="n">
        <v>0</v>
      </c>
      <c r="U36" s="122" t="n">
        <v>86</v>
      </c>
      <c r="V36" s="122" t="n">
        <v>83</v>
      </c>
      <c r="W36" s="122" t="n">
        <f aca="false">M36-(N36-AR36)-O36-P36-Q36-R36-S36-T36+U36+V36-AR36</f>
        <v>293.961603</v>
      </c>
      <c r="X36" s="95"/>
      <c r="Y36" s="95" t="n">
        <f aca="false">Y35-(AP36/1.9835)+AQ36</f>
        <v>770.440948797112</v>
      </c>
      <c r="Z36" s="95" t="n">
        <f aca="false">Z35</f>
        <v>5552.30652886312</v>
      </c>
      <c r="AA36" s="122" t="n">
        <v>212</v>
      </c>
      <c r="AB36" s="244" t="n">
        <v>1.7</v>
      </c>
      <c r="AC36" s="245" t="n">
        <v>1.3</v>
      </c>
      <c r="AD36" s="464" t="n">
        <v>101</v>
      </c>
      <c r="AE36" s="353" t="n">
        <f aca="false">AE35-AD36</f>
        <v>12469.2578774893</v>
      </c>
      <c r="AF36" s="95"/>
      <c r="AG36" s="121" t="n">
        <f aca="false">N36+O36+P36+Q36+R36+S36+T36+W36+AA36+AD36</f>
        <v>682</v>
      </c>
      <c r="AH36" s="122" t="n">
        <f aca="false">IF(L36&lt;0,L36*-1,0)</f>
        <v>30.8188656415427</v>
      </c>
      <c r="AI36" s="122" t="n">
        <f aca="false">AG36+AH36</f>
        <v>712.818865641543</v>
      </c>
      <c r="AJ36" s="337" t="n">
        <v>0.14</v>
      </c>
      <c r="AK36" s="133" t="n">
        <v>88</v>
      </c>
      <c r="AL36" s="246" t="n">
        <v>54</v>
      </c>
      <c r="AM36" s="133" t="n">
        <f aca="false">AM35</f>
        <v>13022.27255</v>
      </c>
      <c r="AN36" s="133"/>
      <c r="AO36" s="91" t="n">
        <f aca="false">AO35+46.67</f>
        <v>96.54</v>
      </c>
      <c r="AP36" s="215" t="n">
        <f aca="false">60.3*(X35*1.9835+Y35*1.9835+Z35*1.9835+AO35*1.9835)/E36</f>
        <v>3.77848469555907</v>
      </c>
      <c r="AQ36" s="383" t="n">
        <v>24.63</v>
      </c>
      <c r="AR36" s="3"/>
      <c r="AS36" s="4"/>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55" t="n">
        <f aca="false">A36+1</f>
        <v>26</v>
      </c>
      <c r="B37" s="94" t="n">
        <v>6917.44</v>
      </c>
      <c r="C37" s="95" t="n">
        <v>352619</v>
      </c>
      <c r="D37" s="133" t="n">
        <f aca="false">C37-C36</f>
        <v>-382</v>
      </c>
      <c r="E37" s="95" t="n">
        <f aca="false">C37-152000</f>
        <v>200619</v>
      </c>
      <c r="F37" s="243" t="n">
        <f aca="false">D37/$D$2</f>
        <v>-192.588858079153</v>
      </c>
      <c r="G37" s="122" t="n">
        <v>480</v>
      </c>
      <c r="H37" s="215" t="n">
        <v>0.22</v>
      </c>
      <c r="I37" s="122" t="n">
        <f aca="false">G37+H37</f>
        <v>480.22</v>
      </c>
      <c r="J37" s="218" t="n">
        <f aca="false">IF(L37&gt;0,L37,0)</f>
        <v>5.19114192084697</v>
      </c>
      <c r="K37" s="122" t="n">
        <f aca="false">I37+J37</f>
        <v>485.411141920847</v>
      </c>
      <c r="L37" s="122" t="n">
        <f aca="false">F37-(I37-AG37)</f>
        <v>5.19114192084697</v>
      </c>
      <c r="M37" s="244" t="n">
        <v>206</v>
      </c>
      <c r="N37" s="215" t="n">
        <f aca="false">1.8299*1.03</f>
        <v>1.884797</v>
      </c>
      <c r="O37" s="122" t="n">
        <f aca="false">(29+30)*1.05</f>
        <v>61.95</v>
      </c>
      <c r="P37" s="215" t="n">
        <v>0</v>
      </c>
      <c r="Q37" s="215" t="n">
        <f aca="false">2.68*1.02</f>
        <v>2.7336</v>
      </c>
      <c r="R37" s="215" t="n">
        <v>4.2</v>
      </c>
      <c r="S37" s="324" t="n">
        <v>1.94</v>
      </c>
      <c r="T37" s="381" t="n">
        <v>0</v>
      </c>
      <c r="U37" s="122" t="n">
        <v>86</v>
      </c>
      <c r="V37" s="122" t="n">
        <v>84</v>
      </c>
      <c r="W37" s="122" t="n">
        <f aca="false">M37-(N37-AR37)-O37-P37-Q37-R37-S37-T37+U37+V37-AR37</f>
        <v>303.291603</v>
      </c>
      <c r="X37" s="95"/>
      <c r="Y37" s="95" t="n">
        <f aca="false">Y36-(AP37/1.9835)+AQ37</f>
        <v>801.111505250374</v>
      </c>
      <c r="Z37" s="95" t="n">
        <f aca="false">Z36</f>
        <v>5552.30652886312</v>
      </c>
      <c r="AA37" s="122" t="n">
        <v>201</v>
      </c>
      <c r="AB37" s="244" t="n">
        <v>1.7</v>
      </c>
      <c r="AC37" s="245" t="n">
        <v>1.3</v>
      </c>
      <c r="AD37" s="464" t="n">
        <v>101</v>
      </c>
      <c r="AE37" s="353" t="n">
        <f aca="false">AE36-AD37</f>
        <v>12368.2578774893</v>
      </c>
      <c r="AF37" s="95"/>
      <c r="AG37" s="121" t="n">
        <f aca="false">N37+O37+P37+Q37+R37+S37+T37+W37+AA37+AD37</f>
        <v>678</v>
      </c>
      <c r="AH37" s="122" t="n">
        <f aca="false">IF(L37&lt;0,L37*-1,0)</f>
        <v>0</v>
      </c>
      <c r="AI37" s="122" t="n">
        <f aca="false">AG37+AH37</f>
        <v>678</v>
      </c>
      <c r="AJ37" s="337" t="n">
        <v>0.01</v>
      </c>
      <c r="AK37" s="133" t="n">
        <v>80</v>
      </c>
      <c r="AL37" s="222" t="n">
        <v>55</v>
      </c>
      <c r="AM37" s="133" t="n">
        <f aca="false">AM36</f>
        <v>13022.27255</v>
      </c>
      <c r="AN37" s="133"/>
      <c r="AO37" s="91" t="n">
        <f aca="false">AO36+168.27</f>
        <v>264.81</v>
      </c>
      <c r="AP37" s="215" t="n">
        <f aca="false">60.3*(X36*1.9835+Y36*1.9835+Z36*1.9835+AO36*1.9835)/E37</f>
        <v>3.82705127495365</v>
      </c>
      <c r="AQ37" s="383" t="n">
        <v>32.6</v>
      </c>
      <c r="AR37" s="3"/>
      <c r="AS37" s="4"/>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55" t="n">
        <f aca="false">A37+1</f>
        <v>27</v>
      </c>
      <c r="B38" s="94" t="n">
        <v>6917.32</v>
      </c>
      <c r="C38" s="95" t="n">
        <v>352111</v>
      </c>
      <c r="D38" s="133" t="n">
        <f aca="false">C38-C37</f>
        <v>-508</v>
      </c>
      <c r="E38" s="95" t="n">
        <f aca="false">C38-152000</f>
        <v>200111</v>
      </c>
      <c r="F38" s="243" t="n">
        <f aca="false">D38/$D$2</f>
        <v>-256.112931686413</v>
      </c>
      <c r="G38" s="122" t="n">
        <v>437</v>
      </c>
      <c r="H38" s="215" t="n">
        <v>0.4</v>
      </c>
      <c r="I38" s="122" t="n">
        <f aca="false">G38+H38</f>
        <v>437.4</v>
      </c>
      <c r="J38" s="218" t="n">
        <f aca="false">IF(L38&gt;0,L38,0)</f>
        <v>0</v>
      </c>
      <c r="K38" s="122" t="n">
        <f aca="false">I38+J38</f>
        <v>437.4</v>
      </c>
      <c r="L38" s="122" t="n">
        <f aca="false">F38-(I38-AG38)</f>
        <v>-58.5129316864129</v>
      </c>
      <c r="M38" s="244" t="n">
        <v>186</v>
      </c>
      <c r="N38" s="215" t="n">
        <f aca="false">1.8299*1.03</f>
        <v>1.884797</v>
      </c>
      <c r="O38" s="122" t="n">
        <f aca="false">(25+25)*1.05</f>
        <v>52.5</v>
      </c>
      <c r="P38" s="215" t="n">
        <v>0</v>
      </c>
      <c r="Q38" s="215" t="n">
        <f aca="false">2.68*1.02</f>
        <v>2.7336</v>
      </c>
      <c r="R38" s="215" t="n">
        <v>4.2</v>
      </c>
      <c r="S38" s="324" t="n">
        <v>2.01</v>
      </c>
      <c r="T38" s="381" t="n">
        <v>0</v>
      </c>
      <c r="U38" s="122" t="n">
        <v>87</v>
      </c>
      <c r="V38" s="122" t="n">
        <v>85</v>
      </c>
      <c r="W38" s="122" t="n">
        <f aca="false">M38-(N38-AR38)-O38-P38-Q38-R38-S38-T38+U38+V38-AR38</f>
        <v>294.671603</v>
      </c>
      <c r="X38" s="95"/>
      <c r="Y38" s="95" t="n">
        <f aca="false">Y37-(AP38/1.9835)+AQ38</f>
        <v>831.717216328441</v>
      </c>
      <c r="Z38" s="95" t="n">
        <f aca="false">Z37</f>
        <v>5552.30652886312</v>
      </c>
      <c r="AA38" s="122" t="n">
        <v>176</v>
      </c>
      <c r="AB38" s="244" t="n">
        <v>1.7</v>
      </c>
      <c r="AC38" s="245" t="n">
        <v>1.3</v>
      </c>
      <c r="AD38" s="464" t="n">
        <v>101</v>
      </c>
      <c r="AE38" s="353" t="n">
        <f aca="false">AE37-AD38</f>
        <v>12267.2578774893</v>
      </c>
      <c r="AF38" s="95"/>
      <c r="AG38" s="121" t="n">
        <f aca="false">N38+O38+P38+Q38+R38+S38+T38+W38+AA38+AD38</f>
        <v>635</v>
      </c>
      <c r="AH38" s="122" t="n">
        <f aca="false">IF(L38&lt;0,L38*-1,0)</f>
        <v>58.5129316864129</v>
      </c>
      <c r="AI38" s="122" t="n">
        <f aca="false">AG38+AH38</f>
        <v>693.512931686413</v>
      </c>
      <c r="AJ38" s="337" t="n">
        <v>0</v>
      </c>
      <c r="AK38" s="133" t="n">
        <v>87</v>
      </c>
      <c r="AL38" s="222" t="n">
        <v>53</v>
      </c>
      <c r="AM38" s="133" t="n">
        <f aca="false">AM37</f>
        <v>13022.27255</v>
      </c>
      <c r="AN38" s="133"/>
      <c r="AO38" s="91" t="n">
        <f aca="false">AO37+134.07</f>
        <v>398.88</v>
      </c>
      <c r="AP38" s="215" t="n">
        <f aca="false">60.3*(X37*1.9835+Y37*1.9835+Z37*1.9835+AO37*1.9835)/E38</f>
        <v>3.95567207665519</v>
      </c>
      <c r="AQ38" s="383" t="n">
        <v>32.6</v>
      </c>
      <c r="AR38" s="3"/>
      <c r="AS38" s="4"/>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55" t="n">
        <f aca="false">A38+1</f>
        <v>28</v>
      </c>
      <c r="B39" s="94" t="n">
        <v>6917.14</v>
      </c>
      <c r="C39" s="95" t="n">
        <v>351347</v>
      </c>
      <c r="D39" s="133" t="n">
        <f aca="false">C39-C38</f>
        <v>-764</v>
      </c>
      <c r="E39" s="95" t="n">
        <f aca="false">C39-152000</f>
        <v>199347</v>
      </c>
      <c r="F39" s="243" t="n">
        <f aca="false">D39/$D$2</f>
        <v>-385.177716158306</v>
      </c>
      <c r="G39" s="122" t="n">
        <v>359</v>
      </c>
      <c r="H39" s="215" t="n">
        <v>0.23</v>
      </c>
      <c r="I39" s="122" t="n">
        <f aca="false">G39+H39</f>
        <v>359.23</v>
      </c>
      <c r="J39" s="218" t="n">
        <f aca="false">IF(L39&gt;0,L39,0)</f>
        <v>0</v>
      </c>
      <c r="K39" s="122" t="n">
        <f aca="false">I39+J39</f>
        <v>359.23</v>
      </c>
      <c r="L39" s="122" t="n">
        <f aca="false">F39-(I39-AG39)</f>
        <v>-43.407716158306</v>
      </c>
      <c r="M39" s="244" t="n">
        <v>209</v>
      </c>
      <c r="N39" s="215" t="n">
        <f aca="false">1.8299*1.03</f>
        <v>1.884797</v>
      </c>
      <c r="O39" s="122" t="n">
        <f aca="false">(22+23)*1.05</f>
        <v>47.25</v>
      </c>
      <c r="P39" s="215" t="n">
        <v>0</v>
      </c>
      <c r="Q39" s="215" t="n">
        <f aca="false">2.68*1.02</f>
        <v>2.7336</v>
      </c>
      <c r="R39" s="215" t="n">
        <v>4.2</v>
      </c>
      <c r="S39" s="324" t="n">
        <v>2.59</v>
      </c>
      <c r="T39" s="381" t="n">
        <v>0</v>
      </c>
      <c r="U39" s="122" t="n">
        <v>86</v>
      </c>
      <c r="V39" s="122" t="n">
        <v>84</v>
      </c>
      <c r="W39" s="122" t="n">
        <f aca="false">M39-(N39-AR39)-O39-P39-Q39-R39-S39-T39+U39+V39-AR39</f>
        <v>320.341603</v>
      </c>
      <c r="X39" s="95"/>
      <c r="Y39" s="95" t="n">
        <f aca="false">Y38-(AP39/1.9835)+AQ39</f>
        <v>862.265471903719</v>
      </c>
      <c r="Z39" s="95" t="n">
        <f aca="false">Z38</f>
        <v>5552.30652886312</v>
      </c>
      <c r="AA39" s="122" t="n">
        <v>221</v>
      </c>
      <c r="AB39" s="244" t="n">
        <v>1.7</v>
      </c>
      <c r="AC39" s="245" t="n">
        <v>1.3</v>
      </c>
      <c r="AD39" s="464" t="n">
        <v>101</v>
      </c>
      <c r="AE39" s="353" t="n">
        <f aca="false">AE38-AD39</f>
        <v>12166.2578774893</v>
      </c>
      <c r="AF39" s="95"/>
      <c r="AG39" s="121" t="n">
        <f aca="false">N39+O39+P39+Q39+R39+S39+T39+W39+AA39+AD39</f>
        <v>701</v>
      </c>
      <c r="AH39" s="122" t="n">
        <f aca="false">IF(L39&lt;0,L39*-1,0)</f>
        <v>43.407716158306</v>
      </c>
      <c r="AI39" s="122" t="n">
        <f aca="false">AG39+AH39</f>
        <v>744.407716158306</v>
      </c>
      <c r="AJ39" s="337" t="n">
        <v>0</v>
      </c>
      <c r="AK39" s="133" t="n">
        <v>85</v>
      </c>
      <c r="AL39" s="222" t="n">
        <v>55</v>
      </c>
      <c r="AM39" s="133" t="n">
        <f aca="false">AM38</f>
        <v>13022.27255</v>
      </c>
      <c r="AN39" s="133"/>
      <c r="AO39" s="91" t="n">
        <f aca="false">AO38+30.27</f>
        <v>429.15</v>
      </c>
      <c r="AP39" s="215" t="n">
        <f aca="false">60.3*(X38*1.9835+Y38*1.9835+Z38*1.9835+AO38*1.9835)/E39</f>
        <v>4.06963506643603</v>
      </c>
      <c r="AQ39" s="383" t="n">
        <v>32.6</v>
      </c>
      <c r="AR39" s="3"/>
      <c r="AS39" s="4"/>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55" t="n">
        <f aca="false">A39+1</f>
        <v>29</v>
      </c>
      <c r="B40" s="94" t="n">
        <v>6916.94</v>
      </c>
      <c r="C40" s="95" t="n">
        <v>350501</v>
      </c>
      <c r="D40" s="133" t="n">
        <f aca="false">C40-C39</f>
        <v>-846</v>
      </c>
      <c r="E40" s="95" t="n">
        <f aca="false">C40-152000</f>
        <v>198501</v>
      </c>
      <c r="F40" s="243" t="n">
        <f aca="false">D40/$D$2</f>
        <v>-426.518779934459</v>
      </c>
      <c r="G40" s="122" t="n">
        <v>301</v>
      </c>
      <c r="H40" s="215" t="n">
        <v>0.32</v>
      </c>
      <c r="I40" s="122" t="n">
        <f aca="false">G40+H40</f>
        <v>301.32</v>
      </c>
      <c r="J40" s="218" t="n">
        <f aca="false">IF(L40&gt;0,L40,0)</f>
        <v>0</v>
      </c>
      <c r="K40" s="122" t="n">
        <f aca="false">I40+J40</f>
        <v>301.32</v>
      </c>
      <c r="L40" s="122" t="n">
        <f aca="false">F40-(I40-AG40)</f>
        <v>-0.838779934459296</v>
      </c>
      <c r="M40" s="244" t="n">
        <v>222</v>
      </c>
      <c r="N40" s="215" t="n">
        <f aca="false">1.8299*1.03</f>
        <v>1.884797</v>
      </c>
      <c r="O40" s="122" t="n">
        <f aca="false">(29+31)*1.05</f>
        <v>63</v>
      </c>
      <c r="P40" s="215" t="n">
        <v>0</v>
      </c>
      <c r="Q40" s="215" t="n">
        <f aca="false">2.68*1.02</f>
        <v>2.7336</v>
      </c>
      <c r="R40" s="215" t="n">
        <v>4.2</v>
      </c>
      <c r="S40" s="324" t="n">
        <v>4</v>
      </c>
      <c r="T40" s="381" t="n">
        <v>0</v>
      </c>
      <c r="U40" s="122" t="n">
        <v>86</v>
      </c>
      <c r="V40" s="122" t="n">
        <v>79</v>
      </c>
      <c r="W40" s="122" t="n">
        <f aca="false">M40-(N40-AR40)-O40-P40-Q40-R40-S40-T40+U40+V40-AR40</f>
        <v>311.181603</v>
      </c>
      <c r="X40" s="95"/>
      <c r="Y40" s="95" t="n">
        <f aca="false">Y39-(AP40/1.9835)+AQ40</f>
        <v>892.786507885169</v>
      </c>
      <c r="Z40" s="95" t="n">
        <f aca="false">Z39</f>
        <v>5552.30652886312</v>
      </c>
      <c r="AA40" s="122" t="n">
        <v>239</v>
      </c>
      <c r="AB40" s="244" t="n">
        <v>1.7</v>
      </c>
      <c r="AC40" s="245" t="n">
        <v>1.3</v>
      </c>
      <c r="AD40" s="464" t="n">
        <v>101</v>
      </c>
      <c r="AE40" s="353" t="n">
        <f aca="false">AE39-AD40</f>
        <v>12065.2578774893</v>
      </c>
      <c r="AF40" s="95"/>
      <c r="AG40" s="121" t="n">
        <f aca="false">N40+O40+P40+Q40+R40+S40+T40+W40+AA40+AD40</f>
        <v>727</v>
      </c>
      <c r="AH40" s="122" t="n">
        <f aca="false">IF(L40&lt;0,L40*-1,0)</f>
        <v>0.838779934459296</v>
      </c>
      <c r="AI40" s="122" t="n">
        <f aca="false">AG40+AH40</f>
        <v>727.838779934459</v>
      </c>
      <c r="AJ40" s="337" t="n">
        <v>0</v>
      </c>
      <c r="AK40" s="223" t="n">
        <v>88</v>
      </c>
      <c r="AL40" s="222" t="n">
        <v>54</v>
      </c>
      <c r="AM40" s="133" t="n">
        <f aca="false">AM39</f>
        <v>13022.27255</v>
      </c>
      <c r="AN40" s="133"/>
      <c r="AO40" s="91" t="n">
        <f aca="false">AO39-18.53</f>
        <v>410.62</v>
      </c>
      <c r="AP40" s="215" t="n">
        <f aca="false">60.3*(X39*1.9835+Y39*1.9835+Z39*1.9835+AO39*1.9835)/E40</f>
        <v>4.12362513079439</v>
      </c>
      <c r="AQ40" s="383" t="n">
        <v>32.6</v>
      </c>
      <c r="AR40" s="3"/>
      <c r="AS40" s="4"/>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55" t="n">
        <v>30</v>
      </c>
      <c r="B41" s="94" t="n">
        <v>6916.72</v>
      </c>
      <c r="C41" s="95" t="n">
        <v>349576</v>
      </c>
      <c r="D41" s="133" t="n">
        <f aca="false">C41-C40</f>
        <v>-925</v>
      </c>
      <c r="E41" s="95" t="n">
        <f aca="false">C41-152000</f>
        <v>197576</v>
      </c>
      <c r="F41" s="243" t="n">
        <f aca="false">D41/$D$2</f>
        <v>-466.347365767583</v>
      </c>
      <c r="G41" s="122" t="n">
        <v>262</v>
      </c>
      <c r="H41" s="215" t="n">
        <v>0.21</v>
      </c>
      <c r="I41" s="122" t="n">
        <f aca="false">G41+H41</f>
        <v>262.21</v>
      </c>
      <c r="J41" s="218" t="n">
        <f aca="false">IF(L41&gt;0,L41,0)</f>
        <v>0</v>
      </c>
      <c r="K41" s="122" t="n">
        <f aca="false">I41+J41</f>
        <v>262.21</v>
      </c>
      <c r="L41" s="122" t="n">
        <f aca="false">F41-(I41-AG41)</f>
        <v>-15.5573657675826</v>
      </c>
      <c r="M41" s="244" t="n">
        <v>236</v>
      </c>
      <c r="N41" s="215" t="n">
        <f aca="false">1.8299*1.03</f>
        <v>1.884797</v>
      </c>
      <c r="O41" s="122" t="n">
        <f aca="false">(33+30)*1.05</f>
        <v>66.15</v>
      </c>
      <c r="P41" s="215" t="n">
        <v>0</v>
      </c>
      <c r="Q41" s="215" t="n">
        <f aca="false">2.68*1.02</f>
        <v>2.7336</v>
      </c>
      <c r="R41" s="215" t="n">
        <v>4.2</v>
      </c>
      <c r="S41" s="324" t="n">
        <v>4.1</v>
      </c>
      <c r="T41" s="381" t="n">
        <v>0</v>
      </c>
      <c r="U41" s="122" t="n">
        <v>86</v>
      </c>
      <c r="V41" s="122" t="n">
        <v>84</v>
      </c>
      <c r="W41" s="122" t="n">
        <f aca="false">M41-(N41-AR41)-O41-P41-Q41-R41-S41-T41+U41+V41-AR41</f>
        <v>326.931603</v>
      </c>
      <c r="X41" s="95"/>
      <c r="Y41" s="95" t="n">
        <f aca="false">Y40-(AP41/1.9835)+AQ41</f>
        <v>923.294151039621</v>
      </c>
      <c r="Z41" s="95" t="n">
        <f aca="false">Z40</f>
        <v>5552.30652886312</v>
      </c>
      <c r="AA41" s="122" t="n">
        <v>204</v>
      </c>
      <c r="AB41" s="244" t="n">
        <v>1.7</v>
      </c>
      <c r="AC41" s="245" t="n">
        <v>1.3</v>
      </c>
      <c r="AD41" s="464" t="n">
        <v>103</v>
      </c>
      <c r="AE41" s="353" t="n">
        <f aca="false">AE40-AD41</f>
        <v>11962.2578774893</v>
      </c>
      <c r="AF41" s="95"/>
      <c r="AG41" s="121" t="n">
        <f aca="false">N41+O41+P41+Q41+R41+S41+T41+W41+AA41+AD41</f>
        <v>713</v>
      </c>
      <c r="AH41" s="122" t="n">
        <f aca="false">IF(L41&lt;0,L41*-1,0)</f>
        <v>15.5573657675826</v>
      </c>
      <c r="AI41" s="122" t="n">
        <f aca="false">AG41+AH41</f>
        <v>728.557365767583</v>
      </c>
      <c r="AJ41" s="337" t="n">
        <v>0</v>
      </c>
      <c r="AK41" s="223" t="n">
        <v>90</v>
      </c>
      <c r="AL41" s="222" t="n">
        <v>56</v>
      </c>
      <c r="AM41" s="133" t="n">
        <f aca="false">AM40</f>
        <v>13022.27255</v>
      </c>
      <c r="AN41" s="133"/>
      <c r="AO41" s="91" t="n">
        <f aca="false">AO40-73.33</f>
        <v>337.29</v>
      </c>
      <c r="AP41" s="215" t="n">
        <f aca="false">60.3*(X40*1.9835+Y40*1.9835+Z40*1.9835+AO40*1.9835)/E41</f>
        <v>4.15018980314376</v>
      </c>
      <c r="AQ41" s="383" t="n">
        <v>32.6</v>
      </c>
      <c r="AR41" s="3"/>
      <c r="AS41" s="4"/>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55" t="n">
        <v>31</v>
      </c>
      <c r="B42" s="94" t="n">
        <v>6916.46</v>
      </c>
      <c r="C42" s="95" t="n">
        <v>348482</v>
      </c>
      <c r="D42" s="133" t="n">
        <f aca="false">C42-C41</f>
        <v>-1094</v>
      </c>
      <c r="E42" s="95" t="n">
        <f aca="false">C42-152000</f>
        <v>196482</v>
      </c>
      <c r="F42" s="243" t="n">
        <f aca="false">D42/$D$2</f>
        <v>-551.550289891606</v>
      </c>
      <c r="G42" s="122" t="n">
        <v>236</v>
      </c>
      <c r="H42" s="215" t="n">
        <v>0.13</v>
      </c>
      <c r="I42" s="122" t="n">
        <f aca="false">G42+H42</f>
        <v>236.13</v>
      </c>
      <c r="J42" s="218" t="n">
        <f aca="false">IF(L42&gt;0,L42,0)</f>
        <v>0</v>
      </c>
      <c r="K42" s="122" t="n">
        <f aca="false">I42+J42</f>
        <v>236.13</v>
      </c>
      <c r="L42" s="122" t="n">
        <f aca="false">F42-(I42-AG42)</f>
        <v>-69.6802898916058</v>
      </c>
      <c r="M42" s="244" t="n">
        <v>253</v>
      </c>
      <c r="N42" s="215" t="n">
        <f aca="false">1.8299*1.03</f>
        <v>1.884797</v>
      </c>
      <c r="O42" s="122" t="n">
        <f aca="false">(38+37)*1.05</f>
        <v>78.75</v>
      </c>
      <c r="P42" s="215" t="n">
        <v>0</v>
      </c>
      <c r="Q42" s="215" t="n">
        <f aca="false">2.68*1.02</f>
        <v>2.7336</v>
      </c>
      <c r="R42" s="215" t="n">
        <v>4.2</v>
      </c>
      <c r="S42" s="324" t="n">
        <v>3.94</v>
      </c>
      <c r="T42" s="381" t="n">
        <v>0</v>
      </c>
      <c r="U42" s="122" t="n">
        <v>85</v>
      </c>
      <c r="V42" s="122" t="n">
        <v>84</v>
      </c>
      <c r="W42" s="122" t="n">
        <f aca="false">M42-(N42-AR42)-O42-P42-Q42-R42-S42-T42+U42+V42-AR42</f>
        <v>330.491603</v>
      </c>
      <c r="X42" s="95"/>
      <c r="Y42" s="95" t="n">
        <f aca="false">Y41-(AP42/1.9835)+AQ42</f>
        <v>953.80328618687</v>
      </c>
      <c r="Z42" s="95" t="n">
        <f aca="false">Z41</f>
        <v>5552.30652886312</v>
      </c>
      <c r="AA42" s="122" t="n">
        <v>190</v>
      </c>
      <c r="AB42" s="244" t="n">
        <v>1.7</v>
      </c>
      <c r="AC42" s="245" t="n">
        <v>1.3</v>
      </c>
      <c r="AD42" s="464" t="n">
        <v>106</v>
      </c>
      <c r="AE42" s="353" t="n">
        <f aca="false">AE41-AD42</f>
        <v>11856.2578774893</v>
      </c>
      <c r="AF42" s="95"/>
      <c r="AG42" s="121" t="n">
        <f aca="false">N42+O42+P42+Q42+R42+S42+T42+W42+AA42+AD42</f>
        <v>718</v>
      </c>
      <c r="AH42" s="122" t="n">
        <f aca="false">IF(L42&lt;0,L42*-1,0)</f>
        <v>69.6802898916058</v>
      </c>
      <c r="AI42" s="122" t="n">
        <f aca="false">AG42+AH42</f>
        <v>787.680289891606</v>
      </c>
      <c r="AJ42" s="337" t="n">
        <v>0</v>
      </c>
      <c r="AK42" s="223" t="n">
        <v>91</v>
      </c>
      <c r="AL42" s="222" t="n">
        <v>52</v>
      </c>
      <c r="AM42" s="133" t="n">
        <f aca="false">AM41</f>
        <v>13022.27255</v>
      </c>
      <c r="AN42" s="133"/>
      <c r="AO42" s="91" t="n">
        <f aca="false">AO41-103.03</f>
        <v>234.26</v>
      </c>
      <c r="AP42" s="215" t="n">
        <f aca="false">60.3*(X41*1.9835+Y41*1.9835+Z41*1.9835+AO41*1.9835)/E42</f>
        <v>4.14723043543073</v>
      </c>
      <c r="AQ42" s="383" t="n">
        <v>32.6</v>
      </c>
      <c r="AR42" s="3"/>
      <c r="AS42" s="4"/>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229"/>
      <c r="B43" s="247"/>
      <c r="C43" s="231"/>
      <c r="D43" s="232"/>
      <c r="E43" s="231"/>
      <c r="F43" s="233"/>
      <c r="G43" s="232"/>
      <c r="H43" s="237"/>
      <c r="I43" s="232"/>
      <c r="J43" s="232"/>
      <c r="K43" s="232"/>
      <c r="L43" s="232"/>
      <c r="M43" s="235"/>
      <c r="N43" s="232"/>
      <c r="O43" s="232"/>
      <c r="P43" s="234"/>
      <c r="Q43" s="232"/>
      <c r="R43" s="232"/>
      <c r="S43" s="232"/>
      <c r="T43" s="236"/>
      <c r="U43" s="232"/>
      <c r="V43" s="232"/>
      <c r="W43" s="232"/>
      <c r="X43" s="231"/>
      <c r="Y43" s="231"/>
      <c r="Z43" s="231"/>
      <c r="AA43" s="232"/>
      <c r="AB43" s="235"/>
      <c r="AC43" s="238"/>
      <c r="AD43" s="232"/>
      <c r="AE43" s="232"/>
      <c r="AF43" s="232"/>
      <c r="AG43" s="232"/>
      <c r="AH43" s="232"/>
      <c r="AI43" s="232"/>
      <c r="AJ43" s="463"/>
      <c r="AK43" s="240"/>
      <c r="AL43" s="241"/>
      <c r="AM43" s="240"/>
      <c r="AN43" s="240"/>
      <c r="AO43" s="237"/>
      <c r="AP43" s="237"/>
      <c r="AQ43" s="234"/>
      <c r="AR43" s="234"/>
      <c r="AS43" s="237"/>
    </row>
    <row r="44" customFormat="false" ht="12.95" hidden="false" customHeight="true" outlineLevel="0" collapsed="false">
      <c r="A44" s="158" t="s">
        <v>79</v>
      </c>
      <c r="B44" s="213"/>
      <c r="C44" s="95"/>
      <c r="D44" s="95"/>
      <c r="E44" s="95"/>
      <c r="F44" s="214" t="n">
        <f aca="false">SUM(F12:F42)</f>
        <v>-16138.1396521301</v>
      </c>
      <c r="G44" s="95" t="n">
        <f aca="false">SUM(G12:G42)</f>
        <v>11574</v>
      </c>
      <c r="H44" s="133" t="n">
        <f aca="false">SUM(H12:H42)</f>
        <v>6.46</v>
      </c>
      <c r="I44" s="95" t="n">
        <f aca="false">SUM(I12:I42)</f>
        <v>11580.46</v>
      </c>
      <c r="J44" s="95" t="n">
        <f aca="false">SUM(J12:J42)</f>
        <v>266.07850768843</v>
      </c>
      <c r="K44" s="95" t="n">
        <f aca="false">SUM(K12:K42)</f>
        <v>11846.5385076884</v>
      </c>
      <c r="L44" s="95" t="n">
        <f aca="false">SUM(L12:L42)</f>
        <v>-714.599652130072</v>
      </c>
      <c r="M44" s="216" t="n">
        <f aca="false">SUM(M12:M42)</f>
        <v>9369</v>
      </c>
      <c r="N44" s="95" t="n">
        <f aca="false">SUM(N12:N42)</f>
        <v>58.428707</v>
      </c>
      <c r="O44" s="95" t="n">
        <f aca="false">SUM(O12:O42)</f>
        <v>2286.9</v>
      </c>
      <c r="P44" s="215" t="n">
        <f aca="false">SUM(P12:P42)</f>
        <v>0</v>
      </c>
      <c r="Q44" s="95" t="n">
        <f aca="false">SUM(Q12:Q42)</f>
        <v>84.7416</v>
      </c>
      <c r="R44" s="95" t="n">
        <f aca="false">SUM(R12:R42)</f>
        <v>130.2</v>
      </c>
      <c r="S44" s="95" t="n">
        <f aca="false">SUM(S12:S42)</f>
        <v>114.82</v>
      </c>
      <c r="T44" s="217" t="n">
        <f aca="false">SUM(T12:T42)</f>
        <v>0</v>
      </c>
      <c r="U44" s="95" t="n">
        <f aca="false">SUM(U12:U42)</f>
        <v>4224</v>
      </c>
      <c r="V44" s="95" t="n">
        <f aca="false">SUM(V12:V42)</f>
        <v>2505</v>
      </c>
      <c r="W44" s="95" t="n">
        <f aca="false">SUM(W12:W42)</f>
        <v>13422.909693</v>
      </c>
      <c r="X44" s="95"/>
      <c r="Y44" s="95"/>
      <c r="Z44" s="95"/>
      <c r="AA44" s="95" t="n">
        <f aca="false">SUM(AA12:AA42)</f>
        <v>7524</v>
      </c>
      <c r="AB44" s="467" t="n">
        <f aca="false">SUM(AB12:AB42)</f>
        <v>52.7</v>
      </c>
      <c r="AC44" s="468" t="n">
        <f aca="false">SUM(AC12:AC42)</f>
        <v>40.3</v>
      </c>
      <c r="AD44" s="95" t="n">
        <f aca="false">SUM(AD12:AD42)</f>
        <v>3382</v>
      </c>
      <c r="AE44" s="95"/>
      <c r="AF44" s="95" t="n">
        <f aca="false">SUM(AF12:AF42)</f>
        <v>0</v>
      </c>
      <c r="AG44" s="95" t="n">
        <f aca="false">SUM(AG12:AG42)</f>
        <v>27004</v>
      </c>
      <c r="AH44" s="95" t="n">
        <f aca="false">SUM(AH12:AH42)</f>
        <v>980.678159818502</v>
      </c>
      <c r="AI44" s="95" t="n">
        <f aca="false">SUM(AI12:AI42)</f>
        <v>27984.6781598185</v>
      </c>
      <c r="AJ44" s="337" t="n">
        <f aca="false">SUM(AJ12:AJ43)</f>
        <v>0.41</v>
      </c>
      <c r="AK44" s="133" t="n">
        <f aca="false">AVERAGE(AK12:AK42)</f>
        <v>85.9354838709677</v>
      </c>
      <c r="AL44" s="222" t="n">
        <f aca="false">AVERAGE(AL12:AL42)</f>
        <v>52.9677419354839</v>
      </c>
      <c r="AM44" s="133" t="s">
        <v>110</v>
      </c>
      <c r="AN44" s="95" t="n">
        <f aca="false">SUM(AN12:AN42)</f>
        <v>0</v>
      </c>
      <c r="AO44" s="218" t="n">
        <f aca="false">AO42</f>
        <v>234.26</v>
      </c>
      <c r="AP44" s="469"/>
      <c r="AQ44" s="215" t="n">
        <f aca="false">SUM(AQ12:AQ42)</f>
        <v>338.45</v>
      </c>
      <c r="AR44" s="215" t="n">
        <f aca="false">SUM(AR12:AR42)</f>
        <v>0</v>
      </c>
      <c r="AS44" s="218" t="n">
        <f aca="false">SUM(AS12:AS42)</f>
        <v>0</v>
      </c>
    </row>
    <row r="45" customFormat="false" ht="12.95" hidden="false" customHeight="true" outlineLevel="0" collapsed="false">
      <c r="A45" s="158" t="s">
        <v>81</v>
      </c>
      <c r="B45" s="213"/>
      <c r="C45" s="95"/>
      <c r="D45" s="95" t="n">
        <f aca="false">SUM(D12:D42)</f>
        <v>-32010</v>
      </c>
      <c r="E45" s="95"/>
      <c r="F45" s="214" t="n">
        <f aca="false">F44*$D$2</f>
        <v>-32010</v>
      </c>
      <c r="G45" s="95" t="n">
        <f aca="false">G44*$D$2</f>
        <v>22957.029</v>
      </c>
      <c r="H45" s="133" t="n">
        <f aca="false">H44*$D$2</f>
        <v>12.81341</v>
      </c>
      <c r="I45" s="95" t="n">
        <f aca="false">I44*$D$2</f>
        <v>22969.84241</v>
      </c>
      <c r="J45" s="95" t="n">
        <f aca="false">J44*$D$2</f>
        <v>527.76672</v>
      </c>
      <c r="K45" s="95" t="n">
        <f aca="false">K44*$D$2</f>
        <v>23497.60913</v>
      </c>
      <c r="L45" s="95" t="n">
        <f aca="false">L44*$D$2</f>
        <v>-1417.40841</v>
      </c>
      <c r="M45" s="216" t="n">
        <f aca="false">M44*$D$2</f>
        <v>18583.4115</v>
      </c>
      <c r="N45" s="95" t="n">
        <f aca="false">N44*$D$2</f>
        <v>115.8933403345</v>
      </c>
      <c r="O45" s="95" t="n">
        <f aca="false">O44*$D$2</f>
        <v>4536.06615</v>
      </c>
      <c r="P45" s="215" t="n">
        <f aca="false">P44*$D$2</f>
        <v>0</v>
      </c>
      <c r="Q45" s="95" t="n">
        <f aca="false">Q44*$D$2</f>
        <v>168.0849636</v>
      </c>
      <c r="R45" s="95" t="n">
        <f aca="false">R44*$D$2</f>
        <v>258.2517</v>
      </c>
      <c r="S45" s="95" t="n">
        <f aca="false">S44*$D$2</f>
        <v>227.74547</v>
      </c>
      <c r="T45" s="217" t="n">
        <f aca="false">T44*$D$2</f>
        <v>0</v>
      </c>
      <c r="U45" s="95" t="n">
        <f aca="false">U44*$D$2</f>
        <v>8378.304</v>
      </c>
      <c r="V45" s="95" t="n">
        <f aca="false">V44*$D$2</f>
        <v>4968.6675</v>
      </c>
      <c r="W45" s="95" t="n">
        <f aca="false">W44*$D$2</f>
        <v>26624.3413760655</v>
      </c>
      <c r="X45" s="95"/>
      <c r="Y45" s="95"/>
      <c r="Z45" s="95"/>
      <c r="AA45" s="95" t="n">
        <f aca="false">AA44*$D$2</f>
        <v>14923.854</v>
      </c>
      <c r="AB45" s="216" t="n">
        <f aca="false">AB44*$D$2</f>
        <v>104.53045</v>
      </c>
      <c r="AC45" s="219" t="n">
        <f aca="false">AC44*$D$2</f>
        <v>79.93505</v>
      </c>
      <c r="AD45" s="95" t="n">
        <f aca="false">AD44*$D$2</f>
        <v>6708.197</v>
      </c>
      <c r="AE45" s="95"/>
      <c r="AF45" s="95" t="n">
        <f aca="false">AF44*$D$2</f>
        <v>0</v>
      </c>
      <c r="AG45" s="95" t="n">
        <f aca="false">AG44*$D$2</f>
        <v>53562.434</v>
      </c>
      <c r="AH45" s="95" t="n">
        <f aca="false">AH44*$D$2</f>
        <v>1945.17513</v>
      </c>
      <c r="AI45" s="95" t="n">
        <f aca="false">AI44*$D$2</f>
        <v>55507.60913</v>
      </c>
      <c r="AJ45" s="337"/>
      <c r="AK45" s="133" t="n">
        <f aca="false">MAX(AK12:AK42)</f>
        <v>91</v>
      </c>
      <c r="AL45" s="222" t="n">
        <f aca="false">MAX(AL12:AL42)</f>
        <v>60</v>
      </c>
      <c r="AM45" s="133" t="s">
        <v>82</v>
      </c>
      <c r="AN45" s="95" t="n">
        <f aca="false">AN44*$D$2</f>
        <v>0</v>
      </c>
      <c r="AO45" s="218" t="n">
        <f aca="false">AO44*$D$2</f>
        <v>464.65471</v>
      </c>
      <c r="AP45" s="469" t="n">
        <f aca="false">SUM(AP12:AP42)</f>
        <v>132.410241450743</v>
      </c>
      <c r="AQ45" s="215" t="n">
        <f aca="false">AQ44*$D$2</f>
        <v>671.315575</v>
      </c>
      <c r="AR45" s="215" t="n">
        <f aca="false">AR44*$D$2</f>
        <v>0</v>
      </c>
      <c r="AS45" s="218" t="n">
        <f aca="false">AS44*$D$2</f>
        <v>0</v>
      </c>
    </row>
    <row r="46" customFormat="false" ht="3" hidden="false" customHeight="true" outlineLevel="0" collapsed="false">
      <c r="A46" s="229"/>
      <c r="B46" s="247"/>
      <c r="C46" s="231"/>
      <c r="D46" s="231"/>
      <c r="E46" s="231"/>
      <c r="F46" s="250"/>
      <c r="G46" s="231"/>
      <c r="H46" s="240"/>
      <c r="I46" s="231"/>
      <c r="J46" s="231"/>
      <c r="K46" s="231"/>
      <c r="L46" s="231"/>
      <c r="M46" s="251"/>
      <c r="N46" s="231"/>
      <c r="O46" s="231"/>
      <c r="P46" s="234"/>
      <c r="Q46" s="231"/>
      <c r="R46" s="231"/>
      <c r="S46" s="231"/>
      <c r="T46" s="236"/>
      <c r="U46" s="231"/>
      <c r="V46" s="231"/>
      <c r="W46" s="231"/>
      <c r="X46" s="231"/>
      <c r="Y46" s="231"/>
      <c r="Z46" s="231"/>
      <c r="AA46" s="231"/>
      <c r="AB46" s="251"/>
      <c r="AC46" s="252"/>
      <c r="AD46" s="231"/>
      <c r="AE46" s="232"/>
      <c r="AF46" s="231"/>
      <c r="AG46" s="231"/>
      <c r="AH46" s="231"/>
      <c r="AI46" s="231"/>
      <c r="AJ46" s="253"/>
      <c r="AK46" s="231"/>
      <c r="AL46" s="250"/>
      <c r="AM46" s="231"/>
      <c r="AN46" s="231"/>
      <c r="AO46" s="237"/>
      <c r="AP46" s="234"/>
      <c r="AQ46" s="234"/>
      <c r="AR46" s="234"/>
      <c r="AS46" s="237"/>
    </row>
    <row r="47" customFormat="false" ht="12.95" hidden="false" customHeight="true" outlineLevel="0" collapsed="false">
      <c r="A47" s="158" t="s">
        <v>83</v>
      </c>
      <c r="B47" s="213"/>
      <c r="C47" s="95"/>
      <c r="D47" s="95"/>
      <c r="E47" s="95"/>
      <c r="F47" s="214" t="n">
        <f aca="false">F9+F44</f>
        <v>25239.7277539703</v>
      </c>
      <c r="G47" s="95" t="n">
        <f aca="false">G9+G44</f>
        <v>155415</v>
      </c>
      <c r="H47" s="133" t="n">
        <f aca="false">H9+H44</f>
        <v>8807.31</v>
      </c>
      <c r="I47" s="95" t="n">
        <f aca="false">I9+I44</f>
        <v>164222.31</v>
      </c>
      <c r="J47" s="95" t="n">
        <f aca="false">J9+J44</f>
        <v>25848.0750264684</v>
      </c>
      <c r="K47" s="95" t="n">
        <f aca="false">K9+K44</f>
        <v>190070.385026468</v>
      </c>
      <c r="L47" s="95" t="n">
        <f aca="false">L9+L44</f>
        <v>24400.6177539703</v>
      </c>
      <c r="M47" s="216" t="n">
        <f aca="false">M9+M44</f>
        <v>30881.8</v>
      </c>
      <c r="N47" s="95" t="n">
        <f aca="false">N9+N44</f>
        <v>229.945234</v>
      </c>
      <c r="O47" s="95" t="n">
        <f aca="false">O9+O44</f>
        <v>9364.4985</v>
      </c>
      <c r="P47" s="215" t="n">
        <f aca="false">P9+P44</f>
        <v>7.32</v>
      </c>
      <c r="Q47" s="95"/>
      <c r="R47" s="95"/>
      <c r="S47" s="95"/>
      <c r="T47" s="217"/>
      <c r="U47" s="95" t="n">
        <f aca="false">U9+U44</f>
        <v>15209.3</v>
      </c>
      <c r="V47" s="95" t="n">
        <f aca="false">V9+V44</f>
        <v>6878.2</v>
      </c>
      <c r="W47" s="95" t="n">
        <f aca="false">W9+W44</f>
        <v>41229.728866</v>
      </c>
      <c r="X47" s="421" t="n">
        <f aca="false">X42</f>
        <v>0</v>
      </c>
      <c r="Y47" s="421" t="n">
        <f aca="false">Y42</f>
        <v>953.80328618687</v>
      </c>
      <c r="Z47" s="421" t="n">
        <f aca="false">Z42</f>
        <v>5552.30652886312</v>
      </c>
      <c r="AA47" s="95" t="n">
        <f aca="false">AA9+AA44</f>
        <v>17772.1</v>
      </c>
      <c r="AB47" s="216" t="n">
        <f aca="false">AB9+AB44</f>
        <v>207.4</v>
      </c>
      <c r="AC47" s="219" t="n">
        <f aca="false">AC9+AC44</f>
        <v>158.6</v>
      </c>
      <c r="AD47" s="95"/>
      <c r="AE47" s="421"/>
      <c r="AF47" s="95" t="n">
        <f aca="false">AF9+AF44</f>
        <v>0</v>
      </c>
      <c r="AG47" s="95" t="n">
        <f aca="false">AG9+AG44</f>
        <v>163383.2</v>
      </c>
      <c r="AH47" s="95" t="n">
        <f aca="false">AH9+AH44</f>
        <v>1447.45727249811</v>
      </c>
      <c r="AI47" s="95" t="n">
        <f aca="false">AI9+AI44</f>
        <v>164830.657272498</v>
      </c>
      <c r="AJ47" s="337"/>
      <c r="AK47" s="133" t="n">
        <f aca="false">MIN(AK12:AK42)</f>
        <v>80</v>
      </c>
      <c r="AL47" s="222" t="n">
        <f aca="false">MIN(AL12:AL42)</f>
        <v>48</v>
      </c>
      <c r="AM47" s="133" t="s">
        <v>84</v>
      </c>
      <c r="AN47" s="133"/>
      <c r="AO47" s="218" t="n">
        <f aca="false">AO44</f>
        <v>234.26</v>
      </c>
      <c r="AP47" s="469"/>
      <c r="AQ47" s="215" t="n">
        <f aca="false">AQ9+AQ44</f>
        <v>338.45</v>
      </c>
      <c r="AR47" s="215" t="n">
        <f aca="false">AR9+AR44</f>
        <v>771.62</v>
      </c>
      <c r="AS47" s="218" t="n">
        <f aca="false">AS9+AS44</f>
        <v>41.8</v>
      </c>
    </row>
    <row r="48" customFormat="false" ht="12.95" hidden="false" customHeight="true" outlineLevel="0" collapsed="false">
      <c r="A48" s="158" t="s">
        <v>85</v>
      </c>
      <c r="B48" s="213"/>
      <c r="C48" s="95"/>
      <c r="D48" s="95"/>
      <c r="E48" s="95"/>
      <c r="F48" s="214" t="n">
        <f aca="false">F47*$D$2</f>
        <v>50063</v>
      </c>
      <c r="G48" s="95" t="n">
        <f aca="false">G47*$D$2</f>
        <v>308265.6525</v>
      </c>
      <c r="H48" s="133" t="n">
        <f aca="false">H47*$D$2</f>
        <v>17469.299385</v>
      </c>
      <c r="I48" s="95" t="n">
        <f aca="false">I47*$D$2</f>
        <v>325734.951885</v>
      </c>
      <c r="J48" s="95" t="n">
        <f aca="false">J47*$D$2</f>
        <v>51269.656815</v>
      </c>
      <c r="K48" s="95" t="n">
        <f aca="false">K47*$D$2</f>
        <v>377004.6087</v>
      </c>
      <c r="L48" s="95" t="n">
        <f aca="false">L47*$D$2</f>
        <v>48398.625315</v>
      </c>
      <c r="M48" s="216" t="n">
        <f aca="false">M47*$D$2</f>
        <v>61254.0503</v>
      </c>
      <c r="N48" s="95" t="n">
        <f aca="false">N47*$D$2</f>
        <v>456.096371639</v>
      </c>
      <c r="O48" s="95" t="n">
        <f aca="false">O47*$D$2</f>
        <v>18574.48277475</v>
      </c>
      <c r="P48" s="215" t="n">
        <f aca="false">P47*$D$2</f>
        <v>14.51922</v>
      </c>
      <c r="Q48" s="95"/>
      <c r="R48" s="95"/>
      <c r="S48" s="95"/>
      <c r="T48" s="217"/>
      <c r="U48" s="95" t="n">
        <f aca="false">U47*$D$2</f>
        <v>30167.64655</v>
      </c>
      <c r="V48" s="95" t="n">
        <f aca="false">V47*$D$2</f>
        <v>13642.9097</v>
      </c>
      <c r="W48" s="95" t="n">
        <f aca="false">W47*$D$2</f>
        <v>81779.167205711</v>
      </c>
      <c r="X48" s="95" t="n">
        <f aca="false">X47*$D$2</f>
        <v>0</v>
      </c>
      <c r="Y48" s="95" t="n">
        <f aca="false">Y47*$D$2</f>
        <v>1891.86881815166</v>
      </c>
      <c r="Z48" s="95" t="n">
        <f aca="false">Z47*$D$2</f>
        <v>11013</v>
      </c>
      <c r="AA48" s="95" t="n">
        <f aca="false">AA47*$D$2</f>
        <v>35250.96035</v>
      </c>
      <c r="AB48" s="216" t="n">
        <f aca="false">AB47*$D$2</f>
        <v>411.3779</v>
      </c>
      <c r="AC48" s="219" t="n">
        <f aca="false">AC47*$D$2</f>
        <v>314.5831</v>
      </c>
      <c r="AD48" s="95"/>
      <c r="AE48" s="95"/>
      <c r="AF48" s="95" t="n">
        <f aca="false">AF47*$D$2</f>
        <v>0</v>
      </c>
      <c r="AG48" s="95" t="n">
        <f aca="false">AG47*$D$2</f>
        <v>324070.5772</v>
      </c>
      <c r="AH48" s="95" t="n">
        <f aca="false">AH47*$D$2</f>
        <v>2871.0315</v>
      </c>
      <c r="AI48" s="95" t="n">
        <f aca="false">AI47*$D$2</f>
        <v>326941.6087</v>
      </c>
      <c r="AJ48" s="337"/>
      <c r="AK48" s="133"/>
      <c r="AL48" s="222"/>
      <c r="AM48" s="133"/>
      <c r="AN48" s="133"/>
      <c r="AO48" s="218" t="n">
        <f aca="false">AO47*$D$2</f>
        <v>464.65471</v>
      </c>
      <c r="AP48" s="469" t="n">
        <f aca="false">AP9+AP45</f>
        <v>206.275529822683</v>
      </c>
      <c r="AQ48" s="215" t="n">
        <f aca="false">AQ47*$D$2</f>
        <v>671.315575</v>
      </c>
      <c r="AR48" s="215" t="n">
        <f aca="false">AR47*$D$2</f>
        <v>1530.50827</v>
      </c>
      <c r="AS48" s="218" t="n">
        <f aca="false">AS47*$D$2</f>
        <v>82.9103</v>
      </c>
    </row>
    <row r="49" customFormat="false" ht="3" hidden="false" customHeight="true" outlineLevel="0" collapsed="false">
      <c r="A49" s="229"/>
      <c r="B49" s="247"/>
      <c r="C49" s="231"/>
      <c r="D49" s="231"/>
      <c r="E49" s="231"/>
      <c r="F49" s="250"/>
      <c r="G49" s="231"/>
      <c r="H49" s="240"/>
      <c r="I49" s="231"/>
      <c r="J49" s="231"/>
      <c r="K49" s="231"/>
      <c r="L49" s="231"/>
      <c r="M49" s="251"/>
      <c r="N49" s="231"/>
      <c r="O49" s="231"/>
      <c r="P49" s="234"/>
      <c r="Q49" s="231"/>
      <c r="R49" s="231"/>
      <c r="S49" s="231"/>
      <c r="T49" s="236"/>
      <c r="U49" s="231"/>
      <c r="V49" s="231"/>
      <c r="W49" s="231"/>
      <c r="X49" s="231"/>
      <c r="Y49" s="231"/>
      <c r="Z49" s="231"/>
      <c r="AA49" s="231"/>
      <c r="AB49" s="251"/>
      <c r="AC49" s="252"/>
      <c r="AD49" s="231"/>
      <c r="AE49" s="231"/>
      <c r="AF49" s="231"/>
      <c r="AG49" s="231"/>
      <c r="AH49" s="231"/>
      <c r="AI49" s="231"/>
      <c r="AJ49" s="463"/>
      <c r="AK49" s="231"/>
      <c r="AL49" s="250"/>
      <c r="AM49" s="231"/>
      <c r="AN49" s="231"/>
      <c r="AO49" s="237"/>
      <c r="AP49" s="234"/>
      <c r="AQ49" s="234"/>
      <c r="AR49" s="234"/>
      <c r="AS49" s="237"/>
    </row>
    <row r="50" customFormat="false" ht="12.95" hidden="false" customHeight="true" outlineLevel="0" collapsed="false">
      <c r="A50" s="158" t="s">
        <v>86</v>
      </c>
      <c r="B50" s="213"/>
      <c r="C50" s="95"/>
      <c r="D50" s="95"/>
      <c r="E50" s="95"/>
      <c r="F50" s="214" t="n">
        <f aca="false">F10+F44</f>
        <v>30553.566927149</v>
      </c>
      <c r="G50" s="95" t="n">
        <f aca="false">G10+G44</f>
        <v>171679</v>
      </c>
      <c r="H50" s="133" t="n">
        <f aca="false">H10+H44</f>
        <v>10953.45</v>
      </c>
      <c r="I50" s="95" t="n">
        <f aca="false">I10+I44</f>
        <v>182632.45</v>
      </c>
      <c r="J50" s="95" t="n">
        <f aca="false">J10+J44</f>
        <v>32846.2007663222</v>
      </c>
      <c r="K50" s="95" t="n">
        <f aca="false">K10+K44</f>
        <v>215478.650766322</v>
      </c>
      <c r="L50" s="95" t="n">
        <f aca="false">L10+L44</f>
        <v>29376.876927149</v>
      </c>
      <c r="M50" s="216" t="n">
        <f aca="false">M10+M44</f>
        <v>31794.6</v>
      </c>
      <c r="N50" s="95" t="n">
        <f aca="false">N10+N44</f>
        <v>229.945234</v>
      </c>
      <c r="O50" s="95" t="n">
        <f aca="false">O10+O44</f>
        <v>9364.4985</v>
      </c>
      <c r="P50" s="215"/>
      <c r="Q50" s="95" t="n">
        <f aca="false">Q10+Q44</f>
        <v>504.4104</v>
      </c>
      <c r="R50" s="95" t="n">
        <f aca="false">R10+R44</f>
        <v>928.873</v>
      </c>
      <c r="S50" s="95" t="n">
        <f aca="false">S10+S44</f>
        <v>230.23</v>
      </c>
      <c r="T50" s="217" t="n">
        <f aca="false">T10+T44</f>
        <v>-94.5288</v>
      </c>
      <c r="U50" s="95" t="n">
        <f aca="false">U10+U44</f>
        <v>21274.26</v>
      </c>
      <c r="V50" s="95" t="n">
        <f aca="false">V10+V44</f>
        <v>6963</v>
      </c>
      <c r="W50" s="95" t="n">
        <f aca="false">W10+W44</f>
        <v>47682.028866</v>
      </c>
      <c r="X50" s="95"/>
      <c r="Y50" s="95"/>
      <c r="Z50" s="95"/>
      <c r="AA50" s="95"/>
      <c r="AB50" s="216"/>
      <c r="AC50" s="219"/>
      <c r="AD50" s="95" t="n">
        <f aca="false">AD10+AD44</f>
        <v>103610</v>
      </c>
      <c r="AE50" s="95" t="n">
        <f aca="false">AE42</f>
        <v>11856.2578774893</v>
      </c>
      <c r="AF50" s="95" t="n">
        <f aca="false">AF10+AF44</f>
        <v>94496</v>
      </c>
      <c r="AG50" s="95" t="n">
        <f aca="false">AG10+AG44</f>
        <v>181455.76</v>
      </c>
      <c r="AH50" s="95" t="n">
        <f aca="false">AH10+AH44</f>
        <v>3469.32383917318</v>
      </c>
      <c r="AI50" s="95" t="n">
        <f aca="false">AI10+AI44</f>
        <v>184925.083839173</v>
      </c>
      <c r="AJ50" s="337" t="n">
        <f aca="false">AJ10+AJ44</f>
        <v>11.77</v>
      </c>
      <c r="AK50" s="133"/>
      <c r="AL50" s="222"/>
      <c r="AM50" s="133"/>
      <c r="AN50" s="95" t="n">
        <f aca="false">AN10+AN44</f>
        <v>0</v>
      </c>
      <c r="AO50" s="218"/>
      <c r="AP50" s="469"/>
      <c r="AQ50" s="469"/>
      <c r="AR50" s="469"/>
    </row>
    <row r="51" customFormat="false" ht="12.95" hidden="false" customHeight="true" outlineLevel="0" collapsed="false">
      <c r="A51" s="158" t="s">
        <v>87</v>
      </c>
      <c r="B51" s="213"/>
      <c r="C51" s="95"/>
      <c r="D51" s="95" t="n">
        <f aca="false">D10+D45</f>
        <v>60528</v>
      </c>
      <c r="E51" s="95" t="n">
        <f aca="false">E42</f>
        <v>196482</v>
      </c>
      <c r="F51" s="214" t="n">
        <f aca="false">F50*$D$2</f>
        <v>60603</v>
      </c>
      <c r="G51" s="95" t="n">
        <f aca="false">G50*$D$2</f>
        <v>340525.2965</v>
      </c>
      <c r="H51" s="133" t="n">
        <f aca="false">H50*$D$2</f>
        <v>21726.168075</v>
      </c>
      <c r="I51" s="95" t="n">
        <f aca="false">I50*$D$2</f>
        <v>362251.464575</v>
      </c>
      <c r="J51" s="95" t="n">
        <f aca="false">J50*$D$2</f>
        <v>65150.43922</v>
      </c>
      <c r="K51" s="95" t="n">
        <f aca="false">K50*$D$2</f>
        <v>427401.903795</v>
      </c>
      <c r="L51" s="95" t="n">
        <f aca="false">L50*$D$2</f>
        <v>58269.035385</v>
      </c>
      <c r="M51" s="216" t="n">
        <f aca="false">M50*$D$2</f>
        <v>63064.5891</v>
      </c>
      <c r="N51" s="95" t="n">
        <f aca="false">N50*$D$2</f>
        <v>456.096371639</v>
      </c>
      <c r="O51" s="95" t="n">
        <f aca="false">O50*$D$2</f>
        <v>18574.48277475</v>
      </c>
      <c r="P51" s="215"/>
      <c r="Q51" s="95" t="n">
        <f aca="false">Q50*$D$2</f>
        <v>1000.4980284</v>
      </c>
      <c r="R51" s="95" t="n">
        <f aca="false">R50*$D$2</f>
        <v>1842.4195955</v>
      </c>
      <c r="S51" s="225" t="n">
        <f aca="false">S50*$D$2</f>
        <v>456.661205</v>
      </c>
      <c r="T51" s="258" t="n">
        <f aca="false">T50*$D$2</f>
        <v>-187.4978748</v>
      </c>
      <c r="U51" s="95" t="n">
        <f aca="false">U50*$D$2</f>
        <v>42197.49471</v>
      </c>
      <c r="V51" s="95" t="n">
        <f aca="false">V50*$D$2</f>
        <v>13811.1105</v>
      </c>
      <c r="W51" s="95" t="n">
        <f aca="false">W50*$D$2</f>
        <v>94577.304255711</v>
      </c>
      <c r="X51" s="95"/>
      <c r="Y51" s="95"/>
      <c r="Z51" s="95"/>
      <c r="AA51" s="95"/>
      <c r="AB51" s="259"/>
      <c r="AC51" s="260"/>
      <c r="AD51" s="95" t="n">
        <f aca="false">AD50*$D$2</f>
        <v>205510.435</v>
      </c>
      <c r="AE51" s="95" t="n">
        <f aca="false">AE50*$D$2</f>
        <v>23516.8875</v>
      </c>
      <c r="AF51" s="95" t="n">
        <f aca="false">AF50*$D$2</f>
        <v>187432.816</v>
      </c>
      <c r="AG51" s="95" t="n">
        <f aca="false">AG50*$D$2</f>
        <v>359917.49996</v>
      </c>
      <c r="AH51" s="95" t="n">
        <f aca="false">AH50*$D$2</f>
        <v>6881.403835</v>
      </c>
      <c r="AI51" s="95" t="n">
        <f aca="false">AI50*$D$2</f>
        <v>366798.903795</v>
      </c>
      <c r="AJ51" s="337"/>
      <c r="AK51" s="133"/>
      <c r="AL51" s="222"/>
      <c r="AM51" s="133" t="n">
        <f aca="false">AM42</f>
        <v>13022.27255</v>
      </c>
      <c r="AN51" s="95" t="n">
        <f aca="false">AN50*$D$2</f>
        <v>0</v>
      </c>
      <c r="AO51" s="218"/>
      <c r="AP51" s="469" t="n">
        <f aca="false">AP10+AP45</f>
        <v>206.275529822683</v>
      </c>
      <c r="AQ51" s="215"/>
      <c r="AR51" s="215"/>
    </row>
    <row r="52" customFormat="false" ht="3" hidden="false" customHeight="true" outlineLevel="0" collapsed="false">
      <c r="A52" s="229"/>
      <c r="B52" s="302"/>
      <c r="C52" s="289"/>
      <c r="D52" s="229"/>
      <c r="E52" s="289"/>
      <c r="F52" s="290"/>
      <c r="G52" s="229"/>
      <c r="H52" s="470"/>
      <c r="I52" s="229"/>
      <c r="J52" s="229"/>
      <c r="K52" s="229"/>
      <c r="L52" s="229"/>
      <c r="M52" s="471"/>
      <c r="N52" s="229"/>
      <c r="O52" s="229"/>
      <c r="P52" s="293"/>
      <c r="Q52" s="229"/>
      <c r="R52" s="229"/>
      <c r="S52" s="229"/>
      <c r="T52" s="294"/>
      <c r="U52" s="229"/>
      <c r="V52" s="229"/>
      <c r="W52" s="229"/>
      <c r="X52" s="289"/>
      <c r="Y52" s="289"/>
      <c r="Z52" s="289"/>
      <c r="AA52" s="229"/>
      <c r="AB52" s="235"/>
      <c r="AC52" s="238"/>
      <c r="AD52" s="229"/>
      <c r="AE52" s="289"/>
      <c r="AF52" s="289"/>
      <c r="AG52" s="229"/>
      <c r="AH52" s="229"/>
      <c r="AI52" s="229"/>
      <c r="AJ52" s="302"/>
      <c r="AK52" s="229"/>
      <c r="AL52" s="290"/>
      <c r="AM52" s="232"/>
      <c r="AN52" s="232"/>
      <c r="AO52" s="237"/>
      <c r="AP52" s="237"/>
      <c r="AQ52" s="234"/>
      <c r="AR52" s="234"/>
      <c r="AS52" s="237"/>
    </row>
    <row r="53" customFormat="false" ht="11.1" hidden="false" customHeight="true" outlineLevel="0" collapsed="false">
      <c r="A53" s="158"/>
      <c r="B53" s="146"/>
      <c r="C53" s="2"/>
      <c r="D53" s="11"/>
      <c r="E53" s="444"/>
      <c r="F53" s="1"/>
      <c r="G53" s="1"/>
      <c r="H53" s="4"/>
      <c r="I53" s="11"/>
      <c r="J53" s="11"/>
      <c r="K53" s="445"/>
      <c r="L53" s="96"/>
      <c r="M53" s="11"/>
      <c r="N53" s="11"/>
      <c r="O53" s="11"/>
      <c r="P53" s="3"/>
      <c r="Q53" s="11"/>
      <c r="R53" s="11"/>
      <c r="S53" s="11"/>
      <c r="T53" s="3"/>
      <c r="U53" s="11"/>
      <c r="V53" s="11"/>
      <c r="W53" s="11"/>
      <c r="X53" s="1"/>
      <c r="Y53" s="1"/>
      <c r="Z53" s="1"/>
      <c r="AA53" s="11"/>
      <c r="AB53" s="11"/>
      <c r="AC53" s="11"/>
      <c r="AD53" s="11"/>
      <c r="AE53" s="444"/>
      <c r="AF53" s="446"/>
      <c r="AG53" s="444"/>
      <c r="AH53" s="158"/>
      <c r="AI53" s="158"/>
      <c r="AJ53" s="150"/>
      <c r="AL53" s="154"/>
      <c r="AM53" s="155"/>
      <c r="AN53" s="155"/>
      <c r="AO53" s="340"/>
    </row>
    <row r="54" customFormat="false" ht="11.1" hidden="false" customHeight="true" outlineLevel="0" collapsed="false">
      <c r="A54" s="158"/>
      <c r="B54" s="146"/>
      <c r="C54" s="2"/>
      <c r="D54" s="1"/>
      <c r="E54" s="429"/>
      <c r="F54" s="160"/>
      <c r="G54" s="1"/>
      <c r="H54" s="4"/>
      <c r="I54" s="147"/>
      <c r="J54" s="11"/>
      <c r="K54" s="148"/>
      <c r="L54" s="151"/>
      <c r="M54" s="11"/>
      <c r="N54" s="11"/>
      <c r="O54" s="11"/>
      <c r="P54" s="3"/>
      <c r="Q54" s="11"/>
      <c r="R54" s="11"/>
      <c r="S54" s="118"/>
      <c r="T54" s="82"/>
      <c r="U54" s="26"/>
      <c r="V54" s="118"/>
      <c r="W54" s="447"/>
      <c r="X54" s="96"/>
      <c r="Y54" s="96"/>
      <c r="Z54" s="96"/>
      <c r="AA54" s="26"/>
      <c r="AB54" s="26"/>
      <c r="AC54" s="26"/>
      <c r="AD54" s="118"/>
      <c r="AE54" s="79"/>
      <c r="AF54" s="448"/>
      <c r="AG54" s="2"/>
      <c r="AH54" s="158"/>
      <c r="AM54" s="160"/>
      <c r="AN54" s="160"/>
      <c r="AO54" s="340"/>
    </row>
    <row r="55" customFormat="false" ht="11.1" hidden="false" customHeight="true" outlineLevel="0" collapsed="false">
      <c r="B55" s="96"/>
      <c r="E55" s="429"/>
      <c r="F55" s="224"/>
      <c r="G55" s="1"/>
      <c r="H55" s="4"/>
      <c r="I55" s="1"/>
      <c r="J55" s="1"/>
      <c r="K55" s="448"/>
      <c r="L55" s="430"/>
      <c r="M55" s="449"/>
      <c r="N55" s="449"/>
      <c r="O55" s="429"/>
      <c r="P55" s="451"/>
      <c r="Q55" s="429"/>
      <c r="R55" s="429"/>
      <c r="S55" s="26"/>
      <c r="T55" s="82"/>
      <c r="U55" s="26"/>
      <c r="V55" s="118"/>
      <c r="W55" s="79"/>
      <c r="X55" s="96"/>
      <c r="Y55" s="96"/>
      <c r="Z55" s="96"/>
      <c r="AA55" s="96"/>
      <c r="AB55" s="96"/>
      <c r="AC55" s="96"/>
      <c r="AD55" s="79"/>
      <c r="AE55" s="26"/>
      <c r="AF55" s="452"/>
      <c r="AG55" s="26"/>
      <c r="AM55" s="152"/>
      <c r="AN55" s="152"/>
      <c r="AO55" s="340"/>
    </row>
    <row r="56" customFormat="false" ht="11.1" hidden="false" customHeight="true" outlineLevel="0" collapsed="false">
      <c r="D56" s="96"/>
      <c r="E56" s="429"/>
      <c r="F56" s="1"/>
      <c r="G56" s="1"/>
      <c r="I56" s="1"/>
      <c r="J56" s="1"/>
      <c r="K56" s="448"/>
      <c r="L56" s="154"/>
      <c r="M56" s="4"/>
      <c r="N56" s="4"/>
      <c r="O56" s="154"/>
      <c r="Q56" s="154"/>
      <c r="R56" s="154"/>
      <c r="S56" s="26"/>
      <c r="T56" s="82"/>
      <c r="U56" s="26"/>
      <c r="V56" s="26"/>
      <c r="W56" s="79"/>
      <c r="X56" s="154"/>
      <c r="Y56" s="154"/>
      <c r="Z56" s="154"/>
      <c r="AA56" s="96"/>
      <c r="AB56" s="96"/>
      <c r="AC56" s="96"/>
      <c r="AD56" s="79"/>
      <c r="AE56" s="96"/>
      <c r="AF56" s="224"/>
      <c r="AG56" s="96"/>
      <c r="AI56" s="429"/>
      <c r="AM56" s="152"/>
      <c r="AN56" s="152"/>
      <c r="AO56" s="340"/>
    </row>
    <row r="57" customFormat="false" ht="11.1" hidden="false" customHeight="true" outlineLevel="0" collapsed="false">
      <c r="G57" s="265"/>
      <c r="AM57" s="152"/>
      <c r="AN57" s="152"/>
      <c r="AO57" s="340"/>
    </row>
  </sheetData>
  <mergeCells count="2">
    <mergeCell ref="K2:AD2"/>
    <mergeCell ref="M5:T5"/>
  </mergeCells>
  <printOptions headings="true" gridLines="true" gridLinesSet="true" horizontalCentered="true" verticalCentered="true"/>
  <pageMargins left="0.25" right="0.25" top="0.25" bottom="0" header="0.511811023622047" footer="0.511811023622047"/>
  <pageSetup paperSize="3" scale="62"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G12" activePane="bottomRight" state="frozen"/>
      <selection pane="topLeft" activeCell="A1" activeCellId="0" sqref="A1"/>
      <selection pane="topRight" activeCell="G1" activeCellId="0" sqref="G1"/>
      <selection pane="bottomLeft" activeCell="A12" activeCellId="0" sqref="A12"/>
      <selection pane="bottomRight" activeCell="AF34" activeCellId="0" sqref="AF34"/>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264"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9" min="17" style="10" width="4.32"/>
    <col collapsed="false" customWidth="true" hidden="false" outlineLevel="0" max="20" min="20" style="150" width="5.49"/>
    <col collapsed="false" customWidth="true" hidden="false" outlineLevel="0" max="21" min="21" style="10" width="5.49"/>
    <col collapsed="false" customWidth="true" hidden="false" outlineLevel="0" max="22" min="22" style="96" width="5.49"/>
    <col collapsed="false" customWidth="true" hidden="false" outlineLevel="0" max="23" min="23" style="10" width="6.32"/>
    <col collapsed="false" customWidth="true" hidden="false" outlineLevel="0" max="24" min="24" style="10" width="5.49"/>
    <col collapsed="false" customWidth="true" hidden="false" outlineLevel="0" max="26" min="25" style="96" width="6.32"/>
    <col collapsed="false" customWidth="true" hidden="false" outlineLevel="0" max="29" min="27" style="10" width="5.49"/>
    <col collapsed="false" customWidth="true" hidden="false" outlineLevel="0" max="30" min="30" style="10" width="6.32"/>
    <col collapsed="false" customWidth="true" hidden="false" outlineLevel="0" max="31" min="31" style="10" width="5.49"/>
    <col collapsed="false" customWidth="true" hidden="false" outlineLevel="0" max="32" min="32" style="152" width="6.32"/>
    <col collapsed="false" customWidth="true" hidden="false" outlineLevel="0" max="33" min="33" style="150" width="6.32"/>
    <col collapsed="false" customWidth="true" hidden="false" outlineLevel="0" max="34" min="34" style="153" width="6.99"/>
    <col collapsed="false" customWidth="true" hidden="false" outlineLevel="0" max="35" min="35" style="154" width="6.99"/>
    <col collapsed="false" customWidth="true" hidden="false" outlineLevel="0" max="36" min="36" style="155" width="5.32"/>
    <col collapsed="false" customWidth="true" hidden="false" outlineLevel="0" max="38" min="37" style="10" width="3.82"/>
    <col collapsed="false" customWidth="true" hidden="false" outlineLevel="0" max="40" min="39" style="432" width="5.49"/>
    <col collapsed="false" customWidth="true" hidden="false" outlineLevel="0" max="41" min="41" style="194" width="6.32"/>
    <col collapsed="false" customWidth="true" hidden="false" outlineLevel="0" max="43" min="42" style="152" width="6.32"/>
    <col collapsed="false" customWidth="true" hidden="false" outlineLevel="0" max="44" min="44" style="152" width="5.82"/>
    <col collapsed="false" customWidth="true" hidden="false" outlineLevel="0" max="45" min="45" style="340"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N1" s="158"/>
      <c r="O1" s="158"/>
      <c r="Q1" s="150"/>
      <c r="R1" s="150"/>
      <c r="S1" s="150"/>
      <c r="U1" s="158"/>
      <c r="V1" s="158"/>
      <c r="W1" s="96"/>
      <c r="X1" s="158"/>
      <c r="Y1" s="158"/>
      <c r="Z1" s="158"/>
      <c r="AA1" s="158"/>
      <c r="AB1" s="158"/>
      <c r="AC1" s="158"/>
      <c r="AD1" s="96"/>
      <c r="AE1" s="158"/>
      <c r="AF1" s="160"/>
      <c r="AG1" s="158"/>
      <c r="AH1" s="158"/>
      <c r="AI1" s="150"/>
      <c r="AJ1" s="153"/>
      <c r="AK1" s="154"/>
      <c r="AL1" s="155"/>
      <c r="AM1" s="160"/>
      <c r="AN1" s="160"/>
      <c r="AP1" s="432"/>
      <c r="AQ1" s="190"/>
    </row>
    <row r="2" customFormat="false" ht="14.1" hidden="false" customHeight="true" outlineLevel="0" collapsed="false">
      <c r="A2" s="160" t="s">
        <v>1</v>
      </c>
      <c r="B2" s="158"/>
      <c r="D2" s="161" t="n">
        <v>1.9835</v>
      </c>
      <c r="F2" s="158"/>
      <c r="G2" s="158"/>
      <c r="I2" s="158"/>
      <c r="J2" s="158"/>
      <c r="K2" s="162" t="s">
        <v>121</v>
      </c>
      <c r="L2" s="162"/>
      <c r="M2" s="162"/>
      <c r="N2" s="162"/>
      <c r="O2" s="162"/>
      <c r="P2" s="162"/>
      <c r="Q2" s="162"/>
      <c r="R2" s="162"/>
      <c r="S2" s="162"/>
      <c r="T2" s="162"/>
      <c r="U2" s="162"/>
      <c r="V2" s="162"/>
      <c r="W2" s="162"/>
      <c r="X2" s="201" t="s">
        <v>96</v>
      </c>
      <c r="Y2" s="201"/>
      <c r="Z2" s="201"/>
      <c r="AA2" s="158"/>
      <c r="AB2" s="158"/>
      <c r="AC2" s="158"/>
      <c r="AD2" s="96"/>
      <c r="AE2" s="158"/>
      <c r="AF2" s="160"/>
      <c r="AG2" s="158"/>
      <c r="AH2" s="158"/>
      <c r="AI2" s="150"/>
      <c r="AJ2" s="153"/>
      <c r="AK2" s="154"/>
      <c r="AL2" s="155"/>
      <c r="AM2" s="160"/>
      <c r="AN2" s="160"/>
      <c r="AP2" s="432"/>
      <c r="AQ2" s="190"/>
    </row>
    <row r="3" customFormat="false" ht="14.1" hidden="false" customHeight="true" outlineLevel="0" collapsed="false">
      <c r="A3" s="163"/>
      <c r="B3" s="163"/>
      <c r="C3" s="164"/>
      <c r="D3" s="165"/>
      <c r="E3" s="164"/>
      <c r="F3" s="163"/>
      <c r="G3" s="163"/>
      <c r="H3" s="472"/>
      <c r="I3" s="163"/>
      <c r="J3" s="163"/>
      <c r="K3" s="163"/>
      <c r="L3" s="163"/>
      <c r="M3" s="163"/>
      <c r="N3" s="163"/>
      <c r="O3" s="164"/>
      <c r="P3" s="166"/>
      <c r="Q3" s="166"/>
      <c r="R3" s="166"/>
      <c r="S3" s="166"/>
      <c r="T3" s="166"/>
      <c r="U3" s="163"/>
      <c r="V3" s="163"/>
      <c r="W3" s="164"/>
      <c r="X3" s="163"/>
      <c r="Y3" s="163"/>
      <c r="Z3" s="163"/>
      <c r="AA3" s="163"/>
      <c r="AB3" s="163"/>
      <c r="AC3" s="163"/>
      <c r="AD3" s="164"/>
      <c r="AE3" s="163"/>
      <c r="AF3" s="168"/>
      <c r="AG3" s="163"/>
      <c r="AH3" s="163"/>
      <c r="AI3" s="166"/>
      <c r="AJ3" s="169"/>
      <c r="AK3" s="170"/>
      <c r="AL3" s="171"/>
      <c r="AM3" s="168"/>
      <c r="AN3" s="168"/>
      <c r="AO3" s="473"/>
      <c r="AP3" s="474"/>
      <c r="AQ3" s="190"/>
    </row>
    <row r="4" s="10" customFormat="true" ht="14.1" hidden="false" customHeight="true" outlineLevel="0" collapsed="false">
      <c r="A4" s="158"/>
      <c r="B4" s="174"/>
      <c r="C4" s="175"/>
      <c r="D4" s="270" t="s">
        <v>3</v>
      </c>
      <c r="E4" s="175"/>
      <c r="F4" s="177"/>
      <c r="G4" s="158"/>
      <c r="H4" s="264"/>
      <c r="I4" s="158"/>
      <c r="J4" s="158"/>
      <c r="K4" s="158"/>
      <c r="L4" s="158"/>
      <c r="M4" s="158"/>
      <c r="N4" s="158"/>
      <c r="O4" s="158"/>
      <c r="P4" s="150"/>
      <c r="Q4" s="150"/>
      <c r="R4" s="150"/>
      <c r="S4" s="150"/>
      <c r="T4" s="150"/>
      <c r="U4" s="178" t="s">
        <v>4</v>
      </c>
      <c r="V4" s="158"/>
      <c r="W4" s="96"/>
      <c r="X4" s="158"/>
      <c r="Y4" s="158"/>
      <c r="Z4" s="158"/>
      <c r="AA4" s="158"/>
      <c r="AB4" s="158"/>
      <c r="AC4" s="158"/>
      <c r="AD4" s="96"/>
      <c r="AE4" s="158"/>
      <c r="AF4" s="160"/>
      <c r="AG4" s="158"/>
      <c r="AH4" s="158"/>
      <c r="AI4" s="150"/>
      <c r="AJ4" s="179"/>
      <c r="AK4" s="180" t="s">
        <v>5</v>
      </c>
      <c r="AL4" s="181"/>
      <c r="AM4" s="160"/>
      <c r="AN4" s="160"/>
      <c r="AO4" s="475" t="s">
        <v>6</v>
      </c>
      <c r="AP4" s="476"/>
      <c r="AQ4" s="477"/>
      <c r="AR4" s="315"/>
      <c r="AS4" s="415"/>
    </row>
    <row r="5" s="152" customFormat="true" ht="12.95" hidden="false" customHeight="true" outlineLevel="0" collapsed="false">
      <c r="A5" s="184" t="s">
        <v>7</v>
      </c>
      <c r="B5" s="185" t="s">
        <v>8</v>
      </c>
      <c r="C5" s="186" t="s">
        <v>8</v>
      </c>
      <c r="D5" s="184" t="s">
        <v>9</v>
      </c>
      <c r="E5" s="186" t="s">
        <v>10</v>
      </c>
      <c r="F5" s="187" t="s">
        <v>11</v>
      </c>
      <c r="G5" s="343" t="s">
        <v>12</v>
      </c>
      <c r="H5" s="417" t="s">
        <v>13</v>
      </c>
      <c r="I5" s="343" t="s">
        <v>14</v>
      </c>
      <c r="J5" s="343" t="s">
        <v>15</v>
      </c>
      <c r="K5" s="343" t="s">
        <v>16</v>
      </c>
      <c r="L5" s="184" t="s">
        <v>15</v>
      </c>
      <c r="M5" s="189" t="s">
        <v>17</v>
      </c>
      <c r="N5" s="189"/>
      <c r="O5" s="189"/>
      <c r="P5" s="189"/>
      <c r="Q5" s="189"/>
      <c r="R5" s="189"/>
      <c r="S5" s="189"/>
      <c r="T5" s="189"/>
      <c r="U5" s="38" t="s">
        <v>18</v>
      </c>
      <c r="V5" s="38" t="s">
        <v>19</v>
      </c>
      <c r="W5" s="38" t="s">
        <v>16</v>
      </c>
      <c r="X5" s="46" t="s">
        <v>20</v>
      </c>
      <c r="Y5" s="46" t="s">
        <v>21</v>
      </c>
      <c r="Z5" s="186" t="s">
        <v>20</v>
      </c>
      <c r="AA5" s="38" t="s">
        <v>22</v>
      </c>
      <c r="AB5" s="191" t="s">
        <v>98</v>
      </c>
      <c r="AC5" s="192"/>
      <c r="AD5" s="38" t="s">
        <v>24</v>
      </c>
      <c r="AE5" s="186" t="s">
        <v>112</v>
      </c>
      <c r="AF5" s="186" t="s">
        <v>26</v>
      </c>
      <c r="AG5" s="184" t="s">
        <v>14</v>
      </c>
      <c r="AH5" s="184" t="s">
        <v>15</v>
      </c>
      <c r="AI5" s="184" t="s">
        <v>16</v>
      </c>
      <c r="AJ5" s="459" t="s">
        <v>27</v>
      </c>
      <c r="AK5" s="194" t="s">
        <v>28</v>
      </c>
      <c r="AL5" s="195" t="s">
        <v>29</v>
      </c>
      <c r="AM5" s="53" t="s">
        <v>90</v>
      </c>
      <c r="AN5" s="53" t="s">
        <v>20</v>
      </c>
      <c r="AO5" s="53" t="s">
        <v>91</v>
      </c>
      <c r="AP5" s="43" t="s">
        <v>91</v>
      </c>
      <c r="AQ5" s="53" t="s">
        <v>31</v>
      </c>
      <c r="AR5" s="56" t="s">
        <v>32</v>
      </c>
      <c r="AS5" s="190" t="s">
        <v>33</v>
      </c>
    </row>
    <row r="6" s="152" customFormat="true" ht="12.95" hidden="false" customHeight="true" outlineLevel="0" collapsed="false">
      <c r="A6" s="196" t="s">
        <v>122</v>
      </c>
      <c r="B6" s="185" t="s">
        <v>35</v>
      </c>
      <c r="C6" s="186" t="s">
        <v>9</v>
      </c>
      <c r="D6" s="184" t="s">
        <v>36</v>
      </c>
      <c r="E6" s="186" t="s">
        <v>37</v>
      </c>
      <c r="F6" s="187" t="s">
        <v>38</v>
      </c>
      <c r="G6" s="343" t="s">
        <v>39</v>
      </c>
      <c r="H6" s="417" t="s">
        <v>40</v>
      </c>
      <c r="I6" s="343" t="s">
        <v>41</v>
      </c>
      <c r="J6" s="343" t="s">
        <v>41</v>
      </c>
      <c r="K6" s="343" t="s">
        <v>41</v>
      </c>
      <c r="L6" s="184" t="s">
        <v>42</v>
      </c>
      <c r="M6" s="197" t="s">
        <v>43</v>
      </c>
      <c r="N6" s="184" t="s">
        <v>119</v>
      </c>
      <c r="O6" s="184" t="s">
        <v>45</v>
      </c>
      <c r="P6" s="188" t="s">
        <v>46</v>
      </c>
      <c r="Q6" s="184" t="s">
        <v>47</v>
      </c>
      <c r="R6" s="184" t="s">
        <v>48</v>
      </c>
      <c r="S6" s="184" t="s">
        <v>49</v>
      </c>
      <c r="T6" s="198" t="s">
        <v>50</v>
      </c>
      <c r="U6" s="38" t="s">
        <v>51</v>
      </c>
      <c r="V6" s="38" t="s">
        <v>52</v>
      </c>
      <c r="W6" s="38" t="s">
        <v>20</v>
      </c>
      <c r="X6" s="46" t="s">
        <v>62</v>
      </c>
      <c r="Y6" s="186" t="s">
        <v>54</v>
      </c>
      <c r="Z6" s="186" t="s">
        <v>55</v>
      </c>
      <c r="AA6" s="38" t="s">
        <v>56</v>
      </c>
      <c r="AB6" s="197"/>
      <c r="AC6" s="199"/>
      <c r="AD6" s="38" t="s">
        <v>58</v>
      </c>
      <c r="AE6" s="186" t="s">
        <v>59</v>
      </c>
      <c r="AF6" s="186"/>
      <c r="AG6" s="184" t="s">
        <v>60</v>
      </c>
      <c r="AH6" s="184" t="s">
        <v>60</v>
      </c>
      <c r="AI6" s="184" t="s">
        <v>60</v>
      </c>
      <c r="AJ6" s="460"/>
      <c r="AK6" s="194" t="s">
        <v>61</v>
      </c>
      <c r="AL6" s="195" t="s">
        <v>61</v>
      </c>
      <c r="AM6" s="53" t="s">
        <v>62</v>
      </c>
      <c r="AN6" s="53" t="s">
        <v>63</v>
      </c>
      <c r="AO6" s="53" t="s">
        <v>64</v>
      </c>
      <c r="AP6" s="43" t="s">
        <v>64</v>
      </c>
      <c r="AQ6" s="53" t="s">
        <v>65</v>
      </c>
      <c r="AR6" s="56" t="s">
        <v>66</v>
      </c>
      <c r="AS6" s="190" t="s">
        <v>67</v>
      </c>
    </row>
    <row r="7" s="152" customFormat="true" ht="12.95" hidden="false" customHeight="true" outlineLevel="0" collapsed="false">
      <c r="A7" s="184"/>
      <c r="B7" s="185"/>
      <c r="C7" s="186"/>
      <c r="D7" s="184"/>
      <c r="E7" s="186" t="s">
        <v>68</v>
      </c>
      <c r="F7" s="187"/>
      <c r="G7" s="184"/>
      <c r="H7" s="190"/>
      <c r="I7" s="184"/>
      <c r="J7" s="184"/>
      <c r="K7" s="184"/>
      <c r="L7" s="184"/>
      <c r="M7" s="197"/>
      <c r="N7" s="184"/>
      <c r="O7" s="184" t="s">
        <v>70</v>
      </c>
      <c r="P7" s="188"/>
      <c r="Q7" s="184"/>
      <c r="R7" s="184"/>
      <c r="S7" s="184" t="s">
        <v>45</v>
      </c>
      <c r="T7" s="198" t="s">
        <v>26</v>
      </c>
      <c r="U7" s="38"/>
      <c r="V7" s="38"/>
      <c r="W7" s="38"/>
      <c r="X7" s="46"/>
      <c r="Y7" s="46"/>
      <c r="Z7" s="46"/>
      <c r="AA7" s="38"/>
      <c r="AB7" s="206"/>
      <c r="AC7" s="207"/>
      <c r="AD7" s="38"/>
      <c r="AE7" s="46"/>
      <c r="AF7" s="46"/>
      <c r="AG7" s="38"/>
      <c r="AH7" s="38"/>
      <c r="AI7" s="38"/>
      <c r="AJ7" s="460"/>
      <c r="AK7" s="194"/>
      <c r="AL7" s="195"/>
      <c r="AM7" s="53" t="s">
        <v>68</v>
      </c>
      <c r="AN7" s="53" t="s">
        <v>38</v>
      </c>
      <c r="AO7" s="53" t="s">
        <v>109</v>
      </c>
      <c r="AP7" s="43" t="s">
        <v>95</v>
      </c>
      <c r="AQ7" s="53" t="s">
        <v>74</v>
      </c>
      <c r="AR7" s="56" t="s">
        <v>75</v>
      </c>
      <c r="AS7" s="190" t="s">
        <v>57</v>
      </c>
    </row>
    <row r="8" s="152" customFormat="true" ht="12.95" hidden="false" customHeight="true" outlineLevel="0" collapsed="false">
      <c r="A8" s="201"/>
      <c r="B8" s="202"/>
      <c r="C8" s="203"/>
      <c r="D8" s="201"/>
      <c r="E8" s="203"/>
      <c r="F8" s="204"/>
      <c r="G8" s="201"/>
      <c r="H8" s="211"/>
      <c r="I8" s="201"/>
      <c r="J8" s="201"/>
      <c r="K8" s="201"/>
      <c r="L8" s="201"/>
      <c r="M8" s="206"/>
      <c r="N8" s="205" t="n">
        <v>1.03</v>
      </c>
      <c r="O8" s="205" t="n">
        <v>1.05</v>
      </c>
      <c r="P8" s="205" t="n">
        <v>1.02</v>
      </c>
      <c r="Q8" s="277" t="n">
        <v>1.02</v>
      </c>
      <c r="R8" s="205" t="n">
        <v>1.04</v>
      </c>
      <c r="S8" s="184" t="s">
        <v>55</v>
      </c>
      <c r="T8" s="348"/>
      <c r="U8" s="201"/>
      <c r="V8" s="201"/>
      <c r="W8" s="201"/>
      <c r="X8" s="203"/>
      <c r="Y8" s="203"/>
      <c r="Z8" s="203"/>
      <c r="AA8" s="201"/>
      <c r="AB8" s="206"/>
      <c r="AC8" s="207"/>
      <c r="AD8" s="201"/>
      <c r="AE8" s="203"/>
      <c r="AF8" s="203"/>
      <c r="AG8" s="201"/>
      <c r="AH8" s="201"/>
      <c r="AI8" s="201"/>
      <c r="AJ8" s="461"/>
      <c r="AK8" s="155"/>
      <c r="AL8" s="209"/>
      <c r="AM8" s="8"/>
      <c r="AN8" s="8"/>
      <c r="AO8" s="8"/>
      <c r="AP8" s="43" t="s">
        <v>71</v>
      </c>
      <c r="AQ8" s="7"/>
      <c r="AR8" s="10"/>
      <c r="AS8" s="77"/>
    </row>
    <row r="9" customFormat="false" ht="12.95" hidden="false" customHeight="true" outlineLevel="0" collapsed="false">
      <c r="A9" s="160" t="s">
        <v>77</v>
      </c>
      <c r="B9" s="278"/>
      <c r="D9" s="96"/>
      <c r="F9" s="279" t="n">
        <f aca="false">JUL!F47</f>
        <v>25239.7277539703</v>
      </c>
      <c r="G9" s="96" t="n">
        <f aca="false">JUL!G47</f>
        <v>155415</v>
      </c>
      <c r="H9" s="96" t="n">
        <f aca="false">JUL!H47</f>
        <v>8807.31</v>
      </c>
      <c r="I9" s="96" t="n">
        <f aca="false">JUL!I47</f>
        <v>164222.31</v>
      </c>
      <c r="J9" s="96" t="n">
        <f aca="false">JUL!J47</f>
        <v>25848.0750264684</v>
      </c>
      <c r="K9" s="96" t="n">
        <f aca="false">JUL!K47</f>
        <v>190070.385026468</v>
      </c>
      <c r="L9" s="96" t="n">
        <f aca="false">JUL!L47</f>
        <v>24400.6177539703</v>
      </c>
      <c r="M9" s="478" t="n">
        <f aca="false">JUL!M47</f>
        <v>30881.8</v>
      </c>
      <c r="N9" s="96" t="n">
        <f aca="false">JUL!N47</f>
        <v>229.945234</v>
      </c>
      <c r="O9" s="96" t="n">
        <f aca="false">JUL!O47</f>
        <v>9364.4985</v>
      </c>
      <c r="P9" s="150" t="n">
        <f aca="false">JUL!P47</f>
        <v>7.32</v>
      </c>
      <c r="Q9" s="150"/>
      <c r="R9" s="150"/>
      <c r="S9" s="150"/>
      <c r="T9" s="281"/>
      <c r="U9" s="96" t="n">
        <f aca="false">JUL!U47</f>
        <v>15209.3</v>
      </c>
      <c r="V9" s="96" t="n">
        <f aca="false">JUL!V47</f>
        <v>6878.2</v>
      </c>
      <c r="W9" s="96" t="n">
        <f aca="false">JUL!W47</f>
        <v>41229.728866</v>
      </c>
      <c r="X9" s="96" t="n">
        <f aca="false">JUL!X47</f>
        <v>0</v>
      </c>
      <c r="Y9" s="96" t="n">
        <f aca="false">JUL!Y42</f>
        <v>953.80328618687</v>
      </c>
      <c r="Z9" s="96" t="n">
        <f aca="false">JUL!Z42</f>
        <v>5552.30652886312</v>
      </c>
      <c r="AA9" s="96" t="n">
        <f aca="false">JUL!AA47</f>
        <v>17772.1</v>
      </c>
      <c r="AB9" s="478" t="n">
        <f aca="false">JUL!AB47</f>
        <v>207.4</v>
      </c>
      <c r="AC9" s="479" t="n">
        <f aca="false">JUL!AC47</f>
        <v>158.6</v>
      </c>
      <c r="AD9" s="96"/>
      <c r="AE9" s="96"/>
      <c r="AF9" s="96"/>
      <c r="AG9" s="96" t="n">
        <f aca="false">JUL!AG47</f>
        <v>163383.2</v>
      </c>
      <c r="AH9" s="96" t="n">
        <f aca="false">JUL!AH47</f>
        <v>1447.45727249811</v>
      </c>
      <c r="AI9" s="96" t="n">
        <f aca="false">JUL!AI47</f>
        <v>164830.657272498</v>
      </c>
      <c r="AJ9" s="208"/>
      <c r="AK9" s="154"/>
      <c r="AL9" s="282"/>
      <c r="AM9" s="155"/>
      <c r="AN9" s="155"/>
      <c r="AO9" s="151" t="n">
        <f aca="false">JUL!AO44</f>
        <v>234.26</v>
      </c>
      <c r="AP9" s="150" t="n">
        <f aca="false">JUL!AP48</f>
        <v>206.275529822683</v>
      </c>
      <c r="AQ9" s="133" t="n">
        <f aca="false">JUL!AQ47</f>
        <v>338.45</v>
      </c>
      <c r="AR9" s="133" t="n">
        <f aca="false">JUL!AR47</f>
        <v>771.62</v>
      </c>
      <c r="AS9" s="218" t="n">
        <f aca="false">JUL!AS47</f>
        <v>41.8</v>
      </c>
    </row>
    <row r="10" s="228" customFormat="true" ht="12.95" hidden="false" customHeight="true" outlineLevel="0" collapsed="false">
      <c r="A10" s="224" t="s">
        <v>78</v>
      </c>
      <c r="B10" s="283" t="n">
        <f aca="false">JUL!B42</f>
        <v>6916.46</v>
      </c>
      <c r="C10" s="96" t="n">
        <f aca="false">JUL!C42</f>
        <v>348482</v>
      </c>
      <c r="D10" s="96" t="n">
        <f aca="false">JUL!D51</f>
        <v>60528</v>
      </c>
      <c r="E10" s="96" t="n">
        <f aca="false">JUL!E51</f>
        <v>196482</v>
      </c>
      <c r="F10" s="279" t="n">
        <f aca="false">JUL!F50</f>
        <v>30553.566927149</v>
      </c>
      <c r="G10" s="96" t="n">
        <f aca="false">JUL!G50</f>
        <v>171679</v>
      </c>
      <c r="H10" s="154" t="n">
        <f aca="false">JUL!H50</f>
        <v>10953.45</v>
      </c>
      <c r="I10" s="96" t="n">
        <f aca="false">JUL!I50</f>
        <v>182632.45</v>
      </c>
      <c r="J10" s="96" t="n">
        <f aca="false">JUL!J50</f>
        <v>32846.2007663222</v>
      </c>
      <c r="K10" s="96" t="n">
        <f aca="false">JUL!K50</f>
        <v>215478.650766322</v>
      </c>
      <c r="L10" s="96" t="n">
        <f aca="false">JUL!L50</f>
        <v>29376.876927149</v>
      </c>
      <c r="M10" s="478" t="n">
        <f aca="false">JUL!M50</f>
        <v>31794.6</v>
      </c>
      <c r="N10" s="96" t="n">
        <f aca="false">JUL!N50</f>
        <v>229.945234</v>
      </c>
      <c r="O10" s="96" t="n">
        <f aca="false">JUL!O50</f>
        <v>9364.4985</v>
      </c>
      <c r="P10" s="150"/>
      <c r="Q10" s="96" t="n">
        <f aca="false">JUL!Q50</f>
        <v>504.4104</v>
      </c>
      <c r="R10" s="96" t="n">
        <f aca="false">JUL!R50</f>
        <v>928.873</v>
      </c>
      <c r="S10" s="286" t="n">
        <f aca="false">JUL!S50</f>
        <v>230.23</v>
      </c>
      <c r="T10" s="287" t="n">
        <f aca="false">JUL!T50</f>
        <v>-94.5288</v>
      </c>
      <c r="U10" s="96" t="n">
        <f aca="false">JUL!U50</f>
        <v>21274.26</v>
      </c>
      <c r="V10" s="96" t="n">
        <f aca="false">JUL!V50</f>
        <v>6963</v>
      </c>
      <c r="W10" s="96" t="n">
        <f aca="false">JUL!W50</f>
        <v>47682.028866</v>
      </c>
      <c r="X10" s="96"/>
      <c r="Y10" s="96"/>
      <c r="Z10" s="96"/>
      <c r="AA10" s="96" t="n">
        <f aca="false">JUL!AA50</f>
        <v>0</v>
      </c>
      <c r="AB10" s="216"/>
      <c r="AC10" s="219"/>
      <c r="AD10" s="96" t="n">
        <f aca="false">JUL!AD50</f>
        <v>103610</v>
      </c>
      <c r="AE10" s="96" t="n">
        <f aca="false">JUL!AE50</f>
        <v>11856.2578774893</v>
      </c>
      <c r="AF10" s="96" t="n">
        <f aca="false">JUL!AF50</f>
        <v>94496</v>
      </c>
      <c r="AG10" s="96" t="n">
        <f aca="false">JUL!AG50</f>
        <v>181455.76</v>
      </c>
      <c r="AH10" s="96" t="n">
        <f aca="false">JUL!AH50</f>
        <v>3469.32383917318</v>
      </c>
      <c r="AI10" s="96" t="n">
        <f aca="false">JUL!AI50</f>
        <v>184925.083839173</v>
      </c>
      <c r="AJ10" s="221" t="n">
        <f aca="false">JUL!AJ50</f>
        <v>11.77</v>
      </c>
      <c r="AK10" s="154"/>
      <c r="AL10" s="282"/>
      <c r="AM10" s="154" t="n">
        <f aca="false">JUL!AM51</f>
        <v>13022.27255</v>
      </c>
      <c r="AN10" s="154" t="n">
        <f aca="false">JUL!AN50</f>
        <v>0</v>
      </c>
      <c r="AO10" s="155"/>
      <c r="AP10" s="150" t="n">
        <f aca="false">JUL!AP51</f>
        <v>206.275529822683</v>
      </c>
      <c r="AQ10" s="154" t="n">
        <f aca="false">JUL!AQ50</f>
        <v>0</v>
      </c>
      <c r="AR10" s="154" t="n">
        <f aca="false">JUL!AR50</f>
        <v>0</v>
      </c>
      <c r="AS10" s="151"/>
    </row>
    <row r="11" customFormat="false" ht="3" hidden="false" customHeight="true" outlineLevel="0" collapsed="false">
      <c r="A11" s="229"/>
      <c r="B11" s="288"/>
      <c r="C11" s="289"/>
      <c r="D11" s="229"/>
      <c r="E11" s="289"/>
      <c r="F11" s="290"/>
      <c r="G11" s="229"/>
      <c r="H11" s="480"/>
      <c r="I11" s="229"/>
      <c r="J11" s="229"/>
      <c r="K11" s="229"/>
      <c r="L11" s="229"/>
      <c r="M11" s="471"/>
      <c r="N11" s="229"/>
      <c r="O11" s="229"/>
      <c r="P11" s="293"/>
      <c r="Q11" s="293"/>
      <c r="R11" s="293"/>
      <c r="S11" s="293"/>
      <c r="T11" s="294"/>
      <c r="U11" s="229"/>
      <c r="V11" s="229"/>
      <c r="W11" s="229"/>
      <c r="X11" s="289"/>
      <c r="Y11" s="289"/>
      <c r="Z11" s="289"/>
      <c r="AA11" s="229"/>
      <c r="AB11" s="235"/>
      <c r="AC11" s="238"/>
      <c r="AD11" s="229"/>
      <c r="AE11" s="289"/>
      <c r="AF11" s="289"/>
      <c r="AG11" s="229"/>
      <c r="AH11" s="229"/>
      <c r="AI11" s="229"/>
      <c r="AJ11" s="295"/>
      <c r="AK11" s="296"/>
      <c r="AL11" s="297"/>
      <c r="AM11" s="298"/>
      <c r="AN11" s="298"/>
      <c r="AO11" s="298"/>
      <c r="AP11" s="481"/>
      <c r="AQ11" s="113"/>
      <c r="AR11" s="113"/>
      <c r="AS11" s="113"/>
    </row>
    <row r="12" customFormat="false" ht="12.95" hidden="false" customHeight="true" outlineLevel="0" collapsed="false">
      <c r="A12" s="155" t="n">
        <v>1</v>
      </c>
      <c r="B12" s="283" t="n">
        <v>6916.23</v>
      </c>
      <c r="C12" s="96" t="n">
        <v>347514</v>
      </c>
      <c r="D12" s="154" t="n">
        <f aca="false">C12-C10</f>
        <v>-968</v>
      </c>
      <c r="E12" s="96" t="n">
        <f aca="false">C12-152000</f>
        <v>195514</v>
      </c>
      <c r="F12" s="299" t="n">
        <f aca="false">D12/$D$2</f>
        <v>-488.026216284346</v>
      </c>
      <c r="G12" s="158" t="n">
        <v>215</v>
      </c>
      <c r="H12" s="150" t="n">
        <v>0.11</v>
      </c>
      <c r="I12" s="158" t="n">
        <f aca="false">G12+H12</f>
        <v>215.11</v>
      </c>
      <c r="J12" s="151" t="n">
        <f aca="false">IF(L12&gt;0,L12,0)</f>
        <v>0</v>
      </c>
      <c r="K12" s="158" t="n">
        <f aca="false">I12+J12</f>
        <v>215.11</v>
      </c>
      <c r="L12" s="158" t="n">
        <f aca="false">F12-(I12-AG12)</f>
        <v>-21.1362162843458</v>
      </c>
      <c r="M12" s="482" t="n">
        <v>236</v>
      </c>
      <c r="N12" s="215" t="n">
        <f aca="false">1.8299*1.03</f>
        <v>1.884797</v>
      </c>
      <c r="O12" s="158" t="n">
        <f aca="false">(33+36)*1.05</f>
        <v>72.45</v>
      </c>
      <c r="P12" s="215" t="n">
        <v>0</v>
      </c>
      <c r="Q12" s="215" t="n">
        <f aca="false">2.5*1.02</f>
        <v>2.55</v>
      </c>
      <c r="R12" s="215" t="n">
        <v>4.2</v>
      </c>
      <c r="S12" s="324" t="n">
        <v>5.39</v>
      </c>
      <c r="T12" s="381" t="n">
        <v>0</v>
      </c>
      <c r="U12" s="158" t="n">
        <v>85</v>
      </c>
      <c r="V12" s="158" t="n">
        <v>84</v>
      </c>
      <c r="W12" s="122" t="n">
        <f aca="false">M12-N12-O12-P12-Q12-R12-S12-T12+U12+V12</f>
        <v>318.525203</v>
      </c>
      <c r="X12" s="95"/>
      <c r="Y12" s="95" t="n">
        <f aca="false">Y9-(AP12/1.9835)+AQ12</f>
        <v>984.838115459438</v>
      </c>
      <c r="Z12" s="96" t="n">
        <f aca="false">Z9</f>
        <v>5552.30652886312</v>
      </c>
      <c r="AA12" s="158" t="n">
        <v>182</v>
      </c>
      <c r="AB12" s="244" t="n">
        <v>1.7</v>
      </c>
      <c r="AC12" s="245" t="n">
        <v>1.3</v>
      </c>
      <c r="AD12" s="483" t="n">
        <v>95</v>
      </c>
      <c r="AE12" s="484" t="n">
        <f aca="false">AE10-AD12</f>
        <v>11761.2578774893</v>
      </c>
      <c r="AF12" s="96"/>
      <c r="AG12" s="11" t="n">
        <f aca="false">N12+O12+P12+Q12+R12+S12+T12+W12+AA12+AD12</f>
        <v>682</v>
      </c>
      <c r="AH12" s="158" t="n">
        <f aca="false">IF(L12&lt;0,L12*-1,0)</f>
        <v>21.1362162843458</v>
      </c>
      <c r="AI12" s="158" t="n">
        <f aca="false">AG12+AH12</f>
        <v>703.136216284346</v>
      </c>
      <c r="AJ12" s="208" t="n">
        <v>0</v>
      </c>
      <c r="AK12" s="154" t="n">
        <v>92</v>
      </c>
      <c r="AL12" s="282" t="n">
        <v>56</v>
      </c>
      <c r="AM12" s="133" t="n">
        <f aca="false">AM10</f>
        <v>13022.27255</v>
      </c>
      <c r="AN12" s="155"/>
      <c r="AO12" s="218" t="n">
        <f aca="false">AO9-111.85</f>
        <v>122.41</v>
      </c>
      <c r="AP12" s="215" t="n">
        <f aca="false">45.4*(X9*1.9835+Y9*1.9835+Z9*1.9835+AO9*1.9835)/E12</f>
        <v>3.10451613786269</v>
      </c>
      <c r="AQ12" s="77" t="n">
        <v>32.6</v>
      </c>
      <c r="AR12" s="1"/>
      <c r="AS12" s="4"/>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row>
    <row r="13" customFormat="false" ht="12.95" hidden="false" customHeight="true" outlineLevel="0" collapsed="false">
      <c r="A13" s="155" t="n">
        <f aca="false">A12+1</f>
        <v>2</v>
      </c>
      <c r="B13" s="283" t="n">
        <v>6915.97</v>
      </c>
      <c r="C13" s="96" t="n">
        <v>346421</v>
      </c>
      <c r="D13" s="154" t="n">
        <f aca="false">C13-C12</f>
        <v>-1093</v>
      </c>
      <c r="E13" s="96" t="n">
        <f aca="false">C13-152000</f>
        <v>194421</v>
      </c>
      <c r="F13" s="299" t="n">
        <f aca="false">D13/$D$2</f>
        <v>-551.046130577262</v>
      </c>
      <c r="G13" s="158" t="n">
        <v>200</v>
      </c>
      <c r="H13" s="150" t="n">
        <v>0.15</v>
      </c>
      <c r="I13" s="158" t="n">
        <f aca="false">G13+H13</f>
        <v>200.15</v>
      </c>
      <c r="J13" s="151" t="n">
        <f aca="false">IF(L13&gt;0,L13,0)</f>
        <v>0</v>
      </c>
      <c r="K13" s="158" t="n">
        <f aca="false">I13+J13</f>
        <v>200.15</v>
      </c>
      <c r="L13" s="158" t="n">
        <f aca="false">F13-(I13-AG13)</f>
        <v>-38.1961305772624</v>
      </c>
      <c r="M13" s="482" t="n">
        <v>266</v>
      </c>
      <c r="N13" s="215" t="n">
        <f aca="false">1.8299*1.03</f>
        <v>1.884797</v>
      </c>
      <c r="O13" s="158" t="n">
        <f aca="false">(36+38)*1.05</f>
        <v>77.7</v>
      </c>
      <c r="P13" s="215" t="n">
        <v>0</v>
      </c>
      <c r="Q13" s="215" t="n">
        <f aca="false">2.5*1.02</f>
        <v>2.55</v>
      </c>
      <c r="R13" s="215" t="n">
        <v>4.2</v>
      </c>
      <c r="S13" s="324" t="n">
        <v>4.64</v>
      </c>
      <c r="T13" s="381" t="n">
        <v>0</v>
      </c>
      <c r="U13" s="158" t="n">
        <v>85</v>
      </c>
      <c r="V13" s="158" t="n">
        <v>84</v>
      </c>
      <c r="W13" s="122" t="n">
        <f aca="false">M13-N13-O13-P13-Q13-R13-S13-T13+U13+V13</f>
        <v>344.025203</v>
      </c>
      <c r="X13" s="95"/>
      <c r="Y13" s="95" t="n">
        <f aca="false">Y12-(AP13/1.9835)+AQ13-29.84</f>
        <v>986.043017086051</v>
      </c>
      <c r="Z13" s="96" t="n">
        <f aca="false">Z12</f>
        <v>5552.30652886312</v>
      </c>
      <c r="AA13" s="158" t="n">
        <v>185</v>
      </c>
      <c r="AB13" s="244" t="n">
        <v>1.7</v>
      </c>
      <c r="AC13" s="245" t="n">
        <v>1.3</v>
      </c>
      <c r="AD13" s="483" t="n">
        <v>93</v>
      </c>
      <c r="AE13" s="484" t="n">
        <f aca="false">AE12-AD13</f>
        <v>11668.2578774893</v>
      </c>
      <c r="AF13" s="96"/>
      <c r="AG13" s="11" t="n">
        <f aca="false">N13+O13+P13+Q13+R13+S13+T13+W13+AA13+AD13</f>
        <v>713</v>
      </c>
      <c r="AH13" s="158" t="n">
        <f aca="false">IF(L13&lt;0,L13*-1,0)</f>
        <v>38.1961305772624</v>
      </c>
      <c r="AI13" s="158" t="n">
        <f aca="false">AG13+AH13</f>
        <v>751.196130577262</v>
      </c>
      <c r="AJ13" s="208" t="n">
        <v>0</v>
      </c>
      <c r="AK13" s="154" t="n">
        <v>91</v>
      </c>
      <c r="AL13" s="282" t="n">
        <v>60</v>
      </c>
      <c r="AM13" s="133" t="n">
        <f aca="false">AM12</f>
        <v>13022.27255</v>
      </c>
      <c r="AN13" s="155"/>
      <c r="AO13" s="218" t="n">
        <f aca="false">AO12-122.41</f>
        <v>0</v>
      </c>
      <c r="AP13" s="215" t="n">
        <f aca="false">45.4*(X12*1.9835+Y12*1.9835+Z12*1.9835+AO12*1.9835)/E13</f>
        <v>3.08453762361281</v>
      </c>
      <c r="AQ13" s="77" t="n">
        <v>32.6</v>
      </c>
      <c r="AR13" s="1"/>
      <c r="AS13" s="4"/>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55" t="n">
        <f aca="false">A13+1</f>
        <v>3</v>
      </c>
      <c r="B14" s="283" t="n">
        <v>6915.74</v>
      </c>
      <c r="C14" s="96" t="n">
        <v>345461</v>
      </c>
      <c r="D14" s="154" t="n">
        <f aca="false">C14-C13</f>
        <v>-960</v>
      </c>
      <c r="E14" s="96" t="n">
        <f aca="false">C14-152000</f>
        <v>193461</v>
      </c>
      <c r="F14" s="299" t="n">
        <f aca="false">D14/$D$2</f>
        <v>-483.992941769599</v>
      </c>
      <c r="G14" s="158" t="n">
        <v>186</v>
      </c>
      <c r="H14" s="150" t="n">
        <v>0.24</v>
      </c>
      <c r="I14" s="158" t="n">
        <f aca="false">G14+H14</f>
        <v>186.24</v>
      </c>
      <c r="J14" s="151" t="n">
        <f aca="false">IF(L14&gt;0,L14,0)</f>
        <v>0</v>
      </c>
      <c r="K14" s="158" t="n">
        <f aca="false">I14+J14</f>
        <v>186.24</v>
      </c>
      <c r="L14" s="158" t="n">
        <f aca="false">F14-(I14-AG14)</f>
        <v>-24.2329417695992</v>
      </c>
      <c r="M14" s="482" t="n">
        <v>247</v>
      </c>
      <c r="N14" s="215" t="n">
        <f aca="false">1.8299*1.03</f>
        <v>1.884797</v>
      </c>
      <c r="O14" s="158" t="n">
        <f aca="false">(38+39)*1.05</f>
        <v>80.85</v>
      </c>
      <c r="P14" s="215" t="n">
        <v>0</v>
      </c>
      <c r="Q14" s="215" t="n">
        <f aca="false">2.5*1.02</f>
        <v>2.55</v>
      </c>
      <c r="R14" s="215" t="n">
        <v>4.2</v>
      </c>
      <c r="S14" s="324" t="n">
        <v>3.97</v>
      </c>
      <c r="T14" s="381" t="n">
        <v>0</v>
      </c>
      <c r="U14" s="158" t="n">
        <v>85</v>
      </c>
      <c r="V14" s="158" t="n">
        <v>84</v>
      </c>
      <c r="W14" s="122" t="n">
        <f aca="false">M14-N14-O14-P14-Q14-R14-S14-T14+U14+V14</f>
        <v>322.545203</v>
      </c>
      <c r="X14" s="95"/>
      <c r="Y14" s="95" t="n">
        <f aca="false">Y13-(W14-I14)-Q14-R14-AB14-(AP14/1.9835)+AQ14</f>
        <v>872.353442458766</v>
      </c>
      <c r="Z14" s="96" t="n">
        <f aca="false">Z13</f>
        <v>5552.30652886312</v>
      </c>
      <c r="AA14" s="158" t="n">
        <v>136</v>
      </c>
      <c r="AB14" s="244" t="n">
        <v>1.7</v>
      </c>
      <c r="AC14" s="245" t="n">
        <v>1.3</v>
      </c>
      <c r="AD14" s="483" t="n">
        <v>94</v>
      </c>
      <c r="AE14" s="484" t="n">
        <f aca="false">AE13-AD14</f>
        <v>11574.2578774893</v>
      </c>
      <c r="AF14" s="96"/>
      <c r="AG14" s="11" t="n">
        <f aca="false">N14+O14+P14+Q14+R14+S14+T14+W14+AA14+AD14</f>
        <v>646</v>
      </c>
      <c r="AH14" s="158" t="n">
        <f aca="false">IF(L14&lt;0,L14*-1,0)</f>
        <v>24.2329417695992</v>
      </c>
      <c r="AI14" s="158" t="n">
        <f aca="false">AG14+AH14</f>
        <v>670.232941769599</v>
      </c>
      <c r="AJ14" s="208" t="n">
        <v>0</v>
      </c>
      <c r="AK14" s="154" t="n">
        <v>91</v>
      </c>
      <c r="AL14" s="282" t="n">
        <v>55</v>
      </c>
      <c r="AM14" s="133" t="n">
        <f aca="false">AM13</f>
        <v>13022.27255</v>
      </c>
      <c r="AN14" s="155"/>
      <c r="AO14" s="218"/>
      <c r="AP14" s="215" t="n">
        <f aca="false">45.4*(X13*1.9835+Y13*1.9835+Z13*1.9835+AO13*1.9835)/E14</f>
        <v>3.04342612271886</v>
      </c>
      <c r="AQ14" s="77" t="n">
        <v>32.6</v>
      </c>
      <c r="AR14" s="1"/>
      <c r="AS14" s="4"/>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55" t="n">
        <f aca="false">A14+1</f>
        <v>4</v>
      </c>
      <c r="B15" s="283" t="n">
        <v>6915.49</v>
      </c>
      <c r="C15" s="96" t="n">
        <v>344418</v>
      </c>
      <c r="D15" s="154" t="n">
        <f aca="false">C15-C14</f>
        <v>-1043</v>
      </c>
      <c r="E15" s="96" t="n">
        <f aca="false">C15-152000</f>
        <v>192418</v>
      </c>
      <c r="F15" s="299" t="n">
        <f aca="false">D15/$D$2</f>
        <v>-525.838164860096</v>
      </c>
      <c r="G15" s="158" t="n">
        <v>183</v>
      </c>
      <c r="H15" s="150" t="n">
        <v>0.32</v>
      </c>
      <c r="I15" s="158" t="n">
        <f aca="false">G15+H15</f>
        <v>183.32</v>
      </c>
      <c r="J15" s="151" t="n">
        <f aca="false">IF(L15&gt;0,L15,0)</f>
        <v>0</v>
      </c>
      <c r="K15" s="158" t="n">
        <f aca="false">I15+J15</f>
        <v>183.32</v>
      </c>
      <c r="L15" s="158" t="n">
        <f aca="false">F15-(I15-AG15)</f>
        <v>-28.1581648600957</v>
      </c>
      <c r="M15" s="482" t="n">
        <v>260</v>
      </c>
      <c r="N15" s="215" t="n">
        <f aca="false">1.8299*1.03</f>
        <v>1.884797</v>
      </c>
      <c r="O15" s="158" t="n">
        <f aca="false">(36+38)*1.05</f>
        <v>77.7</v>
      </c>
      <c r="P15" s="215" t="n">
        <v>0</v>
      </c>
      <c r="Q15" s="215" t="n">
        <f aca="false">2.5*1.02</f>
        <v>2.55</v>
      </c>
      <c r="R15" s="215" t="n">
        <v>4.2</v>
      </c>
      <c r="S15" s="324" t="n">
        <v>3.75</v>
      </c>
      <c r="T15" s="381" t="n">
        <v>0</v>
      </c>
      <c r="U15" s="158" t="n">
        <v>85</v>
      </c>
      <c r="V15" s="158" t="n">
        <v>83</v>
      </c>
      <c r="W15" s="122" t="n">
        <f aca="false">M15-N15-O15-P15-Q15-R15-S15-T15+U15+V15</f>
        <v>337.915203</v>
      </c>
      <c r="X15" s="95"/>
      <c r="Y15" s="95" t="n">
        <f aca="false">Y14-(W15-I15)-Q15-R15-AB15-(AP15/1.9835)+AQ15</f>
        <v>740.392375232457</v>
      </c>
      <c r="Z15" s="96" t="n">
        <f aca="false">Z14</f>
        <v>5552.30652886312</v>
      </c>
      <c r="AA15" s="158" t="n">
        <v>159</v>
      </c>
      <c r="AB15" s="244" t="n">
        <v>1.7</v>
      </c>
      <c r="AC15" s="245" t="n">
        <v>1.3</v>
      </c>
      <c r="AD15" s="483" t="n">
        <v>94</v>
      </c>
      <c r="AE15" s="484" t="n">
        <f aca="false">AE14-AD15</f>
        <v>11480.2578774893</v>
      </c>
      <c r="AF15" s="96"/>
      <c r="AG15" s="11" t="n">
        <f aca="false">N15+O15+P15+Q15+R15+S15+T15+W15+AA15+AD15</f>
        <v>681</v>
      </c>
      <c r="AH15" s="158" t="n">
        <f aca="false">IF(L15&lt;0,L15*-1,0)</f>
        <v>28.1581648600957</v>
      </c>
      <c r="AI15" s="158" t="n">
        <f aca="false">AG15+AH15</f>
        <v>709.158164860096</v>
      </c>
      <c r="AJ15" s="208" t="n">
        <v>0</v>
      </c>
      <c r="AK15" s="154" t="n">
        <v>87</v>
      </c>
      <c r="AL15" s="282" t="n">
        <v>54</v>
      </c>
      <c r="AM15" s="133" t="n">
        <f aca="false">AM14</f>
        <v>13022.27255</v>
      </c>
      <c r="AN15" s="155"/>
      <c r="AO15" s="133"/>
      <c r="AP15" s="215" t="n">
        <f aca="false">45.4*(X14*1.9835+Y14*1.9835+Z14*1.9835+AO14*1.9835)/E15</f>
        <v>3.00671669288481</v>
      </c>
      <c r="AQ15" s="77" t="n">
        <v>32.6</v>
      </c>
      <c r="AR15" s="1"/>
      <c r="AS15" s="4"/>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55" t="n">
        <f aca="false">A15+1</f>
        <v>5</v>
      </c>
      <c r="B16" s="283" t="n">
        <v>6915.24</v>
      </c>
      <c r="C16" s="96" t="n">
        <v>343374</v>
      </c>
      <c r="D16" s="154" t="n">
        <f aca="false">C16-C15</f>
        <v>-1044</v>
      </c>
      <c r="E16" s="96" t="n">
        <f aca="false">C16-152000</f>
        <v>191374</v>
      </c>
      <c r="F16" s="299" t="n">
        <f aca="false">D16/$D$2</f>
        <v>-526.342324174439</v>
      </c>
      <c r="G16" s="158" t="n">
        <v>184</v>
      </c>
      <c r="H16" s="150" t="n">
        <v>0.44</v>
      </c>
      <c r="I16" s="158" t="n">
        <f aca="false">G16+H16</f>
        <v>184.44</v>
      </c>
      <c r="J16" s="151" t="n">
        <f aca="false">IF(L16&gt;0,L16,0)</f>
        <v>0</v>
      </c>
      <c r="K16" s="158" t="n">
        <f aca="false">I16+J16</f>
        <v>184.44</v>
      </c>
      <c r="L16" s="158" t="n">
        <f aca="false">F16-(I16-AG16)</f>
        <v>-1.78232417443917</v>
      </c>
      <c r="M16" s="482" t="n">
        <v>272</v>
      </c>
      <c r="N16" s="215" t="n">
        <f aca="false">1.8299*1.03</f>
        <v>1.884797</v>
      </c>
      <c r="O16" s="158" t="n">
        <f aca="false">(40+42)*1.05</f>
        <v>86.1</v>
      </c>
      <c r="P16" s="215" t="n">
        <v>0</v>
      </c>
      <c r="Q16" s="215" t="n">
        <f aca="false">2.5*1.02</f>
        <v>2.55</v>
      </c>
      <c r="R16" s="215" t="n">
        <v>4.2</v>
      </c>
      <c r="S16" s="324" t="n">
        <v>4.05</v>
      </c>
      <c r="T16" s="381" t="n">
        <v>0</v>
      </c>
      <c r="U16" s="158" t="n">
        <v>85</v>
      </c>
      <c r="V16" s="158" t="n">
        <v>82</v>
      </c>
      <c r="W16" s="122" t="n">
        <f aca="false">M16-N16-O16-P16-Q16-R16-S16-T16+U16+V16</f>
        <v>340.215203</v>
      </c>
      <c r="X16" s="95"/>
      <c r="Y16" s="95" t="n">
        <f aca="false">Y15-(W16-I16)-Q16-R16-AB16-(AP16/1.9835)+AQ16</f>
        <v>607.274343895034</v>
      </c>
      <c r="Z16" s="96" t="n">
        <f aca="false">Z15</f>
        <v>5552.30652886312</v>
      </c>
      <c r="AA16" s="158" t="n">
        <v>177</v>
      </c>
      <c r="AB16" s="244" t="n">
        <v>1.7</v>
      </c>
      <c r="AC16" s="245" t="n">
        <v>1.3</v>
      </c>
      <c r="AD16" s="483" t="n">
        <v>93</v>
      </c>
      <c r="AE16" s="484" t="n">
        <f aca="false">AE15-AD16</f>
        <v>11387.2578774893</v>
      </c>
      <c r="AF16" s="96"/>
      <c r="AG16" s="11" t="n">
        <f aca="false">N16+O16+P16+Q16+R16+S16+T16+W16+AA16+AD16</f>
        <v>709</v>
      </c>
      <c r="AH16" s="158" t="n">
        <f aca="false">IF(L16&lt;0,L16*-1,0)</f>
        <v>1.78232417443917</v>
      </c>
      <c r="AI16" s="158" t="n">
        <f aca="false">AG16+AH16</f>
        <v>710.782324174439</v>
      </c>
      <c r="AJ16" s="208" t="n">
        <v>0.13</v>
      </c>
      <c r="AK16" s="154" t="n">
        <v>85</v>
      </c>
      <c r="AL16" s="282" t="n">
        <v>54</v>
      </c>
      <c r="AM16" s="133" t="n">
        <f aca="false">AM15</f>
        <v>13022.27255</v>
      </c>
      <c r="AN16" s="155"/>
      <c r="AO16" s="133"/>
      <c r="AP16" s="215" t="n">
        <f aca="false">45.4*(X15*1.9835+Y15*1.9835+Z15*1.9835+AO15*1.9835)/E16</f>
        <v>2.961025007278</v>
      </c>
      <c r="AQ16" s="77" t="n">
        <v>32.6</v>
      </c>
      <c r="AR16" s="1"/>
      <c r="AS16" s="4"/>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55" t="n">
        <f aca="false">A16+1</f>
        <v>6</v>
      </c>
      <c r="B17" s="283" t="n">
        <v>6915.09</v>
      </c>
      <c r="C17" s="96" t="n">
        <v>342748</v>
      </c>
      <c r="D17" s="154" t="n">
        <f aca="false">C17-C16</f>
        <v>-626</v>
      </c>
      <c r="E17" s="96" t="n">
        <f aca="false">C17-152000</f>
        <v>190748</v>
      </c>
      <c r="F17" s="299" t="n">
        <f aca="false">D17/$D$2</f>
        <v>-315.603730778926</v>
      </c>
      <c r="G17" s="158" t="n">
        <v>253</v>
      </c>
      <c r="H17" s="150" t="n">
        <v>0.73</v>
      </c>
      <c r="I17" s="158" t="n">
        <f aca="false">G17+H17</f>
        <v>253.73</v>
      </c>
      <c r="J17" s="151" t="n">
        <f aca="false">IF(L17&gt;0,L17,0)</f>
        <v>73.6662692210738</v>
      </c>
      <c r="K17" s="158" t="n">
        <f aca="false">I17+J17</f>
        <v>327.396269221074</v>
      </c>
      <c r="L17" s="158" t="n">
        <f aca="false">F17-(I17-AG17)</f>
        <v>73.6662692210738</v>
      </c>
      <c r="M17" s="482" t="n">
        <v>225</v>
      </c>
      <c r="N17" s="215" t="n">
        <f aca="false">1.8299*1.03</f>
        <v>1.884797</v>
      </c>
      <c r="O17" s="158" t="n">
        <f aca="false">(34+39)*1.05</f>
        <v>76.65</v>
      </c>
      <c r="P17" s="215" t="n">
        <v>0</v>
      </c>
      <c r="Q17" s="215" t="n">
        <f aca="false">2.5*1.02</f>
        <v>2.55</v>
      </c>
      <c r="R17" s="215" t="n">
        <v>4.2</v>
      </c>
      <c r="S17" s="324" t="n">
        <v>2.21</v>
      </c>
      <c r="T17" s="381" t="n">
        <v>0</v>
      </c>
      <c r="U17" s="158" t="n">
        <v>85</v>
      </c>
      <c r="V17" s="158" t="n">
        <v>81</v>
      </c>
      <c r="W17" s="122" t="n">
        <f aca="false">M17-N17-O17-P17-Q17-R17-S17-T17+U17+V17</f>
        <v>303.505203</v>
      </c>
      <c r="X17" s="95"/>
      <c r="Y17" s="95" t="n">
        <f aca="false">Y16-(W17-I17)-Q17-R17-AB17-(AP17/1.9835)+AQ17</f>
        <v>580.18309683888</v>
      </c>
      <c r="Z17" s="96" t="n">
        <f aca="false">Z16</f>
        <v>5552.30652886312</v>
      </c>
      <c r="AA17" s="158" t="n">
        <v>159</v>
      </c>
      <c r="AB17" s="244" t="n">
        <v>1.7</v>
      </c>
      <c r="AC17" s="245" t="n">
        <v>1.3</v>
      </c>
      <c r="AD17" s="483" t="n">
        <v>93</v>
      </c>
      <c r="AE17" s="484" t="n">
        <f aca="false">AE16-AD17</f>
        <v>11294.2578774893</v>
      </c>
      <c r="AF17" s="96"/>
      <c r="AG17" s="11" t="n">
        <f aca="false">N17+O17+P17+Q17+R17+S17+T17+W17+AA17+AD17</f>
        <v>643</v>
      </c>
      <c r="AH17" s="158" t="n">
        <f aca="false">IF(L17&lt;0,L17*-1,0)</f>
        <v>0</v>
      </c>
      <c r="AI17" s="158" t="n">
        <f aca="false">AG17+AH17</f>
        <v>643</v>
      </c>
      <c r="AJ17" s="208" t="n">
        <v>0.01</v>
      </c>
      <c r="AK17" s="154" t="n">
        <v>75</v>
      </c>
      <c r="AL17" s="282" t="n">
        <v>53</v>
      </c>
      <c r="AM17" s="133" t="n">
        <f aca="false">AM16</f>
        <v>13022.27255</v>
      </c>
      <c r="AN17" s="155"/>
      <c r="AO17" s="133"/>
      <c r="AP17" s="215" t="n">
        <f aca="false">45.4*(X16*1.9835+Y16*1.9835+Z16*1.9835+AO16*1.9835)/E17</f>
        <v>2.90789838538101</v>
      </c>
      <c r="AQ17" s="77" t="n">
        <v>32.6</v>
      </c>
      <c r="AR17" s="1"/>
      <c r="AS17" s="4"/>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55" t="n">
        <f aca="false">A17+1</f>
        <v>7</v>
      </c>
      <c r="B18" s="283" t="n">
        <v>6914.88</v>
      </c>
      <c r="C18" s="96" t="n">
        <v>341875</v>
      </c>
      <c r="D18" s="154" t="n">
        <f aca="false">C18-C17</f>
        <v>-873</v>
      </c>
      <c r="E18" s="96" t="n">
        <f aca="false">C18-152000</f>
        <v>189875</v>
      </c>
      <c r="F18" s="299" t="n">
        <f aca="false">D18/$D$2</f>
        <v>-440.131081421729</v>
      </c>
      <c r="G18" s="158" t="n">
        <v>264</v>
      </c>
      <c r="H18" s="150" t="n">
        <v>0.54</v>
      </c>
      <c r="I18" s="158" t="n">
        <f aca="false">G18+H18</f>
        <v>264.54</v>
      </c>
      <c r="J18" s="151" t="n">
        <f aca="false">IF(L18&gt;0,L18,0)</f>
        <v>0</v>
      </c>
      <c r="K18" s="158" t="n">
        <f aca="false">I18+J18</f>
        <v>264.54</v>
      </c>
      <c r="L18" s="158" t="n">
        <f aca="false">F18-(I18-AG18)</f>
        <v>-22.6710814217293</v>
      </c>
      <c r="M18" s="482" t="n">
        <v>265</v>
      </c>
      <c r="N18" s="215" t="n">
        <f aca="false">1.8299*1.03</f>
        <v>1.884797</v>
      </c>
      <c r="O18" s="158" t="n">
        <f aca="false">(42+40)*1.05</f>
        <v>86.1</v>
      </c>
      <c r="P18" s="215" t="n">
        <v>0</v>
      </c>
      <c r="Q18" s="215" t="n">
        <f aca="false">2.5*1.02</f>
        <v>2.55</v>
      </c>
      <c r="R18" s="215" t="n">
        <v>4.2</v>
      </c>
      <c r="S18" s="324" t="n">
        <v>2.3</v>
      </c>
      <c r="T18" s="381" t="n">
        <v>0</v>
      </c>
      <c r="U18" s="158" t="n">
        <v>85</v>
      </c>
      <c r="V18" s="158" t="n">
        <v>79</v>
      </c>
      <c r="W18" s="122" t="n">
        <f aca="false">M18-N18-O18-P18-Q18-R18-S18-T18+U18+V18</f>
        <v>331.965203</v>
      </c>
      <c r="X18" s="95"/>
      <c r="Y18" s="95" t="n">
        <f aca="false">Y17-(W18-I18)-Q18-R18-AB18-(AP18/1.9835)+AQ18</f>
        <v>535.441586905335</v>
      </c>
      <c r="Z18" s="96" t="n">
        <f aca="false">Z17</f>
        <v>5552.30652886312</v>
      </c>
      <c r="AA18" s="158" t="n">
        <v>159</v>
      </c>
      <c r="AB18" s="244" t="n">
        <v>1.7</v>
      </c>
      <c r="AC18" s="245" t="n">
        <v>1.3</v>
      </c>
      <c r="AD18" s="483" t="n">
        <v>94</v>
      </c>
      <c r="AE18" s="484" t="n">
        <f aca="false">AE17-AD18</f>
        <v>11200.2578774893</v>
      </c>
      <c r="AF18" s="96"/>
      <c r="AG18" s="11" t="n">
        <f aca="false">N18+O18+P18+Q18+R18+S18+T18+W18+AA18+AD18</f>
        <v>682</v>
      </c>
      <c r="AH18" s="158" t="n">
        <f aca="false">IF(L18&lt;0,L18*-1,0)</f>
        <v>22.6710814217293</v>
      </c>
      <c r="AI18" s="158" t="n">
        <f aca="false">AG18+AH18</f>
        <v>704.671081421729</v>
      </c>
      <c r="AJ18" s="208" t="n">
        <v>0.01</v>
      </c>
      <c r="AK18" s="154" t="n">
        <v>81</v>
      </c>
      <c r="AL18" s="282" t="n">
        <v>54</v>
      </c>
      <c r="AM18" s="133" t="n">
        <f aca="false">AM17</f>
        <v>13022.27255</v>
      </c>
      <c r="AN18" s="155"/>
      <c r="AO18" s="133"/>
      <c r="AP18" s="215" t="n">
        <f aca="false">45.4*(X17*1.9835+Y17*1.9835+Z17*1.9835+AO17*1.9835)/E18</f>
        <v>2.90841980268665</v>
      </c>
      <c r="AQ18" s="77" t="n">
        <v>32.6</v>
      </c>
      <c r="AR18" s="1"/>
      <c r="AS18" s="4"/>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55" t="n">
        <f aca="false">A18+1</f>
        <v>8</v>
      </c>
      <c r="B19" s="283" t="n">
        <v>6914.72</v>
      </c>
      <c r="C19" s="96" t="n">
        <v>341213</v>
      </c>
      <c r="D19" s="154" t="n">
        <f aca="false">C19-C18</f>
        <v>-662</v>
      </c>
      <c r="E19" s="96" t="n">
        <f aca="false">C19-152000</f>
        <v>189213</v>
      </c>
      <c r="F19" s="299" t="n">
        <f aca="false">D19/$D$2</f>
        <v>-333.753466095286</v>
      </c>
      <c r="G19" s="158" t="n">
        <v>298</v>
      </c>
      <c r="H19" s="150" t="n">
        <v>0.47</v>
      </c>
      <c r="I19" s="158" t="n">
        <f aca="false">G19+H19</f>
        <v>298.47</v>
      </c>
      <c r="J19" s="151" t="n">
        <f aca="false">IF(L19&gt;0,L19,0)</f>
        <v>0</v>
      </c>
      <c r="K19" s="158" t="n">
        <f aca="false">I19+J19</f>
        <v>298.47</v>
      </c>
      <c r="L19" s="158" t="n">
        <f aca="false">F19-(I19-AG19)</f>
        <v>-2.22346609528614</v>
      </c>
      <c r="M19" s="482" t="n">
        <v>230</v>
      </c>
      <c r="N19" s="215" t="n">
        <f aca="false">1.8299*1.03</f>
        <v>1.884797</v>
      </c>
      <c r="O19" s="158" t="n">
        <f aca="false">(38+38)*1.05</f>
        <v>79.8</v>
      </c>
      <c r="P19" s="215" t="n">
        <v>0</v>
      </c>
      <c r="Q19" s="215" t="n">
        <f aca="false">2.5*1.02</f>
        <v>2.55</v>
      </c>
      <c r="R19" s="215" t="n">
        <v>4.2</v>
      </c>
      <c r="S19" s="324" t="n">
        <v>2.66</v>
      </c>
      <c r="T19" s="381" t="n">
        <v>0</v>
      </c>
      <c r="U19" s="158" t="n">
        <v>85</v>
      </c>
      <c r="V19" s="158" t="n">
        <v>77</v>
      </c>
      <c r="W19" s="122" t="n">
        <f aca="false">M19-N19-O19-P19-Q19-R19-S19-T19+U19+V19</f>
        <v>300.905203</v>
      </c>
      <c r="X19" s="95"/>
      <c r="Y19" s="95" t="n">
        <f aca="false">Y18-(W19-I19)-Q19-R19-AB19-(AP19/1.9835)+AQ19</f>
        <v>555.695682132963</v>
      </c>
      <c r="Z19" s="96" t="n">
        <f aca="false">Z18</f>
        <v>5552.30652886312</v>
      </c>
      <c r="AA19" s="158" t="n">
        <v>144</v>
      </c>
      <c r="AB19" s="244" t="n">
        <v>1.7</v>
      </c>
      <c r="AC19" s="245" t="n">
        <v>1.3</v>
      </c>
      <c r="AD19" s="483" t="n">
        <v>94</v>
      </c>
      <c r="AE19" s="484" t="n">
        <f aca="false">AE18-AD19</f>
        <v>11106.2578774893</v>
      </c>
      <c r="AF19" s="96"/>
      <c r="AG19" s="11" t="n">
        <f aca="false">N19+O19+P19+Q19+R19+S19+T19+W19+AA19+AD19</f>
        <v>630</v>
      </c>
      <c r="AH19" s="158" t="n">
        <f aca="false">IF(L19&lt;0,L19*-1,0)</f>
        <v>2.22346609528614</v>
      </c>
      <c r="AI19" s="158" t="n">
        <f aca="false">AG19+AH19</f>
        <v>632.223466095286</v>
      </c>
      <c r="AJ19" s="208" t="n">
        <v>0.39</v>
      </c>
      <c r="AK19" s="154" t="n">
        <v>80</v>
      </c>
      <c r="AL19" s="282" t="n">
        <v>53</v>
      </c>
      <c r="AM19" s="133" t="n">
        <f aca="false">AM18</f>
        <v>13022.27255</v>
      </c>
      <c r="AN19" s="155"/>
      <c r="AO19" s="133"/>
      <c r="AP19" s="215" t="n">
        <f aca="false">45.4*(X18*1.9835+Y18*1.9835+Z18*1.9835+AO18*1.9835)/E19</f>
        <v>2.89730196550054</v>
      </c>
      <c r="AQ19" s="77" t="n">
        <v>32.6</v>
      </c>
      <c r="AR19" s="1"/>
      <c r="AS19" s="4"/>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55" t="n">
        <f aca="false">A19+1</f>
        <v>9</v>
      </c>
      <c r="B20" s="283" t="n">
        <v>6914.67</v>
      </c>
      <c r="C20" s="96" t="n">
        <v>341006</v>
      </c>
      <c r="D20" s="154" t="n">
        <f aca="false">C20-C19</f>
        <v>-207</v>
      </c>
      <c r="E20" s="96" t="n">
        <f aca="false">C20-152000</f>
        <v>189006</v>
      </c>
      <c r="F20" s="299" t="n">
        <f aca="false">D20/$D$2</f>
        <v>-104.36097806907</v>
      </c>
      <c r="G20" s="158" t="n">
        <v>401</v>
      </c>
      <c r="H20" s="150" t="n">
        <v>0.74</v>
      </c>
      <c r="I20" s="158" t="n">
        <f aca="false">G20+H20</f>
        <v>401.74</v>
      </c>
      <c r="J20" s="151" t="n">
        <f aca="false">IF(L20&gt;0,L20,0)</f>
        <v>37.8990219309302</v>
      </c>
      <c r="K20" s="158" t="n">
        <f aca="false">I20+J20</f>
        <v>439.63902193093</v>
      </c>
      <c r="L20" s="158" t="n">
        <f aca="false">F20-(I20-AG20)</f>
        <v>37.8990219309302</v>
      </c>
      <c r="M20" s="482" t="n">
        <v>210</v>
      </c>
      <c r="N20" s="215" t="n">
        <f aca="false">1.8299*1.03</f>
        <v>1.884797</v>
      </c>
      <c r="O20" s="158" t="n">
        <f aca="false">(43+41)*1.05</f>
        <v>88.2</v>
      </c>
      <c r="P20" s="215" t="n">
        <v>0</v>
      </c>
      <c r="Q20" s="215" t="n">
        <f aca="false">2.5*1.02</f>
        <v>2.55</v>
      </c>
      <c r="R20" s="215" t="n">
        <v>4.2</v>
      </c>
      <c r="S20" s="324" t="n">
        <v>2.54</v>
      </c>
      <c r="T20" s="381" t="n">
        <v>0</v>
      </c>
      <c r="U20" s="158" t="n">
        <v>86</v>
      </c>
      <c r="V20" s="158" t="n">
        <v>78</v>
      </c>
      <c r="W20" s="122" t="n">
        <f aca="false">M20-N20-O20-P20-Q20-R20-S20-T20+U20+V20</f>
        <v>274.625203</v>
      </c>
      <c r="X20" s="95"/>
      <c r="Y20" s="95" t="n">
        <f aca="false">Y19-(AP20/1.9835)+AQ20</f>
        <v>586.828515480162</v>
      </c>
      <c r="Z20" s="96" t="n">
        <f aca="false">Z19</f>
        <v>5552.30652886312</v>
      </c>
      <c r="AA20" s="158" t="n">
        <v>77</v>
      </c>
      <c r="AB20" s="244" t="n">
        <v>1.7</v>
      </c>
      <c r="AC20" s="245" t="n">
        <v>1.3</v>
      </c>
      <c r="AD20" s="483" t="n">
        <v>93</v>
      </c>
      <c r="AE20" s="484" t="n">
        <f aca="false">AE19-AD20</f>
        <v>11013.2578774893</v>
      </c>
      <c r="AF20" s="96"/>
      <c r="AG20" s="11" t="n">
        <f aca="false">N20+O20+P20+Q20+R20+S20+T20+W20+AA20+AD20</f>
        <v>544</v>
      </c>
      <c r="AH20" s="158" t="n">
        <f aca="false">IF(L20&lt;0,L20*-1,0)</f>
        <v>0</v>
      </c>
      <c r="AI20" s="158" t="n">
        <f aca="false">AG20+AH20</f>
        <v>544</v>
      </c>
      <c r="AJ20" s="208" t="n">
        <v>0</v>
      </c>
      <c r="AK20" s="10" t="n">
        <v>80</v>
      </c>
      <c r="AL20" s="282" t="n">
        <v>50</v>
      </c>
      <c r="AM20" s="133" t="n">
        <f aca="false">AM19</f>
        <v>13022.27255</v>
      </c>
      <c r="AN20" s="155"/>
      <c r="AO20" s="91" t="n">
        <v>118.65</v>
      </c>
      <c r="AP20" s="215" t="n">
        <f aca="false">45.4*(X19*1.9835+Y19*1.9835+Z19*1.9835+AO19*1.9835)/E20</f>
        <v>2.91012505582991</v>
      </c>
      <c r="AQ20" s="77" t="n">
        <v>32.6</v>
      </c>
      <c r="AR20" s="1"/>
      <c r="AS20" s="4"/>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55" t="n">
        <f aca="false">A20+1</f>
        <v>10</v>
      </c>
      <c r="B21" s="283" t="n">
        <v>6914.56</v>
      </c>
      <c r="C21" s="96" t="n">
        <v>340550</v>
      </c>
      <c r="D21" s="154" t="n">
        <f aca="false">C21-C20</f>
        <v>-456</v>
      </c>
      <c r="E21" s="96" t="n">
        <f aca="false">C21-152000</f>
        <v>188550</v>
      </c>
      <c r="F21" s="299" t="n">
        <f aca="false">D21/$D$2</f>
        <v>-229.89664734056</v>
      </c>
      <c r="G21" s="158" t="n">
        <v>311</v>
      </c>
      <c r="H21" s="150" t="n">
        <v>0.36</v>
      </c>
      <c r="I21" s="158" t="n">
        <f aca="false">G21+H21</f>
        <v>311.36</v>
      </c>
      <c r="J21" s="151" t="n">
        <v>0</v>
      </c>
      <c r="K21" s="158" t="n">
        <f aca="false">I21+J21</f>
        <v>311.36</v>
      </c>
      <c r="L21" s="158" t="n">
        <f aca="false">F21-(I21-AG21)</f>
        <v>-26.2566473405596</v>
      </c>
      <c r="M21" s="482" t="n">
        <v>196</v>
      </c>
      <c r="N21" s="215" t="n">
        <f aca="false">1.8299*1.03</f>
        <v>1.884797</v>
      </c>
      <c r="O21" s="158" t="n">
        <f aca="false">(35+36)*1.05</f>
        <v>74.55</v>
      </c>
      <c r="P21" s="215" t="n">
        <v>0</v>
      </c>
      <c r="Q21" s="215" t="n">
        <f aca="false">2.5*1.02</f>
        <v>2.55</v>
      </c>
      <c r="R21" s="215" t="n">
        <v>4.2</v>
      </c>
      <c r="S21" s="324" t="n">
        <v>1.22</v>
      </c>
      <c r="T21" s="381" t="n">
        <v>0</v>
      </c>
      <c r="U21" s="158" t="n">
        <v>86</v>
      </c>
      <c r="V21" s="158" t="n">
        <v>78</v>
      </c>
      <c r="W21" s="122" t="n">
        <f aca="false">M21-N21-O21-P21-Q21-R21-S21-T21+U21+V21</f>
        <v>275.595203</v>
      </c>
      <c r="X21" s="95"/>
      <c r="Y21" s="95" t="n">
        <f aca="false">Y20-(AP21/1.9835)+AQ21</f>
        <v>609.021735098231</v>
      </c>
      <c r="Z21" s="96" t="n">
        <f aca="false">Z20</f>
        <v>5552.30652886312</v>
      </c>
      <c r="AA21" s="158" t="n">
        <v>62</v>
      </c>
      <c r="AB21" s="244" t="n">
        <v>1.7</v>
      </c>
      <c r="AC21" s="245" t="n">
        <v>1.3</v>
      </c>
      <c r="AD21" s="483" t="n">
        <v>93</v>
      </c>
      <c r="AE21" s="484" t="n">
        <f aca="false">AE20-AD21</f>
        <v>10920.2578774893</v>
      </c>
      <c r="AF21" s="96"/>
      <c r="AG21" s="11" t="n">
        <f aca="false">N21+O21+P21+Q21+R21+S21+T21+W21+AA21+AD21</f>
        <v>515</v>
      </c>
      <c r="AH21" s="158" t="n">
        <f aca="false">IF(L21&lt;0,L21*-1,0)</f>
        <v>26.2566473405596</v>
      </c>
      <c r="AI21" s="158" t="n">
        <f aca="false">AG21+AH21</f>
        <v>541.25664734056</v>
      </c>
      <c r="AJ21" s="208" t="n">
        <v>0</v>
      </c>
      <c r="AK21" s="154" t="n">
        <v>85</v>
      </c>
      <c r="AL21" s="282" t="n">
        <v>52</v>
      </c>
      <c r="AM21" s="133" t="n">
        <f aca="false">AM20</f>
        <v>13022.27255</v>
      </c>
      <c r="AN21" s="155"/>
      <c r="AO21" s="91" t="n">
        <f aca="false">AO20+27.35</f>
        <v>146</v>
      </c>
      <c r="AP21" s="215" t="n">
        <f aca="false">45.4*(X20*1.9835+Y20*1.9835+Z20*1.9835+AO20*1.9835)/E21</f>
        <v>2.98869888756114</v>
      </c>
      <c r="AQ21" s="77" t="n">
        <v>23.7</v>
      </c>
      <c r="AR21" s="1"/>
      <c r="AS21" s="4"/>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55" t="n">
        <v>11</v>
      </c>
      <c r="B22" s="283" t="n">
        <v>6914.39</v>
      </c>
      <c r="C22" s="96" t="n">
        <v>339846</v>
      </c>
      <c r="D22" s="154" t="n">
        <f aca="false">C22-C21</f>
        <v>-704</v>
      </c>
      <c r="E22" s="96" t="n">
        <f aca="false">C22-152000</f>
        <v>187846</v>
      </c>
      <c r="F22" s="299" t="n">
        <f aca="false">D22/$D$2</f>
        <v>-354.928157297706</v>
      </c>
      <c r="G22" s="158" t="n">
        <v>246</v>
      </c>
      <c r="H22" s="150" t="n">
        <v>0.08</v>
      </c>
      <c r="I22" s="158" t="n">
        <f aca="false">G22+H22</f>
        <v>246.08</v>
      </c>
      <c r="J22" s="151" t="n">
        <f aca="false">IF(L22&gt;0,L22,0)</f>
        <v>0</v>
      </c>
      <c r="K22" s="158" t="n">
        <f aca="false">I22+J22</f>
        <v>246.08</v>
      </c>
      <c r="L22" s="158" t="n">
        <f aca="false">F22-(I22-AG22)</f>
        <v>-41.0081572977061</v>
      </c>
      <c r="M22" s="482" t="n">
        <v>203</v>
      </c>
      <c r="N22" s="215" t="n">
        <f aca="false">1.8299*1.03</f>
        <v>1.884797</v>
      </c>
      <c r="O22" s="158" t="n">
        <f aca="false">(36+38)*1.05</f>
        <v>77.7</v>
      </c>
      <c r="P22" s="215" t="n">
        <v>0</v>
      </c>
      <c r="Q22" s="215" t="n">
        <f aca="false">2.5*1.02</f>
        <v>2.55</v>
      </c>
      <c r="R22" s="215" t="n">
        <v>4.2</v>
      </c>
      <c r="S22" s="324" t="n">
        <v>2.61</v>
      </c>
      <c r="T22" s="381" t="n">
        <v>0</v>
      </c>
      <c r="U22" s="158" t="n">
        <v>86</v>
      </c>
      <c r="V22" s="158" t="n">
        <v>76</v>
      </c>
      <c r="W22" s="122" t="n">
        <f aca="false">M22-N22-O22-P22-Q22-R22-S22-T22+U22+V22</f>
        <v>276.055203</v>
      </c>
      <c r="X22" s="95"/>
      <c r="Y22" s="95" t="n">
        <f aca="false">Y21-(AP22/1.9835)+AQ22</f>
        <v>607.497333709946</v>
      </c>
      <c r="Z22" s="96" t="n">
        <f aca="false">Z21</f>
        <v>5552.30652886312</v>
      </c>
      <c r="AA22" s="158" t="n">
        <v>103</v>
      </c>
      <c r="AB22" s="244" t="n">
        <v>1.7</v>
      </c>
      <c r="AC22" s="245" t="n">
        <v>1.3</v>
      </c>
      <c r="AD22" s="483" t="n">
        <v>92</v>
      </c>
      <c r="AE22" s="484" t="n">
        <f aca="false">AE21-AD22</f>
        <v>10828.2578774893</v>
      </c>
      <c r="AF22" s="96"/>
      <c r="AG22" s="11" t="n">
        <f aca="false">N22+O22+P22+Q22+R22+S22+T22+W22+AA22+AD22</f>
        <v>560</v>
      </c>
      <c r="AH22" s="158" t="n">
        <f aca="false">IF(L22&lt;0,L22*-1,0)</f>
        <v>41.0081572977061</v>
      </c>
      <c r="AI22" s="158" t="n">
        <f aca="false">AG22+AH22</f>
        <v>601.008157297706</v>
      </c>
      <c r="AJ22" s="208" t="n">
        <v>0</v>
      </c>
      <c r="AK22" s="154" t="n">
        <v>86</v>
      </c>
      <c r="AL22" s="282" t="n">
        <v>51</v>
      </c>
      <c r="AM22" s="133" t="n">
        <f aca="false">AM21</f>
        <v>13022.27255</v>
      </c>
      <c r="AN22" s="155"/>
      <c r="AO22" s="218" t="n">
        <f aca="false">AO21-38.45</f>
        <v>107.55</v>
      </c>
      <c r="AP22" s="215" t="n">
        <f aca="false">45.4*(X21*1.9835+Y21*1.9835+Z21*1.9835+AO21*1.9835)/E22</f>
        <v>3.02365015366394</v>
      </c>
      <c r="AQ22" s="77"/>
      <c r="AR22" s="1"/>
      <c r="AS22" s="4"/>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55" t="n">
        <v>12</v>
      </c>
      <c r="B23" s="283" t="n">
        <v>6914.19</v>
      </c>
      <c r="C23" s="96" t="n">
        <v>339017</v>
      </c>
      <c r="D23" s="154" t="n">
        <f aca="false">C23-C22</f>
        <v>-829</v>
      </c>
      <c r="E23" s="96" t="n">
        <f aca="false">C23-152000</f>
        <v>187017</v>
      </c>
      <c r="F23" s="299" t="n">
        <f aca="false">D23/$D$2</f>
        <v>-417.948071590623</v>
      </c>
      <c r="G23" s="158" t="n">
        <v>208</v>
      </c>
      <c r="H23" s="150" t="n">
        <v>0.05</v>
      </c>
      <c r="I23" s="158" t="n">
        <f aca="false">G23+H23</f>
        <v>208.05</v>
      </c>
      <c r="J23" s="151" t="n">
        <f aca="false">IF(L23&gt;0,L23,0)</f>
        <v>0</v>
      </c>
      <c r="K23" s="158" t="n">
        <f aca="false">I23+J23</f>
        <v>208.05</v>
      </c>
      <c r="L23" s="158" t="n">
        <f aca="false">F23-(I23-AG23)</f>
        <v>-50.9980715906227</v>
      </c>
      <c r="M23" s="482" t="n">
        <v>224</v>
      </c>
      <c r="N23" s="215" t="n">
        <f aca="false">1.8299*1.03</f>
        <v>1.884797</v>
      </c>
      <c r="O23" s="158" t="n">
        <f aca="false">(32+33)*1.05</f>
        <v>68.25</v>
      </c>
      <c r="P23" s="215" t="n">
        <v>0</v>
      </c>
      <c r="Q23" s="215" t="n">
        <f aca="false">2.5*1.02</f>
        <v>2.55</v>
      </c>
      <c r="R23" s="215" t="n">
        <v>4.2</v>
      </c>
      <c r="S23" s="324" t="n">
        <v>4.29</v>
      </c>
      <c r="T23" s="381" t="n">
        <v>0</v>
      </c>
      <c r="U23" s="158" t="n">
        <v>86</v>
      </c>
      <c r="V23" s="158" t="n">
        <v>74</v>
      </c>
      <c r="W23" s="122" t="n">
        <f aca="false">M23-N23-O23-P23-Q23-R23-S23-T23+U23+V23</f>
        <v>302.825203</v>
      </c>
      <c r="X23" s="95"/>
      <c r="Y23" s="95" t="n">
        <f aca="false">Y22-(AP23/1.9835)+AQ23</f>
        <v>605.975879161103</v>
      </c>
      <c r="Z23" s="96" t="n">
        <f aca="false">Z22</f>
        <v>5552.30652886312</v>
      </c>
      <c r="AA23" s="158" t="n">
        <v>100</v>
      </c>
      <c r="AB23" s="244" t="n">
        <v>1.7</v>
      </c>
      <c r="AC23" s="245" t="n">
        <v>1.3</v>
      </c>
      <c r="AD23" s="483" t="n">
        <v>91</v>
      </c>
      <c r="AE23" s="484" t="n">
        <f aca="false">AE22-AD23</f>
        <v>10737.2578774893</v>
      </c>
      <c r="AF23" s="96"/>
      <c r="AG23" s="11" t="n">
        <f aca="false">N23+O23+P23+Q23+R23+S23+T23+W23+AA23+AD23</f>
        <v>575</v>
      </c>
      <c r="AH23" s="158" t="n">
        <f aca="false">IF(L23&lt;0,L23*-1,0)</f>
        <v>50.9980715906227</v>
      </c>
      <c r="AI23" s="158" t="n">
        <f aca="false">AG23+AH23</f>
        <v>625.998071590623</v>
      </c>
      <c r="AJ23" s="208" t="n">
        <v>0</v>
      </c>
      <c r="AK23" s="154" t="n">
        <v>88</v>
      </c>
      <c r="AL23" s="282" t="n">
        <v>52</v>
      </c>
      <c r="AM23" s="133" t="n">
        <f aca="false">AM22</f>
        <v>13022.27255</v>
      </c>
      <c r="AN23" s="155"/>
      <c r="AO23" s="218" t="n">
        <f aca="false">AO22-103.15</f>
        <v>4.39999999999999</v>
      </c>
      <c r="AP23" s="215" t="n">
        <f aca="false">45.4*(X22*1.9835+Y22*1.9835+Z22*1.9835+AO22*1.9835)/E23</f>
        <v>3.01780509762846</v>
      </c>
      <c r="AQ23" s="77"/>
      <c r="AR23" s="1"/>
      <c r="AS23" s="4"/>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55" t="n">
        <v>13</v>
      </c>
      <c r="B24" s="283" t="n">
        <v>6913.98</v>
      </c>
      <c r="C24" s="96" t="n">
        <v>338148</v>
      </c>
      <c r="D24" s="154" t="n">
        <f aca="false">C24-C23</f>
        <v>-869</v>
      </c>
      <c r="E24" s="96" t="n">
        <f aca="false">C24-152000</f>
        <v>186148</v>
      </c>
      <c r="F24" s="299" t="n">
        <f aca="false">D24/$D$2</f>
        <v>-438.114444164356</v>
      </c>
      <c r="G24" s="158" t="n">
        <v>184</v>
      </c>
      <c r="H24" s="150" t="n">
        <v>0.04</v>
      </c>
      <c r="I24" s="158" t="n">
        <f aca="false">G24+H24</f>
        <v>184.04</v>
      </c>
      <c r="J24" s="151" t="n">
        <f aca="false">IF(L24&gt;0,L24,0)</f>
        <v>0</v>
      </c>
      <c r="K24" s="158" t="n">
        <f aca="false">I24+J24</f>
        <v>184.04</v>
      </c>
      <c r="L24" s="158" t="n">
        <f aca="false">F24-(I24-AG24)</f>
        <v>-34.1544441643559</v>
      </c>
      <c r="M24" s="482" t="n">
        <v>234</v>
      </c>
      <c r="N24" s="215" t="n">
        <f aca="false">1.8299*1.03</f>
        <v>1.884797</v>
      </c>
      <c r="O24" s="158" t="n">
        <f aca="false">(33+35)*1.05</f>
        <v>71.4</v>
      </c>
      <c r="P24" s="215" t="n">
        <v>0</v>
      </c>
      <c r="Q24" s="215" t="n">
        <f aca="false">2.5*1.02</f>
        <v>2.55</v>
      </c>
      <c r="R24" s="215" t="n">
        <v>4.2</v>
      </c>
      <c r="S24" s="324" t="n">
        <v>4.43</v>
      </c>
      <c r="T24" s="381" t="n">
        <v>0</v>
      </c>
      <c r="U24" s="158" t="n">
        <v>85</v>
      </c>
      <c r="V24" s="158" t="n">
        <v>73</v>
      </c>
      <c r="W24" s="122" t="n">
        <f aca="false">M24-N24-O24-P24-Q24-R24-S24-T24+U24+V24</f>
        <v>307.535203</v>
      </c>
      <c r="X24" s="95"/>
      <c r="Y24" s="95" t="n">
        <f aca="false">Y23-(AP24/1.9835)+AQ24-124.55</f>
        <v>479.922850488626</v>
      </c>
      <c r="Z24" s="96" t="n">
        <f aca="false">Z23</f>
        <v>5552.30652886312</v>
      </c>
      <c r="AA24" s="158" t="n">
        <v>106</v>
      </c>
      <c r="AB24" s="244" t="n">
        <v>1.7</v>
      </c>
      <c r="AC24" s="245" t="n">
        <v>1.3</v>
      </c>
      <c r="AD24" s="483" t="n">
        <v>90</v>
      </c>
      <c r="AE24" s="484" t="n">
        <f aca="false">AE23-AD24</f>
        <v>10647.2578774893</v>
      </c>
      <c r="AF24" s="96"/>
      <c r="AG24" s="11" t="n">
        <f aca="false">N24+O24+P24+Q24+R24+S24+T24+W24+AA24+AD24</f>
        <v>588</v>
      </c>
      <c r="AH24" s="158" t="n">
        <f aca="false">IF(L24&lt;0,L24*-1,0)</f>
        <v>34.1544441643559</v>
      </c>
      <c r="AI24" s="158" t="n">
        <f aca="false">AG24+AH24</f>
        <v>622.154444164356</v>
      </c>
      <c r="AJ24" s="208" t="n">
        <v>0</v>
      </c>
      <c r="AK24" s="154" t="n">
        <v>86</v>
      </c>
      <c r="AL24" s="282" t="n">
        <v>50</v>
      </c>
      <c r="AM24" s="133" t="n">
        <f aca="false">AM23</f>
        <v>13022.27255</v>
      </c>
      <c r="AN24" s="155"/>
      <c r="AO24" s="218" t="n">
        <f aca="false">AO23-4.4</f>
        <v>0</v>
      </c>
      <c r="AP24" s="215" t="n">
        <f aca="false">45.4*(X23*1.9835+Y23*1.9835+Z23*1.9835+AO23*1.9835)/E24</f>
        <v>2.98125737185867</v>
      </c>
      <c r="AQ24" s="77"/>
      <c r="AR24" s="1"/>
      <c r="AS24" s="4"/>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55" t="n">
        <v>14</v>
      </c>
      <c r="B25" s="283" t="n">
        <v>6913.73</v>
      </c>
      <c r="C25" s="96" t="n">
        <v>337121</v>
      </c>
      <c r="D25" s="154" t="n">
        <f aca="false">C25-C24</f>
        <v>-1027</v>
      </c>
      <c r="E25" s="96" t="n">
        <f aca="false">C25-152000</f>
        <v>185121</v>
      </c>
      <c r="F25" s="299" t="n">
        <f aca="false">D25/$D$2</f>
        <v>-517.771615830603</v>
      </c>
      <c r="G25" s="158" t="n">
        <v>168</v>
      </c>
      <c r="H25" s="150" t="n">
        <v>0.03</v>
      </c>
      <c r="I25" s="158" t="n">
        <f aca="false">G25+H25</f>
        <v>168.03</v>
      </c>
      <c r="J25" s="151" t="n">
        <f aca="false">IF(L25&gt;0,L25,0)</f>
        <v>0</v>
      </c>
      <c r="K25" s="158" t="n">
        <f aca="false">I25+J25</f>
        <v>168.03</v>
      </c>
      <c r="L25" s="158" t="n">
        <f aca="false">F25-(I25-AG25)</f>
        <v>-54.8016158306025</v>
      </c>
      <c r="M25" s="482" t="n">
        <v>244</v>
      </c>
      <c r="N25" s="215" t="n">
        <f aca="false">1.8299*1.03</f>
        <v>1.884797</v>
      </c>
      <c r="O25" s="158" t="n">
        <f aca="false">(40+42)*1.05</f>
        <v>86.1</v>
      </c>
      <c r="P25" s="215" t="n">
        <v>0</v>
      </c>
      <c r="Q25" s="215" t="n">
        <f aca="false">2.5*1.02</f>
        <v>2.55</v>
      </c>
      <c r="R25" s="215" t="n">
        <v>4.2</v>
      </c>
      <c r="S25" s="324" t="n">
        <v>4.38</v>
      </c>
      <c r="T25" s="381" t="n">
        <v>0</v>
      </c>
      <c r="U25" s="158" t="n">
        <v>85</v>
      </c>
      <c r="V25" s="158" t="n">
        <v>72</v>
      </c>
      <c r="W25" s="122" t="n">
        <f aca="false">M25-N25-O25-P25-Q25-R25-S25-T25+U25+V25</f>
        <v>301.885203</v>
      </c>
      <c r="X25" s="95"/>
      <c r="Y25" s="95" t="n">
        <f aca="false">Y24-(W25-I25)-Q25-R25-AB25-(AP25/1.9835)+AQ25</f>
        <v>336.138273382919</v>
      </c>
      <c r="Z25" s="96" t="n">
        <f aca="false">Z24</f>
        <v>5552.30652886312</v>
      </c>
      <c r="AA25" s="158" t="n">
        <v>140</v>
      </c>
      <c r="AB25" s="244" t="n">
        <v>1.7</v>
      </c>
      <c r="AC25" s="245" t="n">
        <v>1.3</v>
      </c>
      <c r="AD25" s="483" t="n">
        <v>90</v>
      </c>
      <c r="AE25" s="484" t="n">
        <f aca="false">AE24-AD25</f>
        <v>10557.2578774893</v>
      </c>
      <c r="AF25" s="96"/>
      <c r="AG25" s="11" t="n">
        <f aca="false">N25+O25+P25+Q25+R25+S25+T25+W25+AA25+AD25</f>
        <v>631</v>
      </c>
      <c r="AH25" s="158" t="n">
        <f aca="false">IF(L25&lt;0,L25*-1,0)</f>
        <v>54.8016158306025</v>
      </c>
      <c r="AI25" s="158" t="n">
        <f aca="false">AG25+AH25</f>
        <v>685.801615830603</v>
      </c>
      <c r="AJ25" s="208" t="n">
        <v>0</v>
      </c>
      <c r="AK25" s="154" t="n">
        <v>84</v>
      </c>
      <c r="AL25" s="282" t="n">
        <v>49</v>
      </c>
      <c r="AM25" s="133" t="n">
        <f aca="false">AM24</f>
        <v>13022.27255</v>
      </c>
      <c r="AN25" s="155"/>
      <c r="AO25" s="133"/>
      <c r="AP25" s="215" t="n">
        <f aca="false">45.4*(X24*1.9835+Y24*1.9835+Z24*1.9835+AO24*1.9835)/E25</f>
        <v>2.93433853866966</v>
      </c>
      <c r="AQ25" s="77"/>
      <c r="AR25" s="1"/>
      <c r="AS25" s="4"/>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55" t="n">
        <v>15</v>
      </c>
      <c r="B26" s="283" t="n">
        <v>6913.48</v>
      </c>
      <c r="C26" s="96" t="n">
        <v>336094</v>
      </c>
      <c r="D26" s="154" t="n">
        <f aca="false">C26-C25</f>
        <v>-1027</v>
      </c>
      <c r="E26" s="96" t="n">
        <f aca="false">C26-152000</f>
        <v>184094</v>
      </c>
      <c r="F26" s="299" t="n">
        <f aca="false">D26/$D$2</f>
        <v>-517.771615830603</v>
      </c>
      <c r="G26" s="158" t="n">
        <v>157</v>
      </c>
      <c r="H26" s="150" t="n">
        <v>0.03</v>
      </c>
      <c r="I26" s="158" t="n">
        <f aca="false">G26+H26</f>
        <v>157.03</v>
      </c>
      <c r="J26" s="151" t="n">
        <f aca="false">IF(L26&gt;0,L26,0)</f>
        <v>0</v>
      </c>
      <c r="K26" s="158" t="n">
        <f aca="false">I26+J26</f>
        <v>157.03</v>
      </c>
      <c r="L26" s="158" t="n">
        <f aca="false">F26-(I26-AG26)</f>
        <v>-28.8016158306025</v>
      </c>
      <c r="M26" s="482" t="n">
        <v>246</v>
      </c>
      <c r="N26" s="215" t="n">
        <f aca="false">1.8299*1.03</f>
        <v>1.884797</v>
      </c>
      <c r="O26" s="158" t="n">
        <f aca="false">(42+41)*1.05</f>
        <v>87.15</v>
      </c>
      <c r="P26" s="215" t="n">
        <v>0</v>
      </c>
      <c r="Q26" s="215" t="n">
        <f aca="false">2.5*1.02</f>
        <v>2.55</v>
      </c>
      <c r="R26" s="215" t="n">
        <v>4.2</v>
      </c>
      <c r="S26" s="324" t="n">
        <v>4.27</v>
      </c>
      <c r="T26" s="381" t="n">
        <v>0</v>
      </c>
      <c r="U26" s="158" t="n">
        <v>85</v>
      </c>
      <c r="V26" s="158" t="n">
        <v>71</v>
      </c>
      <c r="W26" s="122" t="n">
        <f aca="false">M26-N26-O26-P26-Q26-R26-S26-T26+U26+V26</f>
        <v>301.945203</v>
      </c>
      <c r="X26" s="95"/>
      <c r="Y26" s="95" t="n">
        <f aca="false">Y25-(W26-I26)-Q26-R26-AB26-(AP26/1.9835)+AQ26</f>
        <v>181.320902501174</v>
      </c>
      <c r="Z26" s="96" t="n">
        <f aca="false">Z25</f>
        <v>5552.30652886312</v>
      </c>
      <c r="AA26" s="158" t="n">
        <v>154</v>
      </c>
      <c r="AB26" s="244" t="n">
        <v>1.7</v>
      </c>
      <c r="AC26" s="245" t="n">
        <v>1.3</v>
      </c>
      <c r="AD26" s="483" t="n">
        <v>90</v>
      </c>
      <c r="AE26" s="484" t="n">
        <f aca="false">AE25-AD26</f>
        <v>10467.2578774893</v>
      </c>
      <c r="AF26" s="96"/>
      <c r="AG26" s="11" t="n">
        <f aca="false">N26+O26+P26+Q26+R26+S26+T26+W26+AA26+AD26</f>
        <v>646</v>
      </c>
      <c r="AH26" s="158" t="n">
        <f aca="false">IF(L26&lt;0,L26*-1,0)</f>
        <v>28.8016158306025</v>
      </c>
      <c r="AI26" s="158" t="n">
        <f aca="false">AG26+AH26</f>
        <v>674.801615830603</v>
      </c>
      <c r="AJ26" s="208" t="n">
        <v>0</v>
      </c>
      <c r="AK26" s="154" t="n">
        <v>82</v>
      </c>
      <c r="AL26" s="282" t="n">
        <v>48</v>
      </c>
      <c r="AM26" s="133" t="n">
        <f aca="false">AM25</f>
        <v>13022.27255</v>
      </c>
      <c r="AN26" s="155"/>
      <c r="AO26" s="133"/>
      <c r="AP26" s="215" t="n">
        <f aca="false">45.4*(X25*1.9835+Y25*1.9835+Z25*1.9835+AO25*1.9835)/E26</f>
        <v>2.88037499344127</v>
      </c>
      <c r="AQ26" s="77"/>
      <c r="AR26" s="1"/>
      <c r="AS26" s="4"/>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55" t="n">
        <v>16</v>
      </c>
      <c r="B27" s="283" t="n">
        <v>6913.22</v>
      </c>
      <c r="C27" s="96" t="n">
        <v>335025</v>
      </c>
      <c r="D27" s="154" t="n">
        <f aca="false">C27-C26</f>
        <v>-1069</v>
      </c>
      <c r="E27" s="96" t="n">
        <f aca="false">C27-152000</f>
        <v>183025</v>
      </c>
      <c r="F27" s="299" t="n">
        <f aca="false">D27/$D$2</f>
        <v>-538.946307033022</v>
      </c>
      <c r="G27" s="158" t="n">
        <v>148</v>
      </c>
      <c r="H27" s="150" t="n">
        <v>0.02</v>
      </c>
      <c r="I27" s="158" t="n">
        <f aca="false">G27+H27</f>
        <v>148.02</v>
      </c>
      <c r="J27" s="151" t="n">
        <f aca="false">IF(L27&gt;0,L27,0)</f>
        <v>0</v>
      </c>
      <c r="K27" s="158" t="n">
        <f aca="false">I27+J27</f>
        <v>148.02</v>
      </c>
      <c r="L27" s="158" t="n">
        <f aca="false">F27-(I27-AG27)</f>
        <v>-24.9663070330224</v>
      </c>
      <c r="M27" s="482" t="n">
        <v>260</v>
      </c>
      <c r="N27" s="215" t="n">
        <f aca="false">1.8299*1.03</f>
        <v>1.884797</v>
      </c>
      <c r="O27" s="158" t="n">
        <f aca="false">(44+43)*1.05</f>
        <v>91.35</v>
      </c>
      <c r="P27" s="215" t="n">
        <v>0</v>
      </c>
      <c r="Q27" s="215" t="n">
        <f aca="false">2.5*1.02</f>
        <v>2.55</v>
      </c>
      <c r="R27" s="215" t="n">
        <v>4.2</v>
      </c>
      <c r="S27" s="324" t="n">
        <v>3.29</v>
      </c>
      <c r="T27" s="381" t="n">
        <v>0</v>
      </c>
      <c r="U27" s="158" t="n">
        <v>85</v>
      </c>
      <c r="V27" s="158" t="n">
        <v>72</v>
      </c>
      <c r="W27" s="122" t="n">
        <f aca="false">M27-N27-O27-P27-Q27-R27-S27-T27+U27+V27</f>
        <v>313.725203</v>
      </c>
      <c r="X27" s="95"/>
      <c r="Y27" s="95" t="n">
        <f aca="false">Y26-(W27-I27)-Q27-R27-AB27-(AP27/1.9835)+AQ27</f>
        <v>5.74345289342151</v>
      </c>
      <c r="Z27" s="96" t="n">
        <f aca="false">Z26</f>
        <v>5552.30652886312</v>
      </c>
      <c r="AA27" s="158" t="n">
        <v>156</v>
      </c>
      <c r="AB27" s="244" t="n">
        <v>1.7</v>
      </c>
      <c r="AC27" s="245" t="n">
        <v>1.3</v>
      </c>
      <c r="AD27" s="483" t="n">
        <v>89</v>
      </c>
      <c r="AE27" s="484" t="n">
        <f aca="false">AE26-AD27</f>
        <v>10378.2578774893</v>
      </c>
      <c r="AF27" s="96"/>
      <c r="AG27" s="11" t="n">
        <f aca="false">N27+O27+P27+Q27+R27+S27+T27+W27+AA27+AD27</f>
        <v>662</v>
      </c>
      <c r="AH27" s="158" t="n">
        <f aca="false">IF(L27&lt;0,L27*-1,0)</f>
        <v>24.9663070330224</v>
      </c>
      <c r="AI27" s="158" t="n">
        <f aca="false">AG27+AH27</f>
        <v>686.966307033022</v>
      </c>
      <c r="AJ27" s="208" t="n">
        <v>0</v>
      </c>
      <c r="AK27" s="154" t="n">
        <v>78</v>
      </c>
      <c r="AL27" s="282" t="n">
        <v>50</v>
      </c>
      <c r="AM27" s="133" t="n">
        <f aca="false">AM26</f>
        <v>13022.27255</v>
      </c>
      <c r="AN27" s="155"/>
      <c r="AO27" s="133"/>
      <c r="AP27" s="215" t="n">
        <f aca="false">45.4*(X26*1.9835+Y26*1.9835+Z26*1.9835+AO26*1.9835)/E27</f>
        <v>2.82102614647749</v>
      </c>
      <c r="AQ27" s="77"/>
      <c r="AR27" s="1"/>
      <c r="AS27" s="4"/>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55" t="n">
        <v>17</v>
      </c>
      <c r="B28" s="283" t="n">
        <v>6912.98</v>
      </c>
      <c r="C28" s="96" t="n">
        <v>334040</v>
      </c>
      <c r="D28" s="154" t="n">
        <f aca="false">C28-C27</f>
        <v>-985</v>
      </c>
      <c r="E28" s="96" t="n">
        <f aca="false">C28-152000</f>
        <v>182040</v>
      </c>
      <c r="F28" s="299" t="n">
        <f aca="false">D28/$D$2</f>
        <v>-496.596924628182</v>
      </c>
      <c r="G28" s="158" t="n">
        <v>140</v>
      </c>
      <c r="H28" s="150" t="n">
        <v>0.01</v>
      </c>
      <c r="I28" s="158" t="n">
        <f aca="false">G28+H28</f>
        <v>140.01</v>
      </c>
      <c r="J28" s="151" t="n">
        <f aca="false">IF(L28&gt;0,L28,0)</f>
        <v>0</v>
      </c>
      <c r="K28" s="158" t="n">
        <f aca="false">I28+J28</f>
        <v>140.01</v>
      </c>
      <c r="L28" s="158" t="n">
        <f aca="false">F28-(I28-AG28)</f>
        <v>-10.6069246281825</v>
      </c>
      <c r="M28" s="482" t="n">
        <v>246</v>
      </c>
      <c r="N28" s="215" t="n">
        <f aca="false">1.8299*1.03</f>
        <v>1.884797</v>
      </c>
      <c r="O28" s="158" t="n">
        <f aca="false">(40+42)*1.05</f>
        <v>86.1</v>
      </c>
      <c r="P28" s="215" t="n">
        <v>0</v>
      </c>
      <c r="Q28" s="215" t="n">
        <f aca="false">2.5*1.02</f>
        <v>2.55</v>
      </c>
      <c r="R28" s="215" t="n">
        <v>4.2</v>
      </c>
      <c r="S28" s="324" t="n">
        <v>3.41</v>
      </c>
      <c r="T28" s="381" t="n">
        <v>0</v>
      </c>
      <c r="U28" s="158" t="n">
        <v>85</v>
      </c>
      <c r="V28" s="158" t="n">
        <v>72</v>
      </c>
      <c r="W28" s="122" t="n">
        <f aca="false">M28-N28-O28-P28-Q28-R28-S28-T28+U28+V28</f>
        <v>304.855203</v>
      </c>
      <c r="X28" s="95"/>
      <c r="Y28" s="95" t="n">
        <f aca="false">Y27-(W28-I28)-Q28-R28-AB28-(AP28/1.9835)+AQ28+169</f>
        <v>0.0620959208235092</v>
      </c>
      <c r="Z28" s="96" t="n">
        <f aca="false">Z27-169</f>
        <v>5383.30652886312</v>
      </c>
      <c r="AA28" s="158" t="n">
        <v>135</v>
      </c>
      <c r="AB28" s="244" t="n">
        <v>1.7</v>
      </c>
      <c r="AC28" s="245" t="n">
        <v>1.3</v>
      </c>
      <c r="AD28" s="483" t="n">
        <v>88</v>
      </c>
      <c r="AE28" s="484" t="n">
        <f aca="false">AE27-AD28</f>
        <v>10290.2578774893</v>
      </c>
      <c r="AF28" s="96"/>
      <c r="AG28" s="11" t="n">
        <f aca="false">N28+O28+P28+Q28+R28+S28+T28+W28+AA28+AD28</f>
        <v>626</v>
      </c>
      <c r="AH28" s="158" t="n">
        <f aca="false">IF(L28&lt;0,L28*-1,0)</f>
        <v>10.6069246281825</v>
      </c>
      <c r="AI28" s="158" t="n">
        <f aca="false">AG28+AH28</f>
        <v>636.606924628183</v>
      </c>
      <c r="AJ28" s="208" t="n">
        <v>0</v>
      </c>
      <c r="AK28" s="154" t="n">
        <v>77</v>
      </c>
      <c r="AL28" s="282" t="n">
        <v>44</v>
      </c>
      <c r="AM28" s="133" t="n">
        <f aca="false">AM27</f>
        <v>13022.27255</v>
      </c>
      <c r="AN28" s="155"/>
      <c r="AO28" s="133"/>
      <c r="AP28" s="215" t="n">
        <f aca="false">45.4*(X27*1.9835+Y27*1.9835+Z27*1.9835+AO27*1.9835)/E28</f>
        <v>2.74943640464821</v>
      </c>
      <c r="AQ28" s="77"/>
      <c r="AR28" s="1"/>
      <c r="AS28" s="4"/>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55" t="n">
        <v>18</v>
      </c>
      <c r="B29" s="283" t="n">
        <v>6912.72</v>
      </c>
      <c r="C29" s="96" t="n">
        <v>332980</v>
      </c>
      <c r="D29" s="154" t="n">
        <f aca="false">C29-C28</f>
        <v>-1060</v>
      </c>
      <c r="E29" s="96" t="n">
        <f aca="false">C29-152000</f>
        <v>180980</v>
      </c>
      <c r="F29" s="299" t="n">
        <f aca="false">D29/$D$2</f>
        <v>-534.408873203932</v>
      </c>
      <c r="G29" s="158" t="n">
        <v>133</v>
      </c>
      <c r="H29" s="150" t="n">
        <v>0.01</v>
      </c>
      <c r="I29" s="158" t="n">
        <f aca="false">G29+H29</f>
        <v>133.01</v>
      </c>
      <c r="J29" s="151" t="n">
        <f aca="false">IF(L29&gt;0,L29,0)</f>
        <v>19.5811267960676</v>
      </c>
      <c r="K29" s="158" t="n">
        <f aca="false">I29+J29</f>
        <v>152.591126796068</v>
      </c>
      <c r="L29" s="158" t="n">
        <f aca="false">F29-(I29-AG29)</f>
        <v>19.5811267960676</v>
      </c>
      <c r="M29" s="482" t="n">
        <v>268</v>
      </c>
      <c r="N29" s="215" t="n">
        <f aca="false">1.8299*1.03</f>
        <v>1.884797</v>
      </c>
      <c r="O29" s="158" t="n">
        <f aca="false">(40+41)*1.05</f>
        <v>85.05</v>
      </c>
      <c r="P29" s="215" t="n">
        <v>0</v>
      </c>
      <c r="Q29" s="215" t="n">
        <f aca="false">2.5*1.02</f>
        <v>2.55</v>
      </c>
      <c r="R29" s="215" t="n">
        <v>4.2</v>
      </c>
      <c r="S29" s="324" t="n">
        <v>3.2</v>
      </c>
      <c r="T29" s="381" t="n">
        <v>0</v>
      </c>
      <c r="U29" s="158" t="n">
        <v>84</v>
      </c>
      <c r="V29" s="158" t="n">
        <v>72</v>
      </c>
      <c r="W29" s="122" t="n">
        <f aca="false">M29-N29-O29-P29-Q29-R29-S29-T29+U29+V29</f>
        <v>327.115203</v>
      </c>
      <c r="X29" s="95"/>
      <c r="Y29" s="95"/>
      <c r="Z29" s="96" t="n">
        <f aca="false">Z28-(W29-I29)-Q29-R29-AB29-(AP29/1.9835)</f>
        <v>5179.40087313041</v>
      </c>
      <c r="AA29" s="158" t="n">
        <v>178</v>
      </c>
      <c r="AB29" s="244" t="n">
        <v>1.7</v>
      </c>
      <c r="AC29" s="245" t="n">
        <v>1.3</v>
      </c>
      <c r="AD29" s="483" t="n">
        <v>85</v>
      </c>
      <c r="AE29" s="484" t="n">
        <f aca="false">AE28-AD29</f>
        <v>10205.2578774893</v>
      </c>
      <c r="AF29" s="96"/>
      <c r="AG29" s="11" t="n">
        <f aca="false">N29+O29+P29+Q29+R29+S29+T29+W29+AA29+AD29</f>
        <v>687</v>
      </c>
      <c r="AH29" s="158" t="n">
        <f aca="false">IF(L29&lt;0,L29*-1,0)</f>
        <v>0</v>
      </c>
      <c r="AI29" s="158" t="n">
        <f aca="false">AG29+AH29</f>
        <v>687</v>
      </c>
      <c r="AJ29" s="208" t="n">
        <v>0</v>
      </c>
      <c r="AK29" s="154" t="n">
        <v>81</v>
      </c>
      <c r="AL29" s="282" t="n">
        <v>45</v>
      </c>
      <c r="AM29" s="133" t="n">
        <f aca="false">AM28</f>
        <v>13022.27255</v>
      </c>
      <c r="AN29" s="155"/>
      <c r="AO29" s="133"/>
      <c r="AP29" s="215" t="n">
        <f aca="false">45.4*(X28*1.9835+Y28*1.9835+Z28*1.9835+AO28*1.9835)/E29</f>
        <v>2.678622995323</v>
      </c>
      <c r="AQ29" s="77"/>
      <c r="AR29" s="1"/>
      <c r="AS29" s="4"/>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55" t="n">
        <v>19</v>
      </c>
      <c r="B30" s="283" t="n">
        <v>6912.4</v>
      </c>
      <c r="C30" s="96" t="n">
        <v>331675</v>
      </c>
      <c r="D30" s="154" t="n">
        <f aca="false">C30-C29</f>
        <v>-1305</v>
      </c>
      <c r="E30" s="96" t="n">
        <f aca="false">C30-152000</f>
        <v>179675</v>
      </c>
      <c r="F30" s="299" t="n">
        <f aca="false">D30/$D$2</f>
        <v>-657.927905218049</v>
      </c>
      <c r="G30" s="158" t="n">
        <v>121</v>
      </c>
      <c r="H30" s="150" t="n">
        <v>0</v>
      </c>
      <c r="I30" s="158" t="n">
        <f aca="false">G30+H30</f>
        <v>121</v>
      </c>
      <c r="J30" s="151" t="n">
        <f aca="false">IF(L30&gt;0,L30,0)</f>
        <v>0</v>
      </c>
      <c r="K30" s="158" t="n">
        <f aca="false">I30+J30</f>
        <v>121</v>
      </c>
      <c r="L30" s="158" t="n">
        <f aca="false">F30-(I30-AG30)</f>
        <v>-68.9279052180489</v>
      </c>
      <c r="M30" s="482" t="n">
        <v>274</v>
      </c>
      <c r="N30" s="215" t="n">
        <f aca="false">1.8299*1.03</f>
        <v>1.884797</v>
      </c>
      <c r="O30" s="158" t="n">
        <f aca="false">(40+44)*1.05</f>
        <v>88.2</v>
      </c>
      <c r="P30" s="215" t="n">
        <v>0</v>
      </c>
      <c r="Q30" s="215" t="n">
        <f aca="false">2.5*1.02</f>
        <v>2.55</v>
      </c>
      <c r="R30" s="215" t="n">
        <v>4.2</v>
      </c>
      <c r="S30" s="324" t="n">
        <v>3.57</v>
      </c>
      <c r="T30" s="381" t="n">
        <v>0</v>
      </c>
      <c r="U30" s="158" t="n">
        <v>102</v>
      </c>
      <c r="V30" s="485" t="n">
        <v>72</v>
      </c>
      <c r="W30" s="122" t="n">
        <f aca="false">M30-N30-O30-P30-Q30-R30-S30-T30+U30+V30</f>
        <v>347.595203</v>
      </c>
      <c r="X30" s="95"/>
      <c r="Y30" s="95"/>
      <c r="Z30" s="96" t="n">
        <f aca="false">Z29-(W30-I30)-Q30-R30-AB30-(AP30/1.9835)</f>
        <v>4943.04694716039</v>
      </c>
      <c r="AA30" s="158" t="n">
        <v>177</v>
      </c>
      <c r="AB30" s="244" t="n">
        <v>1.7</v>
      </c>
      <c r="AC30" s="245" t="n">
        <v>1.3</v>
      </c>
      <c r="AD30" s="483" t="n">
        <v>85</v>
      </c>
      <c r="AE30" s="484" t="n">
        <f aca="false">AE29-AD30</f>
        <v>10120.2578774893</v>
      </c>
      <c r="AF30" s="96"/>
      <c r="AG30" s="11" t="n">
        <f aca="false">N30+O30+P30+Q30+R30+S30+T30+W30+AA30+AD30</f>
        <v>710</v>
      </c>
      <c r="AH30" s="158" t="n">
        <f aca="false">IF(L30&lt;0,L30*-1,0)</f>
        <v>68.9279052180489</v>
      </c>
      <c r="AI30" s="158" t="n">
        <f aca="false">AG30+AH30</f>
        <v>778.927905218049</v>
      </c>
      <c r="AJ30" s="208" t="n">
        <v>0</v>
      </c>
      <c r="AK30" s="154" t="n">
        <v>84</v>
      </c>
      <c r="AL30" s="282" t="n">
        <v>47</v>
      </c>
      <c r="AM30" s="133" t="n">
        <f aca="false">AM29</f>
        <v>13022.27255</v>
      </c>
      <c r="AN30" s="155"/>
      <c r="AO30" s="133"/>
      <c r="AP30" s="215" t="n">
        <f aca="false">45.4*(X29*1.9835+Y29*1.9835+Z29*1.9835+AO29*1.9835)/E30</f>
        <v>2.59585201105429</v>
      </c>
      <c r="AQ30" s="77"/>
      <c r="AR30" s="1"/>
      <c r="AS30" s="4"/>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55" t="n">
        <v>20</v>
      </c>
      <c r="B31" s="283" t="n">
        <v>6912.08</v>
      </c>
      <c r="C31" s="96" t="n">
        <v>330370</v>
      </c>
      <c r="D31" s="154" t="n">
        <f aca="false">C31-C30</f>
        <v>-1305</v>
      </c>
      <c r="E31" s="96" t="n">
        <f aca="false">C31-152000</f>
        <v>178370</v>
      </c>
      <c r="F31" s="299" t="n">
        <f aca="false">D31/$D$2</f>
        <v>-657.927905218049</v>
      </c>
      <c r="G31" s="158" t="n">
        <v>115</v>
      </c>
      <c r="H31" s="150" t="n">
        <v>0</v>
      </c>
      <c r="I31" s="158" t="n">
        <f aca="false">G31+H31</f>
        <v>115</v>
      </c>
      <c r="J31" s="151" t="n">
        <f aca="false">IF(L31&gt;0,L31,0)</f>
        <v>0</v>
      </c>
      <c r="K31" s="158" t="n">
        <f aca="false">I31+J31</f>
        <v>115</v>
      </c>
      <c r="L31" s="158" t="n">
        <f aca="false">F31-(I31-AG31)</f>
        <v>-20.9279052180489</v>
      </c>
      <c r="M31" s="482" t="n">
        <v>276</v>
      </c>
      <c r="N31" s="215" t="n">
        <f aca="false">1.8299*1.03</f>
        <v>1.884797</v>
      </c>
      <c r="O31" s="158" t="n">
        <f aca="false">(40+42)*1.05</f>
        <v>86.1</v>
      </c>
      <c r="P31" s="215" t="n">
        <v>0</v>
      </c>
      <c r="Q31" s="215" t="n">
        <f aca="false">2.5*1.02</f>
        <v>2.55</v>
      </c>
      <c r="R31" s="215" t="n">
        <v>4.2</v>
      </c>
      <c r="S31" s="324" t="n">
        <v>3.55</v>
      </c>
      <c r="T31" s="381" t="n">
        <v>0</v>
      </c>
      <c r="U31" s="158" t="n">
        <v>114</v>
      </c>
      <c r="V31" s="485" t="n">
        <v>73</v>
      </c>
      <c r="W31" s="122" t="n">
        <f aca="false">M31-N31-O31-P31-Q31-R31-S31-T31+U31+V31</f>
        <v>364.715203</v>
      </c>
      <c r="X31" s="95"/>
      <c r="Y31" s="95"/>
      <c r="Z31" s="96" t="n">
        <f aca="false">Z30-(W31-I31)-Q31-R31-AB31-(AP31/1.9835)</f>
        <v>4683.62360472326</v>
      </c>
      <c r="AA31" s="158" t="n">
        <v>203</v>
      </c>
      <c r="AB31" s="244" t="n">
        <v>1.7</v>
      </c>
      <c r="AC31" s="245" t="n">
        <v>1.3</v>
      </c>
      <c r="AD31" s="483" t="n">
        <v>86</v>
      </c>
      <c r="AE31" s="484" t="n">
        <f aca="false">AE30-AD31</f>
        <v>10034.2578774893</v>
      </c>
      <c r="AF31" s="96"/>
      <c r="AG31" s="11" t="n">
        <f aca="false">N31+O31+P31+Q31+R31+S31+T31+W31+AA31+AD31</f>
        <v>752</v>
      </c>
      <c r="AH31" s="158" t="n">
        <f aca="false">IF(L31&lt;0,L31*-1,0)</f>
        <v>20.9279052180489</v>
      </c>
      <c r="AI31" s="158" t="n">
        <f aca="false">AG31+AH31</f>
        <v>772.927905218049</v>
      </c>
      <c r="AJ31" s="208" t="n">
        <v>0</v>
      </c>
      <c r="AK31" s="154" t="n">
        <v>86</v>
      </c>
      <c r="AL31" s="282" t="n">
        <v>48</v>
      </c>
      <c r="AM31" s="133" t="n">
        <f aca="false">AM30</f>
        <v>13022.27255</v>
      </c>
      <c r="AN31" s="155"/>
      <c r="AO31" s="133"/>
      <c r="AP31" s="215" t="n">
        <f aca="false">45.4*(X30*1.9835+Y30*1.9835+Z30*1.9835+AO30*1.9835)/E31</f>
        <v>2.49551957354962</v>
      </c>
      <c r="AQ31" s="77"/>
      <c r="AR31" s="1"/>
      <c r="AS31" s="4"/>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55" t="n">
        <v>21</v>
      </c>
      <c r="B32" s="283" t="n">
        <v>6911.74</v>
      </c>
      <c r="C32" s="96" t="n">
        <v>328993</v>
      </c>
      <c r="D32" s="154" t="n">
        <f aca="false">C32-C31</f>
        <v>-1377</v>
      </c>
      <c r="E32" s="96" t="n">
        <f aca="false">C32-152000</f>
        <v>176993</v>
      </c>
      <c r="F32" s="299" t="n">
        <f aca="false">D32/$D$2</f>
        <v>-694.227375850769</v>
      </c>
      <c r="G32" s="158" t="n">
        <v>105</v>
      </c>
      <c r="H32" s="150" t="n">
        <v>0</v>
      </c>
      <c r="I32" s="158" t="n">
        <f aca="false">G32+H32</f>
        <v>105</v>
      </c>
      <c r="J32" s="151" t="n">
        <f aca="false">IF(L32&gt;0,L32,0)</f>
        <v>0</v>
      </c>
      <c r="K32" s="158" t="n">
        <f aca="false">I32+J32</f>
        <v>105</v>
      </c>
      <c r="L32" s="158" t="n">
        <f aca="false">F32-(I32-AG32)</f>
        <v>-35.2273758507688</v>
      </c>
      <c r="M32" s="482" t="n">
        <v>278</v>
      </c>
      <c r="N32" s="215" t="n">
        <f aca="false">1.8299*1.03</f>
        <v>1.884797</v>
      </c>
      <c r="O32" s="158" t="n">
        <f aca="false">(42+43)*1.05</f>
        <v>89.25</v>
      </c>
      <c r="P32" s="215" t="n">
        <v>0</v>
      </c>
      <c r="Q32" s="215" t="n">
        <f aca="false">2.5*1.02</f>
        <v>2.55</v>
      </c>
      <c r="R32" s="215" t="n">
        <v>4.2</v>
      </c>
      <c r="S32" s="324" t="n">
        <v>3.64</v>
      </c>
      <c r="T32" s="381" t="n">
        <v>0</v>
      </c>
      <c r="U32" s="158" t="n">
        <v>114</v>
      </c>
      <c r="V32" s="485" t="n">
        <v>74</v>
      </c>
      <c r="W32" s="122" t="n">
        <f aca="false">M32-N32-O32-P32-Q32-R32-S32-T32+U32+V32</f>
        <v>364.475203</v>
      </c>
      <c r="X32" s="95"/>
      <c r="Y32" s="95"/>
      <c r="Z32" s="96" t="n">
        <f aca="false">Z31-(W32-I32)-Q32-R32-AB32-(AP32/1.9835)</f>
        <v>4414.49701798687</v>
      </c>
      <c r="AA32" s="158" t="n">
        <v>197</v>
      </c>
      <c r="AB32" s="244" t="n">
        <v>1.7</v>
      </c>
      <c r="AC32" s="245" t="n">
        <v>1.3</v>
      </c>
      <c r="AD32" s="483" t="n">
        <v>101</v>
      </c>
      <c r="AE32" s="484" t="n">
        <f aca="false">AE31-AD32</f>
        <v>9933.25787748929</v>
      </c>
      <c r="AF32" s="96"/>
      <c r="AG32" s="11" t="n">
        <f aca="false">N32+O32+P32+Q32+R32+S32+T32+W32+AA32+AD32</f>
        <v>764</v>
      </c>
      <c r="AH32" s="158" t="n">
        <f aca="false">IF(L32&lt;0,L32*-1,0)</f>
        <v>35.2273758507688</v>
      </c>
      <c r="AI32" s="158" t="n">
        <f aca="false">AG32+AH32</f>
        <v>799.227375850769</v>
      </c>
      <c r="AJ32" s="208" t="n">
        <v>0</v>
      </c>
      <c r="AK32" s="154" t="n">
        <v>84</v>
      </c>
      <c r="AL32" s="282" t="n">
        <v>46</v>
      </c>
      <c r="AM32" s="133" t="n">
        <f aca="false">AM31</f>
        <v>13022.27255</v>
      </c>
      <c r="AN32" s="155"/>
      <c r="AO32" s="133"/>
      <c r="AP32" s="215" t="n">
        <f aca="false">45.4*(X31*1.9835+Y31*1.9835+Z31*1.9835+AO31*1.9835)/E32</f>
        <v>2.38294464112464</v>
      </c>
      <c r="AQ32" s="77"/>
      <c r="AR32" s="1"/>
      <c r="AS32" s="4"/>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55" t="n">
        <v>22</v>
      </c>
      <c r="B33" s="283" t="n">
        <v>6911.38</v>
      </c>
      <c r="C33" s="96" t="n">
        <v>327536</v>
      </c>
      <c r="D33" s="154" t="n">
        <f aca="false">C33-C32</f>
        <v>-1457</v>
      </c>
      <c r="E33" s="96" t="n">
        <f aca="false">C33-152000</f>
        <v>175536</v>
      </c>
      <c r="F33" s="299" t="n">
        <f aca="false">D33/$D$2</f>
        <v>-734.560120998235</v>
      </c>
      <c r="G33" s="158" t="n">
        <v>100</v>
      </c>
      <c r="H33" s="150" t="n">
        <v>0</v>
      </c>
      <c r="I33" s="158" t="n">
        <f aca="false">G33+H33</f>
        <v>100</v>
      </c>
      <c r="J33" s="151" t="n">
        <f aca="false">IF(L33&gt;0,L33,0)</f>
        <v>0</v>
      </c>
      <c r="K33" s="158" t="n">
        <f aca="false">I33+J33</f>
        <v>100</v>
      </c>
      <c r="L33" s="158" t="n">
        <f aca="false">F33-(I33-AG33)</f>
        <v>-23.5601209982354</v>
      </c>
      <c r="M33" s="482" t="n">
        <v>303</v>
      </c>
      <c r="N33" s="215" t="n">
        <f aca="false">1.8299*1.03</f>
        <v>1.884797</v>
      </c>
      <c r="O33" s="158" t="n">
        <f aca="false">(45+46)*1.05</f>
        <v>95.55</v>
      </c>
      <c r="P33" s="215" t="n">
        <v>0</v>
      </c>
      <c r="Q33" s="215" t="n">
        <f aca="false">2.5*1.02</f>
        <v>2.55</v>
      </c>
      <c r="R33" s="215" t="n">
        <v>4.2</v>
      </c>
      <c r="S33" s="324" t="n">
        <v>3.57</v>
      </c>
      <c r="T33" s="381" t="n">
        <v>0</v>
      </c>
      <c r="U33" s="158" t="n">
        <v>126</v>
      </c>
      <c r="V33" s="158" t="n">
        <v>74</v>
      </c>
      <c r="W33" s="122" t="n">
        <f aca="false">M33-N33-O33-P33-Q33-R33-S33-T33+U33+V33</f>
        <v>395.245203</v>
      </c>
      <c r="X33" s="95"/>
      <c r="Y33" s="95"/>
      <c r="Z33" s="96" t="n">
        <f aca="false">Z32-(W33-I33)-Q33-R33-AB33-(AP33/1.9835)</f>
        <v>4109.66006534795</v>
      </c>
      <c r="AA33" s="158" t="n">
        <v>218</v>
      </c>
      <c r="AB33" s="244" t="n">
        <v>1.7</v>
      </c>
      <c r="AC33" s="245" t="n">
        <v>1.3</v>
      </c>
      <c r="AD33" s="483" t="n">
        <v>90</v>
      </c>
      <c r="AE33" s="484" t="n">
        <f aca="false">AE32-AD33</f>
        <v>9843.25787748929</v>
      </c>
      <c r="AF33" s="96"/>
      <c r="AG33" s="11" t="n">
        <f aca="false">N33+O33+P33+Q33+R33+S33+T33+W33+AA33+AD33</f>
        <v>811</v>
      </c>
      <c r="AH33" s="158" t="n">
        <f aca="false">IF(L33&lt;0,L33*-1,0)</f>
        <v>23.5601209982354</v>
      </c>
      <c r="AI33" s="158" t="n">
        <f aca="false">AG33+AH33</f>
        <v>834.560120998236</v>
      </c>
      <c r="AJ33" s="208" t="n">
        <v>0</v>
      </c>
      <c r="AK33" s="154" t="n">
        <v>86</v>
      </c>
      <c r="AL33" s="282" t="n">
        <v>44</v>
      </c>
      <c r="AM33" s="133" t="n">
        <f aca="false">AM32</f>
        <v>13022.27255</v>
      </c>
      <c r="AN33" s="155"/>
      <c r="AO33" s="133"/>
      <c r="AP33" s="215" t="n">
        <f aca="false">45.4*(X32*1.9835+Y32*1.9835+Z32*1.9835+AO32*1.9835)/E33</f>
        <v>2.26466040878813</v>
      </c>
      <c r="AQ33" s="77"/>
      <c r="AR33" s="1"/>
      <c r="AS33" s="4"/>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55" t="n">
        <v>23</v>
      </c>
      <c r="B34" s="283" t="n">
        <v>6911.02</v>
      </c>
      <c r="C34" s="96" t="n">
        <v>326080</v>
      </c>
      <c r="D34" s="154" t="n">
        <f aca="false">C34-C33</f>
        <v>-1456</v>
      </c>
      <c r="E34" s="96" t="n">
        <f aca="false">C34-152000</f>
        <v>174080</v>
      </c>
      <c r="F34" s="299" t="n">
        <f aca="false">D34/$D$2</f>
        <v>-734.055961683892</v>
      </c>
      <c r="G34" s="158" t="n">
        <v>93</v>
      </c>
      <c r="H34" s="150" t="n">
        <v>0</v>
      </c>
      <c r="I34" s="158" t="n">
        <f aca="false">G34+H34</f>
        <v>93</v>
      </c>
      <c r="J34" s="151" t="n">
        <f aca="false">IF(L34&gt;0,L34,0)</f>
        <v>0</v>
      </c>
      <c r="K34" s="158" t="n">
        <f aca="false">I34+J34</f>
        <v>93</v>
      </c>
      <c r="L34" s="158" t="n">
        <f aca="false">F34-(I34-AG34)</f>
        <v>-17.0559616838921</v>
      </c>
      <c r="M34" s="482" t="n">
        <v>279</v>
      </c>
      <c r="N34" s="215" t="n">
        <f aca="false">1.8299*1.03</f>
        <v>1.884797</v>
      </c>
      <c r="O34" s="158" t="n">
        <f aca="false">(44+40)*1.05</f>
        <v>88.2</v>
      </c>
      <c r="P34" s="215" t="n">
        <v>0</v>
      </c>
      <c r="Q34" s="215" t="n">
        <f aca="false">2.5*1.02</f>
        <v>2.55</v>
      </c>
      <c r="R34" s="215" t="n">
        <v>4.2</v>
      </c>
      <c r="S34" s="324" t="n">
        <v>3.63</v>
      </c>
      <c r="T34" s="381" t="n">
        <v>0</v>
      </c>
      <c r="U34" s="158" t="n">
        <v>134</v>
      </c>
      <c r="V34" s="158" t="n">
        <v>80</v>
      </c>
      <c r="W34" s="122" t="n">
        <f aca="false">M34-N34-O34-P34-Q34-R34-S34-T34+U34+V34</f>
        <v>392.535203</v>
      </c>
      <c r="X34" s="95"/>
      <c r="Y34" s="95"/>
      <c r="Z34" s="96" t="n">
        <f aca="false">Z33-(W34-I34)-Q34-R34-AB34-(AP34/1.9835)</f>
        <v>3800.60306451381</v>
      </c>
      <c r="AA34" s="158" t="n">
        <v>228</v>
      </c>
      <c r="AB34" s="244" t="n">
        <v>1.7</v>
      </c>
      <c r="AC34" s="245" t="n">
        <v>1.3</v>
      </c>
      <c r="AD34" s="483" t="n">
        <v>89</v>
      </c>
      <c r="AE34" s="484" t="n">
        <f aca="false">AE33-AD34</f>
        <v>9754.25787748929</v>
      </c>
      <c r="AF34" s="96"/>
      <c r="AG34" s="11" t="n">
        <f aca="false">N34+O34+P34+Q34+R34+S34+T34+W34+AA34+AD34</f>
        <v>810</v>
      </c>
      <c r="AH34" s="158" t="n">
        <f aca="false">IF(L34&lt;0,L34*-1,0)</f>
        <v>17.0559616838921</v>
      </c>
      <c r="AI34" s="158" t="n">
        <f aca="false">AG34+AH34</f>
        <v>827.055961683892</v>
      </c>
      <c r="AJ34" s="208" t="n">
        <v>0</v>
      </c>
      <c r="AK34" s="154" t="n">
        <v>88</v>
      </c>
      <c r="AL34" s="282" t="n">
        <v>47</v>
      </c>
      <c r="AM34" s="133" t="n">
        <f aca="false">AM33</f>
        <v>13022.27255</v>
      </c>
      <c r="AN34" s="155"/>
      <c r="AO34" s="133"/>
      <c r="AP34" s="215" t="n">
        <f aca="false">45.4*(X33*1.9835+Y33*1.9835+Z33*1.9835+AO33*1.9835)/E34</f>
        <v>2.12591100401334</v>
      </c>
      <c r="AQ34" s="77"/>
      <c r="AR34" s="1"/>
      <c r="AS34" s="4"/>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55" t="n">
        <v>24</v>
      </c>
      <c r="B35" s="283" t="n">
        <v>6910.66</v>
      </c>
      <c r="C35" s="96" t="n">
        <v>324635</v>
      </c>
      <c r="D35" s="154" t="n">
        <f aca="false">C35-C34</f>
        <v>-1445</v>
      </c>
      <c r="E35" s="96" t="n">
        <f aca="false">C35-152000</f>
        <v>172635</v>
      </c>
      <c r="F35" s="299" t="n">
        <f aca="false">D35/$D$2</f>
        <v>-728.510209226115</v>
      </c>
      <c r="G35" s="158" t="n">
        <v>92</v>
      </c>
      <c r="H35" s="150" t="n">
        <v>0</v>
      </c>
      <c r="I35" s="158" t="n">
        <f aca="false">G35+H35</f>
        <v>92</v>
      </c>
      <c r="J35" s="151" t="n">
        <f aca="false">IF(L35&gt;0,L35,0)</f>
        <v>0</v>
      </c>
      <c r="K35" s="158" t="n">
        <f aca="false">I35+J35</f>
        <v>92</v>
      </c>
      <c r="L35" s="158" t="n">
        <f aca="false">F35-(I35-AG35)</f>
        <v>-1.51020922611542</v>
      </c>
      <c r="M35" s="482" t="n">
        <v>288</v>
      </c>
      <c r="N35" s="215" t="n">
        <f aca="false">1.8299*1.03</f>
        <v>1.884797</v>
      </c>
      <c r="O35" s="158" t="n">
        <f aca="false">(43+44*1.05)</f>
        <v>89.2</v>
      </c>
      <c r="P35" s="215" t="n">
        <v>0</v>
      </c>
      <c r="Q35" s="215" t="n">
        <f aca="false">2.5*1.02</f>
        <v>2.55</v>
      </c>
      <c r="R35" s="215" t="n">
        <v>4.2</v>
      </c>
      <c r="S35" s="324" t="n">
        <v>4.41</v>
      </c>
      <c r="T35" s="381" t="n">
        <v>0</v>
      </c>
      <c r="U35" s="158" t="n">
        <v>134</v>
      </c>
      <c r="V35" s="158" t="n">
        <v>86</v>
      </c>
      <c r="W35" s="122" t="n">
        <f aca="false">M35-N35-O35-P35-Q35-R35-S35-T35+U35+V35</f>
        <v>405.755203</v>
      </c>
      <c r="X35" s="95"/>
      <c r="Y35" s="95"/>
      <c r="Z35" s="96" t="n">
        <f aca="false">Z34-(W35-I35)-Q35-R35-AB35-(AP35/1.9835)</f>
        <v>3477.39836906368</v>
      </c>
      <c r="AA35" s="158" t="n">
        <v>222</v>
      </c>
      <c r="AB35" s="244" t="n">
        <v>1.7</v>
      </c>
      <c r="AC35" s="245" t="n">
        <v>1.3</v>
      </c>
      <c r="AD35" s="483" t="n">
        <v>89</v>
      </c>
      <c r="AE35" s="484" t="n">
        <f aca="false">AE34-AD35</f>
        <v>9665.25787748929</v>
      </c>
      <c r="AF35" s="96"/>
      <c r="AG35" s="11" t="n">
        <f aca="false">N35+O35+P35+Q35+R35+S35+T35+W35+AA35+AD35</f>
        <v>819</v>
      </c>
      <c r="AH35" s="158" t="n">
        <f aca="false">IF(L35&lt;0,L35*-1,0)</f>
        <v>1.51020922611542</v>
      </c>
      <c r="AI35" s="158" t="n">
        <f aca="false">AG35+AH35</f>
        <v>820.510209226115</v>
      </c>
      <c r="AJ35" s="208" t="n">
        <v>0</v>
      </c>
      <c r="AK35" s="154" t="n">
        <v>86</v>
      </c>
      <c r="AL35" s="282" t="n">
        <v>53</v>
      </c>
      <c r="AM35" s="133" t="n">
        <f aca="false">AM34</f>
        <v>13022.27255</v>
      </c>
      <c r="AN35" s="155"/>
      <c r="AO35" s="133"/>
      <c r="AP35" s="215" t="n">
        <f aca="false">45.4*(X34*1.9835+Y34*1.9835+Z34*1.9835+AO34*1.9835)/E35</f>
        <v>1.9824932748413</v>
      </c>
      <c r="AQ35" s="77"/>
      <c r="AR35" s="1"/>
      <c r="AS35" s="4"/>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55" t="n">
        <v>25</v>
      </c>
      <c r="B36" s="283" t="n">
        <v>6910.29</v>
      </c>
      <c r="C36" s="96" t="n">
        <v>323150</v>
      </c>
      <c r="D36" s="154" t="n">
        <f aca="false">C36-C35</f>
        <v>-1485</v>
      </c>
      <c r="E36" s="96" t="n">
        <f aca="false">C36-152000</f>
        <v>171150</v>
      </c>
      <c r="F36" s="299" t="n">
        <f aca="false">D36/$D$2</f>
        <v>-748.676581799849</v>
      </c>
      <c r="G36" s="158" t="n">
        <v>97</v>
      </c>
      <c r="H36" s="150" t="n">
        <v>0</v>
      </c>
      <c r="I36" s="158" t="n">
        <f aca="false">G36+H36</f>
        <v>97</v>
      </c>
      <c r="J36" s="151" t="n">
        <f aca="false">IF(L36&gt;0,L36,0)</f>
        <v>0</v>
      </c>
      <c r="K36" s="158" t="n">
        <f aca="false">I36+J36</f>
        <v>97</v>
      </c>
      <c r="L36" s="158" t="n">
        <f aca="false">F36-(I36-AG36)</f>
        <v>-0.676581799848691</v>
      </c>
      <c r="M36" s="482" t="n">
        <v>279</v>
      </c>
      <c r="N36" s="215" t="n">
        <f aca="false">1.8299*1.03</f>
        <v>1.884797</v>
      </c>
      <c r="O36" s="158" t="n">
        <f aca="false">(40+40)*1.05</f>
        <v>84</v>
      </c>
      <c r="P36" s="215" t="n">
        <v>0</v>
      </c>
      <c r="Q36" s="215" t="n">
        <f aca="false">2.5*1.02</f>
        <v>2.55</v>
      </c>
      <c r="R36" s="215" t="n">
        <v>4.2</v>
      </c>
      <c r="S36" s="324" t="n">
        <v>4.49</v>
      </c>
      <c r="T36" s="381" t="n">
        <v>0</v>
      </c>
      <c r="U36" s="158" t="n">
        <v>134</v>
      </c>
      <c r="V36" s="158" t="n">
        <v>87</v>
      </c>
      <c r="W36" s="122" t="n">
        <f aca="false">M36-N36-O36-P36-Q36-R36-S36-T36+U36+V36</f>
        <v>402.875203</v>
      </c>
      <c r="X36" s="95"/>
      <c r="Y36" s="95"/>
      <c r="Z36" s="96" t="n">
        <f aca="false">Z35-(W36-I36)-Q36-R36-AB36-(AP36/1.9835)</f>
        <v>3162.1507361136</v>
      </c>
      <c r="AA36" s="158" t="n">
        <v>256</v>
      </c>
      <c r="AB36" s="244" t="n">
        <v>1.7</v>
      </c>
      <c r="AC36" s="245" t="n">
        <v>1.3</v>
      </c>
      <c r="AD36" s="483" t="n">
        <v>89</v>
      </c>
      <c r="AE36" s="484" t="n">
        <f aca="false">AE35-AD36</f>
        <v>9576.25787748929</v>
      </c>
      <c r="AF36" s="96"/>
      <c r="AG36" s="11" t="n">
        <f aca="false">N36+O36+P36+Q36+R36+S36+T36+W36+AA36+AD36</f>
        <v>845</v>
      </c>
      <c r="AH36" s="158" t="n">
        <f aca="false">IF(L36&lt;0,L36*-1,0)</f>
        <v>0.676581799848691</v>
      </c>
      <c r="AI36" s="158" t="n">
        <f aca="false">AG36+AH36</f>
        <v>845.676581799849</v>
      </c>
      <c r="AJ36" s="208" t="n">
        <v>0.02</v>
      </c>
      <c r="AK36" s="154" t="n">
        <v>83</v>
      </c>
      <c r="AL36" s="282" t="n">
        <v>52</v>
      </c>
      <c r="AM36" s="133" t="n">
        <f aca="false">AM35</f>
        <v>13022.27255</v>
      </c>
      <c r="AN36" s="155"/>
      <c r="AO36" s="133"/>
      <c r="AP36" s="215" t="n">
        <f aca="false">45.4*(X35*1.9835+Y35*1.9835+Z35*1.9835+AO35*1.9835)/E36</f>
        <v>1.82963980597556</v>
      </c>
      <c r="AQ36" s="77"/>
      <c r="AR36" s="1"/>
      <c r="AS36" s="4"/>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55" t="n">
        <v>26</v>
      </c>
      <c r="B37" s="283" t="n">
        <v>6909.87</v>
      </c>
      <c r="C37" s="96" t="n">
        <v>321469</v>
      </c>
      <c r="D37" s="154" t="n">
        <f aca="false">C37-C36</f>
        <v>-1681</v>
      </c>
      <c r="E37" s="96" t="n">
        <f aca="false">C37-152000</f>
        <v>169469</v>
      </c>
      <c r="F37" s="299" t="n">
        <f aca="false">D37/$D$2</f>
        <v>-847.491807411142</v>
      </c>
      <c r="G37" s="158" t="n">
        <v>134</v>
      </c>
      <c r="H37" s="150" t="n">
        <v>0</v>
      </c>
      <c r="I37" s="158" t="n">
        <f aca="false">G37+H37</f>
        <v>134</v>
      </c>
      <c r="J37" s="151" t="n">
        <f aca="false">IF(L37&gt;0,L37,0)</f>
        <v>4.50819258885815</v>
      </c>
      <c r="K37" s="158" t="n">
        <f aca="false">I37+J37</f>
        <v>138.508192588858</v>
      </c>
      <c r="L37" s="158" t="n">
        <f aca="false">F37-(I37-AG37)</f>
        <v>4.50819258885815</v>
      </c>
      <c r="M37" s="482" t="n">
        <v>294</v>
      </c>
      <c r="N37" s="215" t="n">
        <f aca="false">1.8299*1.03</f>
        <v>1.884797</v>
      </c>
      <c r="O37" s="158" t="n">
        <f aca="false">(39+42)*1.05</f>
        <v>85.05</v>
      </c>
      <c r="P37" s="215" t="n">
        <v>0</v>
      </c>
      <c r="Q37" s="215" t="n">
        <f aca="false">2.5*1.02</f>
        <v>2.55</v>
      </c>
      <c r="R37" s="215" t="n">
        <v>4.2</v>
      </c>
      <c r="S37" s="324" t="n">
        <v>2.89</v>
      </c>
      <c r="T37" s="381" t="n">
        <v>0</v>
      </c>
      <c r="U37" s="158" t="n">
        <v>135</v>
      </c>
      <c r="V37" s="158" t="n">
        <v>84</v>
      </c>
      <c r="W37" s="122" t="n">
        <f aca="false">M37-N37-O37-P37-Q37-R37-S37-T37+U37+V37</f>
        <v>416.425203</v>
      </c>
      <c r="X37" s="95"/>
      <c r="Y37" s="95"/>
      <c r="Z37" s="96" t="n">
        <f aca="false">Z36-(W37-I37)-Q37-R37-AB37-(AP37/1.9835)</f>
        <v>2870.42840683435</v>
      </c>
      <c r="AA37" s="158" t="n">
        <v>240</v>
      </c>
      <c r="AB37" s="244" t="n">
        <v>1.7</v>
      </c>
      <c r="AC37" s="245" t="n">
        <v>1.3</v>
      </c>
      <c r="AD37" s="483" t="n">
        <v>233</v>
      </c>
      <c r="AE37" s="484" t="n">
        <f aca="false">AE36-AD37</f>
        <v>9343.25787748929</v>
      </c>
      <c r="AF37" s="96"/>
      <c r="AG37" s="11" t="n">
        <f aca="false">N37+O37+P37+Q37+R37+S37+T37+W37+AA37+AD37</f>
        <v>986</v>
      </c>
      <c r="AH37" s="158" t="n">
        <f aca="false">IF(L37&lt;0,L37*-1,0)</f>
        <v>0</v>
      </c>
      <c r="AI37" s="158" t="n">
        <f aca="false">AG37+AH37</f>
        <v>986</v>
      </c>
      <c r="AJ37" s="208" t="n">
        <v>0</v>
      </c>
      <c r="AK37" s="154" t="n">
        <v>82</v>
      </c>
      <c r="AL37" s="282" t="n">
        <v>52</v>
      </c>
      <c r="AM37" s="133" t="n">
        <f aca="false">AM36</f>
        <v>13022.27255</v>
      </c>
      <c r="AN37" s="155"/>
      <c r="AO37" s="133"/>
      <c r="AP37" s="215" t="n">
        <f aca="false">45.4*(X36*1.9835+Y36*1.9835+Z36*1.9835+AO36*1.9835)/E37</f>
        <v>1.68027497490805</v>
      </c>
      <c r="AQ37" s="77"/>
      <c r="AR37" s="1"/>
      <c r="AS37" s="4"/>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55" t="n">
        <v>27</v>
      </c>
      <c r="B38" s="283" t="n">
        <v>6909.47</v>
      </c>
      <c r="C38" s="96" t="n">
        <v>319876</v>
      </c>
      <c r="D38" s="154" t="n">
        <f aca="false">C38-C37</f>
        <v>-1593</v>
      </c>
      <c r="E38" s="96" t="n">
        <f aca="false">C38-152000</f>
        <v>167876</v>
      </c>
      <c r="F38" s="299" t="n">
        <f aca="false">D38/$D$2</f>
        <v>-803.125787748929</v>
      </c>
      <c r="G38" s="158" t="n">
        <v>117</v>
      </c>
      <c r="H38" s="150" t="n">
        <v>0</v>
      </c>
      <c r="I38" s="158" t="n">
        <f aca="false">G38+H38</f>
        <v>117</v>
      </c>
      <c r="J38" s="151" t="n">
        <f aca="false">IF(L38&gt;0,L38,0)</f>
        <v>0</v>
      </c>
      <c r="K38" s="158" t="n">
        <f aca="false">I38+J38</f>
        <v>117</v>
      </c>
      <c r="L38" s="158" t="n">
        <f aca="false">F38-(I38-AG38)</f>
        <v>-69.1257877489287</v>
      </c>
      <c r="M38" s="482" t="n">
        <v>306</v>
      </c>
      <c r="N38" s="215" t="n">
        <f aca="false">1.8299*1.03</f>
        <v>1.884797</v>
      </c>
      <c r="O38" s="158" t="n">
        <f aca="false">(42+44)*1.05</f>
        <v>90.3</v>
      </c>
      <c r="P38" s="215" t="n">
        <v>0</v>
      </c>
      <c r="Q38" s="215" t="n">
        <f aca="false">2.5*1.02</f>
        <v>2.55</v>
      </c>
      <c r="R38" s="215" t="n">
        <v>4.2</v>
      </c>
      <c r="S38" s="324" t="n">
        <v>3.68</v>
      </c>
      <c r="T38" s="381" t="n">
        <v>0</v>
      </c>
      <c r="U38" s="158" t="n">
        <v>134</v>
      </c>
      <c r="V38" s="158" t="n">
        <v>81</v>
      </c>
      <c r="W38" s="122" t="n">
        <f aca="false">M38-N38-O38-P38-Q38-R38-S38-T38+U38+V38</f>
        <v>418.385203</v>
      </c>
      <c r="X38" s="95"/>
      <c r="Y38" s="95"/>
      <c r="Z38" s="96" t="n">
        <f aca="false">Z37-(W38-I38)-Q38-R38-AB38-(AP38/1.9835)</f>
        <v>2559.81693176645</v>
      </c>
      <c r="AA38" s="158" t="n">
        <v>244</v>
      </c>
      <c r="AB38" s="244" t="n">
        <v>1.7</v>
      </c>
      <c r="AC38" s="245" t="n">
        <v>1.3</v>
      </c>
      <c r="AD38" s="483" t="n">
        <v>86</v>
      </c>
      <c r="AE38" s="484" t="n">
        <f aca="false">AE37-AD38</f>
        <v>9257.25787748929</v>
      </c>
      <c r="AF38" s="96"/>
      <c r="AG38" s="11" t="n">
        <f aca="false">N38+O38+P38+Q38+R38+S38+T38+W38+AA38+AD38</f>
        <v>851</v>
      </c>
      <c r="AH38" s="158" t="n">
        <f aca="false">IF(L38&lt;0,L38*-1,0)</f>
        <v>69.1257877489287</v>
      </c>
      <c r="AI38" s="158" t="n">
        <f aca="false">AG38+AH38</f>
        <v>920.125787748929</v>
      </c>
      <c r="AJ38" s="208" t="n">
        <v>0</v>
      </c>
      <c r="AK38" s="154" t="n">
        <v>89</v>
      </c>
      <c r="AL38" s="282" t="n">
        <v>49</v>
      </c>
      <c r="AM38" s="133" t="n">
        <f aca="false">AM37</f>
        <v>13022.27255</v>
      </c>
      <c r="AN38" s="155"/>
      <c r="AO38" s="133"/>
      <c r="AP38" s="215" t="n">
        <f aca="false">45.4*(X37*1.9835+Y37*1.9835+Z37*1.9835+AO37*1.9835)/E38</f>
        <v>1.53973564667373</v>
      </c>
      <c r="AQ38" s="77"/>
      <c r="AR38" s="1"/>
      <c r="AS38" s="4"/>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486" t="n">
        <v>28</v>
      </c>
      <c r="B39" s="487" t="n">
        <v>6909.11</v>
      </c>
      <c r="C39" s="430" t="n">
        <v>318443</v>
      </c>
      <c r="D39" s="488" t="n">
        <f aca="false">C39-C38</f>
        <v>-1433</v>
      </c>
      <c r="E39" s="430" t="n">
        <f aca="false">C39-152000</f>
        <v>166443</v>
      </c>
      <c r="F39" s="489" t="n">
        <f aca="false">D39/$D$2</f>
        <v>-722.460297453995</v>
      </c>
      <c r="G39" s="485" t="n">
        <v>102</v>
      </c>
      <c r="H39" s="150" t="n">
        <v>0</v>
      </c>
      <c r="I39" s="485" t="n">
        <f aca="false">G39+H39</f>
        <v>102</v>
      </c>
      <c r="J39" s="490" t="n">
        <f aca="false">IF(L39&gt;0,L39,0)</f>
        <v>26.5397025460046</v>
      </c>
      <c r="K39" s="485" t="n">
        <f aca="false">I39+J39</f>
        <v>128.539702546005</v>
      </c>
      <c r="L39" s="485" t="n">
        <f aca="false">F39-(I39-AG39)</f>
        <v>26.5397025460046</v>
      </c>
      <c r="M39" s="491" t="n">
        <v>297</v>
      </c>
      <c r="N39" s="215" t="n">
        <f aca="false">1.8299*1.03</f>
        <v>1.884797</v>
      </c>
      <c r="O39" s="485" t="n">
        <f aca="false">(42+38)*1.05</f>
        <v>84</v>
      </c>
      <c r="P39" s="215" t="n">
        <v>0</v>
      </c>
      <c r="Q39" s="215" t="n">
        <f aca="false">2.5*1.02</f>
        <v>2.55</v>
      </c>
      <c r="R39" s="215" t="n">
        <v>4.2</v>
      </c>
      <c r="S39" s="324" t="n">
        <v>3.72</v>
      </c>
      <c r="T39" s="381" t="n">
        <v>0</v>
      </c>
      <c r="U39" s="485" t="n">
        <v>133</v>
      </c>
      <c r="V39" s="485" t="n">
        <v>80</v>
      </c>
      <c r="W39" s="122" t="n">
        <f aca="false">M39-N39-O39-P39-Q39-R39-S39-T39+U39+V39</f>
        <v>413.645203</v>
      </c>
      <c r="X39" s="95"/>
      <c r="Y39" s="95"/>
      <c r="Z39" s="96" t="n">
        <f aca="false">Z38-(W39-I39)-Q39-R39-AB39-(AP39/1.9835)</f>
        <v>2239.02349760802</v>
      </c>
      <c r="AA39" s="485" t="n">
        <v>254</v>
      </c>
      <c r="AB39" s="244" t="n">
        <v>1.7</v>
      </c>
      <c r="AC39" s="245" t="n">
        <v>1.3</v>
      </c>
      <c r="AD39" s="483" t="n">
        <v>87</v>
      </c>
      <c r="AE39" s="484" t="n">
        <f aca="false">AE38-AD39</f>
        <v>9170.25787748929</v>
      </c>
      <c r="AF39" s="96"/>
      <c r="AG39" s="11" t="n">
        <f aca="false">N39+O39+P39+Q39+R39+S39+T39+W39+AA39+AD39</f>
        <v>851</v>
      </c>
      <c r="AH39" s="485" t="n">
        <f aca="false">IF(L39&lt;0,L39*-1,0)</f>
        <v>0</v>
      </c>
      <c r="AI39" s="485" t="n">
        <f aca="false">AG39+AH39</f>
        <v>851</v>
      </c>
      <c r="AJ39" s="492" t="n">
        <v>0</v>
      </c>
      <c r="AK39" s="488" t="n">
        <v>88</v>
      </c>
      <c r="AL39" s="493" t="n">
        <v>47</v>
      </c>
      <c r="AM39" s="133" t="n">
        <f aca="false">AM38</f>
        <v>13022.27255</v>
      </c>
      <c r="AN39" s="155"/>
      <c r="AO39" s="133"/>
      <c r="AP39" s="215" t="n">
        <f aca="false">45.4*(X38*1.9835+Y38*1.9835+Z38*1.9835+AO38*1.9835)/E39</f>
        <v>1.38494150274152</v>
      </c>
      <c r="AQ39" s="77"/>
      <c r="AR39" s="1"/>
      <c r="AS39" s="4"/>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486" t="n">
        <v>29</v>
      </c>
      <c r="B40" s="487" t="n">
        <v>6908.73</v>
      </c>
      <c r="C40" s="430" t="n">
        <v>316939</v>
      </c>
      <c r="D40" s="488" t="n">
        <f aca="false">C40-C39</f>
        <v>-1504</v>
      </c>
      <c r="E40" s="430" t="n">
        <f aca="false">C40-152000</f>
        <v>164939</v>
      </c>
      <c r="F40" s="489" t="n">
        <f aca="false">D40/$D$2</f>
        <v>-758.255608772372</v>
      </c>
      <c r="G40" s="485" t="n">
        <v>93</v>
      </c>
      <c r="H40" s="494" t="n">
        <v>0</v>
      </c>
      <c r="I40" s="485" t="n">
        <f aca="false">G40+H40</f>
        <v>93</v>
      </c>
      <c r="J40" s="490" t="n">
        <f aca="false">IF(L40&gt;0,L40,0)</f>
        <v>4.74439122762794</v>
      </c>
      <c r="K40" s="485" t="n">
        <f aca="false">I40+J40</f>
        <v>97.744391227628</v>
      </c>
      <c r="L40" s="485" t="n">
        <f aca="false">F40-(I40-AG40)</f>
        <v>4.74439122762794</v>
      </c>
      <c r="M40" s="491" t="n">
        <v>297</v>
      </c>
      <c r="N40" s="215" t="n">
        <f aca="false">1.8299*1.03</f>
        <v>1.884797</v>
      </c>
      <c r="O40" s="485" t="n">
        <f aca="false">(39+41)*1.05</f>
        <v>84</v>
      </c>
      <c r="P40" s="215" t="n">
        <v>0</v>
      </c>
      <c r="Q40" s="215" t="n">
        <f aca="false">2.5*1.02</f>
        <v>2.55</v>
      </c>
      <c r="R40" s="215" t="n">
        <v>4.2</v>
      </c>
      <c r="S40" s="324" t="n">
        <v>3.87</v>
      </c>
      <c r="T40" s="381" t="n">
        <v>0</v>
      </c>
      <c r="U40" s="485" t="n">
        <v>140</v>
      </c>
      <c r="V40" s="485" t="n">
        <v>79</v>
      </c>
      <c r="W40" s="122" t="n">
        <f aca="false">M40-N40-O40-P40-Q40-R40-S40-T40+U40+V40</f>
        <v>419.495203</v>
      </c>
      <c r="X40" s="95"/>
      <c r="Y40" s="95"/>
      <c r="Z40" s="96" t="n">
        <f aca="false">Z39-(W40-I40)-Q40-R40-AB40-(AP40/1.9835)</f>
        <v>1903.46199605649</v>
      </c>
      <c r="AA40" s="485" t="n">
        <v>253</v>
      </c>
      <c r="AB40" s="244" t="n">
        <v>1.7</v>
      </c>
      <c r="AC40" s="245" t="n">
        <v>1.3</v>
      </c>
      <c r="AD40" s="483" t="n">
        <v>87</v>
      </c>
      <c r="AE40" s="484" t="n">
        <f aca="false">AE39-AD40</f>
        <v>9083.25787748929</v>
      </c>
      <c r="AF40" s="96"/>
      <c r="AG40" s="11" t="n">
        <f aca="false">N40+O40+P40+Q40+R40+S40+T40+W40+AA40+AD40</f>
        <v>856</v>
      </c>
      <c r="AH40" s="485" t="n">
        <f aca="false">IF(L40&lt;0,L40*-1,0)</f>
        <v>0</v>
      </c>
      <c r="AI40" s="485" t="n">
        <f aca="false">AG40+AH40</f>
        <v>856</v>
      </c>
      <c r="AJ40" s="492" t="n">
        <v>0</v>
      </c>
      <c r="AK40" s="488" t="n">
        <v>85</v>
      </c>
      <c r="AL40" s="493" t="n">
        <v>54</v>
      </c>
      <c r="AM40" s="133" t="n">
        <f aca="false">AM39</f>
        <v>13022.27255</v>
      </c>
      <c r="AN40" s="155"/>
      <c r="AO40" s="133"/>
      <c r="AP40" s="215" t="n">
        <f aca="false">45.4*(X39*1.9835+Y39*1.9835+Z39*1.9835+AO39*1.9835)/E40</f>
        <v>1.22242817696694</v>
      </c>
      <c r="AQ40" s="77"/>
      <c r="AR40" s="1"/>
      <c r="AS40" s="4"/>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486" t="n">
        <v>30</v>
      </c>
      <c r="B41" s="487" t="n">
        <v>6908.35</v>
      </c>
      <c r="C41" s="430" t="n">
        <v>315438</v>
      </c>
      <c r="D41" s="488" t="n">
        <f aca="false">C41-C40</f>
        <v>-1501</v>
      </c>
      <c r="E41" s="430" t="n">
        <f aca="false">C41-152000</f>
        <v>163438</v>
      </c>
      <c r="F41" s="489" t="n">
        <f aca="false">D41/$D$2</f>
        <v>-756.743130829342</v>
      </c>
      <c r="G41" s="485" t="n">
        <v>91</v>
      </c>
      <c r="H41" s="494" t="n">
        <v>0</v>
      </c>
      <c r="I41" s="485" t="n">
        <f aca="false">G41+H41</f>
        <v>91</v>
      </c>
      <c r="J41" s="490" t="n">
        <f aca="false">IF(L41&gt;0,L41,0)</f>
        <v>0</v>
      </c>
      <c r="K41" s="485" t="n">
        <f aca="false">I41+J41</f>
        <v>91</v>
      </c>
      <c r="L41" s="485" t="n">
        <f aca="false">F41-(I41-AG41)</f>
        <v>-24.743130829342</v>
      </c>
      <c r="M41" s="491" t="n">
        <v>267</v>
      </c>
      <c r="N41" s="215" t="n">
        <f aca="false">1.8299*1.03</f>
        <v>1.884797</v>
      </c>
      <c r="O41" s="485" t="n">
        <f aca="false">(37+37)*1.05</f>
        <v>77.7</v>
      </c>
      <c r="P41" s="215" t="n">
        <v>0</v>
      </c>
      <c r="Q41" s="215" t="n">
        <f aca="false">2.5*1.02</f>
        <v>2.55</v>
      </c>
      <c r="R41" s="215" t="n">
        <v>4.2</v>
      </c>
      <c r="S41" s="82" t="n">
        <v>3.61</v>
      </c>
      <c r="T41" s="381" t="n">
        <v>0</v>
      </c>
      <c r="U41" s="485" t="n">
        <v>136</v>
      </c>
      <c r="V41" s="485" t="n">
        <v>79</v>
      </c>
      <c r="W41" s="122" t="n">
        <f aca="false">M41-N41-O41-P41-Q41-R41-S41-T41+U41+V41</f>
        <v>392.055203</v>
      </c>
      <c r="X41" s="95"/>
      <c r="Y41" s="95"/>
      <c r="Z41" s="96" t="n">
        <f aca="false">Z40-(W41-I41)-Q41-R41-AB41-(AP41/1.9835)</f>
        <v>1593.42804714293</v>
      </c>
      <c r="AA41" s="485" t="n">
        <v>262</v>
      </c>
      <c r="AB41" s="244" t="n">
        <v>1.7</v>
      </c>
      <c r="AC41" s="245" t="n">
        <v>1.3</v>
      </c>
      <c r="AD41" s="483" t="n">
        <v>79</v>
      </c>
      <c r="AE41" s="484" t="n">
        <f aca="false">AE40-AD41</f>
        <v>9004.25787748929</v>
      </c>
      <c r="AF41" s="96"/>
      <c r="AG41" s="11" t="n">
        <f aca="false">N41+O41+P41+Q41+R41+S41+T41+W41+AA41+AD41</f>
        <v>823</v>
      </c>
      <c r="AH41" s="485" t="n">
        <f aca="false">IF(L41&lt;0,L41*-1,0)</f>
        <v>24.743130829342</v>
      </c>
      <c r="AI41" s="485" t="n">
        <f aca="false">AG41+AH41</f>
        <v>847.743130829342</v>
      </c>
      <c r="AJ41" s="492" t="n">
        <v>0</v>
      </c>
      <c r="AK41" s="488" t="n">
        <v>80</v>
      </c>
      <c r="AL41" s="493" t="n">
        <v>56</v>
      </c>
      <c r="AM41" s="133" t="n">
        <f aca="false">AM40</f>
        <v>13022.27255</v>
      </c>
      <c r="AN41" s="155"/>
      <c r="AO41" s="133"/>
      <c r="AP41" s="215" t="n">
        <f aca="false">45.4*(X40*1.9835+Y40*1.9835+Z40*1.9835+AO40*1.9835)/E41</f>
        <v>1.04876751955288</v>
      </c>
      <c r="AQ41" s="77"/>
      <c r="AR41" s="1"/>
      <c r="AS41" s="4"/>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486" t="n">
        <v>31</v>
      </c>
      <c r="B42" s="487" t="n">
        <v>6908.14</v>
      </c>
      <c r="C42" s="430" t="n">
        <v>314609</v>
      </c>
      <c r="D42" s="488" t="n">
        <f aca="false">C42-C41</f>
        <v>-829</v>
      </c>
      <c r="E42" s="430" t="n">
        <f aca="false">C42-152000</f>
        <v>162609</v>
      </c>
      <c r="F42" s="489" t="n">
        <f aca="false">D42/$D$2</f>
        <v>-417.948071590623</v>
      </c>
      <c r="G42" s="485" t="n">
        <v>144</v>
      </c>
      <c r="H42" s="494" t="n">
        <v>0</v>
      </c>
      <c r="I42" s="485" t="n">
        <f aca="false">G42+H42</f>
        <v>144</v>
      </c>
      <c r="J42" s="490" t="n">
        <f aca="false">IF(L42&gt;0,L42,0)</f>
        <v>117.051928409377</v>
      </c>
      <c r="K42" s="485" t="n">
        <f aca="false">I42+J42</f>
        <v>261.051928409377</v>
      </c>
      <c r="L42" s="485" t="n">
        <f aca="false">F42-(I42-AG42)</f>
        <v>117.051928409377</v>
      </c>
      <c r="M42" s="491" t="n">
        <v>242</v>
      </c>
      <c r="N42" s="215" t="n">
        <f aca="false">1.8299*1.03</f>
        <v>1.884797</v>
      </c>
      <c r="O42" s="485" t="n">
        <f aca="false">(33+36)*1.05</f>
        <v>72.45</v>
      </c>
      <c r="P42" s="215" t="n">
        <v>0</v>
      </c>
      <c r="Q42" s="215" t="n">
        <f aca="false">2.5*1.02</f>
        <v>2.55</v>
      </c>
      <c r="R42" s="215" t="n">
        <v>4.2</v>
      </c>
      <c r="S42" s="82" t="n">
        <v>1.94</v>
      </c>
      <c r="T42" s="381" t="n">
        <v>0</v>
      </c>
      <c r="U42" s="485" t="n">
        <v>135</v>
      </c>
      <c r="V42" s="485" t="n">
        <v>78</v>
      </c>
      <c r="W42" s="122" t="n">
        <f aca="false">M42-N42-O42-P42-Q42-R42-S42-T42+U42+V42</f>
        <v>371.975203</v>
      </c>
      <c r="X42" s="95"/>
      <c r="Y42" s="95"/>
      <c r="Z42" s="96" t="n">
        <f aca="false">Z41-(W42-I42)-Q42-R42-AB42-(AP42/1.9835)</f>
        <v>1356.55796327323</v>
      </c>
      <c r="AA42" s="485" t="n">
        <v>146</v>
      </c>
      <c r="AB42" s="244" t="n">
        <v>1.7</v>
      </c>
      <c r="AC42" s="245" t="n">
        <v>1.3</v>
      </c>
      <c r="AD42" s="483" t="n">
        <v>78</v>
      </c>
      <c r="AE42" s="484" t="n">
        <f aca="false">AE41-AD42</f>
        <v>8926.25787748929</v>
      </c>
      <c r="AF42" s="96"/>
      <c r="AG42" s="11" t="n">
        <f aca="false">N42+O42+P42+Q42+R42+S42+T42+W42+AA42+AD42</f>
        <v>679</v>
      </c>
      <c r="AH42" s="485" t="n">
        <f aca="false">IF(L42&lt;0,L42*-1,0)</f>
        <v>0</v>
      </c>
      <c r="AI42" s="485" t="n">
        <f aca="false">AG42+AH42</f>
        <v>679</v>
      </c>
      <c r="AJ42" s="492" t="n">
        <v>0.95</v>
      </c>
      <c r="AK42" s="488" t="n">
        <v>67</v>
      </c>
      <c r="AL42" s="493" t="n">
        <v>55</v>
      </c>
      <c r="AM42" s="133" t="n">
        <f aca="false">AM41</f>
        <v>13022.27255</v>
      </c>
      <c r="AN42" s="155"/>
      <c r="AO42" s="133"/>
      <c r="AP42" s="215" t="n">
        <f aca="false">45.4*(X41*1.9835+Y41*1.9835+Z41*1.9835+AO41*1.9835)/E42</f>
        <v>0.882421205040698</v>
      </c>
      <c r="AQ42" s="77"/>
      <c r="AR42" s="1"/>
      <c r="AS42" s="4"/>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3" hidden="false" customHeight="true" outlineLevel="0" collapsed="false">
      <c r="A43" s="229"/>
      <c r="B43" s="302"/>
      <c r="C43" s="289"/>
      <c r="D43" s="229"/>
      <c r="E43" s="289"/>
      <c r="F43" s="290"/>
      <c r="G43" s="229"/>
      <c r="H43" s="480"/>
      <c r="I43" s="229"/>
      <c r="J43" s="229"/>
      <c r="K43" s="229"/>
      <c r="L43" s="229"/>
      <c r="M43" s="471"/>
      <c r="N43" s="229"/>
      <c r="O43" s="229"/>
      <c r="P43" s="293"/>
      <c r="Q43" s="293"/>
      <c r="R43" s="293"/>
      <c r="S43" s="293"/>
      <c r="T43" s="294"/>
      <c r="U43" s="229"/>
      <c r="V43" s="229"/>
      <c r="W43" s="229"/>
      <c r="X43" s="289"/>
      <c r="Y43" s="289"/>
      <c r="Z43" s="289"/>
      <c r="AA43" s="229" t="n">
        <v>178</v>
      </c>
      <c r="AB43" s="235"/>
      <c r="AC43" s="238"/>
      <c r="AD43" s="229"/>
      <c r="AE43" s="229"/>
      <c r="AF43" s="229"/>
      <c r="AG43" s="229"/>
      <c r="AH43" s="229"/>
      <c r="AI43" s="229"/>
      <c r="AJ43" s="295"/>
      <c r="AK43" s="296"/>
      <c r="AL43" s="297"/>
      <c r="AM43" s="298"/>
      <c r="AN43" s="298"/>
      <c r="AO43" s="298"/>
      <c r="AP43" s="481"/>
      <c r="AQ43" s="113"/>
      <c r="AR43" s="113"/>
      <c r="AS43" s="113"/>
    </row>
    <row r="44" customFormat="false" ht="12.95" hidden="false" customHeight="true" outlineLevel="0" collapsed="false">
      <c r="A44" s="158" t="s">
        <v>79</v>
      </c>
      <c r="B44" s="278"/>
      <c r="D44" s="96"/>
      <c r="F44" s="279" t="n">
        <f aca="false">SUM(F12:F42)</f>
        <v>-17077.3884547517</v>
      </c>
      <c r="G44" s="96" t="n">
        <f aca="false">SUM(G12:G42)</f>
        <v>5283</v>
      </c>
      <c r="H44" s="96" t="n">
        <f aca="false">SUM(H12:H42)</f>
        <v>4.37</v>
      </c>
      <c r="I44" s="96" t="n">
        <f aca="false">SUM(I12:I42)</f>
        <v>5287.37</v>
      </c>
      <c r="J44" s="96" t="n">
        <f aca="false">SUM(J12:J42)</f>
        <v>283.99063271994</v>
      </c>
      <c r="K44" s="96" t="n">
        <f aca="false">SUM(K12:K42)</f>
        <v>5571.36063271994</v>
      </c>
      <c r="L44" s="96" t="n">
        <f aca="false">SUM(L12:L42)</f>
        <v>-387.758454751701</v>
      </c>
      <c r="M44" s="478" t="n">
        <f aca="false">SUM(M12:M42)</f>
        <v>8012</v>
      </c>
      <c r="N44" s="96" t="n">
        <f aca="false">SUM(N12:N42)</f>
        <v>58.428707</v>
      </c>
      <c r="O44" s="96" t="n">
        <f aca="false">SUM(O12:O42)</f>
        <v>2567.2</v>
      </c>
      <c r="P44" s="150" t="n">
        <f aca="false">SUM(P12:P42)</f>
        <v>0</v>
      </c>
      <c r="Q44" s="154" t="n">
        <f aca="false">SUM(Q12:Q42)</f>
        <v>79.05</v>
      </c>
      <c r="R44" s="154" t="n">
        <f aca="false">SUM(R12:R42)</f>
        <v>130.2</v>
      </c>
      <c r="S44" s="154" t="n">
        <f aca="false">SUM(S12:S42)</f>
        <v>109.18</v>
      </c>
      <c r="T44" s="281" t="n">
        <f aca="false">SUM(T12:T42)</f>
        <v>0</v>
      </c>
      <c r="U44" s="96" t="n">
        <f aca="false">SUM(U12:U42)</f>
        <v>3204</v>
      </c>
      <c r="V44" s="96" t="n">
        <f aca="false">SUM(V12:V42)</f>
        <v>2419</v>
      </c>
      <c r="W44" s="96" t="n">
        <f aca="false">SUM(W12:W42)</f>
        <v>10690.941293</v>
      </c>
      <c r="X44" s="96"/>
      <c r="AA44" s="96" t="n">
        <f aca="false">SUM(AA12:AA43)</f>
        <v>5590</v>
      </c>
      <c r="AB44" s="478" t="n">
        <f aca="false">SUM(AB12:AB42)</f>
        <v>52.7</v>
      </c>
      <c r="AC44" s="479" t="n">
        <f aca="false">SUM(AC12:AC42)</f>
        <v>40.3</v>
      </c>
      <c r="AD44" s="96" t="n">
        <f aca="false">SUM(AD12:AD42)</f>
        <v>2930</v>
      </c>
      <c r="AE44" s="96"/>
      <c r="AF44" s="96" t="n">
        <f aca="false">SUM(AF12:AF42)</f>
        <v>0</v>
      </c>
      <c r="AG44" s="96" t="n">
        <f aca="false">SUM(AG12:AG42)</f>
        <v>21977</v>
      </c>
      <c r="AH44" s="96" t="n">
        <f aca="false">SUM(AH12:AH42)</f>
        <v>671.749087471641</v>
      </c>
      <c r="AI44" s="96" t="n">
        <f aca="false">SUM(AI12:AI42)</f>
        <v>22648.7490874716</v>
      </c>
      <c r="AJ44" s="208" t="n">
        <f aca="false">SUM(AJ12:AJ42)</f>
        <v>1.51</v>
      </c>
      <c r="AK44" s="154" t="n">
        <f aca="false">AVERAGE(AK12:AK42)</f>
        <v>83.7741935483871</v>
      </c>
      <c r="AL44" s="282" t="n">
        <f aca="false">AVERAGE(AL12:AL42)</f>
        <v>50.9677419354839</v>
      </c>
      <c r="AM44" s="155" t="s">
        <v>110</v>
      </c>
      <c r="AN44" s="96" t="n">
        <f aca="false">SUM(AN12:AN42)</f>
        <v>0</v>
      </c>
      <c r="AO44" s="155"/>
      <c r="AP44" s="150"/>
      <c r="AQ44" s="133" t="n">
        <f aca="false">SUM(AQ12:AQ42)</f>
        <v>317.1</v>
      </c>
      <c r="AR44" s="133" t="n">
        <f aca="false">SUM(AR12:AR42)</f>
        <v>0</v>
      </c>
      <c r="AS44" s="218"/>
    </row>
    <row r="45" customFormat="false" ht="12.95" hidden="false" customHeight="true" outlineLevel="0" collapsed="false">
      <c r="A45" s="158" t="s">
        <v>81</v>
      </c>
      <c r="B45" s="278"/>
      <c r="D45" s="96" t="n">
        <f aca="false">SUM(D12:D42)</f>
        <v>-33873</v>
      </c>
      <c r="F45" s="279" t="n">
        <f aca="false">F44*$D$2</f>
        <v>-33873</v>
      </c>
      <c r="G45" s="96" t="n">
        <f aca="false">G44*$D$2</f>
        <v>10478.8305</v>
      </c>
      <c r="H45" s="96" t="n">
        <f aca="false">H44*$D$2</f>
        <v>8.667895</v>
      </c>
      <c r="I45" s="96" t="n">
        <f aca="false">I44*$D$2</f>
        <v>10487.498395</v>
      </c>
      <c r="J45" s="96" t="n">
        <f aca="false">J44*$D$2</f>
        <v>563.29542</v>
      </c>
      <c r="K45" s="96" t="n">
        <f aca="false">K44*$D$2</f>
        <v>11050.793815</v>
      </c>
      <c r="L45" s="96" t="n">
        <f aca="false">L44*$D$2</f>
        <v>-769.118894999999</v>
      </c>
      <c r="M45" s="478" t="n">
        <f aca="false">M44*$D$2</f>
        <v>15891.802</v>
      </c>
      <c r="N45" s="96" t="n">
        <f aca="false">N44*$D$2</f>
        <v>115.8933403345</v>
      </c>
      <c r="O45" s="96" t="n">
        <f aca="false">O44*$D$2</f>
        <v>5092.0412</v>
      </c>
      <c r="P45" s="150" t="n">
        <f aca="false">P44*$D$2</f>
        <v>0</v>
      </c>
      <c r="Q45" s="154" t="n">
        <f aca="false">Q44*$D$2</f>
        <v>156.795675</v>
      </c>
      <c r="R45" s="154" t="n">
        <f aca="false">R44*$D$2</f>
        <v>258.2517</v>
      </c>
      <c r="S45" s="154" t="n">
        <f aca="false">S44*$D$2</f>
        <v>216.55853</v>
      </c>
      <c r="T45" s="281" t="n">
        <f aca="false">T44*$D$2</f>
        <v>0</v>
      </c>
      <c r="U45" s="96" t="n">
        <f aca="false">U44*$D$2</f>
        <v>6355.134</v>
      </c>
      <c r="V45" s="96" t="n">
        <f aca="false">V44*$D$2</f>
        <v>4798.0865</v>
      </c>
      <c r="W45" s="96" t="n">
        <f aca="false">W44*$D$2</f>
        <v>21205.4820546655</v>
      </c>
      <c r="X45" s="96"/>
      <c r="AA45" s="96" t="n">
        <f aca="false">AA44*$D$2</f>
        <v>11087.765</v>
      </c>
      <c r="AB45" s="478" t="n">
        <f aca="false">AB44*$D$2</f>
        <v>104.53045</v>
      </c>
      <c r="AC45" s="479" t="n">
        <f aca="false">AC44*$D$2</f>
        <v>79.93505</v>
      </c>
      <c r="AD45" s="96" t="n">
        <f aca="false">AD44*$D$2</f>
        <v>5811.655</v>
      </c>
      <c r="AE45" s="96"/>
      <c r="AF45" s="96" t="n">
        <f aca="false">AF44*$D$2</f>
        <v>0</v>
      </c>
      <c r="AG45" s="96" t="n">
        <f aca="false">AG44*$D$2</f>
        <v>43591.3795</v>
      </c>
      <c r="AH45" s="96" t="n">
        <f aca="false">AH44*$D$2</f>
        <v>1332.414315</v>
      </c>
      <c r="AI45" s="96" t="n">
        <f aca="false">AI44*$D$2</f>
        <v>44923.793815</v>
      </c>
      <c r="AJ45" s="208"/>
      <c r="AK45" s="154" t="n">
        <f aca="false">MAX(AK12:AK42)</f>
        <v>92</v>
      </c>
      <c r="AL45" s="282" t="n">
        <f aca="false">MAX(AL12:AL42)</f>
        <v>60</v>
      </c>
      <c r="AM45" s="155" t="s">
        <v>82</v>
      </c>
      <c r="AN45" s="96" t="n">
        <f aca="false">AN44*$D$2</f>
        <v>0</v>
      </c>
      <c r="AO45" s="155"/>
      <c r="AP45" s="150" t="n">
        <f aca="false">SUM(AP12:AP42)</f>
        <v>76.3347671282578</v>
      </c>
      <c r="AQ45" s="133" t="n">
        <f aca="false">AQ44*$D$2</f>
        <v>628.96785</v>
      </c>
      <c r="AR45" s="133" t="n">
        <f aca="false">AR44*$D$2</f>
        <v>0</v>
      </c>
      <c r="AS45" s="218" t="n">
        <f aca="false">AS42</f>
        <v>0</v>
      </c>
    </row>
    <row r="46" customFormat="false" ht="3" hidden="false" customHeight="true" outlineLevel="0" collapsed="false">
      <c r="A46" s="229"/>
      <c r="B46" s="302"/>
      <c r="C46" s="289"/>
      <c r="D46" s="289"/>
      <c r="E46" s="289"/>
      <c r="F46" s="303"/>
      <c r="G46" s="289"/>
      <c r="H46" s="289"/>
      <c r="I46" s="289"/>
      <c r="J46" s="289"/>
      <c r="K46" s="289"/>
      <c r="L46" s="289"/>
      <c r="M46" s="495"/>
      <c r="N46" s="289"/>
      <c r="O46" s="289"/>
      <c r="P46" s="293"/>
      <c r="Q46" s="296"/>
      <c r="R46" s="296"/>
      <c r="S46" s="296"/>
      <c r="T46" s="294"/>
      <c r="U46" s="289"/>
      <c r="V46" s="289"/>
      <c r="W46" s="289"/>
      <c r="X46" s="289"/>
      <c r="Y46" s="289"/>
      <c r="Z46" s="289"/>
      <c r="AA46" s="289"/>
      <c r="AB46" s="495"/>
      <c r="AC46" s="496"/>
      <c r="AD46" s="289"/>
      <c r="AE46" s="229"/>
      <c r="AF46" s="289"/>
      <c r="AG46" s="289"/>
      <c r="AH46" s="289"/>
      <c r="AI46" s="289"/>
      <c r="AJ46" s="306"/>
      <c r="AK46" s="289"/>
      <c r="AL46" s="303"/>
      <c r="AM46" s="289"/>
      <c r="AN46" s="289"/>
      <c r="AO46" s="298"/>
      <c r="AP46" s="293"/>
      <c r="AQ46" s="240"/>
      <c r="AR46" s="240"/>
      <c r="AS46" s="113"/>
    </row>
    <row r="47" customFormat="false" ht="12.95" hidden="false" customHeight="true" outlineLevel="0" collapsed="false">
      <c r="A47" s="158" t="s">
        <v>83</v>
      </c>
      <c r="B47" s="278"/>
      <c r="D47" s="96"/>
      <c r="F47" s="279" t="n">
        <f aca="false">F9+F44</f>
        <v>8162.33929921856</v>
      </c>
      <c r="G47" s="96" t="n">
        <f aca="false">G9+G44</f>
        <v>160698</v>
      </c>
      <c r="H47" s="96" t="n">
        <f aca="false">H9+H44</f>
        <v>8811.68</v>
      </c>
      <c r="I47" s="96" t="n">
        <f aca="false">I9+I44</f>
        <v>169509.68</v>
      </c>
      <c r="J47" s="96" t="n">
        <f aca="false">J9+J44</f>
        <v>26132.0656591883</v>
      </c>
      <c r="K47" s="96" t="n">
        <f aca="false">K9+K44</f>
        <v>195641.745659188</v>
      </c>
      <c r="L47" s="96" t="n">
        <f aca="false">L9+L44</f>
        <v>24012.8592992186</v>
      </c>
      <c r="M47" s="478" t="n">
        <f aca="false">M9+M44</f>
        <v>38893.8</v>
      </c>
      <c r="N47" s="96" t="n">
        <f aca="false">N9+N44</f>
        <v>288.373941</v>
      </c>
      <c r="O47" s="96" t="n">
        <f aca="false">O9+O44</f>
        <v>11931.6985</v>
      </c>
      <c r="P47" s="150" t="n">
        <f aca="false">P9+P44</f>
        <v>7.32</v>
      </c>
      <c r="Q47" s="154"/>
      <c r="R47" s="154"/>
      <c r="S47" s="154"/>
      <c r="T47" s="281"/>
      <c r="U47" s="96" t="n">
        <f aca="false">U9+U44</f>
        <v>18413.3</v>
      </c>
      <c r="V47" s="96" t="n">
        <f aca="false">V9+V44</f>
        <v>9297.2</v>
      </c>
      <c r="W47" s="96" t="n">
        <f aca="false">W9+W44</f>
        <v>51920.670159</v>
      </c>
      <c r="X47" s="430"/>
      <c r="AA47" s="96" t="n">
        <f aca="false">AA9+AA44</f>
        <v>23362.1</v>
      </c>
      <c r="AB47" s="478" t="n">
        <f aca="false">AB9+AB44</f>
        <v>260.1</v>
      </c>
      <c r="AC47" s="479" t="n">
        <f aca="false">AC9+AC44</f>
        <v>198.9</v>
      </c>
      <c r="AD47" s="96"/>
      <c r="AE47" s="430"/>
      <c r="AF47" s="96" t="n">
        <f aca="false">AF9+AF44</f>
        <v>0</v>
      </c>
      <c r="AG47" s="96" t="n">
        <f aca="false">AG9+AG44</f>
        <v>185360.2</v>
      </c>
      <c r="AH47" s="96" t="n">
        <f aca="false">AH9+AH44</f>
        <v>2119.20635996975</v>
      </c>
      <c r="AI47" s="96" t="n">
        <f aca="false">AI9+AI44</f>
        <v>187479.40635997</v>
      </c>
      <c r="AJ47" s="208"/>
      <c r="AK47" s="154" t="n">
        <f aca="false">MIN(AK12:AK42)</f>
        <v>67</v>
      </c>
      <c r="AL47" s="282" t="n">
        <f aca="false">MIN(AL12:AL42)</f>
        <v>44</v>
      </c>
      <c r="AM47" s="155" t="s">
        <v>84</v>
      </c>
      <c r="AN47" s="155"/>
      <c r="AO47" s="155"/>
      <c r="AP47" s="150"/>
      <c r="AQ47" s="133" t="n">
        <f aca="false">AQ9+AQ44</f>
        <v>655.55</v>
      </c>
      <c r="AR47" s="133" t="n">
        <f aca="false">AR9+AR44</f>
        <v>771.62</v>
      </c>
      <c r="AS47" s="218" t="n">
        <f aca="false">AS9+AS44</f>
        <v>41.8</v>
      </c>
    </row>
    <row r="48" customFormat="false" ht="12.95" hidden="false" customHeight="true" outlineLevel="0" collapsed="false">
      <c r="A48" s="158" t="s">
        <v>85</v>
      </c>
      <c r="B48" s="278"/>
      <c r="D48" s="96"/>
      <c r="F48" s="279" t="n">
        <f aca="false">F47*$D$2</f>
        <v>16190</v>
      </c>
      <c r="G48" s="96" t="n">
        <f aca="false">G47*$D$2</f>
        <v>318744.483</v>
      </c>
      <c r="H48" s="96" t="n">
        <f aca="false">H47*$D$2</f>
        <v>17477.96728</v>
      </c>
      <c r="I48" s="96" t="n">
        <f aca="false">I47*$D$2</f>
        <v>336222.45028</v>
      </c>
      <c r="J48" s="96" t="n">
        <f aca="false">J47*$D$2</f>
        <v>51832.952235</v>
      </c>
      <c r="K48" s="96" t="n">
        <f aca="false">K47*$D$2</f>
        <v>388055.402515</v>
      </c>
      <c r="L48" s="96" t="n">
        <f aca="false">L47*$D$2</f>
        <v>47629.50642</v>
      </c>
      <c r="M48" s="478" t="n">
        <f aca="false">M47*$D$2</f>
        <v>77145.8523</v>
      </c>
      <c r="N48" s="96" t="n">
        <f aca="false">N47*$D$2</f>
        <v>571.9897119735</v>
      </c>
      <c r="O48" s="96" t="n">
        <f aca="false">O47*$D$2</f>
        <v>23666.52397475</v>
      </c>
      <c r="P48" s="150" t="n">
        <f aca="false">P47*$D$2</f>
        <v>14.51922</v>
      </c>
      <c r="Q48" s="154"/>
      <c r="R48" s="154"/>
      <c r="S48" s="154"/>
      <c r="T48" s="281"/>
      <c r="U48" s="96" t="n">
        <f aca="false">U47*$D$2</f>
        <v>36522.78055</v>
      </c>
      <c r="V48" s="96" t="n">
        <f aca="false">V47*$D$2</f>
        <v>18440.9962</v>
      </c>
      <c r="W48" s="96" t="n">
        <f aca="false">W47*$D$2</f>
        <v>102984.649260377</v>
      </c>
      <c r="X48" s="96"/>
      <c r="AA48" s="96" t="n">
        <f aca="false">AA47*$D$2</f>
        <v>46338.72535</v>
      </c>
      <c r="AB48" s="478" t="n">
        <f aca="false">AB47*$D$2</f>
        <v>515.90835</v>
      </c>
      <c r="AC48" s="479" t="n">
        <f aca="false">AC47*$D$2</f>
        <v>394.51815</v>
      </c>
      <c r="AD48" s="96"/>
      <c r="AE48" s="96"/>
      <c r="AF48" s="96" t="n">
        <f aca="false">AF47*$D$2</f>
        <v>0</v>
      </c>
      <c r="AG48" s="96" t="n">
        <f aca="false">AG47*$D$2</f>
        <v>367661.9567</v>
      </c>
      <c r="AH48" s="96" t="n">
        <f aca="false">AH47*$D$2</f>
        <v>4203.445815</v>
      </c>
      <c r="AI48" s="96" t="n">
        <f aca="false">AI47*$D$2</f>
        <v>371865.402515</v>
      </c>
      <c r="AJ48" s="208"/>
      <c r="AK48" s="154"/>
      <c r="AL48" s="282"/>
      <c r="AM48" s="155"/>
      <c r="AN48" s="155"/>
      <c r="AO48" s="155"/>
      <c r="AP48" s="150" t="n">
        <f aca="false">AP9+AP45</f>
        <v>282.610296950941</v>
      </c>
      <c r="AQ48" s="133" t="n">
        <f aca="false">AQ47*$D$2</f>
        <v>1300.283425</v>
      </c>
      <c r="AR48" s="133" t="n">
        <f aca="false">AR47*$D$2</f>
        <v>1530.50827</v>
      </c>
      <c r="AS48" s="218" t="n">
        <f aca="false">AS47*$D$2</f>
        <v>82.9103</v>
      </c>
    </row>
    <row r="49" customFormat="false" ht="3" hidden="false" customHeight="true" outlineLevel="0" collapsed="false">
      <c r="A49" s="229"/>
      <c r="B49" s="302"/>
      <c r="C49" s="289"/>
      <c r="D49" s="289"/>
      <c r="E49" s="289"/>
      <c r="F49" s="303"/>
      <c r="G49" s="289"/>
      <c r="H49" s="296"/>
      <c r="I49" s="289"/>
      <c r="J49" s="289"/>
      <c r="K49" s="289"/>
      <c r="L49" s="289"/>
      <c r="M49" s="495"/>
      <c r="N49" s="289"/>
      <c r="O49" s="289"/>
      <c r="P49" s="293"/>
      <c r="Q49" s="296"/>
      <c r="R49" s="296"/>
      <c r="S49" s="296"/>
      <c r="T49" s="294"/>
      <c r="U49" s="289"/>
      <c r="V49" s="289"/>
      <c r="W49" s="289"/>
      <c r="X49" s="289"/>
      <c r="Y49" s="289"/>
      <c r="Z49" s="289"/>
      <c r="AA49" s="289"/>
      <c r="AB49" s="251"/>
      <c r="AC49" s="252"/>
      <c r="AD49" s="289"/>
      <c r="AE49" s="289"/>
      <c r="AF49" s="289"/>
      <c r="AG49" s="289"/>
      <c r="AH49" s="289"/>
      <c r="AI49" s="289"/>
      <c r="AJ49" s="295"/>
      <c r="AK49" s="291"/>
      <c r="AL49" s="308"/>
      <c r="AM49" s="291"/>
      <c r="AN49" s="291"/>
      <c r="AO49" s="298"/>
      <c r="AP49" s="293"/>
      <c r="AQ49" s="298"/>
      <c r="AR49" s="298"/>
      <c r="AS49" s="113"/>
    </row>
    <row r="50" customFormat="false" ht="12.95" hidden="false" customHeight="true" outlineLevel="0" collapsed="false">
      <c r="A50" s="158" t="s">
        <v>86</v>
      </c>
      <c r="B50" s="278"/>
      <c r="D50" s="96"/>
      <c r="F50" s="279" t="n">
        <f aca="false">F10+F44</f>
        <v>13476.1784723973</v>
      </c>
      <c r="G50" s="96" t="n">
        <f aca="false">G10+G44</f>
        <v>176962</v>
      </c>
      <c r="H50" s="154" t="n">
        <f aca="false">H10+H44</f>
        <v>10957.82</v>
      </c>
      <c r="I50" s="96" t="n">
        <f aca="false">I10+I44</f>
        <v>187919.82</v>
      </c>
      <c r="J50" s="96" t="n">
        <f aca="false">J10+J44</f>
        <v>33130.1913990421</v>
      </c>
      <c r="K50" s="96" t="n">
        <f aca="false">K10+K44</f>
        <v>221050.011399042</v>
      </c>
      <c r="L50" s="96" t="n">
        <f aca="false">L10+L44</f>
        <v>28989.1184723973</v>
      </c>
      <c r="M50" s="478" t="n">
        <f aca="false">M10+M44</f>
        <v>39806.6</v>
      </c>
      <c r="N50" s="96" t="n">
        <f aca="false">N10+N44</f>
        <v>288.373941</v>
      </c>
      <c r="O50" s="96" t="n">
        <f aca="false">O10+O44</f>
        <v>11931.6985</v>
      </c>
      <c r="Q50" s="154" t="n">
        <f aca="false">Q10+Q44</f>
        <v>583.4604</v>
      </c>
      <c r="R50" s="154" t="n">
        <f aca="false">R10+R44</f>
        <v>1059.073</v>
      </c>
      <c r="S50" s="154" t="n">
        <f aca="false">S10+S44</f>
        <v>339.41</v>
      </c>
      <c r="T50" s="281" t="n">
        <f aca="false">T10+T44</f>
        <v>-94.5288</v>
      </c>
      <c r="U50" s="96" t="n">
        <f aca="false">U10+U44</f>
        <v>24478.26</v>
      </c>
      <c r="V50" s="96" t="n">
        <f aca="false">V10+V44</f>
        <v>9382</v>
      </c>
      <c r="W50" s="96" t="n">
        <f aca="false">W10+W44</f>
        <v>58372.970159</v>
      </c>
      <c r="X50" s="96"/>
      <c r="AA50" s="96"/>
      <c r="AB50" s="216"/>
      <c r="AC50" s="219"/>
      <c r="AD50" s="96" t="n">
        <f aca="false">AD10+AD44</f>
        <v>106540</v>
      </c>
      <c r="AE50" s="96" t="n">
        <f aca="false">AE42</f>
        <v>8926.25787748929</v>
      </c>
      <c r="AF50" s="96" t="n">
        <f aca="false">AF10+AF44</f>
        <v>94496</v>
      </c>
      <c r="AG50" s="96" t="n">
        <f aca="false">AG10+AG44</f>
        <v>203432.76</v>
      </c>
      <c r="AH50" s="96" t="n">
        <f aca="false">AH10+AH44</f>
        <v>4141.07292664482</v>
      </c>
      <c r="AI50" s="96" t="n">
        <f aca="false">AI10+AI44</f>
        <v>207573.832926645</v>
      </c>
      <c r="AJ50" s="208" t="n">
        <f aca="false">AJ10+AJ44</f>
        <v>13.28</v>
      </c>
      <c r="AK50" s="154"/>
      <c r="AL50" s="282"/>
      <c r="AM50" s="155"/>
      <c r="AN50" s="96" t="n">
        <f aca="false">AN10+AN44</f>
        <v>0</v>
      </c>
      <c r="AO50" s="155"/>
      <c r="AP50" s="150"/>
      <c r="AQ50" s="154"/>
      <c r="AR50" s="154" t="n">
        <f aca="false">AR9+AR44</f>
        <v>771.62</v>
      </c>
      <c r="AS50" s="151"/>
    </row>
    <row r="51" customFormat="false" ht="12.95" hidden="false" customHeight="true" outlineLevel="0" collapsed="false">
      <c r="A51" s="158" t="s">
        <v>87</v>
      </c>
      <c r="B51" s="278"/>
      <c r="D51" s="96" t="n">
        <f aca="false">D10+D45</f>
        <v>26655</v>
      </c>
      <c r="E51" s="96" t="n">
        <f aca="false">E42</f>
        <v>162609</v>
      </c>
      <c r="F51" s="279" t="n">
        <f aca="false">F50*$D$2</f>
        <v>26730</v>
      </c>
      <c r="G51" s="96" t="n">
        <f aca="false">G50*$D$2</f>
        <v>351004.127</v>
      </c>
      <c r="H51" s="154" t="n">
        <f aca="false">H50*$D$2</f>
        <v>21734.83597</v>
      </c>
      <c r="I51" s="96" t="n">
        <f aca="false">I50*$D$2</f>
        <v>372738.96297</v>
      </c>
      <c r="J51" s="96" t="n">
        <f aca="false">J50*$D$2</f>
        <v>65713.73464</v>
      </c>
      <c r="K51" s="96" t="n">
        <f aca="false">K50*$D$2</f>
        <v>438452.69761</v>
      </c>
      <c r="L51" s="96" t="n">
        <f aca="false">L50*$D$2</f>
        <v>57499.91649</v>
      </c>
      <c r="M51" s="478" t="n">
        <f aca="false">M50*$D$2</f>
        <v>78956.3911</v>
      </c>
      <c r="N51" s="96" t="n">
        <f aca="false">N50*$D$2</f>
        <v>571.9897119735</v>
      </c>
      <c r="O51" s="96" t="n">
        <f aca="false">O50*$D$2</f>
        <v>23666.52397475</v>
      </c>
      <c r="Q51" s="154" t="n">
        <f aca="false">Q50*$D$2</f>
        <v>1157.2937034</v>
      </c>
      <c r="R51" s="154" t="n">
        <f aca="false">R50*$D$2</f>
        <v>2100.6712955</v>
      </c>
      <c r="S51" s="497" t="n">
        <f aca="false">S50*$D$2</f>
        <v>673.219735</v>
      </c>
      <c r="T51" s="498" t="n">
        <f aca="false">T50*$D$2</f>
        <v>-187.4978748</v>
      </c>
      <c r="U51" s="96" t="n">
        <f aca="false">U50*$D$2</f>
        <v>48552.62871</v>
      </c>
      <c r="V51" s="96" t="n">
        <f aca="false">V50*$D$2</f>
        <v>18609.197</v>
      </c>
      <c r="W51" s="96" t="n">
        <f aca="false">W50*$D$2</f>
        <v>115782.786310377</v>
      </c>
      <c r="X51" s="96"/>
      <c r="AA51" s="96"/>
      <c r="AB51" s="259"/>
      <c r="AC51" s="260"/>
      <c r="AD51" s="96" t="n">
        <f aca="false">AD50*$D$2</f>
        <v>211322.09</v>
      </c>
      <c r="AE51" s="96" t="n">
        <f aca="false">AE50*$D$2</f>
        <v>17705.2325</v>
      </c>
      <c r="AF51" s="96" t="n">
        <f aca="false">AF50*$D$2</f>
        <v>187432.816</v>
      </c>
      <c r="AG51" s="96" t="n">
        <f aca="false">AG50*$D$2</f>
        <v>403508.87946</v>
      </c>
      <c r="AH51" s="96" t="n">
        <f aca="false">AH50*$D$2</f>
        <v>8213.81815</v>
      </c>
      <c r="AI51" s="96" t="n">
        <f aca="false">AI50*$D$2</f>
        <v>411722.69761</v>
      </c>
      <c r="AJ51" s="208"/>
      <c r="AK51" s="154"/>
      <c r="AL51" s="282"/>
      <c r="AM51" s="155" t="n">
        <f aca="false">AM42</f>
        <v>13022.27255</v>
      </c>
      <c r="AN51" s="96" t="n">
        <f aca="false">AN50*$D$2</f>
        <v>0</v>
      </c>
      <c r="AO51" s="155"/>
      <c r="AP51" s="150" t="n">
        <f aca="false">AP10+AP45</f>
        <v>282.610296950941</v>
      </c>
      <c r="AQ51" s="154"/>
      <c r="AR51" s="154" t="n">
        <f aca="false">AR50*$D$2</f>
        <v>1530.50827</v>
      </c>
      <c r="AS51" s="151"/>
    </row>
    <row r="52" customFormat="false" ht="3" hidden="false" customHeight="true" outlineLevel="0" collapsed="false">
      <c r="A52" s="229"/>
      <c r="B52" s="302"/>
      <c r="C52" s="289"/>
      <c r="D52" s="229"/>
      <c r="E52" s="289"/>
      <c r="F52" s="290"/>
      <c r="G52" s="229"/>
      <c r="H52" s="480"/>
      <c r="I52" s="229"/>
      <c r="J52" s="229"/>
      <c r="K52" s="499"/>
      <c r="L52" s="229"/>
      <c r="M52" s="471"/>
      <c r="N52" s="229"/>
      <c r="O52" s="229"/>
      <c r="P52" s="293"/>
      <c r="Q52" s="293"/>
      <c r="R52" s="294"/>
      <c r="S52" s="293"/>
      <c r="T52" s="294"/>
      <c r="U52" s="229"/>
      <c r="V52" s="229"/>
      <c r="W52" s="229"/>
      <c r="X52" s="289"/>
      <c r="Y52" s="289"/>
      <c r="Z52" s="289"/>
      <c r="AA52" s="229"/>
      <c r="AB52" s="235"/>
      <c r="AC52" s="238"/>
      <c r="AD52" s="229"/>
      <c r="AE52" s="289"/>
      <c r="AF52" s="289"/>
      <c r="AG52" s="229"/>
      <c r="AH52" s="229"/>
      <c r="AI52" s="229"/>
      <c r="AJ52" s="302"/>
      <c r="AK52" s="229"/>
      <c r="AL52" s="290"/>
      <c r="AM52" s="229"/>
      <c r="AN52" s="229"/>
      <c r="AO52" s="298"/>
      <c r="AP52" s="293"/>
      <c r="AQ52" s="113"/>
      <c r="AR52" s="113"/>
      <c r="AS52" s="113"/>
    </row>
    <row r="53" customFormat="false" ht="11.1" hidden="false" customHeight="true" outlineLevel="0" collapsed="false">
      <c r="A53" s="500"/>
      <c r="B53" s="146"/>
      <c r="C53" s="2"/>
      <c r="D53" s="11"/>
      <c r="E53" s="444"/>
      <c r="F53" s="1"/>
      <c r="G53" s="1"/>
      <c r="H53" s="6"/>
      <c r="I53" s="11"/>
      <c r="J53" s="11"/>
      <c r="K53" s="445"/>
      <c r="L53" s="96"/>
      <c r="M53" s="11"/>
      <c r="N53" s="11"/>
      <c r="O53" s="11"/>
      <c r="P53" s="3"/>
      <c r="Q53" s="3"/>
      <c r="R53" s="3"/>
      <c r="S53" s="3"/>
      <c r="T53" s="3"/>
      <c r="U53" s="11"/>
      <c r="V53" s="11"/>
      <c r="W53" s="11"/>
      <c r="X53" s="1"/>
      <c r="Y53" s="1"/>
      <c r="Z53" s="1"/>
      <c r="AA53" s="11"/>
      <c r="AB53" s="11"/>
      <c r="AC53" s="11"/>
      <c r="AD53" s="11"/>
      <c r="AE53" s="444"/>
      <c r="AF53" s="446"/>
      <c r="AG53" s="444"/>
      <c r="AH53" s="158"/>
      <c r="AI53" s="158"/>
      <c r="AJ53" s="150"/>
      <c r="AK53" s="154"/>
      <c r="AL53" s="154"/>
      <c r="AM53" s="194"/>
      <c r="AN53" s="194"/>
      <c r="AP53" s="432"/>
      <c r="AQ53" s="190"/>
    </row>
    <row r="54" customFormat="false" ht="11.1" hidden="false" customHeight="true" outlineLevel="0" collapsed="false">
      <c r="A54" s="158"/>
      <c r="B54" s="501"/>
      <c r="C54" s="2"/>
      <c r="D54" s="1"/>
      <c r="E54" s="429"/>
      <c r="F54" s="160"/>
      <c r="G54" s="1"/>
      <c r="H54" s="6"/>
      <c r="I54" s="147"/>
      <c r="J54" s="11"/>
      <c r="K54" s="148"/>
      <c r="L54" s="151"/>
      <c r="M54" s="11"/>
      <c r="N54" s="11"/>
      <c r="O54" s="2"/>
      <c r="P54" s="3"/>
      <c r="Q54" s="3"/>
      <c r="R54" s="82"/>
      <c r="S54" s="82"/>
      <c r="T54" s="82"/>
      <c r="U54" s="26"/>
      <c r="V54" s="118"/>
      <c r="W54" s="447"/>
      <c r="X54" s="96"/>
      <c r="Y54" s="203"/>
      <c r="Z54" s="203"/>
      <c r="AA54" s="2"/>
      <c r="AB54" s="2"/>
      <c r="AC54" s="2"/>
      <c r="AD54" s="11"/>
      <c r="AE54" s="2"/>
      <c r="AF54" s="93"/>
      <c r="AG54" s="2"/>
      <c r="AH54" s="158"/>
      <c r="AI54" s="150"/>
      <c r="AJ54" s="154"/>
      <c r="AK54" s="154"/>
      <c r="AL54" s="154"/>
      <c r="AM54" s="502"/>
      <c r="AN54" s="502"/>
      <c r="AP54" s="432"/>
      <c r="AQ54" s="190"/>
    </row>
    <row r="55" customFormat="false" ht="11.1" hidden="false" customHeight="true" outlineLevel="0" collapsed="false">
      <c r="B55" s="96"/>
      <c r="E55" s="429"/>
      <c r="F55" s="224"/>
      <c r="G55" s="1"/>
      <c r="H55" s="6"/>
      <c r="I55" s="1"/>
      <c r="J55" s="1"/>
      <c r="K55" s="448"/>
      <c r="L55" s="430"/>
      <c r="M55" s="4"/>
      <c r="N55" s="4"/>
      <c r="O55" s="429"/>
      <c r="P55" s="451"/>
      <c r="Q55" s="451"/>
      <c r="R55" s="82"/>
      <c r="S55" s="82"/>
      <c r="T55" s="82"/>
      <c r="U55" s="26"/>
      <c r="V55" s="118"/>
      <c r="W55" s="79"/>
      <c r="X55" s="96"/>
      <c r="AA55" s="96"/>
      <c r="AB55" s="96"/>
      <c r="AC55" s="96"/>
      <c r="AD55" s="2"/>
      <c r="AE55" s="26"/>
      <c r="AF55" s="452"/>
      <c r="AG55" s="26"/>
      <c r="AH55" s="10"/>
      <c r="AI55" s="150"/>
      <c r="AJ55" s="154"/>
      <c r="AK55" s="154"/>
      <c r="AL55" s="155"/>
      <c r="AM55" s="152"/>
      <c r="AN55" s="152"/>
      <c r="AP55" s="432"/>
      <c r="AQ55" s="190"/>
    </row>
    <row r="56" customFormat="false" ht="11.1" hidden="false" customHeight="true" outlineLevel="0" collapsed="false">
      <c r="D56" s="96"/>
      <c r="E56" s="429"/>
      <c r="F56" s="1"/>
      <c r="G56" s="1"/>
      <c r="H56" s="96"/>
      <c r="I56" s="1"/>
      <c r="J56" s="1"/>
      <c r="K56" s="448"/>
      <c r="L56" s="154"/>
      <c r="M56" s="4"/>
      <c r="N56" s="4"/>
      <c r="O56" s="154"/>
      <c r="Q56" s="150"/>
      <c r="R56" s="82"/>
      <c r="S56" s="82"/>
      <c r="T56" s="82"/>
      <c r="U56" s="26"/>
      <c r="V56" s="26"/>
      <c r="W56" s="79"/>
      <c r="X56" s="154"/>
      <c r="Y56" s="154"/>
      <c r="Z56" s="154"/>
      <c r="AA56" s="96"/>
      <c r="AB56" s="96"/>
      <c r="AC56" s="96"/>
      <c r="AD56" s="2"/>
      <c r="AE56" s="96"/>
      <c r="AF56" s="224"/>
      <c r="AG56" s="96"/>
      <c r="AH56" s="10"/>
      <c r="AI56" s="429"/>
      <c r="AJ56" s="154"/>
      <c r="AK56" s="154"/>
      <c r="AL56" s="155"/>
      <c r="AM56" s="152"/>
      <c r="AN56" s="152"/>
      <c r="AP56" s="432"/>
      <c r="AQ56" s="190"/>
    </row>
    <row r="57" customFormat="false" ht="11.1" hidden="false" customHeight="true" outlineLevel="0" collapsed="false">
      <c r="G57" s="265"/>
      <c r="Q57" s="150"/>
      <c r="R57" s="150"/>
      <c r="S57" s="150"/>
      <c r="V57" s="10"/>
      <c r="W57" s="1"/>
      <c r="X57" s="96"/>
      <c r="AD57" s="96"/>
      <c r="AG57" s="10"/>
      <c r="AH57" s="10"/>
      <c r="AI57" s="150"/>
      <c r="AJ57" s="153"/>
      <c r="AK57" s="154"/>
      <c r="AL57" s="155"/>
      <c r="AM57" s="152"/>
      <c r="AN57" s="152"/>
      <c r="AP57" s="432"/>
      <c r="AQ57" s="190"/>
    </row>
    <row r="58" customFormat="false" ht="11.1" hidden="false" customHeight="true" outlineLevel="0" collapsed="false">
      <c r="Q58" s="150"/>
      <c r="R58" s="150"/>
      <c r="S58" s="150"/>
      <c r="V58" s="10"/>
      <c r="W58" s="96"/>
      <c r="X58" s="96"/>
      <c r="AD58" s="96"/>
      <c r="AG58" s="10"/>
      <c r="AH58" s="10"/>
      <c r="AI58" s="150"/>
      <c r="AJ58" s="153"/>
      <c r="AK58" s="154"/>
      <c r="AL58" s="155"/>
      <c r="AM58" s="152"/>
      <c r="AN58" s="152"/>
      <c r="AP58" s="432"/>
      <c r="AQ58" s="190"/>
    </row>
    <row r="59" customFormat="false" ht="11.1" hidden="false" customHeight="true" outlineLevel="0" collapsed="false">
      <c r="Q59" s="150"/>
      <c r="R59" s="150"/>
      <c r="S59" s="150"/>
      <c r="V59" s="10"/>
      <c r="W59" s="96"/>
      <c r="X59" s="96"/>
      <c r="AD59" s="96"/>
      <c r="AG59" s="10"/>
      <c r="AH59" s="10"/>
      <c r="AI59" s="150"/>
      <c r="AJ59" s="153"/>
      <c r="AK59" s="154"/>
      <c r="AL59" s="155"/>
      <c r="AM59" s="152"/>
      <c r="AN59" s="152"/>
      <c r="AP59" s="432"/>
      <c r="AQ59" s="190"/>
    </row>
    <row r="60" customFormat="false" ht="11.1" hidden="false" customHeight="true" outlineLevel="0" collapsed="false">
      <c r="W60" s="96"/>
    </row>
  </sheetData>
  <mergeCells count="3">
    <mergeCell ref="K2:W2"/>
    <mergeCell ref="X2:Z2"/>
    <mergeCell ref="M5:T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F24" activePane="bottomRight" state="frozen"/>
      <selection pane="topLeft" activeCell="A1" activeCellId="0" sqref="A1"/>
      <selection pane="topRight" activeCell="F1" activeCellId="0" sqref="F1"/>
      <selection pane="bottomLeft" activeCell="A24" activeCellId="0" sqref="A24"/>
      <selection pane="bottomRight" activeCell="AI28" activeCellId="0" sqref="AI28"/>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264"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9" min="17" style="150" width="4.32"/>
    <col collapsed="false" customWidth="true" hidden="false" outlineLevel="0" max="20" min="20" style="150" width="5.49"/>
    <col collapsed="false" customWidth="true" hidden="false" outlineLevel="0" max="21" min="21" style="10" width="5.49"/>
    <col collapsed="false" customWidth="true" hidden="false" outlineLevel="0" max="22" min="22" style="96" width="5.49"/>
    <col collapsed="false" customWidth="true" hidden="false" outlineLevel="0" max="23" min="23" style="10" width="6.32"/>
    <col collapsed="false" customWidth="true" hidden="false" outlineLevel="0" max="24" min="24" style="10" width="5.49"/>
    <col collapsed="false" customWidth="true" hidden="false" outlineLevel="0" max="26" min="25" style="96" width="5.49"/>
    <col collapsed="false" customWidth="true" hidden="false" outlineLevel="0" max="29" min="27" style="10" width="5.49"/>
    <col collapsed="false" customWidth="true" hidden="false" outlineLevel="0" max="30" min="30" style="10" width="6.49"/>
    <col collapsed="false" customWidth="true" hidden="false" outlineLevel="0" max="31" min="31" style="10" width="5.49"/>
    <col collapsed="false" customWidth="true" hidden="false" outlineLevel="0" max="32" min="32" style="152" width="6.32"/>
    <col collapsed="false" customWidth="true" hidden="false" outlineLevel="0" max="33" min="33" style="150" width="6.32"/>
    <col collapsed="false" customWidth="true" hidden="false" outlineLevel="0" max="34" min="34" style="153" width="6.99"/>
    <col collapsed="false" customWidth="true" hidden="false" outlineLevel="0" max="35" min="35" style="154" width="6.99"/>
    <col collapsed="false" customWidth="true" hidden="false" outlineLevel="0" max="36" min="36" style="155" width="5.32"/>
    <col collapsed="false" customWidth="true" hidden="false" outlineLevel="0" max="37" min="37" style="10" width="3.82"/>
    <col collapsed="false" customWidth="true" hidden="false" outlineLevel="0" max="38" min="38" style="150" width="3.82"/>
    <col collapsed="false" customWidth="true" hidden="false" outlineLevel="0" max="40" min="39" style="10" width="5.49"/>
    <col collapsed="false" customWidth="true" hidden="false" outlineLevel="0" max="41" min="41" style="151" width="6.32"/>
    <col collapsed="false" customWidth="true" hidden="false" outlineLevel="0" max="42" min="42" style="150" width="6.32"/>
    <col collapsed="false" customWidth="true" hidden="false" outlineLevel="0" max="43" min="43" style="10" width="6.32"/>
    <col collapsed="false" customWidth="true" hidden="false" outlineLevel="0" max="44" min="44" style="10" width="5.82"/>
    <col collapsed="false" customWidth="true" hidden="false" outlineLevel="0" max="45" min="45" style="151"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N1" s="158"/>
      <c r="O1" s="158"/>
      <c r="U1" s="158"/>
      <c r="V1" s="158"/>
      <c r="W1" s="96"/>
      <c r="X1" s="158"/>
      <c r="Y1" s="158"/>
      <c r="Z1" s="158"/>
      <c r="AA1" s="158"/>
      <c r="AB1" s="158"/>
      <c r="AC1" s="158"/>
      <c r="AD1" s="96"/>
      <c r="AE1" s="158"/>
      <c r="AF1" s="160"/>
      <c r="AG1" s="158"/>
      <c r="AH1" s="158"/>
      <c r="AI1" s="150"/>
      <c r="AJ1" s="153"/>
      <c r="AK1" s="154"/>
      <c r="AL1" s="155"/>
      <c r="AM1" s="160"/>
      <c r="AN1" s="160"/>
      <c r="AO1" s="340"/>
      <c r="AP1" s="205"/>
    </row>
    <row r="2" customFormat="false" ht="14.1" hidden="false" customHeight="true" outlineLevel="0" collapsed="false">
      <c r="A2" s="160" t="s">
        <v>1</v>
      </c>
      <c r="B2" s="158"/>
      <c r="D2" s="161" t="n">
        <v>1.9835</v>
      </c>
      <c r="F2" s="158"/>
      <c r="G2" s="158"/>
      <c r="I2" s="158"/>
      <c r="J2" s="158"/>
      <c r="K2" s="162" t="s">
        <v>123</v>
      </c>
      <c r="L2" s="162"/>
      <c r="M2" s="162"/>
      <c r="N2" s="162"/>
      <c r="O2" s="162"/>
      <c r="P2" s="162"/>
      <c r="Q2" s="162"/>
      <c r="R2" s="162"/>
      <c r="S2" s="162"/>
      <c r="T2" s="162"/>
      <c r="U2" s="162"/>
      <c r="V2" s="162"/>
      <c r="W2" s="162"/>
      <c r="X2" s="162"/>
      <c r="Y2" s="162"/>
      <c r="Z2" s="162"/>
      <c r="AA2" s="158"/>
      <c r="AB2" s="158"/>
      <c r="AC2" s="158"/>
      <c r="AD2" s="96"/>
      <c r="AE2" s="158"/>
      <c r="AF2" s="160"/>
      <c r="AG2" s="158"/>
      <c r="AH2" s="158"/>
      <c r="AI2" s="150"/>
      <c r="AJ2" s="153"/>
      <c r="AK2" s="154"/>
      <c r="AL2" s="155"/>
      <c r="AM2" s="160"/>
      <c r="AN2" s="160"/>
      <c r="AO2" s="340"/>
      <c r="AP2" s="205"/>
    </row>
    <row r="3" customFormat="false" ht="14.1" hidden="false" customHeight="true" outlineLevel="0" collapsed="false">
      <c r="A3" s="163"/>
      <c r="B3" s="163"/>
      <c r="C3" s="164"/>
      <c r="D3" s="165"/>
      <c r="E3" s="164"/>
      <c r="F3" s="163"/>
      <c r="G3" s="163"/>
      <c r="H3" s="472"/>
      <c r="I3" s="163"/>
      <c r="J3" s="163"/>
      <c r="K3" s="163"/>
      <c r="L3" s="163"/>
      <c r="M3" s="163"/>
      <c r="N3" s="163"/>
      <c r="O3" s="163"/>
      <c r="P3" s="166"/>
      <c r="Q3" s="166"/>
      <c r="R3" s="166"/>
      <c r="S3" s="166"/>
      <c r="T3" s="166"/>
      <c r="U3" s="163"/>
      <c r="V3" s="163"/>
      <c r="W3" s="164"/>
      <c r="X3" s="163"/>
      <c r="Y3" s="163"/>
      <c r="Z3" s="163"/>
      <c r="AA3" s="163"/>
      <c r="AB3" s="163"/>
      <c r="AC3" s="163"/>
      <c r="AD3" s="164"/>
      <c r="AE3" s="163"/>
      <c r="AF3" s="168"/>
      <c r="AG3" s="163"/>
      <c r="AH3" s="163"/>
      <c r="AI3" s="166"/>
      <c r="AJ3" s="169"/>
      <c r="AK3" s="170"/>
      <c r="AL3" s="171"/>
      <c r="AM3" s="168"/>
      <c r="AN3" s="168"/>
      <c r="AO3" s="342"/>
      <c r="AP3" s="341"/>
      <c r="AQ3" s="212"/>
    </row>
    <row r="4" s="10" customFormat="true" ht="14.1" hidden="false" customHeight="true" outlineLevel="0" collapsed="false">
      <c r="A4" s="158"/>
      <c r="B4" s="174"/>
      <c r="C4" s="175"/>
      <c r="D4" s="270" t="s">
        <v>3</v>
      </c>
      <c r="E4" s="175"/>
      <c r="F4" s="177"/>
      <c r="G4" s="158"/>
      <c r="H4" s="264"/>
      <c r="I4" s="158"/>
      <c r="J4" s="158"/>
      <c r="K4" s="158"/>
      <c r="L4" s="158"/>
      <c r="M4" s="158"/>
      <c r="N4" s="158"/>
      <c r="O4" s="158"/>
      <c r="P4" s="150"/>
      <c r="Q4" s="150"/>
      <c r="R4" s="150"/>
      <c r="S4" s="150"/>
      <c r="T4" s="150"/>
      <c r="U4" s="178" t="s">
        <v>4</v>
      </c>
      <c r="V4" s="158"/>
      <c r="W4" s="96"/>
      <c r="X4" s="158"/>
      <c r="Y4" s="158"/>
      <c r="Z4" s="158"/>
      <c r="AA4" s="158"/>
      <c r="AB4" s="158"/>
      <c r="AC4" s="158"/>
      <c r="AD4" s="96"/>
      <c r="AE4" s="158"/>
      <c r="AF4" s="160"/>
      <c r="AG4" s="158"/>
      <c r="AH4" s="158"/>
      <c r="AI4" s="150"/>
      <c r="AJ4" s="179"/>
      <c r="AK4" s="180" t="s">
        <v>5</v>
      </c>
      <c r="AL4" s="181"/>
      <c r="AM4" s="158"/>
      <c r="AN4" s="158"/>
      <c r="AO4" s="503" t="s">
        <v>6</v>
      </c>
      <c r="AP4" s="503"/>
      <c r="AQ4" s="504"/>
      <c r="AR4" s="37"/>
      <c r="AS4" s="408"/>
    </row>
    <row r="5" s="152" customFormat="true" ht="12.95" hidden="false" customHeight="true" outlineLevel="0" collapsed="false">
      <c r="A5" s="184" t="s">
        <v>7</v>
      </c>
      <c r="B5" s="185" t="s">
        <v>8</v>
      </c>
      <c r="C5" s="186" t="s">
        <v>8</v>
      </c>
      <c r="D5" s="184" t="s">
        <v>9</v>
      </c>
      <c r="E5" s="186" t="s">
        <v>10</v>
      </c>
      <c r="F5" s="187" t="s">
        <v>11</v>
      </c>
      <c r="G5" s="343" t="s">
        <v>12</v>
      </c>
      <c r="H5" s="417" t="s">
        <v>13</v>
      </c>
      <c r="I5" s="343" t="s">
        <v>14</v>
      </c>
      <c r="J5" s="343" t="s">
        <v>15</v>
      </c>
      <c r="K5" s="343" t="s">
        <v>16</v>
      </c>
      <c r="L5" s="184" t="s">
        <v>15</v>
      </c>
      <c r="M5" s="189" t="s">
        <v>17</v>
      </c>
      <c r="N5" s="189"/>
      <c r="O5" s="189"/>
      <c r="P5" s="189"/>
      <c r="Q5" s="189"/>
      <c r="R5" s="189"/>
      <c r="S5" s="189"/>
      <c r="T5" s="189"/>
      <c r="U5" s="38" t="s">
        <v>18</v>
      </c>
      <c r="V5" s="38" t="s">
        <v>19</v>
      </c>
      <c r="W5" s="38" t="s">
        <v>16</v>
      </c>
      <c r="X5" s="46" t="s">
        <v>20</v>
      </c>
      <c r="Y5" s="46" t="s">
        <v>21</v>
      </c>
      <c r="Z5" s="186" t="s">
        <v>20</v>
      </c>
      <c r="AA5" s="38" t="s">
        <v>22</v>
      </c>
      <c r="AB5" s="47" t="s">
        <v>124</v>
      </c>
      <c r="AC5" s="48"/>
      <c r="AD5" s="38" t="s">
        <v>24</v>
      </c>
      <c r="AE5" s="186" t="s">
        <v>112</v>
      </c>
      <c r="AF5" s="186" t="s">
        <v>26</v>
      </c>
      <c r="AG5" s="184" t="s">
        <v>14</v>
      </c>
      <c r="AH5" s="184" t="s">
        <v>15</v>
      </c>
      <c r="AI5" s="184" t="s">
        <v>16</v>
      </c>
      <c r="AJ5" s="459" t="s">
        <v>27</v>
      </c>
      <c r="AK5" s="194" t="s">
        <v>28</v>
      </c>
      <c r="AL5" s="195" t="s">
        <v>29</v>
      </c>
      <c r="AM5" s="53" t="s">
        <v>90</v>
      </c>
      <c r="AN5" s="53" t="s">
        <v>20</v>
      </c>
      <c r="AO5" s="43" t="s">
        <v>91</v>
      </c>
      <c r="AP5" s="43" t="s">
        <v>91</v>
      </c>
      <c r="AQ5" s="53" t="s">
        <v>31</v>
      </c>
      <c r="AR5" s="56" t="s">
        <v>32</v>
      </c>
      <c r="AS5" s="190" t="s">
        <v>33</v>
      </c>
    </row>
    <row r="6" s="152" customFormat="true" ht="12.95" hidden="false" customHeight="true" outlineLevel="0" collapsed="false">
      <c r="A6" s="196" t="s">
        <v>125</v>
      </c>
      <c r="B6" s="185" t="s">
        <v>35</v>
      </c>
      <c r="C6" s="186" t="s">
        <v>9</v>
      </c>
      <c r="D6" s="184" t="s">
        <v>36</v>
      </c>
      <c r="E6" s="186" t="s">
        <v>37</v>
      </c>
      <c r="F6" s="187" t="s">
        <v>38</v>
      </c>
      <c r="G6" s="343" t="s">
        <v>39</v>
      </c>
      <c r="H6" s="417" t="s">
        <v>40</v>
      </c>
      <c r="I6" s="343" t="s">
        <v>41</v>
      </c>
      <c r="J6" s="343" t="s">
        <v>41</v>
      </c>
      <c r="K6" s="343" t="s">
        <v>41</v>
      </c>
      <c r="L6" s="184" t="s">
        <v>42</v>
      </c>
      <c r="M6" s="197" t="s">
        <v>43</v>
      </c>
      <c r="N6" s="184" t="s">
        <v>119</v>
      </c>
      <c r="O6" s="184" t="s">
        <v>45</v>
      </c>
      <c r="P6" s="188" t="s">
        <v>46</v>
      </c>
      <c r="Q6" s="184" t="s">
        <v>47</v>
      </c>
      <c r="R6" s="184" t="s">
        <v>48</v>
      </c>
      <c r="S6" s="184" t="s">
        <v>49</v>
      </c>
      <c r="T6" s="198" t="s">
        <v>50</v>
      </c>
      <c r="U6" s="38" t="s">
        <v>51</v>
      </c>
      <c r="V6" s="38" t="s">
        <v>52</v>
      </c>
      <c r="W6" s="38" t="s">
        <v>20</v>
      </c>
      <c r="X6" s="46" t="s">
        <v>62</v>
      </c>
      <c r="Y6" s="186" t="s">
        <v>54</v>
      </c>
      <c r="Z6" s="186" t="s">
        <v>100</v>
      </c>
      <c r="AA6" s="38" t="s">
        <v>56</v>
      </c>
      <c r="AB6" s="58" t="s">
        <v>57</v>
      </c>
      <c r="AC6" s="61" t="s">
        <v>55</v>
      </c>
      <c r="AD6" s="38" t="s">
        <v>58</v>
      </c>
      <c r="AE6" s="186" t="s">
        <v>59</v>
      </c>
      <c r="AF6" s="186"/>
      <c r="AG6" s="184" t="s">
        <v>60</v>
      </c>
      <c r="AH6" s="184" t="s">
        <v>60</v>
      </c>
      <c r="AI6" s="184" t="s">
        <v>60</v>
      </c>
      <c r="AJ6" s="460"/>
      <c r="AK6" s="194" t="s">
        <v>61</v>
      </c>
      <c r="AL6" s="195" t="s">
        <v>61</v>
      </c>
      <c r="AM6" s="53" t="s">
        <v>62</v>
      </c>
      <c r="AN6" s="53" t="s">
        <v>63</v>
      </c>
      <c r="AO6" s="43" t="s">
        <v>64</v>
      </c>
      <c r="AP6" s="43" t="s">
        <v>64</v>
      </c>
      <c r="AQ6" s="53" t="s">
        <v>65</v>
      </c>
      <c r="AR6" s="56" t="s">
        <v>66</v>
      </c>
      <c r="AS6" s="190" t="s">
        <v>67</v>
      </c>
    </row>
    <row r="7" s="152" customFormat="true" ht="12.95" hidden="false" customHeight="true" outlineLevel="0" collapsed="false">
      <c r="A7" s="184"/>
      <c r="B7" s="185"/>
      <c r="C7" s="186"/>
      <c r="D7" s="184"/>
      <c r="E7" s="186" t="s">
        <v>68</v>
      </c>
      <c r="F7" s="187"/>
      <c r="G7" s="184"/>
      <c r="H7" s="190"/>
      <c r="I7" s="184"/>
      <c r="J7" s="184"/>
      <c r="K7" s="184"/>
      <c r="L7" s="184"/>
      <c r="M7" s="197"/>
      <c r="N7" s="184"/>
      <c r="O7" s="184" t="s">
        <v>70</v>
      </c>
      <c r="P7" s="188"/>
      <c r="Q7" s="184"/>
      <c r="R7" s="184"/>
      <c r="S7" s="184" t="s">
        <v>45</v>
      </c>
      <c r="T7" s="198" t="s">
        <v>26</v>
      </c>
      <c r="U7" s="38"/>
      <c r="V7" s="38"/>
      <c r="W7" s="38"/>
      <c r="X7" s="46"/>
      <c r="Y7" s="46"/>
      <c r="Z7" s="46"/>
      <c r="AA7" s="38"/>
      <c r="AB7" s="68"/>
      <c r="AC7" s="69"/>
      <c r="AD7" s="38"/>
      <c r="AE7" s="46"/>
      <c r="AF7" s="46"/>
      <c r="AG7" s="38"/>
      <c r="AH7" s="38"/>
      <c r="AI7" s="38"/>
      <c r="AJ7" s="460"/>
      <c r="AK7" s="194"/>
      <c r="AL7" s="195"/>
      <c r="AM7" s="53" t="s">
        <v>68</v>
      </c>
      <c r="AN7" s="53" t="s">
        <v>38</v>
      </c>
      <c r="AO7" s="43" t="s">
        <v>109</v>
      </c>
      <c r="AP7" s="43" t="s">
        <v>95</v>
      </c>
      <c r="AQ7" s="53" t="s">
        <v>74</v>
      </c>
      <c r="AR7" s="56" t="s">
        <v>75</v>
      </c>
      <c r="AS7" s="190" t="s">
        <v>57</v>
      </c>
    </row>
    <row r="8" s="152" customFormat="true" ht="12.95" hidden="false" customHeight="true" outlineLevel="0" collapsed="false">
      <c r="A8" s="201"/>
      <c r="B8" s="202"/>
      <c r="C8" s="203"/>
      <c r="D8" s="201"/>
      <c r="E8" s="203"/>
      <c r="F8" s="204"/>
      <c r="G8" s="201"/>
      <c r="H8" s="211"/>
      <c r="I8" s="201"/>
      <c r="J8" s="201"/>
      <c r="K8" s="201"/>
      <c r="L8" s="201"/>
      <c r="M8" s="206"/>
      <c r="N8" s="277" t="n">
        <v>1.03</v>
      </c>
      <c r="O8" s="277" t="n">
        <v>1.05</v>
      </c>
      <c r="P8" s="205" t="n">
        <v>1.02</v>
      </c>
      <c r="Q8" s="277" t="n">
        <v>1.02</v>
      </c>
      <c r="R8" s="277" t="n">
        <v>1.04</v>
      </c>
      <c r="S8" s="184" t="s">
        <v>55</v>
      </c>
      <c r="T8" s="348"/>
      <c r="U8" s="201"/>
      <c r="V8" s="201"/>
      <c r="W8" s="201"/>
      <c r="X8" s="203"/>
      <c r="Y8" s="203"/>
      <c r="Z8" s="203"/>
      <c r="AA8" s="201"/>
      <c r="AB8" s="68"/>
      <c r="AC8" s="69"/>
      <c r="AD8" s="201"/>
      <c r="AE8" s="203"/>
      <c r="AF8" s="203"/>
      <c r="AG8" s="201"/>
      <c r="AH8" s="201"/>
      <c r="AI8" s="201"/>
      <c r="AJ8" s="461"/>
      <c r="AK8" s="155"/>
      <c r="AL8" s="209"/>
      <c r="AM8" s="8"/>
      <c r="AN8" s="8"/>
      <c r="AO8" s="5"/>
      <c r="AP8" s="43" t="s">
        <v>71</v>
      </c>
      <c r="AQ8" s="7"/>
      <c r="AR8" s="10"/>
      <c r="AS8" s="77"/>
    </row>
    <row r="9" customFormat="false" ht="12.95" hidden="false" customHeight="true" outlineLevel="0" collapsed="false">
      <c r="A9" s="160" t="s">
        <v>77</v>
      </c>
      <c r="B9" s="213"/>
      <c r="C9" s="505"/>
      <c r="D9" s="95"/>
      <c r="E9" s="95"/>
      <c r="F9" s="214" t="n">
        <f aca="false">AUG!F47</f>
        <v>8162.33929921856</v>
      </c>
      <c r="G9" s="95" t="n">
        <f aca="false">AUG!G47</f>
        <v>160698</v>
      </c>
      <c r="H9" s="95" t="n">
        <f aca="false">AUG!H47</f>
        <v>8811.68</v>
      </c>
      <c r="I9" s="95" t="n">
        <f aca="false">AUG!I47</f>
        <v>169509.68</v>
      </c>
      <c r="J9" s="95" t="n">
        <f aca="false">AUG!J47</f>
        <v>26132.0656591883</v>
      </c>
      <c r="K9" s="95" t="n">
        <f aca="false">AUG!K47</f>
        <v>195641.745659188</v>
      </c>
      <c r="L9" s="95" t="n">
        <f aca="false">AUG!L47</f>
        <v>24012.8592992186</v>
      </c>
      <c r="M9" s="216" t="n">
        <f aca="false">AUG!M47</f>
        <v>38893.8</v>
      </c>
      <c r="N9" s="95" t="n">
        <f aca="false">AUG!N47</f>
        <v>288.373941</v>
      </c>
      <c r="O9" s="95" t="n">
        <f aca="false">AUG!O47</f>
        <v>11931.6985</v>
      </c>
      <c r="P9" s="215" t="n">
        <f aca="false">AUG!P47</f>
        <v>7.32</v>
      </c>
      <c r="Q9" s="215"/>
      <c r="R9" s="215"/>
      <c r="S9" s="215"/>
      <c r="T9" s="217"/>
      <c r="U9" s="95" t="n">
        <f aca="false">AUG!U47</f>
        <v>18413.3</v>
      </c>
      <c r="V9" s="95" t="n">
        <f aca="false">AUG!V47</f>
        <v>9297.2</v>
      </c>
      <c r="W9" s="95" t="n">
        <f aca="false">AUG!W47</f>
        <v>51920.670159</v>
      </c>
      <c r="X9" s="95" t="n">
        <f aca="false">AUG!X42</f>
        <v>0</v>
      </c>
      <c r="Y9" s="95" t="n">
        <f aca="false">AUG!Y42</f>
        <v>0</v>
      </c>
      <c r="Z9" s="95" t="n">
        <f aca="false">AUG!Z42</f>
        <v>1356.55796327323</v>
      </c>
      <c r="AA9" s="95" t="n">
        <f aca="false">AUG!AA47</f>
        <v>23362.1</v>
      </c>
      <c r="AB9" s="95" t="n">
        <f aca="false">AUG!AB47</f>
        <v>260.1</v>
      </c>
      <c r="AC9" s="95" t="n">
        <f aca="false">AUG!AC47</f>
        <v>198.9</v>
      </c>
      <c r="AD9" s="95"/>
      <c r="AE9" s="95"/>
      <c r="AF9" s="95"/>
      <c r="AG9" s="95" t="n">
        <f aca="false">AUG!AG47</f>
        <v>185360.2</v>
      </c>
      <c r="AH9" s="95" t="n">
        <f aca="false">AUG!AH47</f>
        <v>2119.20635996975</v>
      </c>
      <c r="AI9" s="95" t="n">
        <f aca="false">AUG!AI47</f>
        <v>187479.40635997</v>
      </c>
      <c r="AJ9" s="221"/>
      <c r="AK9" s="133"/>
      <c r="AL9" s="222"/>
      <c r="AM9" s="133"/>
      <c r="AN9" s="133"/>
      <c r="AO9" s="218"/>
      <c r="AP9" s="215" t="n">
        <f aca="false">AUG!AP48</f>
        <v>282.610296950941</v>
      </c>
      <c r="AQ9" s="133" t="n">
        <f aca="false">AUG!AQ47</f>
        <v>655.55</v>
      </c>
      <c r="AR9" s="133" t="n">
        <f aca="false">AUG!AR47</f>
        <v>771.62</v>
      </c>
      <c r="AS9" s="218" t="n">
        <f aca="false">AUG!AS47</f>
        <v>41.8</v>
      </c>
    </row>
    <row r="10" s="228" customFormat="true" ht="12.95" hidden="false" customHeight="true" outlineLevel="0" collapsed="false">
      <c r="A10" s="224" t="s">
        <v>78</v>
      </c>
      <c r="B10" s="94" t="n">
        <f aca="false">AUG!B42</f>
        <v>6908.14</v>
      </c>
      <c r="C10" s="95" t="n">
        <f aca="false">AUG!C42</f>
        <v>314609</v>
      </c>
      <c r="D10" s="95" t="n">
        <f aca="false">AUG!D51</f>
        <v>26655</v>
      </c>
      <c r="E10" s="95" t="n">
        <f aca="false">AUG!E51</f>
        <v>162609</v>
      </c>
      <c r="F10" s="214" t="n">
        <f aca="false">AUG!F50</f>
        <v>13476.1784723973</v>
      </c>
      <c r="G10" s="95" t="n">
        <f aca="false">AUG!G50</f>
        <v>176962</v>
      </c>
      <c r="H10" s="95" t="n">
        <f aca="false">AUG!H50</f>
        <v>10957.82</v>
      </c>
      <c r="I10" s="95" t="n">
        <f aca="false">AUG!I50</f>
        <v>187919.82</v>
      </c>
      <c r="J10" s="95" t="n">
        <f aca="false">AUG!J50</f>
        <v>33130.1913990421</v>
      </c>
      <c r="K10" s="95" t="n">
        <f aca="false">AUG!K50</f>
        <v>221050.011399042</v>
      </c>
      <c r="L10" s="95" t="n">
        <f aca="false">AUG!L50</f>
        <v>28989.1184723973</v>
      </c>
      <c r="M10" s="216" t="n">
        <f aca="false">AUG!M50</f>
        <v>39806.6</v>
      </c>
      <c r="N10" s="95" t="n">
        <f aca="false">AUG!N50</f>
        <v>288.373941</v>
      </c>
      <c r="O10" s="95" t="n">
        <f aca="false">AUG!O50</f>
        <v>11931.6985</v>
      </c>
      <c r="P10" s="215"/>
      <c r="Q10" s="133" t="n">
        <f aca="false">AUG!Q50</f>
        <v>583.4604</v>
      </c>
      <c r="R10" s="133" t="n">
        <f aca="false">AUG!R50</f>
        <v>1059.073</v>
      </c>
      <c r="S10" s="133" t="n">
        <f aca="false">AUG!S50</f>
        <v>339.41</v>
      </c>
      <c r="T10" s="217" t="n">
        <f aca="false">AUG!T50</f>
        <v>-94.5288</v>
      </c>
      <c r="U10" s="95" t="n">
        <f aca="false">AUG!U50</f>
        <v>24478.26</v>
      </c>
      <c r="V10" s="95" t="n">
        <f aca="false">AUG!V50</f>
        <v>9382</v>
      </c>
      <c r="W10" s="95" t="n">
        <f aca="false">AUG!W50</f>
        <v>58372.970159</v>
      </c>
      <c r="X10" s="95"/>
      <c r="Y10" s="95" t="n">
        <f aca="false">AUG!Y50</f>
        <v>0</v>
      </c>
      <c r="Z10" s="95"/>
      <c r="AA10" s="95" t="n">
        <f aca="false">AUG!AA50</f>
        <v>0</v>
      </c>
      <c r="AB10" s="86"/>
      <c r="AC10" s="87"/>
      <c r="AD10" s="95" t="n">
        <f aca="false">AUG!AD50</f>
        <v>106540</v>
      </c>
      <c r="AE10" s="95" t="n">
        <f aca="false">AUG!AE50</f>
        <v>8926.25787748929</v>
      </c>
      <c r="AF10" s="95" t="n">
        <f aca="false">AUG!AF50</f>
        <v>94496</v>
      </c>
      <c r="AG10" s="95" t="n">
        <f aca="false">AUG!AG50</f>
        <v>203432.76</v>
      </c>
      <c r="AH10" s="95" t="n">
        <f aca="false">AUG!AH50</f>
        <v>4141.07292664482</v>
      </c>
      <c r="AI10" s="95" t="n">
        <f aca="false">AUG!AI50</f>
        <v>207573.832926645</v>
      </c>
      <c r="AJ10" s="221" t="n">
        <f aca="false">AUG!AJ50</f>
        <v>13.28</v>
      </c>
      <c r="AK10" s="133"/>
      <c r="AL10" s="222"/>
      <c r="AM10" s="133" t="n">
        <f aca="false">AUG!AM51</f>
        <v>13022.27255</v>
      </c>
      <c r="AN10" s="133" t="n">
        <f aca="false">AUG!AN50</f>
        <v>0</v>
      </c>
      <c r="AO10" s="218"/>
      <c r="AP10" s="215" t="n">
        <f aca="false">AUG!AP51</f>
        <v>282.610296950941</v>
      </c>
      <c r="AQ10" s="133" t="n">
        <f aca="false">AUG!AQ50</f>
        <v>0</v>
      </c>
      <c r="AR10" s="133" t="n">
        <f aca="false">AUG!AR50</f>
        <v>771.62</v>
      </c>
      <c r="AS10" s="218" t="n">
        <f aca="false">AUG!AS45</f>
        <v>0</v>
      </c>
    </row>
    <row r="11" customFormat="false" ht="3" hidden="false" customHeight="true" outlineLevel="0" collapsed="false">
      <c r="A11" s="229"/>
      <c r="B11" s="230"/>
      <c r="C11" s="231"/>
      <c r="D11" s="232"/>
      <c r="E11" s="231"/>
      <c r="F11" s="233"/>
      <c r="G11" s="232"/>
      <c r="H11" s="506"/>
      <c r="I11" s="232"/>
      <c r="J11" s="232"/>
      <c r="K11" s="232"/>
      <c r="L11" s="232"/>
      <c r="M11" s="235"/>
      <c r="N11" s="232"/>
      <c r="O11" s="232"/>
      <c r="P11" s="234"/>
      <c r="Q11" s="234"/>
      <c r="R11" s="234"/>
      <c r="S11" s="234"/>
      <c r="T11" s="236"/>
      <c r="U11" s="232"/>
      <c r="V11" s="232"/>
      <c r="W11" s="232"/>
      <c r="X11" s="231"/>
      <c r="Y11" s="231"/>
      <c r="Z11" s="231"/>
      <c r="AA11" s="232"/>
      <c r="AB11" s="107"/>
      <c r="AC11" s="108"/>
      <c r="AD11" s="232"/>
      <c r="AE11" s="231"/>
      <c r="AF11" s="231"/>
      <c r="AG11" s="232"/>
      <c r="AH11" s="232"/>
      <c r="AI11" s="232"/>
      <c r="AJ11" s="239"/>
      <c r="AK11" s="240" t="n">
        <v>0</v>
      </c>
      <c r="AL11" s="241"/>
      <c r="AM11" s="240"/>
      <c r="AN11" s="240"/>
      <c r="AO11" s="237"/>
      <c r="AP11" s="234" t="s">
        <v>126</v>
      </c>
      <c r="AQ11" s="234" t="s">
        <v>126</v>
      </c>
      <c r="AR11" s="234" t="s">
        <v>126</v>
      </c>
      <c r="AS11" s="237" t="s">
        <v>126</v>
      </c>
    </row>
    <row r="12" customFormat="false" ht="12.95" hidden="false" customHeight="true" outlineLevel="0" collapsed="false">
      <c r="A12" s="155" t="n">
        <v>1</v>
      </c>
      <c r="B12" s="94" t="n">
        <v>6907.96</v>
      </c>
      <c r="C12" s="95" t="n">
        <v>313899</v>
      </c>
      <c r="D12" s="133" t="n">
        <f aca="false">C12-C10</f>
        <v>-710</v>
      </c>
      <c r="E12" s="95" t="n">
        <f aca="false">C12-151978</f>
        <v>161921</v>
      </c>
      <c r="F12" s="243" t="n">
        <f aca="false">D12/$D$2</f>
        <v>-357.953113183766</v>
      </c>
      <c r="G12" s="122" t="n">
        <v>388</v>
      </c>
      <c r="H12" s="215" t="n">
        <v>0</v>
      </c>
      <c r="I12" s="122" t="n">
        <f aca="false">G12+H12</f>
        <v>388</v>
      </c>
      <c r="J12" s="218" t="n">
        <f aca="false">IF(L12&gt;0,L12,0)</f>
        <v>0</v>
      </c>
      <c r="K12" s="122" t="n">
        <f aca="false">I12+J12</f>
        <v>388</v>
      </c>
      <c r="L12" s="122" t="n">
        <f aca="false">F12-(I12-AG12)</f>
        <v>-104.953113183766</v>
      </c>
      <c r="M12" s="244" t="n">
        <v>184</v>
      </c>
      <c r="N12" s="507" t="n">
        <f aca="false">1.8299*1.03</f>
        <v>1.884797</v>
      </c>
      <c r="O12" s="122" t="n">
        <f aca="false">(21+22)*1.05</f>
        <v>45.15</v>
      </c>
      <c r="P12" s="215" t="n">
        <v>0</v>
      </c>
      <c r="Q12" s="150" t="n">
        <f aca="false">2.26*1.02</f>
        <v>2.3052</v>
      </c>
      <c r="R12" s="324" t="n">
        <v>4.2</v>
      </c>
      <c r="S12" s="324" t="n">
        <v>0.9</v>
      </c>
      <c r="T12" s="381" t="n">
        <v>0</v>
      </c>
      <c r="U12" s="122" t="n">
        <v>134</v>
      </c>
      <c r="V12" s="122" t="n">
        <v>71</v>
      </c>
      <c r="W12" s="122" t="n">
        <f aca="false">M12-N12-O12-P12-Q12-R12-S12-T12+U12+V12</f>
        <v>334.560003</v>
      </c>
      <c r="X12" s="95" t="n">
        <v>0</v>
      </c>
      <c r="Y12" s="95" t="n">
        <f aca="false">Y9</f>
        <v>0</v>
      </c>
      <c r="Z12" s="95" t="n">
        <f aca="false">Z9-(AP12/1.9835)</f>
        <v>1356.25552107936</v>
      </c>
      <c r="AA12" s="122" t="n">
        <v>174</v>
      </c>
      <c r="AB12" s="123" t="n">
        <v>1.7</v>
      </c>
      <c r="AC12" s="124" t="n">
        <v>1.3</v>
      </c>
      <c r="AD12" s="464" t="n">
        <v>78</v>
      </c>
      <c r="AE12" s="353" t="n">
        <f aca="false">AE10-AD12</f>
        <v>8848.25787748929</v>
      </c>
      <c r="AF12" s="95"/>
      <c r="AG12" s="121" t="n">
        <f aca="false">N12+O12+P12+Q12+R12+S12+T12+W12+AA12+AD12</f>
        <v>641</v>
      </c>
      <c r="AH12" s="122" t="n">
        <f aca="false">IF(L12&lt;0,L12*-1,0)</f>
        <v>104.953113183766</v>
      </c>
      <c r="AI12" s="122" t="n">
        <f aca="false">AG12+AH12</f>
        <v>745.953113183766</v>
      </c>
      <c r="AJ12" s="221" t="n">
        <v>0</v>
      </c>
      <c r="AK12" s="133" t="n">
        <v>74</v>
      </c>
      <c r="AL12" s="222" t="n">
        <v>53</v>
      </c>
      <c r="AM12" s="133" t="n">
        <f aca="false">AM10</f>
        <v>13022.27255</v>
      </c>
      <c r="AN12" s="133"/>
      <c r="AO12" s="218" t="n">
        <v>45.17</v>
      </c>
      <c r="AP12" s="215" t="n">
        <f aca="false">36.1*(X9*1.9835+Y9*1.9835+Z9*1.9835)/E12</f>
        <v>0.599894091547752</v>
      </c>
      <c r="AQ12" s="95"/>
    </row>
    <row r="13" customFormat="false" ht="12.95" hidden="false" customHeight="true" outlineLevel="0" collapsed="false">
      <c r="A13" s="155" t="n">
        <v>2</v>
      </c>
      <c r="B13" s="94" t="n">
        <v>6907.72</v>
      </c>
      <c r="C13" s="95" t="n">
        <v>312959</v>
      </c>
      <c r="D13" s="133" t="n">
        <f aca="false">C13-C12</f>
        <v>-940</v>
      </c>
      <c r="E13" s="95" t="n">
        <f aca="false">C13-151978</f>
        <v>160981</v>
      </c>
      <c r="F13" s="243" t="n">
        <f aca="false">D13/$D$2</f>
        <v>-473.909755482733</v>
      </c>
      <c r="G13" s="122" t="n">
        <v>252</v>
      </c>
      <c r="H13" s="215" t="n">
        <v>0</v>
      </c>
      <c r="I13" s="122" t="n">
        <f aca="false">G13+H13</f>
        <v>252</v>
      </c>
      <c r="J13" s="218" t="n">
        <f aca="false">IF(L13&gt;0,L13,0)</f>
        <v>0</v>
      </c>
      <c r="K13" s="122" t="n">
        <f aca="false">I13+J13</f>
        <v>252</v>
      </c>
      <c r="L13" s="122" t="n">
        <f aca="false">F13-(I13-AG13)</f>
        <v>-17.9097554827325</v>
      </c>
      <c r="M13" s="244" t="n">
        <v>218</v>
      </c>
      <c r="N13" s="215" t="n">
        <f aca="false">1.8299*1.03</f>
        <v>1.884797</v>
      </c>
      <c r="O13" s="122" t="n">
        <f aca="false">(16+17)*1.05</f>
        <v>34.65</v>
      </c>
      <c r="P13" s="215" t="n">
        <v>0</v>
      </c>
      <c r="Q13" s="150" t="n">
        <f aca="false">2.26*1.02</f>
        <v>2.3052</v>
      </c>
      <c r="R13" s="324" t="n">
        <v>4.2</v>
      </c>
      <c r="S13" s="324" t="n">
        <v>1.92</v>
      </c>
      <c r="T13" s="381" t="n">
        <v>0</v>
      </c>
      <c r="U13" s="122" t="n">
        <v>133</v>
      </c>
      <c r="V13" s="122" t="n">
        <v>67</v>
      </c>
      <c r="W13" s="122" t="n">
        <f aca="false">M13-N13-O13-P13-Q13-R13-S13-T13+U13+V13</f>
        <v>373.040003</v>
      </c>
      <c r="X13" s="95" t="n">
        <v>0</v>
      </c>
      <c r="Y13" s="95" t="n">
        <f aca="false">Y12</f>
        <v>0</v>
      </c>
      <c r="Z13" s="95" t="n">
        <f aca="false">Z12-(AP13/1.9835)-84.01</f>
        <v>1271.94138068819</v>
      </c>
      <c r="AA13" s="122" t="n">
        <v>213</v>
      </c>
      <c r="AB13" s="123" t="n">
        <v>1.7</v>
      </c>
      <c r="AC13" s="124" t="n">
        <v>1.3</v>
      </c>
      <c r="AD13" s="464" t="n">
        <v>77</v>
      </c>
      <c r="AE13" s="353" t="n">
        <f aca="false">AE12-AD13</f>
        <v>8771.25787748929</v>
      </c>
      <c r="AF13" s="95"/>
      <c r="AG13" s="121" t="n">
        <f aca="false">N13+O13+P13+Q13+R13+S13+T13+W13+AA13+AD13</f>
        <v>708</v>
      </c>
      <c r="AH13" s="122" t="n">
        <f aca="false">IF(L13&lt;0,L13*-1,0)</f>
        <v>17.9097554827325</v>
      </c>
      <c r="AI13" s="122" t="n">
        <f aca="false">AG13+AH13</f>
        <v>725.909755482733</v>
      </c>
      <c r="AJ13" s="221" t="n">
        <v>0</v>
      </c>
      <c r="AK13" s="133" t="n">
        <v>74</v>
      </c>
      <c r="AL13" s="222" t="n">
        <v>44</v>
      </c>
      <c r="AM13" s="133" t="n">
        <f aca="false">AM12</f>
        <v>13022.27255</v>
      </c>
      <c r="AN13" s="133"/>
      <c r="AO13" s="218" t="n">
        <f aca="false">AO12-45.2</f>
        <v>-0.0300000000000011</v>
      </c>
      <c r="AP13" s="215" t="n">
        <f aca="false">36.1*(X12*1.9835+Y12*1.9835+Z12*1.9835)/E13</f>
        <v>0.603262465886028</v>
      </c>
      <c r="AQ13" s="95"/>
    </row>
    <row r="14" customFormat="false" ht="12.95" hidden="false" customHeight="true" outlineLevel="0" collapsed="false">
      <c r="A14" s="155" t="n">
        <v>3</v>
      </c>
      <c r="B14" s="94" t="n">
        <v>6907.45</v>
      </c>
      <c r="C14" s="95" t="n">
        <v>311901</v>
      </c>
      <c r="D14" s="133" t="n">
        <f aca="false">C14-C13</f>
        <v>-1058</v>
      </c>
      <c r="E14" s="95" t="n">
        <f aca="false">C14-151978</f>
        <v>159923</v>
      </c>
      <c r="F14" s="243" t="n">
        <f aca="false">D14/$D$2</f>
        <v>-533.400554575246</v>
      </c>
      <c r="G14" s="122" t="n">
        <v>192</v>
      </c>
      <c r="H14" s="215" t="n">
        <v>0</v>
      </c>
      <c r="I14" s="122" t="n">
        <f aca="false">G14+H14</f>
        <v>192</v>
      </c>
      <c r="J14" s="218" t="n">
        <f aca="false">IF(L14&gt;0,L14,0)</f>
        <v>0</v>
      </c>
      <c r="K14" s="122" t="n">
        <f aca="false">I14+J14</f>
        <v>192</v>
      </c>
      <c r="L14" s="122" t="n">
        <f aca="false">F14-(I14-AG14)</f>
        <v>-39.4005545752458</v>
      </c>
      <c r="M14" s="244" t="n">
        <v>201</v>
      </c>
      <c r="N14" s="215" t="n">
        <f aca="false">1.8299*1.03</f>
        <v>1.884797</v>
      </c>
      <c r="O14" s="122" t="n">
        <f aca="false">(12+10)*1.05</f>
        <v>23.1</v>
      </c>
      <c r="P14" s="215" t="n">
        <v>0</v>
      </c>
      <c r="Q14" s="150" t="n">
        <f aca="false">2.26*1.02</f>
        <v>2.3052</v>
      </c>
      <c r="R14" s="324" t="n">
        <v>4.2</v>
      </c>
      <c r="S14" s="324" t="n">
        <v>3.97</v>
      </c>
      <c r="T14" s="381" t="n">
        <v>0</v>
      </c>
      <c r="U14" s="122" t="n">
        <v>132</v>
      </c>
      <c r="V14" s="122" t="n">
        <v>63</v>
      </c>
      <c r="W14" s="122" t="n">
        <f aca="false">M14-N14-O14-P14-Q14-R14-S14-T14+U14+V14</f>
        <v>360.540003</v>
      </c>
      <c r="X14" s="95" t="n">
        <v>0</v>
      </c>
      <c r="Y14" s="95" t="n">
        <v>0</v>
      </c>
      <c r="Z14" s="95" t="n">
        <f aca="false">Z13-(W14-I14)-Q14-R14-AB14-(AP14/1.9835)</f>
        <v>1094.90905773769</v>
      </c>
      <c r="AA14" s="122" t="n">
        <v>214</v>
      </c>
      <c r="AB14" s="123" t="n">
        <v>1.7</v>
      </c>
      <c r="AC14" s="124" t="n">
        <v>1.3</v>
      </c>
      <c r="AD14" s="464" t="n">
        <v>76</v>
      </c>
      <c r="AE14" s="353" t="n">
        <f aca="false">AE13-AD14</f>
        <v>8695.25787748929</v>
      </c>
      <c r="AF14" s="95"/>
      <c r="AG14" s="121" t="n">
        <f aca="false">N14+O14+P14+Q14+R14+S14+T14+W14+AA14+AD14</f>
        <v>686</v>
      </c>
      <c r="AH14" s="122" t="n">
        <f aca="false">IF(L14&lt;0,L14*-1,0)</f>
        <v>39.4005545752458</v>
      </c>
      <c r="AI14" s="122" t="n">
        <f aca="false">AG14+AH14</f>
        <v>725.400554575246</v>
      </c>
      <c r="AJ14" s="221" t="n">
        <v>0</v>
      </c>
      <c r="AK14" s="133" t="n">
        <v>75</v>
      </c>
      <c r="AL14" s="222" t="n">
        <v>45</v>
      </c>
      <c r="AM14" s="133" t="n">
        <f aca="false">AM13</f>
        <v>13022.27255</v>
      </c>
      <c r="AN14" s="133"/>
      <c r="AO14" s="218"/>
      <c r="AP14" s="215" t="n">
        <f aca="false">36.1*(X13*1.9835+Y13*1.9835+Z13*1.9835)/E14</f>
        <v>0.569502421804745</v>
      </c>
      <c r="AQ14" s="95"/>
    </row>
    <row r="15" customFormat="false" ht="12.95" hidden="false" customHeight="true" outlineLevel="0" collapsed="false">
      <c r="A15" s="155" t="n">
        <v>4</v>
      </c>
      <c r="B15" s="94" t="n">
        <v>6907.17</v>
      </c>
      <c r="C15" s="95" t="n">
        <v>310804</v>
      </c>
      <c r="D15" s="133" t="n">
        <f aca="false">C15-C14</f>
        <v>-1097</v>
      </c>
      <c r="E15" s="95" t="n">
        <f aca="false">C15-151978</f>
        <v>158826</v>
      </c>
      <c r="F15" s="243" t="n">
        <f aca="false">D15/$D$2</f>
        <v>-553.062767834636</v>
      </c>
      <c r="G15" s="122" t="n">
        <v>167</v>
      </c>
      <c r="H15" s="215" t="n">
        <v>0</v>
      </c>
      <c r="I15" s="122" t="n">
        <f aca="false">G15+H15</f>
        <v>167</v>
      </c>
      <c r="J15" s="218" t="n">
        <f aca="false">IF(L15&gt;0,L15,0)</f>
        <v>0</v>
      </c>
      <c r="K15" s="122" t="n">
        <f aca="false">I15+J15</f>
        <v>167</v>
      </c>
      <c r="L15" s="122" t="n">
        <f aca="false">F15-(I15-AG15)</f>
        <v>-49.0627678346357</v>
      </c>
      <c r="M15" s="244" t="n">
        <v>193</v>
      </c>
      <c r="N15" s="215" t="n">
        <f aca="false">1.8299*1.03</f>
        <v>1.884797</v>
      </c>
      <c r="O15" s="122" t="n">
        <f aca="false">(7.1+4.9)*1.05</f>
        <v>12.6</v>
      </c>
      <c r="P15" s="215" t="n">
        <v>0</v>
      </c>
      <c r="Q15" s="150" t="n">
        <f aca="false">2.26*1.02</f>
        <v>2.3052</v>
      </c>
      <c r="R15" s="324" t="n">
        <v>4.2</v>
      </c>
      <c r="S15" s="324" t="n">
        <v>2.89</v>
      </c>
      <c r="T15" s="381" t="n">
        <v>0</v>
      </c>
      <c r="U15" s="122" t="n">
        <v>133</v>
      </c>
      <c r="V15" s="122" t="n">
        <v>61</v>
      </c>
      <c r="W15" s="122" t="n">
        <f aca="false">M15-N15-O15-P15-Q15-R15-S15-T15+U15+V15</f>
        <v>363.120003</v>
      </c>
      <c r="X15" s="95" t="n">
        <v>0</v>
      </c>
      <c r="Y15" s="95" t="n">
        <v>0</v>
      </c>
      <c r="Z15" s="95" t="n">
        <f aca="false">Z14-(W15-I15)-Q15-R15-AB15-(AP15/1.9835)</f>
        <v>890.33498983532</v>
      </c>
      <c r="AA15" s="122" t="n">
        <v>208</v>
      </c>
      <c r="AB15" s="123" t="n">
        <v>1.7</v>
      </c>
      <c r="AC15" s="124" t="n">
        <v>1.3</v>
      </c>
      <c r="AD15" s="464" t="n">
        <v>76</v>
      </c>
      <c r="AE15" s="353" t="n">
        <f aca="false">AE14-AD15</f>
        <v>8619.25787748929</v>
      </c>
      <c r="AF15" s="95"/>
      <c r="AG15" s="121" t="n">
        <f aca="false">N15+O15+P15+Q15+R15+S15+T15+W15+AA15+AD15</f>
        <v>671</v>
      </c>
      <c r="AH15" s="122" t="n">
        <f aca="false">IF(L15&lt;0,L15*-1,0)</f>
        <v>49.0627678346357</v>
      </c>
      <c r="AI15" s="122" t="n">
        <f aca="false">AG15+AH15</f>
        <v>720.062767834636</v>
      </c>
      <c r="AJ15" s="221" t="n">
        <v>0</v>
      </c>
      <c r="AK15" s="133" t="n">
        <v>78</v>
      </c>
      <c r="AL15" s="222" t="n">
        <v>40</v>
      </c>
      <c r="AM15" s="133" t="n">
        <f aca="false">AM14</f>
        <v>13022.27255</v>
      </c>
      <c r="AN15" s="133"/>
      <c r="AO15" s="218"/>
      <c r="AP15" s="215" t="n">
        <f aca="false">36.1*(X14*1.9835+Y14*1.9835+Z14*1.9835)/E15</f>
        <v>0.493623533857303</v>
      </c>
      <c r="AQ15" s="95"/>
    </row>
    <row r="16" customFormat="false" ht="12.95" hidden="false" customHeight="true" outlineLevel="0" collapsed="false">
      <c r="A16" s="155" t="n">
        <v>5</v>
      </c>
      <c r="B16" s="94" t="n">
        <v>6906.88</v>
      </c>
      <c r="C16" s="95" t="n">
        <v>309671</v>
      </c>
      <c r="D16" s="133" t="n">
        <f aca="false">C16-C15</f>
        <v>-1133</v>
      </c>
      <c r="E16" s="95" t="n">
        <f aca="false">C16-151978</f>
        <v>157693</v>
      </c>
      <c r="F16" s="243" t="n">
        <f aca="false">D16/$D$2</f>
        <v>-571.212503150996</v>
      </c>
      <c r="G16" s="122" t="n">
        <v>162</v>
      </c>
      <c r="H16" s="215" t="n">
        <v>0</v>
      </c>
      <c r="I16" s="122" t="n">
        <f aca="false">G16+H16</f>
        <v>162</v>
      </c>
      <c r="J16" s="218" t="n">
        <f aca="false">IF(L16&gt;0,L16,0)</f>
        <v>0</v>
      </c>
      <c r="K16" s="122" t="n">
        <f aca="false">I16+J16</f>
        <v>162</v>
      </c>
      <c r="L16" s="122" t="n">
        <f aca="false">F16-(I16-AG16)</f>
        <v>-31.2125031509958</v>
      </c>
      <c r="M16" s="244" t="n">
        <v>213</v>
      </c>
      <c r="N16" s="215" t="n">
        <f aca="false">1.8299*1.03</f>
        <v>1.884797</v>
      </c>
      <c r="O16" s="122" t="n">
        <f aca="false">(8.6+8.5)*1.05</f>
        <v>17.955</v>
      </c>
      <c r="P16" s="215" t="n">
        <v>0</v>
      </c>
      <c r="Q16" s="150" t="n">
        <f aca="false">2.26*1.02</f>
        <v>2.3052</v>
      </c>
      <c r="R16" s="324" t="n">
        <v>4.2</v>
      </c>
      <c r="S16" s="324" t="n">
        <v>2.54</v>
      </c>
      <c r="T16" s="381" t="n">
        <v>0</v>
      </c>
      <c r="U16" s="122" t="n">
        <v>135</v>
      </c>
      <c r="V16" s="122" t="n">
        <v>60</v>
      </c>
      <c r="W16" s="122" t="n">
        <f aca="false">M16-N16-O16-P16-Q16-R16-S16-T16+U16+V16</f>
        <v>379.115003</v>
      </c>
      <c r="X16" s="95" t="n">
        <v>0</v>
      </c>
      <c r="Y16" s="95" t="n">
        <v>0</v>
      </c>
      <c r="Z16" s="95" t="n">
        <f aca="false">Z15-(W16-I16)-Q16-R16-AB16-(AP16/1.9835)</f>
        <v>664.810966163932</v>
      </c>
      <c r="AA16" s="122" t="n">
        <v>218</v>
      </c>
      <c r="AB16" s="123" t="n">
        <v>1.7</v>
      </c>
      <c r="AC16" s="124" t="n">
        <v>1.3</v>
      </c>
      <c r="AD16" s="464" t="n">
        <v>76</v>
      </c>
      <c r="AE16" s="353" t="n">
        <f aca="false">AE15-AD16</f>
        <v>8543.25787748929</v>
      </c>
      <c r="AF16" s="95"/>
      <c r="AG16" s="121" t="n">
        <f aca="false">N16+O16+P16+Q16+R16+S16+T16+W16+AA16+AD16</f>
        <v>702</v>
      </c>
      <c r="AH16" s="122" t="n">
        <f aca="false">IF(L16&lt;0,L16*-1,0)</f>
        <v>31.2125031509958</v>
      </c>
      <c r="AI16" s="122" t="n">
        <f aca="false">AG16+AH16</f>
        <v>733.212503150996</v>
      </c>
      <c r="AJ16" s="221" t="n">
        <v>0</v>
      </c>
      <c r="AK16" s="133" t="n">
        <v>79</v>
      </c>
      <c r="AL16" s="222" t="n">
        <v>42</v>
      </c>
      <c r="AM16" s="133" t="n">
        <f aca="false">AM15</f>
        <v>13022.27255</v>
      </c>
      <c r="AN16" s="133"/>
      <c r="AO16" s="218"/>
      <c r="AP16" s="215" t="n">
        <f aca="false">36.1*(X15*1.9835+Y15*1.9835+Z15*1.9835)/E16</f>
        <v>0.404278301696427</v>
      </c>
      <c r="AQ16" s="95"/>
    </row>
    <row r="17" customFormat="false" ht="12.95" hidden="false" customHeight="true" outlineLevel="0" collapsed="false">
      <c r="A17" s="155" t="n">
        <v>6</v>
      </c>
      <c r="B17" s="94" t="n">
        <v>6906.58</v>
      </c>
      <c r="C17" s="95" t="n">
        <v>308505</v>
      </c>
      <c r="D17" s="133" t="n">
        <f aca="false">C17-C16</f>
        <v>-1166</v>
      </c>
      <c r="E17" s="95" t="n">
        <f aca="false">C17-151978</f>
        <v>156527</v>
      </c>
      <c r="F17" s="243" t="n">
        <f aca="false">D17/$D$2</f>
        <v>-587.849760524326</v>
      </c>
      <c r="G17" s="122" t="n">
        <v>152</v>
      </c>
      <c r="H17" s="215" t="n">
        <v>0</v>
      </c>
      <c r="I17" s="122" t="n">
        <f aca="false">G17+H17</f>
        <v>152</v>
      </c>
      <c r="J17" s="218" t="n">
        <f aca="false">IF(L17&gt;0,L17,0)</f>
        <v>0</v>
      </c>
      <c r="K17" s="122" t="n">
        <f aca="false">I17+J17</f>
        <v>152</v>
      </c>
      <c r="L17" s="122" t="n">
        <f aca="false">F17-(I17-AG17)</f>
        <v>-48.8497605243257</v>
      </c>
      <c r="M17" s="244" t="n">
        <v>212</v>
      </c>
      <c r="N17" s="215" t="n">
        <f aca="false">1.8299*1.03</f>
        <v>1.884797</v>
      </c>
      <c r="O17" s="122" t="n">
        <f aca="false">(11+11)*1.05</f>
        <v>23.1</v>
      </c>
      <c r="P17" s="215" t="n">
        <v>0</v>
      </c>
      <c r="Q17" s="150" t="n">
        <f aca="false">2.26*1.02</f>
        <v>2.3052</v>
      </c>
      <c r="R17" s="324" t="n">
        <v>4.2</v>
      </c>
      <c r="S17" s="324" t="n">
        <v>2.21</v>
      </c>
      <c r="T17" s="381" t="n">
        <v>0</v>
      </c>
      <c r="U17" s="122" t="n">
        <v>134</v>
      </c>
      <c r="V17" s="122" t="n">
        <v>59</v>
      </c>
      <c r="W17" s="122" t="n">
        <f aca="false">M17-N17-O17-P17-Q17-R17-S17-T17+U17+V17</f>
        <v>371.300003</v>
      </c>
      <c r="X17" s="95" t="n">
        <v>0</v>
      </c>
      <c r="Y17" s="95" t="n">
        <v>0</v>
      </c>
      <c r="Z17" s="95" t="n">
        <f aca="false">Z16-(W17-I17)-Q17-R17-AB17-(AP17/1.9835)</f>
        <v>437.152437054836</v>
      </c>
      <c r="AA17" s="122" t="n">
        <v>210</v>
      </c>
      <c r="AB17" s="123" t="n">
        <v>1.7</v>
      </c>
      <c r="AC17" s="124" t="n">
        <v>1.3</v>
      </c>
      <c r="AD17" s="464" t="n">
        <v>76</v>
      </c>
      <c r="AE17" s="353" t="n">
        <f aca="false">AE16-AD17</f>
        <v>8467.25787748929</v>
      </c>
      <c r="AF17" s="95"/>
      <c r="AG17" s="121" t="n">
        <f aca="false">N17+O17+P17+Q17+R17+S17+T17+W17+AA17+AD17</f>
        <v>691</v>
      </c>
      <c r="AH17" s="122" t="n">
        <f aca="false">IF(L17&lt;0,L17*-1,0)</f>
        <v>48.8497605243257</v>
      </c>
      <c r="AI17" s="122" t="n">
        <f aca="false">AG17+AH17</f>
        <v>739.849760524326</v>
      </c>
      <c r="AJ17" s="221" t="n">
        <v>0</v>
      </c>
      <c r="AK17" s="133" t="n">
        <v>79</v>
      </c>
      <c r="AL17" s="222" t="n">
        <v>40</v>
      </c>
      <c r="AM17" s="133" t="n">
        <f aca="false">AM16</f>
        <v>13022.27255</v>
      </c>
      <c r="AN17" s="133"/>
      <c r="AO17" s="218"/>
      <c r="AP17" s="215" t="n">
        <f aca="false">36.1*(X16*1.9835+Y16*1.9835+Z16*1.9835)/E17</f>
        <v>0.304122337392529</v>
      </c>
      <c r="AQ17" s="95"/>
    </row>
    <row r="18" customFormat="false" ht="12.95" hidden="false" customHeight="true" outlineLevel="0" collapsed="false">
      <c r="A18" s="155" t="n">
        <v>7</v>
      </c>
      <c r="B18" s="94" t="n">
        <v>6906.29</v>
      </c>
      <c r="C18" s="95" t="n">
        <v>307378</v>
      </c>
      <c r="D18" s="133" t="n">
        <f aca="false">C18-C17</f>
        <v>-1127</v>
      </c>
      <c r="E18" s="95" t="n">
        <f aca="false">C18-151978</f>
        <v>155400</v>
      </c>
      <c r="F18" s="243" t="n">
        <f aca="false">D18/$D$2</f>
        <v>-568.187547264936</v>
      </c>
      <c r="G18" s="122" t="n">
        <v>142</v>
      </c>
      <c r="H18" s="215" t="n">
        <v>0</v>
      </c>
      <c r="I18" s="122" t="n">
        <f aca="false">G18+H18</f>
        <v>142</v>
      </c>
      <c r="J18" s="218" t="n">
        <f aca="false">IF(L18&gt;0,L18,0)</f>
        <v>0</v>
      </c>
      <c r="K18" s="122" t="n">
        <f aca="false">I18+J18</f>
        <v>142</v>
      </c>
      <c r="L18" s="122" t="n">
        <f aca="false">F18-(I18-AG18)</f>
        <v>-32.1875472649357</v>
      </c>
      <c r="M18" s="244" t="n">
        <v>221</v>
      </c>
      <c r="N18" s="215" t="n">
        <f aca="false">1.8299*1.03</f>
        <v>1.884797</v>
      </c>
      <c r="O18" s="122" t="n">
        <f aca="false">(15+16)*1.05</f>
        <v>32.55</v>
      </c>
      <c r="P18" s="215" t="n">
        <v>0</v>
      </c>
      <c r="Q18" s="150" t="n">
        <f aca="false">2.26*1.02</f>
        <v>2.3052</v>
      </c>
      <c r="R18" s="324" t="n">
        <v>4.2</v>
      </c>
      <c r="S18" s="324" t="n">
        <v>2.38</v>
      </c>
      <c r="T18" s="381" t="n">
        <v>0</v>
      </c>
      <c r="U18" s="122" t="n">
        <v>134</v>
      </c>
      <c r="V18" s="122" t="n">
        <v>59</v>
      </c>
      <c r="W18" s="122" t="n">
        <f aca="false">M18-N18-O18-P18-Q18-R18-S18-T18+U18+V18</f>
        <v>370.680003</v>
      </c>
      <c r="X18" s="95" t="n">
        <v>0</v>
      </c>
      <c r="Y18" s="95" t="n">
        <v>0</v>
      </c>
      <c r="Z18" s="95" t="n">
        <f aca="false">Z17-(W18-I18)-Q18-R18-AB18-(AP18/1.9835)</f>
        <v>200.165681912123</v>
      </c>
      <c r="AA18" s="122" t="n">
        <v>188</v>
      </c>
      <c r="AB18" s="123" t="n">
        <v>1.7</v>
      </c>
      <c r="AC18" s="124" t="n">
        <v>1.3</v>
      </c>
      <c r="AD18" s="464" t="n">
        <v>76</v>
      </c>
      <c r="AE18" s="353" t="n">
        <f aca="false">AE17-AD18</f>
        <v>8391.25787748929</v>
      </c>
      <c r="AF18" s="95"/>
      <c r="AG18" s="121" t="n">
        <f aca="false">N18+O18+P18+Q18+R18+S18+T18+W18+AA18+AD18</f>
        <v>678</v>
      </c>
      <c r="AH18" s="122" t="n">
        <f aca="false">IF(L18&lt;0,L18*-1,0)</f>
        <v>32.1875472649357</v>
      </c>
      <c r="AI18" s="122" t="n">
        <f aca="false">AG18+AH18</f>
        <v>710.187547264936</v>
      </c>
      <c r="AJ18" s="221" t="n">
        <v>0</v>
      </c>
      <c r="AK18" s="133" t="n">
        <v>81</v>
      </c>
      <c r="AL18" s="222" t="n">
        <v>42</v>
      </c>
      <c r="AM18" s="133" t="n">
        <f aca="false">AM17</f>
        <v>13022.27255</v>
      </c>
      <c r="AN18" s="133"/>
      <c r="AO18" s="218"/>
      <c r="AP18" s="215" t="n">
        <f aca="false">36.1*(X17*1.9835+Y17*1.9835+Z17*1.9835)/E18</f>
        <v>0.201428675072249</v>
      </c>
      <c r="AQ18" s="95"/>
    </row>
    <row r="19" customFormat="false" ht="12.95" hidden="false" customHeight="true" outlineLevel="0" collapsed="false">
      <c r="A19" s="155" t="n">
        <v>8</v>
      </c>
      <c r="B19" s="94" t="n">
        <v>6905.97</v>
      </c>
      <c r="C19" s="95" t="n">
        <v>306135</v>
      </c>
      <c r="D19" s="133" t="n">
        <f aca="false">C19-C18</f>
        <v>-1243</v>
      </c>
      <c r="E19" s="95" t="n">
        <f aca="false">C19-151978</f>
        <v>154157</v>
      </c>
      <c r="F19" s="243" t="n">
        <f aca="false">D19/$D$2</f>
        <v>-626.670027728762</v>
      </c>
      <c r="G19" s="122" t="n">
        <v>135</v>
      </c>
      <c r="H19" s="215" t="n">
        <v>0</v>
      </c>
      <c r="I19" s="122" t="n">
        <f aca="false">G19+H19</f>
        <v>135</v>
      </c>
      <c r="J19" s="218" t="n">
        <f aca="false">IF(L19&gt;0,L19,0)</f>
        <v>0</v>
      </c>
      <c r="K19" s="122" t="n">
        <f aca="false">I19+J19</f>
        <v>135</v>
      </c>
      <c r="L19" s="122" t="n">
        <f aca="false">F19-(I19-AG19)</f>
        <v>-39.6700277287623</v>
      </c>
      <c r="M19" s="244" t="n">
        <v>237</v>
      </c>
      <c r="N19" s="215" t="n">
        <f aca="false">1.8299*1.03</f>
        <v>1.884797</v>
      </c>
      <c r="O19" s="122" t="n">
        <f aca="false">(21+22)*1.05</f>
        <v>45.15</v>
      </c>
      <c r="P19" s="215" t="n">
        <v>0</v>
      </c>
      <c r="Q19" s="150" t="n">
        <f aca="false">2.26*1.02</f>
        <v>2.3052</v>
      </c>
      <c r="R19" s="324" t="n">
        <v>4.2</v>
      </c>
      <c r="S19" s="324" t="n">
        <v>3.98</v>
      </c>
      <c r="T19" s="381" t="n">
        <v>0</v>
      </c>
      <c r="U19" s="122" t="n">
        <v>134</v>
      </c>
      <c r="V19" s="122" t="n">
        <v>59</v>
      </c>
      <c r="W19" s="122" t="n">
        <f aca="false">M19-N19-O19-P19-Q19-R19-S19-T19+U19+V19</f>
        <v>372.480003</v>
      </c>
      <c r="X19" s="95" t="n">
        <v>0</v>
      </c>
      <c r="Y19" s="95" t="n">
        <v>0</v>
      </c>
      <c r="Z19" s="95" t="n">
        <f aca="false">Z18-(W19-I19)-Q19-R19-AB19-(AP19/1.9835)</f>
        <v>-45.5663952558816</v>
      </c>
      <c r="AA19" s="122" t="n">
        <v>216</v>
      </c>
      <c r="AB19" s="123" t="n">
        <v>1.7</v>
      </c>
      <c r="AC19" s="124" t="n">
        <v>1.3</v>
      </c>
      <c r="AD19" s="464" t="n">
        <v>76</v>
      </c>
      <c r="AE19" s="353" t="n">
        <f aca="false">AE18-AD19</f>
        <v>8315.25787748929</v>
      </c>
      <c r="AF19" s="95"/>
      <c r="AG19" s="121" t="n">
        <f aca="false">N19+O19+P19+Q19+R19+S19+T19+W19+AA19+AD19</f>
        <v>722</v>
      </c>
      <c r="AH19" s="122" t="n">
        <f aca="false">IF(L19&lt;0,L19*-1,0)</f>
        <v>39.6700277287623</v>
      </c>
      <c r="AI19" s="122" t="n">
        <f aca="false">AG19+AH19</f>
        <v>761.670027728762</v>
      </c>
      <c r="AJ19" s="221" t="n">
        <v>0</v>
      </c>
      <c r="AK19" s="133" t="n">
        <v>82</v>
      </c>
      <c r="AL19" s="222" t="n">
        <v>46</v>
      </c>
      <c r="AM19" s="133" t="n">
        <f aca="false">AM18</f>
        <v>13022.27255</v>
      </c>
      <c r="AN19" s="133"/>
      <c r="AO19" s="218"/>
      <c r="AP19" s="215" t="n">
        <f aca="false">36.1*(X18*1.9835+Y18*1.9835+Z18*1.9835)/E19</f>
        <v>0.0929749122363843</v>
      </c>
      <c r="AQ19" s="95"/>
    </row>
    <row r="20" customFormat="false" ht="12.95" hidden="false" customHeight="true" outlineLevel="0" collapsed="false">
      <c r="A20" s="155" t="n">
        <v>9</v>
      </c>
      <c r="B20" s="94" t="n">
        <v>6905.67</v>
      </c>
      <c r="C20" s="95" t="n">
        <v>304979</v>
      </c>
      <c r="D20" s="133" t="n">
        <f aca="false">C20-C19</f>
        <v>-1156</v>
      </c>
      <c r="E20" s="95" t="n">
        <f aca="false">C20-151978</f>
        <v>153001</v>
      </c>
      <c r="F20" s="243" t="n">
        <f aca="false">D20/$D$2</f>
        <v>-582.808167380892</v>
      </c>
      <c r="G20" s="122" t="n">
        <v>133</v>
      </c>
      <c r="H20" s="215" t="n">
        <v>0</v>
      </c>
      <c r="I20" s="122" t="n">
        <f aca="false">G20+H20</f>
        <v>133</v>
      </c>
      <c r="J20" s="218" t="n">
        <f aca="false">IF(L20&gt;0,L20,0)</f>
        <v>0</v>
      </c>
      <c r="K20" s="122" t="n">
        <f aca="false">I20+J20</f>
        <v>133</v>
      </c>
      <c r="L20" s="122" t="n">
        <f aca="false">F20-(I20-AG20)</f>
        <v>-7.80816738089231</v>
      </c>
      <c r="M20" s="244" t="n">
        <v>232</v>
      </c>
      <c r="N20" s="215" t="n">
        <f aca="false">1.8299*1.03</f>
        <v>1.884797</v>
      </c>
      <c r="O20" s="122" t="n">
        <f aca="false">(26+27)*1.05</f>
        <v>55.65</v>
      </c>
      <c r="P20" s="215" t="n">
        <v>0</v>
      </c>
      <c r="Q20" s="150" t="n">
        <f aca="false">2.26*1.02</f>
        <v>2.3052</v>
      </c>
      <c r="R20" s="324" t="n">
        <v>4.2</v>
      </c>
      <c r="S20" s="324" t="n">
        <v>2.5</v>
      </c>
      <c r="T20" s="381" t="n">
        <v>0</v>
      </c>
      <c r="U20" s="122" t="n">
        <v>134</v>
      </c>
      <c r="V20" s="122" t="n">
        <v>59</v>
      </c>
      <c r="W20" s="122" t="n">
        <f aca="false">M20-N20-O20-P20-Q20-R20-S20-T20+U20+V20</f>
        <v>358.460003</v>
      </c>
      <c r="X20" s="95" t="n">
        <v>0</v>
      </c>
      <c r="Y20" s="95" t="n">
        <v>0</v>
      </c>
      <c r="Z20" s="95" t="n">
        <f aca="false">Z19-(W20-I20)-Q20-R20-AB20-(AP20/1.9835)</f>
        <v>-279.220847039427</v>
      </c>
      <c r="AA20" s="122" t="n">
        <v>207</v>
      </c>
      <c r="AB20" s="123" t="n">
        <v>1.7</v>
      </c>
      <c r="AC20" s="124" t="n">
        <v>1.3</v>
      </c>
      <c r="AD20" s="464" t="n">
        <v>76</v>
      </c>
      <c r="AE20" s="353" t="n">
        <f aca="false">AE19-AD20</f>
        <v>8239.25787748929</v>
      </c>
      <c r="AF20" s="95"/>
      <c r="AG20" s="121" t="n">
        <f aca="false">N20+O20+P20+Q20+R20+S20+T20+W20+AA20+AD20</f>
        <v>708</v>
      </c>
      <c r="AH20" s="122" t="n">
        <f aca="false">IF(L20&lt;0,L20*-1,0)</f>
        <v>7.80816738089231</v>
      </c>
      <c r="AI20" s="122" t="n">
        <f aca="false">AG20+AH20</f>
        <v>715.808167380892</v>
      </c>
      <c r="AJ20" s="221" t="n">
        <v>0</v>
      </c>
      <c r="AK20" s="133" t="n">
        <v>71</v>
      </c>
      <c r="AL20" s="222" t="n">
        <v>46</v>
      </c>
      <c r="AM20" s="133" t="n">
        <f aca="false">AM19</f>
        <v>13022.27255</v>
      </c>
      <c r="AN20" s="133"/>
      <c r="AO20" s="218"/>
      <c r="AP20" s="215" t="n">
        <f aca="false">36.1*(X19*1.9835+Y19*1.9835+Z19*1.9835)/E20</f>
        <v>-0.0213250378372722</v>
      </c>
      <c r="AQ20" s="95"/>
    </row>
    <row r="21" customFormat="false" ht="12.95" hidden="false" customHeight="true" outlineLevel="0" collapsed="false">
      <c r="A21" s="155" t="n">
        <v>10</v>
      </c>
      <c r="B21" s="94" t="n">
        <v>6905.43</v>
      </c>
      <c r="C21" s="95" t="n">
        <v>304054</v>
      </c>
      <c r="D21" s="133" t="n">
        <f aca="false">C21-C20</f>
        <v>-925</v>
      </c>
      <c r="E21" s="95" t="n">
        <f aca="false">C21-151978</f>
        <v>152076</v>
      </c>
      <c r="F21" s="243" t="n">
        <f aca="false">D21/$D$2</f>
        <v>-466.347365767583</v>
      </c>
      <c r="G21" s="122" t="n">
        <v>163</v>
      </c>
      <c r="H21" s="215" t="n">
        <v>0</v>
      </c>
      <c r="I21" s="122" t="n">
        <f aca="false">G21+H21</f>
        <v>163</v>
      </c>
      <c r="J21" s="218" t="n">
        <f aca="false">IF(L21&gt;0,L21,0)</f>
        <v>35.6526342324174</v>
      </c>
      <c r="K21" s="122" t="n">
        <f aca="false">I21+J21</f>
        <v>198.652634232417</v>
      </c>
      <c r="L21" s="122" t="n">
        <f aca="false">F21-(I21-AG21)</f>
        <v>35.6526342324174</v>
      </c>
      <c r="M21" s="244" t="n">
        <v>230</v>
      </c>
      <c r="N21" s="215" t="n">
        <f aca="false">1.8299*1.03</f>
        <v>1.884797</v>
      </c>
      <c r="O21" s="122" t="n">
        <f aca="false">(33+34)*1.05</f>
        <v>70.35</v>
      </c>
      <c r="P21" s="215" t="n">
        <v>0</v>
      </c>
      <c r="Q21" s="150" t="n">
        <f aca="false">2.26*1.02</f>
        <v>2.3052</v>
      </c>
      <c r="R21" s="324" t="n">
        <v>4.2</v>
      </c>
      <c r="S21" s="324" t="n">
        <v>0.05</v>
      </c>
      <c r="T21" s="381" t="n">
        <v>0</v>
      </c>
      <c r="U21" s="122" t="n">
        <v>134</v>
      </c>
      <c r="V21" s="122" t="n">
        <v>59</v>
      </c>
      <c r="W21" s="122" t="n">
        <f aca="false">M21-N21-O21-P21-Q21-R21-S21-T21+U21+V21</f>
        <v>344.210003</v>
      </c>
      <c r="X21" s="95" t="n">
        <v>0</v>
      </c>
      <c r="Y21" s="95" t="n">
        <v>0</v>
      </c>
      <c r="Z21" s="95" t="n">
        <f aca="false">Z20-(W21-I21)-Q21-R21-AB21-(AP21/1.9835)</f>
        <v>-468.569768229161</v>
      </c>
      <c r="AA21" s="122" t="n">
        <v>166</v>
      </c>
      <c r="AB21" s="123" t="n">
        <v>1.7</v>
      </c>
      <c r="AC21" s="124" t="n">
        <v>1.3</v>
      </c>
      <c r="AD21" s="464" t="n">
        <v>76</v>
      </c>
      <c r="AE21" s="353" t="n">
        <f aca="false">AE20-AD21</f>
        <v>8163.25787748929</v>
      </c>
      <c r="AF21" s="95"/>
      <c r="AG21" s="121" t="n">
        <f aca="false">N21+O21+P21+Q21+R21+S21+T21+W21+AA21+AD21</f>
        <v>665</v>
      </c>
      <c r="AH21" s="122" t="n">
        <f aca="false">IF(L21&lt;0,L21*-1,0)</f>
        <v>0</v>
      </c>
      <c r="AI21" s="122" t="n">
        <f aca="false">AG21+AH21</f>
        <v>665</v>
      </c>
      <c r="AJ21" s="221" t="n">
        <v>0.26</v>
      </c>
      <c r="AK21" s="133" t="n">
        <v>66</v>
      </c>
      <c r="AL21" s="222" t="n">
        <v>44</v>
      </c>
      <c r="AM21" s="133" t="n">
        <f aca="false">AM20</f>
        <v>13022.27255</v>
      </c>
      <c r="AN21" s="133"/>
      <c r="AO21" s="218"/>
      <c r="AP21" s="215" t="n">
        <f aca="false">36.1*(X20*1.9835+Y20*1.9835+Z20*1.9835)/E21</f>
        <v>-0.13146997066406</v>
      </c>
      <c r="AQ21" s="95"/>
    </row>
    <row r="22" customFormat="false" ht="12.95" hidden="false" customHeight="true" outlineLevel="0" collapsed="false">
      <c r="A22" s="155" t="n">
        <v>11</v>
      </c>
      <c r="B22" s="94" t="n">
        <v>6905.21</v>
      </c>
      <c r="C22" s="95" t="n">
        <v>303205</v>
      </c>
      <c r="D22" s="133" t="n">
        <f aca="false">C22-C21</f>
        <v>-849</v>
      </c>
      <c r="E22" s="95" t="n">
        <f aca="false">C22-151978</f>
        <v>151227</v>
      </c>
      <c r="F22" s="243" t="n">
        <f aca="false">D22/$D$2</f>
        <v>-428.031257877489</v>
      </c>
      <c r="G22" s="122" t="n">
        <v>212</v>
      </c>
      <c r="H22" s="215" t="n">
        <v>0</v>
      </c>
      <c r="I22" s="122" t="n">
        <f aca="false">G22+H22</f>
        <v>212</v>
      </c>
      <c r="J22" s="218" t="n">
        <f aca="false">IF(L22&gt;0,L22,0)</f>
        <v>28.9687421225108</v>
      </c>
      <c r="K22" s="122" t="n">
        <f aca="false">I22+J22</f>
        <v>240.968742122511</v>
      </c>
      <c r="L22" s="122" t="n">
        <f aca="false">F22-(I22-AG22)</f>
        <v>28.9687421225108</v>
      </c>
      <c r="M22" s="244" t="n">
        <v>212</v>
      </c>
      <c r="N22" s="215" t="n">
        <f aca="false">1.8299*1.03</f>
        <v>1.884797</v>
      </c>
      <c r="O22" s="122" t="n">
        <f aca="false">(42+42)*1.05</f>
        <v>88.2</v>
      </c>
      <c r="P22" s="215" t="n">
        <v>0</v>
      </c>
      <c r="Q22" s="150" t="n">
        <f aca="false">2.26*1.02</f>
        <v>2.3052</v>
      </c>
      <c r="R22" s="324" t="n">
        <v>4.2</v>
      </c>
      <c r="S22" s="324" t="n">
        <v>0.63</v>
      </c>
      <c r="T22" s="381" t="n">
        <v>0</v>
      </c>
      <c r="U22" s="122" t="n">
        <v>134</v>
      </c>
      <c r="V22" s="122" t="n">
        <v>58</v>
      </c>
      <c r="W22" s="122" t="n">
        <f aca="false">M22-N22-O22-P22-Q22-R22-S22-T22+U22+V22+12.18</f>
        <v>318.960003</v>
      </c>
      <c r="X22" s="95" t="n">
        <v>0</v>
      </c>
      <c r="Y22" s="95" t="n">
        <v>0</v>
      </c>
      <c r="Z22" s="95" t="n">
        <f aca="false">Z21-(W22-I22)-Q22-R22-AB22-(AP22/1.9835)</f>
        <v>-583.623117071946</v>
      </c>
      <c r="AA22" s="122" t="n">
        <v>189</v>
      </c>
      <c r="AB22" s="123" t="n">
        <v>1.7</v>
      </c>
      <c r="AC22" s="124" t="n">
        <v>1.3</v>
      </c>
      <c r="AD22" s="464" t="n">
        <v>76</v>
      </c>
      <c r="AE22" s="353" t="n">
        <f aca="false">AE21-AD22</f>
        <v>8087.25787748929</v>
      </c>
      <c r="AF22" s="95"/>
      <c r="AG22" s="121" t="n">
        <f aca="false">N22+O22+P22+Q22+R22+S22+T22+W22+AA22+AD22-12.18</f>
        <v>669</v>
      </c>
      <c r="AH22" s="122" t="n">
        <f aca="false">IF(L22&lt;0,L22*-1,0)</f>
        <v>0</v>
      </c>
      <c r="AI22" s="122" t="n">
        <f aca="false">AG22+AH22</f>
        <v>669</v>
      </c>
      <c r="AJ22" s="221" t="n">
        <v>0.23</v>
      </c>
      <c r="AK22" s="133" t="n">
        <v>73</v>
      </c>
      <c r="AL22" s="222" t="n">
        <v>42</v>
      </c>
      <c r="AM22" s="133" t="n">
        <f aca="false">AM21</f>
        <v>13022.27255</v>
      </c>
      <c r="AN22" s="133"/>
      <c r="AO22" s="218"/>
      <c r="AP22" s="215" t="n">
        <f aca="false">36.1*(X21*1.9835+Y21*1.9835+Z21*1.9835)/E22</f>
        <v>-0.221862720834902</v>
      </c>
      <c r="AQ22" s="95"/>
    </row>
    <row r="23" customFormat="false" ht="12.95" hidden="false" customHeight="true" outlineLevel="0" collapsed="false">
      <c r="A23" s="155" t="n">
        <v>12</v>
      </c>
      <c r="B23" s="94" t="n">
        <v>6904.98</v>
      </c>
      <c r="C23" s="95" t="n">
        <v>302319</v>
      </c>
      <c r="D23" s="133" t="n">
        <f aca="false">C23-C22</f>
        <v>-886</v>
      </c>
      <c r="E23" s="95" t="n">
        <f aca="false">C23-151978</f>
        <v>150341</v>
      </c>
      <c r="F23" s="243" t="n">
        <f aca="false">D23/$D$2</f>
        <v>-446.685152508193</v>
      </c>
      <c r="G23" s="122" t="n">
        <v>290</v>
      </c>
      <c r="H23" s="215" t="n">
        <v>0</v>
      </c>
      <c r="I23" s="122" t="n">
        <f aca="false">G23+H23</f>
        <v>290</v>
      </c>
      <c r="J23" s="218" t="n">
        <f aca="false">IF(L23&gt;0,L23,0)</f>
        <v>0</v>
      </c>
      <c r="K23" s="122" t="n">
        <f aca="false">I23+J23</f>
        <v>290</v>
      </c>
      <c r="L23" s="122" t="n">
        <f aca="false">F23-(I23-AG23)</f>
        <v>-87.6851525081925</v>
      </c>
      <c r="M23" s="244" t="n">
        <v>187</v>
      </c>
      <c r="N23" s="215" t="n">
        <f aca="false">1.8299*1.03</f>
        <v>1.884797</v>
      </c>
      <c r="O23" s="122" t="n">
        <f aca="false">(34+34)*1.05</f>
        <v>71.4</v>
      </c>
      <c r="P23" s="215" t="n">
        <v>0</v>
      </c>
      <c r="Q23" s="150" t="n">
        <f aca="false">2.26*1.02</f>
        <v>2.3052</v>
      </c>
      <c r="R23" s="324" t="n">
        <v>4.2</v>
      </c>
      <c r="S23" s="324" t="n">
        <v>2.13</v>
      </c>
      <c r="T23" s="381" t="n">
        <v>0</v>
      </c>
      <c r="U23" s="122" t="n">
        <v>133</v>
      </c>
      <c r="V23" s="122" t="n">
        <v>57</v>
      </c>
      <c r="W23" s="122" t="n">
        <f aca="false">M23-N23-O23-P23-Q23-R23-S23-T23+U23+V23+O23</f>
        <v>366.480003</v>
      </c>
      <c r="X23" s="95" t="n">
        <v>0</v>
      </c>
      <c r="Y23" s="95" t="n">
        <v>0</v>
      </c>
      <c r="Z23" s="95" t="n">
        <f aca="false">Z22-(W23-I23)-Q23-R23-AB23-(AP23/1.9835)</f>
        <v>-668.168180026807</v>
      </c>
      <c r="AA23" s="122" t="n">
        <v>198</v>
      </c>
      <c r="AB23" s="123" t="n">
        <v>1.7</v>
      </c>
      <c r="AC23" s="124" t="n">
        <v>1.3</v>
      </c>
      <c r="AD23" s="464" t="n">
        <v>74</v>
      </c>
      <c r="AE23" s="353" t="n">
        <f aca="false">AE22-AD23</f>
        <v>8013.25787748929</v>
      </c>
      <c r="AF23" s="95"/>
      <c r="AG23" s="121" t="n">
        <f aca="false">N23+O23+P23+Q23+R23+S23+T23+W23+AA23+AD23-O23</f>
        <v>649</v>
      </c>
      <c r="AH23" s="122" t="n">
        <f aca="false">IF(L23&lt;0,L23*-1,0)</f>
        <v>87.6851525081925</v>
      </c>
      <c r="AI23" s="122" t="n">
        <f aca="false">AG23+AH23</f>
        <v>736.685152508193</v>
      </c>
      <c r="AJ23" s="221" t="n">
        <v>0.01</v>
      </c>
      <c r="AK23" s="133" t="n">
        <v>68</v>
      </c>
      <c r="AL23" s="222" t="n">
        <v>41</v>
      </c>
      <c r="AM23" s="133" t="n">
        <f aca="false">AM22</f>
        <v>13022.27255</v>
      </c>
      <c r="AN23" s="133"/>
      <c r="AO23" s="218"/>
      <c r="AP23" s="215" t="n">
        <f aca="false">36.1*(X22*1.9835+Y22*1.9835+Z22*1.9835)/E23</f>
        <v>-0.27796777953393</v>
      </c>
      <c r="AQ23" s="95"/>
      <c r="AS23" s="151" t="n">
        <v>50.87</v>
      </c>
    </row>
    <row r="24" customFormat="false" ht="12.95" hidden="false" customHeight="true" outlineLevel="0" collapsed="false">
      <c r="A24" s="155" t="n">
        <v>13</v>
      </c>
      <c r="B24" s="94" t="n">
        <v>6904.84</v>
      </c>
      <c r="C24" s="95" t="n">
        <v>301784</v>
      </c>
      <c r="D24" s="133" t="n">
        <f aca="false">C24-C23</f>
        <v>-535</v>
      </c>
      <c r="E24" s="95" t="n">
        <f aca="false">C24-151978</f>
        <v>149806</v>
      </c>
      <c r="F24" s="243" t="n">
        <f aca="false">D24/$D$2</f>
        <v>-269.725233173683</v>
      </c>
      <c r="G24" s="122" t="n">
        <v>334</v>
      </c>
      <c r="H24" s="215" t="n">
        <v>0</v>
      </c>
      <c r="I24" s="122" t="n">
        <f aca="false">G24+H24</f>
        <v>334</v>
      </c>
      <c r="J24" s="218" t="n">
        <f aca="false">IF(L24&gt;0,L24,0)</f>
        <v>0</v>
      </c>
      <c r="K24" s="122" t="n">
        <f aca="false">I24+J24</f>
        <v>334</v>
      </c>
      <c r="L24" s="122" t="n">
        <f aca="false">F24-(I24-AG24)</f>
        <v>-12.7252331736827</v>
      </c>
      <c r="M24" s="244" t="n">
        <v>167</v>
      </c>
      <c r="N24" s="215" t="n">
        <f aca="false">1.8299*1.03</f>
        <v>1.884797</v>
      </c>
      <c r="O24" s="122" t="n">
        <f aca="false">(26+26)*1.05</f>
        <v>54.6</v>
      </c>
      <c r="P24" s="215" t="n">
        <v>0</v>
      </c>
      <c r="Q24" s="150" t="n">
        <f aca="false">2.26*1.02</f>
        <v>2.3052</v>
      </c>
      <c r="R24" s="324" t="n">
        <v>4.2</v>
      </c>
      <c r="S24" s="324" t="n">
        <v>1.07</v>
      </c>
      <c r="T24" s="381" t="n">
        <v>0</v>
      </c>
      <c r="U24" s="122" t="n">
        <v>133</v>
      </c>
      <c r="V24" s="122" t="n">
        <v>57</v>
      </c>
      <c r="W24" s="122" t="n">
        <f aca="false">M24-N24-O24-P24-Q24-R24-S24-T24+U24+V24+O24</f>
        <v>347.540003</v>
      </c>
      <c r="X24" s="95" t="n">
        <v>0</v>
      </c>
      <c r="Y24" s="95" t="n">
        <v>0</v>
      </c>
      <c r="Z24" s="95" t="n">
        <f aca="false">Z23-(W24-I24)-Q24-R24-AB24-(AP24/1.9835)</f>
        <v>-689.752368973305</v>
      </c>
      <c r="AA24" s="122" t="n">
        <v>194</v>
      </c>
      <c r="AB24" s="123" t="n">
        <v>1.7</v>
      </c>
      <c r="AC24" s="124" t="n">
        <v>1.3</v>
      </c>
      <c r="AD24" s="464" t="n">
        <v>40</v>
      </c>
      <c r="AE24" s="353" t="n">
        <f aca="false">AE23-AD24</f>
        <v>7973.25787748929</v>
      </c>
      <c r="AF24" s="95"/>
      <c r="AG24" s="121" t="n">
        <f aca="false">N24+O24+P24+Q24+R24+S24+T24+W24+AA24+AD24-O24</f>
        <v>591</v>
      </c>
      <c r="AH24" s="122" t="n">
        <f aca="false">IF(L24&lt;0,L24*-1,0)</f>
        <v>12.7252331736827</v>
      </c>
      <c r="AI24" s="122" t="n">
        <f aca="false">AG24+AH24</f>
        <v>603.725233173683</v>
      </c>
      <c r="AJ24" s="221" t="n">
        <v>0</v>
      </c>
      <c r="AK24" s="133" t="n">
        <v>74</v>
      </c>
      <c r="AL24" s="222" t="n">
        <v>40</v>
      </c>
      <c r="AM24" s="133" t="n">
        <f aca="false">AM23</f>
        <v>13022.27255</v>
      </c>
      <c r="AN24" s="133"/>
      <c r="AO24" s="218"/>
      <c r="AP24" s="215" t="n">
        <f aca="false">36.1*(X23*1.9835+Y23*1.9835+Z23*1.9835)/E24</f>
        <v>-0.319371375121841</v>
      </c>
      <c r="AQ24" s="95"/>
      <c r="AS24" s="151" t="n">
        <f aca="false">O24</f>
        <v>54.6</v>
      </c>
    </row>
    <row r="25" customFormat="false" ht="12.95" hidden="false" customHeight="true" outlineLevel="0" collapsed="false">
      <c r="A25" s="155" t="n">
        <v>14</v>
      </c>
      <c r="B25" s="94" t="n">
        <v>6904.66</v>
      </c>
      <c r="C25" s="95" t="n">
        <v>301095</v>
      </c>
      <c r="D25" s="133" t="n">
        <f aca="false">C25-C24</f>
        <v>-689</v>
      </c>
      <c r="E25" s="95" t="n">
        <f aca="false">C25-151978</f>
        <v>149117</v>
      </c>
      <c r="F25" s="243" t="n">
        <f aca="false">D25/$D$2</f>
        <v>-347.365767582556</v>
      </c>
      <c r="G25" s="122" t="n">
        <v>264</v>
      </c>
      <c r="H25" s="215" t="n">
        <v>0</v>
      </c>
      <c r="I25" s="122" t="n">
        <f aca="false">G25+H25</f>
        <v>264</v>
      </c>
      <c r="J25" s="218" t="n">
        <f aca="false">IF(L25&gt;0,L25,0)</f>
        <v>0</v>
      </c>
      <c r="K25" s="122" t="n">
        <f aca="false">I25+J25</f>
        <v>264</v>
      </c>
      <c r="L25" s="122" t="n">
        <f aca="false">F25-(I25-AG25)</f>
        <v>-69.3657675825561</v>
      </c>
      <c r="M25" s="244" t="n">
        <v>163</v>
      </c>
      <c r="N25" s="215" t="n">
        <f aca="false">1.8299*1.03</f>
        <v>1.884797</v>
      </c>
      <c r="O25" s="122" t="n">
        <f aca="false">(25+23)*1.05</f>
        <v>50.4</v>
      </c>
      <c r="P25" s="215" t="n">
        <v>0</v>
      </c>
      <c r="Q25" s="150" t="n">
        <f aca="false">2.26*1.02</f>
        <v>2.3052</v>
      </c>
      <c r="R25" s="324" t="n">
        <v>4.2</v>
      </c>
      <c r="S25" s="324" t="n">
        <v>0.62</v>
      </c>
      <c r="T25" s="381" t="n">
        <v>0</v>
      </c>
      <c r="U25" s="122" t="n">
        <v>134</v>
      </c>
      <c r="V25" s="122" t="n">
        <v>58</v>
      </c>
      <c r="W25" s="122" t="n">
        <f aca="false">M25-N25-O25-P25-Q25-R25-S25-T25+U25+V25+O25</f>
        <v>345.990003</v>
      </c>
      <c r="X25" s="95" t="n">
        <v>0</v>
      </c>
      <c r="Y25" s="95" t="n">
        <v>0</v>
      </c>
      <c r="Z25" s="95" t="n">
        <f aca="false">Z24-(W25-I25)-Q25-R25-AB25-(AP25/1.9835)</f>
        <v>-779.780588594348</v>
      </c>
      <c r="AA25" s="122" t="n">
        <v>148</v>
      </c>
      <c r="AB25" s="123" t="n">
        <v>1.7</v>
      </c>
      <c r="AC25" s="124" t="n">
        <v>1.3</v>
      </c>
      <c r="AD25" s="464" t="n">
        <v>39</v>
      </c>
      <c r="AE25" s="353" t="n">
        <f aca="false">AE24-AD25</f>
        <v>7934.25787748929</v>
      </c>
      <c r="AF25" s="95"/>
      <c r="AG25" s="121" t="n">
        <f aca="false">N25+O25+P25+Q25+R25+S25+T25+W25+AA25+AD25-O25</f>
        <v>542</v>
      </c>
      <c r="AH25" s="122" t="n">
        <f aca="false">IF(L25&lt;0,L25*-1,0)</f>
        <v>69.3657675825561</v>
      </c>
      <c r="AI25" s="122" t="n">
        <f aca="false">AG25+AH25</f>
        <v>611.365767582556</v>
      </c>
      <c r="AJ25" s="221" t="n">
        <v>0</v>
      </c>
      <c r="AK25" s="133" t="n">
        <v>76</v>
      </c>
      <c r="AL25" s="222" t="n">
        <v>45</v>
      </c>
      <c r="AM25" s="133" t="n">
        <f aca="false">AM24</f>
        <v>13022.27255</v>
      </c>
      <c r="AN25" s="133"/>
      <c r="AO25" s="218"/>
      <c r="AP25" s="215" t="n">
        <f aca="false">36.1*(X24*1.9835+Y24*1.9835+Z24*1.9835)/E25</f>
        <v>-0.331211532161281</v>
      </c>
      <c r="AQ25" s="95"/>
      <c r="AS25" s="151" t="n">
        <f aca="false">O25</f>
        <v>50.4</v>
      </c>
    </row>
    <row r="26" customFormat="false" ht="12.95" hidden="false" customHeight="true" outlineLevel="0" collapsed="false">
      <c r="A26" s="155" t="n">
        <v>15</v>
      </c>
      <c r="B26" s="94" t="n">
        <v>6904.49</v>
      </c>
      <c r="C26" s="95" t="n">
        <v>300445</v>
      </c>
      <c r="D26" s="133" t="n">
        <f aca="false">C26-C25</f>
        <v>-650</v>
      </c>
      <c r="E26" s="95" t="n">
        <f aca="false">C26-151978</f>
        <v>148467</v>
      </c>
      <c r="F26" s="243" t="n">
        <f aca="false">D26/$D$2</f>
        <v>-327.703554323166</v>
      </c>
      <c r="G26" s="122" t="n">
        <v>236</v>
      </c>
      <c r="H26" s="215" t="n">
        <v>0</v>
      </c>
      <c r="I26" s="122" t="n">
        <f aca="false">G26+H26</f>
        <v>236</v>
      </c>
      <c r="J26" s="218" t="n">
        <f aca="false">IF(L26&gt;0,L26,0)</f>
        <v>27.2964456768339</v>
      </c>
      <c r="K26" s="122" t="n">
        <f aca="false">I26+J26</f>
        <v>263.296445676834</v>
      </c>
      <c r="L26" s="122" t="n">
        <f aca="false">F26-(I26-AG26)</f>
        <v>27.2964456768339</v>
      </c>
      <c r="M26" s="244" t="n">
        <v>199</v>
      </c>
      <c r="N26" s="215" t="n">
        <f aca="false">1.8299*1.03</f>
        <v>1.884797</v>
      </c>
      <c r="O26" s="122" t="n">
        <f aca="false">(30+31)*1.05</f>
        <v>64.05</v>
      </c>
      <c r="P26" s="215" t="n">
        <v>0</v>
      </c>
      <c r="Q26" s="150" t="n">
        <f aca="false">2.26*1.02</f>
        <v>2.3052</v>
      </c>
      <c r="R26" s="324" t="n">
        <v>4.2</v>
      </c>
      <c r="S26" s="324" t="n">
        <v>1.82</v>
      </c>
      <c r="T26" s="381" t="n">
        <v>0</v>
      </c>
      <c r="U26" s="122" t="n">
        <v>120</v>
      </c>
      <c r="V26" s="122" t="n">
        <v>56</v>
      </c>
      <c r="W26" s="122" t="n">
        <f aca="false">M26-N26-O26-P26-Q26-R26-S26-T26+U26+V26+O26</f>
        <v>364.790003</v>
      </c>
      <c r="X26" s="95" t="n">
        <v>0</v>
      </c>
      <c r="Y26" s="95" t="n">
        <v>0</v>
      </c>
      <c r="Z26" s="95" t="n">
        <f aca="false">Z25-(W26-I26)-Q26-R26-AB26-(AP26/1.9835)</f>
        <v>-916.586186636692</v>
      </c>
      <c r="AA26" s="122" t="n">
        <v>177</v>
      </c>
      <c r="AB26" s="123" t="n">
        <v>1.7</v>
      </c>
      <c r="AC26" s="124" t="n">
        <v>1.3</v>
      </c>
      <c r="AD26" s="464" t="n">
        <v>39</v>
      </c>
      <c r="AE26" s="353" t="n">
        <f aca="false">AE25-AD26</f>
        <v>7895.25787748929</v>
      </c>
      <c r="AF26" s="95"/>
      <c r="AG26" s="121" t="n">
        <f aca="false">N26+O26+P26+Q26+R26+S26+T26+W26+AA26+AD26-O26</f>
        <v>591</v>
      </c>
      <c r="AH26" s="122" t="n">
        <f aca="false">IF(L26&lt;0,L26*-1,0)</f>
        <v>0</v>
      </c>
      <c r="AI26" s="122" t="n">
        <f aca="false">AG26+AH26</f>
        <v>591</v>
      </c>
      <c r="AJ26" s="221" t="n">
        <v>0</v>
      </c>
      <c r="AK26" s="133" t="n">
        <v>76</v>
      </c>
      <c r="AL26" s="222" t="n">
        <v>43</v>
      </c>
      <c r="AM26" s="133" t="n">
        <f aca="false">AM25</f>
        <v>13022.27255</v>
      </c>
      <c r="AN26" s="133"/>
      <c r="AO26" s="218"/>
      <c r="AP26" s="215" t="n">
        <f aca="false">36.1*(X25*1.9835+Y25*1.9835+Z25*1.9835)/E26</f>
        <v>-0.376081433509909</v>
      </c>
      <c r="AQ26" s="95"/>
      <c r="AS26" s="151" t="n">
        <f aca="false">O26</f>
        <v>64.05</v>
      </c>
    </row>
    <row r="27" customFormat="false" ht="12.95" hidden="false" customHeight="true" outlineLevel="0" collapsed="false">
      <c r="A27" s="155" t="n">
        <v>16</v>
      </c>
      <c r="B27" s="94" t="n">
        <v>6904.29</v>
      </c>
      <c r="C27" s="95" t="n">
        <v>299680</v>
      </c>
      <c r="D27" s="133" t="n">
        <f aca="false">C27-C26</f>
        <v>-765</v>
      </c>
      <c r="E27" s="95" t="n">
        <f aca="false">C27-151978</f>
        <v>147702</v>
      </c>
      <c r="F27" s="243" t="n">
        <f aca="false">D27/$D$2</f>
        <v>-385.681875472649</v>
      </c>
      <c r="G27" s="122" t="n">
        <v>229</v>
      </c>
      <c r="H27" s="215" t="n">
        <v>0</v>
      </c>
      <c r="I27" s="122" t="n">
        <f aca="false">G27+H27</f>
        <v>229</v>
      </c>
      <c r="J27" s="218" t="n">
        <f aca="false">IF(L27&gt;0,L27,0)</f>
        <v>0</v>
      </c>
      <c r="K27" s="122" t="n">
        <f aca="false">I27+J27</f>
        <v>229</v>
      </c>
      <c r="L27" s="122" t="n">
        <f aca="false">F27-(I27-AG27)</f>
        <v>-33.6818754726493</v>
      </c>
      <c r="M27" s="244" t="n">
        <v>184</v>
      </c>
      <c r="N27" s="215" t="n">
        <f aca="false">1.8299*1.03</f>
        <v>1.884797</v>
      </c>
      <c r="O27" s="122" t="n">
        <f aca="false">(27+31)*1.05</f>
        <v>60.9</v>
      </c>
      <c r="P27" s="215" t="n">
        <v>0</v>
      </c>
      <c r="Q27" s="150" t="n">
        <f aca="false">2.26*1.02</f>
        <v>2.3052</v>
      </c>
      <c r="R27" s="324" t="n">
        <v>4.2</v>
      </c>
      <c r="S27" s="324" t="n">
        <v>2.11</v>
      </c>
      <c r="T27" s="381" t="n">
        <v>0</v>
      </c>
      <c r="U27" s="122" t="n">
        <v>112</v>
      </c>
      <c r="V27" s="122" t="n">
        <v>54</v>
      </c>
      <c r="W27" s="122" t="n">
        <f aca="false">M27-N27-O27-P27-Q27-R27-S27-T27+U27+V27+O27</f>
        <v>339.500003</v>
      </c>
      <c r="X27" s="95" t="n">
        <v>0</v>
      </c>
      <c r="Y27" s="95" t="n">
        <v>0</v>
      </c>
      <c r="Z27" s="95" t="n">
        <f aca="false">Z26-(W27-I27)-Q27-R27-AB27-(AP27/1.9835)</f>
        <v>-1035.06736585003</v>
      </c>
      <c r="AA27" s="122" t="n">
        <v>193</v>
      </c>
      <c r="AB27" s="123" t="n">
        <v>1.7</v>
      </c>
      <c r="AC27" s="124" t="n">
        <v>1.3</v>
      </c>
      <c r="AD27" s="464" t="n">
        <v>38</v>
      </c>
      <c r="AE27" s="353" t="n">
        <f aca="false">AE26-AD27</f>
        <v>7857.25787748929</v>
      </c>
      <c r="AF27" s="95"/>
      <c r="AG27" s="121" t="n">
        <f aca="false">N27+O27+P27+Q27+R27+S27+T27+W27+AA27+AD27-O27</f>
        <v>581</v>
      </c>
      <c r="AH27" s="122" t="n">
        <f aca="false">IF(L27&lt;0,L27*-1,0)</f>
        <v>33.6818754726493</v>
      </c>
      <c r="AI27" s="122" t="n">
        <f aca="false">AG27+AH27</f>
        <v>614.681875472649</v>
      </c>
      <c r="AJ27" s="221" t="n">
        <v>0</v>
      </c>
      <c r="AK27" s="133" t="n">
        <v>76</v>
      </c>
      <c r="AL27" s="222" t="n">
        <v>43</v>
      </c>
      <c r="AM27" s="133" t="n">
        <f aca="false">AM26</f>
        <v>13022.27255</v>
      </c>
      <c r="AN27" s="133"/>
      <c r="AO27" s="218"/>
      <c r="AP27" s="215" t="n">
        <f aca="false">36.1*(X26*1.9835+Y26*1.9835+Z26*1.9835)/E27</f>
        <v>-0.444351180844532</v>
      </c>
      <c r="AQ27" s="95"/>
      <c r="AS27" s="151" t="n">
        <f aca="false">O27</f>
        <v>60.9</v>
      </c>
    </row>
    <row r="28" customFormat="false" ht="12.95" hidden="false" customHeight="true" outlineLevel="0" collapsed="false">
      <c r="A28" s="155" t="n">
        <v>17</v>
      </c>
      <c r="B28" s="94" t="n">
        <v>6904.1</v>
      </c>
      <c r="C28" s="95" t="n">
        <v>298954</v>
      </c>
      <c r="D28" s="133" t="n">
        <f aca="false">C28-C27</f>
        <v>-726</v>
      </c>
      <c r="E28" s="95" t="n">
        <f aca="false">C28-151978</f>
        <v>146976</v>
      </c>
      <c r="F28" s="243" t="n">
        <f aca="false">D28/$D$2</f>
        <v>-366.019662213259</v>
      </c>
      <c r="G28" s="122" t="n">
        <v>227</v>
      </c>
      <c r="H28" s="215" t="n">
        <v>0</v>
      </c>
      <c r="I28" s="122" t="n">
        <f aca="false">G28+H28</f>
        <v>227</v>
      </c>
      <c r="J28" s="218" t="n">
        <f aca="false">IF(L28&gt;0,L28,0)</f>
        <v>0</v>
      </c>
      <c r="K28" s="122" t="n">
        <f aca="false">I28+J28</f>
        <v>227</v>
      </c>
      <c r="L28" s="122" t="n">
        <f aca="false">F28-(I28-AG28)</f>
        <v>-59.0196622132594</v>
      </c>
      <c r="M28" s="244" t="n">
        <v>173</v>
      </c>
      <c r="N28" s="215" t="n">
        <f aca="false">1.8299*1.03</f>
        <v>1.884797</v>
      </c>
      <c r="O28" s="122" t="n">
        <f aca="false">(20+21)*1.05</f>
        <v>43.05</v>
      </c>
      <c r="P28" s="215" t="n">
        <v>0</v>
      </c>
      <c r="Q28" s="150" t="n">
        <f aca="false">2.26*1.02</f>
        <v>2.3052</v>
      </c>
      <c r="R28" s="324" t="n">
        <v>4.2</v>
      </c>
      <c r="S28" s="324" t="n">
        <v>1.95</v>
      </c>
      <c r="T28" s="381" t="n">
        <v>0</v>
      </c>
      <c r="U28" s="122" t="n">
        <v>105</v>
      </c>
      <c r="V28" s="122" t="n">
        <v>52</v>
      </c>
      <c r="W28" s="122" t="n">
        <f aca="false">M28-N28-O28-P28-Q28-R28-S28-T28+U28+V28+O28</f>
        <v>319.660003</v>
      </c>
      <c r="X28" s="95" t="n">
        <v>0</v>
      </c>
      <c r="Y28" s="95" t="n">
        <v>0</v>
      </c>
      <c r="Z28" s="95" t="n">
        <f aca="false">Z27-(W28-I28)-Q28-R28-AB28-(AP28/1.9835)</f>
        <v>-1135.67833732987</v>
      </c>
      <c r="AA28" s="122" t="n">
        <v>165</v>
      </c>
      <c r="AB28" s="123" t="n">
        <v>1.7</v>
      </c>
      <c r="AC28" s="124" t="n">
        <v>1.3</v>
      </c>
      <c r="AD28" s="464" t="n">
        <v>39</v>
      </c>
      <c r="AE28" s="353" t="n">
        <f aca="false">AE27-AD28</f>
        <v>7818.25787748929</v>
      </c>
      <c r="AF28" s="95"/>
      <c r="AG28" s="121" t="n">
        <f aca="false">N28+O28+P28+Q28+R28+S28+T28+W28+AA28+AD28-O28</f>
        <v>534</v>
      </c>
      <c r="AH28" s="122" t="n">
        <f aca="false">IF(L28&lt;0,L28*-1,0)</f>
        <v>59.0196622132594</v>
      </c>
      <c r="AI28" s="122" t="n">
        <f aca="false">AG28+AH28</f>
        <v>593.019662213259</v>
      </c>
      <c r="AJ28" s="221" t="n">
        <v>0</v>
      </c>
      <c r="AK28" s="133" t="n">
        <v>74</v>
      </c>
      <c r="AL28" s="222" t="n">
        <v>46</v>
      </c>
      <c r="AM28" s="133" t="n">
        <f aca="false">AM27</f>
        <v>13022.27255</v>
      </c>
      <c r="AN28" s="133"/>
      <c r="AO28" s="218"/>
      <c r="AP28" s="215" t="n">
        <f aca="false">36.1*(X27*1.9835+Y27*1.9835+Z27*1.9835)/E28</f>
        <v>-0.504268220239383</v>
      </c>
      <c r="AQ28" s="95"/>
      <c r="AS28" s="151" t="n">
        <f aca="false">O28</f>
        <v>43.05</v>
      </c>
    </row>
    <row r="29" customFormat="false" ht="12.95" hidden="false" customHeight="true" outlineLevel="0" collapsed="false">
      <c r="A29" s="155" t="n">
        <v>18</v>
      </c>
      <c r="B29" s="94" t="n">
        <v>6903.95</v>
      </c>
      <c r="C29" s="95" t="n">
        <v>298381</v>
      </c>
      <c r="D29" s="133" t="n">
        <f aca="false">C29-C28</f>
        <v>-573</v>
      </c>
      <c r="E29" s="95" t="n">
        <f aca="false">C29-151978</f>
        <v>146403</v>
      </c>
      <c r="F29" s="243" t="n">
        <f aca="false">D29/$D$2</f>
        <v>-288.88328711873</v>
      </c>
      <c r="G29" s="122" t="n">
        <v>225</v>
      </c>
      <c r="H29" s="215" t="n">
        <v>0</v>
      </c>
      <c r="I29" s="122" t="n">
        <f aca="false">G29+H29</f>
        <v>225</v>
      </c>
      <c r="J29" s="218" t="n">
        <f aca="false">IF(L29&gt;0,L29,0)</f>
        <v>0</v>
      </c>
      <c r="K29" s="122" t="n">
        <f aca="false">I29+J29</f>
        <v>225</v>
      </c>
      <c r="L29" s="122" t="n">
        <f aca="false">F29-(I29-AG29)</f>
        <v>-11.8832871187296</v>
      </c>
      <c r="M29" s="244" t="n">
        <v>166</v>
      </c>
      <c r="N29" s="215" t="n">
        <f aca="false">1.8299*1.03</f>
        <v>1.884797</v>
      </c>
      <c r="O29" s="122" t="n">
        <f aca="false">(25+21)*1.05</f>
        <v>48.3</v>
      </c>
      <c r="P29" s="215" t="n">
        <v>0</v>
      </c>
      <c r="Q29" s="150" t="n">
        <f aca="false">2.26*1.02</f>
        <v>2.3052</v>
      </c>
      <c r="R29" s="324" t="n">
        <v>4.2</v>
      </c>
      <c r="S29" s="324" t="n">
        <v>2.64</v>
      </c>
      <c r="T29" s="381" t="n">
        <v>0</v>
      </c>
      <c r="U29" s="122" t="n">
        <v>101</v>
      </c>
      <c r="V29" s="122" t="n">
        <v>52</v>
      </c>
      <c r="W29" s="122" t="n">
        <f aca="false">M29-N29-O29-P29-Q29-R29-S29-T29+U29+V29+O29</f>
        <v>307.970003</v>
      </c>
      <c r="X29" s="95" t="n">
        <v>0</v>
      </c>
      <c r="Y29" s="95" t="n">
        <v>0</v>
      </c>
      <c r="Z29" s="95" t="n">
        <f aca="false">Z28-(W29-I29)-Q29-R29-AB29-(AP29/1.9835)</f>
        <v>-1226.57350516681</v>
      </c>
      <c r="AA29" s="122" t="n">
        <v>145</v>
      </c>
      <c r="AB29" s="123" t="n">
        <v>1.7</v>
      </c>
      <c r="AC29" s="124" t="n">
        <v>1.3</v>
      </c>
      <c r="AD29" s="464" t="n">
        <v>38</v>
      </c>
      <c r="AE29" s="353" t="n">
        <f aca="false">AE28-AD29</f>
        <v>7780.25787748929</v>
      </c>
      <c r="AF29" s="95"/>
      <c r="AG29" s="121" t="n">
        <f aca="false">N29+O29+P29+Q29+R29+S29+T29+W29+AA29+AD29-O29</f>
        <v>502</v>
      </c>
      <c r="AH29" s="122" t="n">
        <f aca="false">IF(L29&lt;0,L29*-1,0)</f>
        <v>11.8832871187296</v>
      </c>
      <c r="AI29" s="122" t="n">
        <f aca="false">AG29+AH29</f>
        <v>513.88328711873</v>
      </c>
      <c r="AJ29" s="221" t="n">
        <v>0</v>
      </c>
      <c r="AK29" s="133" t="n">
        <v>75</v>
      </c>
      <c r="AL29" s="222" t="n">
        <v>43</v>
      </c>
      <c r="AM29" s="133" t="n">
        <f aca="false">AM28</f>
        <v>13022.27255</v>
      </c>
      <c r="AN29" s="133"/>
      <c r="AO29" s="218"/>
      <c r="AP29" s="215" t="n">
        <f aca="false">36.1*(X28*1.9835+Y28*1.9835+Z28*1.9835)/E29</f>
        <v>-0.55544974593134</v>
      </c>
      <c r="AQ29" s="95"/>
      <c r="AS29" s="151" t="n">
        <f aca="false">O29</f>
        <v>48.3</v>
      </c>
    </row>
    <row r="30" customFormat="false" ht="12.95" hidden="false" customHeight="true" outlineLevel="0" collapsed="false">
      <c r="A30" s="155" t="n">
        <v>19</v>
      </c>
      <c r="B30" s="94" t="n">
        <v>6903.78</v>
      </c>
      <c r="C30" s="95" t="n">
        <v>297736</v>
      </c>
      <c r="D30" s="133" t="n">
        <f aca="false">C30-C29</f>
        <v>-645</v>
      </c>
      <c r="E30" s="95" t="n">
        <f aca="false">C30-151978</f>
        <v>145758</v>
      </c>
      <c r="F30" s="243" t="n">
        <f aca="false">D30/$D$2</f>
        <v>-325.182757751449</v>
      </c>
      <c r="G30" s="122" t="n">
        <v>220</v>
      </c>
      <c r="H30" s="215" t="n">
        <v>0</v>
      </c>
      <c r="I30" s="122" t="n">
        <f aca="false">G30+H30</f>
        <v>220</v>
      </c>
      <c r="J30" s="218" t="n">
        <f aca="false">IF(L30&gt;0,L30,0)</f>
        <v>0</v>
      </c>
      <c r="K30" s="122" t="n">
        <f aca="false">I30+J30</f>
        <v>220</v>
      </c>
      <c r="L30" s="122" t="n">
        <f aca="false">F30-(I30-AG30)</f>
        <v>-12.1827577514493</v>
      </c>
      <c r="M30" s="244" t="n">
        <v>182</v>
      </c>
      <c r="N30" s="215" t="n">
        <f aca="false">1.8299*1.03</f>
        <v>1.884797</v>
      </c>
      <c r="O30" s="122" t="n">
        <f aca="false">(28+25)*1.05</f>
        <v>55.65</v>
      </c>
      <c r="P30" s="215" t="n">
        <v>0</v>
      </c>
      <c r="Q30" s="150" t="n">
        <f aca="false">2.26*1.02</f>
        <v>2.3052</v>
      </c>
      <c r="R30" s="324" t="n">
        <v>4.2</v>
      </c>
      <c r="S30" s="324" t="n">
        <v>2.28</v>
      </c>
      <c r="T30" s="381" t="n">
        <v>0</v>
      </c>
      <c r="U30" s="122" t="n">
        <v>101</v>
      </c>
      <c r="V30" s="122" t="n">
        <v>52</v>
      </c>
      <c r="W30" s="122" t="n">
        <f aca="false">M30-N30-O30-P30-Q30-R30-S30-T30+U30+V30+O30</f>
        <v>324.330003</v>
      </c>
      <c r="X30" s="95" t="n">
        <v>0</v>
      </c>
      <c r="Y30" s="95" t="n">
        <v>0</v>
      </c>
      <c r="Z30" s="95" t="n">
        <f aca="false">Z29-(W30-I30)-Q30-R30-AB30-(AP30/1.9835)</f>
        <v>-1338.80492172945</v>
      </c>
      <c r="AA30" s="122" t="n">
        <v>160</v>
      </c>
      <c r="AB30" s="123" t="n">
        <v>1.7</v>
      </c>
      <c r="AC30" s="124" t="n">
        <v>1.3</v>
      </c>
      <c r="AD30" s="464" t="n">
        <v>38</v>
      </c>
      <c r="AE30" s="353" t="n">
        <f aca="false">AE29-AD30</f>
        <v>7742.25787748929</v>
      </c>
      <c r="AF30" s="95"/>
      <c r="AG30" s="121" t="n">
        <f aca="false">N30+O30+P30+Q30+R30+S30+T30+W30+AA30+AD30-O30</f>
        <v>533</v>
      </c>
      <c r="AH30" s="122" t="n">
        <f aca="false">IF(L30&lt;0,L30*-1,0)</f>
        <v>12.1827577514493</v>
      </c>
      <c r="AI30" s="122" t="n">
        <f aca="false">AG30+AH30</f>
        <v>545.182757751449</v>
      </c>
      <c r="AJ30" s="221" t="n">
        <v>0</v>
      </c>
      <c r="AK30" s="133" t="n">
        <v>76</v>
      </c>
      <c r="AL30" s="222" t="n">
        <v>43</v>
      </c>
      <c r="AM30" s="133" t="n">
        <f aca="false">AM29</f>
        <v>13022.27255</v>
      </c>
      <c r="AN30" s="133"/>
      <c r="AO30" s="218"/>
      <c r="AP30" s="215" t="n">
        <f aca="false">36.1*(X29*1.9835+Y29*1.9835+Z29*1.9835)/E30</f>
        <v>-0.602560398500878</v>
      </c>
      <c r="AQ30" s="95"/>
      <c r="AS30" s="151" t="n">
        <f aca="false">O30</f>
        <v>55.65</v>
      </c>
    </row>
    <row r="31" customFormat="false" ht="12.95" hidden="false" customHeight="true" outlineLevel="0" collapsed="false">
      <c r="A31" s="155" t="n">
        <v>20</v>
      </c>
      <c r="B31" s="94" t="n">
        <v>6903.6</v>
      </c>
      <c r="C31" s="95" t="n">
        <v>297054</v>
      </c>
      <c r="D31" s="133" t="n">
        <f aca="false">C31-C30</f>
        <v>-682</v>
      </c>
      <c r="E31" s="95" t="n">
        <f aca="false">C31-151978</f>
        <v>145076</v>
      </c>
      <c r="F31" s="243" t="n">
        <f aca="false">D31/$D$2</f>
        <v>-343.836652382153</v>
      </c>
      <c r="G31" s="122" t="n">
        <v>217</v>
      </c>
      <c r="H31" s="215" t="n">
        <v>0</v>
      </c>
      <c r="I31" s="122" t="n">
        <f aca="false">G31+H31</f>
        <v>217</v>
      </c>
      <c r="J31" s="218" t="n">
        <f aca="false">IF(L31&gt;0,L31,0)</f>
        <v>0</v>
      </c>
      <c r="K31" s="122" t="n">
        <f aca="false">I31+J31</f>
        <v>217</v>
      </c>
      <c r="L31" s="122" t="n">
        <f aca="false">F31-(I31-AG31)</f>
        <v>-45.8366523821528</v>
      </c>
      <c r="M31" s="244" t="n">
        <v>169</v>
      </c>
      <c r="N31" s="215" t="n">
        <f aca="false">1.8299*1.03</f>
        <v>1.884797</v>
      </c>
      <c r="O31" s="122" t="n">
        <f aca="false">(31+30)*1.05</f>
        <v>64.05</v>
      </c>
      <c r="P31" s="215" t="n">
        <v>0</v>
      </c>
      <c r="Q31" s="150" t="n">
        <f aca="false">2.26*1.02</f>
        <v>2.3052</v>
      </c>
      <c r="R31" s="324" t="n">
        <v>4.2</v>
      </c>
      <c r="S31" s="324" t="n">
        <v>2.32</v>
      </c>
      <c r="T31" s="381" t="n">
        <v>0</v>
      </c>
      <c r="U31" s="122" t="n">
        <v>101</v>
      </c>
      <c r="V31" s="122" t="n">
        <v>52</v>
      </c>
      <c r="W31" s="122" t="n">
        <f aca="false">M31-N31-O31-P31-Q31-R31-S31-T31+U31+V31+O31</f>
        <v>311.290003</v>
      </c>
      <c r="X31" s="95" t="n">
        <v>0</v>
      </c>
      <c r="Y31" s="95" t="n">
        <v>0</v>
      </c>
      <c r="Z31" s="95" t="n">
        <f aca="false">Z30-(W31-I31)-Q31-R31-AB31-(AP31/1.9835)</f>
        <v>-1440.9669830818</v>
      </c>
      <c r="AA31" s="122" t="n">
        <v>155</v>
      </c>
      <c r="AB31" s="123" t="n">
        <v>1.7</v>
      </c>
      <c r="AC31" s="124" t="n">
        <v>1.3</v>
      </c>
      <c r="AD31" s="464" t="n">
        <v>38</v>
      </c>
      <c r="AE31" s="353" t="n">
        <f aca="false">AE30-AD31</f>
        <v>7704.25787748929</v>
      </c>
      <c r="AF31" s="95"/>
      <c r="AG31" s="121" t="n">
        <f aca="false">N31+O31+P31+Q31+R31+S31+T31+W31+AA31+AD31-O31</f>
        <v>515</v>
      </c>
      <c r="AH31" s="122" t="n">
        <f aca="false">IF(L31&lt;0,L31*-1,0)</f>
        <v>45.8366523821528</v>
      </c>
      <c r="AI31" s="122" t="n">
        <f aca="false">AG31+AH31</f>
        <v>560.836652382153</v>
      </c>
      <c r="AJ31" s="221" t="n">
        <v>0</v>
      </c>
      <c r="AK31" s="133" t="n">
        <v>76</v>
      </c>
      <c r="AL31" s="222" t="n">
        <v>44</v>
      </c>
      <c r="AM31" s="133" t="n">
        <f aca="false">AM30</f>
        <v>13022.27255</v>
      </c>
      <c r="AN31" s="133"/>
      <c r="AO31" s="218"/>
      <c r="AP31" s="215" t="n">
        <f aca="false">36.1*(X30*1.9835+Y30*1.9835+Z30*1.9835)/E31</f>
        <v>-0.660786458113252</v>
      </c>
      <c r="AQ31" s="95"/>
      <c r="AS31" s="151" t="n">
        <f aca="false">O31</f>
        <v>64.05</v>
      </c>
    </row>
    <row r="32" customFormat="false" ht="12.95" hidden="false" customHeight="true" outlineLevel="0" collapsed="false">
      <c r="A32" s="155" t="n">
        <v>21</v>
      </c>
      <c r="B32" s="94" t="n">
        <v>6903.41</v>
      </c>
      <c r="C32" s="95" t="n">
        <v>296333</v>
      </c>
      <c r="D32" s="133" t="n">
        <f aca="false">C32-C31</f>
        <v>-721</v>
      </c>
      <c r="E32" s="95" t="n">
        <f aca="false">C32-151978</f>
        <v>144355</v>
      </c>
      <c r="F32" s="243" t="n">
        <f aca="false">D32/$D$2</f>
        <v>-363.498865641543</v>
      </c>
      <c r="G32" s="122" t="n">
        <v>211</v>
      </c>
      <c r="H32" s="215" t="n">
        <v>0</v>
      </c>
      <c r="I32" s="122" t="n">
        <f aca="false">G32+H32</f>
        <v>211</v>
      </c>
      <c r="J32" s="218" t="n">
        <f aca="false">IF(L32&gt;0,L32,0)</f>
        <v>0</v>
      </c>
      <c r="K32" s="122" t="n">
        <f aca="false">I32+J32</f>
        <v>211</v>
      </c>
      <c r="L32" s="122" t="n">
        <f aca="false">F32-(I32-AG32)</f>
        <v>-77.4988656415426</v>
      </c>
      <c r="M32" s="244" t="n">
        <v>193</v>
      </c>
      <c r="N32" s="215" t="n">
        <f aca="false">1.8299*1.03</f>
        <v>1.884797</v>
      </c>
      <c r="O32" s="122" t="n">
        <f aca="false">(30+33)*1.05</f>
        <v>66.15</v>
      </c>
      <c r="P32" s="215" t="n">
        <v>0</v>
      </c>
      <c r="Q32" s="150" t="n">
        <f aca="false">2.26*1.02</f>
        <v>2.3052</v>
      </c>
      <c r="R32" s="324" t="n">
        <v>4.2</v>
      </c>
      <c r="S32" s="324" t="n">
        <v>2.15</v>
      </c>
      <c r="T32" s="381" t="n">
        <v>0</v>
      </c>
      <c r="U32" s="122" t="n">
        <v>102</v>
      </c>
      <c r="V32" s="122" t="n">
        <v>52</v>
      </c>
      <c r="W32" s="122" t="n">
        <f aca="false">M32-N32-O32-P32-Q32-R32-S32-T32+U32+V32+O32</f>
        <v>336.460003</v>
      </c>
      <c r="X32" s="95" t="n">
        <v>0</v>
      </c>
      <c r="Y32" s="95" t="n">
        <v>0</v>
      </c>
      <c r="Z32" s="95" t="n">
        <f aca="false">Z31-(W32-I32)-Q32-R32-AB32-(AP32/1.9835)</f>
        <v>-1574.27183203733</v>
      </c>
      <c r="AA32" s="122" t="n">
        <v>112</v>
      </c>
      <c r="AB32" s="123" t="n">
        <v>1.7</v>
      </c>
      <c r="AC32" s="124" t="n">
        <v>1.3</v>
      </c>
      <c r="AD32" s="464" t="n">
        <v>38</v>
      </c>
      <c r="AE32" s="353" t="n">
        <f aca="false">AE31-AD32</f>
        <v>7666.25787748929</v>
      </c>
      <c r="AF32" s="95"/>
      <c r="AG32" s="121" t="n">
        <f aca="false">N32+O32+P32+Q32+R32+S32+T32+W32+AA32+AD32-O32</f>
        <v>497</v>
      </c>
      <c r="AH32" s="122" t="n">
        <f aca="false">IF(L32&lt;0,L32*-1,0)</f>
        <v>77.4988656415426</v>
      </c>
      <c r="AI32" s="122" t="n">
        <f aca="false">AG32+AH32</f>
        <v>574.498865641543</v>
      </c>
      <c r="AJ32" s="221" t="n">
        <v>0</v>
      </c>
      <c r="AK32" s="133" t="n">
        <v>77</v>
      </c>
      <c r="AL32" s="222" t="n">
        <v>45</v>
      </c>
      <c r="AM32" s="133" t="n">
        <f aca="false">AM31</f>
        <v>13022.27255</v>
      </c>
      <c r="AN32" s="133"/>
      <c r="AO32" s="218"/>
      <c r="AP32" s="215" t="n">
        <f aca="false">36.1*(X31*1.9835+Y31*1.9835+Z31*1.9835)/E32</f>
        <v>-0.714762247203307</v>
      </c>
      <c r="AQ32" s="95"/>
      <c r="AS32" s="151" t="n">
        <f aca="false">O32</f>
        <v>66.15</v>
      </c>
    </row>
    <row r="33" customFormat="false" ht="12.95" hidden="false" customHeight="true" outlineLevel="0" collapsed="false">
      <c r="A33" s="155" t="n">
        <v>22</v>
      </c>
      <c r="B33" s="94" t="n">
        <v>6903.28</v>
      </c>
      <c r="C33" s="95" t="n">
        <v>295840</v>
      </c>
      <c r="D33" s="133" t="n">
        <f aca="false">C33-C32</f>
        <v>-493</v>
      </c>
      <c r="E33" s="95" t="n">
        <f aca="false">C33-151978</f>
        <v>143862</v>
      </c>
      <c r="F33" s="243" t="n">
        <f aca="false">D33/$D$2</f>
        <v>-248.550541971263</v>
      </c>
      <c r="G33" s="122" t="n">
        <v>206</v>
      </c>
      <c r="H33" s="215" t="n">
        <v>0</v>
      </c>
      <c r="I33" s="122" t="n">
        <f aca="false">G33+H33</f>
        <v>206</v>
      </c>
      <c r="J33" s="218" t="n">
        <f aca="false">IF(L33&gt;0,L33,0)</f>
        <v>0.449458028737155</v>
      </c>
      <c r="K33" s="122" t="n">
        <f aca="false">I33+J33</f>
        <v>206.449458028737</v>
      </c>
      <c r="L33" s="122" t="n">
        <f aca="false">F33-(I33-AG33)</f>
        <v>0.449458028737155</v>
      </c>
      <c r="M33" s="244" t="n">
        <v>170</v>
      </c>
      <c r="N33" s="215" t="n">
        <f aca="false">1.8299*1.03</f>
        <v>1.884797</v>
      </c>
      <c r="O33" s="122" t="n">
        <f aca="false">(29+30)*1.05</f>
        <v>61.95</v>
      </c>
      <c r="P33" s="215" t="n">
        <v>0</v>
      </c>
      <c r="Q33" s="150" t="n">
        <f aca="false">2.26*1.02</f>
        <v>2.3052</v>
      </c>
      <c r="R33" s="324" t="n">
        <v>4.2</v>
      </c>
      <c r="S33" s="324" t="n">
        <v>1.97</v>
      </c>
      <c r="T33" s="381" t="n">
        <v>0</v>
      </c>
      <c r="U33" s="122" t="n">
        <v>100</v>
      </c>
      <c r="V33" s="122" t="n">
        <v>51</v>
      </c>
      <c r="W33" s="122" t="n">
        <f aca="false">M33-N33-O33-P33-Q33-R33-S33-T33+U33+V33+O33</f>
        <v>310.640003</v>
      </c>
      <c r="X33" s="95" t="n">
        <v>0</v>
      </c>
      <c r="Y33" s="95" t="n">
        <v>0</v>
      </c>
      <c r="Z33" s="95" t="n">
        <f aca="false">Z32-(W33-I33)-Q33-R33-AB33-(AP33/1.9835)</f>
        <v>-1686.7219952552</v>
      </c>
      <c r="AA33" s="122" t="n">
        <v>98</v>
      </c>
      <c r="AB33" s="123" t="n">
        <v>1.7</v>
      </c>
      <c r="AC33" s="124" t="n">
        <v>1.3</v>
      </c>
      <c r="AD33" s="464" t="n">
        <v>36</v>
      </c>
      <c r="AE33" s="353" t="n">
        <f aca="false">AE32-AD33</f>
        <v>7630.25787748929</v>
      </c>
      <c r="AF33" s="95"/>
      <c r="AG33" s="121" t="n">
        <f aca="false">N33+O33+P33+Q33+R33+S33+T33+W33+AA33+AD33-O33</f>
        <v>455</v>
      </c>
      <c r="AH33" s="122" t="n">
        <f aca="false">IF(L33&lt;0,L33*-1,0)</f>
        <v>0</v>
      </c>
      <c r="AI33" s="122" t="n">
        <f aca="false">AG33+AH33</f>
        <v>455</v>
      </c>
      <c r="AJ33" s="221" t="n">
        <v>0</v>
      </c>
      <c r="AK33" s="133" t="n">
        <v>75</v>
      </c>
      <c r="AL33" s="222" t="n">
        <v>46</v>
      </c>
      <c r="AM33" s="133" t="n">
        <f aca="false">AM32</f>
        <v>13022.27255</v>
      </c>
      <c r="AN33" s="133"/>
      <c r="AO33" s="218"/>
      <c r="AP33" s="215" t="n">
        <f aca="false">36.1*(X32*1.9835+Y32*1.9835+Z32*1.9835)/E33</f>
        <v>-0.783561407851568</v>
      </c>
      <c r="AQ33" s="95"/>
      <c r="AS33" s="151" t="n">
        <f aca="false">O33</f>
        <v>61.95</v>
      </c>
    </row>
    <row r="34" customFormat="false" ht="12.95" hidden="false" customHeight="true" outlineLevel="0" collapsed="false">
      <c r="A34" s="155" t="n">
        <v>23</v>
      </c>
      <c r="B34" s="94" t="n">
        <v>6903.13</v>
      </c>
      <c r="C34" s="95" t="n">
        <v>295271</v>
      </c>
      <c r="D34" s="133" t="n">
        <f aca="false">C34-C33</f>
        <v>-569</v>
      </c>
      <c r="E34" s="95" t="n">
        <f aca="false">C34-151978</f>
        <v>143293</v>
      </c>
      <c r="F34" s="243" t="n">
        <f aca="false">D34/$D$2</f>
        <v>-286.866649861356</v>
      </c>
      <c r="G34" s="122" t="n">
        <v>200</v>
      </c>
      <c r="H34" s="215" t="n">
        <v>0</v>
      </c>
      <c r="I34" s="122" t="n">
        <f aca="false">G34+H34</f>
        <v>200</v>
      </c>
      <c r="J34" s="218" t="n">
        <f aca="false">IF(L34&gt;0,L34,0)</f>
        <v>0</v>
      </c>
      <c r="K34" s="122" t="n">
        <f aca="false">I34+J34</f>
        <v>200</v>
      </c>
      <c r="L34" s="122" t="n">
        <f aca="false">F34-(I34-AG34)</f>
        <v>-11.8666498613561</v>
      </c>
      <c r="M34" s="244" t="n">
        <v>177</v>
      </c>
      <c r="N34" s="215" t="n">
        <f aca="false">1.8299*1.03</f>
        <v>1.884797</v>
      </c>
      <c r="O34" s="122" t="n">
        <f aca="false">(30+29)*1.05</f>
        <v>61.95</v>
      </c>
      <c r="P34" s="215" t="n">
        <v>0</v>
      </c>
      <c r="Q34" s="150" t="n">
        <f aca="false">2.26*1.02</f>
        <v>2.3052</v>
      </c>
      <c r="R34" s="324" t="n">
        <v>4.2</v>
      </c>
      <c r="S34" s="324" t="n">
        <v>1.56</v>
      </c>
      <c r="T34" s="381" t="n">
        <v>0</v>
      </c>
      <c r="U34" s="122" t="n">
        <v>94</v>
      </c>
      <c r="V34" s="122" t="n">
        <v>51</v>
      </c>
      <c r="W34" s="122" t="n">
        <f aca="false">M34-N34-O34-P34-Q34-R34-S34-T34+U34+V34+O34</f>
        <v>312.050003</v>
      </c>
      <c r="X34" s="95" t="n">
        <v>0</v>
      </c>
      <c r="Y34" s="95" t="n">
        <v>0</v>
      </c>
      <c r="Z34" s="95" t="n">
        <f aca="false">Z33-(W34-I34)-Q34-R34-AB34-(AP34/1.9835)</f>
        <v>-1806.55226009333</v>
      </c>
      <c r="AA34" s="122" t="n">
        <v>117</v>
      </c>
      <c r="AB34" s="123" t="n">
        <v>1.7</v>
      </c>
      <c r="AC34" s="124" t="n">
        <v>1.3</v>
      </c>
      <c r="AD34" s="464" t="n">
        <v>36</v>
      </c>
      <c r="AE34" s="353" t="n">
        <f aca="false">AE33-AD34</f>
        <v>7594.25787748929</v>
      </c>
      <c r="AF34" s="95"/>
      <c r="AG34" s="121" t="n">
        <f aca="false">N34+O34+P34+Q34+R34+S34+T34+W34+AA34+AD34-O34</f>
        <v>475</v>
      </c>
      <c r="AH34" s="122" t="n">
        <f aca="false">IF(L34&lt;0,L34*-1,0)</f>
        <v>11.8666498613561</v>
      </c>
      <c r="AI34" s="122" t="n">
        <f aca="false">AG34+AH34</f>
        <v>486.866649861356</v>
      </c>
      <c r="AJ34" s="221" t="n">
        <v>0</v>
      </c>
      <c r="AK34" s="133" t="n">
        <v>74</v>
      </c>
      <c r="AL34" s="222" t="n">
        <v>42</v>
      </c>
      <c r="AM34" s="133" t="n">
        <f aca="false">AM33</f>
        <v>13022.27255</v>
      </c>
      <c r="AN34" s="133"/>
      <c r="AO34" s="218"/>
      <c r="AP34" s="215" t="n">
        <f aca="false">36.1*(X33*1.9835+Y33*1.9835+Z33*1.9835+AO33*1.9835)/E34</f>
        <v>-0.842864844067414</v>
      </c>
      <c r="AQ34" s="95"/>
      <c r="AS34" s="151" t="n">
        <f aca="false">O34</f>
        <v>61.95</v>
      </c>
    </row>
    <row r="35" customFormat="false" ht="12.95" hidden="false" customHeight="true" outlineLevel="0" collapsed="false">
      <c r="A35" s="155" t="n">
        <v>24</v>
      </c>
      <c r="B35" s="94" t="n">
        <v>6902.96</v>
      </c>
      <c r="C35" s="95" t="n">
        <v>294627</v>
      </c>
      <c r="D35" s="133" t="n">
        <f aca="false">C35-C34</f>
        <v>-644</v>
      </c>
      <c r="E35" s="95" t="n">
        <f aca="false">C35-151978</f>
        <v>142649</v>
      </c>
      <c r="F35" s="243" t="n">
        <f aca="false">D35/$D$2</f>
        <v>-324.678598437106</v>
      </c>
      <c r="G35" s="122" t="n">
        <v>190</v>
      </c>
      <c r="H35" s="215" t="n">
        <v>0</v>
      </c>
      <c r="I35" s="122" t="n">
        <f aca="false">G35+H35</f>
        <v>190</v>
      </c>
      <c r="J35" s="218" t="n">
        <f aca="false">IF(L35&gt;0,L35,0)</f>
        <v>0</v>
      </c>
      <c r="K35" s="122" t="n">
        <f aca="false">I35+J35</f>
        <v>190</v>
      </c>
      <c r="L35" s="122" t="n">
        <f aca="false">F35-(I35-AG35)</f>
        <v>-26.6785984371061</v>
      </c>
      <c r="M35" s="244" t="n">
        <v>193</v>
      </c>
      <c r="N35" s="215" t="n">
        <f aca="false">1.8299*1.03</f>
        <v>1.884797</v>
      </c>
      <c r="O35" s="122" t="n">
        <f aca="false">(30+32)*1.05</f>
        <v>65.1</v>
      </c>
      <c r="P35" s="215" t="n">
        <v>0</v>
      </c>
      <c r="Q35" s="150" t="n">
        <f aca="false">2.26*1.02</f>
        <v>2.3052</v>
      </c>
      <c r="R35" s="324" t="n">
        <v>4.2</v>
      </c>
      <c r="S35" s="324" t="n">
        <v>2.19</v>
      </c>
      <c r="T35" s="381" t="n">
        <v>0</v>
      </c>
      <c r="U35" s="122" t="n">
        <v>90</v>
      </c>
      <c r="V35" s="122" t="n">
        <v>51</v>
      </c>
      <c r="W35" s="122" t="n">
        <f aca="false">M35-N35-O35-P35-Q35-R35-S35-T35+U35+V35+O35</f>
        <v>323.420003</v>
      </c>
      <c r="X35" s="95" t="n">
        <v>0</v>
      </c>
      <c r="Y35" s="95" t="n">
        <v>0</v>
      </c>
      <c r="Z35" s="95" t="n">
        <f aca="false">Z34-(W35-I35)-Q35-R35-AB35-(AP35/1.9835)</f>
        <v>-1947.72028122322</v>
      </c>
      <c r="AA35" s="122" t="n">
        <v>118</v>
      </c>
      <c r="AB35" s="123" t="n">
        <v>1.7</v>
      </c>
      <c r="AC35" s="124" t="n">
        <v>1.3</v>
      </c>
      <c r="AD35" s="464" t="n">
        <v>36</v>
      </c>
      <c r="AE35" s="353" t="n">
        <f aca="false">AE34-AD35</f>
        <v>7558.25787748929</v>
      </c>
      <c r="AF35" s="95"/>
      <c r="AG35" s="121" t="n">
        <f aca="false">N35+O35+P35+Q35+R35+S35+T35+W35+AA35+AD35-O35</f>
        <v>488</v>
      </c>
      <c r="AH35" s="122" t="n">
        <f aca="false">IF(L35&lt;0,L35*-1,0)</f>
        <v>26.6785984371061</v>
      </c>
      <c r="AI35" s="122" t="n">
        <f aca="false">AG35+AH35</f>
        <v>514.678598437106</v>
      </c>
      <c r="AJ35" s="221" t="n">
        <v>0</v>
      </c>
      <c r="AK35" s="133" t="n">
        <v>77</v>
      </c>
      <c r="AL35" s="222" t="n">
        <v>40</v>
      </c>
      <c r="AM35" s="133" t="n">
        <f aca="false">AM34</f>
        <v>13022.27255</v>
      </c>
      <c r="AN35" s="133"/>
      <c r="AO35" s="218"/>
      <c r="AP35" s="215" t="n">
        <f aca="false">36.1*(X34*1.9835+Y34*1.9835+Z34*1.9835+AO34*1.9835)/E35</f>
        <v>-0.906820239363852</v>
      </c>
      <c r="AQ35" s="95"/>
      <c r="AS35" s="151" t="n">
        <f aca="false">O35</f>
        <v>65.1</v>
      </c>
    </row>
    <row r="36" customFormat="false" ht="12.95" hidden="false" customHeight="true" outlineLevel="0" collapsed="false">
      <c r="A36" s="155" t="n">
        <v>25</v>
      </c>
      <c r="B36" s="94" t="n">
        <v>6902.79</v>
      </c>
      <c r="C36" s="95" t="n">
        <v>293987</v>
      </c>
      <c r="D36" s="133" t="n">
        <f aca="false">C36-C35</f>
        <v>-640</v>
      </c>
      <c r="E36" s="95" t="n">
        <f aca="false">C36-151978</f>
        <v>142009</v>
      </c>
      <c r="F36" s="243" t="n">
        <f aca="false">D36/$D$2</f>
        <v>-322.661961179733</v>
      </c>
      <c r="G36" s="122" t="n">
        <v>119</v>
      </c>
      <c r="H36" s="215" t="n">
        <v>0</v>
      </c>
      <c r="I36" s="122" t="n">
        <f aca="false">G36+H36</f>
        <v>119</v>
      </c>
      <c r="J36" s="218" t="n">
        <f aca="false">IF(L36&gt;0,L36,0)</f>
        <v>23.3380388202672</v>
      </c>
      <c r="K36" s="122" t="n">
        <f aca="false">I36+J36</f>
        <v>142.338038820267</v>
      </c>
      <c r="L36" s="122" t="n">
        <f aca="false">F36-(I36-AG36)</f>
        <v>23.3380388202672</v>
      </c>
      <c r="M36" s="244" t="n">
        <v>171</v>
      </c>
      <c r="N36" s="215" t="n">
        <f aca="false">1.8299*1.03</f>
        <v>1.884797</v>
      </c>
      <c r="O36" s="122" t="n">
        <f aca="false">(27+28)*1.05</f>
        <v>57.75</v>
      </c>
      <c r="P36" s="215" t="n">
        <v>0</v>
      </c>
      <c r="Q36" s="150" t="n">
        <f aca="false">2.26*1.02</f>
        <v>2.3052</v>
      </c>
      <c r="R36" s="324" t="n">
        <v>4.2</v>
      </c>
      <c r="S36" s="324" t="n">
        <v>2.17</v>
      </c>
      <c r="T36" s="381" t="n">
        <v>0</v>
      </c>
      <c r="U36" s="122" t="n">
        <v>92</v>
      </c>
      <c r="V36" s="122" t="n">
        <v>51</v>
      </c>
      <c r="W36" s="122" t="n">
        <f aca="false">M36-N36-O36-P36-Q36-R36-S36-T36+U36+V36+O36</f>
        <v>303.440003</v>
      </c>
      <c r="X36" s="95" t="n">
        <v>0</v>
      </c>
      <c r="Y36" s="95" t="n">
        <v>0</v>
      </c>
      <c r="Z36" s="95" t="n">
        <f aca="false">Z35-(W36-I36)-Q36-R36-AB36-(AP36/1.9835)</f>
        <v>-2139.8703557303</v>
      </c>
      <c r="AA36" s="122" t="n">
        <v>114</v>
      </c>
      <c r="AB36" s="123" t="n">
        <v>1.7</v>
      </c>
      <c r="AC36" s="124" t="n">
        <v>1.3</v>
      </c>
      <c r="AD36" s="464" t="n">
        <v>37</v>
      </c>
      <c r="AE36" s="353" t="n">
        <f aca="false">AE35-AD36</f>
        <v>7521.25787748929</v>
      </c>
      <c r="AF36" s="95"/>
      <c r="AG36" s="121" t="n">
        <f aca="false">N36+O36+P36+Q36+R36+S36+T36+W36+AA36+AD36-O36</f>
        <v>465</v>
      </c>
      <c r="AH36" s="122" t="n">
        <f aca="false">IF(L36&lt;0,L36*-1,0)</f>
        <v>0</v>
      </c>
      <c r="AI36" s="122" t="n">
        <f aca="false">AG36+AH36</f>
        <v>465</v>
      </c>
      <c r="AJ36" s="221" t="n">
        <v>0</v>
      </c>
      <c r="AK36" s="133" t="n">
        <v>79</v>
      </c>
      <c r="AL36" s="222" t="n">
        <v>46</v>
      </c>
      <c r="AM36" s="133" t="n">
        <f aca="false">AM35</f>
        <v>13022.27255</v>
      </c>
      <c r="AN36" s="133"/>
      <c r="AO36" s="218"/>
      <c r="AP36" s="215" t="n">
        <f aca="false">36.1*(X35*1.9835+Y35*1.9835+Z35*1.9835+AO35*1.9835)/E36</f>
        <v>-0.982087365721934</v>
      </c>
      <c r="AQ36" s="95"/>
      <c r="AS36" s="151" t="n">
        <f aca="false">O36</f>
        <v>57.75</v>
      </c>
    </row>
    <row r="37" customFormat="false" ht="12.95" hidden="false" customHeight="true" outlineLevel="0" collapsed="false">
      <c r="A37" s="155" t="n">
        <v>26</v>
      </c>
      <c r="B37" s="94" t="n">
        <v>6902.62</v>
      </c>
      <c r="C37" s="95" t="n">
        <v>293347</v>
      </c>
      <c r="D37" s="133" t="n">
        <f aca="false">C37-C36</f>
        <v>-640</v>
      </c>
      <c r="E37" s="95" t="n">
        <f aca="false">C37-151978</f>
        <v>141369</v>
      </c>
      <c r="F37" s="243" t="n">
        <f aca="false">D37/$D$2</f>
        <v>-322.661961179733</v>
      </c>
      <c r="G37" s="122" t="n">
        <v>113</v>
      </c>
      <c r="H37" s="215" t="n">
        <v>0</v>
      </c>
      <c r="I37" s="122" t="n">
        <f aca="false">G37+H37</f>
        <v>113</v>
      </c>
      <c r="J37" s="218" t="n">
        <f aca="false">IF(L37&gt;0,L37,0)</f>
        <v>0</v>
      </c>
      <c r="K37" s="122" t="n">
        <f aca="false">I37+J37</f>
        <v>113</v>
      </c>
      <c r="L37" s="122" t="n">
        <f aca="false">F37-(I37-AG37)</f>
        <v>-38.6619611797328</v>
      </c>
      <c r="M37" s="244" t="n">
        <v>130</v>
      </c>
      <c r="N37" s="215" t="n">
        <f aca="false">1.8299*1.03</f>
        <v>1.884797</v>
      </c>
      <c r="O37" s="122" t="n">
        <f aca="false">(12+8.2)*1.05</f>
        <v>21.21</v>
      </c>
      <c r="P37" s="215" t="n">
        <v>0</v>
      </c>
      <c r="Q37" s="150" t="n">
        <f aca="false">2.26*1.02</f>
        <v>2.3052</v>
      </c>
      <c r="R37" s="324" t="n">
        <v>4.2</v>
      </c>
      <c r="S37" s="324" t="n">
        <v>2.24</v>
      </c>
      <c r="T37" s="381" t="n">
        <v>0</v>
      </c>
      <c r="U37" s="122" t="n">
        <v>94</v>
      </c>
      <c r="V37" s="122" t="n">
        <v>51</v>
      </c>
      <c r="W37" s="122" t="n">
        <f aca="false">M37-N37-O37-P37-Q37-R37-S37-T37+U37+V37+O37</f>
        <v>264.370003</v>
      </c>
      <c r="X37" s="95" t="n">
        <v>0</v>
      </c>
      <c r="Y37" s="95" t="n">
        <v>0</v>
      </c>
      <c r="Z37" s="95" t="n">
        <f aca="false">Z36-(W37-I37)-Q37-R37-AB37-(AP37/1.9835)</f>
        <v>-2298.89912125219</v>
      </c>
      <c r="AA37" s="122" t="n">
        <v>86</v>
      </c>
      <c r="AB37" s="123" t="n">
        <v>1.7</v>
      </c>
      <c r="AC37" s="124" t="n">
        <v>1.3</v>
      </c>
      <c r="AD37" s="464" t="n">
        <v>36</v>
      </c>
      <c r="AE37" s="353" t="n">
        <f aca="false">AE36-AD37</f>
        <v>7485.25787748929</v>
      </c>
      <c r="AF37" s="95"/>
      <c r="AG37" s="121" t="n">
        <f aca="false">N37+O37+P37+Q37+R37+S37+T37+W37+AA37+AD37-O37</f>
        <v>397</v>
      </c>
      <c r="AH37" s="122" t="n">
        <f aca="false">IF(L37&lt;0,L37*-1,0)</f>
        <v>38.6619611797328</v>
      </c>
      <c r="AI37" s="122" t="n">
        <f aca="false">AG37+AH37</f>
        <v>435.661961179733</v>
      </c>
      <c r="AJ37" s="221" t="n">
        <v>0.01</v>
      </c>
      <c r="AK37" s="133" t="n">
        <v>78</v>
      </c>
      <c r="AL37" s="222" t="n">
        <v>47</v>
      </c>
      <c r="AM37" s="133" t="n">
        <f aca="false">AM36</f>
        <v>13022.27255</v>
      </c>
      <c r="AN37" s="133"/>
      <c r="AO37" s="218"/>
      <c r="AP37" s="215" t="n">
        <f aca="false">36.1*(X36*1.9835+Y36*1.9835+Z36*1.9835+AO36*1.9835)/E37</f>
        <v>-1.08385873781619</v>
      </c>
      <c r="AQ37" s="95"/>
      <c r="AS37" s="151" t="n">
        <f aca="false">O37</f>
        <v>21.21</v>
      </c>
    </row>
    <row r="38" customFormat="false" ht="12.95" hidden="false" customHeight="true" outlineLevel="0" collapsed="false">
      <c r="A38" s="155" t="n">
        <v>27</v>
      </c>
      <c r="B38" s="94" t="n">
        <v>6902.47</v>
      </c>
      <c r="C38" s="95" t="n">
        <v>292783</v>
      </c>
      <c r="D38" s="133" t="n">
        <f aca="false">C38-C37</f>
        <v>-564</v>
      </c>
      <c r="E38" s="95" t="n">
        <f aca="false">C38-151978</f>
        <v>140805</v>
      </c>
      <c r="F38" s="243" t="n">
        <f aca="false">D38/$D$2</f>
        <v>-284.34585328964</v>
      </c>
      <c r="G38" s="122" t="n">
        <v>114</v>
      </c>
      <c r="H38" s="215" t="n">
        <v>0</v>
      </c>
      <c r="I38" s="122" t="n">
        <f aca="false">G38+H38</f>
        <v>114</v>
      </c>
      <c r="J38" s="218" t="n">
        <f aca="false">IF(L38&gt;0,L38,0)</f>
        <v>0</v>
      </c>
      <c r="K38" s="122" t="n">
        <f aca="false">I38+J38</f>
        <v>114</v>
      </c>
      <c r="L38" s="122" t="n">
        <f aca="false">F38-(I38-AG38)</f>
        <v>-17.3458532896395</v>
      </c>
      <c r="M38" s="244" t="n">
        <v>110</v>
      </c>
      <c r="N38" s="215" t="n">
        <f aca="false">1.8299*1.03</f>
        <v>1.884797</v>
      </c>
      <c r="O38" s="122" t="n">
        <f aca="false">(2.5+2.4)*1.05</f>
        <v>5.145</v>
      </c>
      <c r="P38" s="215" t="n">
        <v>0</v>
      </c>
      <c r="Q38" s="150" t="n">
        <f aca="false">2.26*1.02</f>
        <v>2.3052</v>
      </c>
      <c r="R38" s="324" t="n">
        <v>4.2</v>
      </c>
      <c r="S38" s="324" t="n">
        <v>2.01</v>
      </c>
      <c r="T38" s="381" t="n">
        <v>0</v>
      </c>
      <c r="U38" s="122" t="n">
        <v>94</v>
      </c>
      <c r="V38" s="122" t="n">
        <v>51</v>
      </c>
      <c r="W38" s="122" t="n">
        <f aca="false">M38-N38-O38-P38-Q38-R38-S38-T38+U38+V38+O38</f>
        <v>244.600003</v>
      </c>
      <c r="X38" s="95" t="n">
        <v>0</v>
      </c>
      <c r="Y38" s="95" t="n">
        <v>0</v>
      </c>
      <c r="Z38" s="95" t="n">
        <f aca="false">Z37-(W38-I38)-Q38-R38-AB38-(AP38/1.9835)</f>
        <v>-2437.11492573455</v>
      </c>
      <c r="AA38" s="122" t="n">
        <v>90</v>
      </c>
      <c r="AB38" s="123" t="n">
        <v>1.7</v>
      </c>
      <c r="AC38" s="124" t="n">
        <v>1.3</v>
      </c>
      <c r="AD38" s="464" t="n">
        <v>36</v>
      </c>
      <c r="AE38" s="353" t="n">
        <f aca="false">AE37-AD38</f>
        <v>7449.25787748929</v>
      </c>
      <c r="AF38" s="95"/>
      <c r="AG38" s="121" t="n">
        <f aca="false">N38+O38+P38+Q38+R38+S38+T38+W38+AA38+AD38-O38</f>
        <v>381</v>
      </c>
      <c r="AH38" s="122" t="n">
        <f aca="false">IF(L38&lt;0,L38*-1,0)</f>
        <v>17.3458532896395</v>
      </c>
      <c r="AI38" s="122" t="n">
        <f aca="false">AG38+AH38</f>
        <v>398.345853289639</v>
      </c>
      <c r="AJ38" s="221" t="n">
        <v>0.01</v>
      </c>
      <c r="AK38" s="133" t="n">
        <v>74</v>
      </c>
      <c r="AL38" s="222" t="n">
        <v>48</v>
      </c>
      <c r="AM38" s="133" t="n">
        <f aca="false">AM37</f>
        <v>13022.27255</v>
      </c>
      <c r="AN38" s="133"/>
      <c r="AO38" s="218"/>
      <c r="AP38" s="215" t="n">
        <f aca="false">36.1*(X37*1.9835+Y37*1.9835+Z37*1.9835+AO37*1.9835)/E38</f>
        <v>-1.16907195975167</v>
      </c>
      <c r="AQ38" s="95"/>
      <c r="AS38" s="151" t="n">
        <f aca="false">O38</f>
        <v>5.145</v>
      </c>
    </row>
    <row r="39" customFormat="false" ht="12.95" hidden="false" customHeight="true" outlineLevel="0" collapsed="false">
      <c r="A39" s="155" t="n">
        <v>28</v>
      </c>
      <c r="B39" s="94" t="n">
        <v>6902.32</v>
      </c>
      <c r="C39" s="95" t="n">
        <v>292219</v>
      </c>
      <c r="D39" s="133" t="n">
        <f aca="false">C39-C38</f>
        <v>-564</v>
      </c>
      <c r="E39" s="95" t="n">
        <f aca="false">C39-151978</f>
        <v>140241</v>
      </c>
      <c r="F39" s="243" t="n">
        <f aca="false">D39/$D$2</f>
        <v>-284.34585328964</v>
      </c>
      <c r="G39" s="122" t="n">
        <v>118</v>
      </c>
      <c r="H39" s="215" t="n">
        <v>0</v>
      </c>
      <c r="I39" s="122" t="n">
        <f aca="false">G39+H39</f>
        <v>118</v>
      </c>
      <c r="J39" s="218" t="n">
        <f aca="false">IF(L39&gt;0,L39,0)</f>
        <v>0</v>
      </c>
      <c r="K39" s="122" t="n">
        <f aca="false">I39+J39</f>
        <v>118</v>
      </c>
      <c r="L39" s="122" t="n">
        <f aca="false">F39-(I39-AG39)</f>
        <v>-34.3458532896395</v>
      </c>
      <c r="M39" s="244" t="n">
        <v>117</v>
      </c>
      <c r="N39" s="215" t="n">
        <f aca="false">1.8299*1.03</f>
        <v>1.884797</v>
      </c>
      <c r="O39" s="122" t="n">
        <f aca="false">(4+4)*1.05</f>
        <v>8.4</v>
      </c>
      <c r="P39" s="215" t="n">
        <v>0</v>
      </c>
      <c r="Q39" s="150" t="n">
        <f aca="false">2.26*1.02</f>
        <v>2.3052</v>
      </c>
      <c r="R39" s="324" t="n">
        <v>4.2</v>
      </c>
      <c r="S39" s="324" t="n">
        <v>1.85</v>
      </c>
      <c r="T39" s="381" t="n">
        <v>0</v>
      </c>
      <c r="U39" s="122" t="n">
        <v>94</v>
      </c>
      <c r="V39" s="122" t="n">
        <v>51</v>
      </c>
      <c r="W39" s="122" t="n">
        <f aca="false">M39-N39-O39-P39-Q39-R39-S39-T39+U39+V39+O39</f>
        <v>251.760003</v>
      </c>
      <c r="X39" s="95" t="n">
        <v>0</v>
      </c>
      <c r="Y39" s="95" t="n">
        <v>0</v>
      </c>
      <c r="Z39" s="95" t="n">
        <f aca="false">Z38-(W39-I39)-Q39-R39-AB39-(AP39/1.9835)</f>
        <v>-2578.45278117699</v>
      </c>
      <c r="AA39" s="122" t="n">
        <v>70</v>
      </c>
      <c r="AB39" s="123" t="n">
        <v>1.7</v>
      </c>
      <c r="AC39" s="124" t="n">
        <v>1.3</v>
      </c>
      <c r="AD39" s="464" t="n">
        <v>36</v>
      </c>
      <c r="AE39" s="353" t="n">
        <f aca="false">AE38-AD39</f>
        <v>7413.25787748929</v>
      </c>
      <c r="AF39" s="95"/>
      <c r="AG39" s="121" t="n">
        <f aca="false">N39+O39+P39+Q39+R39+S39+T39+W39+AA39+AD39-O39</f>
        <v>368</v>
      </c>
      <c r="AH39" s="122" t="n">
        <f aca="false">IF(L39&lt;0,L39*-1,0)</f>
        <v>34.3458532896395</v>
      </c>
      <c r="AI39" s="122" t="n">
        <f aca="false">AG39+AH39</f>
        <v>402.34585328964</v>
      </c>
      <c r="AJ39" s="221" t="n">
        <v>0</v>
      </c>
      <c r="AK39" s="133" t="n">
        <v>77</v>
      </c>
      <c r="AL39" s="222" t="n">
        <v>45</v>
      </c>
      <c r="AM39" s="133" t="n">
        <f aca="false">AM38</f>
        <v>13022.27255</v>
      </c>
      <c r="AN39" s="133"/>
      <c r="AO39" s="218"/>
      <c r="AP39" s="215" t="n">
        <f aca="false">36.1*(X38*1.9835+Y38*1.9835+Z38*1.9835+AO38*1.9835)/E39</f>
        <v>-1.24434388040958</v>
      </c>
      <c r="AQ39" s="95"/>
      <c r="AS39" s="151" t="n">
        <f aca="false">O39</f>
        <v>8.4</v>
      </c>
    </row>
    <row r="40" customFormat="false" ht="12.95" hidden="false" customHeight="true" outlineLevel="0" collapsed="false">
      <c r="A40" s="155" t="n">
        <v>29</v>
      </c>
      <c r="B40" s="94" t="n">
        <v>6902.17</v>
      </c>
      <c r="C40" s="95" t="n">
        <v>291654</v>
      </c>
      <c r="D40" s="133" t="n">
        <f aca="false">C40-C39</f>
        <v>-565</v>
      </c>
      <c r="E40" s="95" t="n">
        <f aca="false">C40-151978</f>
        <v>139676</v>
      </c>
      <c r="F40" s="243" t="n">
        <f aca="false">D40/$D$2</f>
        <v>-284.850012603983</v>
      </c>
      <c r="G40" s="122" t="n">
        <v>116</v>
      </c>
      <c r="H40" s="215" t="n">
        <v>0</v>
      </c>
      <c r="I40" s="122" t="n">
        <f aca="false">G40+H40</f>
        <v>116</v>
      </c>
      <c r="J40" s="218" t="n">
        <f aca="false">IF(L40&gt;0,L40,0)</f>
        <v>0</v>
      </c>
      <c r="K40" s="122" t="n">
        <f aca="false">I40+J40</f>
        <v>116</v>
      </c>
      <c r="L40" s="122" t="n">
        <f aca="false">F40-(I40-AG40)</f>
        <v>-23.8500126039829</v>
      </c>
      <c r="M40" s="244" t="n">
        <v>136</v>
      </c>
      <c r="N40" s="215" t="n">
        <f aca="false">1.8299*1.03</f>
        <v>1.884797</v>
      </c>
      <c r="O40" s="122" t="n">
        <f aca="false">(14+16)*1.05</f>
        <v>31.5</v>
      </c>
      <c r="P40" s="215" t="n">
        <v>0</v>
      </c>
      <c r="Q40" s="150" t="n">
        <f aca="false">2.26*1.02</f>
        <v>2.3052</v>
      </c>
      <c r="R40" s="324" t="n">
        <v>4.2</v>
      </c>
      <c r="S40" s="324" t="n">
        <v>1.71</v>
      </c>
      <c r="T40" s="381" t="n">
        <v>0</v>
      </c>
      <c r="U40" s="122" t="n">
        <v>94</v>
      </c>
      <c r="V40" s="122" t="n">
        <v>51</v>
      </c>
      <c r="W40" s="122" t="n">
        <f aca="false">M40-N40-O40-P40-Q40-R40-S40-T40+U40+V40+O40</f>
        <v>270.900003</v>
      </c>
      <c r="X40" s="95" t="n">
        <v>0</v>
      </c>
      <c r="Y40" s="95" t="n">
        <v>0</v>
      </c>
      <c r="Z40" s="95" t="n">
        <f aca="false">Z39-(W40-I40)-Q40-R40-AB40-(AP40/1.9835)</f>
        <v>-2740.89156943573</v>
      </c>
      <c r="AA40" s="122" t="n">
        <v>60</v>
      </c>
      <c r="AB40" s="123" t="n">
        <v>1.7</v>
      </c>
      <c r="AC40" s="124" t="n">
        <v>1.3</v>
      </c>
      <c r="AD40" s="464" t="n">
        <v>36</v>
      </c>
      <c r="AE40" s="353" t="n">
        <f aca="false">AE39-AD40</f>
        <v>7377.25787748929</v>
      </c>
      <c r="AF40" s="95"/>
      <c r="AG40" s="121" t="n">
        <f aca="false">N40+O40+P40+Q40+R40+S40+T40+W40+AA40+AD40-O40</f>
        <v>377</v>
      </c>
      <c r="AH40" s="122" t="n">
        <f aca="false">IF(L40&lt;0,L40*-1,0)</f>
        <v>23.8500126039829</v>
      </c>
      <c r="AI40" s="122" t="n">
        <f aca="false">AG40+AH40</f>
        <v>400.850012603983</v>
      </c>
      <c r="AJ40" s="221" t="n">
        <v>0</v>
      </c>
      <c r="AK40" s="133" t="n">
        <v>78</v>
      </c>
      <c r="AL40" s="222" t="n">
        <v>43</v>
      </c>
      <c r="AM40" s="133" t="n">
        <f aca="false">AM39</f>
        <v>13022.27255</v>
      </c>
      <c r="AN40" s="133"/>
      <c r="AO40" s="218"/>
      <c r="AP40" s="215" t="n">
        <f aca="false">36.1*(X39*1.9835+Y39*1.9835+Z39*1.9835+AO39*1.9835)/E40</f>
        <v>-1.32183363929287</v>
      </c>
      <c r="AQ40" s="95"/>
      <c r="AS40" s="151" t="n">
        <f aca="false">O40</f>
        <v>31.5</v>
      </c>
    </row>
    <row r="41" customFormat="false" ht="12.95" hidden="false" customHeight="true" outlineLevel="0" collapsed="false">
      <c r="A41" s="155" t="n">
        <v>30</v>
      </c>
      <c r="B41" s="94" t="n">
        <v>6901.96</v>
      </c>
      <c r="C41" s="95" t="n">
        <v>290865</v>
      </c>
      <c r="D41" s="133" t="n">
        <f aca="false">C41-C40</f>
        <v>-789</v>
      </c>
      <c r="E41" s="95" t="n">
        <f aca="false">C41-151978</f>
        <v>138887</v>
      </c>
      <c r="F41" s="243" t="n">
        <f aca="false">D41/$D$2</f>
        <v>-397.781699016889</v>
      </c>
      <c r="G41" s="122" t="n">
        <v>107</v>
      </c>
      <c r="H41" s="215" t="n">
        <v>0</v>
      </c>
      <c r="I41" s="122" t="n">
        <f aca="false">G41+H41</f>
        <v>107</v>
      </c>
      <c r="J41" s="218" t="n">
        <f aca="false">IF(L41&gt;0,L41,0)</f>
        <v>0</v>
      </c>
      <c r="K41" s="122" t="n">
        <f aca="false">I41+J41</f>
        <v>107</v>
      </c>
      <c r="L41" s="122" t="n">
        <f aca="false">F41-(I41-AG41)</f>
        <v>-94.7816990168893</v>
      </c>
      <c r="M41" s="244" t="n">
        <v>165</v>
      </c>
      <c r="N41" s="215" t="n">
        <f aca="false">1.8299*1.03</f>
        <v>1.884797</v>
      </c>
      <c r="O41" s="122" t="n">
        <f aca="false">(26+28)*1.05</f>
        <v>56.7</v>
      </c>
      <c r="P41" s="215" t="n">
        <v>0</v>
      </c>
      <c r="Q41" s="150" t="n">
        <f aca="false">2.26*1.02</f>
        <v>2.3052</v>
      </c>
      <c r="R41" s="324" t="n">
        <v>4.2</v>
      </c>
      <c r="S41" s="324" t="n">
        <v>1.98</v>
      </c>
      <c r="T41" s="381" t="n">
        <v>0</v>
      </c>
      <c r="U41" s="122" t="n">
        <v>96</v>
      </c>
      <c r="V41" s="122" t="n">
        <v>52</v>
      </c>
      <c r="W41" s="122" t="n">
        <f aca="false">M41-N41-O41-P41-Q41-R41-S41-T41+U41+V41+O41</f>
        <v>302.630003</v>
      </c>
      <c r="X41" s="95" t="n">
        <v>0</v>
      </c>
      <c r="Y41" s="95" t="n">
        <v>0</v>
      </c>
      <c r="Z41" s="95" t="n">
        <f aca="false">Z40-(W41-I41)-Q41-R41-AB41-(AP41/1.9835)</f>
        <v>-2944.01435021006</v>
      </c>
      <c r="AA41" s="122" t="n">
        <v>62</v>
      </c>
      <c r="AB41" s="123" t="n">
        <v>1.7</v>
      </c>
      <c r="AC41" s="124" t="n">
        <v>1.3</v>
      </c>
      <c r="AD41" s="464" t="n">
        <v>35</v>
      </c>
      <c r="AE41" s="353" t="n">
        <f aca="false">AE40-AD41</f>
        <v>7342.25787748929</v>
      </c>
      <c r="AF41" s="95"/>
      <c r="AG41" s="121" t="n">
        <f aca="false">N41+O41+P41+Q41+R41+S41+T41+W41+AA41+AD41-O41</f>
        <v>410</v>
      </c>
      <c r="AH41" s="122" t="n">
        <f aca="false">IF(L41&lt;0,L41*-1,0)</f>
        <v>94.7816990168893</v>
      </c>
      <c r="AI41" s="122" t="n">
        <f aca="false">AG41+AH41</f>
        <v>504.781699016889</v>
      </c>
      <c r="AJ41" s="221" t="n">
        <v>0</v>
      </c>
      <c r="AK41" s="465" t="n">
        <v>76</v>
      </c>
      <c r="AL41" s="222" t="n">
        <v>44</v>
      </c>
      <c r="AM41" s="133" t="n">
        <f aca="false">AM40</f>
        <v>13022.27255</v>
      </c>
      <c r="AN41" s="133"/>
      <c r="AO41" s="218"/>
      <c r="AP41" s="215" t="n">
        <f aca="false">36.1*(X40*1.9835+Y40*1.9835+Z40*1.9835+AO40*1.9835)/E41</f>
        <v>-1.41308948461645</v>
      </c>
      <c r="AQ41" s="95"/>
      <c r="AS41" s="151" t="n">
        <f aca="false">O41</f>
        <v>56.7</v>
      </c>
    </row>
    <row r="42" customFormat="false" ht="3" hidden="false" customHeight="true" outlineLevel="0" collapsed="false">
      <c r="A42" s="229"/>
      <c r="B42" s="247"/>
      <c r="C42" s="231"/>
      <c r="D42" s="232"/>
      <c r="E42" s="231"/>
      <c r="F42" s="233"/>
      <c r="G42" s="232"/>
      <c r="H42" s="506"/>
      <c r="I42" s="232"/>
      <c r="J42" s="232"/>
      <c r="K42" s="232"/>
      <c r="L42" s="232"/>
      <c r="M42" s="235"/>
      <c r="N42" s="232"/>
      <c r="O42" s="232"/>
      <c r="P42" s="234"/>
      <c r="Q42" s="234"/>
      <c r="R42" s="234"/>
      <c r="S42" s="234"/>
      <c r="T42" s="236"/>
      <c r="U42" s="232"/>
      <c r="V42" s="232"/>
      <c r="W42" s="232"/>
      <c r="X42" s="231"/>
      <c r="Y42" s="231"/>
      <c r="Z42" s="231"/>
      <c r="AA42" s="232"/>
      <c r="AB42" s="107"/>
      <c r="AC42" s="108"/>
      <c r="AD42" s="232"/>
      <c r="AE42" s="232"/>
      <c r="AF42" s="232"/>
      <c r="AG42" s="232"/>
      <c r="AH42" s="232"/>
      <c r="AI42" s="232"/>
      <c r="AJ42" s="239"/>
      <c r="AK42" s="240"/>
      <c r="AL42" s="241"/>
      <c r="AM42" s="240"/>
      <c r="AN42" s="240"/>
      <c r="AO42" s="237"/>
      <c r="AP42" s="234"/>
      <c r="AQ42" s="234"/>
      <c r="AR42" s="234"/>
      <c r="AS42" s="237"/>
    </row>
    <row r="43" customFormat="false" ht="12.95" hidden="false" customHeight="true" outlineLevel="0" collapsed="false">
      <c r="A43" s="158" t="s">
        <v>79</v>
      </c>
      <c r="B43" s="213"/>
      <c r="C43" s="95"/>
      <c r="D43" s="95"/>
      <c r="E43" s="95"/>
      <c r="F43" s="214" t="n">
        <f aca="false">SUM(F12:F41)</f>
        <v>-11970.7587597681</v>
      </c>
      <c r="G43" s="95" t="n">
        <f aca="false">SUM(G12:G41)</f>
        <v>5834</v>
      </c>
      <c r="H43" s="95" t="n">
        <f aca="false">SUM(H12:H41)</f>
        <v>0</v>
      </c>
      <c r="I43" s="95" t="n">
        <f aca="false">SUM(I12:I41)</f>
        <v>5834</v>
      </c>
      <c r="J43" s="95" t="n">
        <f aca="false">SUM(J12:J41)</f>
        <v>115.705318880767</v>
      </c>
      <c r="K43" s="95" t="n">
        <f aca="false">SUM(K12:K41)</f>
        <v>5949.70531888077</v>
      </c>
      <c r="L43" s="95" t="n">
        <f aca="false">SUM(L12:L41)</f>
        <v>-912.758759768086</v>
      </c>
      <c r="M43" s="216" t="n">
        <f aca="false">SUM(M12:M41)</f>
        <v>5505</v>
      </c>
      <c r="N43" s="95" t="n">
        <f aca="false">SUM(N12:N41)</f>
        <v>56.54391</v>
      </c>
      <c r="O43" s="95" t="n">
        <f aca="false">SUM(O12:O41)</f>
        <v>1396.71</v>
      </c>
      <c r="P43" s="215" t="n">
        <f aca="false">SUM(P12:P41)</f>
        <v>0</v>
      </c>
      <c r="Q43" s="133" t="n">
        <f aca="false">SUM(Q12:Q41)</f>
        <v>69.156</v>
      </c>
      <c r="R43" s="133" t="n">
        <f aca="false">SUM(R12:R41)</f>
        <v>126</v>
      </c>
      <c r="S43" s="133" t="n">
        <f aca="false">SUM(S12:S41)</f>
        <v>60.74</v>
      </c>
      <c r="T43" s="217" t="n">
        <f aca="false">SUM(T12:T41)</f>
        <v>0</v>
      </c>
      <c r="U43" s="95" t="n">
        <f aca="false">SUM(U12:U41)</f>
        <v>3461</v>
      </c>
      <c r="V43" s="95" t="n">
        <f aca="false">SUM(V12:V41)</f>
        <v>1677</v>
      </c>
      <c r="W43" s="95" t="n">
        <f aca="false">SUM(W12:W41)</f>
        <v>9894.28509</v>
      </c>
      <c r="X43" s="95"/>
      <c r="Y43" s="95"/>
      <c r="Z43" s="95"/>
      <c r="AA43" s="95" t="n">
        <f aca="false">SUM(AA12:AA41)</f>
        <v>4665</v>
      </c>
      <c r="AB43" s="95" t="n">
        <f aca="false">SUM(AB12:AB41)</f>
        <v>51</v>
      </c>
      <c r="AC43" s="95" t="n">
        <f aca="false">SUM(AC12:AC41)</f>
        <v>39</v>
      </c>
      <c r="AD43" s="95" t="n">
        <f aca="false">SUM(AD12:AD41)</f>
        <v>1584</v>
      </c>
      <c r="AE43" s="95"/>
      <c r="AF43" s="95" t="n">
        <f aca="false">SUM(AF12:AF41)</f>
        <v>0</v>
      </c>
      <c r="AG43" s="95" t="n">
        <f aca="false">SUM(AG12:AG41)</f>
        <v>16892</v>
      </c>
      <c r="AH43" s="95" t="n">
        <f aca="false">SUM(AH12:AH41)</f>
        <v>1028.46407864885</v>
      </c>
      <c r="AI43" s="95" t="n">
        <f aca="false">SUM(AI12:AI41)</f>
        <v>17920.4640786489</v>
      </c>
      <c r="AJ43" s="221" t="n">
        <f aca="false">SUM(AJ12:AJ41)</f>
        <v>0.52</v>
      </c>
      <c r="AK43" s="133" t="n">
        <f aca="false">AVERAGE(AK12:AK41)</f>
        <v>75.6</v>
      </c>
      <c r="AL43" s="222" t="n">
        <f aca="false">AVERAGE(AL12:AL41)</f>
        <v>43.9333333333333</v>
      </c>
      <c r="AM43" s="133" t="s">
        <v>110</v>
      </c>
      <c r="AN43" s="95" t="n">
        <f aca="false">SUM(AN12:AN41)</f>
        <v>0</v>
      </c>
      <c r="AO43" s="218"/>
      <c r="AP43" s="215"/>
      <c r="AQ43" s="133" t="n">
        <f aca="false">SUM(AQ12:AQ41)</f>
        <v>0</v>
      </c>
      <c r="AR43" s="133" t="n">
        <f aca="false">SUM(AR12:AR41)</f>
        <v>0</v>
      </c>
      <c r="AS43" s="133" t="n">
        <f aca="false">SUM(AS12:AS41)</f>
        <v>927.725</v>
      </c>
    </row>
    <row r="44" customFormat="false" ht="12.95" hidden="false" customHeight="true" outlineLevel="0" collapsed="false">
      <c r="A44" s="158" t="s">
        <v>81</v>
      </c>
      <c r="B44" s="213"/>
      <c r="C44" s="95"/>
      <c r="D44" s="95" t="n">
        <f aca="false">SUM(D12:D41)</f>
        <v>-23744</v>
      </c>
      <c r="E44" s="95"/>
      <c r="F44" s="214" t="n">
        <f aca="false">F43*$D$2</f>
        <v>-23744</v>
      </c>
      <c r="G44" s="95" t="n">
        <f aca="false">G43*$D$2</f>
        <v>11571.739</v>
      </c>
      <c r="H44" s="95" t="n">
        <f aca="false">H43*$D$2</f>
        <v>0</v>
      </c>
      <c r="I44" s="95" t="n">
        <f aca="false">I43*$D$2</f>
        <v>11571.739</v>
      </c>
      <c r="J44" s="95" t="n">
        <f aca="false">J43*$D$2</f>
        <v>229.5015</v>
      </c>
      <c r="K44" s="95" t="n">
        <f aca="false">K43*$D$2</f>
        <v>11801.2405</v>
      </c>
      <c r="L44" s="95" t="n">
        <f aca="false">L43*$D$2</f>
        <v>-1810.457</v>
      </c>
      <c r="M44" s="216" t="n">
        <f aca="false">M43*$D$2</f>
        <v>10919.1675</v>
      </c>
      <c r="N44" s="95" t="n">
        <f aca="false">N43*$D$2</f>
        <v>112.154845485</v>
      </c>
      <c r="O44" s="95" t="n">
        <f aca="false">O43*$D$2</f>
        <v>2770.374285</v>
      </c>
      <c r="P44" s="215" t="n">
        <f aca="false">P43*$D$2</f>
        <v>0</v>
      </c>
      <c r="Q44" s="133" t="n">
        <f aca="false">Q43*$D$2</f>
        <v>137.170926</v>
      </c>
      <c r="R44" s="133" t="n">
        <f aca="false">R43*$D$2</f>
        <v>249.921</v>
      </c>
      <c r="S44" s="133" t="n">
        <f aca="false">S43*$D$2</f>
        <v>120.47779</v>
      </c>
      <c r="T44" s="217" t="n">
        <f aca="false">T43*$D$2</f>
        <v>0</v>
      </c>
      <c r="U44" s="95" t="n">
        <f aca="false">U43*$D$2</f>
        <v>6864.8935</v>
      </c>
      <c r="V44" s="95" t="n">
        <f aca="false">V43*$D$2</f>
        <v>3326.3295</v>
      </c>
      <c r="W44" s="95" t="n">
        <f aca="false">W43*$D$2</f>
        <v>19625.314476015</v>
      </c>
      <c r="X44" s="95"/>
      <c r="Y44" s="95"/>
      <c r="Z44" s="95"/>
      <c r="AA44" s="95" t="n">
        <f aca="false">AA43*$D$2</f>
        <v>9253.0275</v>
      </c>
      <c r="AB44" s="95" t="n">
        <f aca="false">AB43*$D$2</f>
        <v>101.1585</v>
      </c>
      <c r="AC44" s="95" t="n">
        <f aca="false">AC43*$D$2</f>
        <v>77.3565</v>
      </c>
      <c r="AD44" s="95" t="n">
        <f aca="false">AD43*$D$2</f>
        <v>3141.864</v>
      </c>
      <c r="AE44" s="95"/>
      <c r="AF44" s="95" t="n">
        <f aca="false">AF43*$D$2</f>
        <v>0</v>
      </c>
      <c r="AG44" s="95" t="n">
        <f aca="false">AG43*$D$2</f>
        <v>33505.282</v>
      </c>
      <c r="AH44" s="95" t="n">
        <f aca="false">AH43*$D$2</f>
        <v>2039.9585</v>
      </c>
      <c r="AI44" s="95" t="n">
        <f aca="false">AI43*$D$2</f>
        <v>35545.2405</v>
      </c>
      <c r="AJ44" s="221"/>
      <c r="AK44" s="133" t="n">
        <f aca="false">MAX(AK12:AK41)</f>
        <v>82</v>
      </c>
      <c r="AL44" s="222" t="n">
        <f aca="false">MAX(AL12:AL41)</f>
        <v>53</v>
      </c>
      <c r="AM44" s="133" t="s">
        <v>82</v>
      </c>
      <c r="AN44" s="95" t="n">
        <f aca="false">AN43*$D$2</f>
        <v>0</v>
      </c>
      <c r="AO44" s="218"/>
      <c r="AP44" s="215" t="n">
        <f aca="false">SUM(AP12:AP41)</f>
        <v>-11.639912919894</v>
      </c>
      <c r="AQ44" s="133" t="n">
        <f aca="false">AQ43*$D$2</f>
        <v>0</v>
      </c>
      <c r="AR44" s="133" t="n">
        <f aca="false">AR43*$D$2</f>
        <v>0</v>
      </c>
      <c r="AS44" s="133" t="n">
        <f aca="false">AS43*$D$2</f>
        <v>1840.1425375</v>
      </c>
    </row>
    <row r="45" customFormat="false" ht="3" hidden="false" customHeight="true" outlineLevel="0" collapsed="false">
      <c r="A45" s="229"/>
      <c r="B45" s="247"/>
      <c r="C45" s="231"/>
      <c r="D45" s="231"/>
      <c r="E45" s="231"/>
      <c r="F45" s="250"/>
      <c r="G45" s="231"/>
      <c r="H45" s="231"/>
      <c r="I45" s="231"/>
      <c r="J45" s="231"/>
      <c r="K45" s="231"/>
      <c r="L45" s="231"/>
      <c r="M45" s="251"/>
      <c r="N45" s="231"/>
      <c r="O45" s="231"/>
      <c r="P45" s="234"/>
      <c r="Q45" s="240"/>
      <c r="R45" s="240"/>
      <c r="S45" s="240"/>
      <c r="T45" s="236"/>
      <c r="U45" s="231"/>
      <c r="V45" s="231"/>
      <c r="W45" s="231"/>
      <c r="X45" s="231"/>
      <c r="Y45" s="231"/>
      <c r="Z45" s="231"/>
      <c r="AA45" s="231"/>
      <c r="AB45" s="231"/>
      <c r="AC45" s="231"/>
      <c r="AD45" s="231"/>
      <c r="AE45" s="232"/>
      <c r="AF45" s="231"/>
      <c r="AG45" s="231"/>
      <c r="AH45" s="231"/>
      <c r="AI45" s="231"/>
      <c r="AJ45" s="253"/>
      <c r="AK45" s="231"/>
      <c r="AL45" s="250"/>
      <c r="AM45" s="231"/>
      <c r="AN45" s="231"/>
      <c r="AO45" s="237"/>
      <c r="AP45" s="234"/>
      <c r="AQ45" s="240"/>
      <c r="AR45" s="240"/>
      <c r="AS45" s="237"/>
    </row>
    <row r="46" customFormat="false" ht="12.95" hidden="false" customHeight="true" outlineLevel="0" collapsed="false">
      <c r="A46" s="158" t="s">
        <v>83</v>
      </c>
      <c r="B46" s="213"/>
      <c r="C46" s="95"/>
      <c r="D46" s="95"/>
      <c r="E46" s="95"/>
      <c r="F46" s="214" t="n">
        <f aca="false">F9+F43</f>
        <v>-3808.41946054953</v>
      </c>
      <c r="G46" s="95" t="n">
        <f aca="false">G9+G43</f>
        <v>166532</v>
      </c>
      <c r="H46" s="95" t="n">
        <f aca="false">H9+H43</f>
        <v>8811.68</v>
      </c>
      <c r="I46" s="95" t="n">
        <f aca="false">I9+I43</f>
        <v>175343.68</v>
      </c>
      <c r="J46" s="95" t="n">
        <f aca="false">J9+J43</f>
        <v>26247.7709780691</v>
      </c>
      <c r="K46" s="95" t="n">
        <f aca="false">K9+K43</f>
        <v>201591.450978069</v>
      </c>
      <c r="L46" s="95" t="n">
        <f aca="false">L9+L43</f>
        <v>23100.1005394505</v>
      </c>
      <c r="M46" s="216" t="n">
        <f aca="false">M9+M43</f>
        <v>44398.8</v>
      </c>
      <c r="N46" s="95" t="n">
        <f aca="false">N9+N43</f>
        <v>344.917851</v>
      </c>
      <c r="O46" s="95" t="n">
        <f aca="false">O9+O43</f>
        <v>13328.4085</v>
      </c>
      <c r="P46" s="215" t="n">
        <f aca="false">P9+P43</f>
        <v>7.32</v>
      </c>
      <c r="Q46" s="133"/>
      <c r="R46" s="133"/>
      <c r="S46" s="133"/>
      <c r="T46" s="217"/>
      <c r="U46" s="95" t="n">
        <f aca="false">U9+U43</f>
        <v>21874.3</v>
      </c>
      <c r="V46" s="95" t="n">
        <f aca="false">V9+V43</f>
        <v>10974.2</v>
      </c>
      <c r="W46" s="95" t="n">
        <f aca="false">W9+W43</f>
        <v>61814.955249</v>
      </c>
      <c r="X46" s="95"/>
      <c r="Y46" s="95"/>
      <c r="Z46" s="95"/>
      <c r="AA46" s="95" t="n">
        <f aca="false">AA9+AA43</f>
        <v>28027.1</v>
      </c>
      <c r="AB46" s="95" t="n">
        <f aca="false">AB9+AB43</f>
        <v>311.1</v>
      </c>
      <c r="AC46" s="95" t="n">
        <f aca="false">AC9+AC43</f>
        <v>237.9</v>
      </c>
      <c r="AD46" s="95"/>
      <c r="AE46" s="95"/>
      <c r="AF46" s="95" t="n">
        <f aca="false">AF9+AF43</f>
        <v>0</v>
      </c>
      <c r="AG46" s="95" t="n">
        <f aca="false">AG9+AG43</f>
        <v>202252.2</v>
      </c>
      <c r="AH46" s="95" t="n">
        <f aca="false">AH9+AH43</f>
        <v>3147.6704386186</v>
      </c>
      <c r="AI46" s="95" t="n">
        <f aca="false">AI9+AI43</f>
        <v>205399.870438619</v>
      </c>
      <c r="AJ46" s="221"/>
      <c r="AK46" s="133" t="n">
        <f aca="false">MIN(AK12:AK41)</f>
        <v>66</v>
      </c>
      <c r="AL46" s="222" t="n">
        <f aca="false">MIN(AL12:AL41)</f>
        <v>40</v>
      </c>
      <c r="AM46" s="133" t="s">
        <v>84</v>
      </c>
      <c r="AN46" s="133"/>
      <c r="AO46" s="218"/>
      <c r="AP46" s="215"/>
      <c r="AQ46" s="133" t="n">
        <f aca="false">AQ9+AQ43</f>
        <v>655.55</v>
      </c>
      <c r="AR46" s="133" t="n">
        <f aca="false">AR9+AR43</f>
        <v>771.62</v>
      </c>
      <c r="AS46" s="133" t="n">
        <f aca="false">AS9+AS43</f>
        <v>969.525</v>
      </c>
    </row>
    <row r="47" customFormat="false" ht="12.95" hidden="false" customHeight="true" outlineLevel="0" collapsed="false">
      <c r="A47" s="158" t="s">
        <v>85</v>
      </c>
      <c r="B47" s="213"/>
      <c r="C47" s="95"/>
      <c r="D47" s="95"/>
      <c r="E47" s="95"/>
      <c r="F47" s="214" t="n">
        <f aca="false">F46*$D$2</f>
        <v>-7554</v>
      </c>
      <c r="G47" s="95" t="n">
        <f aca="false">G46*$D$2</f>
        <v>330316.222</v>
      </c>
      <c r="H47" s="95" t="n">
        <f aca="false">H46*$D$2</f>
        <v>17477.96728</v>
      </c>
      <c r="I47" s="95" t="n">
        <f aca="false">I46*$D$2</f>
        <v>347794.18928</v>
      </c>
      <c r="J47" s="95" t="n">
        <f aca="false">J46*$D$2</f>
        <v>52062.453735</v>
      </c>
      <c r="K47" s="95" t="n">
        <f aca="false">K46*$D$2</f>
        <v>399856.643015</v>
      </c>
      <c r="L47" s="95" t="n">
        <f aca="false">L46*$D$2</f>
        <v>45819.04942</v>
      </c>
      <c r="M47" s="216" t="n">
        <f aca="false">M46*$D$2</f>
        <v>88065.0198</v>
      </c>
      <c r="N47" s="95" t="n">
        <f aca="false">N46*$D$2</f>
        <v>684.1445574585</v>
      </c>
      <c r="O47" s="95" t="n">
        <f aca="false">O46*$D$2</f>
        <v>26436.89825975</v>
      </c>
      <c r="P47" s="215" t="n">
        <f aca="false">P46*$D$2</f>
        <v>14.51922</v>
      </c>
      <c r="Q47" s="133"/>
      <c r="R47" s="133"/>
      <c r="S47" s="133"/>
      <c r="T47" s="217"/>
      <c r="U47" s="95" t="n">
        <f aca="false">U46*$D$2</f>
        <v>43387.67405</v>
      </c>
      <c r="V47" s="95" t="n">
        <f aca="false">V46*$D$2</f>
        <v>21767.3257</v>
      </c>
      <c r="W47" s="95" t="n">
        <f aca="false">W46*$D$2</f>
        <v>122609.963736392</v>
      </c>
      <c r="X47" s="95"/>
      <c r="Y47" s="95"/>
      <c r="Z47" s="95"/>
      <c r="AA47" s="95" t="n">
        <f aca="false">AA46*$D$2</f>
        <v>55591.75285</v>
      </c>
      <c r="AB47" s="95" t="n">
        <f aca="false">AB46*$D$2</f>
        <v>617.06685</v>
      </c>
      <c r="AC47" s="95" t="n">
        <f aca="false">AC46*$D$2</f>
        <v>471.87465</v>
      </c>
      <c r="AD47" s="95"/>
      <c r="AE47" s="95"/>
      <c r="AF47" s="95" t="n">
        <f aca="false">AF46*$D$2</f>
        <v>0</v>
      </c>
      <c r="AG47" s="95" t="n">
        <f aca="false">AG46*$D$2</f>
        <v>401167.2387</v>
      </c>
      <c r="AH47" s="95" t="n">
        <f aca="false">AH46*$D$2</f>
        <v>6243.404315</v>
      </c>
      <c r="AI47" s="95" t="n">
        <f aca="false">AI46*$D$2</f>
        <v>407410.643015</v>
      </c>
      <c r="AJ47" s="221"/>
      <c r="AK47" s="133"/>
      <c r="AL47" s="222"/>
      <c r="AM47" s="133"/>
      <c r="AN47" s="133"/>
      <c r="AO47" s="218"/>
      <c r="AP47" s="215" t="n">
        <f aca="false">AP9+AP44</f>
        <v>270.970384031047</v>
      </c>
      <c r="AQ47" s="133" t="n">
        <f aca="false">AQ46*$D$2</f>
        <v>1300.283425</v>
      </c>
      <c r="AR47" s="133" t="n">
        <f aca="false">AR46*$D$2</f>
        <v>1530.50827</v>
      </c>
      <c r="AS47" s="133" t="n">
        <f aca="false">AS46*$D$2</f>
        <v>1923.0528375</v>
      </c>
    </row>
    <row r="48" customFormat="false" ht="3" hidden="false" customHeight="true" outlineLevel="0" collapsed="false">
      <c r="A48" s="229"/>
      <c r="B48" s="247"/>
      <c r="C48" s="231"/>
      <c r="D48" s="231"/>
      <c r="E48" s="231"/>
      <c r="F48" s="250"/>
      <c r="G48" s="231"/>
      <c r="H48" s="240"/>
      <c r="I48" s="231"/>
      <c r="J48" s="231"/>
      <c r="K48" s="231"/>
      <c r="L48" s="231"/>
      <c r="M48" s="251"/>
      <c r="N48" s="231"/>
      <c r="O48" s="231"/>
      <c r="P48" s="234"/>
      <c r="Q48" s="240"/>
      <c r="R48" s="240"/>
      <c r="S48" s="240"/>
      <c r="T48" s="236"/>
      <c r="U48" s="231"/>
      <c r="V48" s="231"/>
      <c r="W48" s="231"/>
      <c r="X48" s="231"/>
      <c r="Y48" s="231"/>
      <c r="Z48" s="231"/>
      <c r="AA48" s="231"/>
      <c r="AB48" s="136"/>
      <c r="AC48" s="137"/>
      <c r="AD48" s="231"/>
      <c r="AE48" s="231"/>
      <c r="AF48" s="231"/>
      <c r="AG48" s="231"/>
      <c r="AH48" s="231"/>
      <c r="AI48" s="231"/>
      <c r="AJ48" s="239"/>
      <c r="AK48" s="255"/>
      <c r="AL48" s="256"/>
      <c r="AM48" s="255"/>
      <c r="AN48" s="255"/>
      <c r="AO48" s="237"/>
      <c r="AP48" s="234"/>
      <c r="AQ48" s="240"/>
      <c r="AR48" s="240"/>
      <c r="AS48" s="237"/>
    </row>
    <row r="49" customFormat="false" ht="12.95" hidden="false" customHeight="true" outlineLevel="0" collapsed="false">
      <c r="A49" s="158" t="s">
        <v>86</v>
      </c>
      <c r="B49" s="213"/>
      <c r="C49" s="95"/>
      <c r="D49" s="95"/>
      <c r="E49" s="95"/>
      <c r="F49" s="214" t="n">
        <f aca="false">F10+F43</f>
        <v>1505.41971262919</v>
      </c>
      <c r="G49" s="95" t="n">
        <f aca="false">G10+G43</f>
        <v>182796</v>
      </c>
      <c r="H49" s="133" t="n">
        <f aca="false">H10+H43</f>
        <v>10957.82</v>
      </c>
      <c r="I49" s="95" t="n">
        <f aca="false">I10+I43</f>
        <v>193753.82</v>
      </c>
      <c r="J49" s="95" t="n">
        <f aca="false">J10+J43</f>
        <v>33245.8967179229</v>
      </c>
      <c r="K49" s="95" t="n">
        <f aca="false">K10+K43</f>
        <v>226999.716717923</v>
      </c>
      <c r="L49" s="95" t="n">
        <f aca="false">L10+L43</f>
        <v>28076.3597126292</v>
      </c>
      <c r="M49" s="216" t="n">
        <f aca="false">M10+M43</f>
        <v>45311.6</v>
      </c>
      <c r="N49" s="95" t="n">
        <f aca="false">N10+N43</f>
        <v>344.917851</v>
      </c>
      <c r="O49" s="95" t="n">
        <f aca="false">O10+O43</f>
        <v>13328.4085</v>
      </c>
      <c r="P49" s="215"/>
      <c r="Q49" s="133" t="n">
        <f aca="false">Q10+Q43</f>
        <v>652.6164</v>
      </c>
      <c r="R49" s="133" t="n">
        <f aca="false">R10+R43</f>
        <v>1185.073</v>
      </c>
      <c r="S49" s="133" t="n">
        <f aca="false">S10+S43</f>
        <v>400.15</v>
      </c>
      <c r="T49" s="217" t="n">
        <f aca="false">T10+T43</f>
        <v>-94.5288</v>
      </c>
      <c r="U49" s="95" t="n">
        <f aca="false">U10+U43</f>
        <v>27939.26</v>
      </c>
      <c r="V49" s="95" t="n">
        <f aca="false">V10+V43</f>
        <v>11059</v>
      </c>
      <c r="W49" s="95" t="n">
        <f aca="false">W10+W43</f>
        <v>68267.255249</v>
      </c>
      <c r="X49" s="95"/>
      <c r="Y49" s="95"/>
      <c r="Z49" s="95"/>
      <c r="AA49" s="95"/>
      <c r="AB49" s="86"/>
      <c r="AC49" s="87"/>
      <c r="AD49" s="95" t="n">
        <f aca="false">AD10+AD43</f>
        <v>108124</v>
      </c>
      <c r="AE49" s="95" t="n">
        <f aca="false">AE41</f>
        <v>7342.25787748929</v>
      </c>
      <c r="AF49" s="95" t="n">
        <f aca="false">AF10+AF43</f>
        <v>94496</v>
      </c>
      <c r="AG49" s="95" t="n">
        <f aca="false">AG10+AG43</f>
        <v>220324.76</v>
      </c>
      <c r="AH49" s="95" t="n">
        <f aca="false">AH10+AH43</f>
        <v>5169.53700529367</v>
      </c>
      <c r="AI49" s="95" t="n">
        <f aca="false">AI10+AI43</f>
        <v>225494.297005294</v>
      </c>
      <c r="AJ49" s="221" t="n">
        <f aca="false">AJ10+AJ43</f>
        <v>13.8</v>
      </c>
      <c r="AK49" s="133"/>
      <c r="AL49" s="222"/>
      <c r="AM49" s="133"/>
      <c r="AN49" s="95" t="n">
        <f aca="false">AN10+AN43</f>
        <v>0</v>
      </c>
      <c r="AO49" s="218"/>
      <c r="AP49" s="215"/>
      <c r="AQ49" s="133" t="n">
        <f aca="false">AQ10+AQ43</f>
        <v>0</v>
      </c>
      <c r="AR49" s="133"/>
    </row>
    <row r="50" customFormat="false" ht="12.95" hidden="false" customHeight="true" outlineLevel="0" collapsed="false">
      <c r="A50" s="158" t="s">
        <v>87</v>
      </c>
      <c r="B50" s="213"/>
      <c r="C50" s="95"/>
      <c r="D50" s="95" t="n">
        <f aca="false">D10+D44</f>
        <v>2911</v>
      </c>
      <c r="E50" s="95" t="n">
        <f aca="false">E41</f>
        <v>138887</v>
      </c>
      <c r="F50" s="214" t="n">
        <f aca="false">F49*$D$2</f>
        <v>2985.99999999999</v>
      </c>
      <c r="G50" s="95" t="n">
        <f aca="false">G49*$D$2</f>
        <v>362575.866</v>
      </c>
      <c r="H50" s="133" t="n">
        <f aca="false">H49*$D$2</f>
        <v>21734.83597</v>
      </c>
      <c r="I50" s="95" t="n">
        <f aca="false">I49*$D$2</f>
        <v>384310.70197</v>
      </c>
      <c r="J50" s="95" t="n">
        <f aca="false">J49*$D$2</f>
        <v>65943.23614</v>
      </c>
      <c r="K50" s="95" t="n">
        <f aca="false">K49*$D$2</f>
        <v>450253.93811</v>
      </c>
      <c r="L50" s="95" t="n">
        <f aca="false">L49*$D$2</f>
        <v>55689.45949</v>
      </c>
      <c r="M50" s="216" t="n">
        <f aca="false">M49*$D$2</f>
        <v>89875.5586</v>
      </c>
      <c r="N50" s="95" t="n">
        <f aca="false">N49*$D$2</f>
        <v>684.1445574585</v>
      </c>
      <c r="O50" s="95" t="n">
        <f aca="false">O49*$D$2</f>
        <v>26436.89825975</v>
      </c>
      <c r="P50" s="215"/>
      <c r="Q50" s="133" t="n">
        <f aca="false">Q49*$D$2</f>
        <v>1294.4646294</v>
      </c>
      <c r="R50" s="133" t="n">
        <f aca="false">R49*$D$2</f>
        <v>2350.5922955</v>
      </c>
      <c r="S50" s="133" t="n">
        <f aca="false">S49*$D$2</f>
        <v>793.697525</v>
      </c>
      <c r="T50" s="338" t="n">
        <f aca="false">T49*$D$2</f>
        <v>-187.4978748</v>
      </c>
      <c r="U50" s="95" t="n">
        <f aca="false">U49*$D$2</f>
        <v>55417.52221</v>
      </c>
      <c r="V50" s="95" t="n">
        <f aca="false">V49*$D$2</f>
        <v>21935.5265</v>
      </c>
      <c r="W50" s="95" t="n">
        <f aca="false">W49*$D$2</f>
        <v>135408.100786392</v>
      </c>
      <c r="X50" s="95"/>
      <c r="Y50" s="95"/>
      <c r="Z50" s="95"/>
      <c r="AA50" s="95"/>
      <c r="AB50" s="86"/>
      <c r="AC50" s="87"/>
      <c r="AD50" s="95" t="n">
        <f aca="false">AD49*$D$2</f>
        <v>214463.954</v>
      </c>
      <c r="AE50" s="95" t="n">
        <f aca="false">AE49*$D$2</f>
        <v>14563.3685</v>
      </c>
      <c r="AF50" s="95" t="n">
        <f aca="false">AF49*$D$2</f>
        <v>187432.816</v>
      </c>
      <c r="AG50" s="95" t="n">
        <f aca="false">AG49*$D$2</f>
        <v>437014.16146</v>
      </c>
      <c r="AH50" s="95" t="n">
        <f aca="false">AH49*$D$2</f>
        <v>10253.77665</v>
      </c>
      <c r="AI50" s="95" t="n">
        <f aca="false">AI49*$D$2</f>
        <v>447267.93811</v>
      </c>
      <c r="AJ50" s="221"/>
      <c r="AK50" s="133"/>
      <c r="AL50" s="222"/>
      <c r="AM50" s="133" t="n">
        <f aca="false">AM41</f>
        <v>13022.27255</v>
      </c>
      <c r="AN50" s="95" t="n">
        <f aca="false">AN49*$D$2</f>
        <v>0</v>
      </c>
      <c r="AO50" s="218"/>
      <c r="AP50" s="215" t="n">
        <f aca="false">AP10+AP44</f>
        <v>270.970384031047</v>
      </c>
      <c r="AQ50" s="133" t="n">
        <f aca="false">AQ49*$D$2</f>
        <v>0</v>
      </c>
      <c r="AR50" s="133"/>
    </row>
    <row r="51" customFormat="false" ht="3" hidden="false" customHeight="true" outlineLevel="0" collapsed="false">
      <c r="A51" s="229"/>
      <c r="B51" s="247"/>
      <c r="C51" s="231"/>
      <c r="D51" s="232"/>
      <c r="E51" s="231"/>
      <c r="F51" s="233"/>
      <c r="G51" s="232"/>
      <c r="H51" s="506"/>
      <c r="I51" s="232"/>
      <c r="J51" s="232"/>
      <c r="K51" s="232"/>
      <c r="L51" s="232"/>
      <c r="M51" s="235"/>
      <c r="N51" s="232"/>
      <c r="O51" s="232"/>
      <c r="P51" s="234"/>
      <c r="Q51" s="234"/>
      <c r="R51" s="234"/>
      <c r="S51" s="234"/>
      <c r="T51" s="236"/>
      <c r="U51" s="232"/>
      <c r="V51" s="232"/>
      <c r="W51" s="232"/>
      <c r="X51" s="231"/>
      <c r="Y51" s="231"/>
      <c r="Z51" s="231"/>
      <c r="AA51" s="232"/>
      <c r="AB51" s="103"/>
      <c r="AC51" s="140"/>
      <c r="AD51" s="232"/>
      <c r="AE51" s="231"/>
      <c r="AF51" s="322"/>
      <c r="AG51" s="232"/>
      <c r="AH51" s="232"/>
      <c r="AI51" s="232"/>
      <c r="AJ51" s="247"/>
      <c r="AK51" s="232"/>
      <c r="AL51" s="233"/>
      <c r="AM51" s="232"/>
      <c r="AN51" s="232"/>
      <c r="AO51" s="237"/>
      <c r="AP51" s="234"/>
      <c r="AQ51" s="234"/>
      <c r="AR51" s="234"/>
      <c r="AS51" s="237"/>
    </row>
    <row r="52" customFormat="false" ht="11.1" hidden="false" customHeight="true" outlineLevel="0" collapsed="false">
      <c r="G52" s="264"/>
      <c r="I52" s="148"/>
      <c r="N52" s="2"/>
      <c r="V52" s="10"/>
      <c r="W52" s="1"/>
      <c r="X52" s="96"/>
      <c r="AA52" s="151"/>
      <c r="AB52" s="151"/>
      <c r="AC52" s="151"/>
      <c r="AD52" s="96"/>
      <c r="AG52" s="10"/>
      <c r="AH52" s="10"/>
      <c r="AI52" s="150"/>
      <c r="AJ52" s="153"/>
      <c r="AK52" s="154"/>
      <c r="AL52" s="155"/>
      <c r="AM52" s="152"/>
      <c r="AN52" s="152"/>
      <c r="AO52" s="340"/>
      <c r="AP52" s="205"/>
    </row>
    <row r="53" customFormat="false" ht="11.1" hidden="false" customHeight="true" outlineLevel="0" collapsed="false">
      <c r="A53" s="158"/>
      <c r="B53" s="501"/>
      <c r="C53" s="2"/>
      <c r="D53" s="1"/>
      <c r="E53" s="429"/>
      <c r="F53" s="160"/>
      <c r="G53" s="1"/>
      <c r="H53" s="6"/>
      <c r="I53" s="147"/>
      <c r="J53" s="11"/>
      <c r="K53" s="148"/>
      <c r="L53" s="151"/>
      <c r="M53" s="11"/>
      <c r="N53" s="0"/>
      <c r="O53" s="2"/>
      <c r="P53" s="451"/>
      <c r="Q53" s="451"/>
      <c r="R53" s="82"/>
      <c r="S53" s="82"/>
      <c r="T53" s="82"/>
      <c r="U53" s="26"/>
      <c r="V53" s="118"/>
      <c r="W53" s="79"/>
      <c r="X53" s="96"/>
      <c r="Y53" s="203"/>
      <c r="Z53" s="203"/>
      <c r="AA53" s="2"/>
      <c r="AB53" s="2"/>
      <c r="AC53" s="2"/>
      <c r="AD53" s="11"/>
      <c r="AE53" s="2"/>
      <c r="AF53" s="93"/>
      <c r="AG53" s="2"/>
      <c r="AH53" s="158"/>
      <c r="AI53" s="150"/>
      <c r="AJ53" s="154"/>
      <c r="AK53" s="154"/>
      <c r="AL53" s="154"/>
      <c r="AM53" s="508"/>
      <c r="AN53" s="508"/>
      <c r="AO53" s="340"/>
      <c r="AP53" s="432"/>
      <c r="AQ53" s="211"/>
    </row>
    <row r="54" customFormat="false" ht="11.1" hidden="false" customHeight="true" outlineLevel="0" collapsed="false">
      <c r="B54" s="96"/>
      <c r="E54" s="429"/>
      <c r="F54" s="224"/>
      <c r="G54" s="1"/>
      <c r="H54" s="6"/>
      <c r="I54" s="1"/>
      <c r="J54" s="1"/>
      <c r="K54" s="448"/>
      <c r="L54" s="430"/>
      <c r="M54" s="4"/>
      <c r="N54" s="4"/>
      <c r="O54" s="79"/>
      <c r="R54" s="82"/>
      <c r="S54" s="82"/>
      <c r="T54" s="82"/>
      <c r="U54" s="26"/>
      <c r="V54" s="26"/>
      <c r="W54" s="79"/>
      <c r="X54" s="96"/>
      <c r="AA54" s="96"/>
      <c r="AB54" s="96"/>
      <c r="AC54" s="96"/>
      <c r="AD54" s="2"/>
      <c r="AE54" s="26"/>
      <c r="AF54" s="452"/>
      <c r="AG54" s="26"/>
      <c r="AH54" s="10"/>
      <c r="AI54" s="150"/>
      <c r="AJ54" s="154"/>
      <c r="AK54" s="154"/>
      <c r="AL54" s="155"/>
      <c r="AM54" s="152"/>
      <c r="AN54" s="152"/>
      <c r="AO54" s="340"/>
      <c r="AQ54" s="211"/>
    </row>
    <row r="55" customFormat="false" ht="11.1" hidden="false" customHeight="true" outlineLevel="0" collapsed="false">
      <c r="D55" s="96"/>
      <c r="E55" s="429"/>
      <c r="F55" s="1"/>
      <c r="G55" s="1"/>
      <c r="H55" s="96"/>
      <c r="I55" s="1"/>
      <c r="J55" s="1"/>
      <c r="K55" s="448"/>
      <c r="L55" s="154"/>
      <c r="M55" s="4"/>
      <c r="N55" s="4"/>
      <c r="O55" s="154"/>
      <c r="V55" s="10"/>
      <c r="W55" s="1"/>
      <c r="X55" s="154"/>
      <c r="Y55" s="154"/>
      <c r="Z55" s="154"/>
      <c r="AA55" s="96"/>
      <c r="AB55" s="96"/>
      <c r="AC55" s="96"/>
      <c r="AD55" s="2"/>
      <c r="AE55" s="96"/>
      <c r="AF55" s="224"/>
      <c r="AG55" s="96"/>
      <c r="AH55" s="10"/>
      <c r="AI55" s="429"/>
      <c r="AJ55" s="154"/>
      <c r="AK55" s="154"/>
      <c r="AL55" s="155"/>
      <c r="AM55" s="152"/>
      <c r="AN55" s="152"/>
      <c r="AO55" s="340"/>
      <c r="AQ55" s="211"/>
    </row>
    <row r="56" customFormat="false" ht="11.1" hidden="false" customHeight="true" outlineLevel="0" collapsed="false">
      <c r="G56" s="265"/>
      <c r="O56" s="154"/>
      <c r="V56" s="10"/>
      <c r="W56" s="1"/>
      <c r="X56" s="96"/>
      <c r="AD56" s="96"/>
      <c r="AG56" s="10"/>
      <c r="AH56" s="10"/>
      <c r="AI56" s="150"/>
      <c r="AJ56" s="153"/>
      <c r="AK56" s="154"/>
      <c r="AL56" s="155"/>
      <c r="AM56" s="152"/>
      <c r="AN56" s="152"/>
      <c r="AO56" s="340"/>
      <c r="AQ56" s="211"/>
    </row>
    <row r="57" customFormat="false" ht="11.1" hidden="false" customHeight="true" outlineLevel="0" collapsed="false">
      <c r="V57" s="10"/>
      <c r="W57" s="96"/>
      <c r="X57" s="96"/>
      <c r="AD57" s="96"/>
      <c r="AG57" s="10"/>
      <c r="AH57" s="10"/>
      <c r="AI57" s="150"/>
      <c r="AJ57" s="153"/>
      <c r="AK57" s="154"/>
      <c r="AL57" s="155"/>
      <c r="AM57" s="152"/>
      <c r="AN57" s="152"/>
      <c r="AQ57" s="211"/>
    </row>
    <row r="58" customFormat="false" ht="11.1" hidden="false" customHeight="true" outlineLevel="0" collapsed="false">
      <c r="V58" s="10"/>
      <c r="W58" s="96"/>
      <c r="Y58" s="10"/>
      <c r="Z58" s="10"/>
      <c r="AD58" s="96"/>
      <c r="AG58" s="10"/>
      <c r="AH58" s="10"/>
      <c r="AI58" s="150"/>
      <c r="AJ58" s="153"/>
      <c r="AK58" s="154"/>
      <c r="AL58" s="155"/>
      <c r="AP58" s="205"/>
    </row>
  </sheetData>
  <mergeCells count="2">
    <mergeCell ref="K2:Z2"/>
    <mergeCell ref="M5:T5"/>
  </mergeCells>
  <printOptions headings="true" gridLines="true" gridLinesSet="true" horizontalCentered="true" verticalCentered="true"/>
  <pageMargins left="0.25" right="0.25" top="0.25" bottom="0" header="0.511811023622047" footer="0.511811023622047"/>
  <pageSetup paperSize="3" scale="6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S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1" topLeftCell="H26" activePane="bottomRight" state="frozen"/>
      <selection pane="topLeft" activeCell="A1" activeCellId="0" sqref="A1"/>
      <selection pane="topRight" activeCell="H1" activeCellId="0" sqref="H1"/>
      <selection pane="bottomLeft" activeCell="A26" activeCellId="0" sqref="A26"/>
      <selection pane="bottomRight" activeCell="A1" activeCellId="0" sqref="A1"/>
    </sheetView>
  </sheetViews>
  <sheetFormatPr defaultColWidth="9.328125" defaultRowHeight="11.1" zeroHeight="false" outlineLevelRow="0" outlineLevelCol="0"/>
  <cols>
    <col collapsed="false" customWidth="true" hidden="false" outlineLevel="0" max="1" min="1" style="10" width="4.66"/>
    <col collapsed="false" customWidth="true" hidden="false" outlineLevel="0" max="2" min="2" style="10" width="6.99"/>
    <col collapsed="false" customWidth="true" hidden="false" outlineLevel="0" max="3" min="3" style="96" width="6.32"/>
    <col collapsed="false" customWidth="true" hidden="false" outlineLevel="0" max="4" min="4" style="10" width="6.99"/>
    <col collapsed="false" customWidth="true" hidden="false" outlineLevel="0" max="5" min="5" style="96" width="6.99"/>
    <col collapsed="false" customWidth="true" hidden="false" outlineLevel="0" max="6" min="6" style="10" width="7.32"/>
    <col collapsed="false" customWidth="true" hidden="false" outlineLevel="0" max="7" min="7" style="10" width="6.82"/>
    <col collapsed="false" customWidth="true" hidden="false" outlineLevel="0" max="8" min="8" style="509" width="5.82"/>
    <col collapsed="false" customWidth="true" hidden="false" outlineLevel="0" max="11" min="9" style="10" width="6.32"/>
    <col collapsed="false" customWidth="true" hidden="false" outlineLevel="0" max="12" min="12" style="10" width="7.16"/>
    <col collapsed="false" customWidth="true" hidden="false" outlineLevel="0" max="13" min="13" style="151" width="5.49"/>
    <col collapsed="false" customWidth="true" hidden="false" outlineLevel="0" max="14" min="14" style="151" width="4.49"/>
    <col collapsed="false" customWidth="true" hidden="false" outlineLevel="0" max="15" min="15" style="151" width="5.49"/>
    <col collapsed="false" customWidth="true" hidden="false" outlineLevel="0" max="16" min="16" style="150" width="4.82"/>
    <col collapsed="false" customWidth="true" hidden="false" outlineLevel="0" max="19" min="17" style="10" width="4.32"/>
    <col collapsed="false" customWidth="true" hidden="false" outlineLevel="0" max="20" min="20" style="150" width="5.49"/>
    <col collapsed="false" customWidth="true" hidden="false" outlineLevel="0" max="21" min="21" style="10" width="5.49"/>
    <col collapsed="false" customWidth="true" hidden="false" outlineLevel="0" max="22" min="22" style="96" width="5.49"/>
    <col collapsed="false" customWidth="true" hidden="false" outlineLevel="0" max="23" min="23" style="10" width="6.32"/>
    <col collapsed="false" customWidth="true" hidden="false" outlineLevel="0" max="24" min="24" style="10" width="5.49"/>
    <col collapsed="false" customWidth="true" hidden="false" outlineLevel="0" max="26" min="25" style="96" width="5.49"/>
    <col collapsed="false" customWidth="true" hidden="false" outlineLevel="0" max="29" min="27" style="10" width="5.49"/>
    <col collapsed="false" customWidth="true" hidden="false" outlineLevel="0" max="30" min="30" style="10" width="6.32"/>
    <col collapsed="false" customWidth="true" hidden="false" outlineLevel="0" max="31" min="31" style="10" width="5.49"/>
    <col collapsed="false" customWidth="true" hidden="false" outlineLevel="0" max="32" min="32" style="152" width="6.32"/>
    <col collapsed="false" customWidth="true" hidden="false" outlineLevel="0" max="33" min="33" style="432" width="6.32"/>
    <col collapsed="false" customWidth="true" hidden="false" outlineLevel="0" max="35" min="34" style="313" width="6.99"/>
    <col collapsed="false" customWidth="true" hidden="false" outlineLevel="0" max="36" min="36" style="194" width="5.82"/>
    <col collapsed="false" customWidth="true" hidden="false" outlineLevel="0" max="37" min="37" style="152" width="3.82"/>
    <col collapsed="false" customWidth="true" hidden="false" outlineLevel="0" max="38" min="38" style="432" width="3.82"/>
    <col collapsed="false" customWidth="true" hidden="false" outlineLevel="0" max="40" min="39" style="152" width="5.49"/>
    <col collapsed="false" customWidth="true" hidden="false" outlineLevel="0" max="41" min="41" style="340" width="6.32"/>
    <col collapsed="false" customWidth="true" hidden="false" outlineLevel="0" max="42" min="42" style="432" width="6.32"/>
    <col collapsed="false" customWidth="true" hidden="false" outlineLevel="0" max="43" min="43" style="152" width="6.32"/>
    <col collapsed="false" customWidth="true" hidden="false" outlineLevel="0" max="44" min="44" style="152" width="5.82"/>
    <col collapsed="false" customWidth="true" hidden="false" outlineLevel="0" max="45" min="45" style="313" width="4.99"/>
    <col collapsed="false" customWidth="false" hidden="false" outlineLevel="0" max="257" min="46" style="157" width="9.32"/>
  </cols>
  <sheetData>
    <row r="1" customFormat="false" ht="14.1" hidden="false" customHeight="true" outlineLevel="0" collapsed="false">
      <c r="A1" s="158"/>
      <c r="B1" s="158"/>
      <c r="D1" s="158"/>
      <c r="F1" s="158"/>
      <c r="G1" s="158"/>
      <c r="I1" s="158"/>
      <c r="J1" s="158"/>
      <c r="K1" s="159" t="s">
        <v>0</v>
      </c>
      <c r="L1" s="158"/>
      <c r="M1" s="158"/>
      <c r="N1" s="158"/>
      <c r="O1" s="158"/>
      <c r="Q1" s="158"/>
      <c r="R1" s="158"/>
      <c r="S1" s="158"/>
      <c r="U1" s="158"/>
      <c r="V1" s="158"/>
      <c r="W1" s="96"/>
      <c r="X1" s="158"/>
      <c r="Y1" s="158"/>
      <c r="Z1" s="158"/>
      <c r="AA1" s="158"/>
      <c r="AB1" s="158"/>
      <c r="AC1" s="158"/>
      <c r="AD1" s="96"/>
      <c r="AE1" s="158"/>
      <c r="AF1" s="160"/>
      <c r="AG1" s="160"/>
      <c r="AH1" s="160"/>
      <c r="AI1" s="432"/>
      <c r="AJ1" s="313"/>
      <c r="AK1" s="313"/>
      <c r="AL1" s="194"/>
      <c r="AM1" s="160"/>
      <c r="AN1" s="340"/>
    </row>
    <row r="2" customFormat="false" ht="14.1" hidden="false" customHeight="true" outlineLevel="0" collapsed="false">
      <c r="A2" s="160" t="s">
        <v>1</v>
      </c>
      <c r="B2" s="158"/>
      <c r="D2" s="161" t="n">
        <v>1.9835</v>
      </c>
      <c r="F2" s="158"/>
      <c r="G2" s="158"/>
      <c r="I2" s="158"/>
      <c r="J2" s="158"/>
      <c r="K2" s="162" t="s">
        <v>127</v>
      </c>
      <c r="L2" s="162"/>
      <c r="M2" s="162"/>
      <c r="N2" s="162"/>
      <c r="O2" s="162"/>
      <c r="P2" s="162"/>
      <c r="Q2" s="162"/>
      <c r="R2" s="162"/>
      <c r="S2" s="162"/>
      <c r="T2" s="162"/>
      <c r="U2" s="162"/>
      <c r="V2" s="162"/>
      <c r="W2" s="162"/>
      <c r="X2" s="162"/>
      <c r="Y2" s="162"/>
      <c r="Z2" s="162"/>
      <c r="AA2" s="158"/>
      <c r="AB2" s="158"/>
      <c r="AC2" s="158"/>
      <c r="AD2" s="96"/>
      <c r="AE2" s="158"/>
      <c r="AF2" s="160"/>
      <c r="AG2" s="160"/>
      <c r="AH2" s="160"/>
      <c r="AI2" s="432"/>
      <c r="AJ2" s="313"/>
      <c r="AK2" s="313"/>
      <c r="AL2" s="194"/>
      <c r="AM2" s="160"/>
      <c r="AN2" s="340"/>
    </row>
    <row r="3" customFormat="false" ht="14.1" hidden="false" customHeight="true" outlineLevel="0" collapsed="false">
      <c r="A3" s="163"/>
      <c r="B3" s="163"/>
      <c r="C3" s="164"/>
      <c r="D3" s="165"/>
      <c r="E3" s="164"/>
      <c r="F3" s="163"/>
      <c r="G3" s="163"/>
      <c r="H3" s="510"/>
      <c r="I3" s="163"/>
      <c r="J3" s="163"/>
      <c r="K3" s="163"/>
      <c r="L3" s="163"/>
      <c r="M3" s="163"/>
      <c r="N3" s="163"/>
      <c r="O3" s="163"/>
      <c r="P3" s="166"/>
      <c r="Q3" s="163"/>
      <c r="R3" s="163"/>
      <c r="S3" s="163"/>
      <c r="T3" s="166"/>
      <c r="U3" s="163"/>
      <c r="V3" s="163"/>
      <c r="W3" s="164"/>
      <c r="X3" s="163"/>
      <c r="Y3" s="163"/>
      <c r="Z3" s="163"/>
      <c r="AA3" s="163"/>
      <c r="AB3" s="163"/>
      <c r="AC3" s="163"/>
      <c r="AD3" s="164"/>
      <c r="AE3" s="163"/>
      <c r="AF3" s="168"/>
      <c r="AG3" s="168"/>
      <c r="AH3" s="168"/>
      <c r="AI3" s="474"/>
      <c r="AJ3" s="314"/>
      <c r="AK3" s="314"/>
      <c r="AL3" s="473"/>
      <c r="AM3" s="168"/>
      <c r="AN3" s="342"/>
      <c r="AO3" s="342"/>
      <c r="AP3" s="474"/>
    </row>
    <row r="4" s="10" customFormat="true" ht="14.1" hidden="false" customHeight="true" outlineLevel="0" collapsed="false">
      <c r="A4" s="158"/>
      <c r="B4" s="174"/>
      <c r="C4" s="175"/>
      <c r="D4" s="270" t="s">
        <v>3</v>
      </c>
      <c r="E4" s="175"/>
      <c r="F4" s="177"/>
      <c r="G4" s="158"/>
      <c r="H4" s="264"/>
      <c r="I4" s="158"/>
      <c r="J4" s="158"/>
      <c r="K4" s="158"/>
      <c r="L4" s="158"/>
      <c r="M4" s="158"/>
      <c r="N4" s="158"/>
      <c r="O4" s="158"/>
      <c r="P4" s="150"/>
      <c r="Q4" s="150"/>
      <c r="R4" s="150"/>
      <c r="S4" s="150"/>
      <c r="T4" s="150"/>
      <c r="U4" s="178" t="s">
        <v>4</v>
      </c>
      <c r="V4" s="158"/>
      <c r="W4" s="96"/>
      <c r="X4" s="158"/>
      <c r="Y4" s="158"/>
      <c r="Z4" s="158"/>
      <c r="AA4" s="158"/>
      <c r="AB4" s="158"/>
      <c r="AC4" s="158"/>
      <c r="AD4" s="96"/>
      <c r="AE4" s="158"/>
      <c r="AF4" s="160"/>
      <c r="AG4" s="160"/>
      <c r="AH4" s="160"/>
      <c r="AI4" s="432"/>
      <c r="AJ4" s="511"/>
      <c r="AK4" s="512" t="s">
        <v>5</v>
      </c>
      <c r="AL4" s="513"/>
      <c r="AM4" s="160"/>
      <c r="AN4" s="340"/>
      <c r="AO4" s="476" t="s">
        <v>6</v>
      </c>
      <c r="AP4" s="476"/>
      <c r="AQ4" s="477"/>
      <c r="AR4" s="315"/>
      <c r="AS4" s="514"/>
    </row>
    <row r="5" s="152" customFormat="true" ht="12.95" hidden="false" customHeight="true" outlineLevel="0" collapsed="false">
      <c r="A5" s="184" t="s">
        <v>7</v>
      </c>
      <c r="B5" s="185" t="s">
        <v>8</v>
      </c>
      <c r="C5" s="186" t="s">
        <v>8</v>
      </c>
      <c r="D5" s="184" t="s">
        <v>9</v>
      </c>
      <c r="E5" s="186" t="s">
        <v>10</v>
      </c>
      <c r="F5" s="187" t="s">
        <v>11</v>
      </c>
      <c r="G5" s="343" t="s">
        <v>12</v>
      </c>
      <c r="H5" s="417" t="s">
        <v>13</v>
      </c>
      <c r="I5" s="343" t="s">
        <v>14</v>
      </c>
      <c r="J5" s="343" t="s">
        <v>15</v>
      </c>
      <c r="K5" s="343" t="s">
        <v>16</v>
      </c>
      <c r="L5" s="184" t="s">
        <v>15</v>
      </c>
      <c r="M5" s="189" t="s">
        <v>17</v>
      </c>
      <c r="N5" s="189"/>
      <c r="O5" s="189"/>
      <c r="P5" s="189"/>
      <c r="Q5" s="189"/>
      <c r="R5" s="189"/>
      <c r="S5" s="189"/>
      <c r="T5" s="189"/>
      <c r="U5" s="38" t="s">
        <v>18</v>
      </c>
      <c r="V5" s="38" t="s">
        <v>19</v>
      </c>
      <c r="W5" s="38" t="s">
        <v>16</v>
      </c>
      <c r="X5" s="46" t="s">
        <v>20</v>
      </c>
      <c r="Y5" s="46" t="s">
        <v>21</v>
      </c>
      <c r="Z5" s="186" t="s">
        <v>20</v>
      </c>
      <c r="AA5" s="38" t="s">
        <v>22</v>
      </c>
      <c r="AB5" s="191" t="s">
        <v>98</v>
      </c>
      <c r="AC5" s="192"/>
      <c r="AD5" s="38" t="s">
        <v>24</v>
      </c>
      <c r="AE5" s="186" t="s">
        <v>112</v>
      </c>
      <c r="AF5" s="186" t="s">
        <v>26</v>
      </c>
      <c r="AG5" s="184" t="s">
        <v>14</v>
      </c>
      <c r="AH5" s="184" t="s">
        <v>15</v>
      </c>
      <c r="AI5" s="184" t="s">
        <v>16</v>
      </c>
      <c r="AJ5" s="459" t="s">
        <v>128</v>
      </c>
      <c r="AK5" s="194" t="s">
        <v>28</v>
      </c>
      <c r="AL5" s="195" t="s">
        <v>29</v>
      </c>
      <c r="AM5" s="53" t="s">
        <v>90</v>
      </c>
      <c r="AN5" s="52" t="s">
        <v>20</v>
      </c>
      <c r="AO5" s="43" t="s">
        <v>91</v>
      </c>
      <c r="AP5" s="43" t="s">
        <v>91</v>
      </c>
      <c r="AQ5" s="53" t="s">
        <v>31</v>
      </c>
      <c r="AR5" s="56" t="s">
        <v>32</v>
      </c>
      <c r="AS5" s="194" t="s">
        <v>33</v>
      </c>
    </row>
    <row r="6" s="152" customFormat="true" ht="12.95" hidden="false" customHeight="true" outlineLevel="0" collapsed="false">
      <c r="A6" s="196" t="s">
        <v>129</v>
      </c>
      <c r="B6" s="185" t="s">
        <v>35</v>
      </c>
      <c r="C6" s="186" t="s">
        <v>9</v>
      </c>
      <c r="D6" s="184" t="s">
        <v>36</v>
      </c>
      <c r="E6" s="186" t="s">
        <v>37</v>
      </c>
      <c r="F6" s="187" t="s">
        <v>38</v>
      </c>
      <c r="G6" s="343" t="s">
        <v>39</v>
      </c>
      <c r="H6" s="417" t="s">
        <v>40</v>
      </c>
      <c r="I6" s="343" t="s">
        <v>41</v>
      </c>
      <c r="J6" s="343" t="s">
        <v>41</v>
      </c>
      <c r="K6" s="343" t="s">
        <v>41</v>
      </c>
      <c r="L6" s="184" t="s">
        <v>42</v>
      </c>
      <c r="M6" s="197" t="s">
        <v>43</v>
      </c>
      <c r="N6" s="184" t="s">
        <v>119</v>
      </c>
      <c r="O6" s="184" t="s">
        <v>45</v>
      </c>
      <c r="P6" s="188" t="s">
        <v>46</v>
      </c>
      <c r="Q6" s="184" t="s">
        <v>47</v>
      </c>
      <c r="R6" s="184" t="s">
        <v>48</v>
      </c>
      <c r="S6" s="184" t="s">
        <v>49</v>
      </c>
      <c r="T6" s="198" t="s">
        <v>50</v>
      </c>
      <c r="U6" s="38" t="s">
        <v>51</v>
      </c>
      <c r="V6" s="38" t="s">
        <v>52</v>
      </c>
      <c r="W6" s="38" t="s">
        <v>20</v>
      </c>
      <c r="X6" s="46" t="s">
        <v>62</v>
      </c>
      <c r="Y6" s="186" t="s">
        <v>54</v>
      </c>
      <c r="Z6" s="186" t="s">
        <v>55</v>
      </c>
      <c r="AA6" s="38" t="s">
        <v>56</v>
      </c>
      <c r="AB6" s="197"/>
      <c r="AC6" s="199"/>
      <c r="AD6" s="38" t="s">
        <v>58</v>
      </c>
      <c r="AE6" s="186" t="s">
        <v>59</v>
      </c>
      <c r="AF6" s="186"/>
      <c r="AG6" s="184" t="s">
        <v>60</v>
      </c>
      <c r="AH6" s="184" t="s">
        <v>60</v>
      </c>
      <c r="AI6" s="184" t="s">
        <v>60</v>
      </c>
      <c r="AJ6" s="460"/>
      <c r="AK6" s="194" t="s">
        <v>61</v>
      </c>
      <c r="AL6" s="195" t="s">
        <v>61</v>
      </c>
      <c r="AM6" s="53" t="s">
        <v>62</v>
      </c>
      <c r="AN6" s="52" t="s">
        <v>63</v>
      </c>
      <c r="AO6" s="43" t="s">
        <v>64</v>
      </c>
      <c r="AP6" s="43" t="s">
        <v>64</v>
      </c>
      <c r="AQ6" s="53" t="s">
        <v>65</v>
      </c>
      <c r="AR6" s="56" t="s">
        <v>66</v>
      </c>
      <c r="AS6" s="194" t="s">
        <v>67</v>
      </c>
    </row>
    <row r="7" s="152" customFormat="true" ht="12.95" hidden="false" customHeight="true" outlineLevel="0" collapsed="false">
      <c r="A7" s="184"/>
      <c r="B7" s="185"/>
      <c r="C7" s="186"/>
      <c r="D7" s="184"/>
      <c r="E7" s="186" t="s">
        <v>68</v>
      </c>
      <c r="F7" s="187"/>
      <c r="G7" s="184"/>
      <c r="H7" s="190"/>
      <c r="I7" s="184"/>
      <c r="J7" s="184"/>
      <c r="K7" s="184"/>
      <c r="L7" s="184"/>
      <c r="M7" s="197"/>
      <c r="N7" s="184"/>
      <c r="O7" s="184" t="s">
        <v>70</v>
      </c>
      <c r="P7" s="188"/>
      <c r="Q7" s="184"/>
      <c r="R7" s="184"/>
      <c r="S7" s="184" t="s">
        <v>45</v>
      </c>
      <c r="T7" s="198" t="s">
        <v>26</v>
      </c>
      <c r="U7" s="38"/>
      <c r="V7" s="38"/>
      <c r="W7" s="38"/>
      <c r="X7" s="46"/>
      <c r="Y7" s="46"/>
      <c r="Z7" s="46"/>
      <c r="AA7" s="38"/>
      <c r="AB7" s="206"/>
      <c r="AC7" s="207"/>
      <c r="AD7" s="38"/>
      <c r="AE7" s="46"/>
      <c r="AF7" s="46"/>
      <c r="AG7" s="38"/>
      <c r="AH7" s="38"/>
      <c r="AI7" s="38"/>
      <c r="AJ7" s="460"/>
      <c r="AK7" s="194"/>
      <c r="AL7" s="195"/>
      <c r="AM7" s="53" t="s">
        <v>68</v>
      </c>
      <c r="AN7" s="52" t="s">
        <v>38</v>
      </c>
      <c r="AO7" s="43" t="s">
        <v>109</v>
      </c>
      <c r="AP7" s="43" t="s">
        <v>95</v>
      </c>
      <c r="AQ7" s="53" t="s">
        <v>74</v>
      </c>
      <c r="AR7" s="56" t="s">
        <v>75</v>
      </c>
      <c r="AS7" s="194" t="s">
        <v>57</v>
      </c>
    </row>
    <row r="8" s="152" customFormat="true" ht="12.95" hidden="false" customHeight="true" outlineLevel="0" collapsed="false">
      <c r="A8" s="201"/>
      <c r="B8" s="202"/>
      <c r="C8" s="203"/>
      <c r="D8" s="201"/>
      <c r="E8" s="203"/>
      <c r="F8" s="204"/>
      <c r="G8" s="201"/>
      <c r="H8" s="211"/>
      <c r="I8" s="201"/>
      <c r="J8" s="201"/>
      <c r="K8" s="201"/>
      <c r="L8" s="201"/>
      <c r="M8" s="206"/>
      <c r="N8" s="277" t="n">
        <v>1.03</v>
      </c>
      <c r="O8" s="277" t="n">
        <v>1.05</v>
      </c>
      <c r="P8" s="205" t="n">
        <v>1.02</v>
      </c>
      <c r="Q8" s="277" t="n">
        <v>1.02</v>
      </c>
      <c r="R8" s="277" t="n">
        <v>1.04</v>
      </c>
      <c r="S8" s="184" t="s">
        <v>55</v>
      </c>
      <c r="T8" s="348"/>
      <c r="U8" s="201"/>
      <c r="V8" s="201"/>
      <c r="W8" s="201"/>
      <c r="X8" s="203"/>
      <c r="Y8" s="203"/>
      <c r="Z8" s="203"/>
      <c r="AA8" s="201"/>
      <c r="AB8" s="206"/>
      <c r="AC8" s="207"/>
      <c r="AD8" s="201"/>
      <c r="AE8" s="203"/>
      <c r="AF8" s="203"/>
      <c r="AG8" s="201"/>
      <c r="AH8" s="201"/>
      <c r="AI8" s="201"/>
      <c r="AJ8" s="461"/>
      <c r="AK8" s="155"/>
      <c r="AL8" s="209"/>
      <c r="AM8" s="8"/>
      <c r="AN8" s="77"/>
      <c r="AO8" s="5"/>
      <c r="AP8" s="43" t="s">
        <v>71</v>
      </c>
      <c r="AQ8" s="7"/>
      <c r="AR8" s="10"/>
      <c r="AS8" s="8"/>
    </row>
    <row r="9" customFormat="false" ht="12.95" hidden="false" customHeight="true" outlineLevel="0" collapsed="false">
      <c r="A9" s="160" t="s">
        <v>77</v>
      </c>
      <c r="B9" s="213"/>
      <c r="C9" s="95"/>
      <c r="D9" s="95"/>
      <c r="E9" s="95"/>
      <c r="F9" s="214" t="n">
        <f aca="false">SEP!F46</f>
        <v>-3808.41946054953</v>
      </c>
      <c r="G9" s="95" t="n">
        <f aca="false">SEP!G46</f>
        <v>166532</v>
      </c>
      <c r="H9" s="515" t="n">
        <f aca="false">SEP!H46</f>
        <v>8811.68</v>
      </c>
      <c r="I9" s="95" t="n">
        <f aca="false">SEP!I46</f>
        <v>175343.68</v>
      </c>
      <c r="J9" s="95" t="n">
        <f aca="false">SEP!J46</f>
        <v>26247.7709780691</v>
      </c>
      <c r="K9" s="95" t="n">
        <f aca="false">SEP!K46</f>
        <v>201591.450978069</v>
      </c>
      <c r="L9" s="95" t="n">
        <f aca="false">SEP!L46</f>
        <v>23100.1005394505</v>
      </c>
      <c r="M9" s="216" t="n">
        <f aca="false">SEP!M46</f>
        <v>44398.8</v>
      </c>
      <c r="N9" s="95" t="n">
        <f aca="false">SEP!N46</f>
        <v>344.917851</v>
      </c>
      <c r="O9" s="95" t="n">
        <f aca="false">SEP!O46</f>
        <v>13328.4085</v>
      </c>
      <c r="P9" s="215" t="n">
        <f aca="false">SEP!P46</f>
        <v>7.32</v>
      </c>
      <c r="Q9" s="95"/>
      <c r="R9" s="95"/>
      <c r="S9" s="95"/>
      <c r="T9" s="217"/>
      <c r="U9" s="95" t="n">
        <f aca="false">SEP!U46</f>
        <v>21874.3</v>
      </c>
      <c r="V9" s="95" t="n">
        <f aca="false">SEP!V46</f>
        <v>10974.2</v>
      </c>
      <c r="W9" s="95" t="n">
        <f aca="false">SEP!W46</f>
        <v>61814.955249</v>
      </c>
      <c r="X9" s="95" t="n">
        <f aca="false">SEP!X46</f>
        <v>0</v>
      </c>
      <c r="Y9" s="95" t="n">
        <f aca="false">SEP!Y41</f>
        <v>0</v>
      </c>
      <c r="Z9" s="95" t="n">
        <f aca="false">SEP!Z41</f>
        <v>-2944.01435021006</v>
      </c>
      <c r="AA9" s="95" t="n">
        <f aca="false">SEP!AA46</f>
        <v>28027.1</v>
      </c>
      <c r="AB9" s="95" t="n">
        <f aca="false">SEP!AB46</f>
        <v>311.1</v>
      </c>
      <c r="AC9" s="95" t="n">
        <f aca="false">SEP!AC46</f>
        <v>237.9</v>
      </c>
      <c r="AD9" s="95"/>
      <c r="AE9" s="95"/>
      <c r="AF9" s="95"/>
      <c r="AG9" s="95" t="n">
        <f aca="false">SEP!AG46</f>
        <v>202252.2</v>
      </c>
      <c r="AH9" s="95" t="n">
        <f aca="false">SEP!AH46</f>
        <v>3147.6704386186</v>
      </c>
      <c r="AI9" s="95" t="n">
        <f aca="false">SEP!AI46</f>
        <v>205399.870438619</v>
      </c>
      <c r="AJ9" s="337"/>
      <c r="AK9" s="133"/>
      <c r="AL9" s="222"/>
      <c r="AM9" s="133"/>
      <c r="AN9" s="218"/>
      <c r="AO9" s="218"/>
      <c r="AP9" s="215" t="n">
        <f aca="false">SEP!AP47</f>
        <v>270.970384031047</v>
      </c>
      <c r="AQ9" s="133" t="n">
        <f aca="false">SEP!AQ46</f>
        <v>655.55</v>
      </c>
      <c r="AR9" s="133" t="n">
        <f aca="false">SEP!AR46</f>
        <v>771.62</v>
      </c>
      <c r="AS9" s="133"/>
    </row>
    <row r="10" s="228" customFormat="true" ht="12.95" hidden="false" customHeight="true" outlineLevel="0" collapsed="false">
      <c r="A10" s="96" t="s">
        <v>78</v>
      </c>
      <c r="B10" s="94" t="n">
        <f aca="false">SEP!B41</f>
        <v>6901.96</v>
      </c>
      <c r="C10" s="95" t="n">
        <f aca="false">SEP!C41</f>
        <v>290865</v>
      </c>
      <c r="D10" s="95" t="n">
        <f aca="false">SEP!D50</f>
        <v>2911</v>
      </c>
      <c r="E10" s="95" t="n">
        <f aca="false">SEP!E50</f>
        <v>138887</v>
      </c>
      <c r="F10" s="214" t="n">
        <f aca="false">SEP!F49</f>
        <v>1505.41971262919</v>
      </c>
      <c r="G10" s="95" t="n">
        <f aca="false">SEP!G49</f>
        <v>182796</v>
      </c>
      <c r="H10" s="515" t="n">
        <f aca="false">SEP!H49</f>
        <v>10957.82</v>
      </c>
      <c r="I10" s="95" t="n">
        <f aca="false">SEP!I49</f>
        <v>193753.82</v>
      </c>
      <c r="J10" s="95" t="n">
        <f aca="false">SEP!J49</f>
        <v>33245.8967179229</v>
      </c>
      <c r="K10" s="95" t="n">
        <f aca="false">SEP!K49</f>
        <v>226999.716717923</v>
      </c>
      <c r="L10" s="95" t="n">
        <f aca="false">SEP!L49</f>
        <v>28076.3597126292</v>
      </c>
      <c r="M10" s="216" t="n">
        <f aca="false">SEP!M49</f>
        <v>45311.6</v>
      </c>
      <c r="N10" s="95" t="n">
        <f aca="false">SEP!N49</f>
        <v>344.917851</v>
      </c>
      <c r="O10" s="95" t="n">
        <f aca="false">SEP!O49</f>
        <v>13328.4085</v>
      </c>
      <c r="P10" s="215"/>
      <c r="Q10" s="95" t="n">
        <f aca="false">SEP!Q49</f>
        <v>652.6164</v>
      </c>
      <c r="R10" s="133" t="n">
        <f aca="false">SEP!R49</f>
        <v>1185.073</v>
      </c>
      <c r="S10" s="95" t="n">
        <f aca="false">SEP!S49</f>
        <v>400.15</v>
      </c>
      <c r="T10" s="217" t="n">
        <f aca="false">SEP!T49</f>
        <v>-94.5288</v>
      </c>
      <c r="U10" s="95" t="n">
        <f aca="false">SEP!U49</f>
        <v>27939.26</v>
      </c>
      <c r="V10" s="95" t="n">
        <f aca="false">SEP!V49</f>
        <v>11059</v>
      </c>
      <c r="W10" s="95" t="n">
        <f aca="false">SEP!W49</f>
        <v>68267.255249</v>
      </c>
      <c r="X10" s="95"/>
      <c r="Y10" s="95" t="n">
        <f aca="false">SEP!Y49</f>
        <v>0</v>
      </c>
      <c r="Z10" s="95"/>
      <c r="AA10" s="95" t="n">
        <f aca="false">SEP!AA49</f>
        <v>0</v>
      </c>
      <c r="AB10" s="216"/>
      <c r="AC10" s="219"/>
      <c r="AD10" s="95" t="n">
        <f aca="false">SEP!AD49</f>
        <v>108124</v>
      </c>
      <c r="AE10" s="95" t="n">
        <f aca="false">SEP!AE49</f>
        <v>7342.25787748929</v>
      </c>
      <c r="AF10" s="95" t="n">
        <f aca="false">SEP!AF49</f>
        <v>94496</v>
      </c>
      <c r="AG10" s="95" t="n">
        <f aca="false">SEP!AG49</f>
        <v>220324.76</v>
      </c>
      <c r="AH10" s="95" t="n">
        <f aca="false">SEP!AH49</f>
        <v>5169.53700529367</v>
      </c>
      <c r="AI10" s="95" t="n">
        <f aca="false">SEP!AI49</f>
        <v>225494.297005294</v>
      </c>
      <c r="AJ10" s="337" t="n">
        <f aca="false">SEP!AJ49</f>
        <v>13.8</v>
      </c>
      <c r="AK10" s="133"/>
      <c r="AL10" s="222"/>
      <c r="AM10" s="133" t="n">
        <f aca="false">SEP!AM50</f>
        <v>13022.27255</v>
      </c>
      <c r="AN10" s="218" t="n">
        <f aca="false">SEP!AN49</f>
        <v>0</v>
      </c>
      <c r="AO10" s="218"/>
      <c r="AP10" s="215" t="n">
        <f aca="false">SEP!AP50</f>
        <v>270.970384031047</v>
      </c>
      <c r="AQ10" s="133" t="n">
        <f aca="false">SEP!AQ49</f>
        <v>0</v>
      </c>
      <c r="AR10" s="133" t="n">
        <f aca="false">SEP!AR49</f>
        <v>0</v>
      </c>
      <c r="AS10" s="133" t="n">
        <f aca="false">SEP!AS46</f>
        <v>969.525</v>
      </c>
    </row>
    <row r="11" customFormat="false" ht="3" hidden="false" customHeight="true" outlineLevel="0" collapsed="false">
      <c r="A11" s="229"/>
      <c r="B11" s="230"/>
      <c r="C11" s="231"/>
      <c r="D11" s="232"/>
      <c r="E11" s="231"/>
      <c r="F11" s="233"/>
      <c r="G11" s="232"/>
      <c r="H11" s="516"/>
      <c r="I11" s="232"/>
      <c r="J11" s="232"/>
      <c r="K11" s="232"/>
      <c r="L11" s="232"/>
      <c r="M11" s="235"/>
      <c r="N11" s="232"/>
      <c r="O11" s="232"/>
      <c r="P11" s="234"/>
      <c r="Q11" s="232"/>
      <c r="R11" s="232"/>
      <c r="S11" s="232"/>
      <c r="T11" s="236"/>
      <c r="U11" s="232"/>
      <c r="V11" s="232"/>
      <c r="W11" s="232"/>
      <c r="X11" s="231"/>
      <c r="Y11" s="231"/>
      <c r="Z11" s="231"/>
      <c r="AA11" s="232"/>
      <c r="AB11" s="235"/>
      <c r="AC11" s="238"/>
      <c r="AD11" s="232"/>
      <c r="AE11" s="231"/>
      <c r="AF11" s="231"/>
      <c r="AG11" s="232"/>
      <c r="AH11" s="232"/>
      <c r="AI11" s="232"/>
      <c r="AJ11" s="463"/>
      <c r="AK11" s="240"/>
      <c r="AL11" s="241"/>
      <c r="AM11" s="240"/>
      <c r="AN11" s="237"/>
      <c r="AO11" s="237"/>
      <c r="AP11" s="234"/>
      <c r="AQ11" s="234"/>
      <c r="AR11" s="234"/>
      <c r="AS11" s="240" t="s">
        <v>126</v>
      </c>
    </row>
    <row r="12" customFormat="false" ht="12.95" hidden="false" customHeight="true" outlineLevel="0" collapsed="false">
      <c r="A12" s="155" t="n">
        <v>1</v>
      </c>
      <c r="B12" s="94" t="n">
        <v>6901.79</v>
      </c>
      <c r="C12" s="95" t="n">
        <v>290231</v>
      </c>
      <c r="D12" s="133" t="n">
        <f aca="false">C12-C10</f>
        <v>-634</v>
      </c>
      <c r="E12" s="95" t="n">
        <f aca="false">C12-152000</f>
        <v>138231</v>
      </c>
      <c r="F12" s="243" t="n">
        <f aca="false">D12/$D$2</f>
        <v>-319.637005293673</v>
      </c>
      <c r="G12" s="122" t="n">
        <v>103</v>
      </c>
      <c r="H12" s="517" t="n">
        <v>0</v>
      </c>
      <c r="I12" s="122" t="n">
        <f aca="false">G12+H12</f>
        <v>103</v>
      </c>
      <c r="J12" s="218" t="n">
        <f aca="false">IF(L12&gt;0,L12,0)</f>
        <v>0</v>
      </c>
      <c r="K12" s="122" t="n">
        <f aca="false">I12+J12</f>
        <v>103</v>
      </c>
      <c r="L12" s="122" t="n">
        <f aca="false">F12-(I12-AG12)</f>
        <v>-25.6370052936728</v>
      </c>
      <c r="M12" s="244" t="n">
        <v>164</v>
      </c>
      <c r="N12" s="215" t="n">
        <f aca="false">1.8299*1.03</f>
        <v>1.884797</v>
      </c>
      <c r="O12" s="122" t="n">
        <f aca="false">(28+26)*1.05</f>
        <v>56.7</v>
      </c>
      <c r="P12" s="215" t="n">
        <v>0</v>
      </c>
      <c r="Q12" s="150" t="n">
        <f aca="false">1.68*1.02</f>
        <v>1.7136</v>
      </c>
      <c r="R12" s="324" t="n">
        <v>4.2</v>
      </c>
      <c r="S12" s="324" t="n">
        <v>1.85</v>
      </c>
      <c r="T12" s="381" t="n">
        <v>0</v>
      </c>
      <c r="U12" s="122" t="n">
        <v>94</v>
      </c>
      <c r="V12" s="122" t="n">
        <v>51</v>
      </c>
      <c r="W12" s="122" t="n">
        <f aca="false">M12-N12-O12-P12-Q12-R12-S12-T12+U12+V12+O12</f>
        <v>299.351603</v>
      </c>
      <c r="X12" s="95" t="n">
        <v>0</v>
      </c>
      <c r="Y12" s="95" t="n">
        <v>0</v>
      </c>
      <c r="Z12" s="95" t="n">
        <f aca="false">Z9-(W12-I12)-Q12-R12-AB12-(AP12/1.9835)</f>
        <v>-3147.55359747651</v>
      </c>
      <c r="AA12" s="122" t="n">
        <v>50</v>
      </c>
      <c r="AB12" s="123" t="n">
        <v>1.7</v>
      </c>
      <c r="AC12" s="124" t="n">
        <v>1.3</v>
      </c>
      <c r="AD12" s="464" t="n">
        <v>38</v>
      </c>
      <c r="AE12" s="353" t="n">
        <f aca="false">AE10-AD12</f>
        <v>7304.25787748929</v>
      </c>
      <c r="AF12" s="95"/>
      <c r="AG12" s="121" t="n">
        <f aca="false">N12+O12+P12+Q12+R12+S12+T12+W12+AA12+AD12-O12</f>
        <v>397</v>
      </c>
      <c r="AH12" s="122" t="n">
        <f aca="false">IF(L12&lt;0,L12*-1,0)</f>
        <v>25.6370052936728</v>
      </c>
      <c r="AI12" s="122" t="n">
        <f aca="false">AG12+AH12</f>
        <v>422.637005293673</v>
      </c>
      <c r="AJ12" s="337" t="n">
        <v>0</v>
      </c>
      <c r="AK12" s="133" t="n">
        <v>77</v>
      </c>
      <c r="AL12" s="222" t="n">
        <v>43</v>
      </c>
      <c r="AM12" s="133" t="n">
        <f aca="false">AM10</f>
        <v>13022.27255</v>
      </c>
      <c r="AN12" s="218"/>
      <c r="AO12" s="218"/>
      <c r="AP12" s="215" t="n">
        <f aca="false">20*(X9*1.9835+Y9*1.9835+Z9*1.9835)/E12</f>
        <v>-0.844883197494289</v>
      </c>
      <c r="AQ12" s="95"/>
      <c r="AR12" s="10"/>
      <c r="AS12" s="151" t="n">
        <f aca="false">O12</f>
        <v>56.7</v>
      </c>
    </row>
    <row r="13" customFormat="false" ht="12.95" hidden="false" customHeight="true" outlineLevel="0" collapsed="false">
      <c r="A13" s="155" t="n">
        <f aca="false">A12+1</f>
        <v>2</v>
      </c>
      <c r="B13" s="94" t="n">
        <v>6901.6</v>
      </c>
      <c r="C13" s="95" t="n">
        <v>289521</v>
      </c>
      <c r="D13" s="133" t="n">
        <f aca="false">C13-C12</f>
        <v>-710</v>
      </c>
      <c r="E13" s="95" t="n">
        <f aca="false">C13-152000</f>
        <v>137521</v>
      </c>
      <c r="F13" s="243" t="n">
        <f aca="false">D13/$D$2</f>
        <v>-357.953113183766</v>
      </c>
      <c r="G13" s="122" t="n">
        <v>102</v>
      </c>
      <c r="H13" s="517" t="n">
        <v>0</v>
      </c>
      <c r="I13" s="122" t="n">
        <f aca="false">G13+H13</f>
        <v>102</v>
      </c>
      <c r="J13" s="218" t="n">
        <f aca="false">IF(L13&gt;0,L13,0)</f>
        <v>0</v>
      </c>
      <c r="K13" s="122" t="n">
        <f aca="false">I13+J13</f>
        <v>102</v>
      </c>
      <c r="L13" s="122" t="n">
        <f aca="false">F13-(I13-AG13)</f>
        <v>-27.953113183766</v>
      </c>
      <c r="M13" s="244" t="n">
        <v>188</v>
      </c>
      <c r="N13" s="215" t="n">
        <f aca="false">1.8299*1.03</f>
        <v>1.884797</v>
      </c>
      <c r="O13" s="122" t="n">
        <f aca="false">(35+34)*1.05</f>
        <v>72.45</v>
      </c>
      <c r="P13" s="215" t="n">
        <v>0</v>
      </c>
      <c r="Q13" s="150" t="n">
        <f aca="false">1.68*1.02</f>
        <v>1.7136</v>
      </c>
      <c r="R13" s="324" t="n">
        <v>4.2</v>
      </c>
      <c r="S13" s="324" t="n">
        <v>1.99</v>
      </c>
      <c r="T13" s="381" t="n">
        <v>0</v>
      </c>
      <c r="U13" s="122" t="n">
        <v>94</v>
      </c>
      <c r="V13" s="122" t="n">
        <v>51</v>
      </c>
      <c r="W13" s="122" t="n">
        <f aca="false">M13-N13-O13-P13-Q13-R13-S13-T13+U13+V13+O13</f>
        <v>323.211603</v>
      </c>
      <c r="X13" s="95" t="n">
        <v>0</v>
      </c>
      <c r="Y13" s="95" t="n">
        <v>0</v>
      </c>
      <c r="Z13" s="95" t="n">
        <f aca="false">Z12-(W13-I13)-Q13-R13-AB13-(AP13/1.9835)</f>
        <v>-3375.92104441053</v>
      </c>
      <c r="AA13" s="122" t="n">
        <v>57</v>
      </c>
      <c r="AB13" s="123" t="n">
        <v>1.7</v>
      </c>
      <c r="AC13" s="124" t="n">
        <v>1.3</v>
      </c>
      <c r="AD13" s="464" t="n">
        <v>42</v>
      </c>
      <c r="AE13" s="353" t="n">
        <f aca="false">AE12-AD13</f>
        <v>7262.25787748929</v>
      </c>
      <c r="AF13" s="95"/>
      <c r="AG13" s="121" t="n">
        <f aca="false">N13+O13+P13+Q13+R13+S13+T13+W13+AA13+AD13-O13</f>
        <v>432</v>
      </c>
      <c r="AH13" s="122" t="n">
        <f aca="false">IF(L13&lt;0,L13*-1,0)</f>
        <v>27.953113183766</v>
      </c>
      <c r="AI13" s="122" t="n">
        <f aca="false">AG13+AH13</f>
        <v>459.953113183766</v>
      </c>
      <c r="AJ13" s="337" t="n">
        <v>0</v>
      </c>
      <c r="AK13" s="133" t="n">
        <v>76</v>
      </c>
      <c r="AL13" s="222" t="n">
        <v>42</v>
      </c>
      <c r="AM13" s="133" t="n">
        <f aca="false">AM12</f>
        <v>13022.27255</v>
      </c>
      <c r="AN13" s="218"/>
      <c r="AO13" s="218"/>
      <c r="AP13" s="215" t="n">
        <f aca="false">20*(X12*1.9835+Y12*1.9835+Z12*1.9835)/E13</f>
        <v>-0.90795915686981</v>
      </c>
      <c r="AQ13" s="95"/>
      <c r="AR13" s="10"/>
      <c r="AS13" s="151" t="n">
        <f aca="false">O13</f>
        <v>72.45</v>
      </c>
    </row>
    <row r="14" customFormat="false" ht="12.95" hidden="false" customHeight="true" outlineLevel="0" collapsed="false">
      <c r="A14" s="155" t="n">
        <f aca="false">A13+1</f>
        <v>3</v>
      </c>
      <c r="B14" s="94" t="n">
        <v>6901.44</v>
      </c>
      <c r="C14" s="95" t="n">
        <v>288924</v>
      </c>
      <c r="D14" s="133" t="n">
        <f aca="false">C14-C13</f>
        <v>-597</v>
      </c>
      <c r="E14" s="95" t="n">
        <f aca="false">C14-152000</f>
        <v>136924</v>
      </c>
      <c r="F14" s="243" t="n">
        <f aca="false">D14/$D$2</f>
        <v>-300.983110662969</v>
      </c>
      <c r="G14" s="122" t="n">
        <v>100</v>
      </c>
      <c r="H14" s="517" t="n">
        <v>0</v>
      </c>
      <c r="I14" s="122" t="n">
        <f aca="false">G14+H14</f>
        <v>100</v>
      </c>
      <c r="J14" s="218" t="n">
        <f aca="false">IF(L14&gt;0,L14,0)</f>
        <v>0</v>
      </c>
      <c r="K14" s="122" t="n">
        <f aca="false">I14+J14</f>
        <v>100</v>
      </c>
      <c r="L14" s="122" t="n">
        <f aca="false">F14-(I14-AG14)</f>
        <v>-17.9831106629695</v>
      </c>
      <c r="M14" s="244" t="n">
        <v>164</v>
      </c>
      <c r="N14" s="215" t="n">
        <f aca="false">1.8299*1.03</f>
        <v>1.884797</v>
      </c>
      <c r="O14" s="122" t="n">
        <f aca="false">(30+31)*1.05</f>
        <v>64.05</v>
      </c>
      <c r="P14" s="215" t="n">
        <v>0</v>
      </c>
      <c r="Q14" s="150" t="n">
        <f aca="false">1.68*1.02</f>
        <v>1.7136</v>
      </c>
      <c r="R14" s="324" t="n">
        <v>4.2</v>
      </c>
      <c r="S14" s="324" t="n">
        <v>2.1</v>
      </c>
      <c r="T14" s="381" t="n">
        <v>0</v>
      </c>
      <c r="U14" s="122" t="n">
        <v>94</v>
      </c>
      <c r="V14" s="122" t="n">
        <v>51</v>
      </c>
      <c r="W14" s="122" t="n">
        <f aca="false">M14-N14-O14-P14-Q14-R14-S14-T14+U14+V14+O14</f>
        <v>299.101603</v>
      </c>
      <c r="X14" s="95" t="n">
        <v>0</v>
      </c>
      <c r="Y14" s="95" t="n">
        <v>0</v>
      </c>
      <c r="Z14" s="95" t="n">
        <f aca="false">Z13-(W14-I14)-Q14-R14-AB14-(AP14/1.9835)</f>
        <v>-3582.14313867219</v>
      </c>
      <c r="AA14" s="122" t="n">
        <v>32</v>
      </c>
      <c r="AB14" s="123" t="n">
        <v>1.7</v>
      </c>
      <c r="AC14" s="124" t="n">
        <v>1.3</v>
      </c>
      <c r="AD14" s="464" t="n">
        <v>42</v>
      </c>
      <c r="AE14" s="353" t="n">
        <f aca="false">AE13-AD14</f>
        <v>7220.25787748929</v>
      </c>
      <c r="AF14" s="95"/>
      <c r="AG14" s="121" t="n">
        <f aca="false">N14+O14+P14+Q14+R14+S14+T14+W14+AA14+AD14-O14</f>
        <v>383</v>
      </c>
      <c r="AH14" s="122" t="n">
        <f aca="false">IF(L14&lt;0,L14*-1,0)</f>
        <v>17.9831106629695</v>
      </c>
      <c r="AI14" s="122" t="n">
        <f aca="false">AG14+AH14</f>
        <v>400.983110662969</v>
      </c>
      <c r="AJ14" s="337" t="n">
        <v>0</v>
      </c>
      <c r="AK14" s="133" t="n">
        <v>69</v>
      </c>
      <c r="AL14" s="222" t="n">
        <v>43</v>
      </c>
      <c r="AM14" s="133" t="n">
        <f aca="false">AM13</f>
        <v>13022.27255</v>
      </c>
      <c r="AN14" s="218"/>
      <c r="AO14" s="218"/>
      <c r="AP14" s="215" t="n">
        <f aca="false">20*(X13*1.9835+Y13*1.9835+Z13*1.9835)/E14</f>
        <v>-0.978081182493688</v>
      </c>
      <c r="AQ14" s="95"/>
      <c r="AR14" s="10"/>
      <c r="AS14" s="151" t="n">
        <f aca="false">O14</f>
        <v>64.05</v>
      </c>
    </row>
    <row r="15" customFormat="false" ht="12.95" hidden="false" customHeight="true" outlineLevel="0" collapsed="false">
      <c r="A15" s="155" t="n">
        <f aca="false">A14+1</f>
        <v>4</v>
      </c>
      <c r="B15" s="94" t="n">
        <v>6901.37</v>
      </c>
      <c r="C15" s="95" t="n">
        <v>288663</v>
      </c>
      <c r="D15" s="133" t="n">
        <f aca="false">C15-C14</f>
        <v>-261</v>
      </c>
      <c r="E15" s="95" t="n">
        <f aca="false">C15-152000</f>
        <v>136663</v>
      </c>
      <c r="F15" s="243" t="n">
        <f aca="false">D15/$D$2</f>
        <v>-131.58558104361</v>
      </c>
      <c r="G15" s="122" t="n">
        <v>110</v>
      </c>
      <c r="H15" s="517" t="n">
        <v>0</v>
      </c>
      <c r="I15" s="122" t="n">
        <f aca="false">G15+H15</f>
        <v>110</v>
      </c>
      <c r="J15" s="218" t="n">
        <f aca="false">IF(L15&gt;0,L15,0)</f>
        <v>88.4144189563902</v>
      </c>
      <c r="K15" s="122" t="n">
        <f aca="false">I15+J15</f>
        <v>198.41441895639</v>
      </c>
      <c r="L15" s="122" t="n">
        <f aca="false">F15-(I15-AG15)</f>
        <v>88.4144189563902</v>
      </c>
      <c r="M15" s="244" t="n">
        <v>121</v>
      </c>
      <c r="N15" s="215" t="n">
        <f aca="false">1.8299*1.03</f>
        <v>1.884797</v>
      </c>
      <c r="O15" s="122" t="n">
        <f aca="false">(16+15)*1.05</f>
        <v>32.55</v>
      </c>
      <c r="P15" s="215" t="n">
        <v>0</v>
      </c>
      <c r="Q15" s="150" t="n">
        <f aca="false">1.68*1.02</f>
        <v>1.7136</v>
      </c>
      <c r="R15" s="324" t="n">
        <v>4.2</v>
      </c>
      <c r="S15" s="324" t="n">
        <v>1.37</v>
      </c>
      <c r="T15" s="381" t="n">
        <v>0</v>
      </c>
      <c r="U15" s="122" t="n">
        <v>94</v>
      </c>
      <c r="V15" s="122" t="n">
        <v>51</v>
      </c>
      <c r="W15" s="122" t="n">
        <f aca="false">M15-N15-O15-P15-Q15-R15-S15-T15+U15+V15+O15</f>
        <v>256.831603</v>
      </c>
      <c r="X15" s="95" t="n">
        <v>0</v>
      </c>
      <c r="Y15" s="95" t="n">
        <v>0</v>
      </c>
      <c r="Z15" s="95" t="n">
        <f aca="false">Z14-(W15-I15)-Q15-R15-AB15-(AP15/1.9835)</f>
        <v>-3736.06411153841</v>
      </c>
      <c r="AA15" s="122" t="n">
        <v>22</v>
      </c>
      <c r="AB15" s="123" t="n">
        <v>1.7</v>
      </c>
      <c r="AC15" s="124" t="n">
        <v>1.3</v>
      </c>
      <c r="AD15" s="464" t="n">
        <v>42</v>
      </c>
      <c r="AE15" s="353" t="n">
        <f aca="false">AE14-AD15</f>
        <v>7178.25787748929</v>
      </c>
      <c r="AF15" s="95"/>
      <c r="AG15" s="121" t="n">
        <f aca="false">N15+O15+P15+Q15+R15+S15+T15+W15+AA15+AD15-O15</f>
        <v>330</v>
      </c>
      <c r="AH15" s="122" t="n">
        <f aca="false">IF(L15&lt;0,L15*-1,0)</f>
        <v>0</v>
      </c>
      <c r="AI15" s="122" t="n">
        <f aca="false">AG15+AH15</f>
        <v>330</v>
      </c>
      <c r="AJ15" s="337" t="n">
        <v>0.65</v>
      </c>
      <c r="AK15" s="133" t="n">
        <v>68</v>
      </c>
      <c r="AL15" s="222" t="n">
        <v>41</v>
      </c>
      <c r="AM15" s="133" t="n">
        <f aca="false">AM14</f>
        <v>13022.27255</v>
      </c>
      <c r="AN15" s="218"/>
      <c r="AO15" s="218"/>
      <c r="AP15" s="215" t="n">
        <f aca="false">20*(X14*1.9835+Y14*1.9835+Z14*1.9835)/E15</f>
        <v>-1.03981047036232</v>
      </c>
      <c r="AQ15" s="95"/>
      <c r="AR15" s="10"/>
      <c r="AS15" s="151" t="n">
        <f aca="false">O15</f>
        <v>32.55</v>
      </c>
    </row>
    <row r="16" customFormat="false" ht="12.95" hidden="false" customHeight="true" outlineLevel="0" collapsed="false">
      <c r="A16" s="155" t="n">
        <f aca="false">A15+1</f>
        <v>5</v>
      </c>
      <c r="B16" s="94" t="n">
        <v>6901.33</v>
      </c>
      <c r="C16" s="95" t="n">
        <v>288514</v>
      </c>
      <c r="D16" s="133" t="n">
        <f aca="false">C16-C15</f>
        <v>-149</v>
      </c>
      <c r="E16" s="95" t="n">
        <f aca="false">C16-152000</f>
        <v>136514</v>
      </c>
      <c r="F16" s="243" t="n">
        <f aca="false">D16/$D$2</f>
        <v>-75.1197378371565</v>
      </c>
      <c r="G16" s="122" t="n">
        <v>169</v>
      </c>
      <c r="H16" s="517" t="n">
        <v>0</v>
      </c>
      <c r="I16" s="122" t="n">
        <f aca="false">G16+H16</f>
        <v>169</v>
      </c>
      <c r="J16" s="218" t="n">
        <f aca="false">IF(L16&gt;0,L16,0)</f>
        <v>55.8802621628434</v>
      </c>
      <c r="K16" s="122" t="n">
        <f aca="false">I16+J16</f>
        <v>224.880262162843</v>
      </c>
      <c r="L16" s="122" t="n">
        <f aca="false">F16-(I16-AG16)</f>
        <v>55.8802621628434</v>
      </c>
      <c r="M16" s="244" t="n">
        <v>106</v>
      </c>
      <c r="N16" s="215" t="n">
        <f aca="false">1.8299*1.03</f>
        <v>1.884797</v>
      </c>
      <c r="O16" s="122" t="n">
        <f aca="false">(11+9.7)*1.05</f>
        <v>21.735</v>
      </c>
      <c r="P16" s="215" t="n">
        <v>0</v>
      </c>
      <c r="Q16" s="150" t="n">
        <f aca="false">1.68*1.02</f>
        <v>1.7136</v>
      </c>
      <c r="R16" s="324" t="n">
        <v>4.2</v>
      </c>
      <c r="S16" s="324" t="n">
        <v>1.94</v>
      </c>
      <c r="T16" s="381" t="n">
        <v>0</v>
      </c>
      <c r="U16" s="122" t="n">
        <v>93</v>
      </c>
      <c r="V16" s="122" t="n">
        <v>48</v>
      </c>
      <c r="W16" s="122" t="n">
        <f aca="false">M16-N16-O16-P16-Q16-R16-S16-T16+U16+V16+O16</f>
        <v>237.261603</v>
      </c>
      <c r="X16" s="95" t="n">
        <v>0</v>
      </c>
      <c r="Y16" s="95" t="n">
        <v>0</v>
      </c>
      <c r="Z16" s="95" t="n">
        <f aca="false">Z15-(W16-I16)-Q16-R16-AB16-(AP16/1.9835)</f>
        <v>-3811.3919620161</v>
      </c>
      <c r="AA16" s="122" t="n">
        <v>11</v>
      </c>
      <c r="AB16" s="123" t="n">
        <v>1.7</v>
      </c>
      <c r="AC16" s="124" t="n">
        <v>1.3</v>
      </c>
      <c r="AD16" s="464" t="n">
        <v>42</v>
      </c>
      <c r="AE16" s="353" t="n">
        <f aca="false">AE15-AD16</f>
        <v>7136.25787748929</v>
      </c>
      <c r="AF16" s="95"/>
      <c r="AG16" s="121" t="n">
        <f aca="false">N16+O16+P16+Q16+R16+S16+T16+W16+AA16+AD16-O16</f>
        <v>300</v>
      </c>
      <c r="AH16" s="122" t="n">
        <f aca="false">IF(L16&lt;0,L16*-1,0)</f>
        <v>0</v>
      </c>
      <c r="AI16" s="122" t="n">
        <f aca="false">AG16+AH16</f>
        <v>300</v>
      </c>
      <c r="AJ16" s="337" t="n">
        <v>0.35</v>
      </c>
      <c r="AK16" s="133" t="n">
        <v>55</v>
      </c>
      <c r="AL16" s="222" t="n">
        <v>36</v>
      </c>
      <c r="AM16" s="133" t="n">
        <f aca="false">AM15</f>
        <v>13022.27255</v>
      </c>
      <c r="AN16" s="218"/>
      <c r="AO16" s="218"/>
      <c r="AP16" s="215" t="n">
        <f aca="false">20*(X15*1.9835+Y15*1.9835+Z15*1.9835)/E16</f>
        <v>-1.08567372800393</v>
      </c>
      <c r="AQ16" s="95"/>
      <c r="AR16" s="10"/>
      <c r="AS16" s="151" t="n">
        <f aca="false">O16</f>
        <v>21.735</v>
      </c>
    </row>
    <row r="17" customFormat="false" ht="12.95" hidden="false" customHeight="true" outlineLevel="0" collapsed="false">
      <c r="A17" s="155" t="n">
        <f aca="false">A16+1</f>
        <v>6</v>
      </c>
      <c r="B17" s="94" t="n">
        <v>6901.26</v>
      </c>
      <c r="C17" s="95" t="n">
        <v>288252</v>
      </c>
      <c r="D17" s="133" t="n">
        <f aca="false">C17-C16</f>
        <v>-262</v>
      </c>
      <c r="E17" s="95" t="n">
        <f aca="false">C17-152000</f>
        <v>136252</v>
      </c>
      <c r="F17" s="243" t="n">
        <f aca="false">D17/$D$2</f>
        <v>-132.089740357953</v>
      </c>
      <c r="G17" s="122" t="n">
        <v>162</v>
      </c>
      <c r="H17" s="517" t="n">
        <v>0</v>
      </c>
      <c r="I17" s="122" t="n">
        <f aca="false">G17+H17</f>
        <v>162</v>
      </c>
      <c r="J17" s="218" t="n">
        <f aca="false">IF(L17&gt;0,L17,0)</f>
        <v>0</v>
      </c>
      <c r="K17" s="122" t="n">
        <f aca="false">I17+J17</f>
        <v>162</v>
      </c>
      <c r="L17" s="122" t="n">
        <f aca="false">F17-(I17-AG17)</f>
        <v>-16.0897403579531</v>
      </c>
      <c r="M17" s="244" t="n">
        <v>97</v>
      </c>
      <c r="N17" s="215" t="n">
        <f aca="false">1.8299*1.03</f>
        <v>1.884797</v>
      </c>
      <c r="O17" s="122" t="n">
        <f aca="false">(2.7+2.2)*1.05</f>
        <v>5.145</v>
      </c>
      <c r="P17" s="215" t="n">
        <v>0</v>
      </c>
      <c r="Q17" s="150" t="n">
        <f aca="false">1.68*1.02</f>
        <v>1.7136</v>
      </c>
      <c r="R17" s="324" t="n">
        <v>3.7</v>
      </c>
      <c r="S17" s="324" t="n">
        <v>0</v>
      </c>
      <c r="T17" s="381" t="n">
        <v>0</v>
      </c>
      <c r="U17" s="122" t="n">
        <v>91</v>
      </c>
      <c r="V17" s="122" t="n">
        <v>48</v>
      </c>
      <c r="W17" s="122" t="n">
        <f aca="false">M17-N17-O17-P17-Q17-R17-S17-T17+U17+V17+O17</f>
        <v>228.701603</v>
      </c>
      <c r="X17" s="95" t="n">
        <v>0</v>
      </c>
      <c r="Y17" s="95" t="n">
        <v>0</v>
      </c>
      <c r="Z17" s="95" t="n">
        <f aca="false">Z16-(W17-I17)-Q17-R17-AB17-(AP17/1.9835)</f>
        <v>-3884.64770284864</v>
      </c>
      <c r="AA17" s="122" t="n">
        <v>0</v>
      </c>
      <c r="AB17" s="123" t="n">
        <v>1.7</v>
      </c>
      <c r="AC17" s="124" t="n">
        <v>1.3</v>
      </c>
      <c r="AD17" s="464" t="n">
        <v>42</v>
      </c>
      <c r="AE17" s="353" t="n">
        <f aca="false">AE16-AD17</f>
        <v>7094.25787748929</v>
      </c>
      <c r="AF17" s="95"/>
      <c r="AG17" s="121" t="n">
        <f aca="false">N17+O17+P17+Q17+R17+S17+T17+W17+AA17+AD17-O17</f>
        <v>278</v>
      </c>
      <c r="AH17" s="122" t="n">
        <f aca="false">IF(L17&lt;0,L17*-1,0)</f>
        <v>16.0897403579531</v>
      </c>
      <c r="AI17" s="122" t="n">
        <f aca="false">AG17+AH17</f>
        <v>294.089740357953</v>
      </c>
      <c r="AJ17" s="337" t="n">
        <v>0</v>
      </c>
      <c r="AK17" s="133" t="n">
        <v>58</v>
      </c>
      <c r="AL17" s="222" t="n">
        <v>33</v>
      </c>
      <c r="AM17" s="133" t="n">
        <f aca="false">AM16</f>
        <v>13022.27255</v>
      </c>
      <c r="AN17" s="218"/>
      <c r="AO17" s="218"/>
      <c r="AP17" s="215" t="n">
        <f aca="false">20*(X16*1.9835+Y16*1.9835+Z16*1.9835)/E17</f>
        <v>-1.10969320915053</v>
      </c>
      <c r="AQ17" s="95"/>
      <c r="AR17" s="10"/>
      <c r="AS17" s="151" t="n">
        <f aca="false">O17</f>
        <v>5.145</v>
      </c>
    </row>
    <row r="18" customFormat="false" ht="12.95" hidden="false" customHeight="true" outlineLevel="0" collapsed="false">
      <c r="A18" s="155" t="n">
        <f aca="false">A17+1</f>
        <v>7</v>
      </c>
      <c r="B18" s="94" t="n">
        <v>6901.17</v>
      </c>
      <c r="C18" s="95" t="n">
        <v>287916</v>
      </c>
      <c r="D18" s="133" t="n">
        <f aca="false">C18-C17</f>
        <v>-336</v>
      </c>
      <c r="E18" s="95" t="n">
        <f aca="false">C18-152000</f>
        <v>135916</v>
      </c>
      <c r="F18" s="243" t="n">
        <f aca="false">D18/$D$2</f>
        <v>-169.39752961936</v>
      </c>
      <c r="G18" s="122" t="n">
        <v>137</v>
      </c>
      <c r="H18" s="517" t="n">
        <v>0</v>
      </c>
      <c r="I18" s="122" t="n">
        <f aca="false">G18+H18</f>
        <v>137</v>
      </c>
      <c r="J18" s="218" t="n">
        <f aca="false">IF(L18&gt;0,L18,0)</f>
        <v>0</v>
      </c>
      <c r="K18" s="122" t="n">
        <f aca="false">I18+J18</f>
        <v>137</v>
      </c>
      <c r="L18" s="122" t="n">
        <f aca="false">F18-(I18-AG18)</f>
        <v>-29.3975296193597</v>
      </c>
      <c r="M18" s="244" t="n">
        <v>103</v>
      </c>
      <c r="N18" s="215" t="n">
        <f aca="false">1.8299*1.03</f>
        <v>1.884797</v>
      </c>
      <c r="O18" s="122" t="n">
        <f aca="false">(12+12)*1.05</f>
        <v>25.2</v>
      </c>
      <c r="P18" s="215" t="n">
        <v>0</v>
      </c>
      <c r="Q18" s="150" t="n">
        <f aca="false">1.68*1.02</f>
        <v>1.7136</v>
      </c>
      <c r="R18" s="324" t="n">
        <v>3.44</v>
      </c>
      <c r="S18" s="324" t="n">
        <v>0</v>
      </c>
      <c r="T18" s="381" t="n">
        <v>0</v>
      </c>
      <c r="U18" s="122" t="n">
        <v>86</v>
      </c>
      <c r="V18" s="122" t="n">
        <v>46</v>
      </c>
      <c r="W18" s="122" t="n">
        <f aca="false">M18-N18-O18-P18-Q18-R18-S18-T18+U18+V18+O18</f>
        <v>227.961603</v>
      </c>
      <c r="X18" s="95" t="n">
        <v>0</v>
      </c>
      <c r="Y18" s="95" t="n">
        <v>0</v>
      </c>
      <c r="Z18" s="95" t="n">
        <f aca="false">Z17-(W18-I18)-Q18-R18-AB18-(AP18/1.9835)</f>
        <v>-3981.89128106526</v>
      </c>
      <c r="AA18" s="122" t="n">
        <v>0</v>
      </c>
      <c r="AB18" s="123" t="n">
        <v>1.7</v>
      </c>
      <c r="AC18" s="124" t="n">
        <v>1.3</v>
      </c>
      <c r="AD18" s="464" t="n">
        <v>42</v>
      </c>
      <c r="AE18" s="353" t="n">
        <f aca="false">AE17-AD18</f>
        <v>7052.25787748929</v>
      </c>
      <c r="AF18" s="95"/>
      <c r="AG18" s="121" t="n">
        <f aca="false">N18+O18+P18+Q18+R18+S18+T18+W18+AA18+AD18-O18</f>
        <v>277</v>
      </c>
      <c r="AH18" s="122" t="n">
        <f aca="false">IF(L18&lt;0,L18*-1,0)</f>
        <v>29.3975296193597</v>
      </c>
      <c r="AI18" s="122" t="n">
        <f aca="false">AG18+AH18</f>
        <v>306.39752961936</v>
      </c>
      <c r="AJ18" s="337" t="n">
        <v>0</v>
      </c>
      <c r="AK18" s="133" t="n">
        <v>65</v>
      </c>
      <c r="AL18" s="222" t="n">
        <v>34</v>
      </c>
      <c r="AM18" s="133" t="n">
        <f aca="false">AM17</f>
        <v>13022.27255</v>
      </c>
      <c r="AN18" s="218"/>
      <c r="AO18" s="218"/>
      <c r="AP18" s="215" t="n">
        <f aca="false">20*(X17*1.9835+Y17*1.9835+Z17*1.9835)/E18</f>
        <v>-1.13381775782105</v>
      </c>
      <c r="AQ18" s="95"/>
      <c r="AR18" s="10"/>
      <c r="AS18" s="151" t="n">
        <f aca="false">O18</f>
        <v>25.2</v>
      </c>
    </row>
    <row r="19" customFormat="false" ht="12.95" hidden="false" customHeight="true" outlineLevel="0" collapsed="false">
      <c r="A19" s="155" t="n">
        <f aca="false">A18+1</f>
        <v>8</v>
      </c>
      <c r="B19" s="94" t="n">
        <v>6901.08</v>
      </c>
      <c r="C19" s="95" t="n">
        <v>287581</v>
      </c>
      <c r="D19" s="133" t="n">
        <f aca="false">C19-C18</f>
        <v>-335</v>
      </c>
      <c r="E19" s="95" t="n">
        <f aca="false">C19-152000</f>
        <v>135581</v>
      </c>
      <c r="F19" s="243" t="n">
        <f aca="false">D19/$D$2</f>
        <v>-168.893370305016</v>
      </c>
      <c r="G19" s="122" t="n">
        <v>130</v>
      </c>
      <c r="H19" s="517" t="n">
        <v>0</v>
      </c>
      <c r="I19" s="122" t="n">
        <f aca="false">G19+H19</f>
        <v>130</v>
      </c>
      <c r="J19" s="218" t="n">
        <f aca="false">IF(L19&gt;0,L19,0)</f>
        <v>0</v>
      </c>
      <c r="K19" s="122" t="n">
        <f aca="false">I19+J19</f>
        <v>130</v>
      </c>
      <c r="L19" s="122" t="n">
        <f aca="false">F19-(I19-AG19)</f>
        <v>-17.8933703050164</v>
      </c>
      <c r="M19" s="244" t="n">
        <v>111</v>
      </c>
      <c r="N19" s="215" t="n">
        <f aca="false">1.8299*1.03</f>
        <v>1.884797</v>
      </c>
      <c r="O19" s="122" t="n">
        <f aca="false">(19+19)*1.05</f>
        <v>39.9</v>
      </c>
      <c r="P19" s="215" t="n">
        <v>0</v>
      </c>
      <c r="Q19" s="150" t="n">
        <f aca="false">1.68*1.02</f>
        <v>1.7136</v>
      </c>
      <c r="R19" s="324" t="n">
        <v>3.45</v>
      </c>
      <c r="S19" s="324" t="n">
        <v>0</v>
      </c>
      <c r="T19" s="381" t="n">
        <v>0</v>
      </c>
      <c r="U19" s="122" t="n">
        <v>84</v>
      </c>
      <c r="V19" s="122" t="n">
        <v>44</v>
      </c>
      <c r="W19" s="122" t="n">
        <f aca="false">M19-N19-O19-P19-Q19-R19-S19-T19+U19+V19+O19</f>
        <v>231.951603</v>
      </c>
      <c r="X19" s="95" t="n">
        <v>0</v>
      </c>
      <c r="Y19" s="95" t="n">
        <v>0</v>
      </c>
      <c r="Z19" s="95" t="n">
        <f aca="false">Z18-(W19-I19)-Q19-R19-AB19-(AP19/1.9835)</f>
        <v>-4090.11910216351</v>
      </c>
      <c r="AA19" s="122" t="n">
        <v>0</v>
      </c>
      <c r="AB19" s="123" t="n">
        <v>1.7</v>
      </c>
      <c r="AC19" s="124" t="n">
        <v>1.3</v>
      </c>
      <c r="AD19" s="464" t="n">
        <v>42</v>
      </c>
      <c r="AE19" s="353" t="n">
        <f aca="false">AE18-AD19</f>
        <v>7010.25787748929</v>
      </c>
      <c r="AF19" s="95"/>
      <c r="AG19" s="121" t="n">
        <f aca="false">N19+O19+P19+Q19+R19+S19+T19+W19+AA19+AD19-O19</f>
        <v>281</v>
      </c>
      <c r="AH19" s="122" t="n">
        <f aca="false">IF(L19&lt;0,L19*-1,0)</f>
        <v>17.8933703050164</v>
      </c>
      <c r="AI19" s="122" t="n">
        <f aca="false">AG19+AH19</f>
        <v>298.893370305016</v>
      </c>
      <c r="AJ19" s="337" t="n">
        <v>0</v>
      </c>
      <c r="AK19" s="133" t="n">
        <v>68</v>
      </c>
      <c r="AL19" s="222" t="n">
        <v>34</v>
      </c>
      <c r="AM19" s="133" t="n">
        <f aca="false">AM18</f>
        <v>13022.27255</v>
      </c>
      <c r="AN19" s="218"/>
      <c r="AO19" s="218"/>
      <c r="AP19" s="215" t="n">
        <f aca="false">20*(X18*1.9835+Y18*1.9835+Z18*1.9835)/E19</f>
        <v>-1.16507200212315</v>
      </c>
      <c r="AQ19" s="95"/>
      <c r="AR19" s="10"/>
      <c r="AS19" s="151" t="n">
        <f aca="false">O19</f>
        <v>39.9</v>
      </c>
    </row>
    <row r="20" customFormat="false" ht="12.95" hidden="false" customHeight="true" outlineLevel="0" collapsed="false">
      <c r="A20" s="155" t="n">
        <f aca="false">A19+1</f>
        <v>9</v>
      </c>
      <c r="B20" s="94" t="n">
        <v>6900.96</v>
      </c>
      <c r="C20" s="95" t="n">
        <v>287134</v>
      </c>
      <c r="D20" s="133" t="n">
        <f aca="false">C20-C19</f>
        <v>-447</v>
      </c>
      <c r="E20" s="95" t="n">
        <f aca="false">C20-152000</f>
        <v>135134</v>
      </c>
      <c r="F20" s="243" t="n">
        <f aca="false">D20/$D$2</f>
        <v>-225.35921351147</v>
      </c>
      <c r="G20" s="122" t="n">
        <v>129</v>
      </c>
      <c r="H20" s="517" t="n">
        <v>0</v>
      </c>
      <c r="I20" s="122" t="n">
        <f aca="false">G20+H20</f>
        <v>129</v>
      </c>
      <c r="J20" s="218" t="n">
        <f aca="false">IF(L20&gt;0,L20,0)</f>
        <v>0</v>
      </c>
      <c r="K20" s="122" t="n">
        <f aca="false">I20+J20</f>
        <v>129</v>
      </c>
      <c r="L20" s="122" t="n">
        <f aca="false">F20-(I20-AG20)</f>
        <v>-78.3592135114696</v>
      </c>
      <c r="M20" s="244" t="n">
        <v>109</v>
      </c>
      <c r="N20" s="215" t="n">
        <f aca="false">1.8299*1.03</f>
        <v>1.884797</v>
      </c>
      <c r="O20" s="122" t="n">
        <f aca="false">(17+17)*1.05</f>
        <v>35.7</v>
      </c>
      <c r="P20" s="215" t="n">
        <v>0</v>
      </c>
      <c r="Q20" s="150" t="n">
        <f aca="false">1.68*1.02</f>
        <v>1.7136</v>
      </c>
      <c r="R20" s="324" t="n">
        <v>3.4</v>
      </c>
      <c r="S20" s="324" t="n">
        <v>0</v>
      </c>
      <c r="T20" s="381" t="n">
        <v>0</v>
      </c>
      <c r="U20" s="122" t="n">
        <v>82</v>
      </c>
      <c r="V20" s="122" t="n">
        <v>43</v>
      </c>
      <c r="W20" s="122" t="n">
        <f aca="false">M20-N20-O20-P20-Q20-R20-S20-T20+U20+V20+O20</f>
        <v>227.001603</v>
      </c>
      <c r="X20" s="95" t="n">
        <v>0</v>
      </c>
      <c r="Y20" s="95" t="n">
        <v>0</v>
      </c>
      <c r="Z20" s="95" t="n">
        <f aca="false">Z19-(W20-I20)-Q20-R20-AB20-(AP20/1.9835)</f>
        <v>-4194.32896245151</v>
      </c>
      <c r="AA20" s="122" t="n">
        <v>0</v>
      </c>
      <c r="AB20" s="123" t="n">
        <v>1.7</v>
      </c>
      <c r="AC20" s="124" t="n">
        <v>1.3</v>
      </c>
      <c r="AD20" s="464" t="n">
        <v>42</v>
      </c>
      <c r="AE20" s="353" t="n">
        <f aca="false">AE19-AD20</f>
        <v>6968.25787748929</v>
      </c>
      <c r="AF20" s="95"/>
      <c r="AG20" s="121" t="n">
        <f aca="false">N20+O20+P20+Q20+R20+S20+T20+W20+AA20+AD20-O20</f>
        <v>276</v>
      </c>
      <c r="AH20" s="122" t="n">
        <f aca="false">IF(L20&lt;0,L20*-1,0)</f>
        <v>78.3592135114696</v>
      </c>
      <c r="AI20" s="122" t="n">
        <f aca="false">AG20+AH20</f>
        <v>354.35921351147</v>
      </c>
      <c r="AJ20" s="337" t="n">
        <v>0</v>
      </c>
      <c r="AK20" s="223" t="n">
        <v>71</v>
      </c>
      <c r="AL20" s="222" t="n">
        <v>38</v>
      </c>
      <c r="AM20" s="133" t="n">
        <f aca="false">AM19</f>
        <v>13022.27255</v>
      </c>
      <c r="AN20" s="218"/>
      <c r="AO20" s="218"/>
      <c r="AP20" s="215" t="n">
        <f aca="false">20*(X19*1.9835+Y19*1.9835+Z19*1.9835)/E20</f>
        <v>-1.20069726924998</v>
      </c>
      <c r="AQ20" s="95"/>
      <c r="AR20" s="10"/>
      <c r="AS20" s="151" t="n">
        <f aca="false">O20</f>
        <v>35.7</v>
      </c>
    </row>
    <row r="21" customFormat="false" ht="12.95" hidden="false" customHeight="true" outlineLevel="0" collapsed="false">
      <c r="A21" s="155" t="n">
        <f aca="false">A20+1</f>
        <v>10</v>
      </c>
      <c r="B21" s="94" t="n">
        <v>6900.86</v>
      </c>
      <c r="C21" s="95" t="n">
        <v>286764</v>
      </c>
      <c r="D21" s="133" t="n">
        <f aca="false">C21-C20</f>
        <v>-370</v>
      </c>
      <c r="E21" s="95" t="n">
        <f aca="false">C21-152000</f>
        <v>134764</v>
      </c>
      <c r="F21" s="243" t="n">
        <f aca="false">D21/$D$2</f>
        <v>-186.538946307033</v>
      </c>
      <c r="G21" s="122" t="n">
        <v>121</v>
      </c>
      <c r="H21" s="517" t="n">
        <v>0</v>
      </c>
      <c r="I21" s="122" t="n">
        <f aca="false">G21+H21</f>
        <v>121</v>
      </c>
      <c r="J21" s="218" t="n">
        <f aca="false">IF(L21&gt;0,L21,0)</f>
        <v>0</v>
      </c>
      <c r="K21" s="122" t="n">
        <f aca="false">I21+J21</f>
        <v>121</v>
      </c>
      <c r="L21" s="122" t="n">
        <f aca="false">F21-(I21-AG21)</f>
        <v>-75.538946307033</v>
      </c>
      <c r="M21" s="244" t="n">
        <v>73</v>
      </c>
      <c r="N21" s="215" t="n">
        <f aca="false">1.8299*1.03</f>
        <v>1.884797</v>
      </c>
      <c r="O21" s="122" t="n">
        <f aca="false">(8.2+7)*1.05</f>
        <v>15.96</v>
      </c>
      <c r="P21" s="215" t="n">
        <v>0</v>
      </c>
      <c r="Q21" s="150" t="n">
        <f aca="false">1.68*1.02</f>
        <v>1.7136</v>
      </c>
      <c r="R21" s="324" t="n">
        <v>4.2</v>
      </c>
      <c r="S21" s="324" t="n">
        <v>1.07</v>
      </c>
      <c r="T21" s="381" t="n">
        <v>0</v>
      </c>
      <c r="U21" s="122" t="n">
        <v>77</v>
      </c>
      <c r="V21" s="122" t="n">
        <v>40</v>
      </c>
      <c r="W21" s="122" t="n">
        <f aca="false">M21-N21-O21-P21-Q21-R21-S21-T21+U21+V21+O21</f>
        <v>181.131603</v>
      </c>
      <c r="X21" s="95" t="n">
        <v>0</v>
      </c>
      <c r="Y21" s="95" t="n">
        <v>0</v>
      </c>
      <c r="Z21" s="95" t="n">
        <f aca="false">Z20-(W21-I21)-Q21-R21-AB21-(AP21/1.9835)</f>
        <v>-4261.45169521281</v>
      </c>
      <c r="AA21" s="122" t="n">
        <v>0</v>
      </c>
      <c r="AB21" s="123" t="n">
        <v>1.7</v>
      </c>
      <c r="AC21" s="124" t="n">
        <v>1.3</v>
      </c>
      <c r="AD21" s="464" t="n">
        <v>42</v>
      </c>
      <c r="AE21" s="353" t="n">
        <f aca="false">AE20-AD21</f>
        <v>6926.25787748929</v>
      </c>
      <c r="AF21" s="95"/>
      <c r="AG21" s="121" t="n">
        <f aca="false">N21+O21+P21+Q21+R21+S21+T21+W21+AA21+AD21-O21</f>
        <v>232</v>
      </c>
      <c r="AH21" s="122" t="n">
        <f aca="false">IF(L21&lt;0,L21*-1,0)</f>
        <v>75.538946307033</v>
      </c>
      <c r="AI21" s="122" t="n">
        <f aca="false">AG21+AH21</f>
        <v>307.538946307033</v>
      </c>
      <c r="AJ21" s="337" t="n">
        <v>0</v>
      </c>
      <c r="AK21" s="133" t="n">
        <v>67</v>
      </c>
      <c r="AL21" s="222" t="n">
        <v>44</v>
      </c>
      <c r="AM21" s="133" t="n">
        <f aca="false">AM20</f>
        <v>13022.27255</v>
      </c>
      <c r="AN21" s="218"/>
      <c r="AO21" s="218"/>
      <c r="AP21" s="215" t="n">
        <f aca="false">20*(X20*1.9835+Y20*1.9835+Z20*1.9835)/E21</f>
        <v>-1.23466971847416</v>
      </c>
      <c r="AQ21" s="95"/>
      <c r="AR21" s="10"/>
      <c r="AS21" s="151" t="n">
        <f aca="false">O21</f>
        <v>15.96</v>
      </c>
    </row>
    <row r="22" customFormat="false" ht="12.95" hidden="false" customHeight="true" outlineLevel="0" collapsed="false">
      <c r="A22" s="155" t="n">
        <f aca="false">A21+1</f>
        <v>11</v>
      </c>
      <c r="B22" s="94" t="n">
        <v>6900.83</v>
      </c>
      <c r="C22" s="95" t="n">
        <v>286653</v>
      </c>
      <c r="D22" s="133" t="n">
        <f aca="false">C22-C21</f>
        <v>-111</v>
      </c>
      <c r="E22" s="95" t="n">
        <f aca="false">C22-152000</f>
        <v>134653</v>
      </c>
      <c r="F22" s="243" t="n">
        <f aca="false">D22/$D$2</f>
        <v>-55.9616838921099</v>
      </c>
      <c r="G22" s="122" t="n">
        <v>118</v>
      </c>
      <c r="H22" s="517" t="n">
        <v>0</v>
      </c>
      <c r="I22" s="122" t="n">
        <f aca="false">G22+H22</f>
        <v>118</v>
      </c>
      <c r="J22" s="218" t="n">
        <f aca="false">IF(L22&gt;0,L22,0)</f>
        <v>52.0383161078901</v>
      </c>
      <c r="K22" s="122" t="n">
        <f aca="false">I22+J22</f>
        <v>170.03831610789</v>
      </c>
      <c r="L22" s="122" t="n">
        <f aca="false">F22-(I22-AG22)</f>
        <v>52.0383161078901</v>
      </c>
      <c r="M22" s="244" t="n">
        <v>70</v>
      </c>
      <c r="N22" s="215" t="n">
        <f aca="false">1.8299*1.03</f>
        <v>1.884797</v>
      </c>
      <c r="O22" s="122" t="n">
        <f aca="false">(6+6.4)*1.05</f>
        <v>13.02</v>
      </c>
      <c r="P22" s="215" t="n">
        <v>0</v>
      </c>
      <c r="Q22" s="150" t="n">
        <f aca="false">1.68*1.02</f>
        <v>1.7136</v>
      </c>
      <c r="R22" s="324" t="n">
        <v>4.2</v>
      </c>
      <c r="S22" s="324" t="n">
        <v>0.7</v>
      </c>
      <c r="T22" s="381" t="n">
        <v>0</v>
      </c>
      <c r="U22" s="122" t="n">
        <v>75</v>
      </c>
      <c r="V22" s="122" t="n">
        <v>39</v>
      </c>
      <c r="W22" s="122" t="n">
        <f aca="false">M22-N22-O22-P22-Q22-R22-S22-T22+U22+V22+O22</f>
        <v>175.501603</v>
      </c>
      <c r="X22" s="95" t="n">
        <v>0</v>
      </c>
      <c r="Y22" s="95" t="n">
        <v>0</v>
      </c>
      <c r="Z22" s="95" t="n">
        <f aca="false">Z21-(W22-I22)-Q22-R22-AB22-(AP22/1.9835)</f>
        <v>-4325.93394511184</v>
      </c>
      <c r="AA22" s="122" t="n">
        <v>0</v>
      </c>
      <c r="AB22" s="123" t="n">
        <v>1.7</v>
      </c>
      <c r="AC22" s="124" t="n">
        <v>1.3</v>
      </c>
      <c r="AD22" s="464" t="n">
        <v>42</v>
      </c>
      <c r="AE22" s="353" t="n">
        <f aca="false">AE21-AD22</f>
        <v>6884.25787748929</v>
      </c>
      <c r="AF22" s="95"/>
      <c r="AG22" s="121" t="n">
        <f aca="false">N22+O22+P22+Q22+R22+S22+T22+W22+AA22+AD22-O22</f>
        <v>226</v>
      </c>
      <c r="AH22" s="122" t="n">
        <f aca="false">IF(L22&lt;0,L22*-1,0)</f>
        <v>0</v>
      </c>
      <c r="AI22" s="122" t="n">
        <f aca="false">AG22+AH22</f>
        <v>226</v>
      </c>
      <c r="AJ22" s="337" t="n">
        <v>0</v>
      </c>
      <c r="AK22" s="133" t="n">
        <v>67</v>
      </c>
      <c r="AL22" s="222" t="n">
        <v>32</v>
      </c>
      <c r="AM22" s="133" t="n">
        <f aca="false">AM21</f>
        <v>13022.27255</v>
      </c>
      <c r="AN22" s="218"/>
      <c r="AO22" s="218"/>
      <c r="AP22" s="215" t="n">
        <f aca="false">20*(X21*1.9835+Y21*1.9835+Z21*1.9835)/E22</f>
        <v>-1.25546247576431</v>
      </c>
      <c r="AQ22" s="95"/>
      <c r="AR22" s="10"/>
      <c r="AS22" s="151" t="n">
        <f aca="false">O22</f>
        <v>13.02</v>
      </c>
    </row>
    <row r="23" customFormat="false" ht="12.95" hidden="false" customHeight="true" outlineLevel="0" collapsed="false">
      <c r="A23" s="155" t="n">
        <f aca="false">A22+1</f>
        <v>12</v>
      </c>
      <c r="B23" s="94" t="n">
        <v>6900.76</v>
      </c>
      <c r="C23" s="95" t="n">
        <v>286393</v>
      </c>
      <c r="D23" s="133" t="n">
        <f aca="false">C23-C22</f>
        <v>-260</v>
      </c>
      <c r="E23" s="95" t="n">
        <f aca="false">C23-152000</f>
        <v>134393</v>
      </c>
      <c r="F23" s="243" t="n">
        <f aca="false">D23/$D$2</f>
        <v>-131.081421729266</v>
      </c>
      <c r="G23" s="122" t="n">
        <v>147</v>
      </c>
      <c r="H23" s="517" t="n">
        <v>0</v>
      </c>
      <c r="I23" s="122" t="n">
        <f aca="false">G23+H23</f>
        <v>147</v>
      </c>
      <c r="J23" s="218" t="n">
        <f aca="false">IF(L23&gt;0,L23,0)</f>
        <v>0</v>
      </c>
      <c r="K23" s="122" t="n">
        <f aca="false">I23+J23</f>
        <v>147</v>
      </c>
      <c r="L23" s="122" t="n">
        <f aca="false">F23-(I23-AG23)</f>
        <v>-47.0814217292665</v>
      </c>
      <c r="M23" s="244" t="n">
        <v>75</v>
      </c>
      <c r="N23" s="215" t="n">
        <f aca="false">1.8299*1.03</f>
        <v>1.884797</v>
      </c>
      <c r="O23" s="122" t="n">
        <f aca="false">(5.3+6.5)*1.05</f>
        <v>12.39</v>
      </c>
      <c r="P23" s="215" t="n">
        <v>0</v>
      </c>
      <c r="Q23" s="150" t="n">
        <f aca="false">1.68*1.02</f>
        <v>1.7136</v>
      </c>
      <c r="R23" s="324" t="n">
        <v>2.67</v>
      </c>
      <c r="S23" s="324" t="n">
        <v>0</v>
      </c>
      <c r="T23" s="381" t="n">
        <v>0</v>
      </c>
      <c r="U23" s="122" t="n">
        <v>75</v>
      </c>
      <c r="V23" s="122" t="n">
        <v>39</v>
      </c>
      <c r="W23" s="122" t="n">
        <f aca="false">M23-N23-O23-P23-Q23-R23-S23-T23+U23+V23+O23</f>
        <v>182.731603</v>
      </c>
      <c r="X23" s="95" t="n">
        <v>0</v>
      </c>
      <c r="Y23" s="95" t="n">
        <v>0</v>
      </c>
      <c r="Z23" s="95" t="n">
        <f aca="false">Z22-(W23-I23)-Q23-R23-AB23-(AP23/1.9835)</f>
        <v>-4367.10537441156</v>
      </c>
      <c r="AA23" s="122" t="n">
        <v>0</v>
      </c>
      <c r="AB23" s="123" t="n">
        <v>1.7</v>
      </c>
      <c r="AC23" s="124" t="n">
        <v>1.3</v>
      </c>
      <c r="AD23" s="464" t="n">
        <v>42</v>
      </c>
      <c r="AE23" s="353" t="n">
        <f aca="false">AE22-AD23</f>
        <v>6842.25787748929</v>
      </c>
      <c r="AF23" s="95"/>
      <c r="AG23" s="121" t="n">
        <f aca="false">N23+O23+P23+Q23+R23+S23+T23+W23+AA23+AD23-O23</f>
        <v>231</v>
      </c>
      <c r="AH23" s="122" t="n">
        <f aca="false">IF(L23&lt;0,L23*-1,0)</f>
        <v>47.0814217292665</v>
      </c>
      <c r="AI23" s="122" t="n">
        <f aca="false">AG23+AH23</f>
        <v>278.081421729266</v>
      </c>
      <c r="AJ23" s="337" t="n">
        <v>0</v>
      </c>
      <c r="AK23" s="133" t="n">
        <v>43</v>
      </c>
      <c r="AL23" s="222" t="n">
        <v>20</v>
      </c>
      <c r="AM23" s="133" t="n">
        <f aca="false">AM22</f>
        <v>13022.27255</v>
      </c>
      <c r="AN23" s="218"/>
      <c r="AO23" s="218"/>
      <c r="AP23" s="215" t="n">
        <f aca="false">20*(X22*1.9835+Y22*1.9835+Z22*1.9835)/E23</f>
        <v>-1.27692513451286</v>
      </c>
      <c r="AQ23" s="95"/>
      <c r="AR23" s="10"/>
      <c r="AS23" s="151" t="n">
        <f aca="false">O23</f>
        <v>12.39</v>
      </c>
    </row>
    <row r="24" customFormat="false" ht="12.95" hidden="false" customHeight="true" outlineLevel="0" collapsed="false">
      <c r="A24" s="155" t="n">
        <f aca="false">A23+1</f>
        <v>13</v>
      </c>
      <c r="B24" s="94" t="n">
        <v>6900.68</v>
      </c>
      <c r="C24" s="95" t="n">
        <v>286097</v>
      </c>
      <c r="D24" s="133" t="n">
        <f aca="false">C24-C23</f>
        <v>-296</v>
      </c>
      <c r="E24" s="95" t="n">
        <f aca="false">C24-152000</f>
        <v>134097</v>
      </c>
      <c r="F24" s="243" t="n">
        <f aca="false">D24/$D$2</f>
        <v>-149.231157045626</v>
      </c>
      <c r="G24" s="122" t="n">
        <v>135</v>
      </c>
      <c r="H24" s="517" t="n">
        <v>0</v>
      </c>
      <c r="I24" s="122" t="n">
        <f aca="false">G24+H24</f>
        <v>135</v>
      </c>
      <c r="J24" s="218" t="n">
        <f aca="false">IF(L24&gt;0,L24,0)</f>
        <v>0</v>
      </c>
      <c r="K24" s="122" t="n">
        <f aca="false">I24+J24</f>
        <v>135</v>
      </c>
      <c r="L24" s="122" t="n">
        <f aca="false">F24-(I24-AG24)</f>
        <v>-23.2311570456265</v>
      </c>
      <c r="M24" s="244" t="n">
        <v>104</v>
      </c>
      <c r="N24" s="215" t="n">
        <f aca="false">1.8299*1.03</f>
        <v>1.884797</v>
      </c>
      <c r="O24" s="122" t="n">
        <f aca="false">(19+18)*1.05</f>
        <v>38.85</v>
      </c>
      <c r="P24" s="215" t="n">
        <v>0</v>
      </c>
      <c r="Q24" s="150" t="n">
        <f aca="false">1.68*1.02</f>
        <v>1.7136</v>
      </c>
      <c r="R24" s="324" t="n">
        <v>3.39</v>
      </c>
      <c r="S24" s="324" t="n">
        <v>0</v>
      </c>
      <c r="T24" s="381" t="n">
        <v>0</v>
      </c>
      <c r="U24" s="122" t="n">
        <v>75</v>
      </c>
      <c r="V24" s="122" t="n">
        <v>40</v>
      </c>
      <c r="W24" s="122" t="n">
        <f aca="false">M24-N24-O24-P24-Q24-R24-S24-T24+U24+V24+O24</f>
        <v>212.011603</v>
      </c>
      <c r="X24" s="95" t="n">
        <v>0</v>
      </c>
      <c r="Y24" s="95" t="n">
        <v>0</v>
      </c>
      <c r="Z24" s="95" t="n">
        <f aca="false">Z23-(W24-I24)-Q24-R24-AB24-(AP24/1.9835)</f>
        <v>-4450.26924212823</v>
      </c>
      <c r="AA24" s="122" t="n">
        <v>0</v>
      </c>
      <c r="AB24" s="123" t="n">
        <v>1.7</v>
      </c>
      <c r="AC24" s="124" t="n">
        <v>1.3</v>
      </c>
      <c r="AD24" s="464" t="n">
        <v>42</v>
      </c>
      <c r="AE24" s="353" t="n">
        <f aca="false">AE23-AD24</f>
        <v>6800.25787748929</v>
      </c>
      <c r="AF24" s="95"/>
      <c r="AG24" s="121" t="n">
        <f aca="false">N24+O24+P24+Q24+R24+S24+T24+W24+AA24+AD24-O24</f>
        <v>261</v>
      </c>
      <c r="AH24" s="122" t="n">
        <f aca="false">IF(L24&lt;0,L24*-1,0)</f>
        <v>23.2311570456265</v>
      </c>
      <c r="AI24" s="122" t="n">
        <f aca="false">AG24+AH24</f>
        <v>284.231157045626</v>
      </c>
      <c r="AJ24" s="337" t="n">
        <v>0</v>
      </c>
      <c r="AK24" s="133" t="n">
        <v>51</v>
      </c>
      <c r="AL24" s="222" t="n">
        <v>21</v>
      </c>
      <c r="AM24" s="133" t="n">
        <f aca="false">AM23</f>
        <v>13022.27255</v>
      </c>
      <c r="AN24" s="218"/>
      <c r="AO24" s="218"/>
      <c r="AP24" s="215" t="n">
        <f aca="false">20*(X23*1.9835+Y23*1.9835+Z23*1.9835)/E24</f>
        <v>-1.29192353447808</v>
      </c>
      <c r="AQ24" s="95"/>
      <c r="AR24" s="10"/>
      <c r="AS24" s="151" t="n">
        <f aca="false">O24</f>
        <v>38.85</v>
      </c>
    </row>
    <row r="25" customFormat="false" ht="12.95" hidden="false" customHeight="true" outlineLevel="0" collapsed="false">
      <c r="A25" s="155" t="n">
        <f aca="false">A24+1</f>
        <v>14</v>
      </c>
      <c r="B25" s="94" t="n">
        <v>6900.61</v>
      </c>
      <c r="C25" s="95" t="n">
        <v>285838</v>
      </c>
      <c r="D25" s="133" t="n">
        <f aca="false">C25-C24</f>
        <v>-259</v>
      </c>
      <c r="E25" s="95" t="n">
        <f aca="false">C25-152000</f>
        <v>133838</v>
      </c>
      <c r="F25" s="243" t="n">
        <f aca="false">D25/$D$2</f>
        <v>-130.577262414923</v>
      </c>
      <c r="G25" s="122" t="n">
        <v>122</v>
      </c>
      <c r="H25" s="517" t="n">
        <v>0</v>
      </c>
      <c r="I25" s="122" t="n">
        <f aca="false">G25+H25</f>
        <v>122</v>
      </c>
      <c r="J25" s="218" t="n">
        <f aca="false">IF(L25&gt;0,L25,0)</f>
        <v>0</v>
      </c>
      <c r="K25" s="122" t="n">
        <f aca="false">I25+J25</f>
        <v>122</v>
      </c>
      <c r="L25" s="122" t="n">
        <f aca="false">F25-(I25-AG25)</f>
        <v>-22.5772624149231</v>
      </c>
      <c r="M25" s="244" t="n">
        <v>80</v>
      </c>
      <c r="N25" s="215" t="n">
        <f aca="false">1.8299*1.03</f>
        <v>1.884797</v>
      </c>
      <c r="O25" s="122" t="n">
        <f aca="false">(24+25)*1.05</f>
        <v>51.45</v>
      </c>
      <c r="P25" s="215" t="n">
        <v>0</v>
      </c>
      <c r="Q25" s="150" t="n">
        <f aca="false">1.68*1.02</f>
        <v>1.7136</v>
      </c>
      <c r="R25" s="324" t="n">
        <v>3.68</v>
      </c>
      <c r="S25" s="324" t="n">
        <v>0</v>
      </c>
      <c r="T25" s="381" t="n">
        <v>0</v>
      </c>
      <c r="U25" s="122" t="n">
        <v>70</v>
      </c>
      <c r="V25" s="355" t="n">
        <v>39</v>
      </c>
      <c r="W25" s="122" t="n">
        <f aca="false">M25-N25-O25-P25-Q25-R25-S25-T25+U25+V25+O25</f>
        <v>181.721603</v>
      </c>
      <c r="X25" s="95" t="n">
        <v>0</v>
      </c>
      <c r="Y25" s="95" t="n">
        <v>0</v>
      </c>
      <c r="Z25" s="95" t="n">
        <f aca="false">Z24-(W25-I25)-Q25-R25-AB25-(AP25/1.9835)</f>
        <v>-4516.419421855</v>
      </c>
      <c r="AA25" s="122" t="n">
        <v>0</v>
      </c>
      <c r="AB25" s="123" t="n">
        <v>1.7</v>
      </c>
      <c r="AC25" s="124" t="n">
        <v>1.3</v>
      </c>
      <c r="AD25" s="464" t="n">
        <v>41</v>
      </c>
      <c r="AE25" s="353" t="n">
        <f aca="false">AE24-AD25</f>
        <v>6759.25787748929</v>
      </c>
      <c r="AF25" s="95"/>
      <c r="AG25" s="121" t="n">
        <f aca="false">N25+O25+P25+Q25+R25+S25+T25+W25+AA25+AD25-O25</f>
        <v>230</v>
      </c>
      <c r="AH25" s="122" t="n">
        <f aca="false">IF(L25&lt;0,L25*-1,0)</f>
        <v>22.5772624149231</v>
      </c>
      <c r="AI25" s="122" t="n">
        <f aca="false">AG25+AH25</f>
        <v>252.577262414923</v>
      </c>
      <c r="AJ25" s="337" t="n">
        <v>0</v>
      </c>
      <c r="AK25" s="223" t="n">
        <v>58</v>
      </c>
      <c r="AL25" s="222" t="n">
        <v>29</v>
      </c>
      <c r="AM25" s="133" t="n">
        <f aca="false">AM24</f>
        <v>13022.27255</v>
      </c>
      <c r="AN25" s="218"/>
      <c r="AO25" s="218"/>
      <c r="AP25" s="215" t="n">
        <f aca="false">20*(X24*1.9835+Y24*1.9835+Z24*1.9835)/E25</f>
        <v>-1.31907366245182</v>
      </c>
      <c r="AQ25" s="95"/>
      <c r="AR25" s="10"/>
      <c r="AS25" s="151" t="n">
        <f aca="false">O25</f>
        <v>51.45</v>
      </c>
    </row>
    <row r="26" customFormat="false" ht="12.95" hidden="false" customHeight="true" outlineLevel="0" collapsed="false">
      <c r="A26" s="155" t="n">
        <f aca="false">A25+1</f>
        <v>15</v>
      </c>
      <c r="B26" s="94" t="n">
        <v>6900.54</v>
      </c>
      <c r="C26" s="95" t="n">
        <v>285579</v>
      </c>
      <c r="D26" s="133" t="n">
        <f aca="false">C26-C25</f>
        <v>-259</v>
      </c>
      <c r="E26" s="95" t="n">
        <f aca="false">C26-152000</f>
        <v>133579</v>
      </c>
      <c r="F26" s="243" t="n">
        <f aca="false">D26/$D$2</f>
        <v>-130.577262414923</v>
      </c>
      <c r="G26" s="122" t="n">
        <v>95</v>
      </c>
      <c r="H26" s="517" t="n">
        <v>0</v>
      </c>
      <c r="I26" s="122" t="n">
        <f aca="false">G26+H26</f>
        <v>95</v>
      </c>
      <c r="J26" s="218" t="n">
        <f aca="false">IF(L26&gt;0,L26,0)</f>
        <v>0</v>
      </c>
      <c r="K26" s="122" t="n">
        <f aca="false">I26+J26</f>
        <v>95</v>
      </c>
      <c r="L26" s="122" t="n">
        <f aca="false">F26-(I26-AG26)</f>
        <v>-20.5772624149231</v>
      </c>
      <c r="M26" s="244" t="n">
        <v>76</v>
      </c>
      <c r="N26" s="215" t="n">
        <f aca="false">1.8299*1.03</f>
        <v>1.884797</v>
      </c>
      <c r="O26" s="122" t="n">
        <f aca="false">(18+16)*1.05</f>
        <v>35.7</v>
      </c>
      <c r="P26" s="215" t="n">
        <v>0</v>
      </c>
      <c r="Q26" s="150" t="n">
        <f aca="false">1.68*1.02</f>
        <v>1.7136</v>
      </c>
      <c r="R26" s="324" t="n">
        <v>3.43</v>
      </c>
      <c r="S26" s="324" t="n">
        <v>0</v>
      </c>
      <c r="T26" s="381" t="n">
        <v>0</v>
      </c>
      <c r="U26" s="122" t="n">
        <v>55</v>
      </c>
      <c r="V26" s="355" t="n">
        <v>33</v>
      </c>
      <c r="W26" s="122" t="n">
        <f aca="false">M26-N26-O26-P26-Q26-R26-S26-T26+U26+V26+O26</f>
        <v>156.971603</v>
      </c>
      <c r="X26" s="95" t="n">
        <v>0</v>
      </c>
      <c r="Y26" s="95" t="n">
        <v>0</v>
      </c>
      <c r="Z26" s="95" t="n">
        <f aca="false">Z25-(W26-I26)-Q26-R26-AB26-(AP26/1.9835)</f>
        <v>-4584.55840787152</v>
      </c>
      <c r="AA26" s="122" t="n">
        <v>0</v>
      </c>
      <c r="AB26" s="123" t="n">
        <v>1.7</v>
      </c>
      <c r="AC26" s="124" t="n">
        <v>1.3</v>
      </c>
      <c r="AD26" s="464" t="n">
        <v>41</v>
      </c>
      <c r="AE26" s="353" t="n">
        <f aca="false">AE25-AD26</f>
        <v>6718.25787748929</v>
      </c>
      <c r="AF26" s="95"/>
      <c r="AG26" s="121" t="n">
        <f aca="false">N26+O26+P26+Q26+R26+S26+T26+W26+AA26+AD26-O26</f>
        <v>205</v>
      </c>
      <c r="AH26" s="122" t="n">
        <f aca="false">IF(L26&lt;0,L26*-1,0)</f>
        <v>20.5772624149231</v>
      </c>
      <c r="AI26" s="122" t="n">
        <f aca="false">AG26+AH26</f>
        <v>225.577262414923</v>
      </c>
      <c r="AJ26" s="337" t="n">
        <v>0</v>
      </c>
      <c r="AK26" s="223" t="n">
        <v>62</v>
      </c>
      <c r="AL26" s="222" t="n">
        <v>29</v>
      </c>
      <c r="AM26" s="133" t="n">
        <f aca="false">AM25</f>
        <v>13022.27255</v>
      </c>
      <c r="AN26" s="218"/>
      <c r="AO26" s="218"/>
      <c r="AP26" s="215" t="n">
        <f aca="false">20*(X25*1.9835+Y25*1.9835+Z25*1.9835)/E26</f>
        <v>-1.34127638674483</v>
      </c>
      <c r="AQ26" s="95"/>
      <c r="AR26" s="10"/>
      <c r="AS26" s="151" t="n">
        <f aca="false">O26</f>
        <v>35.7</v>
      </c>
    </row>
    <row r="27" customFormat="false" ht="12.95" hidden="false" customHeight="true" outlineLevel="0" collapsed="false">
      <c r="A27" s="155" t="n">
        <f aca="false">A26+1</f>
        <v>16</v>
      </c>
      <c r="B27" s="94" t="n">
        <v>6900.52</v>
      </c>
      <c r="C27" s="95" t="n">
        <v>285505</v>
      </c>
      <c r="D27" s="133" t="n">
        <f aca="false">C27-C26</f>
        <v>-74</v>
      </c>
      <c r="E27" s="95" t="n">
        <f aca="false">C27-152000</f>
        <v>133505</v>
      </c>
      <c r="F27" s="243" t="n">
        <f aca="false">D27/$D$2</f>
        <v>-37.3077892614066</v>
      </c>
      <c r="G27" s="122" t="n">
        <v>78</v>
      </c>
      <c r="H27" s="517" t="n">
        <v>0</v>
      </c>
      <c r="I27" s="122" t="n">
        <f aca="false">G27+H27</f>
        <v>78</v>
      </c>
      <c r="J27" s="218" t="n">
        <f aca="false">IF(L27&gt;0,L27,0)</f>
        <v>0</v>
      </c>
      <c r="K27" s="122" t="n">
        <f aca="false">I27+J27</f>
        <v>78</v>
      </c>
      <c r="L27" s="122" t="n">
        <f aca="false">F27-(I27-AG27)</f>
        <v>-3.3077892614066</v>
      </c>
      <c r="M27" s="244" t="n">
        <v>72</v>
      </c>
      <c r="N27" s="215" t="n">
        <f aca="false">1.8299*1.03</f>
        <v>1.884797</v>
      </c>
      <c r="O27" s="122" t="n">
        <f aca="false">(29+24)*1.05</f>
        <v>55.65</v>
      </c>
      <c r="P27" s="215" t="n">
        <v>0</v>
      </c>
      <c r="Q27" s="150" t="n">
        <f aca="false">1.68*1.02</f>
        <v>1.7136</v>
      </c>
      <c r="R27" s="324" t="n">
        <v>3.13</v>
      </c>
      <c r="S27" s="324" t="n">
        <v>0</v>
      </c>
      <c r="T27" s="381" t="n">
        <v>0</v>
      </c>
      <c r="U27" s="122" t="n">
        <v>0</v>
      </c>
      <c r="V27" s="122" t="n">
        <v>0</v>
      </c>
      <c r="W27" s="122" t="n">
        <f aca="false">M27-N27-O27-P27-Q27-R27-S27-T27+U27+V27+O27</f>
        <v>65.271603</v>
      </c>
      <c r="X27" s="95" t="n">
        <v>0</v>
      </c>
      <c r="Y27" s="95" t="n">
        <v>0</v>
      </c>
      <c r="Z27" s="95" t="n">
        <f aca="false">Z26-(W27-I27)-Q27-R27-AB27-(AP27/1.9835)</f>
        <v>-4577.6868113647</v>
      </c>
      <c r="AA27" s="122" t="n">
        <v>0</v>
      </c>
      <c r="AB27" s="123" t="n">
        <v>1.7</v>
      </c>
      <c r="AC27" s="124" t="n">
        <v>1.3</v>
      </c>
      <c r="AD27" s="464" t="n">
        <v>40</v>
      </c>
      <c r="AE27" s="353" t="n">
        <f aca="false">AE26-AD27</f>
        <v>6678.25787748929</v>
      </c>
      <c r="AF27" s="95"/>
      <c r="AG27" s="121" t="n">
        <f aca="false">N27+O27+P27+Q27+R27+S27+T27+W27+AA27+AD27-O27</f>
        <v>112</v>
      </c>
      <c r="AH27" s="122" t="n">
        <f aca="false">IF(L27&lt;0,L27*-1,0)</f>
        <v>3.3077892614066</v>
      </c>
      <c r="AI27" s="122" t="n">
        <f aca="false">AG27+AH27</f>
        <v>115.307789261407</v>
      </c>
      <c r="AJ27" s="337" t="n">
        <v>0</v>
      </c>
      <c r="AK27" s="223" t="n">
        <v>65</v>
      </c>
      <c r="AL27" s="222" t="n">
        <v>32</v>
      </c>
      <c r="AM27" s="133" t="n">
        <f aca="false">AM26</f>
        <v>13022.27255</v>
      </c>
      <c r="AN27" s="218"/>
      <c r="AO27" s="218"/>
      <c r="AP27" s="215" t="n">
        <f aca="false">20*(X26*1.9835+Y26*1.9835+Z26*1.9835)/E27</f>
        <v>-1.36226682176895</v>
      </c>
      <c r="AQ27" s="95"/>
      <c r="AR27" s="10"/>
      <c r="AS27" s="151" t="n">
        <f aca="false">O27</f>
        <v>55.65</v>
      </c>
    </row>
    <row r="28" customFormat="false" ht="12.95" hidden="false" customHeight="true" outlineLevel="0" collapsed="false">
      <c r="A28" s="155" t="n">
        <f aca="false">A27+1</f>
        <v>17</v>
      </c>
      <c r="B28" s="94" t="n">
        <v>6900.51</v>
      </c>
      <c r="C28" s="95" t="n">
        <v>285468</v>
      </c>
      <c r="D28" s="133" t="n">
        <f aca="false">C28-C27</f>
        <v>-37</v>
      </c>
      <c r="E28" s="95" t="n">
        <f aca="false">C28-152000</f>
        <v>133468</v>
      </c>
      <c r="F28" s="243" t="n">
        <f aca="false">D28/$D$2</f>
        <v>-18.6538946307033</v>
      </c>
      <c r="G28" s="122" t="n">
        <v>76</v>
      </c>
      <c r="H28" s="517" t="n">
        <v>0</v>
      </c>
      <c r="I28" s="122" t="n">
        <f aca="false">G28+H28</f>
        <v>76</v>
      </c>
      <c r="J28" s="218" t="n">
        <f aca="false">IF(L28&gt;0,L28,0)</f>
        <v>0</v>
      </c>
      <c r="K28" s="122" t="n">
        <f aca="false">I28+J28</f>
        <v>76</v>
      </c>
      <c r="L28" s="122" t="n">
        <f aca="false">F28-(I28-AG28)</f>
        <v>-9.6538946307033</v>
      </c>
      <c r="M28" s="244" t="n">
        <v>45</v>
      </c>
      <c r="N28" s="215" t="n">
        <f aca="false">1.8299*1.03</f>
        <v>1.884797</v>
      </c>
      <c r="O28" s="122" t="n">
        <f aca="false">(17+13)*1.05</f>
        <v>31.5</v>
      </c>
      <c r="P28" s="215" t="n">
        <v>0</v>
      </c>
      <c r="Q28" s="150" t="n">
        <f aca="false">1.68*1.02</f>
        <v>1.7136</v>
      </c>
      <c r="R28" s="324" t="n">
        <v>3.99</v>
      </c>
      <c r="S28" s="324" t="n">
        <v>0</v>
      </c>
      <c r="T28" s="381" t="n">
        <v>0</v>
      </c>
      <c r="U28" s="122" t="n">
        <v>0</v>
      </c>
      <c r="V28" s="122" t="n">
        <v>0</v>
      </c>
      <c r="W28" s="122" t="n">
        <f aca="false">M28-N28-O28-P28-Q28-R28-S28-T28+U28+V28+O28</f>
        <v>37.411603</v>
      </c>
      <c r="X28" s="95" t="n">
        <v>0</v>
      </c>
      <c r="Y28" s="95" t="n">
        <v>0</v>
      </c>
      <c r="Z28" s="95" t="n">
        <f aca="false">Z27-(W28-I28)-Q28-R28-AB28-(AP28/1.9835)</f>
        <v>-4545.8160541628</v>
      </c>
      <c r="AA28" s="122" t="n">
        <v>0</v>
      </c>
      <c r="AB28" s="123" t="n">
        <v>1.7</v>
      </c>
      <c r="AC28" s="124" t="n">
        <v>1.3</v>
      </c>
      <c r="AD28" s="464" t="n">
        <v>40</v>
      </c>
      <c r="AE28" s="353" t="n">
        <f aca="false">AE27-AD28</f>
        <v>6638.25787748929</v>
      </c>
      <c r="AF28" s="95"/>
      <c r="AG28" s="121" t="n">
        <f aca="false">N28+O28+P28+Q28+R28+S28+T28+W28+AA28+AD28-O28</f>
        <v>85</v>
      </c>
      <c r="AH28" s="122" t="n">
        <f aca="false">IF(L28&lt;0,L28*-1,0)</f>
        <v>9.6538946307033</v>
      </c>
      <c r="AI28" s="122" t="n">
        <f aca="false">AG28+AH28</f>
        <v>94.6538946307033</v>
      </c>
      <c r="AJ28" s="337" t="n">
        <v>0</v>
      </c>
      <c r="AK28" s="223" t="n">
        <v>69</v>
      </c>
      <c r="AL28" s="222" t="n">
        <v>35</v>
      </c>
      <c r="AM28" s="133" t="n">
        <f aca="false">AM27</f>
        <v>13022.27255</v>
      </c>
      <c r="AN28" s="218"/>
      <c r="AO28" s="218"/>
      <c r="AP28" s="215" t="n">
        <f aca="false">20*(X27*1.9835+Y27*1.9835+Z27*1.9835)/E28</f>
        <v>-1.36060206047021</v>
      </c>
      <c r="AQ28" s="95"/>
      <c r="AR28" s="10"/>
      <c r="AS28" s="151" t="n">
        <f aca="false">O28</f>
        <v>31.5</v>
      </c>
    </row>
    <row r="29" customFormat="false" ht="12.95" hidden="false" customHeight="true" outlineLevel="0" collapsed="false">
      <c r="A29" s="155" t="n">
        <f aca="false">A28+1</f>
        <v>18</v>
      </c>
      <c r="B29" s="94" t="n">
        <v>6900.5</v>
      </c>
      <c r="C29" s="95" t="n">
        <v>285431</v>
      </c>
      <c r="D29" s="133" t="n">
        <f aca="false">C29-C28</f>
        <v>-37</v>
      </c>
      <c r="E29" s="95" t="n">
        <f aca="false">C29-152000</f>
        <v>133431</v>
      </c>
      <c r="F29" s="243" t="n">
        <f aca="false">D29/$D$2</f>
        <v>-18.6538946307033</v>
      </c>
      <c r="G29" s="122" t="n">
        <v>75</v>
      </c>
      <c r="H29" s="517" t="n">
        <v>0</v>
      </c>
      <c r="I29" s="122" t="n">
        <f aca="false">G29+H29</f>
        <v>75</v>
      </c>
      <c r="J29" s="218" t="n">
        <f aca="false">IF(L29&gt;0,L29,0)</f>
        <v>0</v>
      </c>
      <c r="K29" s="122" t="n">
        <f aca="false">I29+J29</f>
        <v>75</v>
      </c>
      <c r="L29" s="122" t="n">
        <f aca="false">F29-(I29-AG29)</f>
        <v>-42.6538946307033</v>
      </c>
      <c r="M29" s="244" t="n">
        <v>11</v>
      </c>
      <c r="N29" s="215" t="n">
        <f aca="false">1.8299*1.03</f>
        <v>1.884797</v>
      </c>
      <c r="O29" s="122" t="n">
        <f aca="false">(0.9+1.2)*1.05</f>
        <v>2.205</v>
      </c>
      <c r="P29" s="215" t="n">
        <v>0</v>
      </c>
      <c r="Q29" s="150" t="n">
        <f aca="false">1.68*1.02</f>
        <v>1.7136</v>
      </c>
      <c r="R29" s="324" t="n">
        <v>4.2</v>
      </c>
      <c r="S29" s="324" t="n">
        <v>0.01</v>
      </c>
      <c r="T29" s="381" t="n">
        <v>0</v>
      </c>
      <c r="U29" s="122" t="n">
        <v>0</v>
      </c>
      <c r="V29" s="122" t="n">
        <v>0</v>
      </c>
      <c r="W29" s="122" t="n">
        <f aca="false">M29-N29-O29-P29-Q29-R29-S29-T29+U29+V29+O29</f>
        <v>3.191603</v>
      </c>
      <c r="X29" s="95" t="n">
        <v>0</v>
      </c>
      <c r="Y29" s="95" t="n">
        <v>0</v>
      </c>
      <c r="Z29" s="95" t="n">
        <f aca="false">Z28-(W29-I29)-Q29-R29-AB29-(AP29/1.9835)</f>
        <v>-4480.93988386062</v>
      </c>
      <c r="AA29" s="122" t="n">
        <v>0</v>
      </c>
      <c r="AB29" s="123" t="n">
        <v>1.7</v>
      </c>
      <c r="AC29" s="124" t="n">
        <v>1.3</v>
      </c>
      <c r="AD29" s="464" t="n">
        <v>40</v>
      </c>
      <c r="AE29" s="353" t="n">
        <f aca="false">AE28-AD29</f>
        <v>6598.25787748929</v>
      </c>
      <c r="AF29" s="95"/>
      <c r="AG29" s="121" t="n">
        <f aca="false">N29+O29+P29+Q29+R29+S29+T29+W29+AA29+AD29-O29</f>
        <v>51</v>
      </c>
      <c r="AH29" s="122" t="n">
        <f aca="false">IF(L29&lt;0,L29*-1,0)</f>
        <v>42.6538946307033</v>
      </c>
      <c r="AI29" s="122" t="n">
        <f aca="false">AG29+AH29</f>
        <v>93.6538946307033</v>
      </c>
      <c r="AJ29" s="337" t="n">
        <v>0</v>
      </c>
      <c r="AK29" s="223" t="n">
        <v>71</v>
      </c>
      <c r="AL29" s="222" t="n">
        <v>37</v>
      </c>
      <c r="AM29" s="133" t="n">
        <f aca="false">AM28</f>
        <v>13022.27255</v>
      </c>
      <c r="AN29" s="218"/>
      <c r="AO29" s="218"/>
      <c r="AP29" s="215" t="n">
        <f aca="false">20*(X28*1.9835+Y28*1.9835+Z28*1.9835)/E29</f>
        <v>-1.35150394487517</v>
      </c>
      <c r="AQ29" s="95"/>
      <c r="AR29" s="10"/>
      <c r="AS29" s="151" t="n">
        <f aca="false">O29</f>
        <v>2.205</v>
      </c>
    </row>
    <row r="30" customFormat="false" ht="12.95" hidden="false" customHeight="true" outlineLevel="0" collapsed="false">
      <c r="A30" s="155" t="n">
        <f aca="false">A29+1</f>
        <v>19</v>
      </c>
      <c r="B30" s="94" t="n">
        <v>6900.5</v>
      </c>
      <c r="C30" s="95" t="n">
        <v>285431</v>
      </c>
      <c r="D30" s="133" t="n">
        <f aca="false">C30-C29</f>
        <v>0</v>
      </c>
      <c r="E30" s="95" t="n">
        <f aca="false">C30-152000</f>
        <v>133431</v>
      </c>
      <c r="F30" s="243" t="n">
        <f aca="false">D30/$D$2</f>
        <v>0</v>
      </c>
      <c r="G30" s="122" t="n">
        <v>76</v>
      </c>
      <c r="H30" s="517" t="n">
        <v>0</v>
      </c>
      <c r="I30" s="122" t="n">
        <f aca="false">G30+H30</f>
        <v>76</v>
      </c>
      <c r="J30" s="218" t="n">
        <f aca="false">IF(L30&gt;0,L30,0)</f>
        <v>0</v>
      </c>
      <c r="K30" s="122" t="n">
        <f aca="false">I30+J30</f>
        <v>76</v>
      </c>
      <c r="L30" s="122" t="n">
        <f aca="false">F30-(I30-AG30)</f>
        <v>-27.1</v>
      </c>
      <c r="M30" s="244" t="n">
        <v>8.9</v>
      </c>
      <c r="N30" s="215" t="n">
        <f aca="false">1.8299*1.03</f>
        <v>1.884797</v>
      </c>
      <c r="O30" s="122" t="n">
        <f aca="false">(1.1+0.29)*1.05</f>
        <v>1.4595</v>
      </c>
      <c r="P30" s="215" t="n">
        <v>0</v>
      </c>
      <c r="Q30" s="150" t="n">
        <f aca="false">1.68*1.02</f>
        <v>1.7136</v>
      </c>
      <c r="R30" s="324" t="n">
        <v>3.64</v>
      </c>
      <c r="S30" s="324" t="n">
        <v>0</v>
      </c>
      <c r="T30" s="381" t="n">
        <v>0</v>
      </c>
      <c r="U30" s="122" t="n">
        <v>0</v>
      </c>
      <c r="V30" s="122" t="n">
        <v>0</v>
      </c>
      <c r="W30" s="122" t="n">
        <f aca="false">M30-N30-O30-P30-Q30-R30-S30-T30+U30+V30+O30</f>
        <v>1.661603</v>
      </c>
      <c r="X30" s="95" t="n">
        <v>0</v>
      </c>
      <c r="Y30" s="95" t="n">
        <v>0</v>
      </c>
      <c r="Z30" s="95" t="n">
        <f aca="false">Z29-(W30-I30)-Q30-R30-AB30-(AP30/1.9835)</f>
        <v>-4412.98343786093</v>
      </c>
      <c r="AA30" s="122" t="n">
        <v>0</v>
      </c>
      <c r="AB30" s="123" t="n">
        <v>1.7</v>
      </c>
      <c r="AC30" s="124" t="n">
        <v>1.3</v>
      </c>
      <c r="AD30" s="464" t="n">
        <v>40</v>
      </c>
      <c r="AE30" s="353" t="n">
        <f aca="false">AE29-AD30</f>
        <v>6558.25787748929</v>
      </c>
      <c r="AF30" s="95"/>
      <c r="AG30" s="121" t="n">
        <f aca="false">N30+O30+P30+Q30+R30+S30+T30+W30+AA30+AD30-O30</f>
        <v>48.9</v>
      </c>
      <c r="AH30" s="122" t="n">
        <f aca="false">IF(L30&lt;0,L30*-1,0)</f>
        <v>27.1</v>
      </c>
      <c r="AI30" s="122" t="n">
        <f aca="false">AG30+AH30</f>
        <v>76</v>
      </c>
      <c r="AJ30" s="337" t="n">
        <v>0</v>
      </c>
      <c r="AK30" s="223" t="n">
        <v>67</v>
      </c>
      <c r="AL30" s="222" t="n">
        <v>36</v>
      </c>
      <c r="AM30" s="133" t="n">
        <f aca="false">AM29</f>
        <v>13022.27255</v>
      </c>
      <c r="AN30" s="218"/>
      <c r="AO30" s="218"/>
      <c r="AP30" s="215" t="n">
        <f aca="false">20*(X29*1.9835+Y29*1.9835+Z29*1.9835)/E30</f>
        <v>-1.33221579087881</v>
      </c>
      <c r="AQ30" s="95"/>
      <c r="AR30" s="10"/>
      <c r="AS30" s="151" t="n">
        <f aca="false">O30</f>
        <v>1.4595</v>
      </c>
    </row>
    <row r="31" customFormat="false" ht="12.95" hidden="false" customHeight="true" outlineLevel="0" collapsed="false">
      <c r="A31" s="155" t="n">
        <f aca="false">A30+1</f>
        <v>20</v>
      </c>
      <c r="B31" s="94" t="n">
        <v>6900.48</v>
      </c>
      <c r="C31" s="95" t="n">
        <v>285357</v>
      </c>
      <c r="D31" s="133" t="n">
        <f aca="false">C31-C30</f>
        <v>-74</v>
      </c>
      <c r="E31" s="95" t="n">
        <f aca="false">C31-152000</f>
        <v>133357</v>
      </c>
      <c r="F31" s="243" t="n">
        <f aca="false">D31/$D$2</f>
        <v>-37.3077892614066</v>
      </c>
      <c r="G31" s="122" t="n">
        <v>75</v>
      </c>
      <c r="H31" s="517" t="n">
        <v>0</v>
      </c>
      <c r="I31" s="122" t="n">
        <f aca="false">G31+H31</f>
        <v>75</v>
      </c>
      <c r="J31" s="218" t="n">
        <f aca="false">IF(L31&gt;0,L31,0)</f>
        <v>0</v>
      </c>
      <c r="K31" s="122" t="n">
        <f aca="false">I31+J31</f>
        <v>75</v>
      </c>
      <c r="L31" s="122" t="n">
        <f aca="false">F31-(I31-AG31)</f>
        <v>-8.3077892614066</v>
      </c>
      <c r="M31" s="244" t="n">
        <v>64</v>
      </c>
      <c r="N31" s="215" t="n">
        <f aca="false">1.8299*1.03</f>
        <v>1.884797</v>
      </c>
      <c r="O31" s="122" t="n">
        <f aca="false">(19+18)*1.05</f>
        <v>38.85</v>
      </c>
      <c r="P31" s="215" t="n">
        <v>0</v>
      </c>
      <c r="Q31" s="150" t="n">
        <f aca="false">1.68*1.02</f>
        <v>1.7136</v>
      </c>
      <c r="R31" s="324" t="n">
        <v>3.44</v>
      </c>
      <c r="S31" s="324" t="n">
        <v>0</v>
      </c>
      <c r="T31" s="381" t="n">
        <v>0</v>
      </c>
      <c r="U31" s="122" t="n">
        <v>0</v>
      </c>
      <c r="V31" s="122" t="n">
        <v>0</v>
      </c>
      <c r="W31" s="122" t="n">
        <f aca="false">M31-N31-O31-P31-Q31-R31-S31-T31+U31+V31+O31</f>
        <v>56.961603</v>
      </c>
      <c r="X31" s="95" t="n">
        <v>0</v>
      </c>
      <c r="Y31" s="95" t="n">
        <v>0</v>
      </c>
      <c r="Z31" s="95" t="n">
        <f aca="false">Z30-(W31-I31)-Q31-R31-AB31-(AP31/1.9835)</f>
        <v>-4401.13681082008</v>
      </c>
      <c r="AA31" s="122" t="n">
        <v>0</v>
      </c>
      <c r="AB31" s="123" t="n">
        <v>1.7</v>
      </c>
      <c r="AC31" s="124" t="n">
        <v>1.3</v>
      </c>
      <c r="AD31" s="464" t="n">
        <v>40</v>
      </c>
      <c r="AE31" s="353" t="n">
        <f aca="false">AE30-AD31</f>
        <v>6518.25787748929</v>
      </c>
      <c r="AF31" s="95"/>
      <c r="AG31" s="121" t="n">
        <f aca="false">N31+O31+P31+Q31+R31+S31+T31+W31+AA31+AD31-O31</f>
        <v>104</v>
      </c>
      <c r="AH31" s="122" t="n">
        <f aca="false">IF(L31&lt;0,L31*-1,0)</f>
        <v>8.3077892614066</v>
      </c>
      <c r="AI31" s="122" t="n">
        <f aca="false">AG31+AH31</f>
        <v>112.307789261407</v>
      </c>
      <c r="AJ31" s="337" t="n">
        <v>0</v>
      </c>
      <c r="AK31" s="223" t="n">
        <v>66</v>
      </c>
      <c r="AL31" s="222" t="n">
        <v>42</v>
      </c>
      <c r="AM31" s="133" t="n">
        <f aca="false">AM30</f>
        <v>13022.27255</v>
      </c>
      <c r="AN31" s="218"/>
      <c r="AO31" s="218"/>
      <c r="AP31" s="215" t="n">
        <f aca="false">20*(X30*1.9835+Y30*1.9835+Z30*1.9835)/E31</f>
        <v>-1.31273988601981</v>
      </c>
      <c r="AQ31" s="95"/>
      <c r="AR31" s="10"/>
      <c r="AS31" s="151" t="n">
        <f aca="false">O31</f>
        <v>38.85</v>
      </c>
    </row>
    <row r="32" customFormat="false" ht="12.95" hidden="false" customHeight="true" outlineLevel="0" collapsed="false">
      <c r="A32" s="155" t="n">
        <f aca="false">A31+1</f>
        <v>21</v>
      </c>
      <c r="B32" s="94" t="n">
        <v>6900.46</v>
      </c>
      <c r="C32" s="95" t="n">
        <v>285283</v>
      </c>
      <c r="D32" s="133" t="n">
        <f aca="false">C32-C31</f>
        <v>-74</v>
      </c>
      <c r="E32" s="95" t="n">
        <f aca="false">C32-152000</f>
        <v>133283</v>
      </c>
      <c r="F32" s="243" t="n">
        <f aca="false">D32/$D$2</f>
        <v>-37.3077892614066</v>
      </c>
      <c r="G32" s="122" t="n">
        <v>73</v>
      </c>
      <c r="H32" s="517" t="n">
        <v>0</v>
      </c>
      <c r="I32" s="122" t="n">
        <f aca="false">G32+H32</f>
        <v>73</v>
      </c>
      <c r="J32" s="218" t="n">
        <f aca="false">IF(L32&gt;0,L32,0)</f>
        <v>0</v>
      </c>
      <c r="K32" s="122" t="n">
        <f aca="false">I32+J32</f>
        <v>73</v>
      </c>
      <c r="L32" s="122" t="n">
        <f aca="false">F32-(I32-AG32)</f>
        <v>-20.3077892614066</v>
      </c>
      <c r="M32" s="244" t="n">
        <v>50</v>
      </c>
      <c r="N32" s="215" t="n">
        <f aca="false">1.8299*1.03</f>
        <v>1.884797</v>
      </c>
      <c r="O32" s="122" t="n">
        <f aca="false">(27+24)*1.05</f>
        <v>53.55</v>
      </c>
      <c r="P32" s="215" t="n">
        <v>0</v>
      </c>
      <c r="Q32" s="150" t="n">
        <f aca="false">1.68*1.02</f>
        <v>1.7136</v>
      </c>
      <c r="R32" s="324" t="n">
        <v>3.44</v>
      </c>
      <c r="S32" s="324" t="n">
        <v>0</v>
      </c>
      <c r="T32" s="381" t="n">
        <v>0</v>
      </c>
      <c r="U32" s="122" t="n">
        <v>0</v>
      </c>
      <c r="V32" s="122" t="n">
        <v>0</v>
      </c>
      <c r="W32" s="122" t="n">
        <f aca="false">M32-N32-O32-P32-Q32-R32-S32-T32+U32+V32+O32</f>
        <v>42.961603</v>
      </c>
      <c r="X32" s="95" t="n">
        <v>0</v>
      </c>
      <c r="Y32" s="95" t="n">
        <v>0</v>
      </c>
      <c r="Z32" s="95" t="n">
        <f aca="false">Z31-(W32-I32)-Q32-R32-AB32-(AP32/1.9835)</f>
        <v>-4377.29159398997</v>
      </c>
      <c r="AA32" s="122" t="n">
        <v>0</v>
      </c>
      <c r="AB32" s="123" t="n">
        <v>1.7</v>
      </c>
      <c r="AC32" s="124" t="n">
        <v>1.3</v>
      </c>
      <c r="AD32" s="464" t="n">
        <v>40</v>
      </c>
      <c r="AE32" s="353" t="n">
        <f aca="false">AE31-AD32</f>
        <v>6478.25787748929</v>
      </c>
      <c r="AF32" s="95"/>
      <c r="AG32" s="121" t="n">
        <f aca="false">N32+O32+P32+Q32+R32+S32+T32+W32+AA32+AD32-O32</f>
        <v>90</v>
      </c>
      <c r="AH32" s="122" t="n">
        <f aca="false">IF(L32&lt;0,L32*-1,0)</f>
        <v>20.3077892614066</v>
      </c>
      <c r="AI32" s="122" t="n">
        <f aca="false">AG32+AH32</f>
        <v>110.307789261407</v>
      </c>
      <c r="AJ32" s="337" t="n">
        <v>0</v>
      </c>
      <c r="AK32" s="133" t="n">
        <v>66</v>
      </c>
      <c r="AL32" s="222" t="n">
        <v>29</v>
      </c>
      <c r="AM32" s="133" t="n">
        <f aca="false">AM31</f>
        <v>13022.27255</v>
      </c>
      <c r="AN32" s="218"/>
      <c r="AO32" s="218"/>
      <c r="AP32" s="215" t="n">
        <f aca="false">20*(X31*1.9835+Y31*1.9835+Z31*1.9835)/E32</f>
        <v>-1.30994273302096</v>
      </c>
      <c r="AQ32" s="95"/>
      <c r="AR32" s="10"/>
      <c r="AS32" s="151" t="n">
        <f aca="false">O32</f>
        <v>53.55</v>
      </c>
    </row>
    <row r="33" customFormat="false" ht="12.95" hidden="false" customHeight="true" outlineLevel="0" collapsed="false">
      <c r="A33" s="155" t="n">
        <f aca="false">A32+1</f>
        <v>22</v>
      </c>
      <c r="B33" s="94" t="n">
        <v>6900.44</v>
      </c>
      <c r="C33" s="95" t="n">
        <v>285209</v>
      </c>
      <c r="D33" s="133" t="n">
        <f aca="false">C33-C32</f>
        <v>-74</v>
      </c>
      <c r="E33" s="95" t="n">
        <f aca="false">C33-152000</f>
        <v>133209</v>
      </c>
      <c r="F33" s="243" t="n">
        <f aca="false">D33/$D$2</f>
        <v>-37.3077892614066</v>
      </c>
      <c r="G33" s="122" t="n">
        <v>73</v>
      </c>
      <c r="H33" s="517" t="n">
        <v>0</v>
      </c>
      <c r="I33" s="122" t="n">
        <f aca="false">G33+H33</f>
        <v>73</v>
      </c>
      <c r="J33" s="218" t="n">
        <f aca="false">IF(L33&gt;0,L33,0)</f>
        <v>0</v>
      </c>
      <c r="K33" s="122" t="n">
        <f aca="false">I33+J33</f>
        <v>73</v>
      </c>
      <c r="L33" s="122" t="n">
        <f aca="false">F33-(I33-AG33)</f>
        <v>-45.3077892614066</v>
      </c>
      <c r="M33" s="244" t="n">
        <v>25</v>
      </c>
      <c r="N33" s="215" t="n">
        <f aca="false">1.8299*1.03</f>
        <v>1.884797</v>
      </c>
      <c r="O33" s="122" t="n">
        <f aca="false">(16+15)*1.05</f>
        <v>32.55</v>
      </c>
      <c r="P33" s="215" t="n">
        <v>0</v>
      </c>
      <c r="Q33" s="150" t="n">
        <f aca="false">1.68*1.02</f>
        <v>1.7136</v>
      </c>
      <c r="R33" s="324" t="n">
        <v>2.64</v>
      </c>
      <c r="S33" s="324" t="n">
        <v>0</v>
      </c>
      <c r="T33" s="381" t="n">
        <v>0</v>
      </c>
      <c r="U33" s="122" t="n">
        <v>0</v>
      </c>
      <c r="V33" s="122" t="n">
        <v>0</v>
      </c>
      <c r="W33" s="122" t="n">
        <f aca="false">M33-N33-O33-P33-Q33-R33-S33-T33+U33+V33+O33</f>
        <v>18.761603</v>
      </c>
      <c r="X33" s="95" t="n">
        <v>0</v>
      </c>
      <c r="Y33" s="95" t="n">
        <v>0</v>
      </c>
      <c r="Z33" s="95" t="n">
        <f aca="false">Z32-(W33-I33)-Q33-R33-AB33-(AP33/1.9835)</f>
        <v>-4328.44959040574</v>
      </c>
      <c r="AA33" s="122" t="n">
        <v>0</v>
      </c>
      <c r="AB33" s="123" t="n">
        <v>1.7</v>
      </c>
      <c r="AC33" s="124" t="n">
        <v>1.3</v>
      </c>
      <c r="AD33" s="464" t="n">
        <v>40</v>
      </c>
      <c r="AE33" s="353" t="n">
        <f aca="false">AE32-AD33</f>
        <v>6438.25787748929</v>
      </c>
      <c r="AF33" s="95"/>
      <c r="AG33" s="121" t="n">
        <f aca="false">N33+O33+P33+Q33+R33+S33+T33+W33+AA33+AD33-O33</f>
        <v>65</v>
      </c>
      <c r="AH33" s="122" t="n">
        <f aca="false">IF(L33&lt;0,L33*-1,0)</f>
        <v>45.3077892614066</v>
      </c>
      <c r="AI33" s="122" t="n">
        <f aca="false">AG33+AH33</f>
        <v>110.307789261407</v>
      </c>
      <c r="AJ33" s="337" t="n">
        <v>0</v>
      </c>
      <c r="AK33" s="133" t="n">
        <v>46</v>
      </c>
      <c r="AL33" s="222" t="n">
        <v>27</v>
      </c>
      <c r="AM33" s="133" t="n">
        <f aca="false">AM32</f>
        <v>13022.27255</v>
      </c>
      <c r="AN33" s="218"/>
      <c r="AO33" s="218"/>
      <c r="AP33" s="215" t="n">
        <f aca="false">20*(X32*1.9835+Y32*1.9835+Z32*1.9835)/E33</f>
        <v>-1.30356925983666</v>
      </c>
      <c r="AQ33" s="95"/>
      <c r="AR33" s="10"/>
      <c r="AS33" s="151" t="n">
        <f aca="false">O33</f>
        <v>32.55</v>
      </c>
    </row>
    <row r="34" customFormat="false" ht="12.95" hidden="false" customHeight="true" outlineLevel="0" collapsed="false">
      <c r="A34" s="155" t="n">
        <f aca="false">A33+1</f>
        <v>23</v>
      </c>
      <c r="B34" s="94" t="n">
        <v>6900.41</v>
      </c>
      <c r="C34" s="95" t="n">
        <v>285098</v>
      </c>
      <c r="D34" s="133" t="n">
        <f aca="false">C34-C33</f>
        <v>-111</v>
      </c>
      <c r="E34" s="95" t="n">
        <f aca="false">C34-152000</f>
        <v>133098</v>
      </c>
      <c r="F34" s="243" t="n">
        <f aca="false">D34/$D$2</f>
        <v>-55.9616838921099</v>
      </c>
      <c r="G34" s="122" t="n">
        <v>59</v>
      </c>
      <c r="H34" s="517" t="n">
        <v>0</v>
      </c>
      <c r="I34" s="122" t="n">
        <f aca="false">G34+H34</f>
        <v>59</v>
      </c>
      <c r="J34" s="218" t="n">
        <f aca="false">IF(L34&gt;0,L34,0)</f>
        <v>0</v>
      </c>
      <c r="K34" s="122" t="n">
        <f aca="false">I34+J34</f>
        <v>59</v>
      </c>
      <c r="L34" s="122" t="n">
        <f aca="false">F34-(I34-AG34)</f>
        <v>-22.9616838921099</v>
      </c>
      <c r="M34" s="244" t="n">
        <v>52</v>
      </c>
      <c r="N34" s="215" t="n">
        <f aca="false">1.8299*1.03</f>
        <v>1.884797</v>
      </c>
      <c r="O34" s="122" t="n">
        <f aca="false">(21+19)*1.05</f>
        <v>42</v>
      </c>
      <c r="P34" s="215" t="n">
        <v>0</v>
      </c>
      <c r="Q34" s="150" t="n">
        <f aca="false">1.68*1.02</f>
        <v>1.7136</v>
      </c>
      <c r="R34" s="324" t="n">
        <v>2.57</v>
      </c>
      <c r="S34" s="324" t="n">
        <v>0</v>
      </c>
      <c r="T34" s="381" t="n">
        <v>0</v>
      </c>
      <c r="U34" s="122" t="n">
        <v>0</v>
      </c>
      <c r="V34" s="122" t="n">
        <v>0</v>
      </c>
      <c r="W34" s="122" t="n">
        <f aca="false">M34-N34-O34-P34-Q34-R34-S34-T34+U34+V34+O34</f>
        <v>45.831603</v>
      </c>
      <c r="X34" s="95" t="n">
        <v>0</v>
      </c>
      <c r="Y34" s="95" t="n">
        <v>0</v>
      </c>
      <c r="Z34" s="95" t="n">
        <f aca="false">Z33-(W34-I34)-Q34-R34-AB34-(AP34/1.9835)</f>
        <v>-4320.61437798395</v>
      </c>
      <c r="AA34" s="122" t="n">
        <v>0</v>
      </c>
      <c r="AB34" s="123" t="n">
        <v>1.7</v>
      </c>
      <c r="AC34" s="124" t="n">
        <v>1.3</v>
      </c>
      <c r="AD34" s="464" t="n">
        <v>40</v>
      </c>
      <c r="AE34" s="353" t="n">
        <f aca="false">AE33-AD34</f>
        <v>6398.25787748929</v>
      </c>
      <c r="AF34" s="95"/>
      <c r="AG34" s="121" t="n">
        <f aca="false">N34+O34+P34+Q34+R34+S34+T34+W34+AA34+AD34-O34</f>
        <v>92</v>
      </c>
      <c r="AH34" s="122" t="n">
        <f aca="false">IF(L34&lt;0,L34*-1,0)</f>
        <v>22.9616838921099</v>
      </c>
      <c r="AI34" s="122" t="n">
        <f aca="false">AG34+AH34</f>
        <v>114.96168389211</v>
      </c>
      <c r="AJ34" s="337" t="n">
        <v>0</v>
      </c>
      <c r="AK34" s="133" t="n">
        <v>59</v>
      </c>
      <c r="AL34" s="246" t="n">
        <v>24</v>
      </c>
      <c r="AM34" s="133" t="n">
        <f aca="false">AM33</f>
        <v>13022.27255</v>
      </c>
      <c r="AN34" s="218"/>
      <c r="AO34" s="218"/>
      <c r="AP34" s="215" t="n">
        <f aca="false">20*(X33*1.9835+Y33*1.9835+Z33*1.9835)/E34</f>
        <v>-1.29009898910123</v>
      </c>
      <c r="AQ34" s="95"/>
      <c r="AR34" s="10"/>
      <c r="AS34" s="151" t="n">
        <f aca="false">O34</f>
        <v>42</v>
      </c>
    </row>
    <row r="35" customFormat="false" ht="12.95" hidden="false" customHeight="true" outlineLevel="0" collapsed="false">
      <c r="A35" s="155" t="n">
        <f aca="false">A34+1</f>
        <v>24</v>
      </c>
      <c r="B35" s="94" t="n">
        <v>6900.39</v>
      </c>
      <c r="C35" s="95" t="n">
        <v>285024</v>
      </c>
      <c r="D35" s="133" t="n">
        <f aca="false">C35-C34</f>
        <v>-74</v>
      </c>
      <c r="E35" s="95" t="n">
        <f aca="false">C35-152000</f>
        <v>133024</v>
      </c>
      <c r="F35" s="243" t="n">
        <f aca="false">D35/$D$2</f>
        <v>-37.3077892614066</v>
      </c>
      <c r="G35" s="122" t="n">
        <v>61</v>
      </c>
      <c r="H35" s="517" t="n">
        <v>0</v>
      </c>
      <c r="I35" s="122" t="n">
        <f aca="false">G35+H35</f>
        <v>61</v>
      </c>
      <c r="J35" s="218" t="n">
        <f aca="false">IF(L35&gt;0,L35,0)</f>
        <v>0</v>
      </c>
      <c r="K35" s="122" t="n">
        <f aca="false">I35+J35</f>
        <v>61</v>
      </c>
      <c r="L35" s="122" t="n">
        <f aca="false">F35-(I35-AG35)</f>
        <v>-34.3077892614066</v>
      </c>
      <c r="M35" s="244" t="n">
        <v>24</v>
      </c>
      <c r="N35" s="215" t="n">
        <f aca="false">1.8299*1.03</f>
        <v>1.884797</v>
      </c>
      <c r="O35" s="122" t="n">
        <f aca="false">(12+8.7)*1.05</f>
        <v>21.735</v>
      </c>
      <c r="P35" s="215" t="n">
        <v>0</v>
      </c>
      <c r="Q35" s="150" t="n">
        <f aca="false">1.68*1.02</f>
        <v>1.7136</v>
      </c>
      <c r="R35" s="324" t="n">
        <v>2.75</v>
      </c>
      <c r="S35" s="324" t="n">
        <v>0</v>
      </c>
      <c r="T35" s="381" t="n">
        <v>0</v>
      </c>
      <c r="U35" s="122" t="n">
        <v>0</v>
      </c>
      <c r="V35" s="122" t="n">
        <v>0</v>
      </c>
      <c r="W35" s="122" t="n">
        <f aca="false">M35-N35-O35-P35-Q35-R35-S35-T35+U35+V35+O35</f>
        <v>17.651603</v>
      </c>
      <c r="X35" s="95" t="n">
        <v>0</v>
      </c>
      <c r="Y35" s="95" t="n">
        <v>0</v>
      </c>
      <c r="Z35" s="95" t="n">
        <f aca="false">Z34-(W35-I35)-Q35-R35-AB35-(AP35/1.9835)</f>
        <v>-4282.77998175705</v>
      </c>
      <c r="AA35" s="122" t="n">
        <v>0</v>
      </c>
      <c r="AB35" s="123" t="n">
        <v>1.7</v>
      </c>
      <c r="AC35" s="124" t="n">
        <v>1.3</v>
      </c>
      <c r="AD35" s="464" t="n">
        <v>40</v>
      </c>
      <c r="AE35" s="353" t="n">
        <f aca="false">AE34-AD35</f>
        <v>6358.25787748929</v>
      </c>
      <c r="AF35" s="95"/>
      <c r="AG35" s="121" t="n">
        <f aca="false">N35+O35+P35+Q35+R35+S35+T35+W35+AA35+AD35-O35</f>
        <v>64</v>
      </c>
      <c r="AH35" s="122" t="n">
        <f aca="false">IF(L35&lt;0,L35*-1,0)</f>
        <v>34.3077892614066</v>
      </c>
      <c r="AI35" s="122" t="n">
        <f aca="false">AG35+AH35</f>
        <v>98.3077892614066</v>
      </c>
      <c r="AJ35" s="337" t="n">
        <v>0</v>
      </c>
      <c r="AK35" s="133" t="n">
        <v>63</v>
      </c>
      <c r="AL35" s="246" t="n">
        <v>31</v>
      </c>
      <c r="AM35" s="133" t="n">
        <f aca="false">AM34</f>
        <v>13022.27255</v>
      </c>
      <c r="AN35" s="218"/>
      <c r="AO35" s="218"/>
      <c r="AP35" s="215" t="n">
        <f aca="false">20*(X34*1.9835+Y34*1.9835+Z34*1.9835)/E35</f>
        <v>-1.2884800665641</v>
      </c>
      <c r="AQ35" s="95"/>
      <c r="AR35" s="10"/>
      <c r="AS35" s="151" t="n">
        <f aca="false">O35</f>
        <v>21.735</v>
      </c>
    </row>
    <row r="36" customFormat="false" ht="12.95" hidden="false" customHeight="true" outlineLevel="0" collapsed="false">
      <c r="A36" s="155" t="n">
        <v>25</v>
      </c>
      <c r="B36" s="94" t="n">
        <v>6900.39</v>
      </c>
      <c r="C36" s="95" t="n">
        <v>285024</v>
      </c>
      <c r="D36" s="133" t="n">
        <f aca="false">C36-C35</f>
        <v>0</v>
      </c>
      <c r="E36" s="95" t="n">
        <f aca="false">C36-152000</f>
        <v>133024</v>
      </c>
      <c r="F36" s="243" t="n">
        <f aca="false">D36/$D$2</f>
        <v>0</v>
      </c>
      <c r="G36" s="122" t="n">
        <v>65</v>
      </c>
      <c r="H36" s="517" t="n">
        <v>0</v>
      </c>
      <c r="I36" s="122" t="n">
        <f aca="false">G36+H36</f>
        <v>65</v>
      </c>
      <c r="J36" s="218" t="n">
        <f aca="false">IF(L36&gt;0,L36,0)</f>
        <v>0</v>
      </c>
      <c r="K36" s="122" t="n">
        <f aca="false">I36+J36</f>
        <v>65</v>
      </c>
      <c r="L36" s="122" t="n">
        <f aca="false">F36-(I36-AG36)</f>
        <v>-20.3</v>
      </c>
      <c r="M36" s="244" t="n">
        <v>4.7</v>
      </c>
      <c r="N36" s="215" t="n">
        <f aca="false">1.8299*1.03</f>
        <v>1.884797</v>
      </c>
      <c r="O36" s="122" t="n">
        <f aca="false">(0.51+0)*1.05</f>
        <v>0.5355</v>
      </c>
      <c r="P36" s="215" t="n">
        <v>0</v>
      </c>
      <c r="Q36" s="150" t="n">
        <f aca="false">1.68*1.02</f>
        <v>1.7136</v>
      </c>
      <c r="R36" s="324" t="n">
        <v>2.77</v>
      </c>
      <c r="S36" s="324" t="n">
        <v>0</v>
      </c>
      <c r="T36" s="381" t="n">
        <v>0</v>
      </c>
      <c r="U36" s="122" t="n">
        <v>0</v>
      </c>
      <c r="V36" s="122" t="n">
        <v>0</v>
      </c>
      <c r="W36" s="122" t="n">
        <f aca="false">M36-N36-O36-P36-Q36-R36-S36-T36+U36+V36+O36</f>
        <v>-1.668397</v>
      </c>
      <c r="X36" s="95" t="n">
        <v>0</v>
      </c>
      <c r="Y36" s="95" t="n">
        <v>0</v>
      </c>
      <c r="Z36" s="95" t="n">
        <f aca="false">Z35-(W36-I36)-Q36-R36-AB36-(AP36/1.9835)</f>
        <v>-4221.65127388657</v>
      </c>
      <c r="AA36" s="122" t="n">
        <v>0</v>
      </c>
      <c r="AB36" s="123" t="n">
        <v>1.7</v>
      </c>
      <c r="AC36" s="124" t="n">
        <v>1.3</v>
      </c>
      <c r="AD36" s="464" t="n">
        <v>40</v>
      </c>
      <c r="AE36" s="353" t="n">
        <f aca="false">AE35-AD36</f>
        <v>6318.25787748929</v>
      </c>
      <c r="AF36" s="95"/>
      <c r="AG36" s="121" t="n">
        <f aca="false">N36+O36+P36+Q36+R36+S36+T36+W36+AA36+AD36-O36</f>
        <v>44.7</v>
      </c>
      <c r="AH36" s="122" t="n">
        <f aca="false">IF(L36&lt;0,L36*-1,0)</f>
        <v>20.3</v>
      </c>
      <c r="AI36" s="122" t="n">
        <f aca="false">AG36+AH36</f>
        <v>65</v>
      </c>
      <c r="AJ36" s="337" t="n">
        <v>0</v>
      </c>
      <c r="AK36" s="133" t="n">
        <v>67</v>
      </c>
      <c r="AL36" s="246" t="n">
        <v>35</v>
      </c>
      <c r="AM36" s="133" t="n">
        <f aca="false">AM35</f>
        <v>13022.27255</v>
      </c>
      <c r="AN36" s="218"/>
      <c r="AO36" s="218"/>
      <c r="AP36" s="215" t="n">
        <f aca="false">20*(X35*1.9835+Y35*1.9835+Z35*1.9835)/E36</f>
        <v>-1.27719721160319</v>
      </c>
      <c r="AQ36" s="95"/>
      <c r="AR36" s="10"/>
      <c r="AS36" s="151" t="n">
        <f aca="false">O36</f>
        <v>0.5355</v>
      </c>
    </row>
    <row r="37" customFormat="false" ht="12.95" hidden="false" customHeight="true" outlineLevel="0" collapsed="false">
      <c r="A37" s="155" t="n">
        <v>26</v>
      </c>
      <c r="B37" s="94" t="n">
        <v>6900.4</v>
      </c>
      <c r="C37" s="95" t="n">
        <v>285061</v>
      </c>
      <c r="D37" s="133" t="n">
        <f aca="false">C37-C36</f>
        <v>37</v>
      </c>
      <c r="E37" s="95" t="n">
        <f aca="false">C37-152000</f>
        <v>133061</v>
      </c>
      <c r="F37" s="243" t="n">
        <f aca="false">D37/$D$2</f>
        <v>18.6538946307033</v>
      </c>
      <c r="G37" s="122" t="n">
        <v>65</v>
      </c>
      <c r="H37" s="517" t="n">
        <v>0</v>
      </c>
      <c r="I37" s="122" t="n">
        <f aca="false">G37+H37</f>
        <v>65</v>
      </c>
      <c r="J37" s="218" t="n">
        <f aca="false">IF(L37&gt;0,L37,0)</f>
        <v>0</v>
      </c>
      <c r="K37" s="122" t="n">
        <f aca="false">I37+J37</f>
        <v>65</v>
      </c>
      <c r="L37" s="122" t="n">
        <f aca="false">F37-(I37-AG37)</f>
        <v>-1.3461053692967</v>
      </c>
      <c r="M37" s="244" t="n">
        <v>5</v>
      </c>
      <c r="N37" s="215" t="n">
        <f aca="false">1.8299*1.03</f>
        <v>1.884797</v>
      </c>
      <c r="O37" s="122" t="n">
        <f aca="false">(1.8+0.48)*1.05</f>
        <v>2.394</v>
      </c>
      <c r="P37" s="215" t="n">
        <v>0</v>
      </c>
      <c r="Q37" s="150" t="n">
        <f aca="false">1.68*1.02</f>
        <v>1.7136</v>
      </c>
      <c r="R37" s="324" t="n">
        <v>3.2</v>
      </c>
      <c r="S37" s="324" t="n">
        <v>0</v>
      </c>
      <c r="T37" s="381" t="n">
        <v>0</v>
      </c>
      <c r="U37" s="122" t="n">
        <v>0</v>
      </c>
      <c r="V37" s="122" t="n">
        <v>0</v>
      </c>
      <c r="W37" s="122" t="n">
        <f aca="false">M37-N37-O37-P37-Q37-R37-S37-T37+U37+V37+O37</f>
        <v>-1.798397</v>
      </c>
      <c r="X37" s="95" t="n">
        <v>0</v>
      </c>
      <c r="Y37" s="95" t="n">
        <v>0</v>
      </c>
      <c r="Z37" s="95" t="n">
        <f aca="false">Z36-(W37-I37)-Q37-R37-AB37-(AP37/1.9835)</f>
        <v>-4160.83193313988</v>
      </c>
      <c r="AA37" s="122" t="n">
        <v>0</v>
      </c>
      <c r="AB37" s="123" t="n">
        <v>1.7</v>
      </c>
      <c r="AC37" s="124" t="n">
        <v>1.3</v>
      </c>
      <c r="AD37" s="464" t="n">
        <v>40</v>
      </c>
      <c r="AE37" s="353" t="n">
        <f aca="false">AE36-AD37</f>
        <v>6278.25787748929</v>
      </c>
      <c r="AF37" s="95"/>
      <c r="AG37" s="121" t="n">
        <f aca="false">N37+O37+P37+Q37+R37+S37+T37+W37+AA37+AD37-O37</f>
        <v>45</v>
      </c>
      <c r="AH37" s="122" t="n">
        <f aca="false">IF(L37&lt;0,L37*-1,0)</f>
        <v>1.3461053692967</v>
      </c>
      <c r="AI37" s="122" t="n">
        <f aca="false">AG37+AH37</f>
        <v>46.3461053692967</v>
      </c>
      <c r="AJ37" s="337" t="n">
        <v>0</v>
      </c>
      <c r="AK37" s="133" t="n">
        <v>71</v>
      </c>
      <c r="AL37" s="246" t="n">
        <v>40</v>
      </c>
      <c r="AM37" s="133" t="n">
        <f aca="false">AM36</f>
        <v>13022.27255</v>
      </c>
      <c r="AN37" s="218"/>
      <c r="AO37" s="218"/>
      <c r="AP37" s="215" t="n">
        <f aca="false">20*(X36*1.9835+Y36*1.9835+Z36*1.9835)/E37</f>
        <v>-1.25861752155087</v>
      </c>
      <c r="AQ37" s="95"/>
      <c r="AR37" s="10"/>
      <c r="AS37" s="151" t="n">
        <f aca="false">O37</f>
        <v>2.394</v>
      </c>
    </row>
    <row r="38" customFormat="false" ht="12.95" hidden="false" customHeight="true" outlineLevel="0" collapsed="false">
      <c r="A38" s="155" t="n">
        <v>27</v>
      </c>
      <c r="B38" s="94" t="n">
        <v>6900.39</v>
      </c>
      <c r="C38" s="95" t="n">
        <v>285024</v>
      </c>
      <c r="D38" s="133" t="n">
        <f aca="false">C38-C37</f>
        <v>-37</v>
      </c>
      <c r="E38" s="95" t="n">
        <f aca="false">C38-152000</f>
        <v>133024</v>
      </c>
      <c r="F38" s="243" t="n">
        <f aca="false">D38/$D$2</f>
        <v>-18.6538946307033</v>
      </c>
      <c r="G38" s="122" t="n">
        <v>63</v>
      </c>
      <c r="H38" s="517" t="n">
        <v>0</v>
      </c>
      <c r="I38" s="122" t="n">
        <f aca="false">G38+H38</f>
        <v>63</v>
      </c>
      <c r="J38" s="218" t="n">
        <f aca="false">IF(L38&gt;0,L38,0)</f>
        <v>0</v>
      </c>
      <c r="K38" s="122" t="n">
        <f aca="false">I38+J38</f>
        <v>63</v>
      </c>
      <c r="L38" s="122" t="n">
        <f aca="false">F38-(I38-AG38)</f>
        <v>-4.6538946307033</v>
      </c>
      <c r="M38" s="244" t="n">
        <v>37</v>
      </c>
      <c r="N38" s="215" t="n">
        <f aca="false">1.8299*1.03</f>
        <v>1.884797</v>
      </c>
      <c r="O38" s="122" t="n">
        <f aca="false">(17+18)*1.05</f>
        <v>36.75</v>
      </c>
      <c r="P38" s="215" t="n">
        <v>0</v>
      </c>
      <c r="Q38" s="150" t="n">
        <f aca="false">1.68*1.02</f>
        <v>1.7136</v>
      </c>
      <c r="R38" s="324" t="n">
        <v>3.32</v>
      </c>
      <c r="S38" s="324" t="n">
        <v>0</v>
      </c>
      <c r="T38" s="381" t="n">
        <v>0</v>
      </c>
      <c r="U38" s="122" t="n">
        <v>0</v>
      </c>
      <c r="V38" s="122" t="n">
        <v>0</v>
      </c>
      <c r="W38" s="122" t="n">
        <f aca="false">M38-N38-O38-P38-Q38-R38-S38-T38+U38+V38+O38</f>
        <v>30.081603</v>
      </c>
      <c r="X38" s="95" t="n">
        <v>0</v>
      </c>
      <c r="Y38" s="95" t="n">
        <v>0</v>
      </c>
      <c r="Z38" s="95" t="n">
        <f aca="false">Z37-(W38-I38)-Q38-R38-AB38-(AP38/1.9835)</f>
        <v>-4134.0215600133</v>
      </c>
      <c r="AA38" s="122" t="n">
        <v>0</v>
      </c>
      <c r="AB38" s="123" t="n">
        <v>1.7</v>
      </c>
      <c r="AC38" s="124" t="n">
        <v>1.3</v>
      </c>
      <c r="AD38" s="464" t="n">
        <v>40</v>
      </c>
      <c r="AE38" s="353" t="n">
        <f aca="false">AE37-AD38</f>
        <v>6238.25787748929</v>
      </c>
      <c r="AF38" s="95"/>
      <c r="AG38" s="121" t="n">
        <f aca="false">N38+O38+P38+Q38+R38+S38+T38+W38+AA38+AD38-O38</f>
        <v>77</v>
      </c>
      <c r="AH38" s="122" t="n">
        <f aca="false">IF(L38&lt;0,L38*-1,0)</f>
        <v>4.6538946307033</v>
      </c>
      <c r="AI38" s="122" t="n">
        <f aca="false">AG38+AH38</f>
        <v>81.6538946307033</v>
      </c>
      <c r="AJ38" s="337" t="n">
        <v>0</v>
      </c>
      <c r="AK38" s="133" t="n">
        <v>66</v>
      </c>
      <c r="AL38" s="246" t="n">
        <v>36</v>
      </c>
      <c r="AM38" s="133" t="n">
        <f aca="false">AM37</f>
        <v>13022.27255</v>
      </c>
      <c r="AN38" s="218"/>
      <c r="AO38" s="218"/>
      <c r="AP38" s="215" t="n">
        <f aca="false">20*(X37*1.9835+Y37*1.9835+Z37*1.9835)/E38</f>
        <v>-1.24083024708067</v>
      </c>
      <c r="AQ38" s="95"/>
      <c r="AR38" s="10"/>
      <c r="AS38" s="151" t="n">
        <f aca="false">O38</f>
        <v>36.75</v>
      </c>
    </row>
    <row r="39" customFormat="false" ht="12.95" hidden="false" customHeight="true" outlineLevel="0" collapsed="false">
      <c r="A39" s="155" t="n">
        <v>28</v>
      </c>
      <c r="B39" s="94" t="n">
        <v>6900.37</v>
      </c>
      <c r="C39" s="95" t="n">
        <v>284950</v>
      </c>
      <c r="D39" s="133" t="n">
        <f aca="false">C39-C38</f>
        <v>-74</v>
      </c>
      <c r="E39" s="95" t="n">
        <f aca="false">C39-152000</f>
        <v>132950</v>
      </c>
      <c r="F39" s="243" t="n">
        <f aca="false">D39/$D$2</f>
        <v>-37.3077892614066</v>
      </c>
      <c r="G39" s="122" t="n">
        <v>60</v>
      </c>
      <c r="H39" s="517" t="n">
        <v>0</v>
      </c>
      <c r="I39" s="122" t="n">
        <f aca="false">G39+H39</f>
        <v>60</v>
      </c>
      <c r="J39" s="218" t="n">
        <f aca="false">IF(L39&gt;0,L39,0)</f>
        <v>0</v>
      </c>
      <c r="K39" s="122" t="n">
        <f aca="false">I39+J39</f>
        <v>60</v>
      </c>
      <c r="L39" s="122" t="n">
        <f aca="false">F39-(I39-AG39)</f>
        <v>-4.3077892614066</v>
      </c>
      <c r="M39" s="244" t="n">
        <v>53</v>
      </c>
      <c r="N39" s="215" t="n">
        <f aca="false">1.8299*1.03</f>
        <v>1.884797</v>
      </c>
      <c r="O39" s="122" t="n">
        <f aca="false">(26+27)*1.05</f>
        <v>55.65</v>
      </c>
      <c r="P39" s="215" t="n">
        <v>0</v>
      </c>
      <c r="Q39" s="150" t="n">
        <f aca="false">1.68*1.02</f>
        <v>1.7136</v>
      </c>
      <c r="R39" s="324" t="n">
        <v>3.27</v>
      </c>
      <c r="S39" s="324" t="n">
        <v>0</v>
      </c>
      <c r="T39" s="381" t="n">
        <v>0</v>
      </c>
      <c r="U39" s="122" t="n">
        <v>0</v>
      </c>
      <c r="V39" s="122" t="n">
        <v>0</v>
      </c>
      <c r="W39" s="122" t="n">
        <f aca="false">M39-N39-O39-P39-Q39-R39-S39-T39+U39+V39+O39</f>
        <v>46.131603</v>
      </c>
      <c r="X39" s="95" t="n">
        <v>0</v>
      </c>
      <c r="Y39" s="95" t="n">
        <v>0</v>
      </c>
      <c r="Z39" s="95" t="n">
        <f aca="false">Z38-(W39-I39)-Q39-R39-AB39-(AP39/1.9835)</f>
        <v>-4126.21487184218</v>
      </c>
      <c r="AA39" s="122" t="n">
        <v>0</v>
      </c>
      <c r="AB39" s="123" t="n">
        <v>1.7</v>
      </c>
      <c r="AC39" s="124" t="n">
        <v>1.3</v>
      </c>
      <c r="AD39" s="464" t="n">
        <v>40</v>
      </c>
      <c r="AE39" s="353" t="n">
        <f aca="false">AE38-AD39</f>
        <v>6198.25787748929</v>
      </c>
      <c r="AF39" s="95"/>
      <c r="AG39" s="121" t="n">
        <f aca="false">N39+O39+P39+Q39+R39+S39+T39+W39+AA39+AD39-O39</f>
        <v>93</v>
      </c>
      <c r="AH39" s="122" t="n">
        <f aca="false">IF(L39&lt;0,L39*-1,0)</f>
        <v>4.3077892614066</v>
      </c>
      <c r="AI39" s="122" t="n">
        <f aca="false">AG39+AH39</f>
        <v>97.3077892614066</v>
      </c>
      <c r="AJ39" s="337" t="n">
        <v>0</v>
      </c>
      <c r="AK39" s="133" t="n">
        <v>71</v>
      </c>
      <c r="AL39" s="246" t="n">
        <v>34</v>
      </c>
      <c r="AM39" s="133" t="n">
        <f aca="false">AM38</f>
        <v>13022.27255</v>
      </c>
      <c r="AN39" s="218"/>
      <c r="AO39" s="218"/>
      <c r="AP39" s="215" t="n">
        <f aca="false">20*(X38*1.9835+Y38*1.9835+Z38*1.9835)/E39</f>
        <v>-1.23352113791446</v>
      </c>
      <c r="AQ39" s="95"/>
      <c r="AR39" s="10"/>
      <c r="AS39" s="151" t="n">
        <f aca="false">O39</f>
        <v>55.65</v>
      </c>
    </row>
    <row r="40" customFormat="false" ht="12.95" hidden="false" customHeight="true" outlineLevel="0" collapsed="false">
      <c r="A40" s="155" t="n">
        <v>29</v>
      </c>
      <c r="B40" s="94" t="n">
        <v>6900.35</v>
      </c>
      <c r="C40" s="95" t="n">
        <v>284876</v>
      </c>
      <c r="D40" s="133" t="n">
        <f aca="false">C40-C39</f>
        <v>-74</v>
      </c>
      <c r="E40" s="95" t="n">
        <f aca="false">C40-152000</f>
        <v>132876</v>
      </c>
      <c r="F40" s="243" t="n">
        <f aca="false">D40/$D$2</f>
        <v>-37.3077892614066</v>
      </c>
      <c r="G40" s="122" t="n">
        <v>55</v>
      </c>
      <c r="H40" s="517" t="n">
        <v>0</v>
      </c>
      <c r="I40" s="122" t="n">
        <f aca="false">G40+H40</f>
        <v>55</v>
      </c>
      <c r="J40" s="218" t="n">
        <f aca="false">IF(L40&gt;0,L40,0)</f>
        <v>0</v>
      </c>
      <c r="K40" s="122" t="n">
        <f aca="false">I40+J40</f>
        <v>55</v>
      </c>
      <c r="L40" s="122" t="n">
        <f aca="false">F40-(I40-AG40)</f>
        <v>-20.3077892614066</v>
      </c>
      <c r="M40" s="244" t="n">
        <v>32</v>
      </c>
      <c r="N40" s="215" t="n">
        <f aca="false">1.8299*1.03</f>
        <v>1.884797</v>
      </c>
      <c r="O40" s="122" t="n">
        <f aca="false">(30+30)*1.05</f>
        <v>63</v>
      </c>
      <c r="P40" s="215" t="n">
        <v>0</v>
      </c>
      <c r="Q40" s="150" t="n">
        <f aca="false">1.68*1.02</f>
        <v>1.7136</v>
      </c>
      <c r="R40" s="324" t="n">
        <v>4.2</v>
      </c>
      <c r="S40" s="324" t="n">
        <v>0.64</v>
      </c>
      <c r="T40" s="381" t="n">
        <v>0</v>
      </c>
      <c r="U40" s="122" t="n">
        <v>0</v>
      </c>
      <c r="V40" s="122" t="n">
        <v>0</v>
      </c>
      <c r="W40" s="122" t="n">
        <f aca="false">M40-N40-O40-P40-Q40-R40-S40-T40+U40+V40+O40</f>
        <v>23.561603</v>
      </c>
      <c r="X40" s="95" t="n">
        <v>0</v>
      </c>
      <c r="Y40" s="95" t="n">
        <v>0</v>
      </c>
      <c r="Z40" s="95" t="n">
        <f aca="false">Z39-(W40-I40)-Q40-R40-AB40-(AP40/1.9835)</f>
        <v>-4101.76901236711</v>
      </c>
      <c r="AA40" s="122" t="n">
        <v>0</v>
      </c>
      <c r="AB40" s="123" t="n">
        <v>1.7</v>
      </c>
      <c r="AC40" s="124" t="n">
        <v>1.3</v>
      </c>
      <c r="AD40" s="464" t="n">
        <v>40</v>
      </c>
      <c r="AE40" s="353" t="n">
        <f aca="false">AE39-AD40</f>
        <v>6158.25787748929</v>
      </c>
      <c r="AF40" s="95"/>
      <c r="AG40" s="121" t="n">
        <f aca="false">N40+O40+P40+Q40+R40+S40+T40+W40+AA40+AD40-O40</f>
        <v>72</v>
      </c>
      <c r="AH40" s="122" t="n">
        <f aca="false">IF(L40&lt;0,L40*-1,0)</f>
        <v>20.3077892614066</v>
      </c>
      <c r="AI40" s="122" t="n">
        <f aca="false">AG40+AH40</f>
        <v>92.3077892614066</v>
      </c>
      <c r="AJ40" s="337" t="n">
        <v>0</v>
      </c>
      <c r="AK40" s="133" t="n">
        <v>69</v>
      </c>
      <c r="AL40" s="246" t="n">
        <v>35</v>
      </c>
      <c r="AM40" s="133" t="n">
        <f aca="false">AM39</f>
        <v>13022.27255</v>
      </c>
      <c r="AN40" s="218"/>
      <c r="AO40" s="218"/>
      <c r="AP40" s="215" t="n">
        <f aca="false">20*(X39*1.9835+Y39*1.9835+Z39*1.9835)/E40</f>
        <v>-1.23187741929302</v>
      </c>
      <c r="AQ40" s="95"/>
      <c r="AR40" s="10"/>
      <c r="AS40" s="151" t="n">
        <f aca="false">O40</f>
        <v>63</v>
      </c>
    </row>
    <row r="41" customFormat="false" ht="12.95" hidden="false" customHeight="true" outlineLevel="0" collapsed="false">
      <c r="A41" s="155" t="n">
        <v>30</v>
      </c>
      <c r="B41" s="94" t="n">
        <v>6900.34</v>
      </c>
      <c r="C41" s="95" t="n">
        <v>284839</v>
      </c>
      <c r="D41" s="133" t="n">
        <f aca="false">C41-C40</f>
        <v>-37</v>
      </c>
      <c r="E41" s="95" t="n">
        <f aca="false">C41-152000</f>
        <v>132839</v>
      </c>
      <c r="F41" s="243" t="n">
        <f aca="false">D41/$D$2</f>
        <v>-18.6538946307033</v>
      </c>
      <c r="G41" s="122" t="n">
        <v>51</v>
      </c>
      <c r="H41" s="517" t="n">
        <v>0</v>
      </c>
      <c r="I41" s="122" t="n">
        <f aca="false">G41+H41</f>
        <v>51</v>
      </c>
      <c r="J41" s="218" t="n">
        <f aca="false">IF(L41&gt;0,L41,0)</f>
        <v>0</v>
      </c>
      <c r="K41" s="122" t="n">
        <f aca="false">I41+J41</f>
        <v>51</v>
      </c>
      <c r="L41" s="122" t="n">
        <f aca="false">F41-(I41-AG41)</f>
        <v>-7.6538946307033</v>
      </c>
      <c r="M41" s="244" t="n">
        <v>22</v>
      </c>
      <c r="N41" s="215" t="n">
        <f aca="false">1.8299*1.03</f>
        <v>1.884797</v>
      </c>
      <c r="O41" s="122" t="n">
        <f aca="false">(18+16)*1.05</f>
        <v>35.7</v>
      </c>
      <c r="P41" s="215" t="n">
        <v>0</v>
      </c>
      <c r="Q41" s="150" t="n">
        <f aca="false">1.68*1.02</f>
        <v>1.7136</v>
      </c>
      <c r="R41" s="324" t="n">
        <v>3.13</v>
      </c>
      <c r="S41" s="324" t="n">
        <v>0</v>
      </c>
      <c r="T41" s="381" t="n">
        <v>0</v>
      </c>
      <c r="U41" s="122" t="n">
        <v>0</v>
      </c>
      <c r="V41" s="122" t="n">
        <v>0</v>
      </c>
      <c r="W41" s="122" t="n">
        <f aca="false">M41-N41-O41-P41-Q41-R41-S41-T41+U41+V41+O41</f>
        <v>15.271603</v>
      </c>
      <c r="X41" s="95" t="n">
        <v>0</v>
      </c>
      <c r="Y41" s="95" t="n">
        <v>0</v>
      </c>
      <c r="Z41" s="95" t="n">
        <f aca="false">Z40-(W41-I41)-Q41-R41-AB41-(AP41/1.9835)</f>
        <v>-4071.96666043033</v>
      </c>
      <c r="AA41" s="122" t="n">
        <v>0</v>
      </c>
      <c r="AB41" s="123" t="n">
        <v>1.7</v>
      </c>
      <c r="AC41" s="124" t="n">
        <v>1.3</v>
      </c>
      <c r="AD41" s="464" t="n">
        <v>40</v>
      </c>
      <c r="AE41" s="353" t="n">
        <f aca="false">AE40-AD41</f>
        <v>6118.25787748929</v>
      </c>
      <c r="AF41" s="95"/>
      <c r="AG41" s="121" t="n">
        <f aca="false">N41+O41+P41+Q41+R41+S41+T41+W41+AA41+AD41-O41</f>
        <v>62</v>
      </c>
      <c r="AH41" s="122" t="n">
        <f aca="false">IF(L41&lt;0,L41*-1,0)</f>
        <v>7.6538946307033</v>
      </c>
      <c r="AI41" s="122" t="n">
        <f aca="false">AG41+AH41</f>
        <v>69.6538946307033</v>
      </c>
      <c r="AJ41" s="337" t="n">
        <v>0</v>
      </c>
      <c r="AK41" s="133" t="n">
        <v>70</v>
      </c>
      <c r="AL41" s="246" t="n">
        <v>35</v>
      </c>
      <c r="AM41" s="133" t="n">
        <f aca="false">AM40</f>
        <v>13022.27255</v>
      </c>
      <c r="AN41" s="218"/>
      <c r="AO41" s="218"/>
      <c r="AP41" s="215" t="n">
        <f aca="false">20*(X40*1.9835+Y40*1.9835+Z40*1.9835)/E41</f>
        <v>-1.22492021710946</v>
      </c>
      <c r="AQ41" s="95"/>
      <c r="AR41" s="10"/>
      <c r="AS41" s="151" t="n">
        <f aca="false">O41</f>
        <v>35.7</v>
      </c>
    </row>
    <row r="42" customFormat="false" ht="12.95" hidden="false" customHeight="true" outlineLevel="0" collapsed="false">
      <c r="A42" s="155" t="n">
        <v>31</v>
      </c>
      <c r="B42" s="94" t="n">
        <v>6900.33</v>
      </c>
      <c r="C42" s="95" t="n">
        <v>284801</v>
      </c>
      <c r="D42" s="133" t="n">
        <f aca="false">C42-C41</f>
        <v>-38</v>
      </c>
      <c r="E42" s="95" t="n">
        <f aca="false">C42-152000</f>
        <v>132801</v>
      </c>
      <c r="F42" s="243" t="n">
        <f aca="false">D42/$D$2</f>
        <v>-19.1580539450466</v>
      </c>
      <c r="G42" s="122" t="n">
        <v>52</v>
      </c>
      <c r="H42" s="517" t="n">
        <v>0</v>
      </c>
      <c r="I42" s="122" t="n">
        <f aca="false">G42+H42</f>
        <v>52</v>
      </c>
      <c r="J42" s="218" t="n">
        <f aca="false">IF(L42&gt;0,L42,0)</f>
        <v>0</v>
      </c>
      <c r="K42" s="122" t="n">
        <f aca="false">I42+J42</f>
        <v>52</v>
      </c>
      <c r="L42" s="122" t="n">
        <f aca="false">F42-(I42-AG42)</f>
        <v>-13.1580539450466</v>
      </c>
      <c r="M42" s="244" t="n">
        <v>16</v>
      </c>
      <c r="N42" s="215" t="n">
        <f aca="false">1.8299*1.03</f>
        <v>1.884797</v>
      </c>
      <c r="O42" s="122" t="n">
        <f aca="false">(18+14)*1.05</f>
        <v>33.6</v>
      </c>
      <c r="P42" s="215" t="n">
        <v>0</v>
      </c>
      <c r="Q42" s="150" t="n">
        <f aca="false">1.68*1.02</f>
        <v>1.7136</v>
      </c>
      <c r="R42" s="324" t="n">
        <v>2.55</v>
      </c>
      <c r="S42" s="324" t="n">
        <v>0</v>
      </c>
      <c r="T42" s="381" t="n">
        <v>0</v>
      </c>
      <c r="U42" s="122" t="n">
        <v>2</v>
      </c>
      <c r="V42" s="122" t="n">
        <v>0</v>
      </c>
      <c r="W42" s="122" t="n">
        <f aca="false">M42-N42-O42-P42-Q42-R42-S42-T42+U42+V42+O42</f>
        <v>11.851603</v>
      </c>
      <c r="X42" s="95" t="n">
        <v>0</v>
      </c>
      <c r="Y42" s="95" t="n">
        <v>0</v>
      </c>
      <c r="Z42" s="95" t="n">
        <f aca="false">Z41-(W42-I42)-Q42-R42-AB42-(AP42/1.9835)</f>
        <v>-4037.1686200571</v>
      </c>
      <c r="AA42" s="122" t="n">
        <v>0</v>
      </c>
      <c r="AB42" s="244" t="n">
        <v>1.7</v>
      </c>
      <c r="AC42" s="245" t="n">
        <v>1.3</v>
      </c>
      <c r="AD42" s="464" t="n">
        <v>40</v>
      </c>
      <c r="AE42" s="353" t="n">
        <f aca="false">AE41-AD42</f>
        <v>6078.25787748929</v>
      </c>
      <c r="AF42" s="95"/>
      <c r="AG42" s="121" t="n">
        <f aca="false">N42+O42+P42+Q42+R42+S42+T42+W42+AA42+AD42-O42</f>
        <v>58</v>
      </c>
      <c r="AH42" s="122" t="n">
        <f aca="false">IF(L42&lt;0,L42*-1,0)</f>
        <v>13.1580539450466</v>
      </c>
      <c r="AI42" s="122" t="n">
        <f aca="false">AG42+AH42</f>
        <v>71.1580539450466</v>
      </c>
      <c r="AJ42" s="337" t="n">
        <v>0</v>
      </c>
      <c r="AK42" s="133" t="n">
        <v>67</v>
      </c>
      <c r="AL42" s="246" t="n">
        <v>37</v>
      </c>
      <c r="AM42" s="133" t="n">
        <f aca="false">AM41</f>
        <v>13022.27255</v>
      </c>
      <c r="AN42" s="218"/>
      <c r="AO42" s="218"/>
      <c r="AP42" s="215" t="n">
        <f aca="false">20*(X41*1.9835+Y41*1.9835+Z41*1.9835)/E42</f>
        <v>-1.21636823080603</v>
      </c>
      <c r="AQ42" s="95"/>
      <c r="AR42" s="10"/>
      <c r="AS42" s="151" t="n">
        <f aca="false">O42</f>
        <v>33.6</v>
      </c>
    </row>
    <row r="43" customFormat="false" ht="3" hidden="false" customHeight="true" outlineLevel="0" collapsed="false">
      <c r="A43" s="229"/>
      <c r="B43" s="247"/>
      <c r="C43" s="231"/>
      <c r="D43" s="232"/>
      <c r="E43" s="231"/>
      <c r="F43" s="233"/>
      <c r="G43" s="232"/>
      <c r="H43" s="516"/>
      <c r="I43" s="232"/>
      <c r="J43" s="232"/>
      <c r="K43" s="232"/>
      <c r="L43" s="232"/>
      <c r="M43" s="235" t="n">
        <v>0</v>
      </c>
      <c r="N43" s="232"/>
      <c r="O43" s="232"/>
      <c r="P43" s="234"/>
      <c r="Q43" s="232"/>
      <c r="R43" s="232"/>
      <c r="S43" s="232"/>
      <c r="T43" s="236"/>
      <c r="U43" s="232"/>
      <c r="V43" s="232" t="n">
        <v>0</v>
      </c>
      <c r="W43" s="232"/>
      <c r="X43" s="231"/>
      <c r="Y43" s="231"/>
      <c r="Z43" s="231"/>
      <c r="AA43" s="232"/>
      <c r="AB43" s="235"/>
      <c r="AC43" s="238"/>
      <c r="AD43" s="232"/>
      <c r="AE43" s="232"/>
      <c r="AF43" s="232"/>
      <c r="AG43" s="232"/>
      <c r="AH43" s="232"/>
      <c r="AI43" s="232"/>
      <c r="AJ43" s="463"/>
      <c r="AK43" s="240"/>
      <c r="AL43" s="241"/>
      <c r="AM43" s="240"/>
      <c r="AN43" s="237"/>
      <c r="AO43" s="237"/>
      <c r="AP43" s="234"/>
      <c r="AQ43" s="240"/>
      <c r="AR43" s="240"/>
      <c r="AS43" s="240"/>
    </row>
    <row r="44" customFormat="false" ht="12.95" hidden="false" customHeight="true" outlineLevel="0" collapsed="false">
      <c r="A44" s="158" t="s">
        <v>79</v>
      </c>
      <c r="B44" s="213"/>
      <c r="C44" s="95"/>
      <c r="D44" s="95"/>
      <c r="E44" s="95"/>
      <c r="F44" s="214" t="n">
        <f aca="false">SUM(F12:F42)</f>
        <v>-3057.22208217797</v>
      </c>
      <c r="G44" s="95" t="n">
        <f aca="false">SUM(G12:G42)</f>
        <v>2937</v>
      </c>
      <c r="H44" s="133" t="n">
        <f aca="false">SUM(H12:H42)</f>
        <v>0</v>
      </c>
      <c r="I44" s="95" t="n">
        <f aca="false">SUM(I12:I42)</f>
        <v>2937</v>
      </c>
      <c r="J44" s="95" t="n">
        <f aca="false">SUM(J12:J42)</f>
        <v>196.332997227124</v>
      </c>
      <c r="K44" s="95" t="n">
        <f aca="false">SUM(K12:K42)</f>
        <v>3133.33299722712</v>
      </c>
      <c r="L44" s="95" t="n">
        <f aca="false">SUM(L12:L42)</f>
        <v>-491.622082177968</v>
      </c>
      <c r="M44" s="216" t="n">
        <f aca="false">SUM(M12:M42)</f>
        <v>2162.6</v>
      </c>
      <c r="N44" s="95" t="n">
        <f aca="false">SUM(N12:N42)</f>
        <v>58.428707</v>
      </c>
      <c r="O44" s="95" t="n">
        <f aca="false">SUM(O12:O42)</f>
        <v>1027.929</v>
      </c>
      <c r="P44" s="215" t="n">
        <f aca="false">SUM(P12:P42)</f>
        <v>0</v>
      </c>
      <c r="Q44" s="95" t="n">
        <f aca="false">SUM(Q12:Q42)</f>
        <v>53.1216</v>
      </c>
      <c r="R44" s="95" t="n">
        <f aca="false">SUM(R12:R42)</f>
        <v>108.8</v>
      </c>
      <c r="S44" s="95" t="n">
        <f aca="false">SUM(S12:S42)</f>
        <v>11.67</v>
      </c>
      <c r="T44" s="217" t="n">
        <f aca="false">SUM(T12:T42)</f>
        <v>0</v>
      </c>
      <c r="U44" s="95" t="n">
        <f aca="false">SUM(U12:U42)</f>
        <v>1241</v>
      </c>
      <c r="V44" s="95" t="n">
        <f aca="false">SUM(V12:V42)</f>
        <v>663</v>
      </c>
      <c r="W44" s="95" t="n">
        <f aca="false">SUM(W12:W42)</f>
        <v>3834.579693</v>
      </c>
      <c r="X44" s="95"/>
      <c r="Y44" s="95"/>
      <c r="Z44" s="95"/>
      <c r="AA44" s="95" t="n">
        <f aca="false">SUM(AA12:AA42)</f>
        <v>172</v>
      </c>
      <c r="AB44" s="216"/>
      <c r="AC44" s="219"/>
      <c r="AD44" s="95" t="n">
        <f aca="false">SUM(AD12:AD42)</f>
        <v>1264</v>
      </c>
      <c r="AE44" s="95"/>
      <c r="AF44" s="95" t="n">
        <f aca="false">SUM(AF12:AF42)</f>
        <v>0</v>
      </c>
      <c r="AG44" s="95" t="n">
        <f aca="false">SUM(AG12:AG42)</f>
        <v>5502.6</v>
      </c>
      <c r="AH44" s="95" t="n">
        <f aca="false">SUM(AH12:AH42)</f>
        <v>687.955079405092</v>
      </c>
      <c r="AI44" s="95" t="n">
        <f aca="false">SUM(AI12:AI42)</f>
        <v>6190.55507940509</v>
      </c>
      <c r="AJ44" s="337" t="n">
        <f aca="false">SUM(AJ12:AJ42)</f>
        <v>1</v>
      </c>
      <c r="AK44" s="133" t="n">
        <f aca="false">AVERAGE(AK12:AK42)</f>
        <v>64.7741935483871</v>
      </c>
      <c r="AL44" s="222" t="n">
        <f aca="false">AVERAGE(AL12:AL42)</f>
        <v>34.3225806451613</v>
      </c>
      <c r="AM44" s="133" t="s">
        <v>110</v>
      </c>
      <c r="AN44" s="218" t="n">
        <f aca="false">SUM(AN12:AN42)</f>
        <v>0</v>
      </c>
      <c r="AO44" s="218"/>
      <c r="AP44" s="215"/>
      <c r="AQ44" s="133" t="n">
        <f aca="false">SUM(AQ12:AQ42)</f>
        <v>0</v>
      </c>
      <c r="AR44" s="10"/>
      <c r="AS44" s="133" t="n">
        <f aca="false">SUM(AS12:AS42)</f>
        <v>1027.929</v>
      </c>
    </row>
    <row r="45" customFormat="false" ht="12.95" hidden="false" customHeight="true" outlineLevel="0" collapsed="false">
      <c r="A45" s="158" t="s">
        <v>81</v>
      </c>
      <c r="B45" s="213"/>
      <c r="C45" s="95"/>
      <c r="D45" s="95" t="n">
        <f aca="false">SUM(D12:D42)</f>
        <v>-6064</v>
      </c>
      <c r="E45" s="95"/>
      <c r="F45" s="214" t="n">
        <f aca="false">F44*$D$2</f>
        <v>-6064</v>
      </c>
      <c r="G45" s="95" t="n">
        <f aca="false">G44*$D$2</f>
        <v>5825.5395</v>
      </c>
      <c r="H45" s="133" t="n">
        <f aca="false">H44*$D$2</f>
        <v>0</v>
      </c>
      <c r="I45" s="95" t="n">
        <f aca="false">I44*$D$2</f>
        <v>5825.5395</v>
      </c>
      <c r="J45" s="95" t="n">
        <f aca="false">J44*$D$2</f>
        <v>389.4265</v>
      </c>
      <c r="K45" s="95" t="n">
        <f aca="false">K44*$D$2</f>
        <v>6214.966</v>
      </c>
      <c r="L45" s="95" t="n">
        <f aca="false">L44*$D$2</f>
        <v>-975.1324</v>
      </c>
      <c r="M45" s="216" t="n">
        <f aca="false">M44*$D$2</f>
        <v>4289.5171</v>
      </c>
      <c r="N45" s="95" t="n">
        <f aca="false">N44*$D$2</f>
        <v>115.8933403345</v>
      </c>
      <c r="O45" s="95" t="n">
        <f aca="false">O44*$D$2</f>
        <v>2038.8971715</v>
      </c>
      <c r="P45" s="215" t="n">
        <f aca="false">P44*$D$2</f>
        <v>0</v>
      </c>
      <c r="Q45" s="95" t="n">
        <f aca="false">Q44*$D$2</f>
        <v>105.3666936</v>
      </c>
      <c r="R45" s="95" t="n">
        <f aca="false">R44*$D$2</f>
        <v>215.8048</v>
      </c>
      <c r="S45" s="95" t="n">
        <f aca="false">S44*$D$2</f>
        <v>23.147445</v>
      </c>
      <c r="T45" s="217" t="n">
        <f aca="false">T44*$D$2</f>
        <v>0</v>
      </c>
      <c r="U45" s="95" t="n">
        <f aca="false">U44*$D$2</f>
        <v>2461.5235</v>
      </c>
      <c r="V45" s="95" t="n">
        <f aca="false">V44*$D$2</f>
        <v>1315.0605</v>
      </c>
      <c r="W45" s="95" t="n">
        <f aca="false">W44*$D$2</f>
        <v>7605.8888210655</v>
      </c>
      <c r="X45" s="95"/>
      <c r="Y45" s="95"/>
      <c r="Z45" s="95"/>
      <c r="AA45" s="95" t="n">
        <f aca="false">AA44*$D$2</f>
        <v>341.162</v>
      </c>
      <c r="AB45" s="216"/>
      <c r="AC45" s="219"/>
      <c r="AD45" s="95" t="n">
        <f aca="false">AD44*$D$2</f>
        <v>2507.144</v>
      </c>
      <c r="AE45" s="95"/>
      <c r="AF45" s="95" t="n">
        <f aca="false">AF44*$D$2</f>
        <v>0</v>
      </c>
      <c r="AG45" s="95" t="n">
        <f aca="false">AG44*$D$2</f>
        <v>10914.4071</v>
      </c>
      <c r="AH45" s="95" t="n">
        <f aca="false">AH44*$D$2</f>
        <v>1364.5589</v>
      </c>
      <c r="AI45" s="95" t="n">
        <f aca="false">AI44*$D$2</f>
        <v>12278.966</v>
      </c>
      <c r="AJ45" s="337"/>
      <c r="AK45" s="133" t="n">
        <f aca="false">MAX(AK12:AK42)</f>
        <v>77</v>
      </c>
      <c r="AL45" s="222" t="n">
        <f aca="false">MAX(AL12:AL42)</f>
        <v>44</v>
      </c>
      <c r="AM45" s="133" t="s">
        <v>82</v>
      </c>
      <c r="AN45" s="218"/>
      <c r="AO45" s="218"/>
      <c r="AP45" s="215" t="n">
        <f aca="false">SUM(AP12:AP42)</f>
        <v>-37.7797704238884</v>
      </c>
      <c r="AQ45" s="133" t="n">
        <f aca="false">AQ44*$D$2</f>
        <v>0</v>
      </c>
      <c r="AR45" s="10"/>
      <c r="AS45" s="133" t="n">
        <f aca="false">AS44*$D$2</f>
        <v>2038.8971715</v>
      </c>
    </row>
    <row r="46" customFormat="false" ht="3" hidden="false" customHeight="true" outlineLevel="0" collapsed="false">
      <c r="A46" s="229"/>
      <c r="B46" s="247"/>
      <c r="C46" s="231"/>
      <c r="D46" s="231"/>
      <c r="E46" s="231"/>
      <c r="F46" s="250"/>
      <c r="G46" s="231"/>
      <c r="H46" s="240"/>
      <c r="I46" s="231"/>
      <c r="J46" s="231"/>
      <c r="K46" s="231"/>
      <c r="L46" s="231"/>
      <c r="M46" s="251"/>
      <c r="N46" s="231"/>
      <c r="O46" s="231"/>
      <c r="P46" s="234"/>
      <c r="Q46" s="231"/>
      <c r="R46" s="231"/>
      <c r="S46" s="231"/>
      <c r="T46" s="236"/>
      <c r="U46" s="231"/>
      <c r="V46" s="231"/>
      <c r="W46" s="231"/>
      <c r="X46" s="231"/>
      <c r="Y46" s="231"/>
      <c r="Z46" s="231"/>
      <c r="AA46" s="231"/>
      <c r="AB46" s="251"/>
      <c r="AC46" s="252"/>
      <c r="AD46" s="231"/>
      <c r="AE46" s="232"/>
      <c r="AF46" s="231"/>
      <c r="AG46" s="231"/>
      <c r="AH46" s="231"/>
      <c r="AI46" s="231"/>
      <c r="AJ46" s="253"/>
      <c r="AK46" s="231"/>
      <c r="AL46" s="250"/>
      <c r="AM46" s="231"/>
      <c r="AN46" s="237"/>
      <c r="AO46" s="237"/>
      <c r="AP46" s="234"/>
      <c r="AQ46" s="240"/>
      <c r="AR46" s="240"/>
      <c r="AS46" s="240"/>
    </row>
    <row r="47" customFormat="false" ht="12.95" hidden="false" customHeight="true" outlineLevel="0" collapsed="false">
      <c r="A47" s="158" t="s">
        <v>83</v>
      </c>
      <c r="B47" s="213"/>
      <c r="C47" s="95"/>
      <c r="D47" s="95"/>
      <c r="E47" s="95"/>
      <c r="F47" s="214" t="n">
        <f aca="false">F9+F44</f>
        <v>-6865.6415427275</v>
      </c>
      <c r="G47" s="95" t="n">
        <f aca="false">G9+G44</f>
        <v>169469</v>
      </c>
      <c r="H47" s="133" t="n">
        <f aca="false">H9+H44</f>
        <v>8811.68</v>
      </c>
      <c r="I47" s="95" t="n">
        <f aca="false">I9+I44</f>
        <v>178280.68</v>
      </c>
      <c r="J47" s="95" t="n">
        <f aca="false">J9+J44</f>
        <v>26444.1039752962</v>
      </c>
      <c r="K47" s="95" t="n">
        <f aca="false">K9+K44</f>
        <v>204724.783975296</v>
      </c>
      <c r="L47" s="95" t="n">
        <f aca="false">L9+L44</f>
        <v>22608.4784572725</v>
      </c>
      <c r="M47" s="216" t="n">
        <f aca="false">M9+M44</f>
        <v>46561.4</v>
      </c>
      <c r="N47" s="95" t="n">
        <f aca="false">N9+N44</f>
        <v>403.346558</v>
      </c>
      <c r="O47" s="95" t="n">
        <f aca="false">O9+O44</f>
        <v>14356.3375</v>
      </c>
      <c r="P47" s="215" t="n">
        <f aca="false">P9+P44</f>
        <v>7.32</v>
      </c>
      <c r="Q47" s="95"/>
      <c r="R47" s="95"/>
      <c r="S47" s="95"/>
      <c r="T47" s="217"/>
      <c r="U47" s="95" t="n">
        <f aca="false">U9+U44</f>
        <v>23115.3</v>
      </c>
      <c r="V47" s="95" t="n">
        <f aca="false">V9+V44</f>
        <v>11637.2</v>
      </c>
      <c r="W47" s="95" t="n">
        <f aca="false">W9+W44</f>
        <v>65649.534942</v>
      </c>
      <c r="X47" s="95" t="n">
        <f aca="false">X26</f>
        <v>0</v>
      </c>
      <c r="Y47" s="95"/>
      <c r="Z47" s="95"/>
      <c r="AA47" s="95" t="n">
        <f aca="false">AA9+AA44</f>
        <v>28199.1</v>
      </c>
      <c r="AB47" s="216"/>
      <c r="AC47" s="219"/>
      <c r="AD47" s="95"/>
      <c r="AE47" s="95"/>
      <c r="AF47" s="95" t="n">
        <f aca="false">AF9+AF44</f>
        <v>0</v>
      </c>
      <c r="AG47" s="95" t="n">
        <f aca="false">AG9+AG44</f>
        <v>207754.8</v>
      </c>
      <c r="AH47" s="95" t="n">
        <f aca="false">AH9+AH44</f>
        <v>3835.62551802369</v>
      </c>
      <c r="AI47" s="95" t="n">
        <f aca="false">AI9+AI44</f>
        <v>211590.425518024</v>
      </c>
      <c r="AJ47" s="337"/>
      <c r="AK47" s="133" t="n">
        <f aca="false">MIN(AK12:AK42)</f>
        <v>43</v>
      </c>
      <c r="AL47" s="222" t="n">
        <f aca="false">MIN(AL12:AL42)</f>
        <v>20</v>
      </c>
      <c r="AM47" s="133" t="s">
        <v>84</v>
      </c>
      <c r="AN47" s="218"/>
      <c r="AO47" s="218"/>
      <c r="AP47" s="215"/>
      <c r="AQ47" s="133" t="n">
        <f aca="false">AQ9+AQ44</f>
        <v>655.55</v>
      </c>
      <c r="AR47" s="133" t="n">
        <f aca="false">AR9+AR44</f>
        <v>771.62</v>
      </c>
      <c r="AS47" s="133" t="n">
        <f aca="false">AS10+AS44</f>
        <v>1997.454</v>
      </c>
    </row>
    <row r="48" customFormat="false" ht="12.95" hidden="false" customHeight="true" outlineLevel="0" collapsed="false">
      <c r="A48" s="158" t="s">
        <v>85</v>
      </c>
      <c r="B48" s="213"/>
      <c r="C48" s="95"/>
      <c r="D48" s="95"/>
      <c r="E48" s="95"/>
      <c r="F48" s="214" t="n">
        <f aca="false">F47*$D$2</f>
        <v>-13618</v>
      </c>
      <c r="G48" s="95" t="n">
        <f aca="false">G47*$D$2</f>
        <v>336141.7615</v>
      </c>
      <c r="H48" s="133" t="n">
        <f aca="false">H47*$D$2</f>
        <v>17477.96728</v>
      </c>
      <c r="I48" s="95" t="n">
        <f aca="false">I47*$D$2</f>
        <v>353619.72878</v>
      </c>
      <c r="J48" s="95" t="n">
        <f aca="false">J47*$D$2</f>
        <v>52451.880235</v>
      </c>
      <c r="K48" s="95" t="n">
        <f aca="false">K47*$D$2</f>
        <v>406071.609015</v>
      </c>
      <c r="L48" s="95" t="n">
        <f aca="false">L47*$D$2</f>
        <v>44843.91702</v>
      </c>
      <c r="M48" s="216" t="n">
        <f aca="false">M47*$D$2</f>
        <v>92354.5369</v>
      </c>
      <c r="N48" s="95" t="n">
        <f aca="false">N47*$D$2</f>
        <v>800.037897793</v>
      </c>
      <c r="O48" s="95" t="n">
        <f aca="false">O47*$D$2</f>
        <v>28475.79543125</v>
      </c>
      <c r="P48" s="215" t="n">
        <f aca="false">P47*$D$2</f>
        <v>14.51922</v>
      </c>
      <c r="Q48" s="95"/>
      <c r="R48" s="95"/>
      <c r="S48" s="95"/>
      <c r="T48" s="217"/>
      <c r="U48" s="95" t="n">
        <f aca="false">U47*$D$2</f>
        <v>45849.19755</v>
      </c>
      <c r="V48" s="95" t="n">
        <f aca="false">V47*$D$2</f>
        <v>23082.3862</v>
      </c>
      <c r="W48" s="95" t="n">
        <f aca="false">W47*$D$2</f>
        <v>130215.852557457</v>
      </c>
      <c r="X48" s="95" t="n">
        <f aca="false">X47*$D$2</f>
        <v>0</v>
      </c>
      <c r="Y48" s="95"/>
      <c r="Z48" s="95"/>
      <c r="AA48" s="95" t="n">
        <f aca="false">AA47*$D$2</f>
        <v>55932.91485</v>
      </c>
      <c r="AB48" s="216"/>
      <c r="AC48" s="219"/>
      <c r="AD48" s="95"/>
      <c r="AE48" s="95"/>
      <c r="AF48" s="95" t="n">
        <f aca="false">AF47*$D$2</f>
        <v>0</v>
      </c>
      <c r="AG48" s="95" t="n">
        <f aca="false">AG47*$D$2</f>
        <v>412081.6458</v>
      </c>
      <c r="AH48" s="95" t="n">
        <f aca="false">AH47*$D$2</f>
        <v>7607.963215</v>
      </c>
      <c r="AI48" s="95" t="n">
        <f aca="false">AI47*$D$2</f>
        <v>419689.609015</v>
      </c>
      <c r="AJ48" s="337"/>
      <c r="AK48" s="133"/>
      <c r="AL48" s="222"/>
      <c r="AM48" s="133"/>
      <c r="AN48" s="218"/>
      <c r="AO48" s="218"/>
      <c r="AP48" s="215" t="n">
        <f aca="false">AP9+AP45</f>
        <v>233.190613607159</v>
      </c>
      <c r="AQ48" s="133" t="n">
        <f aca="false">AQ47*$D$2</f>
        <v>1300.283425</v>
      </c>
      <c r="AR48" s="133" t="n">
        <f aca="false">AR47*$D$2</f>
        <v>1530.50827</v>
      </c>
      <c r="AS48" s="133" t="n">
        <f aca="false">AS47*$D$2</f>
        <v>3961.950009</v>
      </c>
    </row>
    <row r="49" customFormat="false" ht="3" hidden="false" customHeight="true" outlineLevel="0" collapsed="false">
      <c r="A49" s="229"/>
      <c r="B49" s="247"/>
      <c r="C49" s="231"/>
      <c r="D49" s="231"/>
      <c r="E49" s="231"/>
      <c r="F49" s="250"/>
      <c r="G49" s="231"/>
      <c r="H49" s="240"/>
      <c r="I49" s="231"/>
      <c r="J49" s="231"/>
      <c r="K49" s="231"/>
      <c r="L49" s="231"/>
      <c r="M49" s="251"/>
      <c r="N49" s="231"/>
      <c r="O49" s="231"/>
      <c r="P49" s="234"/>
      <c r="Q49" s="231"/>
      <c r="R49" s="231"/>
      <c r="S49" s="231"/>
      <c r="T49" s="236"/>
      <c r="U49" s="231"/>
      <c r="V49" s="231"/>
      <c r="W49" s="231"/>
      <c r="X49" s="231"/>
      <c r="Y49" s="231"/>
      <c r="Z49" s="231"/>
      <c r="AA49" s="231"/>
      <c r="AB49" s="251"/>
      <c r="AC49" s="252"/>
      <c r="AD49" s="231"/>
      <c r="AE49" s="231"/>
      <c r="AF49" s="231"/>
      <c r="AG49" s="231"/>
      <c r="AH49" s="231"/>
      <c r="AI49" s="231"/>
      <c r="AJ49" s="463"/>
      <c r="AK49" s="234"/>
      <c r="AL49" s="518"/>
      <c r="AM49" s="234"/>
      <c r="AN49" s="237"/>
      <c r="AO49" s="237"/>
      <c r="AP49" s="234"/>
      <c r="AQ49" s="240"/>
      <c r="AR49" s="240"/>
      <c r="AS49" s="240"/>
    </row>
    <row r="50" customFormat="false" ht="12.95" hidden="false" customHeight="true" outlineLevel="0" collapsed="false">
      <c r="A50" s="158" t="s">
        <v>86</v>
      </c>
      <c r="B50" s="213"/>
      <c r="C50" s="95"/>
      <c r="D50" s="95"/>
      <c r="E50" s="95"/>
      <c r="F50" s="214" t="n">
        <f aca="false">F10+F44</f>
        <v>-1551.80236954878</v>
      </c>
      <c r="G50" s="95" t="n">
        <f aca="false">G10+G44</f>
        <v>185733</v>
      </c>
      <c r="H50" s="133" t="n">
        <f aca="false">H10+H44</f>
        <v>10957.82</v>
      </c>
      <c r="I50" s="95" t="n">
        <f aca="false">I10+I44</f>
        <v>196690.82</v>
      </c>
      <c r="J50" s="95" t="n">
        <f aca="false">J10+J44</f>
        <v>33442.22971515</v>
      </c>
      <c r="K50" s="95" t="n">
        <f aca="false">K10+K44</f>
        <v>230133.04971515</v>
      </c>
      <c r="L50" s="95" t="n">
        <f aca="false">L10+L44</f>
        <v>27584.7376304512</v>
      </c>
      <c r="M50" s="216" t="n">
        <f aca="false">M10+M44</f>
        <v>47474.2</v>
      </c>
      <c r="N50" s="95" t="n">
        <f aca="false">N10+N44</f>
        <v>403.346558</v>
      </c>
      <c r="O50" s="95" t="n">
        <f aca="false">O10+O44</f>
        <v>14356.3375</v>
      </c>
      <c r="P50" s="215"/>
      <c r="Q50" s="95" t="n">
        <f aca="false">Q10+Q44</f>
        <v>705.738</v>
      </c>
      <c r="R50" s="133" t="n">
        <f aca="false">R10+R44</f>
        <v>1293.873</v>
      </c>
      <c r="S50" s="95" t="n">
        <f aca="false">S10+S44</f>
        <v>411.82</v>
      </c>
      <c r="T50" s="217" t="n">
        <f aca="false">T10+T44</f>
        <v>-94.5288</v>
      </c>
      <c r="U50" s="95" t="n">
        <f aca="false">U10+U44</f>
        <v>29180.26</v>
      </c>
      <c r="V50" s="95" t="n">
        <f aca="false">V10+V44</f>
        <v>11722</v>
      </c>
      <c r="W50" s="95" t="n">
        <f aca="false">W10+W44</f>
        <v>72101.834942</v>
      </c>
      <c r="X50" s="95"/>
      <c r="Y50" s="95"/>
      <c r="Z50" s="95"/>
      <c r="AA50" s="95"/>
      <c r="AB50" s="216"/>
      <c r="AC50" s="219"/>
      <c r="AD50" s="95" t="n">
        <f aca="false">AD10+AD44</f>
        <v>109388</v>
      </c>
      <c r="AE50" s="95" t="n">
        <f aca="false">AE42</f>
        <v>6078.25787748929</v>
      </c>
      <c r="AF50" s="95" t="n">
        <f aca="false">AF10+AF44</f>
        <v>94496</v>
      </c>
      <c r="AG50" s="95" t="n">
        <f aca="false">AG10+AG44</f>
        <v>225827.36</v>
      </c>
      <c r="AH50" s="95" t="n">
        <f aca="false">AH10+AH44</f>
        <v>5857.49208469876</v>
      </c>
      <c r="AI50" s="95" t="n">
        <f aca="false">AI10+AI44</f>
        <v>231684.852084699</v>
      </c>
      <c r="AJ50" s="462" t="n">
        <f aca="false">AJ10+AJ44</f>
        <v>14.8</v>
      </c>
      <c r="AK50" s="133"/>
      <c r="AL50" s="222"/>
      <c r="AM50" s="133"/>
      <c r="AN50" s="218" t="n">
        <f aca="false">AN10+AN44</f>
        <v>0</v>
      </c>
      <c r="AO50" s="218"/>
      <c r="AP50" s="215"/>
      <c r="AQ50" s="133" t="n">
        <f aca="false">AQ10+AQ44</f>
        <v>0</v>
      </c>
      <c r="AR50" s="133"/>
      <c r="AS50" s="154"/>
    </row>
    <row r="51" customFormat="false" ht="12.95" hidden="false" customHeight="true" outlineLevel="0" collapsed="false">
      <c r="A51" s="158" t="s">
        <v>87</v>
      </c>
      <c r="B51" s="213"/>
      <c r="C51" s="95"/>
      <c r="D51" s="95" t="n">
        <f aca="false">D10+D45</f>
        <v>-3153</v>
      </c>
      <c r="E51" s="95" t="n">
        <f aca="false">E42</f>
        <v>132801</v>
      </c>
      <c r="F51" s="214" t="n">
        <f aca="false">F50*$D$2</f>
        <v>-3078.00000000001</v>
      </c>
      <c r="G51" s="95" t="n">
        <f aca="false">G50*$D$2</f>
        <v>368401.4055</v>
      </c>
      <c r="H51" s="133" t="n">
        <f aca="false">H50*$D$2</f>
        <v>21734.83597</v>
      </c>
      <c r="I51" s="95" t="n">
        <f aca="false">I50*$D$2</f>
        <v>390136.24147</v>
      </c>
      <c r="J51" s="95" t="n">
        <f aca="false">J50*$D$2</f>
        <v>66332.66264</v>
      </c>
      <c r="K51" s="95" t="n">
        <f aca="false">K50*$D$2</f>
        <v>456468.90411</v>
      </c>
      <c r="L51" s="95" t="n">
        <f aca="false">L50*$D$2</f>
        <v>54714.32709</v>
      </c>
      <c r="M51" s="216" t="n">
        <f aca="false">M50*$D$2</f>
        <v>94165.0757</v>
      </c>
      <c r="N51" s="95" t="n">
        <f aca="false">N50*$D$2</f>
        <v>800.037897793</v>
      </c>
      <c r="O51" s="95" t="n">
        <f aca="false">O50*$D$2</f>
        <v>28475.79543125</v>
      </c>
      <c r="P51" s="215"/>
      <c r="Q51" s="133" t="n">
        <f aca="false">Q50*$D$2</f>
        <v>1399.831323</v>
      </c>
      <c r="R51" s="133" t="n">
        <f aca="false">R50*$D$2</f>
        <v>2566.3970955</v>
      </c>
      <c r="S51" s="225" t="n">
        <f aca="false">S50*$D$2</f>
        <v>816.84497</v>
      </c>
      <c r="T51" s="258" t="n">
        <f aca="false">T50*$D$2</f>
        <v>-187.4978748</v>
      </c>
      <c r="U51" s="95" t="n">
        <f aca="false">U50*$D$2</f>
        <v>57879.04571</v>
      </c>
      <c r="V51" s="95" t="n">
        <f aca="false">V50*$D$2</f>
        <v>23250.587</v>
      </c>
      <c r="W51" s="95" t="n">
        <f aca="false">W50*$D$2</f>
        <v>143013.989607457</v>
      </c>
      <c r="X51" s="95"/>
      <c r="Y51" s="95"/>
      <c r="Z51" s="95"/>
      <c r="AA51" s="95"/>
      <c r="AB51" s="259"/>
      <c r="AC51" s="260"/>
      <c r="AD51" s="95" t="n">
        <f aca="false">AD50*$D$2</f>
        <v>216971.098</v>
      </c>
      <c r="AE51" s="95" t="n">
        <f aca="false">AE50*$D$2</f>
        <v>12056.2245</v>
      </c>
      <c r="AF51" s="95" t="n">
        <f aca="false">AF50*$D$2</f>
        <v>187432.816</v>
      </c>
      <c r="AG51" s="95" t="n">
        <f aca="false">AG50*$D$2</f>
        <v>447928.56856</v>
      </c>
      <c r="AH51" s="95" t="n">
        <f aca="false">AH50*$D$2</f>
        <v>11618.33555</v>
      </c>
      <c r="AI51" s="95" t="n">
        <f aca="false">AI50*$D$2</f>
        <v>459546.90411</v>
      </c>
      <c r="AJ51" s="337"/>
      <c r="AK51" s="133"/>
      <c r="AL51" s="222"/>
      <c r="AM51" s="133" t="n">
        <f aca="false">AM42</f>
        <v>13022.27255</v>
      </c>
      <c r="AN51" s="218" t="n">
        <f aca="false">AN50*$D$2</f>
        <v>0</v>
      </c>
      <c r="AO51" s="218"/>
      <c r="AP51" s="215" t="n">
        <f aca="false">AP10+AP45</f>
        <v>233.190613607159</v>
      </c>
      <c r="AQ51" s="133" t="n">
        <f aca="false">AQ50*$D$2</f>
        <v>0</v>
      </c>
      <c r="AR51" s="133"/>
      <c r="AS51" s="154"/>
    </row>
    <row r="52" customFormat="false" ht="3" hidden="false" customHeight="true" outlineLevel="0" collapsed="false">
      <c r="A52" s="229"/>
      <c r="B52" s="302"/>
      <c r="C52" s="289"/>
      <c r="D52" s="229"/>
      <c r="E52" s="289"/>
      <c r="F52" s="290"/>
      <c r="G52" s="229"/>
      <c r="H52" s="519"/>
      <c r="I52" s="229"/>
      <c r="J52" s="229"/>
      <c r="K52" s="229"/>
      <c r="L52" s="229"/>
      <c r="M52" s="471"/>
      <c r="N52" s="229"/>
      <c r="O52" s="229"/>
      <c r="P52" s="293"/>
      <c r="Q52" s="229"/>
      <c r="R52" s="520"/>
      <c r="S52" s="229"/>
      <c r="T52" s="294"/>
      <c r="U52" s="229"/>
      <c r="V52" s="229"/>
      <c r="W52" s="229"/>
      <c r="X52" s="289"/>
      <c r="Y52" s="289"/>
      <c r="Z52" s="289"/>
      <c r="AA52" s="229"/>
      <c r="AB52" s="235"/>
      <c r="AC52" s="238"/>
      <c r="AD52" s="229"/>
      <c r="AE52" s="289"/>
      <c r="AF52" s="289"/>
      <c r="AG52" s="229"/>
      <c r="AH52" s="229"/>
      <c r="AI52" s="229"/>
      <c r="AJ52" s="302"/>
      <c r="AK52" s="229"/>
      <c r="AL52" s="290"/>
      <c r="AM52" s="229"/>
      <c r="AN52" s="470"/>
      <c r="AO52" s="470"/>
      <c r="AP52" s="293"/>
      <c r="AQ52" s="229"/>
      <c r="AR52" s="229"/>
      <c r="AS52" s="229"/>
    </row>
    <row r="53" customFormat="false" ht="11.1" hidden="false" customHeight="true" outlineLevel="0" collapsed="false">
      <c r="G53" s="264"/>
      <c r="H53" s="521"/>
      <c r="I53" s="148"/>
      <c r="N53" s="2"/>
      <c r="Q53" s="151"/>
      <c r="V53" s="10"/>
      <c r="W53" s="1"/>
      <c r="X53" s="96"/>
      <c r="AA53" s="151"/>
      <c r="AB53" s="151"/>
      <c r="AC53" s="151"/>
      <c r="AD53" s="96"/>
      <c r="AG53" s="152"/>
      <c r="AH53" s="152"/>
      <c r="AI53" s="432"/>
      <c r="AJ53" s="522"/>
      <c r="AK53" s="313"/>
      <c r="AL53" s="194"/>
      <c r="AN53" s="340"/>
      <c r="AP53" s="188"/>
    </row>
    <row r="54" customFormat="false" ht="11.1" hidden="false" customHeight="true" outlineLevel="0" collapsed="false">
      <c r="A54" s="158"/>
      <c r="B54" s="501"/>
      <c r="C54" s="2"/>
      <c r="D54" s="1"/>
      <c r="E54" s="429"/>
      <c r="F54" s="160"/>
      <c r="G54" s="1"/>
      <c r="H54" s="523"/>
      <c r="I54" s="147"/>
      <c r="J54" s="11"/>
      <c r="K54" s="148"/>
      <c r="L54" s="11"/>
      <c r="M54" s="11"/>
      <c r="N54" s="2"/>
      <c r="O54" s="2"/>
      <c r="P54" s="524"/>
      <c r="Q54" s="451"/>
      <c r="R54" s="82"/>
      <c r="S54" s="82"/>
      <c r="T54" s="82"/>
      <c r="U54" s="26"/>
      <c r="V54" s="118"/>
      <c r="W54" s="447"/>
      <c r="X54" s="96"/>
      <c r="Y54" s="203"/>
      <c r="Z54" s="203"/>
      <c r="AA54" s="2"/>
      <c r="AB54" s="2"/>
      <c r="AC54" s="2"/>
      <c r="AD54" s="11"/>
      <c r="AE54" s="2"/>
      <c r="AF54" s="93"/>
      <c r="AG54" s="93"/>
      <c r="AH54" s="160"/>
      <c r="AI54" s="432"/>
      <c r="AJ54" s="313"/>
      <c r="AK54" s="313"/>
      <c r="AL54" s="313"/>
      <c r="AM54" s="502"/>
      <c r="AN54" s="525"/>
      <c r="AQ54" s="190"/>
    </row>
    <row r="55" customFormat="false" ht="11.1" hidden="false" customHeight="true" outlineLevel="0" collapsed="false">
      <c r="B55" s="96"/>
      <c r="E55" s="429"/>
      <c r="F55" s="224"/>
      <c r="G55" s="1"/>
      <c r="H55" s="523"/>
      <c r="I55" s="1"/>
      <c r="J55" s="1"/>
      <c r="K55" s="448"/>
      <c r="L55" s="4"/>
      <c r="M55" s="4"/>
      <c r="N55" s="4"/>
      <c r="O55" s="96"/>
      <c r="P55" s="432"/>
      <c r="Q55" s="150"/>
      <c r="R55" s="82"/>
      <c r="S55" s="82"/>
      <c r="T55" s="82"/>
      <c r="U55" s="26"/>
      <c r="V55" s="118"/>
      <c r="W55" s="79"/>
      <c r="X55" s="96"/>
      <c r="AA55" s="96"/>
      <c r="AB55" s="96"/>
      <c r="AC55" s="96"/>
      <c r="AD55" s="2"/>
      <c r="AE55" s="26"/>
      <c r="AF55" s="452"/>
      <c r="AG55" s="452"/>
      <c r="AH55" s="152"/>
      <c r="AI55" s="432"/>
      <c r="AJ55" s="313"/>
      <c r="AK55" s="313"/>
      <c r="AL55" s="194"/>
      <c r="AN55" s="340"/>
      <c r="AQ55" s="190"/>
    </row>
    <row r="56" customFormat="false" ht="11.1" hidden="false" customHeight="true" outlineLevel="0" collapsed="false">
      <c r="D56" s="96"/>
      <c r="E56" s="429"/>
      <c r="F56" s="1"/>
      <c r="G56" s="1"/>
      <c r="H56" s="203"/>
      <c r="I56" s="1"/>
      <c r="J56" s="1"/>
      <c r="K56" s="448"/>
      <c r="L56" s="154"/>
      <c r="M56" s="4"/>
      <c r="N56" s="4"/>
      <c r="O56" s="154"/>
      <c r="P56" s="432"/>
      <c r="Q56" s="150"/>
      <c r="R56" s="82"/>
      <c r="S56" s="82"/>
      <c r="T56" s="82"/>
      <c r="U56" s="26"/>
      <c r="V56" s="26"/>
      <c r="W56" s="79"/>
      <c r="X56" s="154"/>
      <c r="Y56" s="154"/>
      <c r="Z56" s="154"/>
      <c r="AA56" s="96"/>
      <c r="AB56" s="96"/>
      <c r="AC56" s="96"/>
      <c r="AD56" s="2"/>
      <c r="AE56" s="96"/>
      <c r="AF56" s="224"/>
      <c r="AG56" s="224"/>
      <c r="AH56" s="152"/>
      <c r="AI56" s="526"/>
      <c r="AJ56" s="313"/>
      <c r="AK56" s="313"/>
      <c r="AL56" s="194"/>
      <c r="AQ56" s="190"/>
    </row>
    <row r="57" customFormat="false" ht="11.1" hidden="false" customHeight="true" outlineLevel="0" collapsed="false">
      <c r="G57" s="265"/>
      <c r="H57" s="521"/>
      <c r="Q57" s="150"/>
      <c r="R57" s="150"/>
      <c r="S57" s="150"/>
      <c r="V57" s="10"/>
      <c r="W57" s="1"/>
      <c r="X57" s="96"/>
      <c r="AD57" s="96"/>
      <c r="AG57" s="152"/>
      <c r="AH57" s="152"/>
      <c r="AI57" s="432"/>
      <c r="AJ57" s="522"/>
      <c r="AK57" s="313"/>
      <c r="AL57" s="194"/>
      <c r="AQ57" s="190"/>
    </row>
    <row r="58" customFormat="false" ht="11.1" hidden="false" customHeight="true" outlineLevel="0" collapsed="false">
      <c r="H58" s="521"/>
      <c r="Q58" s="150"/>
      <c r="R58" s="150"/>
      <c r="S58" s="150"/>
      <c r="V58" s="10"/>
      <c r="W58" s="96"/>
      <c r="X58" s="96"/>
      <c r="AD58" s="96"/>
      <c r="AG58" s="152"/>
      <c r="AH58" s="152"/>
      <c r="AI58" s="432"/>
      <c r="AJ58" s="522"/>
      <c r="AK58" s="313"/>
      <c r="AL58" s="194"/>
      <c r="AQ58" s="190"/>
    </row>
    <row r="59" customFormat="false" ht="11.1" hidden="false" customHeight="true" outlineLevel="0" collapsed="false">
      <c r="H59" s="521"/>
      <c r="Q59" s="151"/>
      <c r="V59" s="10"/>
      <c r="W59" s="96"/>
      <c r="Y59" s="10"/>
      <c r="Z59" s="10"/>
      <c r="AD59" s="96"/>
      <c r="AG59" s="152"/>
      <c r="AH59" s="152"/>
      <c r="AI59" s="432"/>
      <c r="AJ59" s="522"/>
      <c r="AK59" s="313"/>
      <c r="AL59" s="194"/>
      <c r="AP59" s="188"/>
    </row>
  </sheetData>
  <mergeCells count="2">
    <mergeCell ref="K2:Z2"/>
    <mergeCell ref="M5:T5"/>
  </mergeCells>
  <printOptions headings="true" gridLines="true" gridLinesSet="true" horizontalCentered="true" verticalCentered="false"/>
  <pageMargins left="0.25" right="0.25" top="0.25" bottom="0" header="0.511811023622047" footer="0.511811023622047"/>
  <pageSetup paperSize="5" scale="100"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57"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LaVon Millard</cp:lastModifiedBy>
  <cp:lastPrinted>2012-12-02T12:45:51Z</cp:lastPrinted>
  <dcterms:modified xsi:type="dcterms:W3CDTF">2012-12-02T12:46:38Z</dcterms:modified>
  <cp:revision>0</cp:revision>
  <dc:subject>MCPHEE IN/OUT FLOW</dc:subject>
  <dc:title>RIVER</dc:title>
</cp:coreProperties>
</file>