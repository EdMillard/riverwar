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externalReferences>
    <externalReference r:id="rId14"/>
  </externalReferences>
  <definedNames>
    <definedName function="false" hidden="false" localSheetId="5" name="_xlnm.Print_Area" vbProcedure="false">APR!$A$1:$AC$55</definedName>
    <definedName function="false" hidden="false" localSheetId="9" name="_xlnm.Print_Area" vbProcedure="false">AUG!$A$1:$AC$57</definedName>
    <definedName function="false" hidden="false" localSheetId="1" name="_xlnm.Print_Area" vbProcedure="false">DEC!$A$1:$AC$52</definedName>
    <definedName function="false" hidden="false" localSheetId="3" name="_xlnm.Print_Area" vbProcedure="false">FEB!$A$1:$AC$53</definedName>
    <definedName function="false" hidden="false" localSheetId="2" name="_xlnm.Print_Area" vbProcedure="false">JAN!$A$1:$AC$55</definedName>
    <definedName function="false" hidden="false" localSheetId="8" name="_xlnm.Print_Area" vbProcedure="false">JUL!$A$1:$AC$55</definedName>
    <definedName function="false" hidden="false" localSheetId="7" name="_xlnm.Print_Area" vbProcedure="false">JUN!$A$1:$AC$55</definedName>
    <definedName function="false" hidden="false" localSheetId="4" name="_xlnm.Print_Area" vbProcedure="false">MAR!$A$1:$AC$55</definedName>
    <definedName function="false" hidden="false" localSheetId="6" name="_xlnm.Print_Area" vbProcedure="false">MAY!$A$1:$AC$55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OCT!$A$1:$AC$55</definedName>
    <definedName function="false" hidden="false" localSheetId="10" name="_xlnm.Print_Area" vbProcedure="false">SEP!$A$1:$AC$57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<sst xmlns="http://schemas.openxmlformats.org/spreadsheetml/2006/main" count="827" uniqueCount="85">
  <si>
    <t xml:space="preserve">MC  PHEE  RESERVOIR  IN/OUT  FLOW  TABULATION</t>
  </si>
  <si>
    <t xml:space="preserve">AF/cfs  CONVERT FACTOR</t>
  </si>
  <si>
    <t xml:space="preserve">NOVEMBER  "1887"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</si>
  <si>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</si>
  <si>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</si>
  <si>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</si>
  <si>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</si>
  <si>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</si>
  <si>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</si>
  <si>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</si>
  <si>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</si>
  <si>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</si>
  <si>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</si>
  <si>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</si>
  <si>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</si>
  <si>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</si>
  <si>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</si>
  <si>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</si>
  <si>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</si>
  <si>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</si>
  <si>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</si>
  <si>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</si>
  <si>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</si>
  <si>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</si>
  <si>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</si>
  <si>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</si>
  <si>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</si>
  <si>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</si>
  <si>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</si>
  <si>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</si>
  <si>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</si>
  <si>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</si>
  <si>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</si>
  <si>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</si>
  <si>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</si>
  <si>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</si>
  <si>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</si>
  <si>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</si>
  <si>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</si>
  <si>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</si>
  <si>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</si>
  <si>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</si>
  <si>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</si>
  <si>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</si>
  <si>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</si>
  <si>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AVE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</si>
  <si>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</si>
  <si>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</si>
  <si>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</si>
  <si>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</si>
  <si>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</si>
  <si>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</si>
  <si>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</si>
  <si>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"1987"</t>
  </si>
  <si>
    <t xml:space="preserve">"DEC"</t>
  </si>
  <si>
    <t xml:space="preserve">JANUARY  "1988"</t>
  </si>
  <si>
    <t xml:space="preserve">"JAN"</t>
  </si>
  <si>
    <t xml:space="preserve">FEBRUARY  "1988"</t>
  </si>
  <si>
    <t xml:space="preserve">FEB</t>
  </si>
  <si>
    <t xml:space="preserve">MARCH  "1988"</t>
  </si>
  <si>
    <t xml:space="preserve">MAR</t>
  </si>
  <si>
    <t xml:space="preserve">APRIL  "1988"</t>
  </si>
  <si>
    <t xml:space="preserve">"APR"</t>
  </si>
  <si>
    <t xml:space="preserve">MVI/CTZ/MWC</t>
  </si>
  <si>
    <t xml:space="preserve">Avg</t>
  </si>
  <si>
    <t xml:space="preserve">hi</t>
  </si>
  <si>
    <t xml:space="preserve">lo</t>
  </si>
  <si>
    <t xml:space="preserve">MAY  "1988"</t>
  </si>
  <si>
    <t xml:space="preserve">"MAY"</t>
  </si>
  <si>
    <t xml:space="preserve">AVG</t>
  </si>
  <si>
    <t xml:space="preserve">JUNE  "1988"</t>
  </si>
  <si>
    <t xml:space="preserve">"JUN"</t>
  </si>
  <si>
    <t xml:space="preserve">JULY  "1988"</t>
  </si>
  <si>
    <t xml:space="preserve">"JUL"</t>
  </si>
  <si>
    <t xml:space="preserve">.</t>
  </si>
  <si>
    <t xml:space="preserve">AUGUST  "1988"</t>
  </si>
  <si>
    <t xml:space="preserve">"AUG"</t>
  </si>
  <si>
    <t xml:space="preserve">SEPTEMBER  "1988"</t>
  </si>
  <si>
    <t xml:space="preserve">"SEP"</t>
  </si>
  <si>
    <t xml:space="preserve">OCTOBER  "1988"</t>
  </si>
  <si>
    <t xml:space="preserve">"OCT"</t>
  </si>
  <si>
    <t xml:space="preserve">Ctz</t>
  </si>
  <si>
    <t xml:space="preserve">Utes</t>
  </si>
  <si>
    <t xml:space="preserve">MWC</t>
  </si>
  <si>
    <t xml:space="preserve">Total MVIC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</si>
</sst>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0.0000"/>
    <numFmt numFmtId="171" formatCode="0.000"/>
    <numFmt numFmtId="172" formatCode="#,##0.00"/>
    <numFmt numFmtId="173" formatCode="[$-409]d\-mmm"/>
    <numFmt numFmtId="174" formatCode="##0.0"/>
    <numFmt numFmtId="175" formatCode="0%"/>
    <numFmt numFmtId="176" formatCode="0.00"/>
    <numFmt numFmtId="177" formatCode="[$-409]mmm\-yy"/>
    <numFmt numFmtId="178" formatCode="0.0_);\(0.0\)"/>
    <numFmt numFmtId="179" formatCode="#,##0.00000"/>
    <numFmt numFmtId="180" formatCode="#,##0.0000"/>
    <numFmt numFmtId="181" formatCode="[$-409]m/d/yyyy"/>
    <numFmt numFmtId="182" formatCode="0.0_);[RED]\(0.0\)"/>
    <numFmt numFmtId="183" formatCode="0.00%"/>
    <numFmt numFmtId="184" formatCode="0.0%"/>
  </numFmts>
  <fonts count="17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7"/>
      <name val="Arial Narrow"/>
      <family val="2"/>
    </font>
    <font>
      <b val="true"/>
      <sz val="8"/>
      <name val="Arial Narrow"/>
      <family val="0"/>
    </font>
    <font>
      <sz val="6"/>
      <name val="LinePrinter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2D2E30"/>
      </patternFill>
    </fill>
    <fill>
      <patternFill patternType="solid">
        <fgColor rgb="FF1EFC1E"/>
        <bgColor rgb="FF33CCCC"/>
      </patternFill>
    </fill>
    <fill>
      <patternFill patternType="solid">
        <fgColor rgb="FF2D2E30"/>
        <bgColor rgb="FF46464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/>
      <right/>
      <top/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2D2E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8526960" y="1299240"/>
          <a:ext cx="21600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A:/River2000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4">
          <cell r="N44">
            <v>204.87</v>
          </cell>
          <cell r="O44">
            <v>11053.4015</v>
          </cell>
          <cell r="P44">
            <v>37513.0285</v>
          </cell>
        </row>
        <row r="47">
          <cell r="N47">
            <v>271.25</v>
          </cell>
          <cell r="O47">
            <v>11494.742</v>
          </cell>
          <cell r="P47">
            <v>39444.068</v>
          </cell>
        </row>
      </sheetData>
      <sheetData sheetId="11"/>
    </sheetDataSet>
  </externalBook>
</externalLink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20" activePane="bottomRight" state="frozen"/>
      <selection pane="topLeft" activeCell="A1" activeCellId="0" sqref="A1"/>
      <selection pane="topRight" activeCell="J1" activeCellId="0" sqref="J1"/>
      <selection pane="bottomLeft" activeCell="A20" activeCellId="0" sqref="A20"/>
      <selection pane="bottomRight" activeCell="AB39" activeCellId="0" sqref="AB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2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8"/>
      <c r="Z1" s="8"/>
      <c r="AA1" s="10"/>
      <c r="AB1" s="11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8"/>
      <c r="Z2" s="8"/>
      <c r="AA2" s="10"/>
      <c r="AB2" s="11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8"/>
      <c r="Z3" s="8"/>
      <c r="AA3" s="10"/>
      <c r="AB3" s="11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4" t="s">
        <v>10</v>
      </c>
      <c r="X4" s="14" t="s">
        <v>11</v>
      </c>
      <c r="Y4" s="16" t="s">
        <v>12</v>
      </c>
      <c r="Z4" s="16" t="s">
        <v>19</v>
      </c>
      <c r="AA4" s="18" t="s">
        <v>20</v>
      </c>
      <c r="AB4" s="18" t="s">
        <v>21</v>
      </c>
      <c r="AC4" s="18" t="s">
        <v>3</v>
      </c>
    </row>
    <row r="5" customFormat="false" ht="11.1" hidden="false" customHeight="true" outlineLevel="0" collapsed="false">
      <c r="A5" s="19" t="s">
        <v>22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16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31</v>
      </c>
      <c r="N5" s="14" t="s">
        <v>32</v>
      </c>
      <c r="O5" s="14" t="s">
        <v>33</v>
      </c>
      <c r="P5" s="20" t="s">
        <v>34</v>
      </c>
      <c r="Q5" s="14" t="s">
        <v>35</v>
      </c>
      <c r="R5" s="14" t="s">
        <v>36</v>
      </c>
      <c r="S5" s="14" t="s">
        <v>16</v>
      </c>
      <c r="T5" s="15" t="s">
        <v>37</v>
      </c>
      <c r="U5" s="14" t="s">
        <v>38</v>
      </c>
      <c r="V5" s="14" t="s">
        <v>39</v>
      </c>
      <c r="W5" s="14" t="s">
        <v>40</v>
      </c>
      <c r="X5" s="14" t="s">
        <v>40</v>
      </c>
      <c r="Y5" s="16" t="s">
        <v>40</v>
      </c>
      <c r="Z5" s="21"/>
      <c r="AA5" s="18" t="s">
        <v>41</v>
      </c>
      <c r="AB5" s="18" t="s">
        <v>41</v>
      </c>
      <c r="AC5" s="22" t="s">
        <v>22</v>
      </c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3"/>
      <c r="X6" s="23"/>
      <c r="Y6" s="25"/>
      <c r="Z6" s="8"/>
      <c r="AA6" s="11"/>
      <c r="AB6" s="11"/>
      <c r="AC6" s="11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8"/>
      <c r="AA7" s="10"/>
      <c r="AB7" s="10"/>
      <c r="AC7" s="11"/>
    </row>
    <row r="8" s="1" customFormat="true" ht="11.1" hidden="false" customHeight="true" outlineLevel="0" collapsed="false">
      <c r="A8" s="7" t="s">
        <v>43</v>
      </c>
      <c r="B8" s="26" t="n">
        <v>6911.03</v>
      </c>
      <c r="C8" s="7" t="n">
        <v>326121</v>
      </c>
      <c r="D8" s="7"/>
      <c r="E8" s="7"/>
      <c r="F8" s="7"/>
      <c r="G8" s="7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/>
      <c r="Z8" s="8"/>
      <c r="AA8" s="10"/>
      <c r="AB8" s="10"/>
      <c r="AC8" s="11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30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9"/>
      <c r="U9" s="27"/>
      <c r="V9" s="27"/>
      <c r="W9" s="27"/>
      <c r="X9" s="27"/>
      <c r="Y9" s="30"/>
      <c r="Z9" s="30"/>
      <c r="AA9" s="31"/>
      <c r="AB9" s="31"/>
      <c r="AC9" s="32"/>
    </row>
    <row r="10" customFormat="false" ht="11.1" hidden="false" customHeight="true" outlineLevel="0" collapsed="false">
      <c r="A10" s="11" t="n">
        <v>1</v>
      </c>
      <c r="B10" s="26" t="n">
        <v>6911.08</v>
      </c>
      <c r="C10" s="7" t="n">
        <v>326323</v>
      </c>
      <c r="D10" s="10" t="n">
        <f aca="false">C10-C8</f>
        <v>202</v>
      </c>
      <c r="E10" s="7" t="n">
        <f aca="false">C10-152000</f>
        <v>174323</v>
      </c>
      <c r="F10" s="6" t="n">
        <f aca="false">D10/$D$2</f>
        <v>101.840181497353</v>
      </c>
      <c r="G10" s="6" t="n">
        <v>142</v>
      </c>
      <c r="H10" s="8" t="n">
        <v>0</v>
      </c>
      <c r="I10" s="6" t="n">
        <f aca="false">G10+H10</f>
        <v>142</v>
      </c>
      <c r="J10" s="33" t="n">
        <f aca="false">IF(L10&gt;0,L10,0)</f>
        <v>62.8401814973532</v>
      </c>
      <c r="K10" s="6" t="n">
        <f aca="false">I10+J10</f>
        <v>204.840181497353</v>
      </c>
      <c r="L10" s="6" t="n">
        <f aca="false">F10-(I10-W10)</f>
        <v>62.8401814973532</v>
      </c>
      <c r="M10" s="6" t="n">
        <v>30</v>
      </c>
      <c r="N10" s="6"/>
      <c r="O10" s="6" t="n">
        <v>0</v>
      </c>
      <c r="P10" s="6" t="n">
        <f aca="false">M10-(N10+O10)</f>
        <v>30</v>
      </c>
      <c r="Q10" s="6" t="n">
        <v>0</v>
      </c>
      <c r="R10" s="6" t="n">
        <v>0</v>
      </c>
      <c r="S10" s="6" t="n">
        <f aca="false">SUM(P10:R10)</f>
        <v>30</v>
      </c>
      <c r="T10" s="7"/>
      <c r="U10" s="6" t="n">
        <v>0</v>
      </c>
      <c r="V10" s="6" t="n">
        <v>73</v>
      </c>
      <c r="W10" s="6" t="n">
        <f aca="false">N10+O10+S10+U10+V10</f>
        <v>103</v>
      </c>
      <c r="X10" s="6" t="n">
        <f aca="false">IF(L10&lt;0,L10*-1,0)</f>
        <v>0</v>
      </c>
      <c r="Y10" s="8" t="n">
        <f aca="false">W10+X10</f>
        <v>103</v>
      </c>
      <c r="Z10" s="8" t="n">
        <v>0.72</v>
      </c>
      <c r="AA10" s="10" t="n">
        <v>61</v>
      </c>
      <c r="AB10" s="10" t="n">
        <v>32</v>
      </c>
      <c r="AC10" s="11" t="n">
        <v>1</v>
      </c>
    </row>
    <row r="11" customFormat="false" ht="11.1" hidden="false" customHeight="true" outlineLevel="0" collapsed="false">
      <c r="A11" s="11" t="n">
        <f aca="false">A10+1</f>
        <v>2</v>
      </c>
      <c r="B11" s="34" t="n">
        <v>6911.08</v>
      </c>
      <c r="C11" s="7" t="n">
        <v>326323</v>
      </c>
      <c r="D11" s="10" t="n">
        <f aca="false">C11-C10</f>
        <v>0</v>
      </c>
      <c r="E11" s="7" t="n">
        <f aca="false">C11-152000</f>
        <v>174323</v>
      </c>
      <c r="F11" s="6" t="n">
        <f aca="false">D11/$D$2</f>
        <v>0</v>
      </c>
      <c r="G11" s="6" t="n">
        <v>199</v>
      </c>
      <c r="H11" s="8" t="n">
        <v>0</v>
      </c>
      <c r="I11" s="6" t="n">
        <f aca="false">G11+H11</f>
        <v>199</v>
      </c>
      <c r="J11" s="33" t="n">
        <f aca="false">IF(L11&gt;0,L11,0)</f>
        <v>0</v>
      </c>
      <c r="K11" s="6" t="n">
        <f aca="false">I11+J11</f>
        <v>199</v>
      </c>
      <c r="L11" s="6" t="n">
        <f aca="false">F11-(I11-W11)</f>
        <v>-96</v>
      </c>
      <c r="M11" s="6" t="n">
        <v>29</v>
      </c>
      <c r="N11" s="6"/>
      <c r="O11" s="6" t="n">
        <v>0</v>
      </c>
      <c r="P11" s="6" t="n">
        <f aca="false">M11-(N11+O11)</f>
        <v>29</v>
      </c>
      <c r="Q11" s="6" t="n">
        <v>0</v>
      </c>
      <c r="R11" s="6" t="n">
        <v>0</v>
      </c>
      <c r="S11" s="6" t="n">
        <f aca="false">SUM(P11:R11)</f>
        <v>29</v>
      </c>
      <c r="T11" s="7"/>
      <c r="U11" s="6" t="n">
        <v>0</v>
      </c>
      <c r="V11" s="6" t="n">
        <v>74</v>
      </c>
      <c r="W11" s="6" t="n">
        <f aca="false">N11+O11+S11+U11+V11</f>
        <v>103</v>
      </c>
      <c r="X11" s="6" t="n">
        <f aca="false">IF(L11&lt;0,L11*-1,0)</f>
        <v>96</v>
      </c>
      <c r="Y11" s="8" t="n">
        <f aca="false">W11+X11</f>
        <v>199</v>
      </c>
      <c r="Z11" s="8" t="n">
        <v>0.04</v>
      </c>
      <c r="AA11" s="10" t="n">
        <v>53</v>
      </c>
      <c r="AB11" s="10" t="n">
        <v>38</v>
      </c>
      <c r="AC11" s="11" t="n">
        <f aca="false">AC10+1</f>
        <v>2</v>
      </c>
    </row>
    <row r="12" customFormat="false" ht="11.1" hidden="false" customHeight="true" outlineLevel="0" collapsed="false">
      <c r="A12" s="11" t="n">
        <f aca="false">A11+1</f>
        <v>3</v>
      </c>
      <c r="B12" s="26" t="n">
        <v>6911.2</v>
      </c>
      <c r="C12" s="7" t="n">
        <v>326808</v>
      </c>
      <c r="D12" s="10" t="n">
        <f aca="false">C12-C11</f>
        <v>485</v>
      </c>
      <c r="E12" s="7" t="n">
        <f aca="false">C12-152000</f>
        <v>174808</v>
      </c>
      <c r="F12" s="6" t="n">
        <f aca="false">D12/$D$2</f>
        <v>244.517267456516</v>
      </c>
      <c r="G12" s="6" t="n">
        <v>179</v>
      </c>
      <c r="H12" s="8" t="n">
        <v>0</v>
      </c>
      <c r="I12" s="6" t="n">
        <f aca="false">G12+H12</f>
        <v>179</v>
      </c>
      <c r="J12" s="33" t="n">
        <f aca="false">IF(L12&gt;0,L12,0)</f>
        <v>170.517267456516</v>
      </c>
      <c r="K12" s="6" t="n">
        <f aca="false">I12+J12</f>
        <v>349.517267456516</v>
      </c>
      <c r="L12" s="6" t="n">
        <f aca="false">F12-(I12-W12)</f>
        <v>170.517267456516</v>
      </c>
      <c r="M12" s="6" t="n">
        <v>28</v>
      </c>
      <c r="N12" s="6"/>
      <c r="O12" s="6" t="n">
        <v>0</v>
      </c>
      <c r="P12" s="6" t="n">
        <f aca="false">M12-(N12+O12)</f>
        <v>28</v>
      </c>
      <c r="Q12" s="6" t="n">
        <v>0</v>
      </c>
      <c r="R12" s="6" t="n">
        <v>0</v>
      </c>
      <c r="S12" s="6" t="n">
        <f aca="false">SUM(P12:R12)</f>
        <v>28</v>
      </c>
      <c r="T12" s="7"/>
      <c r="U12" s="6" t="n">
        <v>0</v>
      </c>
      <c r="V12" s="6" t="n">
        <v>77</v>
      </c>
      <c r="W12" s="6" t="n">
        <f aca="false">N12+O12+S12+U12+V12</f>
        <v>105</v>
      </c>
      <c r="X12" s="6" t="n">
        <f aca="false">IF(L12&lt;0,L12*-1,0)</f>
        <v>0</v>
      </c>
      <c r="Y12" s="8" t="n">
        <f aca="false">W12+X12</f>
        <v>105</v>
      </c>
      <c r="Z12" s="8" t="n">
        <v>0</v>
      </c>
      <c r="AA12" s="10" t="n">
        <v>53</v>
      </c>
      <c r="AB12" s="10" t="n">
        <v>37</v>
      </c>
      <c r="AC12" s="11" t="n">
        <f aca="false">AC11+1</f>
        <v>3</v>
      </c>
    </row>
    <row r="13" customFormat="false" ht="11.1" hidden="false" customHeight="true" outlineLevel="0" collapsed="false">
      <c r="A13" s="11" t="n">
        <f aca="false">A12+1</f>
        <v>4</v>
      </c>
      <c r="B13" s="26" t="n">
        <v>6911.21</v>
      </c>
      <c r="C13" s="7" t="n">
        <v>326849</v>
      </c>
      <c r="D13" s="10" t="n">
        <f aca="false">C13-C12</f>
        <v>41</v>
      </c>
      <c r="E13" s="7" t="n">
        <f aca="false">C13-152000</f>
        <v>174849</v>
      </c>
      <c r="F13" s="6" t="n">
        <f aca="false">D13/$D$2</f>
        <v>20.6705318880766</v>
      </c>
      <c r="G13" s="6" t="n">
        <v>162</v>
      </c>
      <c r="H13" s="8" t="n">
        <v>0</v>
      </c>
      <c r="I13" s="6" t="n">
        <f aca="false">G13+H13</f>
        <v>162</v>
      </c>
      <c r="J13" s="33" t="n">
        <f aca="false">IF(L13&gt;0,L13,0)</f>
        <v>0</v>
      </c>
      <c r="K13" s="6" t="n">
        <f aca="false">I13+J13</f>
        <v>162</v>
      </c>
      <c r="L13" s="6" t="n">
        <f aca="false">F13-(I13-W13)</f>
        <v>-31.3294681119234</v>
      </c>
      <c r="M13" s="6" t="n">
        <v>28</v>
      </c>
      <c r="N13" s="6"/>
      <c r="O13" s="6" t="n">
        <v>0</v>
      </c>
      <c r="P13" s="6" t="n">
        <f aca="false">M13-(N13+O13)</f>
        <v>28</v>
      </c>
      <c r="Q13" s="6" t="n">
        <v>0</v>
      </c>
      <c r="R13" s="6" t="n">
        <v>0</v>
      </c>
      <c r="S13" s="6" t="n">
        <f aca="false">SUM(P13:R13)</f>
        <v>28</v>
      </c>
      <c r="T13" s="7"/>
      <c r="U13" s="6" t="n">
        <v>0</v>
      </c>
      <c r="V13" s="6" t="n">
        <v>82</v>
      </c>
      <c r="W13" s="6" t="n">
        <f aca="false">N13+O13+S13+U13+V13</f>
        <v>110</v>
      </c>
      <c r="X13" s="6" t="n">
        <f aca="false">IF(L13&lt;0,L13*-1,0)</f>
        <v>31.3294681119234</v>
      </c>
      <c r="Y13" s="8" t="n">
        <f aca="false">W13+X13</f>
        <v>141.329468111923</v>
      </c>
      <c r="Z13" s="8" t="n">
        <v>0</v>
      </c>
      <c r="AA13" s="10" t="n">
        <v>52</v>
      </c>
      <c r="AB13" s="10" t="n">
        <v>33</v>
      </c>
      <c r="AC13" s="11" t="n">
        <f aca="false">AC12+1</f>
        <v>4</v>
      </c>
    </row>
    <row r="14" customFormat="false" ht="11.1" hidden="false" customHeight="true" outlineLevel="0" collapsed="false">
      <c r="A14" s="11" t="n">
        <f aca="false">A13+1</f>
        <v>5</v>
      </c>
      <c r="B14" s="26" t="n">
        <v>6911.29</v>
      </c>
      <c r="C14" s="7" t="n">
        <v>327172</v>
      </c>
      <c r="D14" s="10" t="n">
        <f aca="false">C14-C13</f>
        <v>323</v>
      </c>
      <c r="E14" s="7" t="n">
        <f aca="false">C14-152000</f>
        <v>175172</v>
      </c>
      <c r="F14" s="6" t="n">
        <f aca="false">D14/$D$2</f>
        <v>162.843458532896</v>
      </c>
      <c r="G14" s="6" t="n">
        <v>151</v>
      </c>
      <c r="H14" s="8" t="n">
        <v>0</v>
      </c>
      <c r="I14" s="6" t="n">
        <f aca="false">G14+H14</f>
        <v>151</v>
      </c>
      <c r="J14" s="33" t="n">
        <f aca="false">IF(L14&gt;0,L14,0)</f>
        <v>121.843458532896</v>
      </c>
      <c r="K14" s="6" t="n">
        <f aca="false">I14+J14</f>
        <v>272.843458532896</v>
      </c>
      <c r="L14" s="6" t="n">
        <f aca="false">F14-(I14-W14)</f>
        <v>121.843458532896</v>
      </c>
      <c r="M14" s="6" t="n">
        <v>28</v>
      </c>
      <c r="N14" s="6"/>
      <c r="O14" s="6" t="n">
        <v>0</v>
      </c>
      <c r="P14" s="6" t="n">
        <f aca="false">M14-(N14+O14)</f>
        <v>28</v>
      </c>
      <c r="Q14" s="6" t="n">
        <v>0</v>
      </c>
      <c r="R14" s="6" t="n">
        <v>0</v>
      </c>
      <c r="S14" s="6" t="n">
        <f aca="false">SUM(P14:R14)</f>
        <v>28</v>
      </c>
      <c r="T14" s="7"/>
      <c r="U14" s="6" t="n">
        <v>0</v>
      </c>
      <c r="V14" s="6" t="n">
        <v>82</v>
      </c>
      <c r="W14" s="6" t="n">
        <f aca="false">N14+O14+S14+U14+V14</f>
        <v>110</v>
      </c>
      <c r="X14" s="6" t="n">
        <f aca="false">IF(L14&lt;0,L14*-1,0)</f>
        <v>0</v>
      </c>
      <c r="Y14" s="8" t="n">
        <f aca="false">W14+X14</f>
        <v>110</v>
      </c>
      <c r="Z14" s="8" t="n">
        <v>0.02</v>
      </c>
      <c r="AA14" s="10" t="n">
        <v>58</v>
      </c>
      <c r="AB14" s="10" t="n">
        <v>33</v>
      </c>
      <c r="AC14" s="11" t="n">
        <f aca="false">AC13+1</f>
        <v>5</v>
      </c>
    </row>
    <row r="15" customFormat="false" ht="11.1" hidden="false" customHeight="true" outlineLevel="0" collapsed="false">
      <c r="A15" s="11" t="n">
        <f aca="false">A14+1</f>
        <v>6</v>
      </c>
      <c r="B15" s="26" t="n">
        <v>6911.49</v>
      </c>
      <c r="C15" s="7" t="n">
        <v>327981</v>
      </c>
      <c r="D15" s="10" t="n">
        <f aca="false">C15-C14</f>
        <v>809</v>
      </c>
      <c r="E15" s="7" t="n">
        <f aca="false">C15-152000</f>
        <v>175981</v>
      </c>
      <c r="F15" s="6" t="n">
        <f aca="false">D15/$D$2</f>
        <v>407.864885303756</v>
      </c>
      <c r="G15" s="6" t="n">
        <v>263</v>
      </c>
      <c r="H15" s="8" t="n">
        <v>0</v>
      </c>
      <c r="I15" s="6" t="n">
        <f aca="false">G15+H15</f>
        <v>263</v>
      </c>
      <c r="J15" s="33" t="n">
        <f aca="false">IF(L15&gt;0,L15,0)</f>
        <v>253.864885303756</v>
      </c>
      <c r="K15" s="6" t="n">
        <f aca="false">I15+J15</f>
        <v>516.864885303756</v>
      </c>
      <c r="L15" s="6" t="n">
        <f aca="false">F15-(I15-W15)</f>
        <v>253.864885303756</v>
      </c>
      <c r="M15" s="6" t="n">
        <v>28</v>
      </c>
      <c r="N15" s="6"/>
      <c r="O15" s="6" t="n">
        <v>0</v>
      </c>
      <c r="P15" s="6" t="n">
        <f aca="false">M15-(N15+O15)</f>
        <v>28</v>
      </c>
      <c r="Q15" s="6" t="n">
        <v>0</v>
      </c>
      <c r="R15" s="6" t="n">
        <v>0</v>
      </c>
      <c r="S15" s="6" t="n">
        <f aca="false">SUM(P15:R15)</f>
        <v>28</v>
      </c>
      <c r="T15" s="7"/>
      <c r="U15" s="6" t="n">
        <v>0</v>
      </c>
      <c r="V15" s="6" t="n">
        <v>81</v>
      </c>
      <c r="W15" s="6" t="n">
        <f aca="false">N15+O15+S15+U15+V15</f>
        <v>109</v>
      </c>
      <c r="X15" s="6" t="n">
        <f aca="false">IF(L15&lt;0,L15*-1,0)</f>
        <v>0</v>
      </c>
      <c r="Y15" s="8" t="n">
        <f aca="false">W15+X15</f>
        <v>109</v>
      </c>
      <c r="Z15" s="8" t="n">
        <v>1.12</v>
      </c>
      <c r="AA15" s="10" t="n">
        <v>59</v>
      </c>
      <c r="AB15" s="10" t="n">
        <v>32</v>
      </c>
      <c r="AC15" s="11" t="n">
        <f aca="false">AC14+1</f>
        <v>6</v>
      </c>
    </row>
    <row r="16" customFormat="false" ht="11.1" hidden="false" customHeight="true" outlineLevel="0" collapsed="false">
      <c r="A16" s="11" t="n">
        <f aca="false">A15+1</f>
        <v>7</v>
      </c>
      <c r="B16" s="26" t="n">
        <v>6911.63</v>
      </c>
      <c r="C16" s="7" t="n">
        <v>328548</v>
      </c>
      <c r="D16" s="10" t="n">
        <f aca="false">C16-C15</f>
        <v>567</v>
      </c>
      <c r="E16" s="7" t="n">
        <f aca="false">C16-152000</f>
        <v>176548</v>
      </c>
      <c r="F16" s="6" t="n">
        <f aca="false">D16/$D$2</f>
        <v>285.858331232669</v>
      </c>
      <c r="G16" s="6" t="n">
        <v>268</v>
      </c>
      <c r="H16" s="8" t="n">
        <v>0</v>
      </c>
      <c r="I16" s="6" t="n">
        <f aca="false">G16+H16</f>
        <v>268</v>
      </c>
      <c r="J16" s="33" t="n">
        <f aca="false">IF(L16&gt;0,L16,0)</f>
        <v>126.85833123267</v>
      </c>
      <c r="K16" s="6" t="n">
        <f aca="false">I16+J16</f>
        <v>394.85833123267</v>
      </c>
      <c r="L16" s="6" t="n">
        <f aca="false">F16-(I16-W16)</f>
        <v>126.85833123267</v>
      </c>
      <c r="M16" s="6" t="n">
        <v>28</v>
      </c>
      <c r="N16" s="6"/>
      <c r="O16" s="6" t="n">
        <v>0</v>
      </c>
      <c r="P16" s="6" t="n">
        <f aca="false">M16-(N16+O16)</f>
        <v>28</v>
      </c>
      <c r="Q16" s="6" t="n">
        <v>0</v>
      </c>
      <c r="R16" s="6" t="n">
        <v>0</v>
      </c>
      <c r="S16" s="6" t="n">
        <f aca="false">SUM(P16:R16)</f>
        <v>28</v>
      </c>
      <c r="T16" s="7"/>
      <c r="U16" s="6" t="n">
        <v>0</v>
      </c>
      <c r="V16" s="6" t="n">
        <v>81</v>
      </c>
      <c r="W16" s="6" t="n">
        <f aca="false">N16+O16+S16+U16+V16</f>
        <v>109</v>
      </c>
      <c r="X16" s="6" t="n">
        <f aca="false">IF(L16&lt;0,L16*-1,0)</f>
        <v>0</v>
      </c>
      <c r="Y16" s="8" t="n">
        <f aca="false">W16+X16</f>
        <v>109</v>
      </c>
      <c r="Z16" s="8" t="n">
        <v>0.41</v>
      </c>
      <c r="AA16" s="10" t="n">
        <v>62</v>
      </c>
      <c r="AB16" s="10" t="n">
        <v>31</v>
      </c>
      <c r="AC16" s="11" t="n">
        <f aca="false">AC15+1</f>
        <v>7</v>
      </c>
    </row>
    <row r="17" customFormat="false" ht="11.1" hidden="false" customHeight="true" outlineLevel="0" collapsed="false">
      <c r="A17" s="11" t="n">
        <f aca="false">A16+1</f>
        <v>8</v>
      </c>
      <c r="B17" s="26" t="n">
        <v>6911.7</v>
      </c>
      <c r="C17" s="7" t="n">
        <v>328831</v>
      </c>
      <c r="D17" s="10" t="n">
        <f aca="false">C17-C16</f>
        <v>283</v>
      </c>
      <c r="E17" s="7" t="n">
        <f aca="false">C17-152000</f>
        <v>176831</v>
      </c>
      <c r="F17" s="6" t="n">
        <f aca="false">D17/$D$2</f>
        <v>142.677085959163</v>
      </c>
      <c r="G17" s="6" t="n">
        <v>208</v>
      </c>
      <c r="H17" s="8" t="n">
        <v>0</v>
      </c>
      <c r="I17" s="6" t="n">
        <f aca="false">G17+H17</f>
        <v>208</v>
      </c>
      <c r="J17" s="33" t="n">
        <f aca="false">IF(L17&gt;0,L17,0)</f>
        <v>43.6770859591631</v>
      </c>
      <c r="K17" s="6" t="n">
        <f aca="false">I17+J17</f>
        <v>251.677085959163</v>
      </c>
      <c r="L17" s="6" t="n">
        <f aca="false">F17-(I17-W17)</f>
        <v>43.6770859591631</v>
      </c>
      <c r="M17" s="6" t="n">
        <v>28</v>
      </c>
      <c r="N17" s="6"/>
      <c r="O17" s="6" t="n">
        <v>0</v>
      </c>
      <c r="P17" s="6" t="n">
        <f aca="false">M17-(N17+O17)</f>
        <v>28</v>
      </c>
      <c r="Q17" s="6" t="n">
        <v>0</v>
      </c>
      <c r="R17" s="6" t="n">
        <v>0</v>
      </c>
      <c r="S17" s="6" t="n">
        <f aca="false">SUM(P17:R17)</f>
        <v>28</v>
      </c>
      <c r="T17" s="7"/>
      <c r="U17" s="6" t="n">
        <v>0</v>
      </c>
      <c r="V17" s="6" t="n">
        <v>81</v>
      </c>
      <c r="W17" s="6" t="n">
        <f aca="false">N17+O17+S17+U17+V17</f>
        <v>109</v>
      </c>
      <c r="X17" s="6" t="n">
        <f aca="false">IF(L17&lt;0,L17*-1,0)</f>
        <v>0</v>
      </c>
      <c r="Y17" s="8" t="n">
        <f aca="false">W17+X17</f>
        <v>109</v>
      </c>
      <c r="Z17" s="8" t="n">
        <v>0</v>
      </c>
      <c r="AA17" s="10" t="n">
        <v>65</v>
      </c>
      <c r="AB17" s="10" t="n">
        <v>28</v>
      </c>
      <c r="AC17" s="11" t="n">
        <f aca="false">AC16+1</f>
        <v>8</v>
      </c>
    </row>
    <row r="18" customFormat="false" ht="11.1" hidden="false" customHeight="true" outlineLevel="0" collapsed="false">
      <c r="A18" s="11" t="n">
        <f aca="false">A17+1</f>
        <v>9</v>
      </c>
      <c r="B18" s="26" t="n">
        <v>6911.72</v>
      </c>
      <c r="C18" s="7" t="n">
        <v>328912</v>
      </c>
      <c r="D18" s="10" t="n">
        <f aca="false">C18-C17</f>
        <v>81</v>
      </c>
      <c r="E18" s="7" t="n">
        <f aca="false">C18-152000</f>
        <v>176912</v>
      </c>
      <c r="F18" s="6" t="n">
        <f aca="false">D18/$D$2</f>
        <v>40.8369044618099</v>
      </c>
      <c r="G18" s="6" t="n">
        <v>183</v>
      </c>
      <c r="H18" s="8" t="n">
        <v>0</v>
      </c>
      <c r="I18" s="6" t="n">
        <f aca="false">G18+H18</f>
        <v>183</v>
      </c>
      <c r="J18" s="33" t="n">
        <f aca="false">IF(L18&gt;0,L18,0)</f>
        <v>0</v>
      </c>
      <c r="K18" s="6" t="n">
        <f aca="false">I18+J18</f>
        <v>183</v>
      </c>
      <c r="L18" s="6" t="n">
        <f aca="false">F18-(I18-W18)</f>
        <v>-33.1630955381901</v>
      </c>
      <c r="M18" s="6" t="n">
        <v>28</v>
      </c>
      <c r="N18" s="6"/>
      <c r="O18" s="6" t="n">
        <v>0</v>
      </c>
      <c r="P18" s="6" t="n">
        <f aca="false">M18-(N18+O18)</f>
        <v>28</v>
      </c>
      <c r="Q18" s="6" t="n">
        <v>0</v>
      </c>
      <c r="R18" s="6" t="n">
        <v>0</v>
      </c>
      <c r="S18" s="6" t="n">
        <f aca="false">SUM(P18:R18)</f>
        <v>28</v>
      </c>
      <c r="T18" s="7"/>
      <c r="U18" s="6" t="n">
        <v>0</v>
      </c>
      <c r="V18" s="6" t="n">
        <v>81</v>
      </c>
      <c r="W18" s="6" t="n">
        <f aca="false">N18+O18+S18+U18+V18</f>
        <v>109</v>
      </c>
      <c r="X18" s="6" t="n">
        <f aca="false">IF(L18&lt;0,L18*-1,0)</f>
        <v>33.1630955381901</v>
      </c>
      <c r="Y18" s="8" t="n">
        <f aca="false">W18+X18</f>
        <v>142.16309553819</v>
      </c>
      <c r="Z18" s="8" t="n">
        <v>0</v>
      </c>
      <c r="AA18" s="35" t="n">
        <v>64</v>
      </c>
      <c r="AB18" s="10" t="n">
        <v>29</v>
      </c>
      <c r="AC18" s="11" t="n">
        <f aca="false">AC17+1</f>
        <v>9</v>
      </c>
    </row>
    <row r="19" customFormat="false" ht="11.1" hidden="false" customHeight="true" outlineLevel="0" collapsed="false">
      <c r="A19" s="11" t="n">
        <f aca="false">A18+1</f>
        <v>10</v>
      </c>
      <c r="B19" s="26" t="n">
        <v>6911.73</v>
      </c>
      <c r="C19" s="7" t="n">
        <v>328952</v>
      </c>
      <c r="D19" s="10" t="n">
        <f aca="false">C19-C18</f>
        <v>40</v>
      </c>
      <c r="E19" s="7" t="n">
        <f aca="false">C19-152000</f>
        <v>176952</v>
      </c>
      <c r="F19" s="6" t="n">
        <f aca="false">D19/$D$2</f>
        <v>20.1663725737333</v>
      </c>
      <c r="G19" s="6" t="n">
        <v>170</v>
      </c>
      <c r="H19" s="8" t="n">
        <v>0</v>
      </c>
      <c r="I19" s="6" t="n">
        <f aca="false">G19+H19</f>
        <v>170</v>
      </c>
      <c r="J19" s="33" t="n">
        <f aca="false">IF(L19&gt;0,L19,0)</f>
        <v>0</v>
      </c>
      <c r="K19" s="6" t="n">
        <f aca="false">I19+J19</f>
        <v>170</v>
      </c>
      <c r="L19" s="6" t="n">
        <f aca="false">F19-(I19-W19)</f>
        <v>-41.8336274262667</v>
      </c>
      <c r="M19" s="6" t="n">
        <v>28</v>
      </c>
      <c r="N19" s="6"/>
      <c r="O19" s="6" t="n">
        <v>0</v>
      </c>
      <c r="P19" s="6" t="n">
        <f aca="false">M19-(N19+O19)</f>
        <v>28</v>
      </c>
      <c r="Q19" s="6" t="n">
        <v>0</v>
      </c>
      <c r="R19" s="6" t="n">
        <v>0</v>
      </c>
      <c r="S19" s="6" t="n">
        <f aca="false">SUM(P19:R19)</f>
        <v>28</v>
      </c>
      <c r="T19" s="7"/>
      <c r="U19" s="6" t="n">
        <v>0</v>
      </c>
      <c r="V19" s="6" t="n">
        <v>80</v>
      </c>
      <c r="W19" s="6" t="n">
        <f aca="false">N19+O19+S19+U19+V19</f>
        <v>108</v>
      </c>
      <c r="X19" s="6" t="n">
        <f aca="false">IF(L19&lt;0,L19*-1,0)</f>
        <v>41.8336274262667</v>
      </c>
      <c r="Y19" s="8" t="n">
        <f aca="false">W19+X19</f>
        <v>149.833627426267</v>
      </c>
      <c r="Z19" s="8" t="n">
        <v>0</v>
      </c>
      <c r="AA19" s="10" t="n">
        <v>63</v>
      </c>
      <c r="AB19" s="10" t="n">
        <v>30</v>
      </c>
      <c r="AC19" s="11" t="n">
        <f aca="false">AC18+1</f>
        <v>10</v>
      </c>
    </row>
    <row r="20" customFormat="false" ht="11.1" hidden="false" customHeight="true" outlineLevel="0" collapsed="false">
      <c r="A20" s="11" t="n">
        <f aca="false">A19+1</f>
        <v>11</v>
      </c>
      <c r="B20" s="26" t="n">
        <v>6911.73</v>
      </c>
      <c r="C20" s="7" t="n">
        <v>328952</v>
      </c>
      <c r="D20" s="10" t="n">
        <f aca="false">C20-C19</f>
        <v>0</v>
      </c>
      <c r="E20" s="7" t="n">
        <f aca="false">C20-152000</f>
        <v>176952</v>
      </c>
      <c r="F20" s="6" t="n">
        <f aca="false">D20/$D$2</f>
        <v>0</v>
      </c>
      <c r="G20" s="6" t="n">
        <v>160</v>
      </c>
      <c r="H20" s="8" t="n">
        <v>0</v>
      </c>
      <c r="I20" s="6" t="n">
        <f aca="false">G20+H20</f>
        <v>160</v>
      </c>
      <c r="J20" s="33" t="n">
        <f aca="false">IF(L20&gt;0,L20,0)</f>
        <v>0</v>
      </c>
      <c r="K20" s="6" t="n">
        <f aca="false">I20+J20</f>
        <v>160</v>
      </c>
      <c r="L20" s="6" t="n">
        <f aca="false">F20-(I20-W20)</f>
        <v>-53</v>
      </c>
      <c r="M20" s="6" t="n">
        <v>28</v>
      </c>
      <c r="N20" s="6"/>
      <c r="O20" s="6" t="n">
        <v>0</v>
      </c>
      <c r="P20" s="6" t="n">
        <f aca="false">M20-(N20+O20)</f>
        <v>28</v>
      </c>
      <c r="Q20" s="6" t="n">
        <v>0</v>
      </c>
      <c r="R20" s="6" t="n">
        <v>0</v>
      </c>
      <c r="S20" s="6" t="n">
        <f aca="false">SUM(P20:R20)</f>
        <v>28</v>
      </c>
      <c r="T20" s="7"/>
      <c r="U20" s="6" t="n">
        <v>0</v>
      </c>
      <c r="V20" s="6" t="n">
        <v>79</v>
      </c>
      <c r="W20" s="6" t="n">
        <f aca="false">N20+O20+S20+U20+V20</f>
        <v>107</v>
      </c>
      <c r="X20" s="6" t="n">
        <f aca="false">IF(L20&lt;0,L20*-1,0)</f>
        <v>53</v>
      </c>
      <c r="Y20" s="8" t="n">
        <f aca="false">W20+X20</f>
        <v>160</v>
      </c>
      <c r="Z20" s="8" t="n">
        <v>0</v>
      </c>
      <c r="AA20" s="10" t="n">
        <v>52</v>
      </c>
      <c r="AB20" s="10" t="n">
        <v>30</v>
      </c>
      <c r="AC20" s="11" t="n">
        <f aca="false">AC19+1</f>
        <v>11</v>
      </c>
    </row>
    <row r="21" customFormat="false" ht="11.1" hidden="false" customHeight="true" outlineLevel="0" collapsed="false">
      <c r="A21" s="11" t="n">
        <f aca="false">A20+1</f>
        <v>12</v>
      </c>
      <c r="B21" s="26" t="n">
        <v>6911.72</v>
      </c>
      <c r="C21" s="7" t="n">
        <v>328912</v>
      </c>
      <c r="D21" s="10" t="n">
        <f aca="false">C21-C20</f>
        <v>-40</v>
      </c>
      <c r="E21" s="7" t="n">
        <f aca="false">C21-152000</f>
        <v>176912</v>
      </c>
      <c r="F21" s="6" t="n">
        <f aca="false">D21/$D$2</f>
        <v>-20.1663725737333</v>
      </c>
      <c r="G21" s="6" t="n">
        <v>135</v>
      </c>
      <c r="H21" s="8" t="n">
        <v>0</v>
      </c>
      <c r="I21" s="6" t="n">
        <f aca="false">G21+H21</f>
        <v>135</v>
      </c>
      <c r="J21" s="33" t="n">
        <f aca="false">IF(L21&gt;0,L21,0)</f>
        <v>0</v>
      </c>
      <c r="K21" s="6" t="n">
        <f aca="false">I21+J21</f>
        <v>135</v>
      </c>
      <c r="L21" s="6" t="n">
        <f aca="false">F21-(I21-W21)</f>
        <v>-29.1663725737333</v>
      </c>
      <c r="M21" s="6" t="n">
        <v>28</v>
      </c>
      <c r="N21" s="6"/>
      <c r="O21" s="6" t="n">
        <v>0</v>
      </c>
      <c r="P21" s="6" t="n">
        <f aca="false">M21-(N21+O21)</f>
        <v>28</v>
      </c>
      <c r="Q21" s="6" t="n">
        <v>17</v>
      </c>
      <c r="R21" s="6" t="n">
        <v>0</v>
      </c>
      <c r="S21" s="6" t="n">
        <f aca="false">SUM(P21:R21)</f>
        <v>45</v>
      </c>
      <c r="T21" s="7"/>
      <c r="U21" s="6" t="n">
        <v>0</v>
      </c>
      <c r="V21" s="6" t="n">
        <v>81</v>
      </c>
      <c r="W21" s="6" t="n">
        <f aca="false">N21+O21+S21+U21+V21</f>
        <v>126</v>
      </c>
      <c r="X21" s="6" t="n">
        <f aca="false">IF(L21&lt;0,L21*-1,0)</f>
        <v>29.1663725737333</v>
      </c>
      <c r="Y21" s="8" t="n">
        <f aca="false">W21+X21</f>
        <v>155.166372573733</v>
      </c>
      <c r="Z21" s="8" t="n">
        <v>0</v>
      </c>
      <c r="AA21" s="10" t="n">
        <v>50</v>
      </c>
      <c r="AB21" s="10" t="n">
        <v>26</v>
      </c>
      <c r="AC21" s="11" t="n">
        <f aca="false">AC20+1</f>
        <v>12</v>
      </c>
    </row>
    <row r="22" customFormat="false" ht="11.1" hidden="false" customHeight="true" outlineLevel="0" collapsed="false">
      <c r="A22" s="11" t="n">
        <f aca="false">A21+1</f>
        <v>13</v>
      </c>
      <c r="B22" s="26" t="n">
        <v>6911.7</v>
      </c>
      <c r="C22" s="7" t="n">
        <v>328831</v>
      </c>
      <c r="D22" s="10" t="n">
        <f aca="false">C22-C21</f>
        <v>-81</v>
      </c>
      <c r="E22" s="7" t="n">
        <f aca="false">C22-152000</f>
        <v>176831</v>
      </c>
      <c r="F22" s="6" t="n">
        <f aca="false">D22/$D$2</f>
        <v>-40.8369044618099</v>
      </c>
      <c r="G22" s="6" t="n">
        <v>129</v>
      </c>
      <c r="H22" s="8" t="n">
        <v>0</v>
      </c>
      <c r="I22" s="6" t="n">
        <f aca="false">G22+H22</f>
        <v>129</v>
      </c>
      <c r="J22" s="33" t="n">
        <f aca="false">IF(L22&gt;0,L22,0)</f>
        <v>1.16309553819007</v>
      </c>
      <c r="K22" s="6" t="n">
        <f aca="false">I22+J22</f>
        <v>130.16309553819</v>
      </c>
      <c r="L22" s="6" t="n">
        <f aca="false">F22-(I22-W22)</f>
        <v>1.16309553819007</v>
      </c>
      <c r="M22" s="6" t="n">
        <v>27</v>
      </c>
      <c r="N22" s="6"/>
      <c r="O22" s="6" t="n">
        <v>0</v>
      </c>
      <c r="P22" s="6" t="n">
        <f aca="false">M22-(N22+O22)</f>
        <v>27</v>
      </c>
      <c r="Q22" s="6" t="n">
        <v>47</v>
      </c>
      <c r="R22" s="6" t="n">
        <v>17</v>
      </c>
      <c r="S22" s="6" t="n">
        <f aca="false">SUM(P22:R22)</f>
        <v>91</v>
      </c>
      <c r="T22" s="7"/>
      <c r="U22" s="6" t="n">
        <v>0</v>
      </c>
      <c r="V22" s="6" t="n">
        <v>80</v>
      </c>
      <c r="W22" s="6" t="n">
        <f aca="false">N22+O22+S22+U22+V22</f>
        <v>171</v>
      </c>
      <c r="X22" s="6" t="n">
        <f aca="false">IF(L22&lt;0,L22*-1,0)</f>
        <v>0</v>
      </c>
      <c r="Y22" s="8" t="n">
        <f aca="false">W22+X22</f>
        <v>171</v>
      </c>
      <c r="Z22" s="8" t="n">
        <v>0</v>
      </c>
      <c r="AA22" s="10" t="n">
        <v>51</v>
      </c>
      <c r="AB22" s="10" t="n">
        <v>26</v>
      </c>
      <c r="AC22" s="11" t="n">
        <f aca="false">AC21+1</f>
        <v>13</v>
      </c>
    </row>
    <row r="23" customFormat="false" ht="11.1" hidden="false" customHeight="true" outlineLevel="0" collapsed="false">
      <c r="A23" s="11" t="n">
        <f aca="false">A22+1</f>
        <v>14</v>
      </c>
      <c r="B23" s="26" t="n">
        <v>6911.68</v>
      </c>
      <c r="C23" s="7" t="n">
        <v>328750</v>
      </c>
      <c r="D23" s="10" t="n">
        <f aca="false">C23-C22</f>
        <v>-81</v>
      </c>
      <c r="E23" s="7" t="n">
        <f aca="false">C23-152000</f>
        <v>176750</v>
      </c>
      <c r="F23" s="6" t="n">
        <f aca="false">D23/$D$2</f>
        <v>-40.8369044618099</v>
      </c>
      <c r="G23" s="6" t="n">
        <v>144</v>
      </c>
      <c r="H23" s="8" t="n">
        <v>0</v>
      </c>
      <c r="I23" s="6" t="n">
        <f aca="false">G23+H23</f>
        <v>144</v>
      </c>
      <c r="J23" s="33" t="n">
        <f aca="false">IF(L23&gt;0,L23,0)</f>
        <v>0</v>
      </c>
      <c r="K23" s="6" t="n">
        <f aca="false">I23+J23</f>
        <v>144</v>
      </c>
      <c r="L23" s="6" t="n">
        <f aca="false">F23-(I23-W23)</f>
        <v>-31.8369044618099</v>
      </c>
      <c r="M23" s="6" t="n">
        <v>26</v>
      </c>
      <c r="N23" s="6"/>
      <c r="O23" s="6" t="n">
        <v>0</v>
      </c>
      <c r="P23" s="6" t="n">
        <f aca="false">M23-(N23+O23)</f>
        <v>26</v>
      </c>
      <c r="Q23" s="6" t="n">
        <v>47</v>
      </c>
      <c r="R23" s="6" t="n">
        <v>0</v>
      </c>
      <c r="S23" s="6" t="n">
        <f aca="false">SUM(P23:R23)</f>
        <v>73</v>
      </c>
      <c r="T23" s="7"/>
      <c r="U23" s="6" t="n">
        <v>0</v>
      </c>
      <c r="V23" s="6" t="n">
        <v>80</v>
      </c>
      <c r="W23" s="6" t="n">
        <f aca="false">N23+O23+S23+U23+V23</f>
        <v>153</v>
      </c>
      <c r="X23" s="6" t="n">
        <f aca="false">IF(L23&lt;0,L23*-1,0)</f>
        <v>31.8369044618099</v>
      </c>
      <c r="Y23" s="8" t="n">
        <f aca="false">W23+X23</f>
        <v>184.83690446181</v>
      </c>
      <c r="Z23" s="8" t="n">
        <v>0.12</v>
      </c>
      <c r="AA23" s="35" t="n">
        <v>48</v>
      </c>
      <c r="AB23" s="10" t="n">
        <v>23</v>
      </c>
      <c r="AC23" s="11" t="n">
        <f aca="false">AC22+1</f>
        <v>14</v>
      </c>
    </row>
    <row r="24" customFormat="false" ht="11.1" hidden="false" customHeight="true" outlineLevel="0" collapsed="false">
      <c r="A24" s="11" t="n">
        <f aca="false">A23+1</f>
        <v>15</v>
      </c>
      <c r="B24" s="26" t="n">
        <v>6911.65</v>
      </c>
      <c r="C24" s="7" t="n">
        <v>328629</v>
      </c>
      <c r="D24" s="10" t="n">
        <f aca="false">C24-C23</f>
        <v>-121</v>
      </c>
      <c r="E24" s="7" t="n">
        <f aca="false">C24-152000</f>
        <v>176629</v>
      </c>
      <c r="F24" s="6" t="n">
        <f aca="false">D24/$D$2</f>
        <v>-61.0032770355432</v>
      </c>
      <c r="G24" s="6" t="n">
        <v>136</v>
      </c>
      <c r="H24" s="8" t="n">
        <v>0</v>
      </c>
      <c r="I24" s="6" t="n">
        <f aca="false">G24+H24</f>
        <v>136</v>
      </c>
      <c r="J24" s="33" t="n">
        <f aca="false">IF(L24&gt;0,L24,0)</f>
        <v>0</v>
      </c>
      <c r="K24" s="6" t="n">
        <f aca="false">I24+J24</f>
        <v>136</v>
      </c>
      <c r="L24" s="6" t="n">
        <f aca="false">F24-(I24-W24)</f>
        <v>-45.0032770355432</v>
      </c>
      <c r="M24" s="6" t="n">
        <v>26</v>
      </c>
      <c r="N24" s="6"/>
      <c r="O24" s="6" t="n">
        <v>0</v>
      </c>
      <c r="P24" s="6" t="n">
        <f aca="false">M24-(N24+O24)</f>
        <v>26</v>
      </c>
      <c r="Q24" s="6" t="n">
        <v>47</v>
      </c>
      <c r="R24" s="6" t="n">
        <v>0</v>
      </c>
      <c r="S24" s="6" t="n">
        <f aca="false">SUM(P24:R24)</f>
        <v>73</v>
      </c>
      <c r="T24" s="7"/>
      <c r="U24" s="6" t="n">
        <v>0</v>
      </c>
      <c r="V24" s="6" t="n">
        <v>79</v>
      </c>
      <c r="W24" s="6" t="n">
        <f aca="false">N24+O24+S24+U24+V24</f>
        <v>152</v>
      </c>
      <c r="X24" s="6" t="n">
        <f aca="false">IF(L24&lt;0,L24*-1,0)</f>
        <v>45.0032770355432</v>
      </c>
      <c r="Y24" s="8" t="n">
        <f aca="false">W24+X24</f>
        <v>197.003277035543</v>
      </c>
      <c r="Z24" s="8" t="n">
        <v>0.15</v>
      </c>
      <c r="AA24" s="35" t="n">
        <v>47</v>
      </c>
      <c r="AB24" s="10" t="n">
        <v>22</v>
      </c>
      <c r="AC24" s="11" t="n">
        <f aca="false">AC23+1</f>
        <v>15</v>
      </c>
    </row>
    <row r="25" customFormat="false" ht="11.1" hidden="false" customHeight="true" outlineLevel="0" collapsed="false">
      <c r="A25" s="11" t="n">
        <f aca="false">A24+1</f>
        <v>16</v>
      </c>
      <c r="B25" s="26" t="n">
        <v>6911.6</v>
      </c>
      <c r="C25" s="7" t="n">
        <v>328426</v>
      </c>
      <c r="D25" s="10" t="n">
        <f aca="false">C25-C24</f>
        <v>-203</v>
      </c>
      <c r="E25" s="7" t="n">
        <f aca="false">C25-152000</f>
        <v>176426</v>
      </c>
      <c r="F25" s="6" t="n">
        <f aca="false">D25/$D$2</f>
        <v>-102.344340811697</v>
      </c>
      <c r="G25" s="6" t="n">
        <v>103</v>
      </c>
      <c r="H25" s="8" t="n">
        <v>0</v>
      </c>
      <c r="I25" s="6" t="n">
        <f aca="false">G25+H25</f>
        <v>103</v>
      </c>
      <c r="J25" s="33" t="n">
        <f aca="false">IF(L25&gt;0,L25,0)</f>
        <v>0</v>
      </c>
      <c r="K25" s="6" t="n">
        <f aca="false">I25+J25</f>
        <v>103</v>
      </c>
      <c r="L25" s="6" t="n">
        <f aca="false">F25-(I25-W25)</f>
        <v>-41.3443408116965</v>
      </c>
      <c r="M25" s="6" t="n">
        <v>26</v>
      </c>
      <c r="N25" s="6"/>
      <c r="O25" s="6" t="n">
        <v>0</v>
      </c>
      <c r="P25" s="6" t="n">
        <f aca="false">M25-(N25+O25)</f>
        <v>26</v>
      </c>
      <c r="Q25" s="6" t="n">
        <v>47</v>
      </c>
      <c r="R25" s="6" t="n">
        <v>12</v>
      </c>
      <c r="S25" s="6" t="n">
        <f aca="false">SUM(P25:R25)</f>
        <v>85</v>
      </c>
      <c r="T25" s="7"/>
      <c r="U25" s="6" t="n">
        <v>0</v>
      </c>
      <c r="V25" s="6" t="n">
        <v>79</v>
      </c>
      <c r="W25" s="6" t="n">
        <f aca="false">N25+O25+S25+U25+V25</f>
        <v>164</v>
      </c>
      <c r="X25" s="6" t="n">
        <f aca="false">IF(L25&lt;0,L25*-1,0)</f>
        <v>41.3443408116965</v>
      </c>
      <c r="Y25" s="8" t="n">
        <f aca="false">W25+X25</f>
        <v>205.344340811696</v>
      </c>
      <c r="Z25" s="8" t="n">
        <v>0</v>
      </c>
      <c r="AA25" s="35" t="n">
        <v>51</v>
      </c>
      <c r="AB25" s="10" t="n">
        <v>18</v>
      </c>
      <c r="AC25" s="11" t="n">
        <f aca="false">AC24+1</f>
        <v>16</v>
      </c>
    </row>
    <row r="26" customFormat="false" ht="11.1" hidden="false" customHeight="true" outlineLevel="0" collapsed="false">
      <c r="A26" s="11" t="n">
        <f aca="false">A25+1</f>
        <v>17</v>
      </c>
      <c r="B26" s="26" t="n">
        <v>6911.53</v>
      </c>
      <c r="C26" s="7" t="n">
        <v>328143</v>
      </c>
      <c r="D26" s="10" t="n">
        <f aca="false">C26-C25</f>
        <v>-283</v>
      </c>
      <c r="E26" s="7" t="n">
        <f aca="false">C26-152000</f>
        <v>176143</v>
      </c>
      <c r="F26" s="6" t="n">
        <f aca="false">D26/$D$2</f>
        <v>-142.677085959163</v>
      </c>
      <c r="G26" s="6" t="n">
        <v>90</v>
      </c>
      <c r="H26" s="8" t="n">
        <v>0</v>
      </c>
      <c r="I26" s="6" t="n">
        <f aca="false">G26+H26</f>
        <v>90</v>
      </c>
      <c r="J26" s="33" t="n">
        <f aca="false">IF(L26&gt;0,L26,0)</f>
        <v>0</v>
      </c>
      <c r="K26" s="6" t="n">
        <f aca="false">I26+J26</f>
        <v>90</v>
      </c>
      <c r="L26" s="6" t="n">
        <f aca="false">F26-(I26-W26)</f>
        <v>-60.6770859591631</v>
      </c>
      <c r="M26" s="6" t="n">
        <v>26</v>
      </c>
      <c r="N26" s="6"/>
      <c r="O26" s="6" t="n">
        <v>0</v>
      </c>
      <c r="P26" s="6" t="n">
        <f aca="false">M26-(N26+O26)</f>
        <v>26</v>
      </c>
      <c r="Q26" s="6" t="n">
        <v>47</v>
      </c>
      <c r="R26" s="6" t="n">
        <v>20</v>
      </c>
      <c r="S26" s="6" t="n">
        <f aca="false">SUM(P26:R26)</f>
        <v>93</v>
      </c>
      <c r="T26" s="7"/>
      <c r="U26" s="6" t="n">
        <v>0</v>
      </c>
      <c r="V26" s="6" t="n">
        <v>79</v>
      </c>
      <c r="W26" s="6" t="n">
        <f aca="false">N26+O26+S26+U26+V26</f>
        <v>172</v>
      </c>
      <c r="X26" s="6" t="n">
        <f aca="false">IF(L26&lt;0,L26*-1,0)</f>
        <v>60.6770859591631</v>
      </c>
      <c r="Y26" s="8" t="n">
        <f aca="false">W26+X26</f>
        <v>232.677085959163</v>
      </c>
      <c r="Z26" s="8" t="n">
        <v>0.1</v>
      </c>
      <c r="AA26" s="35" t="n">
        <v>46</v>
      </c>
      <c r="AB26" s="10" t="n">
        <v>23</v>
      </c>
      <c r="AC26" s="11" t="n">
        <f aca="false">AC25+1</f>
        <v>17</v>
      </c>
    </row>
    <row r="27" customFormat="false" ht="11.1" hidden="false" customHeight="true" outlineLevel="0" collapsed="false">
      <c r="A27" s="11" t="n">
        <f aca="false">A26+1</f>
        <v>18</v>
      </c>
      <c r="B27" s="26" t="n">
        <v>6911.46</v>
      </c>
      <c r="C27" s="7" t="n">
        <v>327860</v>
      </c>
      <c r="D27" s="10" t="n">
        <f aca="false">C27-C26</f>
        <v>-283</v>
      </c>
      <c r="E27" s="7" t="n">
        <f aca="false">C27-152000</f>
        <v>175860</v>
      </c>
      <c r="F27" s="6" t="n">
        <f aca="false">D27/$D$2</f>
        <v>-142.677085959163</v>
      </c>
      <c r="G27" s="6" t="n">
        <v>97</v>
      </c>
      <c r="H27" s="8" t="n">
        <v>0</v>
      </c>
      <c r="I27" s="6" t="n">
        <f aca="false">G27+H27</f>
        <v>97</v>
      </c>
      <c r="J27" s="33" t="n">
        <f aca="false">IF(L27&gt;0,L27,0)</f>
        <v>0</v>
      </c>
      <c r="K27" s="6" t="n">
        <f aca="false">I27+J27</f>
        <v>97</v>
      </c>
      <c r="L27" s="6" t="n">
        <f aca="false">F27-(I27-W27)</f>
        <v>-67.6770859591631</v>
      </c>
      <c r="M27" s="6" t="n">
        <v>26</v>
      </c>
      <c r="N27" s="6"/>
      <c r="O27" s="6" t="n">
        <v>0</v>
      </c>
      <c r="P27" s="6" t="n">
        <f aca="false">M27-(N27+O27)</f>
        <v>26</v>
      </c>
      <c r="Q27" s="6" t="n">
        <v>50</v>
      </c>
      <c r="R27" s="6" t="n">
        <v>18</v>
      </c>
      <c r="S27" s="6" t="n">
        <f aca="false">SUM(P27:R27)</f>
        <v>94</v>
      </c>
      <c r="T27" s="7"/>
      <c r="U27" s="6" t="n">
        <v>0</v>
      </c>
      <c r="V27" s="6" t="n">
        <v>78</v>
      </c>
      <c r="W27" s="6" t="n">
        <f aca="false">N27+O27+S27+U27+V27</f>
        <v>172</v>
      </c>
      <c r="X27" s="6" t="n">
        <f aca="false">IF(L27&lt;0,L27*-1,0)</f>
        <v>67.6770859591631</v>
      </c>
      <c r="Y27" s="8" t="n">
        <f aca="false">W27+X27</f>
        <v>239.677085959163</v>
      </c>
      <c r="Z27" s="8" t="n">
        <v>0</v>
      </c>
      <c r="AA27" s="35" t="n">
        <v>43</v>
      </c>
      <c r="AB27" s="10" t="n">
        <v>9</v>
      </c>
      <c r="AC27" s="11" t="n">
        <f aca="false">AC26+1</f>
        <v>18</v>
      </c>
    </row>
    <row r="28" customFormat="false" ht="11.1" hidden="false" customHeight="true" outlineLevel="0" collapsed="false">
      <c r="A28" s="11" t="n">
        <f aca="false">A27+1</f>
        <v>19</v>
      </c>
      <c r="B28" s="26" t="n">
        <v>6911.43</v>
      </c>
      <c r="C28" s="7" t="n">
        <v>327739</v>
      </c>
      <c r="D28" s="10" t="n">
        <f aca="false">C28-C27</f>
        <v>-121</v>
      </c>
      <c r="E28" s="7" t="n">
        <f aca="false">C28-152000</f>
        <v>175739</v>
      </c>
      <c r="F28" s="6" t="n">
        <f aca="false">D28/$D$2</f>
        <v>-61.0032770355432</v>
      </c>
      <c r="G28" s="6" t="n">
        <v>85</v>
      </c>
      <c r="H28" s="8" t="n">
        <v>0</v>
      </c>
      <c r="I28" s="6" t="n">
        <f aca="false">G28+H28</f>
        <v>85</v>
      </c>
      <c r="J28" s="33" t="n">
        <f aca="false">IF(L28&gt;0,L28,0)</f>
        <v>26.9967229644568</v>
      </c>
      <c r="K28" s="6" t="n">
        <f aca="false">I28+J28</f>
        <v>111.996722964457</v>
      </c>
      <c r="L28" s="6" t="n">
        <f aca="false">F28-(I28-W28)</f>
        <v>26.9967229644568</v>
      </c>
      <c r="M28" s="6" t="n">
        <v>26</v>
      </c>
      <c r="N28" s="6"/>
      <c r="O28" s="6" t="n">
        <v>0</v>
      </c>
      <c r="P28" s="6" t="n">
        <f aca="false">M28-(N28+O28)</f>
        <v>26</v>
      </c>
      <c r="Q28" s="6" t="n">
        <v>50</v>
      </c>
      <c r="R28" s="6" t="n">
        <v>18</v>
      </c>
      <c r="S28" s="6" t="n">
        <f aca="false">SUM(P28:R28)</f>
        <v>94</v>
      </c>
      <c r="T28" s="7"/>
      <c r="U28" s="6" t="n">
        <v>0</v>
      </c>
      <c r="V28" s="6" t="n">
        <v>79</v>
      </c>
      <c r="W28" s="6" t="n">
        <f aca="false">N28+O28+S28+U28+V28</f>
        <v>173</v>
      </c>
      <c r="X28" s="6" t="n">
        <f aca="false">IF(L28&lt;0,L28*-1,0)</f>
        <v>0</v>
      </c>
      <c r="Y28" s="8" t="n">
        <f aca="false">W28+X28</f>
        <v>173</v>
      </c>
      <c r="Z28" s="8" t="n">
        <v>0</v>
      </c>
      <c r="AA28" s="35" t="n">
        <v>48</v>
      </c>
      <c r="AB28" s="10" t="n">
        <v>10</v>
      </c>
      <c r="AC28" s="11" t="n">
        <f aca="false">AC27+1</f>
        <v>19</v>
      </c>
    </row>
    <row r="29" customFormat="false" ht="11.1" hidden="false" customHeight="true" outlineLevel="0" collapsed="false">
      <c r="A29" s="11" t="n">
        <f aca="false">A28+1</f>
        <v>20</v>
      </c>
      <c r="B29" s="26" t="n">
        <v>6911.39</v>
      </c>
      <c r="C29" s="7" t="n">
        <v>327577</v>
      </c>
      <c r="D29" s="10" t="n">
        <f aca="false">C29-C28</f>
        <v>-162</v>
      </c>
      <c r="E29" s="7" t="n">
        <f aca="false">C29-152000</f>
        <v>175577</v>
      </c>
      <c r="F29" s="6" t="n">
        <f aca="false">D29/$D$2</f>
        <v>-81.6738089236199</v>
      </c>
      <c r="G29" s="6" t="n">
        <v>127</v>
      </c>
      <c r="H29" s="8" t="n">
        <v>0</v>
      </c>
      <c r="I29" s="6" t="n">
        <f aca="false">G29+H29</f>
        <v>127</v>
      </c>
      <c r="J29" s="33" t="n">
        <f aca="false">IF(L29&gt;0,L29,0)</f>
        <v>0</v>
      </c>
      <c r="K29" s="6" t="n">
        <f aca="false">I29+J29</f>
        <v>127</v>
      </c>
      <c r="L29" s="6" t="n">
        <f aca="false">F29-(I29-W29)</f>
        <v>-50.6738089236199</v>
      </c>
      <c r="M29" s="6" t="n">
        <v>26</v>
      </c>
      <c r="N29" s="6"/>
      <c r="O29" s="6" t="n">
        <v>0</v>
      </c>
      <c r="P29" s="6" t="n">
        <f aca="false">M29-(N29+O29)</f>
        <v>26</v>
      </c>
      <c r="Q29" s="6" t="n">
        <v>50</v>
      </c>
      <c r="R29" s="6" t="n">
        <v>2</v>
      </c>
      <c r="S29" s="6" t="n">
        <f aca="false">SUM(P29:R29)</f>
        <v>78</v>
      </c>
      <c r="T29" s="7"/>
      <c r="U29" s="6" t="n">
        <v>0</v>
      </c>
      <c r="V29" s="6" t="n">
        <v>80</v>
      </c>
      <c r="W29" s="6" t="n">
        <f aca="false">N29+O29+S29+U29+V29</f>
        <v>158</v>
      </c>
      <c r="X29" s="6" t="n">
        <f aca="false">IF(L29&lt;0,L29*-1,0)</f>
        <v>50.6738089236199</v>
      </c>
      <c r="Y29" s="8" t="n">
        <f aca="false">W29+X29</f>
        <v>208.67380892362</v>
      </c>
      <c r="Z29" s="8" t="n">
        <v>0</v>
      </c>
      <c r="AA29" s="35" t="n">
        <v>49</v>
      </c>
      <c r="AB29" s="10" t="n">
        <v>8</v>
      </c>
      <c r="AC29" s="11" t="n">
        <f aca="false">AC28+1</f>
        <v>20</v>
      </c>
    </row>
    <row r="30" customFormat="false" ht="11.1" hidden="false" customHeight="true" outlineLevel="0" collapsed="false">
      <c r="A30" s="11" t="n">
        <f aca="false">A29+1</f>
        <v>21</v>
      </c>
      <c r="B30" s="26" t="n">
        <v>6911.35</v>
      </c>
      <c r="C30" s="7" t="n">
        <v>327415</v>
      </c>
      <c r="D30" s="10" t="n">
        <f aca="false">C30-C29</f>
        <v>-162</v>
      </c>
      <c r="E30" s="7" t="n">
        <f aca="false">C30-152000</f>
        <v>175415</v>
      </c>
      <c r="F30" s="6" t="n">
        <f aca="false">D30/$D$2</f>
        <v>-81.6738089236199</v>
      </c>
      <c r="G30" s="6" t="n">
        <v>111</v>
      </c>
      <c r="H30" s="8" t="n">
        <v>0</v>
      </c>
      <c r="I30" s="6" t="n">
        <f aca="false">G30+H30</f>
        <v>111</v>
      </c>
      <c r="J30" s="33" t="n">
        <f aca="false">IF(L30&gt;0,L30,0)</f>
        <v>0</v>
      </c>
      <c r="K30" s="6" t="n">
        <f aca="false">I30+J30</f>
        <v>111</v>
      </c>
      <c r="L30" s="6" t="n">
        <f aca="false">F30-(I30-W30)</f>
        <v>-36.6738089236199</v>
      </c>
      <c r="M30" s="6" t="n">
        <v>26</v>
      </c>
      <c r="N30" s="6"/>
      <c r="O30" s="6" t="n">
        <v>0</v>
      </c>
      <c r="P30" s="6" t="n">
        <f aca="false">M30-(N30+O30)</f>
        <v>26</v>
      </c>
      <c r="Q30" s="6" t="n">
        <v>50</v>
      </c>
      <c r="R30" s="6" t="n">
        <v>0</v>
      </c>
      <c r="S30" s="6" t="n">
        <f aca="false">SUM(P30:R30)</f>
        <v>76</v>
      </c>
      <c r="T30" s="7"/>
      <c r="U30" s="6" t="n">
        <v>0</v>
      </c>
      <c r="V30" s="6" t="n">
        <v>80</v>
      </c>
      <c r="W30" s="6" t="n">
        <f aca="false">N30+O30+S30+U30+V30</f>
        <v>156</v>
      </c>
      <c r="X30" s="6" t="n">
        <f aca="false">IF(L30&lt;0,L30*-1,0)</f>
        <v>36.6738089236199</v>
      </c>
      <c r="Y30" s="8" t="n">
        <f aca="false">W30+X30</f>
        <v>192.67380892362</v>
      </c>
      <c r="Z30" s="8" t="n">
        <v>0</v>
      </c>
      <c r="AA30" s="10" t="n">
        <v>51</v>
      </c>
      <c r="AB30" s="10" t="n">
        <v>12</v>
      </c>
      <c r="AC30" s="11" t="n">
        <f aca="false">AC29+1</f>
        <v>21</v>
      </c>
    </row>
    <row r="31" customFormat="false" ht="11.1" hidden="false" customHeight="true" outlineLevel="0" collapsed="false">
      <c r="A31" s="11" t="n">
        <f aca="false">A30+1</f>
        <v>22</v>
      </c>
      <c r="B31" s="26" t="n">
        <v>6911.31</v>
      </c>
      <c r="C31" s="7" t="n">
        <v>327253</v>
      </c>
      <c r="D31" s="10" t="n">
        <f aca="false">C31-C30</f>
        <v>-162</v>
      </c>
      <c r="E31" s="7" t="n">
        <f aca="false">C31-152000</f>
        <v>175253</v>
      </c>
      <c r="F31" s="6" t="n">
        <f aca="false">D31/$D$2</f>
        <v>-81.6738089236199</v>
      </c>
      <c r="G31" s="6" t="n">
        <v>99</v>
      </c>
      <c r="H31" s="8" t="n">
        <v>0</v>
      </c>
      <c r="I31" s="6" t="n">
        <f aca="false">G31+H31</f>
        <v>99</v>
      </c>
      <c r="J31" s="33" t="n">
        <f aca="false">IF(L31&gt;0,L31,0)</f>
        <v>0</v>
      </c>
      <c r="K31" s="6" t="n">
        <f aca="false">I31+J31</f>
        <v>99</v>
      </c>
      <c r="L31" s="6" t="n">
        <f aca="false">F31-(I31-W31)</f>
        <v>-23.6738089236199</v>
      </c>
      <c r="M31" s="6" t="n">
        <v>26</v>
      </c>
      <c r="N31" s="6"/>
      <c r="O31" s="6" t="n">
        <v>0</v>
      </c>
      <c r="P31" s="6" t="n">
        <f aca="false">M31-(N31+O31)</f>
        <v>26</v>
      </c>
      <c r="Q31" s="6" t="n">
        <v>50</v>
      </c>
      <c r="R31" s="6" t="n">
        <v>0</v>
      </c>
      <c r="S31" s="6" t="n">
        <f aca="false">SUM(P31:R31)</f>
        <v>76</v>
      </c>
      <c r="T31" s="7"/>
      <c r="U31" s="6" t="n">
        <v>0</v>
      </c>
      <c r="V31" s="6" t="n">
        <v>81</v>
      </c>
      <c r="W31" s="6" t="n">
        <f aca="false">N31+O31+S31+U31+V31</f>
        <v>157</v>
      </c>
      <c r="X31" s="6" t="n">
        <f aca="false">IF(L31&lt;0,L31*-1,0)</f>
        <v>23.6738089236199</v>
      </c>
      <c r="Y31" s="8" t="n">
        <f aca="false">W31+X31</f>
        <v>180.67380892362</v>
      </c>
      <c r="Z31" s="8" t="n">
        <v>0</v>
      </c>
      <c r="AA31" s="10" t="n">
        <v>55</v>
      </c>
      <c r="AB31" s="10" t="n">
        <v>15</v>
      </c>
      <c r="AC31" s="11" t="n">
        <f aca="false">AC30+1</f>
        <v>22</v>
      </c>
    </row>
    <row r="32" customFormat="false" ht="11.1" hidden="false" customHeight="true" outlineLevel="0" collapsed="false">
      <c r="A32" s="11" t="n">
        <f aca="false">A31+1</f>
        <v>23</v>
      </c>
      <c r="B32" s="26" t="n">
        <v>6911.29</v>
      </c>
      <c r="C32" s="7" t="n">
        <v>327172</v>
      </c>
      <c r="D32" s="10" t="n">
        <f aca="false">C32-C31</f>
        <v>-81</v>
      </c>
      <c r="E32" s="7" t="n">
        <f aca="false">C32-152000</f>
        <v>175172</v>
      </c>
      <c r="F32" s="6" t="n">
        <f aca="false">D32/$D$2</f>
        <v>-40.8369044618099</v>
      </c>
      <c r="G32" s="6" t="n">
        <v>92</v>
      </c>
      <c r="H32" s="8" t="n">
        <v>0</v>
      </c>
      <c r="I32" s="6" t="n">
        <f aca="false">G32+H32</f>
        <v>92</v>
      </c>
      <c r="J32" s="33" t="n">
        <f aca="false">IF(L32&gt;0,L32,0)</f>
        <v>0.163095538190071</v>
      </c>
      <c r="K32" s="6" t="n">
        <f aca="false">I32+J32</f>
        <v>92.1630955381901</v>
      </c>
      <c r="L32" s="6" t="n">
        <f aca="false">F32-(I32-W32)</f>
        <v>0.163095538190071</v>
      </c>
      <c r="M32" s="6" t="n">
        <v>16</v>
      </c>
      <c r="N32" s="6"/>
      <c r="O32" s="6" t="n">
        <v>0</v>
      </c>
      <c r="P32" s="6" t="n">
        <f aca="false">M32-(N32+O32)</f>
        <v>16</v>
      </c>
      <c r="Q32" s="6" t="n">
        <v>31</v>
      </c>
      <c r="R32" s="6" t="n">
        <v>3</v>
      </c>
      <c r="S32" s="6" t="n">
        <f aca="false">SUM(P32:R32)</f>
        <v>50</v>
      </c>
      <c r="T32" s="7"/>
      <c r="U32" s="6" t="n">
        <v>0</v>
      </c>
      <c r="V32" s="6" t="n">
        <v>83</v>
      </c>
      <c r="W32" s="6" t="n">
        <f aca="false">N32+O32+S32+U32+V32</f>
        <v>133</v>
      </c>
      <c r="X32" s="6" t="n">
        <f aca="false">IF(L32&lt;0,L32*-1,0)</f>
        <v>0</v>
      </c>
      <c r="Y32" s="8" t="n">
        <f aca="false">W32+X32</f>
        <v>133</v>
      </c>
      <c r="Z32" s="8" t="n">
        <v>0</v>
      </c>
      <c r="AA32" s="10" t="n">
        <v>52</v>
      </c>
      <c r="AB32" s="35" t="n">
        <v>24</v>
      </c>
      <c r="AC32" s="11" t="n">
        <f aca="false">AC31+1</f>
        <v>23</v>
      </c>
    </row>
    <row r="33" customFormat="false" ht="11.1" hidden="false" customHeight="true" outlineLevel="0" collapsed="false">
      <c r="A33" s="11" t="n">
        <f aca="false">A32+1</f>
        <v>24</v>
      </c>
      <c r="B33" s="26" t="n">
        <v>6911.28</v>
      </c>
      <c r="C33" s="7" t="n">
        <v>327132</v>
      </c>
      <c r="D33" s="10" t="n">
        <f aca="false">C33-C32</f>
        <v>-40</v>
      </c>
      <c r="E33" s="7" t="n">
        <f aca="false">C33-152000</f>
        <v>175132</v>
      </c>
      <c r="F33" s="6" t="n">
        <f aca="false">D33/$D$2</f>
        <v>-20.1663725737333</v>
      </c>
      <c r="G33" s="6" t="n">
        <v>90</v>
      </c>
      <c r="H33" s="8" t="n">
        <v>0</v>
      </c>
      <c r="I33" s="6" t="n">
        <f aca="false">G33+H33</f>
        <v>90</v>
      </c>
      <c r="J33" s="33" t="n">
        <f aca="false">IF(L33&gt;0,L33,0)</f>
        <v>0</v>
      </c>
      <c r="K33" s="6" t="n">
        <f aca="false">I33+J33</f>
        <v>90</v>
      </c>
      <c r="L33" s="6" t="n">
        <f aca="false">F33-(I33-W33)</f>
        <v>-24.1663725737333</v>
      </c>
      <c r="M33" s="6" t="n">
        <v>5</v>
      </c>
      <c r="N33" s="6"/>
      <c r="O33" s="6" t="n">
        <v>0</v>
      </c>
      <c r="P33" s="6" t="n">
        <f aca="false">M33-(N33+O33)</f>
        <v>5</v>
      </c>
      <c r="Q33" s="6" t="n">
        <v>0</v>
      </c>
      <c r="R33" s="6" t="n">
        <v>3</v>
      </c>
      <c r="S33" s="6" t="n">
        <f aca="false">SUM(P33:R33)</f>
        <v>8</v>
      </c>
      <c r="T33" s="7"/>
      <c r="U33" s="6" t="n">
        <v>0</v>
      </c>
      <c r="V33" s="6" t="n">
        <v>78</v>
      </c>
      <c r="W33" s="6" t="n">
        <f aca="false">N33+O33+S33+U33+V33</f>
        <v>86</v>
      </c>
      <c r="X33" s="6" t="n">
        <f aca="false">IF(L33&lt;0,L33*-1,0)</f>
        <v>24.1663725737333</v>
      </c>
      <c r="Y33" s="8" t="n">
        <f aca="false">W33+X33</f>
        <v>110.166372573733</v>
      </c>
      <c r="Z33" s="8" t="n">
        <v>0</v>
      </c>
      <c r="AA33" s="10" t="n">
        <v>50</v>
      </c>
      <c r="AB33" s="35" t="n">
        <v>21</v>
      </c>
      <c r="AC33" s="11" t="n">
        <f aca="false">AC32+1</f>
        <v>24</v>
      </c>
    </row>
    <row r="34" customFormat="false" ht="11.1" hidden="false" customHeight="true" outlineLevel="0" collapsed="false">
      <c r="A34" s="11" t="n">
        <f aca="false">A33+1</f>
        <v>25</v>
      </c>
      <c r="B34" s="26" t="n">
        <v>6911.31</v>
      </c>
      <c r="C34" s="7" t="n">
        <v>327253</v>
      </c>
      <c r="D34" s="10" t="n">
        <f aca="false">C34-C33</f>
        <v>121</v>
      </c>
      <c r="E34" s="7" t="n">
        <f aca="false">C34-152000</f>
        <v>175253</v>
      </c>
      <c r="F34" s="6" t="n">
        <f aca="false">D34/$D$2</f>
        <v>61.0032770355432</v>
      </c>
      <c r="G34" s="6" t="n">
        <v>83</v>
      </c>
      <c r="H34" s="8" t="n">
        <v>0</v>
      </c>
      <c r="I34" s="6" t="n">
        <f aca="false">G34+H34</f>
        <v>83</v>
      </c>
      <c r="J34" s="33" t="n">
        <f aca="false">IF(L34&gt;0,L34,0)</f>
        <v>63.0032770355432</v>
      </c>
      <c r="K34" s="6" t="n">
        <f aca="false">I34+J34</f>
        <v>146.003277035543</v>
      </c>
      <c r="L34" s="6" t="n">
        <f aca="false">F34-(I34-W34)</f>
        <v>63.0032770355432</v>
      </c>
      <c r="M34" s="6" t="n">
        <v>5</v>
      </c>
      <c r="N34" s="6"/>
      <c r="O34" s="6" t="n">
        <v>0</v>
      </c>
      <c r="P34" s="6" t="n">
        <f aca="false">M34-(N34+O34)</f>
        <v>5</v>
      </c>
      <c r="Q34" s="6" t="n">
        <v>0</v>
      </c>
      <c r="R34" s="6" t="n">
        <v>3</v>
      </c>
      <c r="S34" s="6" t="n">
        <f aca="false">SUM(P34:R34)</f>
        <v>8</v>
      </c>
      <c r="T34" s="7"/>
      <c r="U34" s="6" t="n">
        <v>0</v>
      </c>
      <c r="V34" s="6" t="n">
        <v>77</v>
      </c>
      <c r="W34" s="6" t="n">
        <f aca="false">N34+O34+S34+U34+V34</f>
        <v>85</v>
      </c>
      <c r="X34" s="6" t="n">
        <f aca="false">IF(L34&lt;0,L34*-1,0)</f>
        <v>0</v>
      </c>
      <c r="Y34" s="8" t="n">
        <f aca="false">W34+X34</f>
        <v>85</v>
      </c>
      <c r="Z34" s="8" t="n">
        <v>0.37</v>
      </c>
      <c r="AA34" s="10" t="n">
        <v>50</v>
      </c>
      <c r="AB34" s="35" t="n">
        <v>20</v>
      </c>
      <c r="AC34" s="11" t="n">
        <f aca="false">AC33+1</f>
        <v>25</v>
      </c>
    </row>
    <row r="35" customFormat="false" ht="11.1" hidden="false" customHeight="true" outlineLevel="0" collapsed="false">
      <c r="A35" s="11" t="n">
        <f aca="false">A34+1</f>
        <v>26</v>
      </c>
      <c r="B35" s="26" t="n">
        <v>6911.33</v>
      </c>
      <c r="C35" s="7" t="n">
        <v>327334</v>
      </c>
      <c r="D35" s="10" t="n">
        <f aca="false">C35-C34</f>
        <v>81</v>
      </c>
      <c r="E35" s="7" t="n">
        <f aca="false">C35-152000</f>
        <v>175334</v>
      </c>
      <c r="F35" s="6" t="n">
        <f aca="false">D35/$D$2</f>
        <v>40.8369044618099</v>
      </c>
      <c r="G35" s="6" t="n">
        <v>98</v>
      </c>
      <c r="H35" s="8" t="n">
        <v>0</v>
      </c>
      <c r="I35" s="6" t="n">
        <f aca="false">G35+H35</f>
        <v>98</v>
      </c>
      <c r="J35" s="33" t="n">
        <f aca="false">IF(L35&gt;0,L35,0)</f>
        <v>26.8369044618099</v>
      </c>
      <c r="K35" s="6" t="n">
        <f aca="false">I35+J35</f>
        <v>124.83690446181</v>
      </c>
      <c r="L35" s="6" t="n">
        <f aca="false">F35-(I35-W35)</f>
        <v>26.8369044618099</v>
      </c>
      <c r="M35" s="6" t="n">
        <v>5</v>
      </c>
      <c r="N35" s="6"/>
      <c r="O35" s="6" t="n">
        <v>0</v>
      </c>
      <c r="P35" s="6" t="n">
        <f aca="false">M35-(N35+O35)</f>
        <v>5</v>
      </c>
      <c r="Q35" s="6" t="n">
        <v>0</v>
      </c>
      <c r="R35" s="6" t="n">
        <v>2</v>
      </c>
      <c r="S35" s="6" t="n">
        <f aca="false">SUM(P35:R35)</f>
        <v>7</v>
      </c>
      <c r="T35" s="7"/>
      <c r="U35" s="6" t="n">
        <v>0</v>
      </c>
      <c r="V35" s="6" t="n">
        <v>77</v>
      </c>
      <c r="W35" s="6" t="n">
        <f aca="false">N35+O35+S35+U35+V35</f>
        <v>84</v>
      </c>
      <c r="X35" s="6" t="n">
        <f aca="false">IF(L35&lt;0,L35*-1,0)</f>
        <v>0</v>
      </c>
      <c r="Y35" s="8" t="n">
        <f aca="false">W35+X35</f>
        <v>84</v>
      </c>
      <c r="Z35" s="8" t="n">
        <v>0</v>
      </c>
      <c r="AA35" s="10" t="n">
        <v>40</v>
      </c>
      <c r="AB35" s="10" t="n">
        <v>17</v>
      </c>
      <c r="AC35" s="11" t="n">
        <f aca="false">AC34+1</f>
        <v>26</v>
      </c>
    </row>
    <row r="36" customFormat="false" ht="11.1" hidden="false" customHeight="true" outlineLevel="0" collapsed="false">
      <c r="A36" s="11" t="n">
        <f aca="false">A35+1</f>
        <v>27</v>
      </c>
      <c r="B36" s="26" t="n">
        <v>6911.3</v>
      </c>
      <c r="C36" s="7" t="n">
        <v>327213</v>
      </c>
      <c r="D36" s="10" t="n">
        <f aca="false">C36-C35</f>
        <v>-121</v>
      </c>
      <c r="E36" s="7" t="n">
        <f aca="false">C36-152000</f>
        <v>175213</v>
      </c>
      <c r="F36" s="6" t="n">
        <f aca="false">D36/$D$2</f>
        <v>-61.0032770355432</v>
      </c>
      <c r="G36" s="6" t="n">
        <v>76</v>
      </c>
      <c r="H36" s="8" t="n">
        <v>0</v>
      </c>
      <c r="I36" s="6" t="n">
        <f aca="false">G36+H36</f>
        <v>76</v>
      </c>
      <c r="J36" s="33" t="n">
        <f aca="false">IF(L36&gt;0,L36,0)</f>
        <v>0</v>
      </c>
      <c r="K36" s="6" t="n">
        <f aca="false">I36+J36</f>
        <v>76</v>
      </c>
      <c r="L36" s="6" t="n">
        <f aca="false">F36-(I36-W36)</f>
        <v>-53.0032770355432</v>
      </c>
      <c r="M36" s="6" t="n">
        <v>5</v>
      </c>
      <c r="N36" s="6"/>
      <c r="O36" s="6" t="n">
        <v>0</v>
      </c>
      <c r="P36" s="6" t="n">
        <f aca="false">M36-(N36+O36)</f>
        <v>5</v>
      </c>
      <c r="Q36" s="6" t="n">
        <v>0</v>
      </c>
      <c r="R36" s="6" t="n">
        <v>2</v>
      </c>
      <c r="S36" s="6" t="n">
        <f aca="false">SUM(P36:R36)</f>
        <v>7</v>
      </c>
      <c r="T36" s="7"/>
      <c r="U36" s="6" t="n">
        <v>0</v>
      </c>
      <c r="V36" s="6" t="n">
        <v>77</v>
      </c>
      <c r="W36" s="6" t="n">
        <f aca="false">N36+O36+S36+U36+V36</f>
        <v>84</v>
      </c>
      <c r="X36" s="6" t="n">
        <f aca="false">IF(L36&lt;0,L36*-1,0)</f>
        <v>53.0032770355432</v>
      </c>
      <c r="Y36" s="8" t="n">
        <f aca="false">W36+X36</f>
        <v>137.003277035543</v>
      </c>
      <c r="Z36" s="8" t="n">
        <v>0</v>
      </c>
      <c r="AA36" s="10" t="n">
        <v>41</v>
      </c>
      <c r="AB36" s="10" t="n">
        <v>9</v>
      </c>
      <c r="AC36" s="11" t="n">
        <f aca="false">AC35+1</f>
        <v>27</v>
      </c>
    </row>
    <row r="37" customFormat="false" ht="11.1" hidden="false" customHeight="true" outlineLevel="0" collapsed="false">
      <c r="A37" s="11" t="n">
        <f aca="false">A36+1</f>
        <v>28</v>
      </c>
      <c r="B37" s="26" t="n">
        <v>6911.28</v>
      </c>
      <c r="C37" s="7" t="n">
        <v>327132</v>
      </c>
      <c r="D37" s="10" t="n">
        <f aca="false">C37-C36</f>
        <v>-81</v>
      </c>
      <c r="E37" s="7" t="n">
        <f aca="false">C37-152000</f>
        <v>175132</v>
      </c>
      <c r="F37" s="6" t="n">
        <f aca="false">D37/$D$2</f>
        <v>-40.8369044618099</v>
      </c>
      <c r="G37" s="6" t="n">
        <v>73</v>
      </c>
      <c r="H37" s="8" t="n">
        <v>0</v>
      </c>
      <c r="I37" s="6" t="n">
        <f aca="false">G37+H37</f>
        <v>73</v>
      </c>
      <c r="J37" s="33" t="n">
        <f aca="false">IF(L37&gt;0,L37,0)</f>
        <v>0</v>
      </c>
      <c r="K37" s="6" t="n">
        <f aca="false">I37+J37</f>
        <v>73</v>
      </c>
      <c r="L37" s="6" t="n">
        <f aca="false">F37-(I37-W37)</f>
        <v>-28.8369044618099</v>
      </c>
      <c r="M37" s="6" t="n">
        <v>5</v>
      </c>
      <c r="N37" s="6"/>
      <c r="O37" s="6" t="n">
        <v>0</v>
      </c>
      <c r="P37" s="6" t="n">
        <f aca="false">M37-(N37+O37)</f>
        <v>5</v>
      </c>
      <c r="Q37" s="6" t="n">
        <v>0</v>
      </c>
      <c r="R37" s="6" t="n">
        <v>2</v>
      </c>
      <c r="S37" s="6" t="n">
        <f aca="false">SUM(P37:R37)</f>
        <v>7</v>
      </c>
      <c r="T37" s="7"/>
      <c r="U37" s="6" t="n">
        <v>0</v>
      </c>
      <c r="V37" s="6" t="n">
        <v>78</v>
      </c>
      <c r="W37" s="6" t="n">
        <f aca="false">N37+O37+S37+U37+V37</f>
        <v>85</v>
      </c>
      <c r="X37" s="6" t="n">
        <f aca="false">IF(L37&lt;0,L37*-1,0)</f>
        <v>28.8369044618099</v>
      </c>
      <c r="Y37" s="8" t="n">
        <f aca="false">W37+X37</f>
        <v>113.83690446181</v>
      </c>
      <c r="Z37" s="8" t="n">
        <v>0</v>
      </c>
      <c r="AA37" s="10" t="n">
        <v>42</v>
      </c>
      <c r="AB37" s="10" t="n">
        <v>11</v>
      </c>
      <c r="AC37" s="11" t="n">
        <f aca="false">AC36+1</f>
        <v>28</v>
      </c>
    </row>
    <row r="38" customFormat="false" ht="11.1" hidden="false" customHeight="true" outlineLevel="0" collapsed="false">
      <c r="A38" s="11" t="n">
        <f aca="false">A37+1</f>
        <v>29</v>
      </c>
      <c r="B38" s="26" t="n">
        <v>6911.26</v>
      </c>
      <c r="C38" s="7" t="n">
        <v>327051</v>
      </c>
      <c r="D38" s="10" t="n">
        <f aca="false">C38-C37</f>
        <v>-81</v>
      </c>
      <c r="E38" s="7" t="n">
        <f aca="false">C38-152000</f>
        <v>175051</v>
      </c>
      <c r="F38" s="6" t="n">
        <f aca="false">D38/$D$2</f>
        <v>-40.8369044618099</v>
      </c>
      <c r="G38" s="6" t="n">
        <v>102</v>
      </c>
      <c r="H38" s="8" t="n">
        <v>0</v>
      </c>
      <c r="I38" s="6" t="n">
        <f aca="false">G38+H38</f>
        <v>102</v>
      </c>
      <c r="J38" s="33" t="n">
        <f aca="false">IF(L38&gt;0,L38,0)</f>
        <v>0</v>
      </c>
      <c r="K38" s="6" t="n">
        <f aca="false">I38+J38</f>
        <v>102</v>
      </c>
      <c r="L38" s="6" t="n">
        <f aca="false">F38-(I38-W38)</f>
        <v>-55.8369044618099</v>
      </c>
      <c r="M38" s="6" t="n">
        <v>5</v>
      </c>
      <c r="N38" s="6"/>
      <c r="O38" s="6" t="n">
        <v>0</v>
      </c>
      <c r="P38" s="6" t="n">
        <f aca="false">M38-(N38+O38)</f>
        <v>5</v>
      </c>
      <c r="Q38" s="6" t="n">
        <v>0</v>
      </c>
      <c r="R38" s="6" t="n">
        <v>2</v>
      </c>
      <c r="S38" s="6" t="n">
        <f aca="false">SUM(P38:R38)</f>
        <v>7</v>
      </c>
      <c r="T38" s="7"/>
      <c r="U38" s="6" t="n">
        <v>0</v>
      </c>
      <c r="V38" s="6" t="n">
        <v>80</v>
      </c>
      <c r="W38" s="6" t="n">
        <f aca="false">N38+O38+S38+U38+V38</f>
        <v>87</v>
      </c>
      <c r="X38" s="6" t="n">
        <f aca="false">IF(L38&lt;0,L38*-1,0)</f>
        <v>55.8369044618099</v>
      </c>
      <c r="Y38" s="8" t="n">
        <f aca="false">W38+X38</f>
        <v>142.83690446181</v>
      </c>
      <c r="Z38" s="8" t="n">
        <v>0</v>
      </c>
      <c r="AA38" s="35" t="n">
        <v>43</v>
      </c>
      <c r="AB38" s="10" t="n">
        <v>15</v>
      </c>
      <c r="AC38" s="11" t="n">
        <f aca="false">AC37+1</f>
        <v>29</v>
      </c>
    </row>
    <row r="39" customFormat="false" ht="11.1" hidden="false" customHeight="true" outlineLevel="0" collapsed="false">
      <c r="A39" s="11" t="n">
        <v>30</v>
      </c>
      <c r="B39" s="26" t="n">
        <v>6911.24</v>
      </c>
      <c r="C39" s="7" t="n">
        <v>326970</v>
      </c>
      <c r="D39" s="10" t="n">
        <f aca="false">C39-C38</f>
        <v>-81</v>
      </c>
      <c r="E39" s="7" t="n">
        <f aca="false">C39-152000</f>
        <v>174970</v>
      </c>
      <c r="F39" s="6" t="n">
        <f aca="false">D39/$D$2</f>
        <v>-40.8369044618099</v>
      </c>
      <c r="G39" s="6" t="n">
        <v>129</v>
      </c>
      <c r="H39" s="8" t="n">
        <v>0</v>
      </c>
      <c r="I39" s="6" t="n">
        <f aca="false">G39+H39</f>
        <v>129</v>
      </c>
      <c r="J39" s="33" t="n">
        <f aca="false">IF(L39&gt;0,L39,0)</f>
        <v>0</v>
      </c>
      <c r="K39" s="6" t="n">
        <f aca="false">I39+J39</f>
        <v>129</v>
      </c>
      <c r="L39" s="6" t="n">
        <f aca="false">F39-(I39-W39)</f>
        <v>-83.8369044618099</v>
      </c>
      <c r="M39" s="6" t="n">
        <v>5</v>
      </c>
      <c r="N39" s="6"/>
      <c r="O39" s="6" t="n">
        <v>0</v>
      </c>
      <c r="P39" s="6" t="n">
        <f aca="false">M39-(N39+O39)</f>
        <v>5</v>
      </c>
      <c r="Q39" s="6" t="n">
        <v>0</v>
      </c>
      <c r="R39" s="6" t="n">
        <v>0</v>
      </c>
      <c r="S39" s="6" t="n">
        <f aca="false">SUM(P39:R39)</f>
        <v>5</v>
      </c>
      <c r="T39" s="7"/>
      <c r="U39" s="6" t="n">
        <v>0</v>
      </c>
      <c r="V39" s="6" t="n">
        <v>81</v>
      </c>
      <c r="W39" s="6" t="n">
        <f aca="false">N39+O39+S39+U39+V39</f>
        <v>86</v>
      </c>
      <c r="X39" s="6" t="n">
        <f aca="false">IF(L39&lt;0,L39*-1,0)</f>
        <v>83.8369044618099</v>
      </c>
      <c r="Y39" s="8" t="n">
        <f aca="false">W39+X39</f>
        <v>169.83690446181</v>
      </c>
      <c r="Z39" s="8" t="n">
        <v>0</v>
      </c>
      <c r="AA39" s="35" t="n">
        <v>39</v>
      </c>
      <c r="AB39" s="10" t="n">
        <v>16</v>
      </c>
      <c r="AC39" s="11" t="n">
        <v>30</v>
      </c>
    </row>
    <row r="40" customFormat="false" ht="3" hidden="false" customHeight="true" outlineLevel="0" collapsed="false">
      <c r="A40" s="27"/>
      <c r="B40" s="27"/>
      <c r="C40" s="29"/>
      <c r="D40" s="27"/>
      <c r="E40" s="29"/>
      <c r="F40" s="27"/>
      <c r="G40" s="27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9"/>
      <c r="U40" s="27"/>
      <c r="V40" s="27"/>
      <c r="W40" s="27"/>
      <c r="X40" s="27"/>
      <c r="Y40" s="30"/>
      <c r="Z40" s="30"/>
      <c r="AA40" s="31"/>
      <c r="AB40" s="31"/>
      <c r="AC40" s="32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428.031257877489</v>
      </c>
      <c r="G41" s="7" t="n">
        <f aca="false">SUM(G10:G39)</f>
        <v>4084</v>
      </c>
      <c r="H41" s="8" t="n">
        <f aca="false">SUM(H10:H39)</f>
        <v>0</v>
      </c>
      <c r="I41" s="7" t="n">
        <f aca="false">SUM(I10:I39)</f>
        <v>4084</v>
      </c>
      <c r="J41" s="7" t="n">
        <f aca="false">SUM(J10:J39)</f>
        <v>897.764305520544</v>
      </c>
      <c r="K41" s="7" t="n">
        <f aca="false">SUM(K10:K39)</f>
        <v>4981.76430552054</v>
      </c>
      <c r="L41" s="7" t="n">
        <f aca="false">SUM(L10:L39)</f>
        <v>10.0312578774893</v>
      </c>
      <c r="M41" s="7" t="n">
        <f aca="false">SUM(M10:M39)</f>
        <v>651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651</v>
      </c>
      <c r="Q41" s="7" t="n">
        <f aca="false">SUM(Q10:Q39)</f>
        <v>533</v>
      </c>
      <c r="R41" s="7" t="n">
        <f aca="false">SUM(R10:R39)</f>
        <v>104</v>
      </c>
      <c r="S41" s="7" t="n">
        <f aca="false">SUM(S10:S39)</f>
        <v>1288</v>
      </c>
      <c r="T41" s="7"/>
      <c r="U41" s="7" t="n">
        <f aca="false">SUM(U10:U39)</f>
        <v>0</v>
      </c>
      <c r="V41" s="7" t="n">
        <f aca="false">SUM(V10:V39)</f>
        <v>2378</v>
      </c>
      <c r="W41" s="7" t="n">
        <f aca="false">SUM(W10:W39)</f>
        <v>3666</v>
      </c>
      <c r="X41" s="7" t="n">
        <f aca="false">SUM(X10:X39)</f>
        <v>887.733047643055</v>
      </c>
      <c r="Y41" s="8" t="n">
        <f aca="false">SUM(Y10:Y39)</f>
        <v>4553.73304764306</v>
      </c>
      <c r="Z41" s="8" t="n">
        <f aca="false">SUM(Z10:Z39)</f>
        <v>3.05</v>
      </c>
      <c r="AA41" s="10" t="n">
        <f aca="false">AVERAGE(AA10:AA39)</f>
        <v>51.2666666666667</v>
      </c>
      <c r="AB41" s="10" t="n">
        <f aca="false">AVERAGE(AB10:AB39)</f>
        <v>22.6</v>
      </c>
      <c r="AC41" s="11" t="s">
        <v>45</v>
      </c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849</v>
      </c>
      <c r="E42" s="7"/>
      <c r="F42" s="7" t="n">
        <f aca="false">F41*$D$2</f>
        <v>849</v>
      </c>
      <c r="G42" s="7" t="n">
        <f aca="false">G41*$D$2</f>
        <v>8100.614</v>
      </c>
      <c r="H42" s="8" t="n">
        <f aca="false">H41*$D$2</f>
        <v>0</v>
      </c>
      <c r="I42" s="7" t="n">
        <f aca="false">I41*$D$2</f>
        <v>8100.614</v>
      </c>
      <c r="J42" s="7" t="n">
        <f aca="false">J41*$D$2</f>
        <v>1780.7155</v>
      </c>
      <c r="K42" s="7" t="n">
        <f aca="false">K41*$D$2</f>
        <v>9881.3295</v>
      </c>
      <c r="L42" s="7" t="n">
        <f aca="false">L41*$D$2</f>
        <v>19.897</v>
      </c>
      <c r="M42" s="7" t="n">
        <f aca="false">M41*$D$2</f>
        <v>1291.2585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1291.2585</v>
      </c>
      <c r="Q42" s="7" t="n">
        <f aca="false">Q41*$D$2</f>
        <v>1057.2055</v>
      </c>
      <c r="R42" s="7" t="n">
        <f aca="false">R41*$D$2</f>
        <v>206.284</v>
      </c>
      <c r="S42" s="7" t="n">
        <f aca="false">S41*$D$2</f>
        <v>2554.748</v>
      </c>
      <c r="T42" s="7"/>
      <c r="U42" s="7" t="n">
        <f aca="false">U41*$D$2</f>
        <v>0</v>
      </c>
      <c r="V42" s="7" t="n">
        <f aca="false">V41*$D$2</f>
        <v>4716.763</v>
      </c>
      <c r="W42" s="7" t="n">
        <f aca="false">W41*$D$2</f>
        <v>7271.511</v>
      </c>
      <c r="X42" s="7" t="n">
        <f aca="false">X41*$D$2</f>
        <v>1760.8185</v>
      </c>
      <c r="Y42" s="8" t="n">
        <f aca="false">Y41*$D$2</f>
        <v>9032.3295</v>
      </c>
      <c r="Z42" s="8"/>
      <c r="AA42" s="10" t="n">
        <f aca="false">MAX(AA10:AA39)</f>
        <v>65</v>
      </c>
      <c r="AB42" s="10" t="n">
        <f aca="false">MAX(AB10:AB39)</f>
        <v>38</v>
      </c>
      <c r="AC42" s="11" t="s">
        <v>47</v>
      </c>
    </row>
    <row r="43" customFormat="false" ht="3" hidden="false" customHeight="true" outlineLevel="0" collapsed="false">
      <c r="A43" s="27"/>
      <c r="B43" s="27"/>
      <c r="C43" s="29"/>
      <c r="D43" s="29"/>
      <c r="E43" s="29"/>
      <c r="F43" s="29"/>
      <c r="G43" s="29"/>
      <c r="H43" s="30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30"/>
      <c r="Z43" s="8"/>
      <c r="AA43" s="10"/>
      <c r="AB43" s="10"/>
      <c r="AC43" s="11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8"/>
      <c r="Z44" s="8"/>
      <c r="AA44" s="10" t="n">
        <f aca="false">MIN(AA10:AA39)</f>
        <v>39</v>
      </c>
      <c r="AB44" s="10" t="n">
        <f aca="false">MIN(AB10:AB39)</f>
        <v>8</v>
      </c>
      <c r="AC44" s="11" t="s">
        <v>49</v>
      </c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8"/>
      <c r="Z45" s="8"/>
      <c r="AA45" s="10"/>
      <c r="AB45" s="10"/>
      <c r="AC45" s="11"/>
    </row>
    <row r="46" customFormat="false" ht="3" hidden="false" customHeight="true" outlineLevel="0" collapsed="false">
      <c r="A46" s="27"/>
      <c r="B46" s="27"/>
      <c r="C46" s="29"/>
      <c r="D46" s="29"/>
      <c r="E46" s="29"/>
      <c r="F46" s="29"/>
      <c r="G46" s="29"/>
      <c r="H46" s="30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30"/>
      <c r="Z46" s="30"/>
      <c r="AA46" s="10"/>
      <c r="AB46" s="10"/>
      <c r="AC46" s="11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428.031257877489</v>
      </c>
      <c r="G47" s="7" t="n">
        <f aca="false">G8+G41</f>
        <v>4084</v>
      </c>
      <c r="H47" s="8" t="n">
        <f aca="false">H8+H41</f>
        <v>0</v>
      </c>
      <c r="I47" s="7" t="n">
        <f aca="false">I8+I41</f>
        <v>4084</v>
      </c>
      <c r="J47" s="7" t="n">
        <f aca="false">J8+J41</f>
        <v>897.764305520544</v>
      </c>
      <c r="K47" s="7" t="n">
        <f aca="false">K8+K41</f>
        <v>4981.76430552054</v>
      </c>
      <c r="L47" s="7" t="n">
        <f aca="false">L8+L41</f>
        <v>10.0312578774893</v>
      </c>
      <c r="M47" s="7" t="n">
        <f aca="false">M8+M41</f>
        <v>651</v>
      </c>
      <c r="N47" s="7" t="n">
        <f aca="false">N8+N41</f>
        <v>0</v>
      </c>
      <c r="O47" s="7" t="n">
        <f aca="false">O8+O41</f>
        <v>0</v>
      </c>
      <c r="P47" s="7" t="n">
        <f aca="false">P8+P41</f>
        <v>651</v>
      </c>
      <c r="Q47" s="7" t="n">
        <f aca="false">Q8+Q41</f>
        <v>533</v>
      </c>
      <c r="R47" s="7" t="n">
        <f aca="false">R8+R41</f>
        <v>104</v>
      </c>
      <c r="S47" s="7" t="n">
        <f aca="false">S8+S41</f>
        <v>1288</v>
      </c>
      <c r="T47" s="7"/>
      <c r="U47" s="7" t="n">
        <f aca="false">U8+U41</f>
        <v>0</v>
      </c>
      <c r="V47" s="7" t="n">
        <f aca="false">V8+V41</f>
        <v>2378</v>
      </c>
      <c r="W47" s="7" t="n">
        <f aca="false">W8+W41</f>
        <v>3666</v>
      </c>
      <c r="X47" s="7" t="n">
        <f aca="false">X8+X41</f>
        <v>887.733047643055</v>
      </c>
      <c r="Y47" s="8" t="n">
        <f aca="false">Y8+Y41</f>
        <v>4553.73304764306</v>
      </c>
      <c r="Z47" s="8" t="n">
        <f aca="false">Z8+Z41</f>
        <v>3.05</v>
      </c>
      <c r="AA47" s="10"/>
      <c r="AB47" s="10"/>
      <c r="AC47" s="11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849</v>
      </c>
      <c r="E48" s="7" t="n">
        <f aca="false">E39</f>
        <v>174970</v>
      </c>
      <c r="F48" s="7" t="n">
        <f aca="false">F47*$D$2</f>
        <v>849</v>
      </c>
      <c r="G48" s="7" t="n">
        <f aca="false">G47*$D$2</f>
        <v>8100.614</v>
      </c>
      <c r="H48" s="8" t="n">
        <f aca="false">H47*$D$2</f>
        <v>0</v>
      </c>
      <c r="I48" s="7" t="n">
        <f aca="false">I47*$D$2</f>
        <v>8100.614</v>
      </c>
      <c r="J48" s="7" t="n">
        <f aca="false">J47*$D$2</f>
        <v>1780.7155</v>
      </c>
      <c r="K48" s="7" t="n">
        <f aca="false">K47*$D$2</f>
        <v>9881.3295</v>
      </c>
      <c r="L48" s="7" t="n">
        <f aca="false">L47*$D$2</f>
        <v>19.897</v>
      </c>
      <c r="M48" s="7" t="n">
        <f aca="false">M47*$D$2</f>
        <v>1291.2585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1291.2585</v>
      </c>
      <c r="Q48" s="7" t="n">
        <f aca="false">Q47*$D$2</f>
        <v>1057.2055</v>
      </c>
      <c r="R48" s="7" t="n">
        <f aca="false">R47*$D$2</f>
        <v>206.284</v>
      </c>
      <c r="S48" s="7" t="n">
        <f aca="false">S47*$D$2</f>
        <v>2554.748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4716.763</v>
      </c>
      <c r="W48" s="7" t="n">
        <f aca="false">W47*$D$2</f>
        <v>7271.511</v>
      </c>
      <c r="X48" s="7" t="n">
        <f aca="false">X47*$D$2</f>
        <v>1760.8185</v>
      </c>
      <c r="Y48" s="8" t="n">
        <f aca="false">Y47*$D$2</f>
        <v>9032.3295</v>
      </c>
      <c r="Z48" s="8"/>
      <c r="AA48" s="10"/>
      <c r="AB48" s="10"/>
      <c r="AC48" s="11"/>
    </row>
    <row r="49" customFormat="false" ht="11.1" hidden="false" customHeight="true" outlineLevel="0" collapsed="false">
      <c r="A49" s="27"/>
      <c r="B49" s="27"/>
      <c r="C49" s="29"/>
      <c r="D49" s="27"/>
      <c r="E49" s="29"/>
      <c r="F49" s="27"/>
      <c r="G49" s="27"/>
      <c r="H49" s="30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9"/>
      <c r="U49" s="27"/>
      <c r="V49" s="27"/>
      <c r="W49" s="27"/>
      <c r="X49" s="27"/>
      <c r="Y49" s="30"/>
      <c r="Z49" s="8"/>
      <c r="AA49" s="10"/>
      <c r="AB49" s="10"/>
      <c r="AC49" s="11"/>
    </row>
    <row r="50" customFormat="false" ht="14.1" hidden="false" customHeight="true" outlineLevel="0" collapsed="false">
      <c r="A50" s="36"/>
      <c r="B50" s="37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8"/>
      <c r="Z50" s="8"/>
      <c r="AA50" s="10"/>
      <c r="AB50" s="10"/>
      <c r="AC50" s="11"/>
    </row>
    <row r="51" customFormat="false" ht="11.1" hidden="false" customHeight="true" outlineLevel="0" collapsed="false">
      <c r="A51" s="6"/>
      <c r="B51" s="26"/>
      <c r="C51" s="7"/>
      <c r="D51" s="35"/>
      <c r="E51" s="7"/>
      <c r="F51" s="6"/>
      <c r="G51" s="6"/>
      <c r="H51" s="8"/>
      <c r="I51" s="38"/>
      <c r="J51" s="6"/>
      <c r="K51" s="39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8"/>
      <c r="Z51" s="8"/>
      <c r="AA51" s="10"/>
      <c r="AB51" s="10"/>
      <c r="AC51" s="11"/>
    </row>
    <row r="52" customFormat="false" ht="11.1" hidden="false" customHeight="true" outlineLevel="0" collapsed="false">
      <c r="B52" s="35"/>
      <c r="C52" s="7"/>
      <c r="D52" s="7"/>
      <c r="E52" s="7"/>
      <c r="F52" s="35"/>
      <c r="G52" s="35"/>
      <c r="H52" s="8"/>
      <c r="I52" s="35"/>
      <c r="J52" s="35"/>
      <c r="K52" s="35"/>
      <c r="L52" s="35"/>
      <c r="M52" s="33"/>
      <c r="N52" s="33"/>
      <c r="O52" s="33"/>
      <c r="P52" s="33"/>
      <c r="Q52" s="35"/>
      <c r="R52" s="35"/>
      <c r="S52" s="35"/>
      <c r="T52" s="7"/>
      <c r="U52" s="35"/>
      <c r="V52" s="35"/>
      <c r="W52" s="35"/>
      <c r="X52" s="35"/>
      <c r="Y52" s="8"/>
      <c r="Z52" s="8"/>
      <c r="AA52" s="10"/>
      <c r="AB52" s="10"/>
      <c r="AC52" s="11"/>
    </row>
    <row r="53" customFormat="false" ht="11.1" hidden="false" customHeight="true" outlineLevel="0" collapsed="false">
      <c r="A53" s="35"/>
      <c r="B53" s="40"/>
      <c r="C53" s="7"/>
      <c r="D53" s="7"/>
      <c r="E53" s="7"/>
      <c r="F53" s="35"/>
      <c r="G53" s="35"/>
      <c r="H53" s="8"/>
      <c r="I53" s="35"/>
      <c r="J53" s="35"/>
      <c r="K53" s="35"/>
      <c r="L53" s="35"/>
      <c r="M53" s="33"/>
      <c r="N53" s="33"/>
      <c r="O53" s="33"/>
      <c r="P53" s="33"/>
      <c r="Q53" s="35"/>
      <c r="R53" s="35"/>
      <c r="S53" s="35"/>
      <c r="T53" s="7"/>
      <c r="U53" s="35"/>
      <c r="V53" s="35"/>
      <c r="W53" s="35"/>
      <c r="X53" s="35"/>
      <c r="Y53" s="8"/>
      <c r="Z53" s="8"/>
      <c r="AA53" s="10"/>
      <c r="AB53" s="10"/>
      <c r="AC53" s="11"/>
    </row>
    <row r="54" customFormat="false" ht="11.1" hidden="false" customHeight="true" outlineLevel="0" collapsed="false">
      <c r="A54" s="35"/>
      <c r="B54" s="35"/>
      <c r="C54" s="7"/>
      <c r="D54" s="35"/>
      <c r="E54" s="7"/>
      <c r="F54" s="35"/>
      <c r="G54" s="41"/>
      <c r="H54" s="8"/>
      <c r="I54" s="35"/>
      <c r="J54" s="35"/>
      <c r="K54" s="35"/>
      <c r="L54" s="35"/>
      <c r="M54" s="33"/>
      <c r="N54" s="33"/>
      <c r="O54" s="33"/>
      <c r="P54" s="35"/>
      <c r="Q54" s="35"/>
      <c r="R54" s="35"/>
      <c r="S54" s="7"/>
      <c r="T54" s="35"/>
      <c r="U54" s="35"/>
      <c r="V54" s="7"/>
      <c r="W54" s="35"/>
      <c r="X54" s="35"/>
      <c r="Y54" s="8"/>
      <c r="Z54" s="8"/>
      <c r="AA54" s="10"/>
      <c r="AB54" s="11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21" activePane="bottomRight" state="frozen"/>
      <selection pane="topLeft" activeCell="A1" activeCellId="0" sqref="A1"/>
      <selection pane="topRight" activeCell="J1" activeCellId="0" sqref="J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44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4.6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51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51"/>
      <c r="I2" s="49"/>
      <c r="J2" s="49"/>
      <c r="K2" s="57" t="s">
        <v>53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51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61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</row>
    <row r="5" customFormat="false" ht="11.1" hidden="false" customHeight="true" outlineLevel="0" collapsed="false">
      <c r="A5" s="63" t="s">
        <v>54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61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54</v>
      </c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68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/>
      <c r="G7" s="50"/>
      <c r="H7" s="5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54"/>
      <c r="AB7" s="54"/>
      <c r="AC7" s="55"/>
    </row>
    <row r="8" s="43" customFormat="true" ht="11.1" hidden="false" customHeight="true" outlineLevel="0" collapsed="false">
      <c r="A8" s="50" t="s">
        <v>43</v>
      </c>
      <c r="B8" s="69" t="n">
        <f aca="false">NOV!B39</f>
        <v>6911.24</v>
      </c>
      <c r="C8" s="50" t="n">
        <f aca="false">NOV!C39</f>
        <v>326970</v>
      </c>
      <c r="D8" s="50" t="n">
        <f aca="false">NOV!$D$48</f>
        <v>849</v>
      </c>
      <c r="E8" s="50" t="n">
        <f aca="false">NOV!$E$39</f>
        <v>174970</v>
      </c>
      <c r="F8" s="50" t="n">
        <f aca="false">NOV!F47</f>
        <v>428.031257877489</v>
      </c>
      <c r="G8" s="50" t="n">
        <f aca="false">NOV!G47</f>
        <v>4084</v>
      </c>
      <c r="H8" s="51" t="n">
        <f aca="false">NOV!H47</f>
        <v>0</v>
      </c>
      <c r="I8" s="50" t="n">
        <f aca="false">NOV!I47</f>
        <v>4084</v>
      </c>
      <c r="J8" s="50" t="n">
        <f aca="false">NOV!J47</f>
        <v>897.764305520544</v>
      </c>
      <c r="K8" s="50" t="n">
        <f aca="false">NOV!K47</f>
        <v>4981.76430552054</v>
      </c>
      <c r="L8" s="50" t="n">
        <f aca="false">NOV!L47</f>
        <v>10.0312578774893</v>
      </c>
      <c r="M8" s="50" t="n">
        <f aca="false">NOV!M47</f>
        <v>651</v>
      </c>
      <c r="N8" s="50" t="n">
        <f aca="false">NOV!N47</f>
        <v>0</v>
      </c>
      <c r="O8" s="50" t="n">
        <f aca="false">NOV!O47</f>
        <v>0</v>
      </c>
      <c r="P8" s="50" t="n">
        <f aca="false">NOV!P47</f>
        <v>651</v>
      </c>
      <c r="Q8" s="50" t="n">
        <f aca="false">NOV!Q47</f>
        <v>533</v>
      </c>
      <c r="R8" s="50" t="n">
        <f aca="false">NOV!R47</f>
        <v>104</v>
      </c>
      <c r="S8" s="50" t="n">
        <f aca="false">NOV!S47</f>
        <v>1288</v>
      </c>
      <c r="T8" s="50" t="n">
        <f aca="false">NOV!T47</f>
        <v>0</v>
      </c>
      <c r="U8" s="50" t="n">
        <f aca="false">NOV!U47</f>
        <v>0</v>
      </c>
      <c r="V8" s="50" t="n">
        <f aca="false">NOV!V47</f>
        <v>2378</v>
      </c>
      <c r="W8" s="50" t="n">
        <f aca="false">NOV!W47</f>
        <v>3666</v>
      </c>
      <c r="X8" s="50" t="n">
        <f aca="false">NOV!X47</f>
        <v>887.733047643055</v>
      </c>
      <c r="Y8" s="50" t="n">
        <f aca="false">NOV!Y47</f>
        <v>4553.73304764306</v>
      </c>
      <c r="Z8" s="51" t="n">
        <f aca="false">NOV!Z47</f>
        <v>3.05</v>
      </c>
      <c r="AA8" s="54"/>
      <c r="AB8" s="54"/>
      <c r="AC8" s="5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73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/>
      <c r="AB9" s="74"/>
      <c r="AC9" s="75"/>
    </row>
    <row r="10" customFormat="false" ht="11.1" hidden="false" customHeight="true" outlineLevel="0" collapsed="false">
      <c r="A10" s="55" t="n">
        <v>1</v>
      </c>
      <c r="B10" s="69" t="n">
        <v>6911.25</v>
      </c>
      <c r="C10" s="50" t="n">
        <v>327011</v>
      </c>
      <c r="D10" s="54" t="n">
        <f aca="false">C10-C8</f>
        <v>41</v>
      </c>
      <c r="E10" s="50" t="n">
        <f aca="false">C10-152000</f>
        <v>175011</v>
      </c>
      <c r="F10" s="49" t="n">
        <f aca="false">D10/$D$2</f>
        <v>20.6705318880766</v>
      </c>
      <c r="G10" s="49" t="n">
        <v>106</v>
      </c>
      <c r="H10" s="51" t="n">
        <v>0</v>
      </c>
      <c r="I10" s="49" t="n">
        <f aca="false">G10+H10</f>
        <v>106</v>
      </c>
      <c r="J10" s="76" t="n">
        <f aca="false">IF(L10&gt;0,L10,0)</f>
        <v>0.670531888076631</v>
      </c>
      <c r="K10" s="49" t="n">
        <f aca="false">I10+J10</f>
        <v>106.670531888077</v>
      </c>
      <c r="L10" s="49" t="n">
        <f aca="false">F10-(I10-W10)</f>
        <v>0.670531888076631</v>
      </c>
      <c r="M10" s="49" t="n">
        <v>5</v>
      </c>
      <c r="N10" s="49"/>
      <c r="O10" s="49" t="n">
        <v>0</v>
      </c>
      <c r="P10" s="6" t="n">
        <f aca="false">M10-(N10+O10)</f>
        <v>5</v>
      </c>
      <c r="Q10" s="49" t="n">
        <v>0</v>
      </c>
      <c r="R10" s="49" t="n">
        <v>0</v>
      </c>
      <c r="S10" s="49" t="n">
        <f aca="false">SUM(P10:R10)</f>
        <v>5</v>
      </c>
      <c r="T10" s="50"/>
      <c r="U10" s="49" t="n">
        <v>0</v>
      </c>
      <c r="V10" s="49" t="n">
        <v>81</v>
      </c>
      <c r="W10" s="6" t="n">
        <f aca="false">N10+O10+S10+U10+V10</f>
        <v>86</v>
      </c>
      <c r="X10" s="49" t="n">
        <f aca="false">IF(L10&lt;0,L10*-1,0)</f>
        <v>0</v>
      </c>
      <c r="Y10" s="49" t="n">
        <f aca="false">W10+X10</f>
        <v>86</v>
      </c>
      <c r="Z10" s="51" t="n">
        <v>0</v>
      </c>
      <c r="AA10" s="54" t="n">
        <v>42</v>
      </c>
      <c r="AB10" s="54" t="n">
        <v>14</v>
      </c>
      <c r="AC10" s="55" t="n">
        <v>1</v>
      </c>
    </row>
    <row r="11" customFormat="false" ht="11.1" hidden="false" customHeight="true" outlineLevel="0" collapsed="false">
      <c r="A11" s="55" t="n">
        <f aca="false">A10+1</f>
        <v>2</v>
      </c>
      <c r="B11" s="69" t="n">
        <v>6911.27</v>
      </c>
      <c r="C11" s="50" t="n">
        <v>327092</v>
      </c>
      <c r="D11" s="54" t="n">
        <f aca="false">C11-C10</f>
        <v>81</v>
      </c>
      <c r="E11" s="50" t="n">
        <f aca="false">C11-152000</f>
        <v>175092</v>
      </c>
      <c r="F11" s="49" t="n">
        <f aca="false">D11/$D$2</f>
        <v>40.8369044618099</v>
      </c>
      <c r="G11" s="49" t="n">
        <v>125</v>
      </c>
      <c r="H11" s="51" t="n">
        <v>0</v>
      </c>
      <c r="I11" s="49" t="n">
        <f aca="false">G11+H11</f>
        <v>125</v>
      </c>
      <c r="J11" s="76" t="n">
        <f aca="false">IF(L11&gt;0,L11,0)</f>
        <v>0</v>
      </c>
      <c r="K11" s="49" t="n">
        <f aca="false">I11+J11</f>
        <v>125</v>
      </c>
      <c r="L11" s="49" t="n">
        <f aca="false">F11-(I11-W11)</f>
        <v>-0.163095538190071</v>
      </c>
      <c r="M11" s="49" t="n">
        <v>4</v>
      </c>
      <c r="N11" s="49"/>
      <c r="O11" s="49" t="n">
        <v>0</v>
      </c>
      <c r="P11" s="6" t="n">
        <f aca="false">M11-(N11+O11)</f>
        <v>4</v>
      </c>
      <c r="Q11" s="49" t="n">
        <v>0</v>
      </c>
      <c r="R11" s="49" t="n">
        <v>0</v>
      </c>
      <c r="S11" s="49" t="n">
        <f aca="false">SUM(P11:R11)</f>
        <v>4</v>
      </c>
      <c r="T11" s="50"/>
      <c r="U11" s="49" t="n">
        <v>0</v>
      </c>
      <c r="V11" s="49" t="n">
        <v>80</v>
      </c>
      <c r="W11" s="6" t="n">
        <f aca="false">N11+O11+S11+U11+V11</f>
        <v>84</v>
      </c>
      <c r="X11" s="49" t="n">
        <f aca="false">IF(L11&lt;0,L11*-1,0)</f>
        <v>0.163095538190071</v>
      </c>
      <c r="Y11" s="49" t="n">
        <f aca="false">W11+X11</f>
        <v>84.1630955381901</v>
      </c>
      <c r="Z11" s="51" t="n">
        <v>0</v>
      </c>
      <c r="AA11" s="54" t="n">
        <v>44</v>
      </c>
      <c r="AB11" s="54" t="n">
        <v>15</v>
      </c>
      <c r="AC11" s="55" t="n">
        <f aca="false">AC10+1</f>
        <v>2</v>
      </c>
    </row>
    <row r="12" customFormat="false" ht="11.1" hidden="false" customHeight="true" outlineLevel="0" collapsed="false">
      <c r="A12" s="55" t="n">
        <f aca="false">A11+1</f>
        <v>3</v>
      </c>
      <c r="B12" s="69" t="n">
        <v>6911.28</v>
      </c>
      <c r="C12" s="50" t="n">
        <v>327132</v>
      </c>
      <c r="D12" s="54" t="n">
        <f aca="false">C12-C11</f>
        <v>40</v>
      </c>
      <c r="E12" s="50" t="n">
        <f aca="false">C12-152000</f>
        <v>175132</v>
      </c>
      <c r="F12" s="49" t="n">
        <f aca="false">D12/$D$2</f>
        <v>20.1663725737333</v>
      </c>
      <c r="G12" s="49" t="n">
        <v>105</v>
      </c>
      <c r="H12" s="51" t="n">
        <v>0</v>
      </c>
      <c r="I12" s="49" t="n">
        <f aca="false">G12+H12</f>
        <v>105</v>
      </c>
      <c r="J12" s="76" t="n">
        <f aca="false">IF(L12&gt;0,L12,0)</f>
        <v>0</v>
      </c>
      <c r="K12" s="49" t="n">
        <f aca="false">I12+J12</f>
        <v>105</v>
      </c>
      <c r="L12" s="49" t="n">
        <f aca="false">F12-(I12-W12)</f>
        <v>-0.833627426266702</v>
      </c>
      <c r="M12" s="49" t="n">
        <v>4</v>
      </c>
      <c r="N12" s="49"/>
      <c r="O12" s="49" t="n">
        <v>0</v>
      </c>
      <c r="P12" s="6" t="n">
        <f aca="false">M12-(N12+O12)</f>
        <v>4</v>
      </c>
      <c r="Q12" s="49" t="n">
        <v>0</v>
      </c>
      <c r="R12" s="49" t="n">
        <v>0</v>
      </c>
      <c r="S12" s="49" t="n">
        <f aca="false">SUM(P12:R12)</f>
        <v>4</v>
      </c>
      <c r="T12" s="50"/>
      <c r="U12" s="49" t="n">
        <v>0</v>
      </c>
      <c r="V12" s="49" t="n">
        <v>80</v>
      </c>
      <c r="W12" s="6" t="n">
        <f aca="false">N12+O12+S12+U12+V12</f>
        <v>84</v>
      </c>
      <c r="X12" s="49" t="n">
        <f aca="false">IF(L12&lt;0,L12*-1,0)</f>
        <v>0.833627426266702</v>
      </c>
      <c r="Y12" s="49" t="n">
        <f aca="false">W12+X12</f>
        <v>84.8336274262667</v>
      </c>
      <c r="Z12" s="51" t="n">
        <v>0</v>
      </c>
      <c r="AA12" s="54" t="n">
        <v>53</v>
      </c>
      <c r="AB12" s="54" t="n">
        <v>19</v>
      </c>
      <c r="AC12" s="55" t="n">
        <f aca="false">AC11+1</f>
        <v>3</v>
      </c>
    </row>
    <row r="13" customFormat="false" ht="11.1" hidden="false" customHeight="true" outlineLevel="0" collapsed="false">
      <c r="A13" s="55" t="n">
        <f aca="false">A12+1</f>
        <v>4</v>
      </c>
      <c r="B13" s="69" t="n">
        <v>6911.29</v>
      </c>
      <c r="C13" s="50" t="n">
        <v>327172</v>
      </c>
      <c r="D13" s="54" t="n">
        <f aca="false">C13-C12</f>
        <v>40</v>
      </c>
      <c r="E13" s="50" t="n">
        <f aca="false">C13-152000</f>
        <v>175172</v>
      </c>
      <c r="F13" s="49" t="n">
        <f aca="false">D13/$D$2</f>
        <v>20.1663725737333</v>
      </c>
      <c r="G13" s="49" t="n">
        <v>105</v>
      </c>
      <c r="H13" s="51" t="n">
        <v>0</v>
      </c>
      <c r="I13" s="49" t="n">
        <f aca="false">G13+H13</f>
        <v>105</v>
      </c>
      <c r="J13" s="76" t="n">
        <f aca="false">IF(L13&gt;0,L13,0)</f>
        <v>0</v>
      </c>
      <c r="K13" s="49" t="n">
        <f aca="false">I13+J13</f>
        <v>105</v>
      </c>
      <c r="L13" s="49" t="n">
        <f aca="false">F13-(I13-W13)</f>
        <v>-0.833627426266702</v>
      </c>
      <c r="M13" s="49" t="n">
        <v>4</v>
      </c>
      <c r="N13" s="49"/>
      <c r="O13" s="49" t="n">
        <v>0</v>
      </c>
      <c r="P13" s="6" t="n">
        <f aca="false">M13-(N13+O13)</f>
        <v>4</v>
      </c>
      <c r="Q13" s="49" t="n">
        <v>0</v>
      </c>
      <c r="R13" s="49" t="n">
        <v>0</v>
      </c>
      <c r="S13" s="49" t="n">
        <f aca="false">SUM(P13:R13)</f>
        <v>4</v>
      </c>
      <c r="T13" s="50"/>
      <c r="U13" s="49" t="n">
        <v>0</v>
      </c>
      <c r="V13" s="49" t="n">
        <v>80</v>
      </c>
      <c r="W13" s="6" t="n">
        <f aca="false">N13+O13+S13+U13+V13</f>
        <v>84</v>
      </c>
      <c r="X13" s="49" t="n">
        <f aca="false">IF(L13&lt;0,L13*-1,0)</f>
        <v>0.833627426266702</v>
      </c>
      <c r="Y13" s="49" t="n">
        <f aca="false">W13+X13</f>
        <v>84.8336274262667</v>
      </c>
      <c r="Z13" s="51" t="n">
        <v>0.03</v>
      </c>
      <c r="AA13" s="54" t="n">
        <v>40</v>
      </c>
      <c r="AB13" s="54" t="n">
        <v>14</v>
      </c>
      <c r="AC13" s="55" t="n">
        <f aca="false">AC12+1</f>
        <v>4</v>
      </c>
    </row>
    <row r="14" customFormat="false" ht="11.1" hidden="false" customHeight="true" outlineLevel="0" collapsed="false">
      <c r="A14" s="55" t="n">
        <f aca="false">A13+1</f>
        <v>5</v>
      </c>
      <c r="B14" s="69" t="n">
        <v>6911.31</v>
      </c>
      <c r="C14" s="50" t="n">
        <v>327253</v>
      </c>
      <c r="D14" s="54" t="n">
        <f aca="false">C14-C13</f>
        <v>81</v>
      </c>
      <c r="E14" s="50" t="n">
        <f aca="false">C14-152000</f>
        <v>175253</v>
      </c>
      <c r="F14" s="49" t="n">
        <f aca="false">D14/$D$2</f>
        <v>40.8369044618099</v>
      </c>
      <c r="G14" s="49" t="n">
        <v>125</v>
      </c>
      <c r="H14" s="51" t="n">
        <v>0</v>
      </c>
      <c r="I14" s="49" t="n">
        <f aca="false">G14+H14</f>
        <v>125</v>
      </c>
      <c r="J14" s="76" t="n">
        <f aca="false">IF(L14&gt;0,L14,0)</f>
        <v>0.83690446180993</v>
      </c>
      <c r="K14" s="49" t="n">
        <f aca="false">I14+J14</f>
        <v>125.83690446181</v>
      </c>
      <c r="L14" s="49" t="n">
        <f aca="false">F14-(I14-W14)</f>
        <v>0.83690446180993</v>
      </c>
      <c r="M14" s="49" t="n">
        <v>5</v>
      </c>
      <c r="N14" s="49"/>
      <c r="O14" s="49" t="n">
        <v>0</v>
      </c>
      <c r="P14" s="6" t="n">
        <f aca="false">M14-(N14+O14)</f>
        <v>5</v>
      </c>
      <c r="Q14" s="49" t="n">
        <v>0</v>
      </c>
      <c r="R14" s="49" t="n">
        <v>0</v>
      </c>
      <c r="S14" s="49" t="n">
        <f aca="false">SUM(P14:R14)</f>
        <v>5</v>
      </c>
      <c r="T14" s="50"/>
      <c r="U14" s="49" t="n">
        <v>0</v>
      </c>
      <c r="V14" s="49" t="n">
        <v>80</v>
      </c>
      <c r="W14" s="6" t="n">
        <f aca="false">N14+O14+S14+U14+V14</f>
        <v>85</v>
      </c>
      <c r="X14" s="49" t="n">
        <f aca="false">IF(L14&lt;0,L14*-1,0)</f>
        <v>0</v>
      </c>
      <c r="Y14" s="49" t="n">
        <f aca="false">W14+X14</f>
        <v>85</v>
      </c>
      <c r="Z14" s="51" t="n">
        <v>0</v>
      </c>
      <c r="AA14" s="54" t="n">
        <v>41</v>
      </c>
      <c r="AB14" s="54" t="n">
        <v>21</v>
      </c>
      <c r="AC14" s="55" t="n">
        <f aca="false">AC13+1</f>
        <v>5</v>
      </c>
    </row>
    <row r="15" customFormat="false" ht="11.1" hidden="false" customHeight="true" outlineLevel="0" collapsed="false">
      <c r="A15" s="55" t="n">
        <f aca="false">A14+1</f>
        <v>6</v>
      </c>
      <c r="B15" s="69" t="n">
        <v>6911.32</v>
      </c>
      <c r="C15" s="50" t="n">
        <v>327294</v>
      </c>
      <c r="D15" s="54" t="n">
        <f aca="false">C15-C14</f>
        <v>41</v>
      </c>
      <c r="E15" s="50" t="n">
        <f aca="false">C15-152000</f>
        <v>175294</v>
      </c>
      <c r="F15" s="49" t="n">
        <f aca="false">D15/$D$2</f>
        <v>20.6705318880766</v>
      </c>
      <c r="G15" s="49" t="n">
        <v>105</v>
      </c>
      <c r="H15" s="51" t="n">
        <v>0</v>
      </c>
      <c r="I15" s="49" t="n">
        <f aca="false">G15+H15</f>
        <v>105</v>
      </c>
      <c r="J15" s="76" t="n">
        <f aca="false">IF(L15&gt;0,L15,0)</f>
        <v>0.670531888076631</v>
      </c>
      <c r="K15" s="49" t="n">
        <f aca="false">I15+J15</f>
        <v>105.670531888077</v>
      </c>
      <c r="L15" s="49" t="n">
        <f aca="false">F15-(I15-W15)</f>
        <v>0.670531888076631</v>
      </c>
      <c r="M15" s="49" t="n">
        <v>5</v>
      </c>
      <c r="N15" s="49"/>
      <c r="O15" s="49" t="n">
        <v>0</v>
      </c>
      <c r="P15" s="6" t="n">
        <f aca="false">M15-(N15+O15)</f>
        <v>5</v>
      </c>
      <c r="Q15" s="49" t="n">
        <v>0</v>
      </c>
      <c r="R15" s="49" t="n">
        <v>0</v>
      </c>
      <c r="S15" s="49" t="n">
        <f aca="false">SUM(P15:R15)</f>
        <v>5</v>
      </c>
      <c r="T15" s="50"/>
      <c r="U15" s="49" t="n">
        <v>0</v>
      </c>
      <c r="V15" s="49" t="n">
        <v>80</v>
      </c>
      <c r="W15" s="6" t="n">
        <f aca="false">N15+O15+S15+U15+V15</f>
        <v>85</v>
      </c>
      <c r="X15" s="49" t="n">
        <f aca="false">IF(L15&lt;0,L15*-1,0)</f>
        <v>0</v>
      </c>
      <c r="Y15" s="49" t="n">
        <f aca="false">W15+X15</f>
        <v>85</v>
      </c>
      <c r="Z15" s="51" t="n">
        <v>0</v>
      </c>
      <c r="AA15" s="54" t="n">
        <v>41</v>
      </c>
      <c r="AB15" s="54" t="n">
        <v>24</v>
      </c>
      <c r="AC15" s="55" t="n">
        <f aca="false">AC14+1</f>
        <v>6</v>
      </c>
    </row>
    <row r="16" customFormat="false" ht="11.1" hidden="false" customHeight="true" outlineLevel="0" collapsed="false">
      <c r="A16" s="55" t="n">
        <f aca="false">A15+1</f>
        <v>7</v>
      </c>
      <c r="B16" s="69" t="n">
        <v>6911.33</v>
      </c>
      <c r="C16" s="50" t="n">
        <v>327334</v>
      </c>
      <c r="D16" s="54" t="n">
        <f aca="false">C16-C15</f>
        <v>40</v>
      </c>
      <c r="E16" s="50" t="n">
        <f aca="false">C16-152000</f>
        <v>175334</v>
      </c>
      <c r="F16" s="49" t="n">
        <f aca="false">D16/$D$2</f>
        <v>20.1663725737333</v>
      </c>
      <c r="G16" s="49" t="n">
        <v>99</v>
      </c>
      <c r="H16" s="51" t="n">
        <v>0</v>
      </c>
      <c r="I16" s="49" t="n">
        <f aca="false">G16+H16</f>
        <v>99</v>
      </c>
      <c r="J16" s="76" t="n">
        <f aca="false">IF(L16&gt;0,L16,0)</f>
        <v>0.166372573733298</v>
      </c>
      <c r="K16" s="49" t="n">
        <f aca="false">I16+J16</f>
        <v>99.1663725737333</v>
      </c>
      <c r="L16" s="49" t="n">
        <f aca="false">F16-(I16-W16)</f>
        <v>0.166372573733298</v>
      </c>
      <c r="M16" s="49" t="n">
        <v>5</v>
      </c>
      <c r="N16" s="49"/>
      <c r="O16" s="49" t="n">
        <v>0</v>
      </c>
      <c r="P16" s="6" t="n">
        <f aca="false">M16-(N16+O16)</f>
        <v>5</v>
      </c>
      <c r="Q16" s="49" t="n">
        <v>0</v>
      </c>
      <c r="R16" s="49" t="n">
        <v>0</v>
      </c>
      <c r="S16" s="49" t="n">
        <f aca="false">SUM(P16:R16)</f>
        <v>5</v>
      </c>
      <c r="T16" s="50"/>
      <c r="U16" s="49" t="n">
        <v>0</v>
      </c>
      <c r="V16" s="49" t="n">
        <v>74</v>
      </c>
      <c r="W16" s="6" t="n">
        <f aca="false">N16+O16+S16+U16+V16</f>
        <v>79</v>
      </c>
      <c r="X16" s="49" t="n">
        <f aca="false">IF(L16&lt;0,L16*-1,0)</f>
        <v>0</v>
      </c>
      <c r="Y16" s="49" t="n">
        <f aca="false">W16+X16</f>
        <v>79</v>
      </c>
      <c r="Z16" s="51" t="n">
        <v>0</v>
      </c>
      <c r="AA16" s="54" t="n">
        <v>50</v>
      </c>
      <c r="AB16" s="54" t="n">
        <v>15</v>
      </c>
      <c r="AC16" s="55" t="n">
        <f aca="false">AC15+1</f>
        <v>7</v>
      </c>
    </row>
    <row r="17" customFormat="false" ht="11.1" hidden="false" customHeight="true" outlineLevel="0" collapsed="false">
      <c r="A17" s="55" t="n">
        <f aca="false">A16+1</f>
        <v>8</v>
      </c>
      <c r="B17" s="69" t="n">
        <v>6911.32</v>
      </c>
      <c r="C17" s="50" t="n">
        <v>327294</v>
      </c>
      <c r="D17" s="54" t="n">
        <f aca="false">C17-C16</f>
        <v>-40</v>
      </c>
      <c r="E17" s="50" t="n">
        <f aca="false">C17-152000</f>
        <v>175294</v>
      </c>
      <c r="F17" s="49" t="n">
        <f aca="false">D17/$D$2</f>
        <v>-20.1663725737333</v>
      </c>
      <c r="G17" s="49" t="n">
        <v>59</v>
      </c>
      <c r="H17" s="51" t="n">
        <v>0</v>
      </c>
      <c r="I17" s="49" t="n">
        <f aca="false">G17+H17</f>
        <v>59</v>
      </c>
      <c r="J17" s="76" t="n">
        <f aca="false">IF(L17&gt;0,L17,0)</f>
        <v>0</v>
      </c>
      <c r="K17" s="49" t="n">
        <f aca="false">I17+J17</f>
        <v>59</v>
      </c>
      <c r="L17" s="49" t="n">
        <f aca="false">F17-(I17-W17)</f>
        <v>-0.166372573733298</v>
      </c>
      <c r="M17" s="49" t="n">
        <v>4</v>
      </c>
      <c r="N17" s="49"/>
      <c r="O17" s="49" t="n">
        <v>0</v>
      </c>
      <c r="P17" s="6" t="n">
        <f aca="false">M17-(N17+O17)</f>
        <v>4</v>
      </c>
      <c r="Q17" s="49" t="n">
        <v>0</v>
      </c>
      <c r="R17" s="49" t="n">
        <v>0</v>
      </c>
      <c r="S17" s="49" t="n">
        <f aca="false">SUM(P17:R17)</f>
        <v>4</v>
      </c>
      <c r="T17" s="50"/>
      <c r="U17" s="49" t="n">
        <v>0</v>
      </c>
      <c r="V17" s="49" t="n">
        <v>75</v>
      </c>
      <c r="W17" s="6" t="n">
        <f aca="false">N17+O17+S17+U17+V17</f>
        <v>79</v>
      </c>
      <c r="X17" s="49" t="n">
        <f aca="false">IF(L17&lt;0,L17*-1,0)</f>
        <v>0.166372573733298</v>
      </c>
      <c r="Y17" s="49" t="n">
        <f aca="false">W17+X17</f>
        <v>79.1663725737333</v>
      </c>
      <c r="Z17" s="51" t="n">
        <v>0</v>
      </c>
      <c r="AA17" s="54" t="n">
        <v>51</v>
      </c>
      <c r="AB17" s="54" t="n">
        <v>17</v>
      </c>
      <c r="AC17" s="55" t="n">
        <f aca="false">AC16+1</f>
        <v>8</v>
      </c>
    </row>
    <row r="18" customFormat="false" ht="11.1" hidden="false" customHeight="true" outlineLevel="0" collapsed="false">
      <c r="A18" s="55" t="n">
        <f aca="false">A17+1</f>
        <v>9</v>
      </c>
      <c r="B18" s="69" t="n">
        <v>6911.31</v>
      </c>
      <c r="C18" s="50" t="n">
        <v>327253</v>
      </c>
      <c r="D18" s="54" t="n">
        <f aca="false">C18-C17</f>
        <v>-41</v>
      </c>
      <c r="E18" s="50" t="n">
        <f aca="false">C18-152000</f>
        <v>175253</v>
      </c>
      <c r="F18" s="49" t="n">
        <f aca="false">D18/$D$2</f>
        <v>-20.6705318880766</v>
      </c>
      <c r="G18" s="49" t="n">
        <v>63</v>
      </c>
      <c r="H18" s="51" t="n">
        <v>0</v>
      </c>
      <c r="I18" s="49" t="n">
        <f aca="false">G18+H18</f>
        <v>63</v>
      </c>
      <c r="J18" s="76" t="n">
        <f aca="false">IF(L18&gt;0,L18,0)</f>
        <v>0</v>
      </c>
      <c r="K18" s="49" t="n">
        <f aca="false">I18+J18</f>
        <v>63</v>
      </c>
      <c r="L18" s="49" t="n">
        <f aca="false">F18-(I18-W18)</f>
        <v>-0.670531888076631</v>
      </c>
      <c r="M18" s="49" t="n">
        <v>4</v>
      </c>
      <c r="N18" s="49"/>
      <c r="O18" s="49" t="n">
        <v>0</v>
      </c>
      <c r="P18" s="6" t="n">
        <f aca="false">M18-(N18+O18)</f>
        <v>4</v>
      </c>
      <c r="Q18" s="49" t="n">
        <v>0</v>
      </c>
      <c r="R18" s="49" t="n">
        <v>0</v>
      </c>
      <c r="S18" s="49" t="n">
        <f aca="false">SUM(P18:R18)</f>
        <v>4</v>
      </c>
      <c r="T18" s="50"/>
      <c r="U18" s="49" t="n">
        <v>0</v>
      </c>
      <c r="V18" s="49" t="n">
        <v>79</v>
      </c>
      <c r="W18" s="6" t="n">
        <f aca="false">N18+O18+S18+U18+V18</f>
        <v>83</v>
      </c>
      <c r="X18" s="49" t="n">
        <f aca="false">IF(L18&lt;0,L18*-1,0)</f>
        <v>0.670531888076631</v>
      </c>
      <c r="Y18" s="49" t="n">
        <f aca="false">W18+X18</f>
        <v>83.6705318880766</v>
      </c>
      <c r="Z18" s="51" t="n">
        <v>0</v>
      </c>
      <c r="AA18" s="77" t="n">
        <v>51</v>
      </c>
      <c r="AB18" s="54" t="n">
        <v>18</v>
      </c>
      <c r="AC18" s="55" t="n">
        <f aca="false">AC17+1</f>
        <v>9</v>
      </c>
    </row>
    <row r="19" customFormat="false" ht="11.1" hidden="false" customHeight="true" outlineLevel="0" collapsed="false">
      <c r="A19" s="55" t="n">
        <f aca="false">A18+1</f>
        <v>10</v>
      </c>
      <c r="B19" s="69" t="n">
        <v>6911.3</v>
      </c>
      <c r="C19" s="50" t="n">
        <v>327213</v>
      </c>
      <c r="D19" s="54" t="n">
        <f aca="false">C19-C18</f>
        <v>-40</v>
      </c>
      <c r="E19" s="50" t="n">
        <f aca="false">C19-152000</f>
        <v>175213</v>
      </c>
      <c r="F19" s="49" t="n">
        <f aca="false">D19/$D$2</f>
        <v>-20.1663725737333</v>
      </c>
      <c r="G19" s="49" t="n">
        <v>61</v>
      </c>
      <c r="H19" s="51" t="n">
        <v>0</v>
      </c>
      <c r="I19" s="49" t="n">
        <f aca="false">G19+H19</f>
        <v>61</v>
      </c>
      <c r="J19" s="76" t="n">
        <f aca="false">IF(L19&gt;0,L19,0)</f>
        <v>0</v>
      </c>
      <c r="K19" s="49" t="n">
        <f aca="false">I19+J19</f>
        <v>61</v>
      </c>
      <c r="L19" s="49" t="n">
        <f aca="false">F19-(I19-W19)</f>
        <v>-1.1663725737333</v>
      </c>
      <c r="M19" s="49" t="n">
        <v>4</v>
      </c>
      <c r="N19" s="49"/>
      <c r="O19" s="49" t="n">
        <v>0</v>
      </c>
      <c r="P19" s="6" t="n">
        <f aca="false">M19-(N19+O19)</f>
        <v>4</v>
      </c>
      <c r="Q19" s="49" t="n">
        <v>0</v>
      </c>
      <c r="R19" s="49" t="n">
        <v>0</v>
      </c>
      <c r="S19" s="49" t="n">
        <f aca="false">SUM(P19:R19)</f>
        <v>4</v>
      </c>
      <c r="T19" s="50"/>
      <c r="U19" s="49" t="n">
        <v>0</v>
      </c>
      <c r="V19" s="49" t="n">
        <v>76</v>
      </c>
      <c r="W19" s="6" t="n">
        <f aca="false">N19+O19+S19+U19+V19</f>
        <v>80</v>
      </c>
      <c r="X19" s="49" t="n">
        <f aca="false">IF(L19&lt;0,L19*-1,0)</f>
        <v>1.1663725737333</v>
      </c>
      <c r="Y19" s="49" t="n">
        <f aca="false">W19+X19</f>
        <v>81.1663725737333</v>
      </c>
      <c r="Z19" s="51" t="n">
        <v>0</v>
      </c>
      <c r="AA19" s="54" t="n">
        <v>51</v>
      </c>
      <c r="AB19" s="54" t="n">
        <v>19</v>
      </c>
      <c r="AC19" s="55" t="n">
        <f aca="false">AC18+1</f>
        <v>10</v>
      </c>
    </row>
    <row r="20" customFormat="false" ht="11.1" hidden="false" customHeight="true" outlineLevel="0" collapsed="false">
      <c r="A20" s="55" t="n">
        <f aca="false">A19+1</f>
        <v>11</v>
      </c>
      <c r="B20" s="69" t="n">
        <v>6911.29</v>
      </c>
      <c r="C20" s="50" t="n">
        <v>327172</v>
      </c>
      <c r="D20" s="54" t="n">
        <f aca="false">C20-C19</f>
        <v>-41</v>
      </c>
      <c r="E20" s="50" t="n">
        <f aca="false">C20-152000</f>
        <v>175172</v>
      </c>
      <c r="F20" s="49" t="n">
        <f aca="false">D20/$D$2</f>
        <v>-20.6705318880766</v>
      </c>
      <c r="G20" s="49" t="n">
        <v>64</v>
      </c>
      <c r="H20" s="51" t="n">
        <v>0</v>
      </c>
      <c r="I20" s="49" t="n">
        <f aca="false">G20+H20</f>
        <v>64</v>
      </c>
      <c r="J20" s="76" t="n">
        <f aca="false">IF(L20&gt;0,L20,0)</f>
        <v>0</v>
      </c>
      <c r="K20" s="49" t="n">
        <f aca="false">I20+J20</f>
        <v>64</v>
      </c>
      <c r="L20" s="49" t="n">
        <f aca="false">F20-(I20-W20)</f>
        <v>-1.67053188807663</v>
      </c>
      <c r="M20" s="49" t="n">
        <v>4</v>
      </c>
      <c r="N20" s="49"/>
      <c r="O20" s="49" t="n">
        <v>0</v>
      </c>
      <c r="P20" s="6" t="n">
        <f aca="false">M20-(N20+O20)</f>
        <v>4</v>
      </c>
      <c r="Q20" s="49" t="n">
        <v>0</v>
      </c>
      <c r="R20" s="49" t="n">
        <v>0</v>
      </c>
      <c r="S20" s="49" t="n">
        <f aca="false">SUM(P20:R20)</f>
        <v>4</v>
      </c>
      <c r="T20" s="50"/>
      <c r="U20" s="49" t="n">
        <v>0</v>
      </c>
      <c r="V20" s="49" t="n">
        <v>79</v>
      </c>
      <c r="W20" s="6" t="n">
        <f aca="false">N20+O20+S20+U20+V20</f>
        <v>83</v>
      </c>
      <c r="X20" s="49" t="n">
        <f aca="false">IF(L20&lt;0,L20*-1,0)</f>
        <v>1.67053188807663</v>
      </c>
      <c r="Y20" s="49" t="n">
        <f aca="false">W20+X20</f>
        <v>84.6705318880766</v>
      </c>
      <c r="Z20" s="51" t="n">
        <v>0</v>
      </c>
      <c r="AA20" s="54" t="n">
        <v>42</v>
      </c>
      <c r="AB20" s="54" t="n">
        <v>19</v>
      </c>
      <c r="AC20" s="55" t="n">
        <f aca="false">AC19+1</f>
        <v>11</v>
      </c>
    </row>
    <row r="21" customFormat="false" ht="11.1" hidden="false" customHeight="true" outlineLevel="0" collapsed="false">
      <c r="A21" s="55" t="n">
        <f aca="false">A20+1</f>
        <v>12</v>
      </c>
      <c r="B21" s="69" t="n">
        <v>6911.27</v>
      </c>
      <c r="C21" s="50" t="n">
        <v>327092</v>
      </c>
      <c r="D21" s="54" t="n">
        <f aca="false">C21-C20</f>
        <v>-80</v>
      </c>
      <c r="E21" s="50" t="n">
        <f aca="false">C21-152000</f>
        <v>175092</v>
      </c>
      <c r="F21" s="49" t="n">
        <f aca="false">D21/$D$2</f>
        <v>-40.3327451474666</v>
      </c>
      <c r="G21" s="49" t="n">
        <v>42</v>
      </c>
      <c r="H21" s="51" t="n">
        <v>0</v>
      </c>
      <c r="I21" s="49" t="n">
        <f aca="false">G21+H21</f>
        <v>42</v>
      </c>
      <c r="J21" s="76" t="n">
        <f aca="false">IF(L21&gt;0,L21,0)</f>
        <v>0.667254852533404</v>
      </c>
      <c r="K21" s="49" t="n">
        <f aca="false">I21+J21</f>
        <v>42.6672548525334</v>
      </c>
      <c r="L21" s="49" t="n">
        <f aca="false">F21-(I21-W21)</f>
        <v>0.667254852533404</v>
      </c>
      <c r="M21" s="49" t="n">
        <v>4</v>
      </c>
      <c r="N21" s="49"/>
      <c r="O21" s="49" t="n">
        <v>0</v>
      </c>
      <c r="P21" s="6" t="n">
        <f aca="false">M21-(N21+O21)</f>
        <v>4</v>
      </c>
      <c r="Q21" s="49" t="n">
        <v>0</v>
      </c>
      <c r="R21" s="49" t="n">
        <v>0</v>
      </c>
      <c r="S21" s="49" t="n">
        <f aca="false">SUM(P21:R21)</f>
        <v>4</v>
      </c>
      <c r="T21" s="50"/>
      <c r="U21" s="49" t="n">
        <v>0</v>
      </c>
      <c r="V21" s="49" t="n">
        <v>79</v>
      </c>
      <c r="W21" s="6" t="n">
        <f aca="false">N21+O21+S21+U21+V21</f>
        <v>83</v>
      </c>
      <c r="X21" s="49" t="n">
        <f aca="false">IF(L21&lt;0,L21*-1,0)</f>
        <v>0</v>
      </c>
      <c r="Y21" s="49" t="n">
        <f aca="false">W21+X21</f>
        <v>83</v>
      </c>
      <c r="Z21" s="51" t="n">
        <v>0</v>
      </c>
      <c r="AA21" s="54" t="n">
        <v>30</v>
      </c>
      <c r="AB21" s="54" t="n">
        <v>16</v>
      </c>
      <c r="AC21" s="55" t="n">
        <f aca="false">AC20+1</f>
        <v>12</v>
      </c>
    </row>
    <row r="22" customFormat="false" ht="11.1" hidden="false" customHeight="true" outlineLevel="0" collapsed="false">
      <c r="A22" s="55" t="n">
        <f aca="false">A21+1</f>
        <v>13</v>
      </c>
      <c r="B22" s="69" t="n">
        <v>6911.25</v>
      </c>
      <c r="C22" s="50" t="n">
        <v>327011</v>
      </c>
      <c r="D22" s="54" t="n">
        <f aca="false">C22-C21</f>
        <v>-81</v>
      </c>
      <c r="E22" s="50" t="n">
        <f aca="false">C22-152000</f>
        <v>175011</v>
      </c>
      <c r="F22" s="49" t="n">
        <f aca="false">D22/$D$2</f>
        <v>-40.8369044618099</v>
      </c>
      <c r="G22" s="49" t="n">
        <v>42</v>
      </c>
      <c r="H22" s="51" t="n">
        <v>0</v>
      </c>
      <c r="I22" s="49" t="n">
        <f aca="false">G22+H22</f>
        <v>42</v>
      </c>
      <c r="J22" s="76" t="n">
        <f aca="false">IF(L22&gt;0,L22,0)</f>
        <v>0</v>
      </c>
      <c r="K22" s="49" t="n">
        <f aca="false">I22+J22</f>
        <v>42</v>
      </c>
      <c r="L22" s="49" t="n">
        <f aca="false">F22-(I22-W22)</f>
        <v>-0.83690446180993</v>
      </c>
      <c r="M22" s="49" t="n">
        <v>4</v>
      </c>
      <c r="N22" s="49"/>
      <c r="O22" s="49" t="n">
        <v>0</v>
      </c>
      <c r="P22" s="6" t="n">
        <f aca="false">M22-(N22+O22)</f>
        <v>4</v>
      </c>
      <c r="Q22" s="49" t="n">
        <v>0</v>
      </c>
      <c r="R22" s="49" t="n">
        <v>0</v>
      </c>
      <c r="S22" s="49" t="n">
        <f aca="false">SUM(P22:R22)</f>
        <v>4</v>
      </c>
      <c r="T22" s="50"/>
      <c r="U22" s="49" t="n">
        <v>0</v>
      </c>
      <c r="V22" s="49" t="n">
        <v>78</v>
      </c>
      <c r="W22" s="6" t="n">
        <f aca="false">N22+O22+S22+U22+V22</f>
        <v>82</v>
      </c>
      <c r="X22" s="49" t="n">
        <f aca="false">IF(L22&lt;0,L22*-1,0)</f>
        <v>0.83690446180993</v>
      </c>
      <c r="Y22" s="49" t="n">
        <f aca="false">W22+X22</f>
        <v>82.8369044618099</v>
      </c>
      <c r="Z22" s="51" t="n">
        <v>0.15</v>
      </c>
      <c r="AA22" s="54" t="n">
        <v>19</v>
      </c>
      <c r="AB22" s="54" t="n">
        <v>13</v>
      </c>
      <c r="AC22" s="55" t="n">
        <f aca="false">AC21+1</f>
        <v>13</v>
      </c>
    </row>
    <row r="23" customFormat="false" ht="11.1" hidden="false" customHeight="true" outlineLevel="0" collapsed="false">
      <c r="A23" s="55" t="n">
        <f aca="false">A22+1</f>
        <v>14</v>
      </c>
      <c r="B23" s="69" t="n">
        <v>6911.23</v>
      </c>
      <c r="C23" s="50" t="n">
        <v>326930</v>
      </c>
      <c r="D23" s="54" t="n">
        <f aca="false">C23-C22</f>
        <v>-81</v>
      </c>
      <c r="E23" s="50" t="n">
        <f aca="false">C23-152000</f>
        <v>174930</v>
      </c>
      <c r="F23" s="49" t="n">
        <f aca="false">D23/$D$2</f>
        <v>-40.8369044618099</v>
      </c>
      <c r="G23" s="49" t="n">
        <v>44</v>
      </c>
      <c r="H23" s="51" t="n">
        <v>0</v>
      </c>
      <c r="I23" s="49" t="n">
        <f aca="false">G23+H23</f>
        <v>44</v>
      </c>
      <c r="J23" s="76" t="n">
        <f aca="false">IF(L23&gt;0,L23,0)</f>
        <v>0</v>
      </c>
      <c r="K23" s="49" t="n">
        <f aca="false">I23+J23</f>
        <v>44</v>
      </c>
      <c r="L23" s="49" t="n">
        <f aca="false">F23-(I23-W23)</f>
        <v>-0.83690446180993</v>
      </c>
      <c r="M23" s="49" t="n">
        <v>4</v>
      </c>
      <c r="N23" s="49"/>
      <c r="O23" s="49" t="n">
        <v>0</v>
      </c>
      <c r="P23" s="6" t="n">
        <f aca="false">M23-(N23+O23)</f>
        <v>4</v>
      </c>
      <c r="Q23" s="49" t="n">
        <v>0</v>
      </c>
      <c r="R23" s="49" t="n">
        <v>0</v>
      </c>
      <c r="S23" s="49" t="n">
        <f aca="false">SUM(P23:R23)</f>
        <v>4</v>
      </c>
      <c r="T23" s="50"/>
      <c r="U23" s="49" t="n">
        <v>0</v>
      </c>
      <c r="V23" s="49" t="n">
        <v>80</v>
      </c>
      <c r="W23" s="6" t="n">
        <f aca="false">N23+O23+S23+U23+V23</f>
        <v>84</v>
      </c>
      <c r="X23" s="49" t="n">
        <f aca="false">IF(L23&lt;0,L23*-1,0)</f>
        <v>0.83690446180993</v>
      </c>
      <c r="Y23" s="49" t="n">
        <f aca="false">W23+X23</f>
        <v>84.8369044618099</v>
      </c>
      <c r="Z23" s="51" t="n">
        <v>0.09</v>
      </c>
      <c r="AA23" s="77" t="n">
        <v>22</v>
      </c>
      <c r="AB23" s="54" t="n">
        <v>10</v>
      </c>
      <c r="AC23" s="55" t="n">
        <f aca="false">AC22+1</f>
        <v>14</v>
      </c>
    </row>
    <row r="24" customFormat="false" ht="11.1" hidden="false" customHeight="true" outlineLevel="0" collapsed="false">
      <c r="A24" s="55" t="n">
        <f aca="false">A23+1</f>
        <v>15</v>
      </c>
      <c r="B24" s="69" t="n">
        <v>6911.21</v>
      </c>
      <c r="C24" s="50" t="n">
        <v>326849</v>
      </c>
      <c r="D24" s="54" t="n">
        <f aca="false">C24-C23</f>
        <v>-81</v>
      </c>
      <c r="E24" s="50" t="n">
        <f aca="false">C24-152000</f>
        <v>174849</v>
      </c>
      <c r="F24" s="49" t="n">
        <f aca="false">D24/$D$2</f>
        <v>-40.8369044618099</v>
      </c>
      <c r="G24" s="49" t="n">
        <v>44</v>
      </c>
      <c r="H24" s="51" t="n">
        <v>0</v>
      </c>
      <c r="I24" s="49" t="n">
        <f aca="false">G24+H24</f>
        <v>44</v>
      </c>
      <c r="J24" s="76" t="n">
        <f aca="false">IF(L24&gt;0,L24,0)</f>
        <v>0</v>
      </c>
      <c r="K24" s="49" t="n">
        <f aca="false">I24+J24</f>
        <v>44</v>
      </c>
      <c r="L24" s="49" t="n">
        <f aca="false">F24-(I24-W24)</f>
        <v>-0.83690446180993</v>
      </c>
      <c r="M24" s="49" t="n">
        <v>4</v>
      </c>
      <c r="N24" s="49"/>
      <c r="O24" s="49" t="n">
        <v>0</v>
      </c>
      <c r="P24" s="6" t="n">
        <f aca="false">M24-(N24+O24)</f>
        <v>4</v>
      </c>
      <c r="Q24" s="49" t="n">
        <v>0</v>
      </c>
      <c r="R24" s="49" t="n">
        <v>0</v>
      </c>
      <c r="S24" s="49" t="n">
        <f aca="false">SUM(P24:R24)</f>
        <v>4</v>
      </c>
      <c r="T24" s="50"/>
      <c r="U24" s="49" t="n">
        <v>0</v>
      </c>
      <c r="V24" s="49" t="n">
        <v>80</v>
      </c>
      <c r="W24" s="6" t="n">
        <f aca="false">N24+O24+S24+U24+V24</f>
        <v>84</v>
      </c>
      <c r="X24" s="49" t="n">
        <f aca="false">IF(L24&lt;0,L24*-1,0)</f>
        <v>0.83690446180993</v>
      </c>
      <c r="Y24" s="49" t="n">
        <f aca="false">W24+X24</f>
        <v>84.8369044618099</v>
      </c>
      <c r="Z24" s="51" t="n">
        <v>0</v>
      </c>
      <c r="AA24" s="77" t="n">
        <v>25</v>
      </c>
      <c r="AB24" s="54" t="n">
        <v>1</v>
      </c>
      <c r="AC24" s="55" t="n">
        <f aca="false">AC23+1</f>
        <v>15</v>
      </c>
    </row>
    <row r="25" customFormat="false" ht="11.1" hidden="false" customHeight="true" outlineLevel="0" collapsed="false">
      <c r="A25" s="55" t="n">
        <f aca="false">A24+1</f>
        <v>16</v>
      </c>
      <c r="B25" s="69" t="n">
        <v>6911.2</v>
      </c>
      <c r="C25" s="50" t="n">
        <v>326808</v>
      </c>
      <c r="D25" s="54" t="n">
        <f aca="false">C25-C24</f>
        <v>-41</v>
      </c>
      <c r="E25" s="50" t="n">
        <f aca="false">C25-152000</f>
        <v>174808</v>
      </c>
      <c r="F25" s="49" t="n">
        <f aca="false">D25/$D$2</f>
        <v>-20.6705318880766</v>
      </c>
      <c r="G25" s="49" t="n">
        <v>64</v>
      </c>
      <c r="H25" s="51" t="n">
        <v>0</v>
      </c>
      <c r="I25" s="49" t="n">
        <f aca="false">G25+H25</f>
        <v>64</v>
      </c>
      <c r="J25" s="76" t="n">
        <f aca="false">IF(L25&gt;0,L25,0)</f>
        <v>0</v>
      </c>
      <c r="K25" s="49" t="n">
        <f aca="false">I25+J25</f>
        <v>64</v>
      </c>
      <c r="L25" s="49" t="n">
        <f aca="false">F25-(I25-W25)</f>
        <v>-1.67053188807663</v>
      </c>
      <c r="M25" s="49" t="n">
        <v>4</v>
      </c>
      <c r="N25" s="49"/>
      <c r="O25" s="49" t="n">
        <v>0</v>
      </c>
      <c r="P25" s="6" t="n">
        <f aca="false">M25-(N25+O25)</f>
        <v>4</v>
      </c>
      <c r="Q25" s="49" t="n">
        <v>0</v>
      </c>
      <c r="R25" s="49" t="n">
        <v>0</v>
      </c>
      <c r="S25" s="49" t="n">
        <f aca="false">SUM(P25:R25)</f>
        <v>4</v>
      </c>
      <c r="T25" s="50"/>
      <c r="U25" s="49" t="n">
        <v>0</v>
      </c>
      <c r="V25" s="49" t="n">
        <v>79</v>
      </c>
      <c r="W25" s="6" t="n">
        <f aca="false">N25+O25+S25+U25+V25</f>
        <v>83</v>
      </c>
      <c r="X25" s="49" t="n">
        <f aca="false">IF(L25&lt;0,L25*-1,0)</f>
        <v>1.67053188807663</v>
      </c>
      <c r="Y25" s="49" t="n">
        <f aca="false">W25+X25</f>
        <v>84.6705318880766</v>
      </c>
      <c r="Z25" s="51" t="n">
        <v>0</v>
      </c>
      <c r="AA25" s="77" t="n">
        <v>33</v>
      </c>
      <c r="AB25" s="54" t="n">
        <v>5</v>
      </c>
      <c r="AC25" s="55" t="n">
        <f aca="false">AC24+1</f>
        <v>16</v>
      </c>
    </row>
    <row r="26" customFormat="false" ht="11.1" hidden="false" customHeight="true" outlineLevel="0" collapsed="false">
      <c r="A26" s="55" t="n">
        <f aca="false">A25+1</f>
        <v>17</v>
      </c>
      <c r="B26" s="69" t="n">
        <v>6911.2</v>
      </c>
      <c r="C26" s="50" t="n">
        <v>326808</v>
      </c>
      <c r="D26" s="54" t="n">
        <f aca="false">C26-C25</f>
        <v>0</v>
      </c>
      <c r="E26" s="50" t="n">
        <f aca="false">C26-152000</f>
        <v>174808</v>
      </c>
      <c r="F26" s="49" t="n">
        <f aca="false">D26/$D$2</f>
        <v>0</v>
      </c>
      <c r="G26" s="49" t="n">
        <v>85</v>
      </c>
      <c r="H26" s="51" t="n">
        <v>0</v>
      </c>
      <c r="I26" s="49" t="n">
        <f aca="false">G26+H26</f>
        <v>85</v>
      </c>
      <c r="J26" s="76" t="n">
        <f aca="false">IF(L26&gt;0,L26,0)</f>
        <v>0</v>
      </c>
      <c r="K26" s="49" t="n">
        <f aca="false">I26+J26</f>
        <v>85</v>
      </c>
      <c r="L26" s="49" t="n">
        <f aca="false">F26-(I26-W26)</f>
        <v>-1</v>
      </c>
      <c r="M26" s="49" t="n">
        <v>4</v>
      </c>
      <c r="N26" s="49"/>
      <c r="O26" s="49" t="n">
        <v>0</v>
      </c>
      <c r="P26" s="6" t="n">
        <f aca="false">M26-(N26+O26)</f>
        <v>4</v>
      </c>
      <c r="Q26" s="49" t="n">
        <v>0</v>
      </c>
      <c r="R26" s="49" t="n">
        <v>0</v>
      </c>
      <c r="S26" s="49" t="n">
        <f aca="false">SUM(P26:R26)</f>
        <v>4</v>
      </c>
      <c r="T26" s="50"/>
      <c r="U26" s="49" t="n">
        <v>0</v>
      </c>
      <c r="V26" s="49" t="n">
        <v>80</v>
      </c>
      <c r="W26" s="6" t="n">
        <f aca="false">N26+O26+S26+U26+V26</f>
        <v>84</v>
      </c>
      <c r="X26" s="49" t="n">
        <f aca="false">IF(L26&lt;0,L26*-1,0)</f>
        <v>1</v>
      </c>
      <c r="Y26" s="49" t="n">
        <f aca="false">W26+X26</f>
        <v>85</v>
      </c>
      <c r="Z26" s="51" t="n">
        <v>0.04</v>
      </c>
      <c r="AA26" s="77" t="n">
        <v>40</v>
      </c>
      <c r="AB26" s="54" t="n">
        <v>19</v>
      </c>
      <c r="AC26" s="55" t="n">
        <f aca="false">AC25+1</f>
        <v>17</v>
      </c>
    </row>
    <row r="27" customFormat="false" ht="11.1" hidden="false" customHeight="true" outlineLevel="0" collapsed="false">
      <c r="A27" s="55" t="n">
        <f aca="false">A26+1</f>
        <v>18</v>
      </c>
      <c r="B27" s="69" t="n">
        <v>6911.2</v>
      </c>
      <c r="C27" s="50" t="n">
        <v>326808</v>
      </c>
      <c r="D27" s="54" t="n">
        <f aca="false">C27-C26</f>
        <v>0</v>
      </c>
      <c r="E27" s="50" t="n">
        <f aca="false">C27-152000</f>
        <v>174808</v>
      </c>
      <c r="F27" s="49" t="n">
        <f aca="false">D27/$D$2</f>
        <v>0</v>
      </c>
      <c r="G27" s="49" t="n">
        <v>85</v>
      </c>
      <c r="H27" s="51" t="n">
        <v>0</v>
      </c>
      <c r="I27" s="49" t="n">
        <f aca="false">G27+H27</f>
        <v>85</v>
      </c>
      <c r="J27" s="76" t="n">
        <f aca="false">IF(L27&gt;0,L27,0)</f>
        <v>1</v>
      </c>
      <c r="K27" s="49" t="n">
        <f aca="false">I27+J27</f>
        <v>86</v>
      </c>
      <c r="L27" s="49" t="n">
        <f aca="false">F27-(I27-W27)</f>
        <v>1</v>
      </c>
      <c r="M27" s="49" t="n">
        <v>6</v>
      </c>
      <c r="N27" s="49"/>
      <c r="O27" s="49" t="n">
        <v>0</v>
      </c>
      <c r="P27" s="6" t="n">
        <f aca="false">M27-(N27+O27)</f>
        <v>6</v>
      </c>
      <c r="Q27" s="49" t="n">
        <v>0</v>
      </c>
      <c r="R27" s="49" t="n">
        <v>0</v>
      </c>
      <c r="S27" s="49" t="n">
        <f aca="false">SUM(P27:R27)</f>
        <v>6</v>
      </c>
      <c r="T27" s="50"/>
      <c r="U27" s="49" t="n">
        <v>0</v>
      </c>
      <c r="V27" s="49" t="n">
        <v>80</v>
      </c>
      <c r="W27" s="6" t="n">
        <f aca="false">N27+O27+S27+U27+V27</f>
        <v>86</v>
      </c>
      <c r="X27" s="49" t="n">
        <f aca="false">IF(L27&lt;0,L27*-1,0)</f>
        <v>0</v>
      </c>
      <c r="Y27" s="49" t="n">
        <f aca="false">W27+X27</f>
        <v>86</v>
      </c>
      <c r="Z27" s="51" t="n">
        <v>0.16</v>
      </c>
      <c r="AA27" s="77" t="n">
        <v>37</v>
      </c>
      <c r="AB27" s="54" t="n">
        <v>29</v>
      </c>
      <c r="AC27" s="55" t="n">
        <f aca="false">AC26+1</f>
        <v>18</v>
      </c>
    </row>
    <row r="28" customFormat="false" ht="11.1" hidden="false" customHeight="true" outlineLevel="0" collapsed="false">
      <c r="A28" s="55" t="n">
        <f aca="false">A27+1</f>
        <v>19</v>
      </c>
      <c r="B28" s="69" t="n">
        <v>6911.2</v>
      </c>
      <c r="C28" s="50" t="n">
        <v>326808</v>
      </c>
      <c r="D28" s="54" t="n">
        <f aca="false">C28-C27</f>
        <v>0</v>
      </c>
      <c r="E28" s="50" t="n">
        <f aca="false">C28-152000</f>
        <v>174808</v>
      </c>
      <c r="F28" s="49" t="n">
        <f aca="false">D28/$D$2</f>
        <v>0</v>
      </c>
      <c r="G28" s="49" t="n">
        <v>85</v>
      </c>
      <c r="H28" s="51" t="n">
        <v>0</v>
      </c>
      <c r="I28" s="49" t="n">
        <f aca="false">G28+H28</f>
        <v>85</v>
      </c>
      <c r="J28" s="76" t="n">
        <f aca="false">IF(L28&gt;0,L28,0)</f>
        <v>0</v>
      </c>
      <c r="K28" s="49" t="n">
        <f aca="false">I28+J28</f>
        <v>85</v>
      </c>
      <c r="L28" s="49" t="n">
        <f aca="false">F28-(I28-W28)</f>
        <v>-1</v>
      </c>
      <c r="M28" s="49" t="n">
        <v>4</v>
      </c>
      <c r="N28" s="49"/>
      <c r="O28" s="49" t="n">
        <v>0</v>
      </c>
      <c r="P28" s="6" t="n">
        <f aca="false">M28-(N28+O28)</f>
        <v>4</v>
      </c>
      <c r="Q28" s="49" t="n">
        <v>0</v>
      </c>
      <c r="R28" s="49" t="n">
        <v>0</v>
      </c>
      <c r="S28" s="49" t="n">
        <f aca="false">SUM(P28:R28)</f>
        <v>4</v>
      </c>
      <c r="T28" s="50"/>
      <c r="U28" s="49" t="n">
        <v>0</v>
      </c>
      <c r="V28" s="49" t="n">
        <v>80</v>
      </c>
      <c r="W28" s="6" t="n">
        <f aca="false">N28+O28+S28+U28+V28</f>
        <v>84</v>
      </c>
      <c r="X28" s="49" t="n">
        <f aca="false">IF(L28&lt;0,L28*-1,0)</f>
        <v>1</v>
      </c>
      <c r="Y28" s="49" t="n">
        <f aca="false">W28+X28</f>
        <v>85</v>
      </c>
      <c r="Z28" s="51" t="n">
        <v>0.02</v>
      </c>
      <c r="AA28" s="77" t="n">
        <v>36</v>
      </c>
      <c r="AB28" s="54" t="n">
        <v>27</v>
      </c>
      <c r="AC28" s="55" t="n">
        <f aca="false">AC27+1</f>
        <v>19</v>
      </c>
    </row>
    <row r="29" customFormat="false" ht="11.1" hidden="false" customHeight="true" outlineLevel="0" collapsed="false">
      <c r="A29" s="55" t="n">
        <f aca="false">A28+1</f>
        <v>20</v>
      </c>
      <c r="B29" s="69" t="n">
        <v>6911.19</v>
      </c>
      <c r="C29" s="50" t="n">
        <v>326768</v>
      </c>
      <c r="D29" s="54" t="n">
        <f aca="false">C29-C28</f>
        <v>-40</v>
      </c>
      <c r="E29" s="50" t="n">
        <f aca="false">C29-152000</f>
        <v>174768</v>
      </c>
      <c r="F29" s="49" t="n">
        <f aca="false">D29/$D$2</f>
        <v>-20.1663725737333</v>
      </c>
      <c r="G29" s="49" t="n">
        <v>65</v>
      </c>
      <c r="H29" s="51" t="n">
        <v>0</v>
      </c>
      <c r="I29" s="49" t="n">
        <f aca="false">G29+H29</f>
        <v>65</v>
      </c>
      <c r="J29" s="76" t="n">
        <f aca="false">IF(L29&gt;0,L29,0)</f>
        <v>0</v>
      </c>
      <c r="K29" s="49" t="n">
        <f aca="false">I29+J29</f>
        <v>65</v>
      </c>
      <c r="L29" s="49" t="n">
        <f aca="false">F29-(I29-W29)</f>
        <v>-1.1663725737333</v>
      </c>
      <c r="M29" s="49" t="n">
        <v>4</v>
      </c>
      <c r="N29" s="49"/>
      <c r="O29" s="49" t="n">
        <v>0</v>
      </c>
      <c r="P29" s="6" t="n">
        <f aca="false">M29-(N29+O29)</f>
        <v>4</v>
      </c>
      <c r="Q29" s="49" t="n">
        <v>0</v>
      </c>
      <c r="R29" s="49" t="n">
        <v>0</v>
      </c>
      <c r="S29" s="49" t="n">
        <f aca="false">SUM(P29:R29)</f>
        <v>4</v>
      </c>
      <c r="T29" s="50"/>
      <c r="U29" s="49" t="n">
        <v>0</v>
      </c>
      <c r="V29" s="49" t="n">
        <v>80</v>
      </c>
      <c r="W29" s="6" t="n">
        <f aca="false">N29+O29+S29+U29+V29</f>
        <v>84</v>
      </c>
      <c r="X29" s="49" t="n">
        <f aca="false">IF(L29&lt;0,L29*-1,0)</f>
        <v>1.1663725737333</v>
      </c>
      <c r="Y29" s="49" t="n">
        <f aca="false">W29+X29</f>
        <v>85.1663725737333</v>
      </c>
      <c r="Z29" s="51" t="n">
        <v>0</v>
      </c>
      <c r="AA29" s="77" t="n">
        <v>38</v>
      </c>
      <c r="AB29" s="54" t="n">
        <v>15</v>
      </c>
      <c r="AC29" s="55" t="n">
        <f aca="false">AC28+1</f>
        <v>20</v>
      </c>
    </row>
    <row r="30" customFormat="false" ht="11.1" hidden="false" customHeight="true" outlineLevel="0" collapsed="false">
      <c r="A30" s="55" t="n">
        <f aca="false">A29+1</f>
        <v>21</v>
      </c>
      <c r="B30" s="69" t="n">
        <v>6911.18</v>
      </c>
      <c r="C30" s="50" t="n">
        <v>326727</v>
      </c>
      <c r="D30" s="54" t="n">
        <f aca="false">C30-C29</f>
        <v>-41</v>
      </c>
      <c r="E30" s="50" t="n">
        <f aca="false">C30-152000</f>
        <v>174727</v>
      </c>
      <c r="F30" s="49" t="n">
        <f aca="false">D30/$D$2</f>
        <v>-20.6705318880766</v>
      </c>
      <c r="G30" s="49" t="n">
        <v>58</v>
      </c>
      <c r="H30" s="51" t="n">
        <v>0</v>
      </c>
      <c r="I30" s="49" t="n">
        <f aca="false">G30+H30</f>
        <v>58</v>
      </c>
      <c r="J30" s="76" t="n">
        <f aca="false">IF(L30&gt;0,L30,0)</f>
        <v>0</v>
      </c>
      <c r="K30" s="49" t="n">
        <f aca="false">I30+J30</f>
        <v>58</v>
      </c>
      <c r="L30" s="49" t="n">
        <f aca="false">F30-(I30-W30)</f>
        <v>-0.670531888076631</v>
      </c>
      <c r="M30" s="49" t="n">
        <v>5</v>
      </c>
      <c r="N30" s="49"/>
      <c r="O30" s="49" t="n">
        <v>0</v>
      </c>
      <c r="P30" s="6" t="n">
        <f aca="false">M30-(N30+O30)</f>
        <v>5</v>
      </c>
      <c r="Q30" s="49" t="n">
        <v>0</v>
      </c>
      <c r="R30" s="49" t="n">
        <v>0</v>
      </c>
      <c r="S30" s="49" t="n">
        <f aca="false">SUM(P30:R30)</f>
        <v>5</v>
      </c>
      <c r="T30" s="50"/>
      <c r="U30" s="49" t="n">
        <v>0</v>
      </c>
      <c r="V30" s="49" t="n">
        <v>73</v>
      </c>
      <c r="W30" s="6" t="n">
        <f aca="false">N30+O30+S30+U30+V30</f>
        <v>78</v>
      </c>
      <c r="X30" s="49" t="n">
        <f aca="false">IF(L30&lt;0,L30*-1,0)</f>
        <v>0.670531888076631</v>
      </c>
      <c r="Y30" s="49" t="n">
        <f aca="false">W30+X30</f>
        <v>78.6705318880766</v>
      </c>
      <c r="Z30" s="51" t="n">
        <v>0</v>
      </c>
      <c r="AA30" s="54" t="n">
        <v>38</v>
      </c>
      <c r="AB30" s="54" t="n">
        <v>7</v>
      </c>
      <c r="AC30" s="55" t="n">
        <f aca="false">AC29+1</f>
        <v>21</v>
      </c>
    </row>
    <row r="31" customFormat="false" ht="11.1" hidden="false" customHeight="true" outlineLevel="0" collapsed="false">
      <c r="A31" s="55" t="n">
        <f aca="false">A30+1</f>
        <v>22</v>
      </c>
      <c r="B31" s="69" t="n">
        <v>6911.17</v>
      </c>
      <c r="C31" s="50" t="n">
        <v>326687</v>
      </c>
      <c r="D31" s="54" t="n">
        <f aca="false">C31-C30</f>
        <v>-40</v>
      </c>
      <c r="E31" s="50" t="n">
        <f aca="false">C31-152000</f>
        <v>174687</v>
      </c>
      <c r="F31" s="49" t="n">
        <f aca="false">D31/$D$2</f>
        <v>-20.1663725737333</v>
      </c>
      <c r="G31" s="49" t="n">
        <v>63</v>
      </c>
      <c r="H31" s="51" t="n">
        <v>0</v>
      </c>
      <c r="I31" s="49" t="n">
        <f aca="false">G31+H31</f>
        <v>63</v>
      </c>
      <c r="J31" s="76" t="n">
        <f aca="false">IF(L31&gt;0,L31,0)</f>
        <v>0</v>
      </c>
      <c r="K31" s="49" t="n">
        <f aca="false">I31+J31</f>
        <v>63</v>
      </c>
      <c r="L31" s="49" t="n">
        <f aca="false">F31-(I31-W31)</f>
        <v>-0.166372573733298</v>
      </c>
      <c r="M31" s="49" t="n">
        <v>4</v>
      </c>
      <c r="N31" s="49"/>
      <c r="O31" s="49" t="n">
        <v>0</v>
      </c>
      <c r="P31" s="6" t="n">
        <f aca="false">M31-(N31+O31)</f>
        <v>4</v>
      </c>
      <c r="Q31" s="49" t="n">
        <v>0</v>
      </c>
      <c r="R31" s="49" t="n">
        <v>0</v>
      </c>
      <c r="S31" s="49" t="n">
        <f aca="false">SUM(P31:R31)</f>
        <v>4</v>
      </c>
      <c r="T31" s="50"/>
      <c r="U31" s="49" t="n">
        <v>0</v>
      </c>
      <c r="V31" s="49" t="n">
        <v>79</v>
      </c>
      <c r="W31" s="6" t="n">
        <f aca="false">N31+O31+S31+U31+V31</f>
        <v>83</v>
      </c>
      <c r="X31" s="49" t="n">
        <f aca="false">IF(L31&lt;0,L31*-1,0)</f>
        <v>0.166372573733298</v>
      </c>
      <c r="Y31" s="49" t="n">
        <f aca="false">W31+X31</f>
        <v>83.1663725737333</v>
      </c>
      <c r="Z31" s="51" t="n">
        <v>0.03</v>
      </c>
      <c r="AA31" s="54" t="n">
        <v>42</v>
      </c>
      <c r="AB31" s="54" t="n">
        <v>10</v>
      </c>
      <c r="AC31" s="55" t="n">
        <f aca="false">AC30+1</f>
        <v>22</v>
      </c>
    </row>
    <row r="32" customFormat="false" ht="11.1" hidden="false" customHeight="true" outlineLevel="0" collapsed="false">
      <c r="A32" s="55" t="n">
        <f aca="false">A31+1</f>
        <v>23</v>
      </c>
      <c r="B32" s="69" t="n">
        <v>6911.16</v>
      </c>
      <c r="C32" s="50" t="n">
        <v>326647</v>
      </c>
      <c r="D32" s="54" t="n">
        <f aca="false">C32-C31</f>
        <v>-40</v>
      </c>
      <c r="E32" s="50" t="n">
        <f aca="false">C32-152000</f>
        <v>174647</v>
      </c>
      <c r="F32" s="49" t="n">
        <f aca="false">D32/$D$2</f>
        <v>-20.1663725737333</v>
      </c>
      <c r="G32" s="49" t="n">
        <v>63</v>
      </c>
      <c r="H32" s="51" t="n">
        <v>0</v>
      </c>
      <c r="I32" s="49" t="n">
        <f aca="false">G32+H32</f>
        <v>63</v>
      </c>
      <c r="J32" s="76" t="n">
        <f aca="false">IF(L32&gt;0,L32,0)</f>
        <v>0</v>
      </c>
      <c r="K32" s="49" t="n">
        <f aca="false">I32+J32</f>
        <v>63</v>
      </c>
      <c r="L32" s="49" t="n">
        <f aca="false">F32-(I32-W32)</f>
        <v>-0.166372573733298</v>
      </c>
      <c r="M32" s="49" t="n">
        <v>4</v>
      </c>
      <c r="N32" s="49"/>
      <c r="O32" s="49" t="n">
        <v>0</v>
      </c>
      <c r="P32" s="6" t="n">
        <f aca="false">M32-(N32+O32)</f>
        <v>4</v>
      </c>
      <c r="Q32" s="49" t="n">
        <v>0</v>
      </c>
      <c r="R32" s="49" t="n">
        <v>0</v>
      </c>
      <c r="S32" s="49" t="n">
        <f aca="false">SUM(P32:R32)</f>
        <v>4</v>
      </c>
      <c r="T32" s="50"/>
      <c r="U32" s="49" t="n">
        <v>0</v>
      </c>
      <c r="V32" s="49" t="n">
        <v>79</v>
      </c>
      <c r="W32" s="6" t="n">
        <f aca="false">N32+O32+S32+U32+V32</f>
        <v>83</v>
      </c>
      <c r="X32" s="49" t="n">
        <f aca="false">IF(L32&lt;0,L32*-1,0)</f>
        <v>0.166372573733298</v>
      </c>
      <c r="Y32" s="49" t="n">
        <f aca="false">W32+X32</f>
        <v>83.1663725737333</v>
      </c>
      <c r="Z32" s="51" t="n">
        <v>0.22</v>
      </c>
      <c r="AA32" s="54" t="n">
        <v>28</v>
      </c>
      <c r="AB32" s="77" t="n">
        <v>21</v>
      </c>
      <c r="AC32" s="55" t="n">
        <f aca="false">AC31+1</f>
        <v>23</v>
      </c>
    </row>
    <row r="33" customFormat="false" ht="11.1" hidden="false" customHeight="true" outlineLevel="0" collapsed="false">
      <c r="A33" s="55" t="n">
        <f aca="false">A32+1</f>
        <v>24</v>
      </c>
      <c r="B33" s="69" t="n">
        <v>6911.15</v>
      </c>
      <c r="C33" s="50" t="n">
        <v>326606</v>
      </c>
      <c r="D33" s="54" t="n">
        <f aca="false">C33-C32</f>
        <v>-41</v>
      </c>
      <c r="E33" s="50" t="n">
        <f aca="false">C33-152000</f>
        <v>174606</v>
      </c>
      <c r="F33" s="49" t="n">
        <f aca="false">D33/$D$2</f>
        <v>-20.6705318880766</v>
      </c>
      <c r="G33" s="49" t="n">
        <v>62</v>
      </c>
      <c r="H33" s="51" t="n">
        <v>0</v>
      </c>
      <c r="I33" s="49" t="n">
        <f aca="false">G33+H33</f>
        <v>62</v>
      </c>
      <c r="J33" s="76" t="n">
        <f aca="false">IF(L33&gt;0,L33,0)</f>
        <v>0</v>
      </c>
      <c r="K33" s="49" t="n">
        <f aca="false">I33+J33</f>
        <v>62</v>
      </c>
      <c r="L33" s="49" t="n">
        <f aca="false">F33-(I33-W33)</f>
        <v>-0.670531888076631</v>
      </c>
      <c r="M33" s="49" t="n">
        <v>4</v>
      </c>
      <c r="N33" s="49"/>
      <c r="O33" s="49" t="n">
        <v>0</v>
      </c>
      <c r="P33" s="6" t="n">
        <f aca="false">M33-(N33+O33)</f>
        <v>4</v>
      </c>
      <c r="Q33" s="49" t="n">
        <v>0</v>
      </c>
      <c r="R33" s="49" t="n">
        <v>0</v>
      </c>
      <c r="S33" s="49" t="n">
        <f aca="false">SUM(P33:R33)</f>
        <v>4</v>
      </c>
      <c r="T33" s="50"/>
      <c r="U33" s="49" t="n">
        <v>0</v>
      </c>
      <c r="V33" s="49" t="n">
        <v>78</v>
      </c>
      <c r="W33" s="6" t="n">
        <f aca="false">N33+O33+S33+U33+V33</f>
        <v>82</v>
      </c>
      <c r="X33" s="49" t="n">
        <f aca="false">IF(L33&lt;0,L33*-1,0)</f>
        <v>0.670531888076631</v>
      </c>
      <c r="Y33" s="49" t="n">
        <f aca="false">W33+X33</f>
        <v>82.6705318880766</v>
      </c>
      <c r="Z33" s="51" t="n">
        <v>0.1</v>
      </c>
      <c r="AA33" s="54" t="n">
        <v>25</v>
      </c>
      <c r="AB33" s="77" t="n">
        <v>15</v>
      </c>
      <c r="AC33" s="55" t="n">
        <f aca="false">AC32+1</f>
        <v>24</v>
      </c>
    </row>
    <row r="34" customFormat="false" ht="11.1" hidden="false" customHeight="true" outlineLevel="0" collapsed="false">
      <c r="A34" s="55" t="n">
        <f aca="false">A33+1</f>
        <v>25</v>
      </c>
      <c r="B34" s="69" t="n">
        <v>6911.14</v>
      </c>
      <c r="C34" s="50" t="n">
        <v>326566</v>
      </c>
      <c r="D34" s="54" t="n">
        <f aca="false">C34-C33</f>
        <v>-40</v>
      </c>
      <c r="E34" s="50" t="n">
        <f aca="false">C34-152000</f>
        <v>174566</v>
      </c>
      <c r="F34" s="49" t="n">
        <f aca="false">D34/$D$2</f>
        <v>-20.1663725737333</v>
      </c>
      <c r="G34" s="49" t="n">
        <v>62</v>
      </c>
      <c r="H34" s="51" t="n">
        <v>0</v>
      </c>
      <c r="I34" s="49" t="n">
        <f aca="false">G34+H34</f>
        <v>62</v>
      </c>
      <c r="J34" s="76" t="n">
        <f aca="false">IF(L34&gt;0,L34,0)</f>
        <v>0</v>
      </c>
      <c r="K34" s="49" t="n">
        <f aca="false">I34+J34</f>
        <v>62</v>
      </c>
      <c r="L34" s="49" t="n">
        <f aca="false">F34-(I34-W34)</f>
        <v>-0.166372573733298</v>
      </c>
      <c r="M34" s="49" t="n">
        <v>4</v>
      </c>
      <c r="N34" s="49"/>
      <c r="O34" s="49" t="n">
        <v>0</v>
      </c>
      <c r="P34" s="6" t="n">
        <f aca="false">M34-(N34+O34)</f>
        <v>4</v>
      </c>
      <c r="Q34" s="49" t="n">
        <v>0</v>
      </c>
      <c r="R34" s="49" t="n">
        <v>0</v>
      </c>
      <c r="S34" s="49" t="n">
        <f aca="false">SUM(P34:R34)</f>
        <v>4</v>
      </c>
      <c r="T34" s="50"/>
      <c r="U34" s="49" t="n">
        <v>0</v>
      </c>
      <c r="V34" s="49" t="n">
        <v>78</v>
      </c>
      <c r="W34" s="6" t="n">
        <f aca="false">N34+O34+S34+U34+V34</f>
        <v>82</v>
      </c>
      <c r="X34" s="49" t="n">
        <f aca="false">IF(L34&lt;0,L34*-1,0)</f>
        <v>0.166372573733298</v>
      </c>
      <c r="Y34" s="49" t="n">
        <f aca="false">W34+X34</f>
        <v>82.1663725737333</v>
      </c>
      <c r="Z34" s="51" t="n">
        <v>0.08</v>
      </c>
      <c r="AA34" s="54" t="n">
        <v>24</v>
      </c>
      <c r="AB34" s="77" t="n">
        <v>13</v>
      </c>
      <c r="AC34" s="55" t="n">
        <f aca="false">AC33+1</f>
        <v>25</v>
      </c>
    </row>
    <row r="35" customFormat="false" ht="11.1" hidden="false" customHeight="true" outlineLevel="0" collapsed="false">
      <c r="A35" s="55" t="n">
        <f aca="false">A34+1</f>
        <v>26</v>
      </c>
      <c r="B35" s="69" t="n">
        <v>6911.13</v>
      </c>
      <c r="C35" s="50" t="n">
        <v>326525</v>
      </c>
      <c r="D35" s="54" t="n">
        <f aca="false">C35-C34</f>
        <v>-41</v>
      </c>
      <c r="E35" s="50" t="n">
        <f aca="false">C35-152000</f>
        <v>174525</v>
      </c>
      <c r="F35" s="49" t="n">
        <f aca="false">D35/$D$2</f>
        <v>-20.6705318880766</v>
      </c>
      <c r="G35" s="49" t="n">
        <v>64</v>
      </c>
      <c r="H35" s="51" t="n">
        <v>0</v>
      </c>
      <c r="I35" s="49" t="n">
        <f aca="false">G35+H35</f>
        <v>64</v>
      </c>
      <c r="J35" s="76" t="n">
        <f aca="false">IF(L35&gt;0,L35,0)</f>
        <v>0</v>
      </c>
      <c r="K35" s="49" t="n">
        <f aca="false">I35+J35</f>
        <v>64</v>
      </c>
      <c r="L35" s="49" t="n">
        <f aca="false">F35-(I35-W35)</f>
        <v>-0.670531888076631</v>
      </c>
      <c r="M35" s="49" t="n">
        <v>4</v>
      </c>
      <c r="N35" s="49"/>
      <c r="O35" s="49" t="n">
        <v>0</v>
      </c>
      <c r="P35" s="6" t="n">
        <f aca="false">M35-(N35+O35)</f>
        <v>4</v>
      </c>
      <c r="Q35" s="49" t="n">
        <v>0</v>
      </c>
      <c r="R35" s="49" t="n">
        <v>0</v>
      </c>
      <c r="S35" s="49" t="n">
        <f aca="false">SUM(P35:R35)</f>
        <v>4</v>
      </c>
      <c r="T35" s="50"/>
      <c r="U35" s="49" t="n">
        <v>0</v>
      </c>
      <c r="V35" s="49" t="n">
        <v>80</v>
      </c>
      <c r="W35" s="6" t="n">
        <f aca="false">N35+O35+S35+U35+V35</f>
        <v>84</v>
      </c>
      <c r="X35" s="49" t="n">
        <f aca="false">IF(L35&lt;0,L35*-1,0)</f>
        <v>0.670531888076631</v>
      </c>
      <c r="Y35" s="49" t="n">
        <f aca="false">W35+X35</f>
        <v>84.6705318880766</v>
      </c>
      <c r="Z35" s="51" t="n">
        <v>0.06</v>
      </c>
      <c r="AA35" s="54" t="n">
        <v>24</v>
      </c>
      <c r="AB35" s="54" t="n">
        <v>9</v>
      </c>
      <c r="AC35" s="55" t="n">
        <f aca="false">AC34+1</f>
        <v>26</v>
      </c>
    </row>
    <row r="36" customFormat="false" ht="11.1" hidden="false" customHeight="true" outlineLevel="0" collapsed="false">
      <c r="A36" s="55" t="n">
        <f aca="false">A35+1</f>
        <v>27</v>
      </c>
      <c r="B36" s="69" t="n">
        <v>6911.12</v>
      </c>
      <c r="C36" s="50" t="n">
        <v>326485</v>
      </c>
      <c r="D36" s="54" t="n">
        <f aca="false">C36-C35</f>
        <v>-40</v>
      </c>
      <c r="E36" s="50" t="n">
        <f aca="false">C36-152000</f>
        <v>174485</v>
      </c>
      <c r="F36" s="49" t="n">
        <f aca="false">D36/$D$2</f>
        <v>-20.1663725737333</v>
      </c>
      <c r="G36" s="49" t="n">
        <v>63</v>
      </c>
      <c r="H36" s="51" t="n">
        <v>0</v>
      </c>
      <c r="I36" s="49" t="n">
        <f aca="false">G36+H36</f>
        <v>63</v>
      </c>
      <c r="J36" s="76" t="n">
        <f aca="false">IF(L36&gt;0,L36,0)</f>
        <v>0</v>
      </c>
      <c r="K36" s="49" t="n">
        <f aca="false">I36+J36</f>
        <v>63</v>
      </c>
      <c r="L36" s="49" t="n">
        <f aca="false">F36-(I36-W36)</f>
        <v>-1.1663725737333</v>
      </c>
      <c r="M36" s="49" t="n">
        <v>4</v>
      </c>
      <c r="N36" s="49"/>
      <c r="O36" s="49" t="n">
        <v>0</v>
      </c>
      <c r="P36" s="6" t="n">
        <f aca="false">M36-(N36+O36)</f>
        <v>4</v>
      </c>
      <c r="Q36" s="49" t="n">
        <v>0</v>
      </c>
      <c r="R36" s="49" t="n">
        <v>0</v>
      </c>
      <c r="S36" s="49" t="n">
        <f aca="false">SUM(P36:R36)</f>
        <v>4</v>
      </c>
      <c r="T36" s="50"/>
      <c r="U36" s="49" t="n">
        <v>0</v>
      </c>
      <c r="V36" s="49" t="n">
        <v>78</v>
      </c>
      <c r="W36" s="6" t="n">
        <f aca="false">N36+O36+S36+U36+V36</f>
        <v>82</v>
      </c>
      <c r="X36" s="49" t="n">
        <f aca="false">IF(L36&lt;0,L36*-1,0)</f>
        <v>1.1663725737333</v>
      </c>
      <c r="Y36" s="49" t="n">
        <f aca="false">W36+X36</f>
        <v>83.1663725737333</v>
      </c>
      <c r="Z36" s="51" t="n">
        <v>0</v>
      </c>
      <c r="AA36" s="54" t="n">
        <v>26</v>
      </c>
      <c r="AB36" s="54" t="n">
        <v>8</v>
      </c>
      <c r="AC36" s="55" t="n">
        <f aca="false">AC35+1</f>
        <v>27</v>
      </c>
    </row>
    <row r="37" customFormat="false" ht="11.1" hidden="false" customHeight="true" outlineLevel="0" collapsed="false">
      <c r="A37" s="55" t="n">
        <f aca="false">A36+1</f>
        <v>28</v>
      </c>
      <c r="B37" s="69" t="n">
        <v>6911.11</v>
      </c>
      <c r="C37" s="50" t="n">
        <v>326444</v>
      </c>
      <c r="D37" s="54" t="n">
        <f aca="false">C37-C36</f>
        <v>-41</v>
      </c>
      <c r="E37" s="50" t="n">
        <f aca="false">C37-152000</f>
        <v>174444</v>
      </c>
      <c r="F37" s="49" t="n">
        <f aca="false">D37/$D$2</f>
        <v>-20.6705318880766</v>
      </c>
      <c r="G37" s="49" t="n">
        <v>63</v>
      </c>
      <c r="H37" s="51" t="n">
        <v>0</v>
      </c>
      <c r="I37" s="49" t="n">
        <f aca="false">G37+H37</f>
        <v>63</v>
      </c>
      <c r="J37" s="76" t="n">
        <f aca="false">IF(L37&gt;0,L37,0)</f>
        <v>0</v>
      </c>
      <c r="K37" s="49" t="n">
        <f aca="false">I37+J37</f>
        <v>63</v>
      </c>
      <c r="L37" s="49" t="n">
        <f aca="false">F37-(I37-W37)</f>
        <v>-0.670531888076631</v>
      </c>
      <c r="M37" s="49" t="n">
        <v>4</v>
      </c>
      <c r="N37" s="49"/>
      <c r="O37" s="49" t="n">
        <v>0</v>
      </c>
      <c r="P37" s="6" t="n">
        <f aca="false">M37-(N37+O37)</f>
        <v>4</v>
      </c>
      <c r="Q37" s="49" t="n">
        <v>0</v>
      </c>
      <c r="R37" s="49" t="n">
        <v>0</v>
      </c>
      <c r="S37" s="49" t="n">
        <f aca="false">SUM(P37:R37)</f>
        <v>4</v>
      </c>
      <c r="T37" s="50"/>
      <c r="U37" s="49" t="n">
        <v>0</v>
      </c>
      <c r="V37" s="49" t="n">
        <v>79</v>
      </c>
      <c r="W37" s="6" t="n">
        <f aca="false">N37+O37+S37+U37+V37</f>
        <v>83</v>
      </c>
      <c r="X37" s="49" t="n">
        <f aca="false">IF(L37&lt;0,L37*-1,0)</f>
        <v>0.670531888076631</v>
      </c>
      <c r="Y37" s="49" t="n">
        <f aca="false">W37+X37</f>
        <v>83.6705318880766</v>
      </c>
      <c r="Z37" s="51" t="n">
        <v>0</v>
      </c>
      <c r="AA37" s="54" t="n">
        <v>36</v>
      </c>
      <c r="AB37" s="54" t="n">
        <v>5</v>
      </c>
      <c r="AC37" s="55" t="n">
        <f aca="false">AC36+1</f>
        <v>28</v>
      </c>
    </row>
    <row r="38" customFormat="false" ht="11.1" hidden="false" customHeight="true" outlineLevel="0" collapsed="false">
      <c r="A38" s="55" t="n">
        <f aca="false">A37+1</f>
        <v>29</v>
      </c>
      <c r="B38" s="69" t="n">
        <v>6911.1</v>
      </c>
      <c r="C38" s="50" t="n">
        <v>326404</v>
      </c>
      <c r="D38" s="54" t="n">
        <f aca="false">C38-C37</f>
        <v>-40</v>
      </c>
      <c r="E38" s="50" t="n">
        <f aca="false">C38-152000</f>
        <v>174404</v>
      </c>
      <c r="F38" s="49" t="n">
        <f aca="false">D38/$D$2</f>
        <v>-20.1663725737333</v>
      </c>
      <c r="G38" s="49" t="n">
        <v>59</v>
      </c>
      <c r="H38" s="51" t="n">
        <v>0</v>
      </c>
      <c r="I38" s="49" t="n">
        <f aca="false">G38+H38</f>
        <v>59</v>
      </c>
      <c r="J38" s="76" t="n">
        <f aca="false">IF(L38&gt;0,L38,0)</f>
        <v>0</v>
      </c>
      <c r="K38" s="49" t="n">
        <f aca="false">I38+J38</f>
        <v>59</v>
      </c>
      <c r="L38" s="49" t="n">
        <f aca="false">F38-(I38-W38)</f>
        <v>-0.166372573733298</v>
      </c>
      <c r="M38" s="49" t="n">
        <v>4</v>
      </c>
      <c r="N38" s="49"/>
      <c r="O38" s="49" t="n">
        <v>0</v>
      </c>
      <c r="P38" s="6" t="n">
        <f aca="false">M38-(N38+O38)</f>
        <v>4</v>
      </c>
      <c r="Q38" s="49" t="n">
        <v>0</v>
      </c>
      <c r="R38" s="49" t="n">
        <v>0</v>
      </c>
      <c r="S38" s="49" t="n">
        <f aca="false">SUM(P38:R38)</f>
        <v>4</v>
      </c>
      <c r="T38" s="50"/>
      <c r="U38" s="49" t="n">
        <v>0</v>
      </c>
      <c r="V38" s="49" t="n">
        <v>75</v>
      </c>
      <c r="W38" s="6" t="n">
        <f aca="false">N38+O38+S38+U38+V38</f>
        <v>79</v>
      </c>
      <c r="X38" s="49" t="n">
        <f aca="false">IF(L38&lt;0,L38*-1,0)</f>
        <v>0.166372573733298</v>
      </c>
      <c r="Y38" s="49" t="n">
        <f aca="false">W38+X38</f>
        <v>79.1663725737333</v>
      </c>
      <c r="Z38" s="51" t="n">
        <v>0.1</v>
      </c>
      <c r="AA38" s="77" t="n">
        <v>34</v>
      </c>
      <c r="AB38" s="54" t="n">
        <v>16</v>
      </c>
      <c r="AC38" s="55" t="n">
        <f aca="false">AC37+1</f>
        <v>29</v>
      </c>
    </row>
    <row r="39" customFormat="false" ht="11.1" hidden="false" customHeight="true" outlineLevel="0" collapsed="false">
      <c r="A39" s="55" t="n">
        <v>30</v>
      </c>
      <c r="B39" s="69" t="n">
        <v>6911.08</v>
      </c>
      <c r="C39" s="50" t="n">
        <v>326323</v>
      </c>
      <c r="D39" s="54" t="n">
        <f aca="false">C39-C38</f>
        <v>-81</v>
      </c>
      <c r="E39" s="50" t="n">
        <f aca="false">C39-152000</f>
        <v>174323</v>
      </c>
      <c r="F39" s="49" t="n">
        <f aca="false">D39/$D$2</f>
        <v>-40.8369044618099</v>
      </c>
      <c r="G39" s="49" t="n">
        <v>42</v>
      </c>
      <c r="H39" s="51" t="n">
        <v>0</v>
      </c>
      <c r="I39" s="49" t="n">
        <f aca="false">G39+H39</f>
        <v>42</v>
      </c>
      <c r="J39" s="76" t="n">
        <f aca="false">IF(L39&gt;0,L39,0)</f>
        <v>0.163095538190071</v>
      </c>
      <c r="K39" s="49" t="n">
        <f aca="false">I39+J39</f>
        <v>42.1630955381901</v>
      </c>
      <c r="L39" s="49" t="n">
        <f aca="false">F39-(I39-W39)</f>
        <v>0.163095538190071</v>
      </c>
      <c r="M39" s="49" t="n">
        <v>4</v>
      </c>
      <c r="N39" s="49"/>
      <c r="O39" s="49" t="n">
        <v>0</v>
      </c>
      <c r="P39" s="6" t="n">
        <f aca="false">M39-(N39+O39)</f>
        <v>4</v>
      </c>
      <c r="Q39" s="49" t="n">
        <v>0</v>
      </c>
      <c r="R39" s="49" t="n">
        <v>0</v>
      </c>
      <c r="S39" s="49" t="n">
        <f aca="false">SUM(P39:R39)</f>
        <v>4</v>
      </c>
      <c r="T39" s="50"/>
      <c r="U39" s="49" t="n">
        <v>0</v>
      </c>
      <c r="V39" s="49" t="n">
        <v>79</v>
      </c>
      <c r="W39" s="6" t="n">
        <f aca="false">N39+O39+S39+U39+V39</f>
        <v>83</v>
      </c>
      <c r="X39" s="49" t="n">
        <f aca="false">IF(L39&lt;0,L39*-1,0)</f>
        <v>0</v>
      </c>
      <c r="Y39" s="49" t="n">
        <f aca="false">W39+X39</f>
        <v>83</v>
      </c>
      <c r="Z39" s="51" t="n">
        <v>0.01</v>
      </c>
      <c r="AA39" s="77" t="n">
        <v>26</v>
      </c>
      <c r="AB39" s="54" t="n">
        <v>16</v>
      </c>
      <c r="AC39" s="55" t="n">
        <v>30</v>
      </c>
    </row>
    <row r="40" customFormat="false" ht="11.1" hidden="false" customHeight="true" outlineLevel="0" collapsed="false">
      <c r="A40" s="55" t="n">
        <v>31</v>
      </c>
      <c r="B40" s="69" t="n">
        <v>6911.06</v>
      </c>
      <c r="C40" s="50" t="n">
        <v>326242</v>
      </c>
      <c r="D40" s="54" t="n">
        <f aca="false">C40-C39</f>
        <v>-81</v>
      </c>
      <c r="E40" s="50" t="n">
        <f aca="false">C40-152000</f>
        <v>174242</v>
      </c>
      <c r="F40" s="49" t="n">
        <f aca="false">D40/$D$2</f>
        <v>-40.8369044618099</v>
      </c>
      <c r="G40" s="49" t="n">
        <v>44</v>
      </c>
      <c r="H40" s="51" t="n">
        <v>0</v>
      </c>
      <c r="I40" s="49" t="n">
        <f aca="false">G40+H40</f>
        <v>44</v>
      </c>
      <c r="J40" s="76" t="n">
        <f aca="false">IF(L40&gt;0,L40,0)</f>
        <v>0</v>
      </c>
      <c r="K40" s="49" t="n">
        <f aca="false">I40+J40</f>
        <v>44</v>
      </c>
      <c r="L40" s="49" t="n">
        <f aca="false">F40-(I40-W40)</f>
        <v>-0.83690446180993</v>
      </c>
      <c r="M40" s="49" t="n">
        <v>4</v>
      </c>
      <c r="N40" s="49"/>
      <c r="O40" s="49" t="n">
        <v>0</v>
      </c>
      <c r="P40" s="6" t="n">
        <f aca="false">M40-(N40+O40)</f>
        <v>4</v>
      </c>
      <c r="Q40" s="49" t="n">
        <v>0</v>
      </c>
      <c r="R40" s="49" t="n">
        <v>0</v>
      </c>
      <c r="S40" s="49" t="n">
        <f aca="false">SUM(P40:R40)</f>
        <v>4</v>
      </c>
      <c r="T40" s="50"/>
      <c r="U40" s="49" t="n">
        <v>0</v>
      </c>
      <c r="V40" s="49" t="n">
        <v>80</v>
      </c>
      <c r="W40" s="6" t="n">
        <f aca="false">N40+O40+S40+U40+V40</f>
        <v>84</v>
      </c>
      <c r="X40" s="49" t="n">
        <f aca="false">IF(L40&lt;0,L40*-1,0)</f>
        <v>0.83690446180993</v>
      </c>
      <c r="Y40" s="49" t="n">
        <f aca="false">W40+X40</f>
        <v>84.8369044618099</v>
      </c>
      <c r="Z40" s="51" t="n">
        <v>0</v>
      </c>
      <c r="AA40" s="77" t="n">
        <v>28</v>
      </c>
      <c r="AB40" s="54" t="n">
        <v>0</v>
      </c>
      <c r="AC40" s="55" t="n">
        <v>31</v>
      </c>
    </row>
    <row r="41" customFormat="false" ht="3" hidden="false" customHeight="true" outlineLevel="0" collapsed="false">
      <c r="A41" s="70"/>
      <c r="B41" s="70"/>
      <c r="C41" s="72"/>
      <c r="D41" s="70"/>
      <c r="E41" s="72"/>
      <c r="F41" s="70"/>
      <c r="G41" s="70"/>
      <c r="H41" s="73"/>
      <c r="I41" s="70"/>
      <c r="J41" s="70"/>
      <c r="K41" s="70"/>
      <c r="L41" s="78"/>
      <c r="M41" s="78"/>
      <c r="N41" s="78"/>
      <c r="O41" s="70"/>
      <c r="P41" s="70"/>
      <c r="Q41" s="70"/>
      <c r="R41" s="70"/>
      <c r="S41" s="70"/>
      <c r="T41" s="72"/>
      <c r="U41" s="70"/>
      <c r="V41" s="78"/>
      <c r="W41" s="70"/>
      <c r="X41" s="70"/>
      <c r="Y41" s="70"/>
      <c r="Z41" s="73"/>
      <c r="AA41" s="74"/>
      <c r="AB41" s="74"/>
      <c r="AC41" s="75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-367.027980841946</v>
      </c>
      <c r="G42" s="50" t="n">
        <f aca="false">SUM(G10:G40)</f>
        <v>2216</v>
      </c>
      <c r="H42" s="51" t="n">
        <f aca="false">SUM(H10:H40)</f>
        <v>0</v>
      </c>
      <c r="I42" s="50" t="n">
        <f aca="false">SUM(I10:I40)</f>
        <v>2216</v>
      </c>
      <c r="J42" s="50" t="n">
        <f aca="false">SUM(J10:J40)</f>
        <v>4.17469120241996</v>
      </c>
      <c r="K42" s="50" t="n">
        <f aca="false">SUM(K10:K40)</f>
        <v>2220.17469120242</v>
      </c>
      <c r="L42" s="50" t="n">
        <f aca="false">SUM(L10:L40)</f>
        <v>-14.027980841946</v>
      </c>
      <c r="M42" s="50" t="n">
        <f aca="false">SUM(M10:M40)</f>
        <v>131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131</v>
      </c>
      <c r="Q42" s="50" t="n">
        <f aca="false">SUM(Q10:Q40)</f>
        <v>0</v>
      </c>
      <c r="R42" s="50" t="n">
        <f aca="false">SUM(R10:R40)</f>
        <v>0</v>
      </c>
      <c r="S42" s="50" t="n">
        <f aca="false">SUM(S10:S40)</f>
        <v>131</v>
      </c>
      <c r="T42" s="50"/>
      <c r="U42" s="50" t="n">
        <f aca="false">SUM(U10:U40)</f>
        <v>0</v>
      </c>
      <c r="V42" s="50" t="n">
        <f aca="false">SUM(V10:V40)</f>
        <v>2438</v>
      </c>
      <c r="W42" s="50" t="n">
        <f aca="false">SUM(W10:W40)</f>
        <v>2569</v>
      </c>
      <c r="X42" s="50" t="n">
        <f aca="false">SUM(X10:X40)</f>
        <v>18.202672044366</v>
      </c>
      <c r="Y42" s="50" t="n">
        <f aca="false">SUM(Y10:Y40)</f>
        <v>2587.20267204437</v>
      </c>
      <c r="Z42" s="51" t="n">
        <f aca="false">SUM(Z10:Z40)</f>
        <v>1.09</v>
      </c>
      <c r="AA42" s="54" t="n">
        <f aca="false">AVERAGE(AA10:AA40)</f>
        <v>36.0322580645161</v>
      </c>
      <c r="AB42" s="54" t="n">
        <f aca="false">AVERAGE(AB10:AB40)</f>
        <v>14.5161290322581</v>
      </c>
      <c r="AC42" s="55" t="s">
        <v>45</v>
      </c>
    </row>
    <row r="43" customFormat="false" ht="11.1" hidden="false" customHeight="true" outlineLevel="0" collapsed="false">
      <c r="A43" s="49" t="s">
        <v>46</v>
      </c>
      <c r="B43" s="49"/>
      <c r="C43" s="50"/>
      <c r="D43" s="50" t="n">
        <f aca="false">SUM(D10:D40)</f>
        <v>-728</v>
      </c>
      <c r="E43" s="50"/>
      <c r="F43" s="50" t="n">
        <f aca="false">F42*$D$2</f>
        <v>-728</v>
      </c>
      <c r="G43" s="50" t="n">
        <f aca="false">G42*$D$2</f>
        <v>4395.436</v>
      </c>
      <c r="H43" s="51" t="n">
        <f aca="false">H42*$D$2</f>
        <v>0</v>
      </c>
      <c r="I43" s="50" t="n">
        <f aca="false">I42*$D$2</f>
        <v>4395.436</v>
      </c>
      <c r="J43" s="50" t="n">
        <f aca="false">J42*$D$2</f>
        <v>8.2805</v>
      </c>
      <c r="K43" s="50" t="n">
        <f aca="false">K42*$D$2</f>
        <v>4403.7165</v>
      </c>
      <c r="L43" s="50" t="n">
        <f aca="false">L42*$D$2</f>
        <v>-27.8245</v>
      </c>
      <c r="M43" s="50" t="n">
        <f aca="false">M42*$D$2</f>
        <v>259.8385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259.8385</v>
      </c>
      <c r="Q43" s="50" t="n">
        <f aca="false">Q42*$D$2</f>
        <v>0</v>
      </c>
      <c r="R43" s="50" t="n">
        <f aca="false">R42*$D$2</f>
        <v>0</v>
      </c>
      <c r="S43" s="50" t="n">
        <f aca="false">S42*$D$2</f>
        <v>259.8385</v>
      </c>
      <c r="T43" s="50"/>
      <c r="U43" s="50" t="n">
        <f aca="false">U42*$D$2</f>
        <v>0</v>
      </c>
      <c r="V43" s="50" t="n">
        <f aca="false">V42*$D$2</f>
        <v>4835.773</v>
      </c>
      <c r="W43" s="50" t="n">
        <f aca="false">W42*$D$2</f>
        <v>5095.6115</v>
      </c>
      <c r="X43" s="50" t="n">
        <f aca="false">X42*$D$2</f>
        <v>36.105</v>
      </c>
      <c r="Y43" s="50" t="n">
        <f aca="false">Y42*$D$2</f>
        <v>5131.7165</v>
      </c>
      <c r="Z43" s="51"/>
      <c r="AA43" s="54" t="n">
        <f aca="false">MAX(AA10:AA40)</f>
        <v>53</v>
      </c>
      <c r="AB43" s="54" t="n">
        <f aca="false">MAX(AB10:AB40)</f>
        <v>29</v>
      </c>
      <c r="AC43" s="55" t="s">
        <v>47</v>
      </c>
    </row>
    <row r="44" customFormat="false" ht="3" hidden="false" customHeight="true" outlineLevel="0" collapsed="false">
      <c r="A44" s="70"/>
      <c r="B44" s="70"/>
      <c r="C44" s="72"/>
      <c r="D44" s="72"/>
      <c r="E44" s="72"/>
      <c r="F44" s="72"/>
      <c r="G44" s="72"/>
      <c r="H44" s="73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1"/>
      <c r="AA44" s="54"/>
      <c r="AB44" s="54"/>
      <c r="AC44" s="55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/>
      <c r="G45" s="50"/>
      <c r="H45" s="51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54" t="n">
        <f aca="false">MIN(AA10:AA40)</f>
        <v>19</v>
      </c>
      <c r="AB45" s="54" t="n">
        <f aca="false">MIN(AB10:AB40)</f>
        <v>0</v>
      </c>
      <c r="AC45" s="55" t="s">
        <v>49</v>
      </c>
    </row>
    <row r="46" customFormat="false" ht="11.1" hidden="false" customHeight="true" outlineLevel="0" collapsed="false">
      <c r="A46" s="49" t="s">
        <v>50</v>
      </c>
      <c r="B46" s="49"/>
      <c r="C46" s="50"/>
      <c r="D46" s="50"/>
      <c r="E46" s="50"/>
      <c r="F46" s="50"/>
      <c r="G46" s="50"/>
      <c r="H46" s="51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54"/>
      <c r="AB46" s="54"/>
      <c r="AC46" s="55"/>
    </row>
    <row r="47" customFormat="false" ht="3" hidden="false" customHeight="true" outlineLevel="0" collapsed="false">
      <c r="A47" s="70"/>
      <c r="B47" s="70"/>
      <c r="C47" s="72"/>
      <c r="D47" s="72"/>
      <c r="E47" s="72"/>
      <c r="F47" s="72"/>
      <c r="G47" s="72"/>
      <c r="H47" s="73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54"/>
      <c r="AB47" s="54"/>
      <c r="AC47" s="55"/>
    </row>
    <row r="48" customFormat="false" ht="11.1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61.0032770355433</v>
      </c>
      <c r="G48" s="50" t="n">
        <f aca="false">G8+G42</f>
        <v>6300</v>
      </c>
      <c r="H48" s="51" t="n">
        <f aca="false">H8+H42</f>
        <v>0</v>
      </c>
      <c r="I48" s="50" t="n">
        <f aca="false">I8+I42</f>
        <v>6300</v>
      </c>
      <c r="J48" s="50" t="n">
        <f aca="false">J8+J42</f>
        <v>901.938996722964</v>
      </c>
      <c r="K48" s="50" t="n">
        <f aca="false">K8+K42</f>
        <v>7201.93899672297</v>
      </c>
      <c r="L48" s="50" t="n">
        <f aca="false">L8+L42</f>
        <v>-3.99672296445675</v>
      </c>
      <c r="M48" s="50" t="n">
        <f aca="false">M8+M42</f>
        <v>782</v>
      </c>
      <c r="N48" s="50" t="n">
        <f aca="false">N8+N42</f>
        <v>0</v>
      </c>
      <c r="O48" s="50" t="n">
        <f aca="false">O8+O42</f>
        <v>0</v>
      </c>
      <c r="P48" s="50" t="n">
        <f aca="false">P8+P42</f>
        <v>782</v>
      </c>
      <c r="Q48" s="50" t="n">
        <f aca="false">Q8+Q42</f>
        <v>533</v>
      </c>
      <c r="R48" s="50" t="n">
        <f aca="false">R8+R42</f>
        <v>104</v>
      </c>
      <c r="S48" s="50" t="n">
        <f aca="false">S8+S42</f>
        <v>1419</v>
      </c>
      <c r="T48" s="50"/>
      <c r="U48" s="50" t="n">
        <f aca="false">U8+U42</f>
        <v>0</v>
      </c>
      <c r="V48" s="50" t="n">
        <f aca="false">V8+V42</f>
        <v>4816</v>
      </c>
      <c r="W48" s="50" t="n">
        <f aca="false">W8+W42</f>
        <v>6235</v>
      </c>
      <c r="X48" s="50" t="n">
        <f aca="false">X8+X42</f>
        <v>905.935719687421</v>
      </c>
      <c r="Y48" s="50" t="n">
        <f aca="false">Y8+Y42</f>
        <v>7140.93571968742</v>
      </c>
      <c r="Z48" s="51" t="n">
        <f aca="false">Z8+Z42</f>
        <v>4.14</v>
      </c>
      <c r="AA48" s="54"/>
      <c r="AB48" s="54"/>
      <c r="AC48" s="55"/>
    </row>
    <row r="49" customFormat="false" ht="11.1" hidden="false" customHeight="true" outlineLevel="0" collapsed="false">
      <c r="A49" s="49" t="s">
        <v>52</v>
      </c>
      <c r="B49" s="49"/>
      <c r="C49" s="50"/>
      <c r="D49" s="50" t="n">
        <f aca="false">D8+D43</f>
        <v>121</v>
      </c>
      <c r="E49" s="50" t="n">
        <f aca="false">E40</f>
        <v>174242</v>
      </c>
      <c r="F49" s="50" t="n">
        <f aca="false">F48*$D$2</f>
        <v>121</v>
      </c>
      <c r="G49" s="50" t="n">
        <f aca="false">G48*$D$2</f>
        <v>12496.05</v>
      </c>
      <c r="H49" s="51" t="n">
        <f aca="false">H48*$D$2</f>
        <v>0</v>
      </c>
      <c r="I49" s="50" t="n">
        <f aca="false">I48*$D$2</f>
        <v>12496.05</v>
      </c>
      <c r="J49" s="50" t="n">
        <f aca="false">J48*$D$2</f>
        <v>1788.996</v>
      </c>
      <c r="K49" s="50" t="n">
        <f aca="false">K48*$D$2</f>
        <v>14285.046</v>
      </c>
      <c r="L49" s="50" t="n">
        <f aca="false">L48*$D$2</f>
        <v>-7.92749999999997</v>
      </c>
      <c r="M49" s="50" t="n">
        <f aca="false">M48*$D$2</f>
        <v>1551.097</v>
      </c>
      <c r="N49" s="50" t="n">
        <f aca="false">N48*$D$2</f>
        <v>0</v>
      </c>
      <c r="O49" s="50" t="n">
        <f aca="false">O48*$D$2</f>
        <v>0</v>
      </c>
      <c r="P49" s="50" t="n">
        <f aca="false">P48*$D$2</f>
        <v>1551.097</v>
      </c>
      <c r="Q49" s="50" t="n">
        <f aca="false">Q48*$D$2</f>
        <v>1057.2055</v>
      </c>
      <c r="R49" s="50" t="n">
        <f aca="false">R48*$D$2</f>
        <v>206.284</v>
      </c>
      <c r="S49" s="50" t="n">
        <f aca="false">S48*$D$2</f>
        <v>2814.5865</v>
      </c>
      <c r="T49" s="50" t="n">
        <f aca="false">T48*$D$2</f>
        <v>0</v>
      </c>
      <c r="U49" s="50" t="n">
        <f aca="false">U48*$D$2</f>
        <v>0</v>
      </c>
      <c r="V49" s="50" t="n">
        <f aca="false">V48*$D$2</f>
        <v>9552.536</v>
      </c>
      <c r="W49" s="50" t="n">
        <f aca="false">W48*$D$2</f>
        <v>12367.1225</v>
      </c>
      <c r="X49" s="50" t="n">
        <f aca="false">X48*$D$2</f>
        <v>1796.9235</v>
      </c>
      <c r="Y49" s="50" t="n">
        <f aca="false">Y48*$D$2</f>
        <v>14164.046</v>
      </c>
      <c r="Z49" s="51"/>
      <c r="AA49" s="54"/>
      <c r="AB49" s="54"/>
      <c r="AC49" s="55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73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1"/>
      <c r="AA50" s="54"/>
      <c r="AB50" s="54"/>
      <c r="AC50" s="55"/>
    </row>
    <row r="51" customFormat="false" ht="11.1" hidden="false" customHeight="true" outlineLevel="0" collapsed="false">
      <c r="A51" s="49"/>
      <c r="B51" s="79"/>
      <c r="C51" s="50"/>
      <c r="D51" s="49"/>
      <c r="E51" s="50"/>
      <c r="F51" s="49"/>
      <c r="G51" s="49"/>
      <c r="H51" s="51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  <c r="Y51" s="49"/>
      <c r="Z51" s="51"/>
      <c r="AA51" s="54"/>
      <c r="AB51" s="54"/>
      <c r="AC51" s="55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49"/>
      <c r="H52" s="51"/>
      <c r="I52" s="80"/>
      <c r="J52" s="49"/>
      <c r="K52" s="39"/>
      <c r="L52" s="49"/>
      <c r="M52" s="49"/>
      <c r="N52" s="49"/>
      <c r="O52" s="49"/>
      <c r="P52" s="49"/>
      <c r="Q52" s="49"/>
      <c r="R52" s="49"/>
      <c r="S52" s="49"/>
      <c r="T52" s="50"/>
      <c r="U52" s="49"/>
      <c r="V52" s="49"/>
      <c r="W52" s="49"/>
      <c r="X52" s="49"/>
      <c r="Y52" s="49"/>
      <c r="Z52" s="51"/>
      <c r="AA52" s="54"/>
      <c r="AB52" s="54"/>
      <c r="AC52" s="55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51"/>
      <c r="I53" s="77"/>
      <c r="J53" s="77"/>
      <c r="K53" s="77"/>
      <c r="L53" s="77"/>
      <c r="M53" s="76"/>
      <c r="N53" s="76"/>
      <c r="O53" s="76"/>
      <c r="P53" s="76"/>
      <c r="Q53" s="77"/>
      <c r="R53" s="77"/>
      <c r="S53" s="77"/>
      <c r="T53" s="50"/>
      <c r="U53" s="77"/>
      <c r="V53" s="77"/>
      <c r="W53" s="77"/>
      <c r="X53" s="77"/>
      <c r="Y53" s="77"/>
      <c r="Z53" s="51"/>
      <c r="AA53" s="54"/>
      <c r="AB53" s="54"/>
      <c r="AC53" s="55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51"/>
      <c r="I54" s="77"/>
      <c r="J54" s="77"/>
      <c r="K54" s="77"/>
      <c r="L54" s="77"/>
      <c r="M54" s="76"/>
      <c r="N54" s="76"/>
      <c r="O54" s="76"/>
      <c r="P54" s="77"/>
      <c r="Q54" s="77"/>
      <c r="R54" s="77"/>
      <c r="S54" s="50"/>
      <c r="T54" s="77"/>
      <c r="U54" s="77"/>
      <c r="V54" s="50"/>
      <c r="W54" s="77"/>
      <c r="X54" s="77"/>
      <c r="Y54" s="53"/>
      <c r="Z54" s="51"/>
      <c r="AA54" s="54"/>
      <c r="AB54" s="55"/>
    </row>
    <row r="55" customFormat="false" ht="11.1" hidden="false" customHeight="true" outlineLevel="0" collapsed="false">
      <c r="A55" s="77"/>
      <c r="B55" s="77"/>
      <c r="C55" s="50"/>
      <c r="D55" s="77"/>
      <c r="E55" s="50"/>
      <c r="F55" s="77"/>
      <c r="G55" s="81"/>
      <c r="H55" s="51"/>
      <c r="I55" s="77"/>
      <c r="J55" s="77"/>
      <c r="K55" s="77"/>
      <c r="L55" s="77"/>
      <c r="M55" s="76"/>
      <c r="N55" s="76"/>
      <c r="O55" s="76"/>
      <c r="P55" s="77"/>
      <c r="Q55" s="77"/>
      <c r="R55" s="77"/>
      <c r="S55" s="50"/>
      <c r="T55" s="77"/>
      <c r="U55" s="77"/>
      <c r="V55" s="50"/>
      <c r="W55" s="77"/>
      <c r="X55" s="77"/>
      <c r="Y55" s="53"/>
      <c r="Z55" s="51"/>
      <c r="AA55" s="54"/>
      <c r="AB55" s="55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44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4.6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51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51"/>
      <c r="I2" s="49"/>
      <c r="J2" s="49"/>
      <c r="K2" s="57" t="s">
        <v>55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51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61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56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61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56</v>
      </c>
      <c r="AD5" s="82"/>
      <c r="AE5" s="82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68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  <c r="AD6" s="83"/>
      <c r="AE6" s="83"/>
      <c r="AF6" s="84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/>
      <c r="G7" s="50"/>
      <c r="H7" s="5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DEC!B40</f>
        <v>6911.06</v>
      </c>
      <c r="C8" s="50" t="n">
        <f aca="false">DEC!C40</f>
        <v>326242</v>
      </c>
      <c r="D8" s="50" t="n">
        <f aca="false">DEC!$D$49</f>
        <v>121</v>
      </c>
      <c r="E8" s="50" t="n">
        <f aca="false">DEC!$E$40</f>
        <v>174242</v>
      </c>
      <c r="F8" s="50" t="n">
        <f aca="false">DEC!F48</f>
        <v>61.0032770355433</v>
      </c>
      <c r="G8" s="50" t="n">
        <f aca="false">DEC!G48</f>
        <v>6300</v>
      </c>
      <c r="H8" s="51" t="n">
        <f aca="false">DEC!H48</f>
        <v>0</v>
      </c>
      <c r="I8" s="50" t="n">
        <f aca="false">DEC!I48</f>
        <v>6300</v>
      </c>
      <c r="J8" s="50" t="n">
        <f aca="false">DEC!J48</f>
        <v>901.938996722964</v>
      </c>
      <c r="K8" s="50" t="n">
        <f aca="false">DEC!K48</f>
        <v>7201.93899672297</v>
      </c>
      <c r="L8" s="50" t="n">
        <f aca="false">DEC!L48</f>
        <v>-3.99672296445675</v>
      </c>
      <c r="M8" s="50" t="n">
        <f aca="false">DEC!M48</f>
        <v>782</v>
      </c>
      <c r="N8" s="50" t="n">
        <f aca="false">DEC!N48</f>
        <v>0</v>
      </c>
      <c r="O8" s="50" t="n">
        <f aca="false">DEC!O48</f>
        <v>0</v>
      </c>
      <c r="P8" s="50" t="n">
        <f aca="false">DEC!P48</f>
        <v>782</v>
      </c>
      <c r="Q8" s="50" t="n">
        <f aca="false">DEC!Q48</f>
        <v>533</v>
      </c>
      <c r="R8" s="50" t="n">
        <f aca="false">DEC!R48</f>
        <v>104</v>
      </c>
      <c r="S8" s="50" t="n">
        <f aca="false">DEC!S48</f>
        <v>1419</v>
      </c>
      <c r="T8" s="50" t="n">
        <f aca="false">DEC!T48</f>
        <v>0</v>
      </c>
      <c r="U8" s="50" t="n">
        <f aca="false">DEC!U48</f>
        <v>0</v>
      </c>
      <c r="V8" s="50" t="n">
        <f aca="false">DEC!V48</f>
        <v>4816</v>
      </c>
      <c r="W8" s="50" t="n">
        <f aca="false">DEC!W48</f>
        <v>6235</v>
      </c>
      <c r="X8" s="50" t="n">
        <f aca="false">DEC!X48</f>
        <v>905.935719687421</v>
      </c>
      <c r="Y8" s="50" t="n">
        <f aca="false">DEC!Y48</f>
        <v>7140.93571968742</v>
      </c>
      <c r="Z8" s="51" t="n">
        <f aca="false">DEC!Z48</f>
        <v>4.14</v>
      </c>
      <c r="AA8" s="54"/>
      <c r="AB8" s="54"/>
      <c r="AC8" s="55"/>
      <c r="AD8" s="85"/>
      <c r="AE8" s="83"/>
      <c r="AF8" s="8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73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6911.05</v>
      </c>
      <c r="C10" s="50" t="n">
        <v>326202</v>
      </c>
      <c r="D10" s="54" t="n">
        <f aca="false">C10-C8</f>
        <v>-40</v>
      </c>
      <c r="E10" s="50" t="n">
        <f aca="false">C10-152000</f>
        <v>174202</v>
      </c>
      <c r="F10" s="49" t="n">
        <f aca="false">D10/$D$2</f>
        <v>-20.1663725737333</v>
      </c>
      <c r="G10" s="49" t="n">
        <v>64</v>
      </c>
      <c r="H10" s="51" t="n">
        <v>0</v>
      </c>
      <c r="I10" s="49" t="n">
        <f aca="false">G10+H10</f>
        <v>64</v>
      </c>
      <c r="J10" s="76" t="n">
        <f aca="false">IF(L10&gt;0,L10,0)</f>
        <v>0</v>
      </c>
      <c r="K10" s="49" t="n">
        <f aca="false">I10+J10</f>
        <v>64</v>
      </c>
      <c r="L10" s="49" t="n">
        <f aca="false">F10-(I10-W10)</f>
        <v>-0.166372573733298</v>
      </c>
      <c r="M10" s="49" t="n">
        <v>5</v>
      </c>
      <c r="N10" s="49"/>
      <c r="O10" s="49" t="n">
        <v>0</v>
      </c>
      <c r="P10" s="6" t="n">
        <f aca="false">M10-(N10+O10)</f>
        <v>5</v>
      </c>
      <c r="Q10" s="49" t="n">
        <v>0</v>
      </c>
      <c r="R10" s="49" t="n">
        <v>0</v>
      </c>
      <c r="S10" s="49" t="n">
        <f aca="false">SUM(P10:R10)</f>
        <v>5</v>
      </c>
      <c r="T10" s="50"/>
      <c r="U10" s="49" t="n">
        <v>0</v>
      </c>
      <c r="V10" s="49" t="n">
        <v>79</v>
      </c>
      <c r="W10" s="6" t="n">
        <f aca="false">N10+O10+S10+U10+V10</f>
        <v>84</v>
      </c>
      <c r="X10" s="49" t="n">
        <f aca="false">IF(L10&lt;0,L10*-1,0)</f>
        <v>0.166372573733298</v>
      </c>
      <c r="Y10" s="49" t="n">
        <f aca="false">W10+X10</f>
        <v>84.1663725737333</v>
      </c>
      <c r="Z10" s="51" t="n">
        <v>0</v>
      </c>
      <c r="AA10" s="54" t="n">
        <v>28</v>
      </c>
      <c r="AB10" s="54" t="n">
        <v>-1</v>
      </c>
      <c r="AC10" s="55" t="n">
        <v>1</v>
      </c>
      <c r="AD10" s="84"/>
      <c r="AE10" s="85"/>
      <c r="AF10" s="84"/>
    </row>
    <row r="11" customFormat="false" ht="11.1" hidden="false" customHeight="true" outlineLevel="0" collapsed="false">
      <c r="A11" s="55" t="n">
        <f aca="false">A10+1</f>
        <v>2</v>
      </c>
      <c r="B11" s="69" t="n">
        <v>6911.04</v>
      </c>
      <c r="C11" s="50" t="n">
        <v>326161</v>
      </c>
      <c r="D11" s="54" t="n">
        <f aca="false">C11-C10</f>
        <v>-41</v>
      </c>
      <c r="E11" s="50" t="n">
        <f aca="false">C11-152000</f>
        <v>174161</v>
      </c>
      <c r="F11" s="49" t="n">
        <f aca="false">D11/$D$2</f>
        <v>-20.6705318880766</v>
      </c>
      <c r="G11" s="49" t="n">
        <v>64</v>
      </c>
      <c r="H11" s="51" t="n">
        <v>0</v>
      </c>
      <c r="I11" s="49" t="n">
        <f aca="false">G11+H11</f>
        <v>64</v>
      </c>
      <c r="J11" s="76" t="n">
        <f aca="false">IF(L11&gt;0,L11,0)</f>
        <v>0</v>
      </c>
      <c r="K11" s="49" t="n">
        <f aca="false">I11+J11</f>
        <v>64</v>
      </c>
      <c r="L11" s="49" t="n">
        <f aca="false">F11-(I11-W11)</f>
        <v>-0.670531888076631</v>
      </c>
      <c r="M11" s="49" t="n">
        <v>5</v>
      </c>
      <c r="N11" s="49"/>
      <c r="O11" s="49" t="n">
        <v>0</v>
      </c>
      <c r="P11" s="6" t="n">
        <f aca="false">M11-(N11+O11)</f>
        <v>5</v>
      </c>
      <c r="Q11" s="49" t="n">
        <v>0</v>
      </c>
      <c r="R11" s="49" t="n">
        <v>0</v>
      </c>
      <c r="S11" s="49" t="n">
        <f aca="false">SUM(P11:R11)</f>
        <v>5</v>
      </c>
      <c r="T11" s="50"/>
      <c r="U11" s="49" t="n">
        <v>0</v>
      </c>
      <c r="V11" s="49" t="n">
        <v>79</v>
      </c>
      <c r="W11" s="6" t="n">
        <f aca="false">N11+O11+S11+U11+V11</f>
        <v>84</v>
      </c>
      <c r="X11" s="49" t="n">
        <f aca="false">IF(L11&lt;0,L11*-1,0)</f>
        <v>0.670531888076631</v>
      </c>
      <c r="Y11" s="49" t="n">
        <f aca="false">W11+X11</f>
        <v>84.6705318880766</v>
      </c>
      <c r="Z11" s="51" t="n">
        <v>0</v>
      </c>
      <c r="AA11" s="54" t="n">
        <v>26</v>
      </c>
      <c r="AB11" s="54" t="n">
        <v>0</v>
      </c>
      <c r="AC11" s="55" t="n">
        <f aca="false">AC10+1</f>
        <v>2</v>
      </c>
      <c r="AD11" s="84"/>
      <c r="AE11" s="85"/>
      <c r="AF11" s="84"/>
    </row>
    <row r="12" customFormat="false" ht="11.1" hidden="false" customHeight="true" outlineLevel="0" collapsed="false">
      <c r="A12" s="55" t="n">
        <f aca="false">A11+1</f>
        <v>3</v>
      </c>
      <c r="B12" s="69" t="n">
        <v>6911.03</v>
      </c>
      <c r="C12" s="50" t="n">
        <v>326121</v>
      </c>
      <c r="D12" s="54" t="n">
        <f aca="false">C12-C11</f>
        <v>-40</v>
      </c>
      <c r="E12" s="50" t="n">
        <f aca="false">C12-152000</f>
        <v>174121</v>
      </c>
      <c r="F12" s="49" t="n">
        <f aca="false">D12/$D$2</f>
        <v>-20.1663725737333</v>
      </c>
      <c r="G12" s="49" t="n">
        <v>63</v>
      </c>
      <c r="H12" s="51" t="n">
        <v>0</v>
      </c>
      <c r="I12" s="49" t="n">
        <f aca="false">G12+H12</f>
        <v>63</v>
      </c>
      <c r="J12" s="76" t="n">
        <f aca="false">IF(L12&gt;0,L12,0)</f>
        <v>0.833627426266702</v>
      </c>
      <c r="K12" s="49" t="n">
        <f aca="false">I12+J12</f>
        <v>63.8336274262667</v>
      </c>
      <c r="L12" s="49" t="n">
        <f aca="false">F12-(I12-W12)</f>
        <v>0.833627426266702</v>
      </c>
      <c r="M12" s="49" t="n">
        <v>5</v>
      </c>
      <c r="N12" s="49"/>
      <c r="O12" s="49" t="n">
        <v>0</v>
      </c>
      <c r="P12" s="6" t="n">
        <f aca="false">M12-(N12+O12)</f>
        <v>5</v>
      </c>
      <c r="Q12" s="49" t="n">
        <v>0</v>
      </c>
      <c r="R12" s="49" t="n">
        <v>0</v>
      </c>
      <c r="S12" s="49" t="n">
        <f aca="false">SUM(P12:R12)</f>
        <v>5</v>
      </c>
      <c r="T12" s="50"/>
      <c r="U12" s="49" t="n">
        <v>0</v>
      </c>
      <c r="V12" s="49" t="n">
        <v>79</v>
      </c>
      <c r="W12" s="6" t="n">
        <f aca="false">N12+O12+S12+U12+V12</f>
        <v>84</v>
      </c>
      <c r="X12" s="49" t="n">
        <f aca="false">IF(L12&lt;0,L12*-1,0)</f>
        <v>0</v>
      </c>
      <c r="Y12" s="49" t="n">
        <f aca="false">W12+X12</f>
        <v>84</v>
      </c>
      <c r="Z12" s="51" t="n">
        <v>0</v>
      </c>
      <c r="AA12" s="54" t="n">
        <v>30</v>
      </c>
      <c r="AB12" s="54" t="n">
        <v>-3</v>
      </c>
      <c r="AC12" s="55" t="n">
        <f aca="false">AC11+1</f>
        <v>3</v>
      </c>
      <c r="AD12" s="84"/>
      <c r="AE12" s="85"/>
      <c r="AF12" s="84"/>
    </row>
    <row r="13" customFormat="false" ht="11.1" hidden="false" customHeight="true" outlineLevel="0" collapsed="false">
      <c r="A13" s="55" t="n">
        <f aca="false">A12+1</f>
        <v>4</v>
      </c>
      <c r="B13" s="69" t="n">
        <v>6911.02</v>
      </c>
      <c r="C13" s="50" t="n">
        <v>326080</v>
      </c>
      <c r="D13" s="54" t="n">
        <f aca="false">C13-C12</f>
        <v>-41</v>
      </c>
      <c r="E13" s="50" t="n">
        <f aca="false">C13-152000</f>
        <v>174080</v>
      </c>
      <c r="F13" s="49" t="n">
        <f aca="false">D13/$D$2</f>
        <v>-20.6705318880766</v>
      </c>
      <c r="G13" s="49" t="n">
        <v>63</v>
      </c>
      <c r="H13" s="51" t="n">
        <v>0</v>
      </c>
      <c r="I13" s="49" t="n">
        <f aca="false">G13+H13</f>
        <v>63</v>
      </c>
      <c r="J13" s="76" t="n">
        <f aca="false">IF(L13&gt;0,L13,0)</f>
        <v>0.329468111923369</v>
      </c>
      <c r="K13" s="49" t="n">
        <f aca="false">I13+J13</f>
        <v>63.3294681119234</v>
      </c>
      <c r="L13" s="49" t="n">
        <f aca="false">F13-(I13-W13)</f>
        <v>0.329468111923369</v>
      </c>
      <c r="M13" s="49" t="n">
        <v>5</v>
      </c>
      <c r="N13" s="49"/>
      <c r="O13" s="49" t="n">
        <v>0</v>
      </c>
      <c r="P13" s="6" t="n">
        <f aca="false">M13-(N13+O13)</f>
        <v>5</v>
      </c>
      <c r="Q13" s="49" t="n">
        <v>0</v>
      </c>
      <c r="R13" s="49" t="n">
        <v>0</v>
      </c>
      <c r="S13" s="49" t="n">
        <f aca="false">SUM(P13:R13)</f>
        <v>5</v>
      </c>
      <c r="T13" s="50"/>
      <c r="U13" s="49" t="n">
        <v>0</v>
      </c>
      <c r="V13" s="49" t="n">
        <v>79</v>
      </c>
      <c r="W13" s="6" t="n">
        <f aca="false">N13+O13+S13+U13+V13</f>
        <v>84</v>
      </c>
      <c r="X13" s="49" t="n">
        <f aca="false">IF(L13&lt;0,L13*-1,0)</f>
        <v>0</v>
      </c>
      <c r="Y13" s="49" t="n">
        <f aca="false">W13+X13</f>
        <v>84</v>
      </c>
      <c r="Z13" s="51" t="n">
        <v>0.18</v>
      </c>
      <c r="AA13" s="54" t="n">
        <v>27</v>
      </c>
      <c r="AB13" s="54" t="n">
        <v>20</v>
      </c>
      <c r="AC13" s="55" t="n">
        <f aca="false">AC12+1</f>
        <v>4</v>
      </c>
      <c r="AD13" s="84"/>
      <c r="AE13" s="85"/>
      <c r="AF13" s="84"/>
    </row>
    <row r="14" customFormat="false" ht="11.1" hidden="false" customHeight="true" outlineLevel="0" collapsed="false">
      <c r="A14" s="55" t="n">
        <f aca="false">A13+1</f>
        <v>5</v>
      </c>
      <c r="B14" s="69" t="n">
        <v>6911.01</v>
      </c>
      <c r="C14" s="50" t="n">
        <v>326040</v>
      </c>
      <c r="D14" s="54" t="n">
        <f aca="false">C14-C13</f>
        <v>-40</v>
      </c>
      <c r="E14" s="50" t="n">
        <f aca="false">C14-152000</f>
        <v>174040</v>
      </c>
      <c r="F14" s="49" t="n">
        <f aca="false">D14/$D$2</f>
        <v>-20.1663725737333</v>
      </c>
      <c r="G14" s="49" t="n">
        <v>58</v>
      </c>
      <c r="H14" s="51" t="n">
        <v>0</v>
      </c>
      <c r="I14" s="49" t="n">
        <f aca="false">G14+H14</f>
        <v>58</v>
      </c>
      <c r="J14" s="76" t="n">
        <f aca="false">IF(L14&gt;0,L14,0)</f>
        <v>0.833627426266702</v>
      </c>
      <c r="K14" s="49" t="n">
        <f aca="false">I14+J14</f>
        <v>58.8336274262667</v>
      </c>
      <c r="L14" s="49" t="n">
        <f aca="false">F14-(I14-W14)</f>
        <v>0.833627426266702</v>
      </c>
      <c r="M14" s="49" t="n">
        <v>5</v>
      </c>
      <c r="N14" s="49"/>
      <c r="O14" s="49" t="n">
        <v>0</v>
      </c>
      <c r="P14" s="6" t="n">
        <f aca="false">M14-(N14+O14)</f>
        <v>5</v>
      </c>
      <c r="Q14" s="49" t="n">
        <v>0</v>
      </c>
      <c r="R14" s="49" t="n">
        <v>0</v>
      </c>
      <c r="S14" s="49" t="n">
        <f aca="false">SUM(P14:R14)</f>
        <v>5</v>
      </c>
      <c r="T14" s="50"/>
      <c r="U14" s="49" t="n">
        <v>0</v>
      </c>
      <c r="V14" s="49" t="n">
        <v>74</v>
      </c>
      <c r="W14" s="6" t="n">
        <f aca="false">N14+O14+S14+U14+V14</f>
        <v>79</v>
      </c>
      <c r="X14" s="49" t="n">
        <f aca="false">IF(L14&lt;0,L14*-1,0)</f>
        <v>0</v>
      </c>
      <c r="Y14" s="49" t="n">
        <f aca="false">W14+X14</f>
        <v>79</v>
      </c>
      <c r="Z14" s="51" t="n">
        <v>0.43</v>
      </c>
      <c r="AA14" s="54" t="n">
        <v>35</v>
      </c>
      <c r="AB14" s="54" t="n">
        <v>20</v>
      </c>
      <c r="AC14" s="55" t="n">
        <f aca="false">AC13+1</f>
        <v>5</v>
      </c>
      <c r="AD14" s="84"/>
      <c r="AE14" s="85"/>
      <c r="AF14" s="84"/>
    </row>
    <row r="15" customFormat="false" ht="11.1" hidden="false" customHeight="true" outlineLevel="0" collapsed="false">
      <c r="A15" s="55" t="n">
        <f aca="false">A14+1</f>
        <v>6</v>
      </c>
      <c r="B15" s="69" t="n">
        <v>6911</v>
      </c>
      <c r="C15" s="50" t="n">
        <v>325999</v>
      </c>
      <c r="D15" s="54" t="n">
        <f aca="false">C15-C14</f>
        <v>-41</v>
      </c>
      <c r="E15" s="50" t="n">
        <f aca="false">C15-152000</f>
        <v>173999</v>
      </c>
      <c r="F15" s="49" t="n">
        <f aca="false">D15/$D$2</f>
        <v>-20.6705318880766</v>
      </c>
      <c r="G15" s="49" t="n">
        <v>59</v>
      </c>
      <c r="H15" s="51" t="n">
        <v>0</v>
      </c>
      <c r="I15" s="49" t="n">
        <f aca="false">G15+H15</f>
        <v>59</v>
      </c>
      <c r="J15" s="76" t="n">
        <f aca="false">IF(L15&gt;0,L15,0)</f>
        <v>0</v>
      </c>
      <c r="K15" s="49" t="n">
        <f aca="false">I15+J15</f>
        <v>59</v>
      </c>
      <c r="L15" s="49" t="n">
        <f aca="false">F15-(I15-W15)</f>
        <v>-0.670531888076631</v>
      </c>
      <c r="M15" s="49" t="n">
        <v>4</v>
      </c>
      <c r="N15" s="49"/>
      <c r="O15" s="49" t="n">
        <v>0</v>
      </c>
      <c r="P15" s="6" t="n">
        <f aca="false">M15-(N15+O15)</f>
        <v>4</v>
      </c>
      <c r="Q15" s="49" t="n">
        <v>0</v>
      </c>
      <c r="R15" s="49" t="n">
        <v>0</v>
      </c>
      <c r="S15" s="49" t="n">
        <f aca="false">SUM(P15:R15)</f>
        <v>4</v>
      </c>
      <c r="T15" s="50"/>
      <c r="U15" s="49" t="n">
        <v>0</v>
      </c>
      <c r="V15" s="49" t="n">
        <v>75</v>
      </c>
      <c r="W15" s="6" t="n">
        <f aca="false">N15+O15+S15+U15+V15</f>
        <v>79</v>
      </c>
      <c r="X15" s="49" t="n">
        <f aca="false">IF(L15&lt;0,L15*-1,0)</f>
        <v>0.670531888076631</v>
      </c>
      <c r="Y15" s="49" t="n">
        <f aca="false">W15+X15</f>
        <v>79.6705318880766</v>
      </c>
      <c r="Z15" s="51" t="n">
        <v>0.49</v>
      </c>
      <c r="AA15" s="54" t="n">
        <v>33</v>
      </c>
      <c r="AB15" s="54" t="n">
        <v>21</v>
      </c>
      <c r="AC15" s="55" t="n">
        <f aca="false">AC14+1</f>
        <v>6</v>
      </c>
      <c r="AD15" s="83"/>
      <c r="AE15" s="85"/>
      <c r="AF15" s="84"/>
    </row>
    <row r="16" customFormat="false" ht="11.1" hidden="false" customHeight="true" outlineLevel="0" collapsed="false">
      <c r="A16" s="55" t="n">
        <f aca="false">A15+1</f>
        <v>7</v>
      </c>
      <c r="B16" s="69" t="n">
        <v>6910.99</v>
      </c>
      <c r="C16" s="50" t="n">
        <v>325959</v>
      </c>
      <c r="D16" s="54" t="n">
        <f aca="false">C16-C15</f>
        <v>-40</v>
      </c>
      <c r="E16" s="50" t="n">
        <f aca="false">C16-152000</f>
        <v>173959</v>
      </c>
      <c r="F16" s="49" t="n">
        <f aca="false">D16/$D$2</f>
        <v>-20.1663725737333</v>
      </c>
      <c r="G16" s="49" t="n">
        <v>59</v>
      </c>
      <c r="H16" s="51" t="n">
        <v>0</v>
      </c>
      <c r="I16" s="49" t="n">
        <f aca="false">G16+H16</f>
        <v>59</v>
      </c>
      <c r="J16" s="76" t="n">
        <f aca="false">IF(L16&gt;0,L16,0)</f>
        <v>0</v>
      </c>
      <c r="K16" s="49" t="n">
        <f aca="false">I16+J16</f>
        <v>59</v>
      </c>
      <c r="L16" s="49" t="n">
        <f aca="false">F16-(I16-W16)</f>
        <v>-0.166372573733298</v>
      </c>
      <c r="M16" s="49" t="n">
        <v>4</v>
      </c>
      <c r="N16" s="49"/>
      <c r="O16" s="49" t="n">
        <v>0</v>
      </c>
      <c r="P16" s="6" t="n">
        <f aca="false">M16-(N16+O16)</f>
        <v>4</v>
      </c>
      <c r="Q16" s="49" t="n">
        <v>0</v>
      </c>
      <c r="R16" s="49" t="n">
        <v>0</v>
      </c>
      <c r="S16" s="49" t="n">
        <f aca="false">SUM(P16:R16)</f>
        <v>4</v>
      </c>
      <c r="T16" s="50"/>
      <c r="U16" s="49" t="n">
        <v>0</v>
      </c>
      <c r="V16" s="49" t="n">
        <v>75</v>
      </c>
      <c r="W16" s="6" t="n">
        <f aca="false">N16+O16+S16+U16+V16</f>
        <v>79</v>
      </c>
      <c r="X16" s="49" t="n">
        <f aca="false">IF(L16&lt;0,L16*-1,0)</f>
        <v>0.166372573733298</v>
      </c>
      <c r="Y16" s="49" t="n">
        <f aca="false">W16+X16</f>
        <v>79.1663725737333</v>
      </c>
      <c r="Z16" s="51" t="n">
        <v>0</v>
      </c>
      <c r="AA16" s="54" t="n">
        <v>36</v>
      </c>
      <c r="AB16" s="54" t="n">
        <v>10</v>
      </c>
      <c r="AC16" s="55" t="n">
        <f aca="false">AC15+1</f>
        <v>7</v>
      </c>
      <c r="AD16" s="83"/>
      <c r="AE16" s="85"/>
      <c r="AF16" s="84"/>
    </row>
    <row r="17" customFormat="false" ht="11.1" hidden="false" customHeight="true" outlineLevel="0" collapsed="false">
      <c r="A17" s="55" t="n">
        <f aca="false">A16+1</f>
        <v>8</v>
      </c>
      <c r="B17" s="69" t="n">
        <v>6910.98</v>
      </c>
      <c r="C17" s="50" t="n">
        <v>325919</v>
      </c>
      <c r="D17" s="54" t="n">
        <f aca="false">C17-C16</f>
        <v>-40</v>
      </c>
      <c r="E17" s="50" t="n">
        <f aca="false">C17-152000</f>
        <v>173919</v>
      </c>
      <c r="F17" s="49" t="n">
        <f aca="false">D17/$D$2</f>
        <v>-20.1663725737333</v>
      </c>
      <c r="G17" s="49" t="n">
        <v>59</v>
      </c>
      <c r="H17" s="51" t="n">
        <v>0</v>
      </c>
      <c r="I17" s="49" t="n">
        <f aca="false">G17+H17</f>
        <v>59</v>
      </c>
      <c r="J17" s="76" t="n">
        <f aca="false">IF(L17&gt;0,L17,0)</f>
        <v>0</v>
      </c>
      <c r="K17" s="49" t="n">
        <f aca="false">I17+J17</f>
        <v>59</v>
      </c>
      <c r="L17" s="49" t="n">
        <f aca="false">F17-(I17-W17)</f>
        <v>-0.166372573733298</v>
      </c>
      <c r="M17" s="49" t="n">
        <v>4</v>
      </c>
      <c r="N17" s="49"/>
      <c r="O17" s="49" t="n">
        <v>0</v>
      </c>
      <c r="P17" s="6" t="n">
        <f aca="false">M17-(N17+O17)</f>
        <v>4</v>
      </c>
      <c r="Q17" s="49" t="n">
        <v>0</v>
      </c>
      <c r="R17" s="49" t="n">
        <v>0</v>
      </c>
      <c r="S17" s="49" t="n">
        <f aca="false">SUM(P17:R17)</f>
        <v>4</v>
      </c>
      <c r="T17" s="50"/>
      <c r="U17" s="49" t="n">
        <v>0</v>
      </c>
      <c r="V17" s="49" t="n">
        <v>75</v>
      </c>
      <c r="W17" s="6" t="n">
        <f aca="false">N17+O17+S17+U17+V17</f>
        <v>79</v>
      </c>
      <c r="X17" s="49" t="n">
        <f aca="false">IF(L17&lt;0,L17*-1,0)</f>
        <v>0.166372573733298</v>
      </c>
      <c r="Y17" s="49" t="n">
        <f aca="false">W17+X17</f>
        <v>79.1663725737333</v>
      </c>
      <c r="Z17" s="51" t="n">
        <v>0.09</v>
      </c>
      <c r="AA17" s="54" t="n">
        <v>32</v>
      </c>
      <c r="AB17" s="54" t="n">
        <v>5</v>
      </c>
      <c r="AC17" s="55" t="n">
        <f aca="false">AC16+1</f>
        <v>8</v>
      </c>
      <c r="AD17" s="83"/>
      <c r="AE17" s="85"/>
      <c r="AF17" s="84"/>
    </row>
    <row r="18" customFormat="false" ht="11.1" hidden="false" customHeight="true" outlineLevel="0" collapsed="false">
      <c r="A18" s="55" t="n">
        <f aca="false">A17+1</f>
        <v>9</v>
      </c>
      <c r="B18" s="69" t="n">
        <v>6910.97</v>
      </c>
      <c r="C18" s="50" t="n">
        <v>325879</v>
      </c>
      <c r="D18" s="54" t="n">
        <f aca="false">C18-C17</f>
        <v>-40</v>
      </c>
      <c r="E18" s="50" t="n">
        <f aca="false">C18-152000</f>
        <v>173879</v>
      </c>
      <c r="F18" s="49" t="n">
        <f aca="false">D18/$D$2</f>
        <v>-20.1663725737333</v>
      </c>
      <c r="G18" s="49" t="n">
        <v>59</v>
      </c>
      <c r="H18" s="51" t="n">
        <v>0</v>
      </c>
      <c r="I18" s="49" t="n">
        <f aca="false">G18+H18</f>
        <v>59</v>
      </c>
      <c r="J18" s="76" t="n">
        <f aca="false">IF(L18&gt;0,L18,0)</f>
        <v>0</v>
      </c>
      <c r="K18" s="49" t="n">
        <f aca="false">I18+J18</f>
        <v>59</v>
      </c>
      <c r="L18" s="49" t="n">
        <f aca="false">F18-(I18-W18)</f>
        <v>-0.166372573733298</v>
      </c>
      <c r="M18" s="49" t="n">
        <v>4</v>
      </c>
      <c r="N18" s="49"/>
      <c r="O18" s="49" t="n">
        <v>0</v>
      </c>
      <c r="P18" s="6" t="n">
        <f aca="false">M18-(N18+O18)</f>
        <v>4</v>
      </c>
      <c r="Q18" s="49" t="n">
        <v>0</v>
      </c>
      <c r="R18" s="49" t="n">
        <v>0</v>
      </c>
      <c r="S18" s="49" t="n">
        <f aca="false">SUM(P18:R18)</f>
        <v>4</v>
      </c>
      <c r="T18" s="50"/>
      <c r="U18" s="49" t="n">
        <v>0</v>
      </c>
      <c r="V18" s="49" t="n">
        <v>75</v>
      </c>
      <c r="W18" s="6" t="n">
        <f aca="false">N18+O18+S18+U18+V18</f>
        <v>79</v>
      </c>
      <c r="X18" s="49" t="n">
        <f aca="false">IF(L18&lt;0,L18*-1,0)</f>
        <v>0.166372573733298</v>
      </c>
      <c r="Y18" s="49" t="n">
        <f aca="false">W18+X18</f>
        <v>79.1663725737333</v>
      </c>
      <c r="Z18" s="51" t="n">
        <v>0</v>
      </c>
      <c r="AA18" s="77" t="n">
        <v>34</v>
      </c>
      <c r="AB18" s="54" t="n">
        <v>5</v>
      </c>
      <c r="AC18" s="55" t="n">
        <f aca="false">AC17+1</f>
        <v>9</v>
      </c>
      <c r="AD18" s="83"/>
      <c r="AE18" s="85"/>
      <c r="AF18" s="84"/>
    </row>
    <row r="19" customFormat="false" ht="11.1" hidden="false" customHeight="true" outlineLevel="0" collapsed="false">
      <c r="A19" s="55" t="n">
        <f aca="false">A18+1</f>
        <v>10</v>
      </c>
      <c r="B19" s="69" t="n">
        <v>6910.96</v>
      </c>
      <c r="C19" s="50" t="n">
        <v>325839</v>
      </c>
      <c r="D19" s="54" t="n">
        <f aca="false">C19-C18</f>
        <v>-40</v>
      </c>
      <c r="E19" s="50" t="n">
        <f aca="false">C19-152000</f>
        <v>173839</v>
      </c>
      <c r="F19" s="49" t="n">
        <f aca="false">D19/$D$2</f>
        <v>-20.1663725737333</v>
      </c>
      <c r="G19" s="49" t="n">
        <v>59</v>
      </c>
      <c r="H19" s="51" t="n">
        <v>0</v>
      </c>
      <c r="I19" s="49" t="n">
        <f aca="false">G19+H19</f>
        <v>59</v>
      </c>
      <c r="J19" s="76" t="n">
        <f aca="false">IF(L19&gt;0,L19,0)</f>
        <v>0</v>
      </c>
      <c r="K19" s="49" t="n">
        <f aca="false">I19+J19</f>
        <v>59</v>
      </c>
      <c r="L19" s="49" t="n">
        <f aca="false">F19-(I19-W19)</f>
        <v>-0.166372573733298</v>
      </c>
      <c r="M19" s="49" t="n">
        <v>4</v>
      </c>
      <c r="N19" s="49"/>
      <c r="O19" s="49" t="n">
        <v>0</v>
      </c>
      <c r="P19" s="6" t="n">
        <f aca="false">M19-(N19+O19)</f>
        <v>4</v>
      </c>
      <c r="Q19" s="49" t="n">
        <v>0</v>
      </c>
      <c r="R19" s="49" t="n">
        <v>0</v>
      </c>
      <c r="S19" s="49" t="n">
        <f aca="false">SUM(P19:R19)</f>
        <v>4</v>
      </c>
      <c r="T19" s="50"/>
      <c r="U19" s="49" t="n">
        <v>0</v>
      </c>
      <c r="V19" s="49" t="n">
        <v>75</v>
      </c>
      <c r="W19" s="6" t="n">
        <f aca="false">N19+O19+S19+U19+V19</f>
        <v>79</v>
      </c>
      <c r="X19" s="49" t="n">
        <f aca="false">IF(L19&lt;0,L19*-1,0)</f>
        <v>0.166372573733298</v>
      </c>
      <c r="Y19" s="49" t="n">
        <f aca="false">W19+X19</f>
        <v>79.1663725737333</v>
      </c>
      <c r="Z19" s="51" t="n">
        <v>0</v>
      </c>
      <c r="AA19" s="54" t="n">
        <v>36</v>
      </c>
      <c r="AB19" s="54" t="n">
        <v>14</v>
      </c>
      <c r="AC19" s="55" t="n">
        <f aca="false">AC18+1</f>
        <v>10</v>
      </c>
      <c r="AD19" s="83"/>
      <c r="AE19" s="85"/>
      <c r="AF19" s="84"/>
    </row>
    <row r="20" customFormat="false" ht="11.1" hidden="false" customHeight="true" outlineLevel="0" collapsed="false">
      <c r="A20" s="55" t="n">
        <f aca="false">A19+1</f>
        <v>11</v>
      </c>
      <c r="B20" s="69" t="n">
        <v>6910.95</v>
      </c>
      <c r="C20" s="50" t="n">
        <v>325799</v>
      </c>
      <c r="D20" s="54" t="n">
        <f aca="false">C20-C19</f>
        <v>-40</v>
      </c>
      <c r="E20" s="50" t="n">
        <f aca="false">C20-152000</f>
        <v>173799</v>
      </c>
      <c r="F20" s="49" t="n">
        <f aca="false">D20/$D$2</f>
        <v>-20.1663725737333</v>
      </c>
      <c r="G20" s="49" t="n">
        <v>60</v>
      </c>
      <c r="H20" s="51" t="n">
        <v>0</v>
      </c>
      <c r="I20" s="49" t="n">
        <f aca="false">G20+H20</f>
        <v>60</v>
      </c>
      <c r="J20" s="76" t="n">
        <f aca="false">IF(L20&gt;0,L20,0)</f>
        <v>0</v>
      </c>
      <c r="K20" s="49" t="n">
        <f aca="false">I20+J20</f>
        <v>60</v>
      </c>
      <c r="L20" s="49" t="n">
        <f aca="false">F20-(I20-W20)</f>
        <v>-0.166372573733298</v>
      </c>
      <c r="M20" s="49" t="n">
        <v>4</v>
      </c>
      <c r="N20" s="49"/>
      <c r="O20" s="49" t="n">
        <v>0</v>
      </c>
      <c r="P20" s="6" t="n">
        <f aca="false">M20-(N20+O20)</f>
        <v>4</v>
      </c>
      <c r="Q20" s="49" t="n">
        <v>0</v>
      </c>
      <c r="R20" s="49" t="n">
        <v>0</v>
      </c>
      <c r="S20" s="49" t="n">
        <f aca="false">SUM(P20:R20)</f>
        <v>4</v>
      </c>
      <c r="T20" s="50"/>
      <c r="U20" s="49" t="n">
        <v>0</v>
      </c>
      <c r="V20" s="49" t="n">
        <v>76</v>
      </c>
      <c r="W20" s="6" t="n">
        <f aca="false">N20+O20+S20+U20+V20</f>
        <v>80</v>
      </c>
      <c r="X20" s="49" t="n">
        <f aca="false">IF(L20&lt;0,L20*-1,0)</f>
        <v>0.166372573733298</v>
      </c>
      <c r="Y20" s="49" t="n">
        <f aca="false">W20+X20</f>
        <v>80.1663725737333</v>
      </c>
      <c r="Z20" s="51" t="n">
        <v>0</v>
      </c>
      <c r="AA20" s="54" t="n">
        <v>40</v>
      </c>
      <c r="AB20" s="54" t="n">
        <v>22</v>
      </c>
      <c r="AC20" s="55" t="n">
        <f aca="false">AC19+1</f>
        <v>11</v>
      </c>
      <c r="AD20" s="83"/>
      <c r="AE20" s="85"/>
      <c r="AF20" s="84"/>
    </row>
    <row r="21" customFormat="false" ht="11.1" hidden="false" customHeight="true" outlineLevel="0" collapsed="false">
      <c r="A21" s="55" t="n">
        <f aca="false">A20+1</f>
        <v>12</v>
      </c>
      <c r="B21" s="69" t="n">
        <v>6910.94</v>
      </c>
      <c r="C21" s="50" t="n">
        <v>325759</v>
      </c>
      <c r="D21" s="54" t="n">
        <f aca="false">C21-C20</f>
        <v>-40</v>
      </c>
      <c r="E21" s="50" t="n">
        <f aca="false">C21-152000</f>
        <v>173759</v>
      </c>
      <c r="F21" s="49" t="n">
        <f aca="false">D21/$D$2</f>
        <v>-20.1663725737333</v>
      </c>
      <c r="G21" s="49" t="n">
        <v>60</v>
      </c>
      <c r="H21" s="51" t="n">
        <v>0</v>
      </c>
      <c r="I21" s="49" t="n">
        <f aca="false">G21+H21</f>
        <v>60</v>
      </c>
      <c r="J21" s="76" t="n">
        <f aca="false">IF(L21&gt;0,L21,0)</f>
        <v>0</v>
      </c>
      <c r="K21" s="49" t="n">
        <f aca="false">I21+J21</f>
        <v>60</v>
      </c>
      <c r="L21" s="49" t="n">
        <f aca="false">F21-(I21-W21)</f>
        <v>-0.166372573733298</v>
      </c>
      <c r="M21" s="49" t="n">
        <v>4</v>
      </c>
      <c r="N21" s="49"/>
      <c r="O21" s="49" t="n">
        <v>0</v>
      </c>
      <c r="P21" s="6" t="n">
        <f aca="false">M21-(N21+O21)</f>
        <v>4</v>
      </c>
      <c r="Q21" s="49" t="n">
        <v>0</v>
      </c>
      <c r="R21" s="49" t="n">
        <v>0</v>
      </c>
      <c r="S21" s="49" t="n">
        <f aca="false">SUM(P21:R21)</f>
        <v>4</v>
      </c>
      <c r="T21" s="50"/>
      <c r="U21" s="49" t="n">
        <v>0</v>
      </c>
      <c r="V21" s="49" t="n">
        <v>76</v>
      </c>
      <c r="W21" s="6" t="n">
        <f aca="false">N21+O21+S21+U21+V21</f>
        <v>80</v>
      </c>
      <c r="X21" s="49" t="n">
        <f aca="false">IF(L21&lt;0,L21*-1,0)</f>
        <v>0.166372573733298</v>
      </c>
      <c r="Y21" s="49" t="n">
        <f aca="false">W21+X21</f>
        <v>80.1663725737333</v>
      </c>
      <c r="Z21" s="51" t="n">
        <v>0</v>
      </c>
      <c r="AA21" s="54" t="n">
        <v>31</v>
      </c>
      <c r="AB21" s="54" t="n">
        <v>3</v>
      </c>
      <c r="AC21" s="55" t="n">
        <f aca="false">AC20+1</f>
        <v>12</v>
      </c>
      <c r="AD21" s="83"/>
      <c r="AE21" s="85"/>
      <c r="AF21" s="84"/>
    </row>
    <row r="22" customFormat="false" ht="11.1" hidden="false" customHeight="true" outlineLevel="0" collapsed="false">
      <c r="A22" s="55" t="n">
        <v>13</v>
      </c>
      <c r="B22" s="69" t="n">
        <v>6910.93</v>
      </c>
      <c r="C22" s="50" t="n">
        <v>325718</v>
      </c>
      <c r="D22" s="54" t="n">
        <f aca="false">C22-C21</f>
        <v>-41</v>
      </c>
      <c r="E22" s="50" t="n">
        <f aca="false">C22-152000</f>
        <v>173718</v>
      </c>
      <c r="F22" s="49" t="n">
        <f aca="false">D22/$D$2</f>
        <v>-20.6705318880766</v>
      </c>
      <c r="G22" s="49" t="n">
        <v>61</v>
      </c>
      <c r="H22" s="51" t="n">
        <v>0</v>
      </c>
      <c r="I22" s="49" t="n">
        <f aca="false">G22+H22</f>
        <v>61</v>
      </c>
      <c r="J22" s="76" t="n">
        <f aca="false">IF(L22&gt;0,L22,0)</f>
        <v>0.329468111923369</v>
      </c>
      <c r="K22" s="49" t="n">
        <f aca="false">I22+J22</f>
        <v>61.3294681119234</v>
      </c>
      <c r="L22" s="49" t="n">
        <f aca="false">F22-(I22-W22)</f>
        <v>0.329468111923369</v>
      </c>
      <c r="M22" s="49" t="n">
        <v>4</v>
      </c>
      <c r="N22" s="49"/>
      <c r="O22" s="49" t="n">
        <v>0</v>
      </c>
      <c r="P22" s="6" t="n">
        <f aca="false">M22-(N22+O22)</f>
        <v>4</v>
      </c>
      <c r="Q22" s="49" t="n">
        <v>0</v>
      </c>
      <c r="R22" s="49" t="n">
        <v>0</v>
      </c>
      <c r="S22" s="49" t="n">
        <f aca="false">SUM(P22:R22)</f>
        <v>4</v>
      </c>
      <c r="T22" s="50"/>
      <c r="U22" s="49" t="n">
        <v>0</v>
      </c>
      <c r="V22" s="49" t="n">
        <v>78</v>
      </c>
      <c r="W22" s="6" t="n">
        <f aca="false">N22+O22+S22+U22+V22</f>
        <v>82</v>
      </c>
      <c r="X22" s="49" t="n">
        <f aca="false">IF(L22&lt;0,L22*-1,0)</f>
        <v>0</v>
      </c>
      <c r="Y22" s="49" t="n">
        <f aca="false">W22+X22</f>
        <v>82</v>
      </c>
      <c r="Z22" s="51" t="n">
        <v>0</v>
      </c>
      <c r="AA22" s="54" t="n">
        <v>35</v>
      </c>
      <c r="AB22" s="54" t="n">
        <v>1</v>
      </c>
      <c r="AC22" s="55" t="n">
        <f aca="false">AC21+1</f>
        <v>13</v>
      </c>
      <c r="AD22" s="83"/>
      <c r="AE22" s="85"/>
      <c r="AF22" s="84"/>
    </row>
    <row r="23" customFormat="false" ht="11.1" hidden="false" customHeight="true" outlineLevel="0" collapsed="false">
      <c r="A23" s="55" t="n">
        <f aca="false">A22+1</f>
        <v>14</v>
      </c>
      <c r="B23" s="69" t="n">
        <v>6910.92</v>
      </c>
      <c r="C23" s="50" t="n">
        <v>325678</v>
      </c>
      <c r="D23" s="54" t="n">
        <f aca="false">C23-C22</f>
        <v>-40</v>
      </c>
      <c r="E23" s="50" t="n">
        <f aca="false">C23-152000</f>
        <v>173678</v>
      </c>
      <c r="F23" s="49" t="n">
        <f aca="false">D23/$D$2</f>
        <v>-20.1663725737333</v>
      </c>
      <c r="G23" s="49" t="n">
        <v>62</v>
      </c>
      <c r="H23" s="51" t="n">
        <v>0</v>
      </c>
      <c r="I23" s="49" t="n">
        <f aca="false">G23+H23</f>
        <v>62</v>
      </c>
      <c r="J23" s="76" t="n">
        <f aca="false">IF(L23&gt;0,L23,0)</f>
        <v>0</v>
      </c>
      <c r="K23" s="49" t="n">
        <f aca="false">I23+J23</f>
        <v>62</v>
      </c>
      <c r="L23" s="49" t="n">
        <f aca="false">F23-(I23-W23)</f>
        <v>-0.166372573733298</v>
      </c>
      <c r="M23" s="49" t="n">
        <v>4</v>
      </c>
      <c r="N23" s="49"/>
      <c r="O23" s="49" t="n">
        <v>0</v>
      </c>
      <c r="P23" s="6" t="n">
        <f aca="false">M23-(N23+O23)</f>
        <v>4</v>
      </c>
      <c r="Q23" s="49" t="n">
        <v>0</v>
      </c>
      <c r="R23" s="49" t="n">
        <v>0</v>
      </c>
      <c r="S23" s="49" t="n">
        <f aca="false">SUM(P23:R23)</f>
        <v>4</v>
      </c>
      <c r="T23" s="50"/>
      <c r="U23" s="49" t="n">
        <v>0</v>
      </c>
      <c r="V23" s="49" t="n">
        <v>78</v>
      </c>
      <c r="W23" s="6" t="n">
        <f aca="false">N23+O23+S23+U23+V23</f>
        <v>82</v>
      </c>
      <c r="X23" s="49" t="n">
        <f aca="false">IF(L23&lt;0,L23*-1,0)</f>
        <v>0.166372573733298</v>
      </c>
      <c r="Y23" s="49" t="n">
        <f aca="false">W23+X23</f>
        <v>82.1663725737333</v>
      </c>
      <c r="Z23" s="51" t="n">
        <v>0</v>
      </c>
      <c r="AA23" s="77" t="n">
        <v>36</v>
      </c>
      <c r="AB23" s="54" t="n">
        <v>2</v>
      </c>
      <c r="AC23" s="55" t="n">
        <f aca="false">AC22+1</f>
        <v>14</v>
      </c>
      <c r="AD23" s="83"/>
      <c r="AE23" s="85"/>
      <c r="AF23" s="84"/>
    </row>
    <row r="24" customFormat="false" ht="11.1" hidden="false" customHeight="true" outlineLevel="0" collapsed="false">
      <c r="A24" s="55" t="n">
        <f aca="false">A23+1</f>
        <v>15</v>
      </c>
      <c r="B24" s="69" t="n">
        <v>6910.91</v>
      </c>
      <c r="C24" s="50" t="n">
        <v>325638</v>
      </c>
      <c r="D24" s="54" t="n">
        <f aca="false">C24-C23</f>
        <v>-40</v>
      </c>
      <c r="E24" s="50" t="n">
        <f aca="false">C24-152000</f>
        <v>173638</v>
      </c>
      <c r="F24" s="49" t="n">
        <f aca="false">D24/$D$2</f>
        <v>-20.1663725737333</v>
      </c>
      <c r="G24" s="49" t="n">
        <v>62</v>
      </c>
      <c r="H24" s="51" t="n">
        <v>0</v>
      </c>
      <c r="I24" s="49" t="n">
        <f aca="false">G24+H24</f>
        <v>62</v>
      </c>
      <c r="J24" s="76" t="n">
        <f aca="false">IF(L24&gt;0,L24,0)</f>
        <v>0</v>
      </c>
      <c r="K24" s="49" t="n">
        <f aca="false">I24+J24</f>
        <v>62</v>
      </c>
      <c r="L24" s="49" t="n">
        <f aca="false">F24-(I24-W24)</f>
        <v>-0.166372573733298</v>
      </c>
      <c r="M24" s="49" t="n">
        <v>4</v>
      </c>
      <c r="N24" s="49"/>
      <c r="O24" s="49" t="n">
        <v>0</v>
      </c>
      <c r="P24" s="6" t="n">
        <f aca="false">M24-(N24+O24)</f>
        <v>4</v>
      </c>
      <c r="Q24" s="49" t="n">
        <v>0</v>
      </c>
      <c r="R24" s="49" t="n">
        <v>0</v>
      </c>
      <c r="S24" s="49" t="n">
        <f aca="false">SUM(P24:R24)</f>
        <v>4</v>
      </c>
      <c r="T24" s="50"/>
      <c r="U24" s="49" t="n">
        <v>0</v>
      </c>
      <c r="V24" s="49" t="n">
        <v>78</v>
      </c>
      <c r="W24" s="6" t="n">
        <f aca="false">N24+O24+S24+U24+V24</f>
        <v>82</v>
      </c>
      <c r="X24" s="49" t="n">
        <f aca="false">IF(L24&lt;0,L24*-1,0)</f>
        <v>0.166372573733298</v>
      </c>
      <c r="Y24" s="49" t="n">
        <f aca="false">W24+X24</f>
        <v>82.1663725737333</v>
      </c>
      <c r="Z24" s="51" t="n">
        <v>0.04</v>
      </c>
      <c r="AA24" s="77" t="n">
        <v>34</v>
      </c>
      <c r="AB24" s="54" t="n">
        <v>7</v>
      </c>
      <c r="AC24" s="55" t="n">
        <f aca="false">AC23+1</f>
        <v>15</v>
      </c>
      <c r="AD24" s="83"/>
      <c r="AE24" s="85"/>
      <c r="AF24" s="84"/>
    </row>
    <row r="25" customFormat="false" ht="11.1" hidden="false" customHeight="true" outlineLevel="0" collapsed="false">
      <c r="A25" s="55" t="n">
        <f aca="false">A24+1</f>
        <v>16</v>
      </c>
      <c r="B25" s="69" t="n">
        <v>6910.9</v>
      </c>
      <c r="C25" s="50" t="n">
        <v>325598</v>
      </c>
      <c r="D25" s="54" t="n">
        <f aca="false">C25-C24</f>
        <v>-40</v>
      </c>
      <c r="E25" s="50" t="n">
        <f aca="false">C25-152000</f>
        <v>173598</v>
      </c>
      <c r="F25" s="49" t="n">
        <f aca="false">D25/$D$2</f>
        <v>-20.1663725737333</v>
      </c>
      <c r="G25" s="49" t="n">
        <v>62</v>
      </c>
      <c r="H25" s="51" t="n">
        <v>0</v>
      </c>
      <c r="I25" s="49" t="n">
        <f aca="false">G25+H25</f>
        <v>62</v>
      </c>
      <c r="J25" s="76" t="n">
        <f aca="false">IF(L25&gt;0,L25,0)</f>
        <v>0</v>
      </c>
      <c r="K25" s="49" t="n">
        <f aca="false">I25+J25</f>
        <v>62</v>
      </c>
      <c r="L25" s="49" t="n">
        <f aca="false">F25-(I25-W25)</f>
        <v>-0.166372573733298</v>
      </c>
      <c r="M25" s="49" t="n">
        <v>4</v>
      </c>
      <c r="N25" s="49"/>
      <c r="O25" s="49" t="n">
        <v>0</v>
      </c>
      <c r="P25" s="6" t="n">
        <f aca="false">M25-(N25+O25)</f>
        <v>4</v>
      </c>
      <c r="Q25" s="49" t="n">
        <v>0</v>
      </c>
      <c r="R25" s="49" t="n">
        <v>0</v>
      </c>
      <c r="S25" s="49" t="n">
        <f aca="false">SUM(P25:R25)</f>
        <v>4</v>
      </c>
      <c r="T25" s="50"/>
      <c r="U25" s="49" t="n">
        <v>0</v>
      </c>
      <c r="V25" s="49" t="n">
        <v>78</v>
      </c>
      <c r="W25" s="6" t="n">
        <f aca="false">N25+O25+S25+U25+V25</f>
        <v>82</v>
      </c>
      <c r="X25" s="49" t="n">
        <f aca="false">IF(L25&lt;0,L25*-1,0)</f>
        <v>0.166372573733298</v>
      </c>
      <c r="Y25" s="49" t="n">
        <f aca="false">W25+X25</f>
        <v>82.1663725737333</v>
      </c>
      <c r="Z25" s="51" t="n">
        <v>0.1</v>
      </c>
      <c r="AA25" s="77" t="n">
        <v>32</v>
      </c>
      <c r="AB25" s="54" t="n">
        <v>12</v>
      </c>
      <c r="AC25" s="55" t="n">
        <f aca="false">AC24+1</f>
        <v>16</v>
      </c>
      <c r="AD25" s="83"/>
      <c r="AE25" s="0"/>
      <c r="AF25" s="84"/>
    </row>
    <row r="26" customFormat="false" ht="11.1" hidden="false" customHeight="true" outlineLevel="0" collapsed="false">
      <c r="A26" s="55" t="n">
        <f aca="false">A25+1</f>
        <v>17</v>
      </c>
      <c r="B26" s="69" t="n">
        <v>6910.89</v>
      </c>
      <c r="C26" s="50" t="n">
        <v>325558</v>
      </c>
      <c r="D26" s="54" t="n">
        <f aca="false">C26-C25</f>
        <v>-40</v>
      </c>
      <c r="E26" s="50" t="n">
        <f aca="false">C26-152000</f>
        <v>173558</v>
      </c>
      <c r="F26" s="49" t="n">
        <f aca="false">D26/$D$2</f>
        <v>-20.1663725737333</v>
      </c>
      <c r="G26" s="49" t="n">
        <v>62</v>
      </c>
      <c r="H26" s="51" t="n">
        <v>0</v>
      </c>
      <c r="I26" s="49" t="n">
        <f aca="false">G26+H26</f>
        <v>62</v>
      </c>
      <c r="J26" s="76" t="n">
        <f aca="false">IF(L26&gt;0,L26,0)</f>
        <v>0</v>
      </c>
      <c r="K26" s="49" t="n">
        <f aca="false">I26+J26</f>
        <v>62</v>
      </c>
      <c r="L26" s="49" t="n">
        <f aca="false">F26-(I26-W26)</f>
        <v>-0.166372573733298</v>
      </c>
      <c r="M26" s="49" t="n">
        <v>4</v>
      </c>
      <c r="N26" s="49"/>
      <c r="O26" s="49" t="n">
        <v>0</v>
      </c>
      <c r="P26" s="6" t="n">
        <f aca="false">M26-(N26+O26)</f>
        <v>4</v>
      </c>
      <c r="Q26" s="49" t="n">
        <v>0</v>
      </c>
      <c r="R26" s="49" t="n">
        <v>0</v>
      </c>
      <c r="S26" s="49" t="n">
        <f aca="false">SUM(P26:R26)</f>
        <v>4</v>
      </c>
      <c r="T26" s="50"/>
      <c r="U26" s="49" t="n">
        <v>0</v>
      </c>
      <c r="V26" s="49" t="n">
        <v>78</v>
      </c>
      <c r="W26" s="6" t="n">
        <f aca="false">N26+O26+S26+U26+V26</f>
        <v>82</v>
      </c>
      <c r="X26" s="49" t="n">
        <f aca="false">IF(L26&lt;0,L26*-1,0)</f>
        <v>0.166372573733298</v>
      </c>
      <c r="Y26" s="49" t="n">
        <f aca="false">W26+X26</f>
        <v>82.1663725737333</v>
      </c>
      <c r="Z26" s="51" t="n">
        <v>0.67</v>
      </c>
      <c r="AA26" s="77" t="n">
        <v>30</v>
      </c>
      <c r="AB26" s="54" t="n">
        <v>14</v>
      </c>
      <c r="AC26" s="55" t="n">
        <f aca="false">AC25+1</f>
        <v>17</v>
      </c>
      <c r="AD26" s="83"/>
      <c r="AE26" s="85"/>
      <c r="AF26" s="84"/>
    </row>
    <row r="27" customFormat="false" ht="11.1" hidden="false" customHeight="true" outlineLevel="0" collapsed="false">
      <c r="A27" s="55" t="n">
        <f aca="false">A26+1</f>
        <v>18</v>
      </c>
      <c r="B27" s="69" t="n">
        <v>6910.88</v>
      </c>
      <c r="C27" s="50" t="n">
        <v>325518</v>
      </c>
      <c r="D27" s="54" t="n">
        <f aca="false">C27-C26</f>
        <v>-40</v>
      </c>
      <c r="E27" s="50" t="n">
        <f aca="false">C27-152000</f>
        <v>173518</v>
      </c>
      <c r="F27" s="49" t="n">
        <f aca="false">D27/$D$2</f>
        <v>-20.1663725737333</v>
      </c>
      <c r="G27" s="49" t="n">
        <v>62</v>
      </c>
      <c r="H27" s="51" t="n">
        <v>0</v>
      </c>
      <c r="I27" s="49" t="n">
        <f aca="false">G27+H27</f>
        <v>62</v>
      </c>
      <c r="J27" s="76" t="n">
        <f aca="false">IF(L27&gt;0,L27,0)</f>
        <v>0</v>
      </c>
      <c r="K27" s="49" t="n">
        <f aca="false">I27+J27</f>
        <v>62</v>
      </c>
      <c r="L27" s="49" t="n">
        <f aca="false">F27-(I27-W27)</f>
        <v>-0.166372573733298</v>
      </c>
      <c r="M27" s="49" t="n">
        <v>4</v>
      </c>
      <c r="N27" s="49" t="n">
        <v>0</v>
      </c>
      <c r="O27" s="49" t="n">
        <v>0</v>
      </c>
      <c r="P27" s="6" t="n">
        <f aca="false">M27-(N27+O27)</f>
        <v>4</v>
      </c>
      <c r="Q27" s="49" t="n">
        <v>0</v>
      </c>
      <c r="R27" s="49" t="n">
        <v>0</v>
      </c>
      <c r="S27" s="49" t="n">
        <f aca="false">SUM(P27:R27)</f>
        <v>4</v>
      </c>
      <c r="T27" s="50"/>
      <c r="U27" s="49" t="n">
        <v>0</v>
      </c>
      <c r="V27" s="49" t="n">
        <v>78</v>
      </c>
      <c r="W27" s="6" t="n">
        <f aca="false">N27+O27+S27+U27+V27</f>
        <v>82</v>
      </c>
      <c r="X27" s="49" t="n">
        <f aca="false">IF(L27&lt;0,L27*-1,0)</f>
        <v>0.166372573733298</v>
      </c>
      <c r="Y27" s="49" t="n">
        <f aca="false">W27+X27</f>
        <v>82.1663725737333</v>
      </c>
      <c r="Z27" s="51" t="n">
        <v>0</v>
      </c>
      <c r="AA27" s="77" t="n">
        <v>30</v>
      </c>
      <c r="AB27" s="54" t="n">
        <v>22</v>
      </c>
      <c r="AC27" s="55" t="n">
        <f aca="false">AC26+1</f>
        <v>18</v>
      </c>
      <c r="AD27" s="83"/>
      <c r="AE27" s="85"/>
      <c r="AF27" s="84"/>
    </row>
    <row r="28" customFormat="false" ht="11.1" hidden="false" customHeight="true" outlineLevel="0" collapsed="false">
      <c r="A28" s="55" t="n">
        <f aca="false">A27+1</f>
        <v>19</v>
      </c>
      <c r="B28" s="69" t="n">
        <v>6910.87</v>
      </c>
      <c r="C28" s="50" t="n">
        <v>325478</v>
      </c>
      <c r="D28" s="54" t="n">
        <f aca="false">C28-C27</f>
        <v>-40</v>
      </c>
      <c r="E28" s="50" t="n">
        <f aca="false">C28-152000</f>
        <v>173478</v>
      </c>
      <c r="F28" s="49" t="n">
        <f aca="false">D28/$D$2</f>
        <v>-20.1663725737333</v>
      </c>
      <c r="G28" s="49" t="n">
        <v>62</v>
      </c>
      <c r="H28" s="51" t="n">
        <v>0</v>
      </c>
      <c r="I28" s="49" t="n">
        <f aca="false">G28+H28</f>
        <v>62</v>
      </c>
      <c r="J28" s="76" t="n">
        <f aca="false">IF(L28&gt;0,L28,0)</f>
        <v>0</v>
      </c>
      <c r="K28" s="49" t="n">
        <f aca="false">I28+J28</f>
        <v>62</v>
      </c>
      <c r="L28" s="49" t="n">
        <f aca="false">F28-(I28-W28)</f>
        <v>-0.166372573733298</v>
      </c>
      <c r="M28" s="49" t="n">
        <v>4</v>
      </c>
      <c r="N28" s="49" t="n">
        <v>0</v>
      </c>
      <c r="O28" s="49" t="n">
        <v>0</v>
      </c>
      <c r="P28" s="6" t="n">
        <f aca="false">M28-(N28+O28)</f>
        <v>4</v>
      </c>
      <c r="Q28" s="49" t="n">
        <v>0</v>
      </c>
      <c r="R28" s="49" t="n">
        <v>0</v>
      </c>
      <c r="S28" s="49" t="n">
        <f aca="false">SUM(P28:R28)</f>
        <v>4</v>
      </c>
      <c r="T28" s="50"/>
      <c r="U28" s="49" t="n">
        <v>0</v>
      </c>
      <c r="V28" s="49" t="n">
        <v>78</v>
      </c>
      <c r="W28" s="6" t="n">
        <f aca="false">N28+O28+S28+U28+V28</f>
        <v>82</v>
      </c>
      <c r="X28" s="49" t="n">
        <f aca="false">IF(L28&lt;0,L28*-1,0)</f>
        <v>0.166372573733298</v>
      </c>
      <c r="Y28" s="49" t="n">
        <f aca="false">W28+X28</f>
        <v>82.1663725737333</v>
      </c>
      <c r="Z28" s="51" t="n">
        <v>0</v>
      </c>
      <c r="AA28" s="77" t="n">
        <v>24</v>
      </c>
      <c r="AB28" s="54" t="n">
        <v>10</v>
      </c>
      <c r="AC28" s="55" t="n">
        <f aca="false">AC27+1</f>
        <v>19</v>
      </c>
      <c r="AD28" s="83"/>
      <c r="AE28" s="85"/>
      <c r="AF28" s="84"/>
    </row>
    <row r="29" customFormat="false" ht="11.1" hidden="false" customHeight="true" outlineLevel="0" collapsed="false">
      <c r="A29" s="55" t="n">
        <f aca="false">A28+1</f>
        <v>20</v>
      </c>
      <c r="B29" s="69" t="n">
        <v>6910.86</v>
      </c>
      <c r="C29" s="50" t="n">
        <v>325438</v>
      </c>
      <c r="D29" s="54" t="n">
        <f aca="false">C29-C28</f>
        <v>-40</v>
      </c>
      <c r="E29" s="50" t="n">
        <f aca="false">C29-152000</f>
        <v>173438</v>
      </c>
      <c r="F29" s="49" t="n">
        <f aca="false">D29/$D$2</f>
        <v>-20.1663725737333</v>
      </c>
      <c r="G29" s="49" t="n">
        <v>62</v>
      </c>
      <c r="H29" s="51" t="n">
        <v>0</v>
      </c>
      <c r="I29" s="49" t="n">
        <f aca="false">G29+H29</f>
        <v>62</v>
      </c>
      <c r="J29" s="76" t="n">
        <f aca="false">IF(L29&gt;0,L29,0)</f>
        <v>0</v>
      </c>
      <c r="K29" s="49" t="n">
        <f aca="false">I29+J29</f>
        <v>62</v>
      </c>
      <c r="L29" s="49" t="n">
        <f aca="false">F29-(I29-W29)</f>
        <v>-0.166372573733298</v>
      </c>
      <c r="M29" s="49" t="n">
        <v>4</v>
      </c>
      <c r="N29" s="49" t="n">
        <v>0</v>
      </c>
      <c r="O29" s="49" t="n">
        <v>0</v>
      </c>
      <c r="P29" s="6" t="n">
        <f aca="false">M29-(N29+O29)</f>
        <v>4</v>
      </c>
      <c r="Q29" s="49" t="n">
        <v>0</v>
      </c>
      <c r="R29" s="49" t="n">
        <v>0</v>
      </c>
      <c r="S29" s="49" t="n">
        <f aca="false">SUM(P29:R29)</f>
        <v>4</v>
      </c>
      <c r="T29" s="50"/>
      <c r="U29" s="49" t="n">
        <v>0</v>
      </c>
      <c r="V29" s="49" t="n">
        <v>78</v>
      </c>
      <c r="W29" s="6" t="n">
        <f aca="false">N29+O29+S29+U29+V29</f>
        <v>82</v>
      </c>
      <c r="X29" s="49" t="n">
        <f aca="false">IF(L29&lt;0,L29*-1,0)</f>
        <v>0.166372573733298</v>
      </c>
      <c r="Y29" s="49" t="n">
        <f aca="false">W29+X29</f>
        <v>82.1663725737333</v>
      </c>
      <c r="Z29" s="51" t="n">
        <v>0</v>
      </c>
      <c r="AA29" s="77" t="n">
        <v>20</v>
      </c>
      <c r="AB29" s="54" t="n">
        <v>-1</v>
      </c>
      <c r="AC29" s="55" t="n">
        <f aca="false">AC28+1</f>
        <v>20</v>
      </c>
      <c r="AD29" s="83"/>
      <c r="AE29" s="85"/>
      <c r="AF29" s="84"/>
    </row>
    <row r="30" customFormat="false" ht="11.1" hidden="false" customHeight="true" outlineLevel="0" collapsed="false">
      <c r="A30" s="55" t="n">
        <f aca="false">A29+1</f>
        <v>21</v>
      </c>
      <c r="B30" s="69" t="n">
        <v>6910.85</v>
      </c>
      <c r="C30" s="50" t="n">
        <v>325397</v>
      </c>
      <c r="D30" s="54" t="n">
        <f aca="false">C30-C29</f>
        <v>-41</v>
      </c>
      <c r="E30" s="50" t="n">
        <f aca="false">C30-152000</f>
        <v>173397</v>
      </c>
      <c r="F30" s="49" t="n">
        <f aca="false">D30/$D$2</f>
        <v>-20.6705318880766</v>
      </c>
      <c r="G30" s="49" t="n">
        <v>62</v>
      </c>
      <c r="H30" s="51" t="n">
        <v>0</v>
      </c>
      <c r="I30" s="49" t="n">
        <f aca="false">G30+H30</f>
        <v>62</v>
      </c>
      <c r="J30" s="76" t="n">
        <f aca="false">IF(L30&gt;0,L30,0)</f>
        <v>0</v>
      </c>
      <c r="K30" s="49" t="n">
        <f aca="false">I30+J30</f>
        <v>62</v>
      </c>
      <c r="L30" s="49" t="n">
        <f aca="false">F30-(I30-W30)</f>
        <v>-0.670531888076631</v>
      </c>
      <c r="M30" s="49" t="n">
        <v>4</v>
      </c>
      <c r="N30" s="49" t="n">
        <v>0</v>
      </c>
      <c r="O30" s="49" t="n">
        <v>0</v>
      </c>
      <c r="P30" s="6" t="n">
        <f aca="false">M30-(N30+O30)</f>
        <v>4</v>
      </c>
      <c r="Q30" s="49" t="n">
        <v>0</v>
      </c>
      <c r="R30" s="49" t="n">
        <v>0</v>
      </c>
      <c r="S30" s="49" t="n">
        <f aca="false">SUM(P30:R30)</f>
        <v>4</v>
      </c>
      <c r="T30" s="50"/>
      <c r="U30" s="49" t="n">
        <v>0</v>
      </c>
      <c r="V30" s="49" t="n">
        <v>78</v>
      </c>
      <c r="W30" s="6" t="n">
        <f aca="false">N30+O30+S30+U30+V30</f>
        <v>82</v>
      </c>
      <c r="X30" s="49" t="n">
        <f aca="false">IF(L30&lt;0,L30*-1,0)</f>
        <v>0.670531888076631</v>
      </c>
      <c r="Y30" s="49" t="n">
        <f aca="false">W30+X30</f>
        <v>82.6705318880766</v>
      </c>
      <c r="Z30" s="51" t="n">
        <v>0</v>
      </c>
      <c r="AA30" s="54" t="n">
        <v>20</v>
      </c>
      <c r="AB30" s="54" t="n">
        <v>0</v>
      </c>
      <c r="AC30" s="55" t="n">
        <f aca="false">AC29+1</f>
        <v>21</v>
      </c>
      <c r="AD30" s="83"/>
      <c r="AE30" s="85"/>
      <c r="AF30" s="84"/>
    </row>
    <row r="31" customFormat="false" ht="11.1" hidden="false" customHeight="true" outlineLevel="0" collapsed="false">
      <c r="A31" s="55" t="n">
        <f aca="false">A30+1</f>
        <v>22</v>
      </c>
      <c r="B31" s="69" t="n">
        <v>6910.84</v>
      </c>
      <c r="C31" s="50" t="n">
        <v>325357</v>
      </c>
      <c r="D31" s="54" t="n">
        <f aca="false">C31-C30</f>
        <v>-40</v>
      </c>
      <c r="E31" s="50" t="n">
        <f aca="false">C31-152000</f>
        <v>173357</v>
      </c>
      <c r="F31" s="49" t="n">
        <f aca="false">D31/$D$2</f>
        <v>-20.1663725737333</v>
      </c>
      <c r="G31" s="49" t="n">
        <v>62</v>
      </c>
      <c r="H31" s="51" t="n">
        <v>0</v>
      </c>
      <c r="I31" s="49" t="n">
        <f aca="false">G31+H31</f>
        <v>62</v>
      </c>
      <c r="J31" s="76" t="n">
        <f aca="false">IF(L31&gt;0,L31,0)</f>
        <v>0</v>
      </c>
      <c r="K31" s="49" t="n">
        <f aca="false">I31+J31</f>
        <v>62</v>
      </c>
      <c r="L31" s="49" t="n">
        <f aca="false">F31-(I31-W31)</f>
        <v>-0.166372573733298</v>
      </c>
      <c r="M31" s="49" t="n">
        <v>4</v>
      </c>
      <c r="N31" s="49" t="n">
        <v>0</v>
      </c>
      <c r="O31" s="49" t="n">
        <v>0</v>
      </c>
      <c r="P31" s="6" t="n">
        <f aca="false">M31-(N31+O31)</f>
        <v>4</v>
      </c>
      <c r="Q31" s="49" t="n">
        <v>0</v>
      </c>
      <c r="R31" s="49" t="n">
        <v>0</v>
      </c>
      <c r="S31" s="49" t="n">
        <f aca="false">SUM(P31:R31)</f>
        <v>4</v>
      </c>
      <c r="T31" s="50"/>
      <c r="U31" s="49" t="n">
        <v>0</v>
      </c>
      <c r="V31" s="49" t="n">
        <v>78</v>
      </c>
      <c r="W31" s="6" t="n">
        <f aca="false">N31+O31+S31+U31+V31</f>
        <v>82</v>
      </c>
      <c r="X31" s="49" t="n">
        <f aca="false">IF(L31&lt;0,L31*-1,0)</f>
        <v>0.166372573733298</v>
      </c>
      <c r="Y31" s="49" t="n">
        <f aca="false">W31+X31</f>
        <v>82.1663725737333</v>
      </c>
      <c r="Z31" s="51" t="n">
        <v>0</v>
      </c>
      <c r="AA31" s="54" t="n">
        <v>22</v>
      </c>
      <c r="AB31" s="54" t="n">
        <v>-4</v>
      </c>
      <c r="AC31" s="55" t="n">
        <f aca="false">AC30+1</f>
        <v>22</v>
      </c>
      <c r="AD31" s="83"/>
      <c r="AE31" s="85"/>
      <c r="AF31" s="84"/>
    </row>
    <row r="32" customFormat="false" ht="11.1" hidden="false" customHeight="true" outlineLevel="0" collapsed="false">
      <c r="A32" s="55" t="n">
        <f aca="false">A31+1</f>
        <v>23</v>
      </c>
      <c r="B32" s="69" t="n">
        <v>6910.83</v>
      </c>
      <c r="C32" s="50" t="n">
        <v>325317</v>
      </c>
      <c r="D32" s="54" t="n">
        <f aca="false">C32-C31</f>
        <v>-40</v>
      </c>
      <c r="E32" s="50" t="n">
        <f aca="false">C32-152000</f>
        <v>173317</v>
      </c>
      <c r="F32" s="49" t="n">
        <f aca="false">D32/$D$2</f>
        <v>-20.1663725737333</v>
      </c>
      <c r="G32" s="49" t="n">
        <v>62</v>
      </c>
      <c r="H32" s="51" t="n">
        <v>0</v>
      </c>
      <c r="I32" s="49" t="n">
        <f aca="false">G32+H32</f>
        <v>62</v>
      </c>
      <c r="J32" s="76" t="n">
        <f aca="false">IF(L32&gt;0,L32,0)</f>
        <v>0</v>
      </c>
      <c r="K32" s="49" t="n">
        <f aca="false">I32+J32</f>
        <v>62</v>
      </c>
      <c r="L32" s="49" t="n">
        <f aca="false">F32-(I32-W32)</f>
        <v>-0.166372573733298</v>
      </c>
      <c r="M32" s="49" t="n">
        <v>4</v>
      </c>
      <c r="N32" s="49" t="n">
        <v>0</v>
      </c>
      <c r="O32" s="49" t="n">
        <v>0</v>
      </c>
      <c r="P32" s="6" t="n">
        <f aca="false">M32-(N32+O32)</f>
        <v>4</v>
      </c>
      <c r="Q32" s="49" t="n">
        <v>0</v>
      </c>
      <c r="R32" s="49" t="n">
        <v>0</v>
      </c>
      <c r="S32" s="49" t="n">
        <f aca="false">SUM(P32:R32)</f>
        <v>4</v>
      </c>
      <c r="T32" s="50"/>
      <c r="U32" s="49" t="n">
        <v>0</v>
      </c>
      <c r="V32" s="49" t="n">
        <v>78</v>
      </c>
      <c r="W32" s="6" t="n">
        <f aca="false">N32+O32+S32+U32+V32</f>
        <v>82</v>
      </c>
      <c r="X32" s="49" t="n">
        <f aca="false">IF(L32&lt;0,L32*-1,0)</f>
        <v>0.166372573733298</v>
      </c>
      <c r="Y32" s="49" t="n">
        <f aca="false">W32+X32</f>
        <v>82.1663725737333</v>
      </c>
      <c r="Z32" s="51" t="n">
        <v>0</v>
      </c>
      <c r="AA32" s="54" t="n">
        <v>24</v>
      </c>
      <c r="AB32" s="77" t="n">
        <v>10</v>
      </c>
      <c r="AC32" s="55" t="n">
        <f aca="false">AC31+1</f>
        <v>23</v>
      </c>
      <c r="AD32" s="83"/>
      <c r="AE32" s="85"/>
      <c r="AF32" s="84"/>
    </row>
    <row r="33" customFormat="false" ht="11.1" hidden="false" customHeight="true" outlineLevel="0" collapsed="false">
      <c r="A33" s="55" t="n">
        <f aca="false">A32+1</f>
        <v>24</v>
      </c>
      <c r="B33" s="69" t="n">
        <v>6910.82</v>
      </c>
      <c r="C33" s="50" t="n">
        <v>325277</v>
      </c>
      <c r="D33" s="54" t="n">
        <f aca="false">C33-C32</f>
        <v>-40</v>
      </c>
      <c r="E33" s="50" t="n">
        <f aca="false">C33-152000</f>
        <v>173277</v>
      </c>
      <c r="F33" s="49" t="n">
        <f aca="false">D33/$D$2</f>
        <v>-20.1663725737333</v>
      </c>
      <c r="G33" s="49" t="n">
        <v>62</v>
      </c>
      <c r="H33" s="51" t="n">
        <v>0</v>
      </c>
      <c r="I33" s="49" t="n">
        <f aca="false">G33+H33</f>
        <v>62</v>
      </c>
      <c r="J33" s="76" t="n">
        <f aca="false">IF(L33&gt;0,L33,0)</f>
        <v>0</v>
      </c>
      <c r="K33" s="49" t="n">
        <f aca="false">I33+J33</f>
        <v>62</v>
      </c>
      <c r="L33" s="49" t="n">
        <f aca="false">F33-(I33-W33)</f>
        <v>-0.166372573733298</v>
      </c>
      <c r="M33" s="49" t="n">
        <v>4</v>
      </c>
      <c r="N33" s="49" t="n">
        <v>0</v>
      </c>
      <c r="O33" s="49" t="n">
        <v>0</v>
      </c>
      <c r="P33" s="6" t="n">
        <f aca="false">M33-(N33+O33)</f>
        <v>4</v>
      </c>
      <c r="Q33" s="49" t="n">
        <v>0</v>
      </c>
      <c r="R33" s="49" t="n">
        <v>0</v>
      </c>
      <c r="S33" s="49" t="n">
        <f aca="false">SUM(P33:R33)</f>
        <v>4</v>
      </c>
      <c r="T33" s="50"/>
      <c r="U33" s="49" t="n">
        <v>0</v>
      </c>
      <c r="V33" s="49" t="n">
        <v>78</v>
      </c>
      <c r="W33" s="6" t="n">
        <f aca="false">N33+O33+S33+U33+V33</f>
        <v>82</v>
      </c>
      <c r="X33" s="49" t="n">
        <f aca="false">IF(L33&lt;0,L33*-1,0)</f>
        <v>0.166372573733298</v>
      </c>
      <c r="Y33" s="49" t="n">
        <f aca="false">W33+X33</f>
        <v>82.1663725737333</v>
      </c>
      <c r="Z33" s="51" t="n">
        <v>0</v>
      </c>
      <c r="AA33" s="54" t="n">
        <v>25</v>
      </c>
      <c r="AB33" s="77" t="n">
        <v>6</v>
      </c>
      <c r="AC33" s="55" t="n">
        <f aca="false">AC32+1</f>
        <v>24</v>
      </c>
      <c r="AD33" s="83"/>
      <c r="AE33" s="85"/>
      <c r="AF33" s="84"/>
    </row>
    <row r="34" customFormat="false" ht="11.1" hidden="false" customHeight="true" outlineLevel="0" collapsed="false">
      <c r="A34" s="55" t="n">
        <f aca="false">A33+1</f>
        <v>25</v>
      </c>
      <c r="B34" s="69" t="n">
        <v>6910.81</v>
      </c>
      <c r="C34" s="50" t="n">
        <v>325237</v>
      </c>
      <c r="D34" s="54" t="n">
        <f aca="false">C34-C33</f>
        <v>-40</v>
      </c>
      <c r="E34" s="50" t="n">
        <f aca="false">C34-152000</f>
        <v>173237</v>
      </c>
      <c r="F34" s="49" t="n">
        <f aca="false">D34/$D$2</f>
        <v>-20.1663725737333</v>
      </c>
      <c r="G34" s="49" t="n">
        <v>62</v>
      </c>
      <c r="H34" s="51" t="n">
        <v>0</v>
      </c>
      <c r="I34" s="49" t="n">
        <f aca="false">G34+H34</f>
        <v>62</v>
      </c>
      <c r="J34" s="76" t="n">
        <f aca="false">IF(L34&gt;0,L34,0)</f>
        <v>0</v>
      </c>
      <c r="K34" s="49" t="n">
        <f aca="false">I34+J34</f>
        <v>62</v>
      </c>
      <c r="L34" s="49" t="n">
        <f aca="false">F34-(I34-W34)</f>
        <v>-0.166372573733298</v>
      </c>
      <c r="M34" s="49" t="n">
        <v>4</v>
      </c>
      <c r="N34" s="49" t="n">
        <v>0</v>
      </c>
      <c r="O34" s="49" t="n">
        <v>0</v>
      </c>
      <c r="P34" s="6" t="n">
        <f aca="false">M34-(N34+O34)</f>
        <v>4</v>
      </c>
      <c r="Q34" s="49" t="n">
        <v>0</v>
      </c>
      <c r="R34" s="49" t="n">
        <v>0</v>
      </c>
      <c r="S34" s="49" t="n">
        <f aca="false">SUM(P34:R34)</f>
        <v>4</v>
      </c>
      <c r="T34" s="50"/>
      <c r="U34" s="49" t="n">
        <v>0</v>
      </c>
      <c r="V34" s="49" t="n">
        <v>78</v>
      </c>
      <c r="W34" s="6" t="n">
        <f aca="false">N34+O34+S34+U34+V34</f>
        <v>82</v>
      </c>
      <c r="X34" s="49" t="n">
        <f aca="false">IF(L34&lt;0,L34*-1,0)</f>
        <v>0.166372573733298</v>
      </c>
      <c r="Y34" s="49" t="n">
        <f aca="false">W34+X34</f>
        <v>82.1663725737333</v>
      </c>
      <c r="Z34" s="51" t="n">
        <v>0</v>
      </c>
      <c r="AA34" s="54" t="n">
        <v>29</v>
      </c>
      <c r="AB34" s="77" t="n">
        <v>-3</v>
      </c>
      <c r="AC34" s="55" t="n">
        <f aca="false">AC33+1</f>
        <v>25</v>
      </c>
      <c r="AD34" s="83"/>
      <c r="AE34" s="85"/>
      <c r="AF34" s="84"/>
    </row>
    <row r="35" customFormat="false" ht="11.1" hidden="false" customHeight="true" outlineLevel="0" collapsed="false">
      <c r="A35" s="55" t="n">
        <f aca="false">A34+1</f>
        <v>26</v>
      </c>
      <c r="B35" s="69" t="n">
        <v>6910.8</v>
      </c>
      <c r="C35" s="50" t="n">
        <v>325197</v>
      </c>
      <c r="D35" s="54" t="n">
        <f aca="false">C35-C34</f>
        <v>-40</v>
      </c>
      <c r="E35" s="50" t="n">
        <f aca="false">C35-152000</f>
        <v>173197</v>
      </c>
      <c r="F35" s="49" t="n">
        <f aca="false">D35/$D$2</f>
        <v>-20.1663725737333</v>
      </c>
      <c r="G35" s="49" t="n">
        <v>62</v>
      </c>
      <c r="H35" s="51" t="n">
        <v>0</v>
      </c>
      <c r="I35" s="49" t="n">
        <f aca="false">G35+H35</f>
        <v>62</v>
      </c>
      <c r="J35" s="76" t="n">
        <f aca="false">IF(L35&gt;0,L35,0)</f>
        <v>0.833627426266702</v>
      </c>
      <c r="K35" s="49" t="n">
        <f aca="false">I35+J35</f>
        <v>62.8336274262667</v>
      </c>
      <c r="L35" s="49" t="n">
        <f aca="false">F35-(I35-W35)</f>
        <v>0.833627426266702</v>
      </c>
      <c r="M35" s="49" t="n">
        <v>4</v>
      </c>
      <c r="N35" s="49" t="n">
        <v>0</v>
      </c>
      <c r="O35" s="49" t="n">
        <v>0</v>
      </c>
      <c r="P35" s="6" t="n">
        <f aca="false">M35-(N35+O35)</f>
        <v>4</v>
      </c>
      <c r="Q35" s="49" t="n">
        <v>0</v>
      </c>
      <c r="R35" s="49" t="n">
        <v>0</v>
      </c>
      <c r="S35" s="49" t="n">
        <f aca="false">SUM(P35:R35)</f>
        <v>4</v>
      </c>
      <c r="T35" s="50"/>
      <c r="U35" s="49" t="n">
        <v>0</v>
      </c>
      <c r="V35" s="49" t="n">
        <v>79</v>
      </c>
      <c r="W35" s="6" t="n">
        <f aca="false">N35+O35+S35+U35+V35</f>
        <v>83</v>
      </c>
      <c r="X35" s="49" t="n">
        <f aca="false">IF(L35&lt;0,L35*-1,0)</f>
        <v>0</v>
      </c>
      <c r="Y35" s="49" t="n">
        <f aca="false">W35+X35</f>
        <v>83</v>
      </c>
      <c r="Z35" s="51" t="n">
        <v>0</v>
      </c>
      <c r="AA35" s="54" t="n">
        <v>34</v>
      </c>
      <c r="AB35" s="54" t="n">
        <v>1</v>
      </c>
      <c r="AC35" s="55" t="n">
        <f aca="false">AC34+1</f>
        <v>26</v>
      </c>
      <c r="AD35" s="83"/>
      <c r="AE35" s="85"/>
      <c r="AF35" s="84"/>
    </row>
    <row r="36" customFormat="false" ht="11.1" hidden="false" customHeight="true" outlineLevel="0" collapsed="false">
      <c r="A36" s="55" t="n">
        <f aca="false">A35+1</f>
        <v>27</v>
      </c>
      <c r="B36" s="69" t="n">
        <v>6910.78</v>
      </c>
      <c r="C36" s="50" t="n">
        <v>325117</v>
      </c>
      <c r="D36" s="54" t="n">
        <f aca="false">C36-C35</f>
        <v>-80</v>
      </c>
      <c r="E36" s="50" t="n">
        <f aca="false">C36-152000</f>
        <v>173117</v>
      </c>
      <c r="F36" s="49" t="n">
        <f aca="false">D36/$D$2</f>
        <v>-40.3327451474666</v>
      </c>
      <c r="G36" s="49" t="n">
        <v>45</v>
      </c>
      <c r="H36" s="51" t="n">
        <v>0</v>
      </c>
      <c r="I36" s="49" t="n">
        <f aca="false">G36+H36</f>
        <v>45</v>
      </c>
      <c r="J36" s="76" t="n">
        <f aca="false">IF(L36&gt;0,L36,0)</f>
        <v>0</v>
      </c>
      <c r="K36" s="49" t="n">
        <f aca="false">I36+J36</f>
        <v>45</v>
      </c>
      <c r="L36" s="49" t="n">
        <f aca="false">F36-(I36-W36)</f>
        <v>-0.332745147466596</v>
      </c>
      <c r="M36" s="49" t="n">
        <v>4</v>
      </c>
      <c r="N36" s="49" t="n">
        <v>0</v>
      </c>
      <c r="O36" s="49" t="n">
        <v>0</v>
      </c>
      <c r="P36" s="6" t="n">
        <f aca="false">M36-(N36+O36)</f>
        <v>4</v>
      </c>
      <c r="Q36" s="49" t="n">
        <v>0</v>
      </c>
      <c r="R36" s="49" t="n">
        <v>0</v>
      </c>
      <c r="S36" s="49" t="n">
        <f aca="false">SUM(P36:R36)</f>
        <v>4</v>
      </c>
      <c r="T36" s="50"/>
      <c r="U36" s="49" t="n">
        <v>0</v>
      </c>
      <c r="V36" s="49" t="n">
        <v>81</v>
      </c>
      <c r="W36" s="6" t="n">
        <f aca="false">N36+O36+S36+U36+V36</f>
        <v>85</v>
      </c>
      <c r="X36" s="49" t="n">
        <f aca="false">IF(L36&lt;0,L36*-1,0)</f>
        <v>0.332745147466596</v>
      </c>
      <c r="Y36" s="49" t="n">
        <f aca="false">W36+X36</f>
        <v>85.3327451474666</v>
      </c>
      <c r="Z36" s="51" t="n">
        <v>0</v>
      </c>
      <c r="AA36" s="54" t="n">
        <v>48</v>
      </c>
      <c r="AB36" s="54" t="n">
        <v>1</v>
      </c>
      <c r="AC36" s="55" t="n">
        <f aca="false">AC35+1</f>
        <v>27</v>
      </c>
      <c r="AD36" s="83"/>
      <c r="AE36" s="85"/>
      <c r="AF36" s="84"/>
    </row>
    <row r="37" customFormat="false" ht="11.1" hidden="false" customHeight="true" outlineLevel="0" collapsed="false">
      <c r="A37" s="55" t="n">
        <f aca="false">A36+1</f>
        <v>28</v>
      </c>
      <c r="B37" s="69" t="n">
        <v>6910.77</v>
      </c>
      <c r="C37" s="50" t="n">
        <v>325076</v>
      </c>
      <c r="D37" s="54" t="n">
        <f aca="false">C37-C36</f>
        <v>-41</v>
      </c>
      <c r="E37" s="50" t="n">
        <f aca="false">C37-152000</f>
        <v>173076</v>
      </c>
      <c r="F37" s="49" t="n">
        <f aca="false">D37/$D$2</f>
        <v>-20.6705318880766</v>
      </c>
      <c r="G37" s="49" t="n">
        <v>65</v>
      </c>
      <c r="H37" s="51" t="n">
        <v>0</v>
      </c>
      <c r="I37" s="49" t="n">
        <f aca="false">G37+H37</f>
        <v>65</v>
      </c>
      <c r="J37" s="76" t="n">
        <f aca="false">IF(L37&gt;0,L37,0)</f>
        <v>0</v>
      </c>
      <c r="K37" s="49" t="n">
        <f aca="false">I37+J37</f>
        <v>65</v>
      </c>
      <c r="L37" s="49" t="n">
        <f aca="false">F37-(I37-W37)</f>
        <v>-0.670531888076631</v>
      </c>
      <c r="M37" s="49" t="n">
        <v>4</v>
      </c>
      <c r="N37" s="49" t="n">
        <v>0</v>
      </c>
      <c r="O37" s="49" t="n">
        <v>0</v>
      </c>
      <c r="P37" s="6" t="n">
        <f aca="false">M37-(N37+O37)</f>
        <v>4</v>
      </c>
      <c r="Q37" s="49" t="n">
        <v>0</v>
      </c>
      <c r="R37" s="49" t="n">
        <v>0</v>
      </c>
      <c r="S37" s="49" t="n">
        <f aca="false">SUM(P37:R37)</f>
        <v>4</v>
      </c>
      <c r="T37" s="50"/>
      <c r="U37" s="49" t="n">
        <v>0</v>
      </c>
      <c r="V37" s="49" t="n">
        <v>81</v>
      </c>
      <c r="W37" s="6" t="n">
        <f aca="false">N37+O37+S37+U37+V37</f>
        <v>85</v>
      </c>
      <c r="X37" s="49" t="n">
        <f aca="false">IF(L37&lt;0,L37*-1,0)</f>
        <v>0.670531888076631</v>
      </c>
      <c r="Y37" s="49" t="n">
        <f aca="false">W37+X37</f>
        <v>85.6705318880766</v>
      </c>
      <c r="Z37" s="51" t="n">
        <v>0</v>
      </c>
      <c r="AA37" s="54" t="n">
        <v>48</v>
      </c>
      <c r="AB37" s="54" t="n">
        <v>12</v>
      </c>
      <c r="AC37" s="55" t="n">
        <f aca="false">AC36+1</f>
        <v>28</v>
      </c>
      <c r="AD37" s="83"/>
      <c r="AE37" s="85"/>
      <c r="AF37" s="84"/>
    </row>
    <row r="38" customFormat="false" ht="11.1" hidden="false" customHeight="true" outlineLevel="0" collapsed="false">
      <c r="A38" s="55" t="n">
        <f aca="false">A37+1</f>
        <v>29</v>
      </c>
      <c r="B38" s="69" t="n">
        <v>6910.76</v>
      </c>
      <c r="C38" s="50" t="n">
        <v>325036</v>
      </c>
      <c r="D38" s="54" t="n">
        <f aca="false">C38-C37</f>
        <v>-40</v>
      </c>
      <c r="E38" s="50" t="n">
        <f aca="false">C38-152000</f>
        <v>173036</v>
      </c>
      <c r="F38" s="49" t="n">
        <f aca="false">D38/$D$2</f>
        <v>-20.1663725737333</v>
      </c>
      <c r="G38" s="49" t="n">
        <v>64</v>
      </c>
      <c r="H38" s="51" t="n">
        <v>0</v>
      </c>
      <c r="I38" s="49" t="n">
        <f aca="false">G38+H38</f>
        <v>64</v>
      </c>
      <c r="J38" s="76" t="n">
        <f aca="false">IF(L38&gt;0,L38,0)</f>
        <v>0.833627426266702</v>
      </c>
      <c r="K38" s="49" t="n">
        <f aca="false">I38+J38</f>
        <v>64.8336274262667</v>
      </c>
      <c r="L38" s="49" t="n">
        <f aca="false">F38-(I38-W38)</f>
        <v>0.833627426266702</v>
      </c>
      <c r="M38" s="49" t="n">
        <v>4</v>
      </c>
      <c r="N38" s="49"/>
      <c r="O38" s="49" t="n">
        <v>0</v>
      </c>
      <c r="P38" s="6" t="n">
        <f aca="false">M38-(N38+O38)</f>
        <v>4</v>
      </c>
      <c r="Q38" s="49" t="n">
        <v>0</v>
      </c>
      <c r="R38" s="49" t="n">
        <v>0</v>
      </c>
      <c r="S38" s="49" t="n">
        <f aca="false">SUM(P38:R38)</f>
        <v>4</v>
      </c>
      <c r="T38" s="50"/>
      <c r="U38" s="49" t="n">
        <v>0</v>
      </c>
      <c r="V38" s="49" t="n">
        <v>81</v>
      </c>
      <c r="W38" s="6" t="n">
        <f aca="false">N38+O38+S38+U38+V38</f>
        <v>85</v>
      </c>
      <c r="X38" s="49" t="n">
        <f aca="false">IF(L38&lt;0,L38*-1,0)</f>
        <v>0</v>
      </c>
      <c r="Y38" s="49" t="n">
        <f aca="false">W38+X38</f>
        <v>85</v>
      </c>
      <c r="Z38" s="51" t="n">
        <v>0</v>
      </c>
      <c r="AA38" s="77" t="n">
        <v>49</v>
      </c>
      <c r="AB38" s="54" t="n">
        <v>22</v>
      </c>
      <c r="AC38" s="55" t="n">
        <f aca="false">AC37+1</f>
        <v>29</v>
      </c>
      <c r="AD38" s="83"/>
      <c r="AE38" s="85"/>
      <c r="AF38" s="84"/>
    </row>
    <row r="39" customFormat="false" ht="11.1" hidden="false" customHeight="true" outlineLevel="0" collapsed="false">
      <c r="A39" s="55" t="n">
        <v>30</v>
      </c>
      <c r="B39" s="69" t="n">
        <v>6910.75</v>
      </c>
      <c r="C39" s="50" t="n">
        <v>324996</v>
      </c>
      <c r="D39" s="54" t="n">
        <f aca="false">C39-C38</f>
        <v>-40</v>
      </c>
      <c r="E39" s="50" t="n">
        <f aca="false">C39-152000</f>
        <v>172996</v>
      </c>
      <c r="F39" s="49" t="n">
        <f aca="false">D39/$D$2</f>
        <v>-20.1663725737333</v>
      </c>
      <c r="G39" s="49" t="n">
        <v>63</v>
      </c>
      <c r="H39" s="51" t="n">
        <v>0</v>
      </c>
      <c r="I39" s="49" t="n">
        <f aca="false">G39+H39</f>
        <v>63</v>
      </c>
      <c r="J39" s="76" t="n">
        <f aca="false">IF(L39&gt;0,L39,0)</f>
        <v>0</v>
      </c>
      <c r="K39" s="49" t="n">
        <f aca="false">I39+J39</f>
        <v>63</v>
      </c>
      <c r="L39" s="49" t="n">
        <f aca="false">F39-(I39-W39)</f>
        <v>-0.166372573733298</v>
      </c>
      <c r="M39" s="49" t="n">
        <v>4</v>
      </c>
      <c r="N39" s="49"/>
      <c r="O39" s="49" t="n">
        <v>0</v>
      </c>
      <c r="P39" s="6" t="n">
        <f aca="false">M39-(N39+O39)</f>
        <v>4</v>
      </c>
      <c r="Q39" s="49" t="n">
        <v>0</v>
      </c>
      <c r="R39" s="49" t="n">
        <v>0</v>
      </c>
      <c r="S39" s="49" t="n">
        <f aca="false">SUM(P39:R39)</f>
        <v>4</v>
      </c>
      <c r="T39" s="50"/>
      <c r="U39" s="49" t="n">
        <v>0</v>
      </c>
      <c r="V39" s="49" t="n">
        <v>79</v>
      </c>
      <c r="W39" s="6" t="n">
        <f aca="false">N39+O39+S39+U39+V39</f>
        <v>83</v>
      </c>
      <c r="X39" s="49" t="n">
        <f aca="false">IF(L39&lt;0,L39*-1,0)</f>
        <v>0.166372573733298</v>
      </c>
      <c r="Y39" s="49" t="n">
        <f aca="false">W39+X39</f>
        <v>83.1663725737333</v>
      </c>
      <c r="Z39" s="51" t="n">
        <v>0</v>
      </c>
      <c r="AA39" s="77" t="n">
        <v>43</v>
      </c>
      <c r="AB39" s="54" t="n">
        <v>21</v>
      </c>
      <c r="AC39" s="55" t="n">
        <v>30</v>
      </c>
      <c r="AD39" s="83"/>
      <c r="AE39" s="85"/>
      <c r="AF39" s="84"/>
    </row>
    <row r="40" customFormat="false" ht="11.1" hidden="false" customHeight="true" outlineLevel="0" collapsed="false">
      <c r="A40" s="55" t="n">
        <v>31</v>
      </c>
      <c r="B40" s="69" t="n">
        <v>6910.74</v>
      </c>
      <c r="C40" s="50" t="n">
        <v>324956</v>
      </c>
      <c r="D40" s="54" t="n">
        <f aca="false">C40-C39</f>
        <v>-40</v>
      </c>
      <c r="E40" s="50" t="n">
        <f aca="false">C40-152000</f>
        <v>172956</v>
      </c>
      <c r="F40" s="49" t="n">
        <f aca="false">D40/$D$2</f>
        <v>-20.1663725737333</v>
      </c>
      <c r="G40" s="49" t="n">
        <v>63</v>
      </c>
      <c r="H40" s="51" t="n">
        <v>0</v>
      </c>
      <c r="I40" s="49" t="n">
        <f aca="false">G40+H40</f>
        <v>63</v>
      </c>
      <c r="J40" s="76" t="n">
        <f aca="false">IF(L40&gt;0,L40,0)</f>
        <v>0</v>
      </c>
      <c r="K40" s="49" t="n">
        <f aca="false">I40+J40</f>
        <v>63</v>
      </c>
      <c r="L40" s="49" t="n">
        <f aca="false">F40-(I40-W40)</f>
        <v>-0.166372573733298</v>
      </c>
      <c r="M40" s="49" t="n">
        <v>4</v>
      </c>
      <c r="N40" s="49"/>
      <c r="O40" s="49" t="n">
        <v>0</v>
      </c>
      <c r="P40" s="6" t="n">
        <f aca="false">M40-(N40+O40)</f>
        <v>4</v>
      </c>
      <c r="Q40" s="49" t="n">
        <v>0</v>
      </c>
      <c r="R40" s="49" t="n">
        <v>0</v>
      </c>
      <c r="S40" s="49" t="n">
        <f aca="false">SUM(P40:R40)</f>
        <v>4</v>
      </c>
      <c r="T40" s="50"/>
      <c r="U40" s="49" t="n">
        <v>0</v>
      </c>
      <c r="V40" s="49" t="n">
        <v>79</v>
      </c>
      <c r="W40" s="6" t="n">
        <f aca="false">N40+O40+S40+U40+V40</f>
        <v>83</v>
      </c>
      <c r="X40" s="49" t="n">
        <f aca="false">IF(L40&lt;0,L40*-1,0)</f>
        <v>0.166372573733298</v>
      </c>
      <c r="Y40" s="49" t="n">
        <f aca="false">W40+X40</f>
        <v>83.1663725737333</v>
      </c>
      <c r="Z40" s="51" t="n">
        <v>0</v>
      </c>
      <c r="AA40" s="77" t="n">
        <v>40</v>
      </c>
      <c r="AB40" s="54" t="n">
        <v>18</v>
      </c>
      <c r="AC40" s="55" t="n">
        <v>31</v>
      </c>
      <c r="AD40" s="83"/>
      <c r="AE40" s="83"/>
      <c r="AF40" s="84"/>
    </row>
    <row r="41" customFormat="false" ht="3" hidden="false" customHeight="true" outlineLevel="0" collapsed="false">
      <c r="A41" s="70"/>
      <c r="B41" s="78"/>
      <c r="C41" s="72"/>
      <c r="D41" s="70"/>
      <c r="E41" s="72"/>
      <c r="F41" s="70"/>
      <c r="G41" s="78"/>
      <c r="H41" s="73"/>
      <c r="I41" s="70"/>
      <c r="J41" s="70"/>
      <c r="K41" s="70"/>
      <c r="L41" s="70"/>
      <c r="M41" s="78"/>
      <c r="N41" s="78"/>
      <c r="O41" s="70"/>
      <c r="P41" s="70"/>
      <c r="Q41" s="70"/>
      <c r="R41" s="70"/>
      <c r="S41" s="70"/>
      <c r="T41" s="72"/>
      <c r="U41" s="70"/>
      <c r="V41" s="78"/>
      <c r="W41" s="70"/>
      <c r="X41" s="70"/>
      <c r="Y41" s="70"/>
      <c r="Z41" s="73"/>
      <c r="AA41" s="74" t="n">
        <v>39</v>
      </c>
      <c r="AB41" s="74"/>
      <c r="AC41" s="75"/>
      <c r="AD41" s="83"/>
      <c r="AE41" s="83"/>
      <c r="AF41" s="84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-648.348878245526</v>
      </c>
      <c r="G42" s="50" t="n">
        <f aca="false">SUM(G10:G40)</f>
        <v>1894</v>
      </c>
      <c r="H42" s="51" t="n">
        <f aca="false">SUM(H10:H40)</f>
        <v>0</v>
      </c>
      <c r="I42" s="50" t="n">
        <f aca="false">SUM(I10:I40)</f>
        <v>1894</v>
      </c>
      <c r="J42" s="50" t="n">
        <f aca="false">SUM(J10:J40)</f>
        <v>3.99344592891354</v>
      </c>
      <c r="K42" s="50" t="n">
        <f aca="false">SUM(K10:K40)</f>
        <v>1897.99344592891</v>
      </c>
      <c r="L42" s="50" t="n">
        <f aca="false">SUM(L10:L40)</f>
        <v>-2.34887824552554</v>
      </c>
      <c r="M42" s="50" t="n">
        <f aca="false">SUM(M10:M41)</f>
        <v>129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129</v>
      </c>
      <c r="Q42" s="50" t="n">
        <f aca="false">SUM(Q10:Q40)</f>
        <v>0</v>
      </c>
      <c r="R42" s="50" t="n">
        <f aca="false">SUM(R10:R40)</f>
        <v>0</v>
      </c>
      <c r="S42" s="50" t="n">
        <f aca="false">SUM(S10:S40)</f>
        <v>129</v>
      </c>
      <c r="T42" s="50"/>
      <c r="U42" s="50" t="n">
        <f aca="false">SUM(U10:U40)</f>
        <v>0</v>
      </c>
      <c r="V42" s="50" t="n">
        <f aca="false">SUM(V10:V40)</f>
        <v>2411</v>
      </c>
      <c r="W42" s="50" t="n">
        <f aca="false">SUM(W10:W40)</f>
        <v>2540</v>
      </c>
      <c r="X42" s="50" t="n">
        <f aca="false">SUM(X10:X40)</f>
        <v>6.34232417443909</v>
      </c>
      <c r="Y42" s="50" t="n">
        <f aca="false">SUM(Y10:Y40)</f>
        <v>2546.34232417444</v>
      </c>
      <c r="Z42" s="51" t="n">
        <f aca="false">SUM(Z10:Z40)</f>
        <v>2</v>
      </c>
      <c r="AA42" s="54" t="n">
        <f aca="false">AVERAGE(AA10:AA40)</f>
        <v>32.6129032258064</v>
      </c>
      <c r="AB42" s="54" t="n">
        <f aca="false">AVERAGE(AB10:AB40)</f>
        <v>8.61290322580645</v>
      </c>
      <c r="AC42" s="55" t="s">
        <v>45</v>
      </c>
      <c r="AD42" s="83"/>
      <c r="AE42" s="83"/>
      <c r="AF42" s="84"/>
    </row>
    <row r="43" customFormat="false" ht="11.1" hidden="false" customHeight="true" outlineLevel="0" collapsed="false">
      <c r="A43" s="49" t="s">
        <v>46</v>
      </c>
      <c r="B43" s="49"/>
      <c r="C43" s="50"/>
      <c r="D43" s="50" t="n">
        <f aca="false">SUM(D10:D40)</f>
        <v>-1286</v>
      </c>
      <c r="E43" s="50"/>
      <c r="F43" s="50" t="n">
        <f aca="false">F42*$D$2</f>
        <v>-1286</v>
      </c>
      <c r="G43" s="50" t="n">
        <f aca="false">G42*$D$2</f>
        <v>3756.749</v>
      </c>
      <c r="H43" s="51" t="n">
        <f aca="false">H42*$D$2</f>
        <v>0</v>
      </c>
      <c r="I43" s="50" t="n">
        <f aca="false">I42*$D$2</f>
        <v>3756.749</v>
      </c>
      <c r="J43" s="50" t="n">
        <f aca="false">J42*$D$2</f>
        <v>7.92100000000002</v>
      </c>
      <c r="K43" s="50" t="n">
        <f aca="false">K42*$D$2</f>
        <v>3764.67</v>
      </c>
      <c r="L43" s="50" t="n">
        <f aca="false">L42*$D$2</f>
        <v>-4.65899999999991</v>
      </c>
      <c r="M43" s="50" t="n">
        <f aca="false">M42*$D$2</f>
        <v>255.8715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255.8715</v>
      </c>
      <c r="Q43" s="50" t="n">
        <f aca="false">Q42*$D$2</f>
        <v>0</v>
      </c>
      <c r="R43" s="50" t="n">
        <f aca="false">R42*$D$2</f>
        <v>0</v>
      </c>
      <c r="S43" s="50" t="n">
        <f aca="false">S42*$D$2</f>
        <v>255.8715</v>
      </c>
      <c r="T43" s="50"/>
      <c r="U43" s="50" t="n">
        <f aca="false">U42*$D$2</f>
        <v>0</v>
      </c>
      <c r="V43" s="50" t="n">
        <f aca="false">V42*$D$2</f>
        <v>4782.2185</v>
      </c>
      <c r="W43" s="50" t="n">
        <f aca="false">W42*$D$2</f>
        <v>5038.09</v>
      </c>
      <c r="X43" s="50" t="n">
        <f aca="false">X42*$D$2</f>
        <v>12.5799999999999</v>
      </c>
      <c r="Y43" s="50" t="n">
        <f aca="false">Y42*$D$2</f>
        <v>5050.67</v>
      </c>
      <c r="Z43" s="51"/>
      <c r="AA43" s="54" t="n">
        <f aca="false">MAX(AA10:AA40)</f>
        <v>49</v>
      </c>
      <c r="AB43" s="54" t="n">
        <f aca="false">MAX(AB10:AB40)</f>
        <v>22</v>
      </c>
      <c r="AC43" s="55" t="s">
        <v>47</v>
      </c>
      <c r="AD43" s="83"/>
      <c r="AE43" s="83"/>
      <c r="AF43" s="84"/>
    </row>
    <row r="44" customFormat="false" ht="3" hidden="false" customHeight="true" outlineLevel="0" collapsed="false">
      <c r="A44" s="70"/>
      <c r="B44" s="70"/>
      <c r="C44" s="72"/>
      <c r="D44" s="72"/>
      <c r="E44" s="72"/>
      <c r="F44" s="72"/>
      <c r="G44" s="72"/>
      <c r="H44" s="73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1"/>
      <c r="AA44" s="54"/>
      <c r="AB44" s="54"/>
      <c r="AC44" s="55"/>
      <c r="AD44" s="83"/>
      <c r="AE44" s="83"/>
      <c r="AF44" s="84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/>
      <c r="G45" s="50"/>
      <c r="H45" s="51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54" t="n">
        <f aca="false">MIN(AA10:AA40)</f>
        <v>20</v>
      </c>
      <c r="AB45" s="54" t="n">
        <f aca="false">MIN(AB10:AB40)</f>
        <v>-4</v>
      </c>
      <c r="AC45" s="55" t="s">
        <v>49</v>
      </c>
      <c r="AD45" s="83"/>
      <c r="AE45" s="83"/>
      <c r="AF45" s="84"/>
    </row>
    <row r="46" customFormat="false" ht="11.1" hidden="false" customHeight="true" outlineLevel="0" collapsed="false">
      <c r="A46" s="49" t="s">
        <v>50</v>
      </c>
      <c r="B46" s="49"/>
      <c r="C46" s="50"/>
      <c r="D46" s="50"/>
      <c r="E46" s="50"/>
      <c r="F46" s="50"/>
      <c r="G46" s="50"/>
      <c r="H46" s="51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54"/>
      <c r="AB46" s="54"/>
      <c r="AC46" s="55"/>
      <c r="AD46" s="83"/>
      <c r="AE46" s="83"/>
      <c r="AF46" s="84"/>
    </row>
    <row r="47" customFormat="false" ht="3" hidden="false" customHeight="true" outlineLevel="0" collapsed="false">
      <c r="A47" s="70"/>
      <c r="B47" s="70"/>
      <c r="C47" s="72"/>
      <c r="D47" s="72"/>
      <c r="E47" s="72"/>
      <c r="F47" s="72"/>
      <c r="G47" s="72"/>
      <c r="H47" s="73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54"/>
      <c r="AB47" s="54"/>
      <c r="AC47" s="55"/>
      <c r="AD47" s="83"/>
      <c r="AE47" s="83"/>
      <c r="AF47" s="84"/>
    </row>
    <row r="48" customFormat="false" ht="11.1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-587.345601209982</v>
      </c>
      <c r="G48" s="50" t="n">
        <f aca="false">G8+G42</f>
        <v>8194</v>
      </c>
      <c r="H48" s="51" t="n">
        <f aca="false">H8+H42</f>
        <v>0</v>
      </c>
      <c r="I48" s="50" t="n">
        <f aca="false">I8+I42</f>
        <v>8194</v>
      </c>
      <c r="J48" s="50" t="n">
        <f aca="false">J8+J42</f>
        <v>905.932442651878</v>
      </c>
      <c r="K48" s="50" t="n">
        <f aca="false">K8+K42</f>
        <v>9099.93244265188</v>
      </c>
      <c r="L48" s="50" t="n">
        <f aca="false">L8+L42</f>
        <v>-6.34560120998229</v>
      </c>
      <c r="M48" s="50" t="n">
        <f aca="false">M8+M42</f>
        <v>911</v>
      </c>
      <c r="N48" s="50" t="n">
        <f aca="false">N8+N42</f>
        <v>0</v>
      </c>
      <c r="O48" s="50" t="n">
        <f aca="false">O8+O42</f>
        <v>0</v>
      </c>
      <c r="P48" s="50" t="n">
        <f aca="false">P8+P42</f>
        <v>911</v>
      </c>
      <c r="Q48" s="50" t="n">
        <f aca="false">Q8+Q42</f>
        <v>533</v>
      </c>
      <c r="R48" s="50" t="n">
        <f aca="false">R8+R42</f>
        <v>104</v>
      </c>
      <c r="S48" s="50" t="n">
        <f aca="false">S8+S42</f>
        <v>1548</v>
      </c>
      <c r="T48" s="50"/>
      <c r="U48" s="50" t="n">
        <f aca="false">U8+U42</f>
        <v>0</v>
      </c>
      <c r="V48" s="50" t="n">
        <f aca="false">V8+V42</f>
        <v>7227</v>
      </c>
      <c r="W48" s="50" t="n">
        <f aca="false">W8+W42</f>
        <v>8775</v>
      </c>
      <c r="X48" s="50" t="n">
        <f aca="false">X8+X42</f>
        <v>912.27804386186</v>
      </c>
      <c r="Y48" s="50" t="n">
        <f aca="false">Y8+Y42</f>
        <v>9687.27804386186</v>
      </c>
      <c r="Z48" s="51" t="n">
        <f aca="false">Z8+Z42</f>
        <v>6.14</v>
      </c>
      <c r="AA48" s="54"/>
      <c r="AB48" s="54"/>
      <c r="AC48" s="55"/>
      <c r="AD48" s="83"/>
      <c r="AE48" s="83"/>
      <c r="AF48" s="84"/>
    </row>
    <row r="49" customFormat="false" ht="11.1" hidden="false" customHeight="true" outlineLevel="0" collapsed="false">
      <c r="A49" s="49" t="s">
        <v>52</v>
      </c>
      <c r="B49" s="49"/>
      <c r="C49" s="50"/>
      <c r="D49" s="50" t="n">
        <f aca="false">D8+D43</f>
        <v>-1165</v>
      </c>
      <c r="E49" s="50" t="n">
        <f aca="false">E40</f>
        <v>172956</v>
      </c>
      <c r="F49" s="50" t="n">
        <f aca="false">F48*$D$2</f>
        <v>-1165</v>
      </c>
      <c r="G49" s="50" t="n">
        <f aca="false">G48*$D$2</f>
        <v>16252.799</v>
      </c>
      <c r="H49" s="51" t="n">
        <f aca="false">H48*$D$2</f>
        <v>0</v>
      </c>
      <c r="I49" s="50" t="n">
        <f aca="false">I48*$D$2</f>
        <v>16252.799</v>
      </c>
      <c r="J49" s="50" t="n">
        <f aca="false">J48*$D$2</f>
        <v>1796.917</v>
      </c>
      <c r="K49" s="50" t="n">
        <f aca="false">K48*$D$2</f>
        <v>18049.716</v>
      </c>
      <c r="L49" s="50" t="n">
        <f aca="false">L48*$D$2</f>
        <v>-12.5864999999999</v>
      </c>
      <c r="M49" s="50" t="n">
        <f aca="false">M48*$D$2</f>
        <v>1806.9685</v>
      </c>
      <c r="N49" s="50" t="n">
        <f aca="false">N48*$D$2</f>
        <v>0</v>
      </c>
      <c r="O49" s="50" t="n">
        <f aca="false">O48*$D$2</f>
        <v>0</v>
      </c>
      <c r="P49" s="50" t="n">
        <f aca="false">P48*$D$2</f>
        <v>1806.9685</v>
      </c>
      <c r="Q49" s="50" t="n">
        <f aca="false">Q48*$D$2</f>
        <v>1057.2055</v>
      </c>
      <c r="R49" s="50" t="n">
        <f aca="false">R48*$D$2</f>
        <v>206.284</v>
      </c>
      <c r="S49" s="50" t="n">
        <f aca="false">S48*$D$2</f>
        <v>3070.458</v>
      </c>
      <c r="T49" s="50" t="n">
        <f aca="false">T48*$D$2</f>
        <v>0</v>
      </c>
      <c r="U49" s="50" t="n">
        <f aca="false">U48*$D$2</f>
        <v>0</v>
      </c>
      <c r="V49" s="50" t="n">
        <f aca="false">V48*$D$2</f>
        <v>14334.7545</v>
      </c>
      <c r="W49" s="50" t="n">
        <f aca="false">W48*$D$2</f>
        <v>17405.2125</v>
      </c>
      <c r="X49" s="50" t="n">
        <f aca="false">X48*$D$2</f>
        <v>1809.5035</v>
      </c>
      <c r="Y49" s="50" t="n">
        <f aca="false">Y48*$D$2</f>
        <v>19214.716</v>
      </c>
      <c r="Z49" s="51"/>
      <c r="AA49" s="54"/>
      <c r="AB49" s="54"/>
      <c r="AC49" s="55"/>
      <c r="AD49" s="83"/>
      <c r="AE49" s="83"/>
      <c r="AF49" s="84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73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1"/>
      <c r="AA50" s="54"/>
      <c r="AB50" s="54"/>
      <c r="AC50" s="55"/>
      <c r="AD50" s="83"/>
      <c r="AE50" s="83"/>
      <c r="AF50" s="84"/>
    </row>
    <row r="51" customFormat="false" ht="11.1" hidden="false" customHeight="true" outlineLevel="0" collapsed="false">
      <c r="A51" s="49"/>
      <c r="B51" s="79"/>
      <c r="C51" s="50"/>
      <c r="D51" s="49"/>
      <c r="E51" s="50"/>
      <c r="F51" s="49"/>
      <c r="G51" s="49"/>
      <c r="H51" s="51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  <c r="Y51" s="49"/>
      <c r="Z51" s="51"/>
      <c r="AA51" s="54"/>
      <c r="AB51" s="54"/>
      <c r="AC51" s="55"/>
      <c r="AD51" s="82"/>
      <c r="AE51" s="82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49"/>
      <c r="H52" s="51"/>
      <c r="I52" s="80"/>
      <c r="J52" s="49"/>
      <c r="K52" s="39"/>
      <c r="L52" s="49"/>
      <c r="M52" s="49"/>
      <c r="N52" s="49"/>
      <c r="O52" s="49"/>
      <c r="P52" s="49"/>
      <c r="Q52" s="49"/>
      <c r="R52" s="49"/>
      <c r="S52" s="49"/>
      <c r="T52" s="50"/>
      <c r="U52" s="49"/>
      <c r="V52" s="49"/>
      <c r="W52" s="49"/>
      <c r="X52" s="49"/>
      <c r="Y52" s="49"/>
      <c r="Z52" s="51"/>
      <c r="AA52" s="54"/>
      <c r="AB52" s="54"/>
      <c r="AC52" s="55"/>
      <c r="AD52" s="82"/>
      <c r="AE52" s="82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51"/>
      <c r="I53" s="77"/>
      <c r="J53" s="77"/>
      <c r="K53" s="77"/>
      <c r="L53" s="77"/>
      <c r="M53" s="76"/>
      <c r="N53" s="76"/>
      <c r="O53" s="76"/>
      <c r="P53" s="76"/>
      <c r="Q53" s="77"/>
      <c r="R53" s="77"/>
      <c r="S53" s="77"/>
      <c r="T53" s="50"/>
      <c r="U53" s="77"/>
      <c r="V53" s="77"/>
      <c r="W53" s="77"/>
      <c r="X53" s="77"/>
      <c r="Y53" s="77"/>
      <c r="Z53" s="51"/>
      <c r="AA53" s="54"/>
      <c r="AB53" s="54"/>
      <c r="AC53" s="55"/>
      <c r="AD53" s="86"/>
      <c r="AE53" s="86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51"/>
      <c r="I54" s="77"/>
      <c r="J54" s="77"/>
      <c r="K54" s="77"/>
      <c r="L54" s="77"/>
      <c r="M54" s="76"/>
      <c r="N54" s="76"/>
      <c r="O54" s="76"/>
      <c r="P54" s="77"/>
      <c r="Q54" s="77"/>
      <c r="R54" s="77"/>
      <c r="S54" s="50"/>
      <c r="T54" s="77"/>
      <c r="U54" s="77"/>
      <c r="V54" s="50"/>
      <c r="W54" s="77"/>
      <c r="X54" s="77"/>
      <c r="Y54" s="53"/>
      <c r="Z54" s="51"/>
      <c r="AA54" s="54"/>
      <c r="AB54" s="55"/>
      <c r="AC54" s="86"/>
      <c r="AD54" s="86"/>
    </row>
    <row r="55" customFormat="false" ht="11.1" hidden="false" customHeight="true" outlineLevel="0" collapsed="false">
      <c r="A55" s="77"/>
      <c r="B55" s="77"/>
      <c r="C55" s="50"/>
      <c r="D55" s="77"/>
      <c r="E55" s="50"/>
      <c r="F55" s="77"/>
      <c r="G55" s="81"/>
      <c r="H55" s="51"/>
      <c r="I55" s="77"/>
      <c r="J55" s="77"/>
      <c r="K55" s="77"/>
      <c r="L55" s="77"/>
      <c r="M55" s="76"/>
      <c r="N55" s="76"/>
      <c r="O55" s="76"/>
      <c r="P55" s="77"/>
      <c r="Q55" s="77"/>
      <c r="R55" s="77"/>
      <c r="S55" s="50"/>
      <c r="T55" s="77"/>
      <c r="U55" s="77"/>
      <c r="V55" s="50"/>
      <c r="W55" s="77"/>
      <c r="X55" s="77"/>
      <c r="Y55" s="53"/>
      <c r="Z55" s="51"/>
      <c r="AA55" s="54"/>
      <c r="AB55" s="55"/>
      <c r="AC55" s="86"/>
      <c r="AD55" s="8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G19" activePane="bottomRight" state="frozen"/>
      <selection pane="topLeft" activeCell="A1" activeCellId="0" sqref="A1"/>
      <selection pane="topRight" activeCell="G1" activeCellId="0" sqref="G1"/>
      <selection pane="bottomLeft" activeCell="A19" activeCellId="0" sqref="A19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44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4.6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51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51"/>
      <c r="I2" s="49"/>
      <c r="J2" s="49"/>
      <c r="K2" s="57" t="s">
        <v>57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51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61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58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61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58</v>
      </c>
      <c r="AD5" s="82"/>
      <c r="AE5" s="82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68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  <c r="AD6" s="83"/>
      <c r="AE6" s="83"/>
      <c r="AF6" s="84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/>
      <c r="G7" s="50"/>
      <c r="H7" s="5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JAN!B40</f>
        <v>6910.74</v>
      </c>
      <c r="C8" s="50" t="n">
        <f aca="false">JAN!C40</f>
        <v>324956</v>
      </c>
      <c r="D8" s="50" t="n">
        <f aca="false">JAN!$D$49</f>
        <v>-1165</v>
      </c>
      <c r="E8" s="50" t="n">
        <f aca="false">JAN!$E$40</f>
        <v>172956</v>
      </c>
      <c r="F8" s="50" t="n">
        <f aca="false">JAN!F48</f>
        <v>-587.345601209982</v>
      </c>
      <c r="G8" s="50" t="n">
        <f aca="false">JAN!G48</f>
        <v>8194</v>
      </c>
      <c r="H8" s="51" t="n">
        <f aca="false">JAN!H48</f>
        <v>0</v>
      </c>
      <c r="I8" s="50" t="n">
        <f aca="false">JAN!I48</f>
        <v>8194</v>
      </c>
      <c r="J8" s="50" t="n">
        <f aca="false">JAN!J48</f>
        <v>905.932442651878</v>
      </c>
      <c r="K8" s="50" t="n">
        <f aca="false">JAN!K48</f>
        <v>9099.93244265188</v>
      </c>
      <c r="L8" s="50" t="n">
        <f aca="false">JAN!L48</f>
        <v>-6.34560120998229</v>
      </c>
      <c r="M8" s="50" t="n">
        <f aca="false">JAN!M48</f>
        <v>911</v>
      </c>
      <c r="N8" s="50" t="n">
        <f aca="false">JAN!N48</f>
        <v>0</v>
      </c>
      <c r="O8" s="50" t="n">
        <f aca="false">JAN!O48</f>
        <v>0</v>
      </c>
      <c r="P8" s="50" t="n">
        <f aca="false">JAN!P48</f>
        <v>911</v>
      </c>
      <c r="Q8" s="50" t="n">
        <f aca="false">JAN!Q48</f>
        <v>533</v>
      </c>
      <c r="R8" s="50" t="n">
        <f aca="false">JAN!R48</f>
        <v>104</v>
      </c>
      <c r="S8" s="50" t="n">
        <f aca="false">JAN!S48</f>
        <v>1548</v>
      </c>
      <c r="T8" s="50" t="n">
        <f aca="false">JAN!T48</f>
        <v>0</v>
      </c>
      <c r="U8" s="50" t="n">
        <f aca="false">JAN!U48</f>
        <v>0</v>
      </c>
      <c r="V8" s="50" t="n">
        <f aca="false">JAN!V48</f>
        <v>7227</v>
      </c>
      <c r="W8" s="50" t="n">
        <f aca="false">JAN!W48</f>
        <v>8775</v>
      </c>
      <c r="X8" s="50" t="n">
        <f aca="false">JAN!X48</f>
        <v>912.27804386186</v>
      </c>
      <c r="Y8" s="50" t="n">
        <f aca="false">JAN!Y48</f>
        <v>9687.27804386186</v>
      </c>
      <c r="Z8" s="51" t="n">
        <f aca="false">JAN!Z48</f>
        <v>6.14</v>
      </c>
      <c r="AA8" s="54"/>
      <c r="AB8" s="54"/>
      <c r="AC8" s="55"/>
      <c r="AD8" s="85"/>
      <c r="AE8" s="83"/>
      <c r="AF8" s="8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73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6910.73</v>
      </c>
      <c r="C10" s="50" t="n">
        <v>324916</v>
      </c>
      <c r="D10" s="54" t="n">
        <f aca="false">C10-C8</f>
        <v>-40</v>
      </c>
      <c r="E10" s="50" t="n">
        <f aca="false">C10-152000</f>
        <v>172916</v>
      </c>
      <c r="F10" s="49" t="n">
        <f aca="false">D10/$D$2</f>
        <v>-20.1663725737333</v>
      </c>
      <c r="G10" s="49" t="n">
        <v>64</v>
      </c>
      <c r="H10" s="51" t="n">
        <v>0</v>
      </c>
      <c r="I10" s="49" t="n">
        <f aca="false">G10+H10</f>
        <v>64</v>
      </c>
      <c r="J10" s="76" t="n">
        <f aca="false">IF(L10&gt;0,L10,0)</f>
        <v>0</v>
      </c>
      <c r="K10" s="49" t="n">
        <f aca="false">I10+J10</f>
        <v>64</v>
      </c>
      <c r="L10" s="49" t="n">
        <f aca="false">F10-(I10-W10)</f>
        <v>-0.166372573733298</v>
      </c>
      <c r="M10" s="49" t="n">
        <v>5</v>
      </c>
      <c r="N10" s="49" t="n">
        <v>0</v>
      </c>
      <c r="O10" s="49" t="n">
        <v>0</v>
      </c>
      <c r="P10" s="6" t="n">
        <f aca="false">M10-(N10+O10)</f>
        <v>5</v>
      </c>
      <c r="Q10" s="49" t="n">
        <v>0</v>
      </c>
      <c r="R10" s="49" t="n">
        <v>0</v>
      </c>
      <c r="S10" s="49" t="n">
        <f aca="false">SUM(P10:R10)</f>
        <v>5</v>
      </c>
      <c r="T10" s="50"/>
      <c r="U10" s="49" t="n">
        <v>0</v>
      </c>
      <c r="V10" s="49" t="n">
        <v>79</v>
      </c>
      <c r="W10" s="6" t="n">
        <f aca="false">N10+O10+S10+U10+V10</f>
        <v>84</v>
      </c>
      <c r="X10" s="49" t="n">
        <f aca="false">IF(L10&lt;0,L10*-1,0)</f>
        <v>0.166372573733298</v>
      </c>
      <c r="Y10" s="49" t="n">
        <f aca="false">W10+X10</f>
        <v>84.1663725737333</v>
      </c>
      <c r="Z10" s="51" t="n">
        <v>0.1</v>
      </c>
      <c r="AA10" s="54" t="n">
        <v>38</v>
      </c>
      <c r="AB10" s="54" t="n">
        <v>16</v>
      </c>
      <c r="AC10" s="55" t="n">
        <v>1</v>
      </c>
      <c r="AD10" s="84"/>
      <c r="AE10" s="85"/>
      <c r="AF10" s="84"/>
    </row>
    <row r="11" customFormat="false" ht="11.1" hidden="false" customHeight="true" outlineLevel="0" collapsed="false">
      <c r="A11" s="55" t="n">
        <f aca="false">A10+1</f>
        <v>2</v>
      </c>
      <c r="B11" s="69" t="n">
        <v>6910.72</v>
      </c>
      <c r="C11" s="50" t="n">
        <v>324876</v>
      </c>
      <c r="D11" s="54" t="n">
        <f aca="false">C11-C10</f>
        <v>-40</v>
      </c>
      <c r="E11" s="50" t="n">
        <f aca="false">C11-152000</f>
        <v>172876</v>
      </c>
      <c r="F11" s="49" t="n">
        <f aca="false">D11/$D$2</f>
        <v>-20.1663725737333</v>
      </c>
      <c r="G11" s="49" t="n">
        <v>64</v>
      </c>
      <c r="H11" s="51" t="n">
        <v>0</v>
      </c>
      <c r="I11" s="49" t="n">
        <f aca="false">G11+H11</f>
        <v>64</v>
      </c>
      <c r="J11" s="76" t="n">
        <f aca="false">IF(L11&gt;0,L11,0)</f>
        <v>0</v>
      </c>
      <c r="K11" s="49" t="n">
        <f aca="false">I11+J11</f>
        <v>64</v>
      </c>
      <c r="L11" s="49" t="n">
        <f aca="false">F11-(I11-W11)</f>
        <v>-0.166372573733298</v>
      </c>
      <c r="M11" s="49" t="n">
        <v>5</v>
      </c>
      <c r="N11" s="49" t="n">
        <v>0</v>
      </c>
      <c r="O11" s="49" t="n">
        <v>0</v>
      </c>
      <c r="P11" s="6" t="n">
        <f aca="false">M11-(N11+O11)</f>
        <v>5</v>
      </c>
      <c r="Q11" s="49" t="n">
        <v>0</v>
      </c>
      <c r="R11" s="49" t="n">
        <v>0</v>
      </c>
      <c r="S11" s="49" t="n">
        <f aca="false">SUM(P11:R11)</f>
        <v>5</v>
      </c>
      <c r="T11" s="50"/>
      <c r="U11" s="49" t="n">
        <v>0</v>
      </c>
      <c r="V11" s="49" t="n">
        <v>79</v>
      </c>
      <c r="W11" s="6" t="n">
        <f aca="false">N11+O11+S11+U11+V11</f>
        <v>84</v>
      </c>
      <c r="X11" s="49" t="n">
        <f aca="false">IF(L11&lt;0,L11*-1,0)</f>
        <v>0.166372573733298</v>
      </c>
      <c r="Y11" s="49" t="n">
        <f aca="false">W11+X11</f>
        <v>84.1663725737333</v>
      </c>
      <c r="Z11" s="51" t="n">
        <v>0.53</v>
      </c>
      <c r="AA11" s="54" t="n">
        <v>34</v>
      </c>
      <c r="AB11" s="54" t="n">
        <v>26</v>
      </c>
      <c r="AC11" s="55" t="n">
        <f aca="false">AC10+1</f>
        <v>2</v>
      </c>
      <c r="AD11" s="84"/>
      <c r="AE11" s="85"/>
      <c r="AF11" s="84"/>
    </row>
    <row r="12" customFormat="false" ht="11.1" hidden="false" customHeight="true" outlineLevel="0" collapsed="false">
      <c r="A12" s="55" t="n">
        <f aca="false">A11+1</f>
        <v>3</v>
      </c>
      <c r="B12" s="69" t="n">
        <v>6910.71</v>
      </c>
      <c r="C12" s="50" t="n">
        <v>324836</v>
      </c>
      <c r="D12" s="54" t="n">
        <f aca="false">C12-C11</f>
        <v>-40</v>
      </c>
      <c r="E12" s="50" t="n">
        <f aca="false">C12-152000</f>
        <v>172836</v>
      </c>
      <c r="F12" s="49" t="n">
        <f aca="false">D12/$D$2</f>
        <v>-20.1663725737333</v>
      </c>
      <c r="G12" s="49" t="n">
        <v>63</v>
      </c>
      <c r="H12" s="51" t="n">
        <v>0</v>
      </c>
      <c r="I12" s="49" t="n">
        <f aca="false">G12+H12</f>
        <v>63</v>
      </c>
      <c r="J12" s="76" t="n">
        <f aca="false">IF(L12&gt;0,L12,0)</f>
        <v>0.833627426266702</v>
      </c>
      <c r="K12" s="49" t="n">
        <f aca="false">I12+J12</f>
        <v>63.8336274262667</v>
      </c>
      <c r="L12" s="49" t="n">
        <f aca="false">F12-(I12-W12)</f>
        <v>0.833627426266702</v>
      </c>
      <c r="M12" s="49" t="n">
        <v>5</v>
      </c>
      <c r="N12" s="49" t="n">
        <v>0</v>
      </c>
      <c r="O12" s="49" t="n">
        <v>0</v>
      </c>
      <c r="P12" s="6" t="n">
        <f aca="false">M12-(N12+O12)</f>
        <v>5</v>
      </c>
      <c r="Q12" s="49" t="n">
        <v>0</v>
      </c>
      <c r="R12" s="49" t="n">
        <v>0</v>
      </c>
      <c r="S12" s="49" t="n">
        <f aca="false">SUM(P12:R12)</f>
        <v>5</v>
      </c>
      <c r="T12" s="50"/>
      <c r="U12" s="49" t="n">
        <v>0</v>
      </c>
      <c r="V12" s="49" t="n">
        <v>79</v>
      </c>
      <c r="W12" s="6" t="n">
        <f aca="false">N12+O12+S12+U12+V12</f>
        <v>84</v>
      </c>
      <c r="X12" s="49" t="n">
        <f aca="false">IF(L12&lt;0,L12*-1,0)</f>
        <v>0</v>
      </c>
      <c r="Y12" s="49" t="n">
        <f aca="false">W12+X12</f>
        <v>84</v>
      </c>
      <c r="Z12" s="51" t="n">
        <v>0</v>
      </c>
      <c r="AA12" s="54" t="n">
        <v>36</v>
      </c>
      <c r="AB12" s="54" t="n">
        <v>24</v>
      </c>
      <c r="AC12" s="55" t="n">
        <f aca="false">AC11+1</f>
        <v>3</v>
      </c>
      <c r="AD12" s="84"/>
      <c r="AE12" s="85"/>
      <c r="AF12" s="84"/>
    </row>
    <row r="13" customFormat="false" ht="11.1" hidden="false" customHeight="true" outlineLevel="0" collapsed="false">
      <c r="A13" s="55" t="n">
        <f aca="false">A12+1</f>
        <v>4</v>
      </c>
      <c r="B13" s="69" t="n">
        <v>6910.7</v>
      </c>
      <c r="C13" s="50" t="n">
        <v>324796</v>
      </c>
      <c r="D13" s="54" t="n">
        <f aca="false">C13-C12</f>
        <v>-40</v>
      </c>
      <c r="E13" s="50" t="n">
        <f aca="false">C13-152000</f>
        <v>172796</v>
      </c>
      <c r="F13" s="49" t="n">
        <f aca="false">D13/$D$2</f>
        <v>-20.1663725737333</v>
      </c>
      <c r="G13" s="49" t="n">
        <v>63</v>
      </c>
      <c r="H13" s="51" t="n">
        <v>0</v>
      </c>
      <c r="I13" s="49" t="n">
        <f aca="false">G13+H13</f>
        <v>63</v>
      </c>
      <c r="J13" s="76" t="n">
        <f aca="false">IF(L13&gt;0,L13,0)</f>
        <v>0.833627426266702</v>
      </c>
      <c r="K13" s="49" t="n">
        <f aca="false">I13+J13</f>
        <v>63.8336274262667</v>
      </c>
      <c r="L13" s="49" t="n">
        <f aca="false">F13-(I13-W13)</f>
        <v>0.833627426266702</v>
      </c>
      <c r="M13" s="49" t="n">
        <v>5</v>
      </c>
      <c r="N13" s="49" t="n">
        <v>0</v>
      </c>
      <c r="O13" s="49" t="n">
        <v>0</v>
      </c>
      <c r="P13" s="6" t="n">
        <f aca="false">M13-(N13+O13)</f>
        <v>5</v>
      </c>
      <c r="Q13" s="49" t="n">
        <v>0</v>
      </c>
      <c r="R13" s="49" t="n">
        <v>0</v>
      </c>
      <c r="S13" s="49" t="n">
        <f aca="false">SUM(P13:R13)</f>
        <v>5</v>
      </c>
      <c r="T13" s="50"/>
      <c r="U13" s="49" t="n">
        <v>0</v>
      </c>
      <c r="V13" s="49" t="n">
        <v>79</v>
      </c>
      <c r="W13" s="6" t="n">
        <f aca="false">N13+O13+S13+U13+V13</f>
        <v>84</v>
      </c>
      <c r="X13" s="49" t="n">
        <f aca="false">IF(L13&lt;0,L13*-1,0)</f>
        <v>0</v>
      </c>
      <c r="Y13" s="49" t="n">
        <f aca="false">W13+X13</f>
        <v>84</v>
      </c>
      <c r="Z13" s="51" t="n">
        <v>0</v>
      </c>
      <c r="AA13" s="54" t="n">
        <v>39</v>
      </c>
      <c r="AB13" s="54" t="n">
        <v>4</v>
      </c>
      <c r="AC13" s="55" t="n">
        <f aca="false">AC12+1</f>
        <v>4</v>
      </c>
      <c r="AD13" s="84"/>
      <c r="AE13" s="85"/>
      <c r="AF13" s="84"/>
    </row>
    <row r="14" customFormat="false" ht="11.1" hidden="false" customHeight="true" outlineLevel="0" collapsed="false">
      <c r="A14" s="55" t="n">
        <f aca="false">A13+1</f>
        <v>5</v>
      </c>
      <c r="B14" s="69" t="n">
        <v>6910.69</v>
      </c>
      <c r="C14" s="50" t="n">
        <v>324755</v>
      </c>
      <c r="D14" s="54" t="n">
        <f aca="false">C14-C13</f>
        <v>-41</v>
      </c>
      <c r="E14" s="50" t="n">
        <f aca="false">C14-152000</f>
        <v>172755</v>
      </c>
      <c r="F14" s="49" t="n">
        <f aca="false">D14/$D$2</f>
        <v>-20.6705318880766</v>
      </c>
      <c r="G14" s="49" t="n">
        <v>63</v>
      </c>
      <c r="H14" s="51" t="n">
        <v>0</v>
      </c>
      <c r="I14" s="49" t="n">
        <f aca="false">G14+H14</f>
        <v>63</v>
      </c>
      <c r="J14" s="76" t="n">
        <f aca="false">IF(L14&gt;0,L14,0)</f>
        <v>0</v>
      </c>
      <c r="K14" s="49" t="n">
        <f aca="false">I14+J14</f>
        <v>63</v>
      </c>
      <c r="L14" s="49" t="n">
        <f aca="false">F14-(I14-W14)</f>
        <v>-0.670531888076631</v>
      </c>
      <c r="M14" s="49" t="n">
        <v>4</v>
      </c>
      <c r="N14" s="49" t="n">
        <v>0</v>
      </c>
      <c r="O14" s="49" t="n">
        <v>0</v>
      </c>
      <c r="P14" s="6" t="n">
        <f aca="false">M14-(N14+O14)</f>
        <v>4</v>
      </c>
      <c r="Q14" s="49" t="n">
        <v>0</v>
      </c>
      <c r="R14" s="49" t="n">
        <v>0</v>
      </c>
      <c r="S14" s="49" t="n">
        <f aca="false">SUM(P14:R14)</f>
        <v>4</v>
      </c>
      <c r="T14" s="50"/>
      <c r="U14" s="49" t="n">
        <v>0</v>
      </c>
      <c r="V14" s="49" t="n">
        <v>79</v>
      </c>
      <c r="W14" s="6" t="n">
        <f aca="false">N14+O14+S14+U14+V14</f>
        <v>83</v>
      </c>
      <c r="X14" s="49" t="n">
        <f aca="false">IF(L14&lt;0,L14*-1,0)</f>
        <v>0.670531888076631</v>
      </c>
      <c r="Y14" s="49" t="n">
        <f aca="false">W14+X14</f>
        <v>83.6705318880766</v>
      </c>
      <c r="Z14" s="51" t="n">
        <v>0</v>
      </c>
      <c r="AA14" s="54" t="n">
        <v>39</v>
      </c>
      <c r="AB14" s="54" t="n">
        <v>5</v>
      </c>
      <c r="AC14" s="55" t="n">
        <f aca="false">AC13+1</f>
        <v>5</v>
      </c>
      <c r="AD14" s="84"/>
      <c r="AE14" s="85"/>
      <c r="AF14" s="84"/>
    </row>
    <row r="15" customFormat="false" ht="11.1" hidden="false" customHeight="true" outlineLevel="0" collapsed="false">
      <c r="A15" s="55" t="n">
        <f aca="false">A14+1</f>
        <v>6</v>
      </c>
      <c r="B15" s="69" t="n">
        <v>6910.68</v>
      </c>
      <c r="C15" s="50" t="n">
        <v>324715</v>
      </c>
      <c r="D15" s="54" t="n">
        <f aca="false">C15-C14</f>
        <v>-40</v>
      </c>
      <c r="E15" s="50" t="n">
        <f aca="false">C15-152000</f>
        <v>172715</v>
      </c>
      <c r="F15" s="49" t="n">
        <f aca="false">D15/$D$2</f>
        <v>-20.1663725737333</v>
      </c>
      <c r="G15" s="49" t="n">
        <v>63</v>
      </c>
      <c r="H15" s="51" t="n">
        <v>0</v>
      </c>
      <c r="I15" s="49" t="n">
        <f aca="false">G15+H15</f>
        <v>63</v>
      </c>
      <c r="J15" s="76" t="n">
        <f aca="false">IF(L15&gt;0,L15,0)</f>
        <v>0</v>
      </c>
      <c r="K15" s="49" t="n">
        <f aca="false">I15+J15</f>
        <v>63</v>
      </c>
      <c r="L15" s="49" t="n">
        <f aca="false">F15-(I15-W15)</f>
        <v>-0.166372573733298</v>
      </c>
      <c r="M15" s="49" t="n">
        <v>4</v>
      </c>
      <c r="N15" s="49" t="n">
        <v>0</v>
      </c>
      <c r="O15" s="49" t="n">
        <v>0</v>
      </c>
      <c r="P15" s="6" t="n">
        <f aca="false">M15-(N15+O15)</f>
        <v>4</v>
      </c>
      <c r="Q15" s="49" t="n">
        <v>0</v>
      </c>
      <c r="R15" s="49" t="n">
        <v>0</v>
      </c>
      <c r="S15" s="49" t="n">
        <f aca="false">SUM(P15:R15)</f>
        <v>4</v>
      </c>
      <c r="T15" s="50"/>
      <c r="U15" s="49" t="n">
        <v>0</v>
      </c>
      <c r="V15" s="49" t="n">
        <v>79</v>
      </c>
      <c r="W15" s="6" t="n">
        <f aca="false">N15+O15+S15+U15+V15</f>
        <v>83</v>
      </c>
      <c r="X15" s="49" t="n">
        <f aca="false">IF(L15&lt;0,L15*-1,0)</f>
        <v>0.166372573733298</v>
      </c>
      <c r="Y15" s="49" t="n">
        <f aca="false">W15+X15</f>
        <v>83.1663725737333</v>
      </c>
      <c r="Z15" s="51" t="n">
        <v>0</v>
      </c>
      <c r="AA15" s="54" t="n">
        <v>38</v>
      </c>
      <c r="AB15" s="54" t="n">
        <v>7</v>
      </c>
      <c r="AC15" s="55" t="n">
        <f aca="false">AC14+1</f>
        <v>6</v>
      </c>
      <c r="AD15" s="83"/>
      <c r="AE15" s="85"/>
      <c r="AF15" s="84"/>
    </row>
    <row r="16" customFormat="false" ht="11.1" hidden="false" customHeight="true" outlineLevel="0" collapsed="false">
      <c r="A16" s="55" t="n">
        <f aca="false">A15+1</f>
        <v>7</v>
      </c>
      <c r="B16" s="69" t="n">
        <v>6910.67</v>
      </c>
      <c r="C16" s="50" t="n">
        <v>324675</v>
      </c>
      <c r="D16" s="54" t="n">
        <f aca="false">C16-C15</f>
        <v>-40</v>
      </c>
      <c r="E16" s="50" t="n">
        <f aca="false">C16-152000</f>
        <v>172675</v>
      </c>
      <c r="F16" s="49" t="n">
        <f aca="false">D16/$D$2</f>
        <v>-20.1663725737333</v>
      </c>
      <c r="G16" s="49" t="n">
        <v>63</v>
      </c>
      <c r="H16" s="51" t="n">
        <v>0</v>
      </c>
      <c r="I16" s="49" t="n">
        <f aca="false">G16+H16</f>
        <v>63</v>
      </c>
      <c r="J16" s="76" t="n">
        <f aca="false">IF(L16&gt;0,L16,0)</f>
        <v>0</v>
      </c>
      <c r="K16" s="49" t="n">
        <f aca="false">I16+J16</f>
        <v>63</v>
      </c>
      <c r="L16" s="49" t="n">
        <f aca="false">F16-(I16-W16)</f>
        <v>-0.166372573733298</v>
      </c>
      <c r="M16" s="49" t="n">
        <v>4</v>
      </c>
      <c r="N16" s="49" t="n">
        <v>0</v>
      </c>
      <c r="O16" s="49" t="n">
        <v>0</v>
      </c>
      <c r="P16" s="6" t="n">
        <f aca="false">M16-(N16+O16)</f>
        <v>4</v>
      </c>
      <c r="Q16" s="49" t="n">
        <v>0</v>
      </c>
      <c r="R16" s="49" t="n">
        <v>0</v>
      </c>
      <c r="S16" s="49" t="n">
        <f aca="false">SUM(P16:R16)</f>
        <v>4</v>
      </c>
      <c r="T16" s="50"/>
      <c r="U16" s="49" t="n">
        <v>0</v>
      </c>
      <c r="V16" s="49" t="n">
        <v>79</v>
      </c>
      <c r="W16" s="6" t="n">
        <f aca="false">N16+O16+S16+U16+V16</f>
        <v>83</v>
      </c>
      <c r="X16" s="49" t="n">
        <f aca="false">IF(L16&lt;0,L16*-1,0)</f>
        <v>0.166372573733298</v>
      </c>
      <c r="Y16" s="49" t="n">
        <f aca="false">W16+X16</f>
        <v>83.1663725737333</v>
      </c>
      <c r="Z16" s="51" t="n">
        <v>0</v>
      </c>
      <c r="AA16" s="54" t="n">
        <v>40</v>
      </c>
      <c r="AB16" s="54" t="n">
        <v>6</v>
      </c>
      <c r="AC16" s="55" t="n">
        <f aca="false">AC15+1</f>
        <v>7</v>
      </c>
      <c r="AD16" s="83"/>
      <c r="AE16" s="85"/>
      <c r="AF16" s="84"/>
    </row>
    <row r="17" customFormat="false" ht="11.1" hidden="false" customHeight="true" outlineLevel="0" collapsed="false">
      <c r="A17" s="55" t="n">
        <f aca="false">A16+1</f>
        <v>8</v>
      </c>
      <c r="B17" s="69" t="n">
        <v>6910.66</v>
      </c>
      <c r="C17" s="50" t="n">
        <v>324635</v>
      </c>
      <c r="D17" s="54" t="n">
        <f aca="false">C17-C16</f>
        <v>-40</v>
      </c>
      <c r="E17" s="50" t="n">
        <f aca="false">C17-152000</f>
        <v>172635</v>
      </c>
      <c r="F17" s="49" t="n">
        <f aca="false">D17/$D$2</f>
        <v>-20.1663725737333</v>
      </c>
      <c r="G17" s="49" t="n">
        <v>62</v>
      </c>
      <c r="H17" s="51" t="n">
        <v>0</v>
      </c>
      <c r="I17" s="49" t="n">
        <f aca="false">G17+H17</f>
        <v>62</v>
      </c>
      <c r="J17" s="76" t="n">
        <f aca="false">IF(L17&gt;0,L17,0)</f>
        <v>0</v>
      </c>
      <c r="K17" s="49" t="n">
        <f aca="false">I17+J17</f>
        <v>62</v>
      </c>
      <c r="L17" s="49" t="n">
        <f aca="false">F17-(I17-W17)</f>
        <v>-0.166372573733298</v>
      </c>
      <c r="M17" s="49" t="n">
        <v>4</v>
      </c>
      <c r="N17" s="49" t="n">
        <v>0</v>
      </c>
      <c r="O17" s="49" t="n">
        <v>0</v>
      </c>
      <c r="P17" s="6" t="n">
        <f aca="false">M17-(N17+O17)</f>
        <v>4</v>
      </c>
      <c r="Q17" s="49" t="n">
        <v>0</v>
      </c>
      <c r="R17" s="49" t="n">
        <v>0</v>
      </c>
      <c r="S17" s="49" t="n">
        <f aca="false">SUM(P17:R17)</f>
        <v>4</v>
      </c>
      <c r="T17" s="50"/>
      <c r="U17" s="49" t="n">
        <v>0</v>
      </c>
      <c r="V17" s="49" t="n">
        <v>78</v>
      </c>
      <c r="W17" s="6" t="n">
        <f aca="false">N17+O17+S17+U17+V17</f>
        <v>82</v>
      </c>
      <c r="X17" s="49" t="n">
        <f aca="false">IF(L17&lt;0,L17*-1,0)</f>
        <v>0.166372573733298</v>
      </c>
      <c r="Y17" s="49" t="n">
        <f aca="false">W17+X17</f>
        <v>82.1663725737333</v>
      </c>
      <c r="Z17" s="51" t="n">
        <v>0</v>
      </c>
      <c r="AA17" s="54" t="n">
        <v>39</v>
      </c>
      <c r="AB17" s="54" t="n">
        <v>0</v>
      </c>
      <c r="AC17" s="55" t="n">
        <f aca="false">AC16+1</f>
        <v>8</v>
      </c>
      <c r="AD17" s="83"/>
      <c r="AE17" s="85"/>
      <c r="AF17" s="84"/>
    </row>
    <row r="18" customFormat="false" ht="11.1" hidden="false" customHeight="true" outlineLevel="0" collapsed="false">
      <c r="A18" s="55" t="n">
        <f aca="false">A17+1</f>
        <v>9</v>
      </c>
      <c r="B18" s="69" t="n">
        <v>6910.65</v>
      </c>
      <c r="C18" s="50" t="n">
        <v>324595</v>
      </c>
      <c r="D18" s="54" t="n">
        <f aca="false">C18-C17</f>
        <v>-40</v>
      </c>
      <c r="E18" s="50" t="n">
        <f aca="false">C18-152000</f>
        <v>172595</v>
      </c>
      <c r="F18" s="49" t="n">
        <f aca="false">D18/$D$2</f>
        <v>-20.1663725737333</v>
      </c>
      <c r="G18" s="49" t="n">
        <v>61</v>
      </c>
      <c r="H18" s="51" t="n">
        <v>0</v>
      </c>
      <c r="I18" s="49" t="n">
        <f aca="false">G18+H18</f>
        <v>61</v>
      </c>
      <c r="J18" s="76" t="n">
        <f aca="false">IF(L18&gt;0,L18,0)</f>
        <v>0</v>
      </c>
      <c r="K18" s="49" t="n">
        <f aca="false">I18+J18</f>
        <v>61</v>
      </c>
      <c r="L18" s="49" t="n">
        <f aca="false">F18-(I18-W18)</f>
        <v>-0.166372573733298</v>
      </c>
      <c r="M18" s="49" t="n">
        <v>4</v>
      </c>
      <c r="N18" s="49" t="n">
        <v>0</v>
      </c>
      <c r="O18" s="49" t="n">
        <v>0</v>
      </c>
      <c r="P18" s="6" t="n">
        <f aca="false">M18-(N18+O18)</f>
        <v>4</v>
      </c>
      <c r="Q18" s="49" t="n">
        <v>0</v>
      </c>
      <c r="R18" s="49" t="n">
        <v>0</v>
      </c>
      <c r="S18" s="49" t="n">
        <f aca="false">SUM(P18:R18)</f>
        <v>4</v>
      </c>
      <c r="T18" s="50"/>
      <c r="U18" s="49" t="n">
        <v>0</v>
      </c>
      <c r="V18" s="49" t="n">
        <v>77</v>
      </c>
      <c r="W18" s="6" t="n">
        <f aca="false">N18+O18+S18+U18+V18</f>
        <v>81</v>
      </c>
      <c r="X18" s="49" t="n">
        <f aca="false">IF(L18&lt;0,L18*-1,0)</f>
        <v>0.166372573733298</v>
      </c>
      <c r="Y18" s="49" t="n">
        <f aca="false">W18+X18</f>
        <v>81.1663725737333</v>
      </c>
      <c r="Z18" s="51" t="n">
        <v>0</v>
      </c>
      <c r="AA18" s="77" t="n">
        <v>43</v>
      </c>
      <c r="AB18" s="54" t="n">
        <v>8</v>
      </c>
      <c r="AC18" s="55" t="n">
        <f aca="false">AC17+1</f>
        <v>9</v>
      </c>
      <c r="AD18" s="83"/>
      <c r="AE18" s="85"/>
      <c r="AF18" s="84"/>
    </row>
    <row r="19" customFormat="false" ht="11.1" hidden="false" customHeight="true" outlineLevel="0" collapsed="false">
      <c r="A19" s="55" t="n">
        <f aca="false">A18+1</f>
        <v>10</v>
      </c>
      <c r="B19" s="69" t="n">
        <v>6910.64</v>
      </c>
      <c r="C19" s="50" t="n">
        <v>324555</v>
      </c>
      <c r="D19" s="54" t="n">
        <f aca="false">C19-C18</f>
        <v>-40</v>
      </c>
      <c r="E19" s="50" t="n">
        <f aca="false">C19-152000</f>
        <v>172555</v>
      </c>
      <c r="F19" s="49" t="n">
        <f aca="false">D19/$D$2</f>
        <v>-20.1663725737333</v>
      </c>
      <c r="G19" s="49" t="n">
        <v>61</v>
      </c>
      <c r="H19" s="51" t="n">
        <v>0</v>
      </c>
      <c r="I19" s="49" t="n">
        <f aca="false">G19+H19</f>
        <v>61</v>
      </c>
      <c r="J19" s="76" t="n">
        <f aca="false">IF(L19&gt;0,L19,0)</f>
        <v>0</v>
      </c>
      <c r="K19" s="49" t="n">
        <f aca="false">I19+J19</f>
        <v>61</v>
      </c>
      <c r="L19" s="49" t="n">
        <f aca="false">F19-(I19-W19)</f>
        <v>-0.166372573733298</v>
      </c>
      <c r="M19" s="49" t="n">
        <v>4</v>
      </c>
      <c r="N19" s="49" t="n">
        <v>0</v>
      </c>
      <c r="O19" s="49" t="n">
        <v>0</v>
      </c>
      <c r="P19" s="6" t="n">
        <f aca="false">M19-(N19+O19)</f>
        <v>4</v>
      </c>
      <c r="Q19" s="49" t="n">
        <v>0</v>
      </c>
      <c r="R19" s="49" t="n">
        <v>0</v>
      </c>
      <c r="S19" s="49" t="n">
        <f aca="false">SUM(P19:R19)</f>
        <v>4</v>
      </c>
      <c r="T19" s="50"/>
      <c r="U19" s="49" t="n">
        <v>0</v>
      </c>
      <c r="V19" s="49" t="n">
        <v>77</v>
      </c>
      <c r="W19" s="6" t="n">
        <f aca="false">N19+O19+S19+U19+V19</f>
        <v>81</v>
      </c>
      <c r="X19" s="49" t="n">
        <f aca="false">IF(L19&lt;0,L19*-1,0)</f>
        <v>0.166372573733298</v>
      </c>
      <c r="Y19" s="49" t="n">
        <f aca="false">W19+X19</f>
        <v>81.1663725737333</v>
      </c>
      <c r="Z19" s="51" t="n">
        <v>0</v>
      </c>
      <c r="AA19" s="54" t="n">
        <v>37</v>
      </c>
      <c r="AB19" s="54" t="n">
        <v>14</v>
      </c>
      <c r="AC19" s="55" t="n">
        <f aca="false">AC18+1</f>
        <v>10</v>
      </c>
      <c r="AD19" s="83"/>
      <c r="AE19" s="85"/>
      <c r="AF19" s="84"/>
    </row>
    <row r="20" customFormat="false" ht="11.1" hidden="false" customHeight="true" outlineLevel="0" collapsed="false">
      <c r="A20" s="55" t="n">
        <f aca="false">A19+1</f>
        <v>11</v>
      </c>
      <c r="B20" s="69" t="n">
        <v>6910.63</v>
      </c>
      <c r="C20" s="50" t="n">
        <v>324515</v>
      </c>
      <c r="D20" s="54" t="n">
        <f aca="false">C20-C19</f>
        <v>-40</v>
      </c>
      <c r="E20" s="50" t="n">
        <f aca="false">C20-152000</f>
        <v>172515</v>
      </c>
      <c r="F20" s="49" t="n">
        <f aca="false">D20/$D$2</f>
        <v>-20.1663725737333</v>
      </c>
      <c r="G20" s="49" t="n">
        <v>61</v>
      </c>
      <c r="H20" s="51" t="n">
        <v>0</v>
      </c>
      <c r="I20" s="49" t="n">
        <f aca="false">G20+H20</f>
        <v>61</v>
      </c>
      <c r="J20" s="76" t="n">
        <f aca="false">IF(L20&gt;0,L20,0)</f>
        <v>0</v>
      </c>
      <c r="K20" s="49" t="n">
        <f aca="false">I20+J20</f>
        <v>61</v>
      </c>
      <c r="L20" s="49" t="n">
        <f aca="false">F20-(I20-W20)</f>
        <v>-0.166372573733298</v>
      </c>
      <c r="M20" s="49" t="n">
        <v>4</v>
      </c>
      <c r="N20" s="49" t="n">
        <v>0</v>
      </c>
      <c r="O20" s="49" t="n">
        <v>0</v>
      </c>
      <c r="P20" s="6" t="n">
        <f aca="false">M20-(N20+O20)</f>
        <v>4</v>
      </c>
      <c r="Q20" s="49" t="n">
        <v>0</v>
      </c>
      <c r="R20" s="49" t="n">
        <v>0</v>
      </c>
      <c r="S20" s="49" t="n">
        <f aca="false">SUM(P20:R20)</f>
        <v>4</v>
      </c>
      <c r="T20" s="50"/>
      <c r="U20" s="49" t="n">
        <v>0</v>
      </c>
      <c r="V20" s="49" t="n">
        <v>77</v>
      </c>
      <c r="W20" s="6" t="n">
        <f aca="false">N20+O20+S20+U20+V20</f>
        <v>81</v>
      </c>
      <c r="X20" s="49" t="n">
        <f aca="false">IF(L20&lt;0,L20*-1,0)</f>
        <v>0.166372573733298</v>
      </c>
      <c r="Y20" s="49" t="n">
        <f aca="false">W20+X20</f>
        <v>81.1663725737333</v>
      </c>
      <c r="Z20" s="51" t="n">
        <v>0</v>
      </c>
      <c r="AA20" s="54" t="n">
        <v>43</v>
      </c>
      <c r="AB20" s="54" t="n">
        <v>6</v>
      </c>
      <c r="AC20" s="55" t="n">
        <f aca="false">AC19+1</f>
        <v>11</v>
      </c>
      <c r="AD20" s="83"/>
      <c r="AE20" s="85"/>
      <c r="AF20" s="84"/>
    </row>
    <row r="21" customFormat="false" ht="11.1" hidden="false" customHeight="true" outlineLevel="0" collapsed="false">
      <c r="A21" s="55" t="n">
        <f aca="false">A20+1</f>
        <v>12</v>
      </c>
      <c r="B21" s="69" t="n">
        <v>6910.62</v>
      </c>
      <c r="C21" s="50" t="n">
        <v>324474</v>
      </c>
      <c r="D21" s="54" t="n">
        <f aca="false">C21-C20</f>
        <v>-41</v>
      </c>
      <c r="E21" s="50" t="n">
        <f aca="false">C21-152000</f>
        <v>172474</v>
      </c>
      <c r="F21" s="49" t="n">
        <f aca="false">D21/$D$2</f>
        <v>-20.6705318880766</v>
      </c>
      <c r="G21" s="49" t="n">
        <v>61</v>
      </c>
      <c r="H21" s="51" t="n">
        <v>0</v>
      </c>
      <c r="I21" s="49" t="n">
        <f aca="false">G21+H21</f>
        <v>61</v>
      </c>
      <c r="J21" s="76" t="n">
        <f aca="false">IF(L21&gt;0,L21,0)</f>
        <v>0.329468111923369</v>
      </c>
      <c r="K21" s="49" t="n">
        <f aca="false">I21+J21</f>
        <v>61.3294681119234</v>
      </c>
      <c r="L21" s="49" t="n">
        <f aca="false">F21-(I21-W21)</f>
        <v>0.329468111923369</v>
      </c>
      <c r="M21" s="49" t="n">
        <v>5</v>
      </c>
      <c r="N21" s="49" t="n">
        <v>0</v>
      </c>
      <c r="O21" s="49" t="n">
        <v>0</v>
      </c>
      <c r="P21" s="6" t="n">
        <f aca="false">M21-(N21+O21)</f>
        <v>5</v>
      </c>
      <c r="Q21" s="49" t="n">
        <v>0</v>
      </c>
      <c r="R21" s="49" t="n">
        <v>0</v>
      </c>
      <c r="S21" s="49" t="n">
        <f aca="false">SUM(P21:R21)</f>
        <v>5</v>
      </c>
      <c r="T21" s="50"/>
      <c r="U21" s="49" t="n">
        <v>0</v>
      </c>
      <c r="V21" s="49" t="n">
        <v>77</v>
      </c>
      <c r="W21" s="6" t="n">
        <f aca="false">N21+O21+S21+U21+V21</f>
        <v>82</v>
      </c>
      <c r="X21" s="49" t="n">
        <f aca="false">IF(L21&lt;0,L21*-1,0)</f>
        <v>0</v>
      </c>
      <c r="Y21" s="49" t="n">
        <f aca="false">W21+X21</f>
        <v>82</v>
      </c>
      <c r="Z21" s="51" t="n">
        <v>0</v>
      </c>
      <c r="AA21" s="54" t="n">
        <v>44</v>
      </c>
      <c r="AB21" s="54" t="n">
        <v>12</v>
      </c>
      <c r="AC21" s="55" t="n">
        <f aca="false">AC20+1</f>
        <v>12</v>
      </c>
      <c r="AD21" s="83"/>
      <c r="AE21" s="85"/>
      <c r="AF21" s="84"/>
    </row>
    <row r="22" customFormat="false" ht="11.1" hidden="false" customHeight="true" outlineLevel="0" collapsed="false">
      <c r="A22" s="55" t="n">
        <f aca="false">A21+1</f>
        <v>13</v>
      </c>
      <c r="B22" s="69" t="n">
        <v>6910.61</v>
      </c>
      <c r="C22" s="50" t="n">
        <v>324434</v>
      </c>
      <c r="D22" s="54" t="n">
        <f aca="false">C22-C21</f>
        <v>-40</v>
      </c>
      <c r="E22" s="50" t="n">
        <f aca="false">C22-152000</f>
        <v>172434</v>
      </c>
      <c r="F22" s="49" t="n">
        <f aca="false">D22/$D$2</f>
        <v>-20.1663725737333</v>
      </c>
      <c r="G22" s="49" t="n">
        <v>61</v>
      </c>
      <c r="H22" s="51" t="n">
        <v>0</v>
      </c>
      <c r="I22" s="49" t="n">
        <f aca="false">G22+H22</f>
        <v>61</v>
      </c>
      <c r="J22" s="76" t="n">
        <f aca="false">IF(L22&gt;0,L22,0)</f>
        <v>0.833627426266702</v>
      </c>
      <c r="K22" s="49" t="n">
        <f aca="false">I22+J22</f>
        <v>61.8336274262667</v>
      </c>
      <c r="L22" s="49" t="n">
        <f aca="false">F22-(I22-W22)</f>
        <v>0.833627426266702</v>
      </c>
      <c r="M22" s="49" t="n">
        <v>5</v>
      </c>
      <c r="N22" s="49" t="n">
        <v>0</v>
      </c>
      <c r="O22" s="49" t="n">
        <v>0</v>
      </c>
      <c r="P22" s="6" t="n">
        <f aca="false">M22-(N22+O22)</f>
        <v>5</v>
      </c>
      <c r="Q22" s="49" t="n">
        <v>0</v>
      </c>
      <c r="R22" s="49" t="n">
        <v>0</v>
      </c>
      <c r="S22" s="49" t="n">
        <f aca="false">SUM(P22:R22)</f>
        <v>5</v>
      </c>
      <c r="T22" s="50"/>
      <c r="U22" s="49" t="n">
        <v>0</v>
      </c>
      <c r="V22" s="49" t="n">
        <v>77</v>
      </c>
      <c r="W22" s="6" t="n">
        <f aca="false">N22+O22+S22+U22+V22</f>
        <v>82</v>
      </c>
      <c r="X22" s="49" t="n">
        <f aca="false">IF(L22&lt;0,L22*-1,0)</f>
        <v>0</v>
      </c>
      <c r="Y22" s="49" t="n">
        <f aca="false">W22+X22</f>
        <v>82</v>
      </c>
      <c r="Z22" s="51" t="n">
        <v>0</v>
      </c>
      <c r="AA22" s="54" t="n">
        <v>45</v>
      </c>
      <c r="AB22" s="54" t="n">
        <v>10</v>
      </c>
      <c r="AC22" s="55" t="n">
        <f aca="false">AC21+1</f>
        <v>13</v>
      </c>
      <c r="AD22" s="83"/>
      <c r="AE22" s="85"/>
      <c r="AF22" s="84"/>
    </row>
    <row r="23" customFormat="false" ht="11.1" hidden="false" customHeight="true" outlineLevel="0" collapsed="false">
      <c r="A23" s="55" t="n">
        <f aca="false">A22+1</f>
        <v>14</v>
      </c>
      <c r="B23" s="69" t="n">
        <v>6910.6</v>
      </c>
      <c r="C23" s="50" t="n">
        <v>324394</v>
      </c>
      <c r="D23" s="54" t="n">
        <f aca="false">C23-C22</f>
        <v>-40</v>
      </c>
      <c r="E23" s="50" t="n">
        <f aca="false">C23-152000</f>
        <v>172394</v>
      </c>
      <c r="F23" s="49" t="n">
        <f aca="false">D23/$D$2</f>
        <v>-20.1663725737333</v>
      </c>
      <c r="G23" s="49" t="n">
        <v>61</v>
      </c>
      <c r="H23" s="51" t="n">
        <v>0</v>
      </c>
      <c r="I23" s="49" t="n">
        <f aca="false">G23+H23</f>
        <v>61</v>
      </c>
      <c r="J23" s="76" t="n">
        <f aca="false">IF(L23&gt;0,L23,0)</f>
        <v>0.833627426266702</v>
      </c>
      <c r="K23" s="49" t="n">
        <f aca="false">I23+J23</f>
        <v>61.8336274262667</v>
      </c>
      <c r="L23" s="49" t="n">
        <f aca="false">F23-(I23-W23)</f>
        <v>0.833627426266702</v>
      </c>
      <c r="M23" s="49" t="n">
        <v>5</v>
      </c>
      <c r="N23" s="49" t="n">
        <v>0</v>
      </c>
      <c r="O23" s="49" t="n">
        <v>0</v>
      </c>
      <c r="P23" s="6" t="n">
        <f aca="false">M23-(N23+O23)</f>
        <v>5</v>
      </c>
      <c r="Q23" s="49" t="n">
        <v>0</v>
      </c>
      <c r="R23" s="49" t="n">
        <v>0</v>
      </c>
      <c r="S23" s="49" t="n">
        <f aca="false">SUM(P23:R23)</f>
        <v>5</v>
      </c>
      <c r="T23" s="50"/>
      <c r="U23" s="49" t="n">
        <v>0</v>
      </c>
      <c r="V23" s="49" t="n">
        <v>77</v>
      </c>
      <c r="W23" s="6" t="n">
        <f aca="false">N23+O23+S23+U23+V23</f>
        <v>82</v>
      </c>
      <c r="X23" s="49" t="n">
        <f aca="false">IF(L23&lt;0,L23*-1,0)</f>
        <v>0</v>
      </c>
      <c r="Y23" s="49" t="n">
        <f aca="false">W23+X23</f>
        <v>82</v>
      </c>
      <c r="Z23" s="51" t="n">
        <v>0</v>
      </c>
      <c r="AA23" s="77" t="n">
        <v>46</v>
      </c>
      <c r="AB23" s="54" t="n">
        <v>8</v>
      </c>
      <c r="AC23" s="55" t="n">
        <f aca="false">AC22+1</f>
        <v>14</v>
      </c>
      <c r="AD23" s="83"/>
      <c r="AE23" s="85"/>
      <c r="AF23" s="84"/>
    </row>
    <row r="24" customFormat="false" ht="11.1" hidden="false" customHeight="true" outlineLevel="0" collapsed="false">
      <c r="A24" s="55" t="n">
        <f aca="false">A23+1</f>
        <v>15</v>
      </c>
      <c r="B24" s="69" t="n">
        <v>6910.59</v>
      </c>
      <c r="C24" s="50" t="n">
        <v>324354</v>
      </c>
      <c r="D24" s="54" t="n">
        <f aca="false">C24-C23</f>
        <v>-40</v>
      </c>
      <c r="E24" s="50" t="n">
        <f aca="false">C24-152000</f>
        <v>172354</v>
      </c>
      <c r="F24" s="49" t="n">
        <f aca="false">D24/$D$2</f>
        <v>-20.1663725737333</v>
      </c>
      <c r="G24" s="49" t="n">
        <v>61</v>
      </c>
      <c r="H24" s="51" t="n">
        <v>0</v>
      </c>
      <c r="I24" s="49" t="n">
        <f aca="false">G24+H24</f>
        <v>61</v>
      </c>
      <c r="J24" s="76" t="n">
        <f aca="false">IF(L24&gt;0,L24,0)</f>
        <v>0</v>
      </c>
      <c r="K24" s="49" t="n">
        <f aca="false">I24+J24</f>
        <v>61</v>
      </c>
      <c r="L24" s="49" t="n">
        <f aca="false">F24-(I24-W24)</f>
        <v>-0.166372573733298</v>
      </c>
      <c r="M24" s="49" t="n">
        <v>4</v>
      </c>
      <c r="N24" s="49" t="n">
        <v>0</v>
      </c>
      <c r="O24" s="49" t="n">
        <v>0</v>
      </c>
      <c r="P24" s="6" t="n">
        <f aca="false">M24-(N24+O24)</f>
        <v>4</v>
      </c>
      <c r="Q24" s="49" t="n">
        <v>0</v>
      </c>
      <c r="R24" s="49" t="n">
        <v>0</v>
      </c>
      <c r="S24" s="49" t="n">
        <f aca="false">SUM(P24:R24)</f>
        <v>4</v>
      </c>
      <c r="T24" s="50"/>
      <c r="U24" s="49" t="n">
        <v>0</v>
      </c>
      <c r="V24" s="49" t="n">
        <v>77</v>
      </c>
      <c r="W24" s="6" t="n">
        <f aca="false">N24+O24+S24+U24+V24</f>
        <v>81</v>
      </c>
      <c r="X24" s="49" t="n">
        <f aca="false">IF(L24&lt;0,L24*-1,0)</f>
        <v>0.166372573733298</v>
      </c>
      <c r="Y24" s="49" t="n">
        <f aca="false">W24+X24</f>
        <v>81.1663725737333</v>
      </c>
      <c r="Z24" s="51" t="n">
        <v>0</v>
      </c>
      <c r="AA24" s="77" t="n">
        <v>45</v>
      </c>
      <c r="AB24" s="54" t="n">
        <v>6</v>
      </c>
      <c r="AC24" s="55" t="n">
        <f aca="false">AC23+1</f>
        <v>15</v>
      </c>
      <c r="AD24" s="83"/>
      <c r="AE24" s="85"/>
      <c r="AF24" s="84"/>
    </row>
    <row r="25" customFormat="false" ht="11.1" hidden="false" customHeight="true" outlineLevel="0" collapsed="false">
      <c r="A25" s="55" t="n">
        <f aca="false">A24+1</f>
        <v>16</v>
      </c>
      <c r="B25" s="69" t="n">
        <v>6910.58</v>
      </c>
      <c r="C25" s="50" t="n">
        <v>324314</v>
      </c>
      <c r="D25" s="54" t="n">
        <f aca="false">C25-C24</f>
        <v>-40</v>
      </c>
      <c r="E25" s="50" t="n">
        <f aca="false">C25-152000</f>
        <v>172314</v>
      </c>
      <c r="F25" s="49" t="n">
        <f aca="false">D25/$D$2</f>
        <v>-20.1663725737333</v>
      </c>
      <c r="G25" s="49" t="n">
        <v>61</v>
      </c>
      <c r="H25" s="51" t="n">
        <v>0</v>
      </c>
      <c r="I25" s="49" t="n">
        <f aca="false">G25+H25</f>
        <v>61</v>
      </c>
      <c r="J25" s="76" t="n">
        <f aca="false">IF(L25&gt;0,L25,0)</f>
        <v>0</v>
      </c>
      <c r="K25" s="49" t="n">
        <f aca="false">I25+J25</f>
        <v>61</v>
      </c>
      <c r="L25" s="49" t="n">
        <f aca="false">F25-(I25-W25)</f>
        <v>-0.166372573733298</v>
      </c>
      <c r="M25" s="49" t="n">
        <v>4</v>
      </c>
      <c r="N25" s="49" t="n">
        <v>0</v>
      </c>
      <c r="O25" s="49" t="n">
        <v>0</v>
      </c>
      <c r="P25" s="6" t="n">
        <f aca="false">M25-(N25+O25)</f>
        <v>4</v>
      </c>
      <c r="Q25" s="49" t="n">
        <v>0</v>
      </c>
      <c r="R25" s="49" t="n">
        <v>0</v>
      </c>
      <c r="S25" s="49" t="n">
        <f aca="false">SUM(P25:R25)</f>
        <v>4</v>
      </c>
      <c r="T25" s="50"/>
      <c r="U25" s="49" t="n">
        <v>0</v>
      </c>
      <c r="V25" s="49" t="n">
        <v>77</v>
      </c>
      <c r="W25" s="6" t="n">
        <f aca="false">N25+O25+S25+U25+V25</f>
        <v>81</v>
      </c>
      <c r="X25" s="49" t="n">
        <f aca="false">IF(L25&lt;0,L25*-1,0)</f>
        <v>0.166372573733298</v>
      </c>
      <c r="Y25" s="49" t="n">
        <f aca="false">W25+X25</f>
        <v>81.1663725737333</v>
      </c>
      <c r="Z25" s="51" t="n">
        <v>0</v>
      </c>
      <c r="AA25" s="77" t="n">
        <v>39</v>
      </c>
      <c r="AB25" s="54" t="n">
        <v>9</v>
      </c>
      <c r="AC25" s="55" t="n">
        <f aca="false">AC24+1</f>
        <v>16</v>
      </c>
      <c r="AD25" s="83"/>
      <c r="AE25" s="85"/>
      <c r="AF25" s="84"/>
    </row>
    <row r="26" customFormat="false" ht="11.1" hidden="false" customHeight="true" outlineLevel="0" collapsed="false">
      <c r="A26" s="55" t="n">
        <f aca="false">A25+1</f>
        <v>17</v>
      </c>
      <c r="B26" s="69" t="n">
        <v>6910.57</v>
      </c>
      <c r="C26" s="50" t="n">
        <v>324274</v>
      </c>
      <c r="D26" s="54" t="n">
        <f aca="false">C26-C25</f>
        <v>-40</v>
      </c>
      <c r="E26" s="50" t="n">
        <f aca="false">C26-152000</f>
        <v>172274</v>
      </c>
      <c r="F26" s="49" t="n">
        <f aca="false">D26/$D$2</f>
        <v>-20.1663725737333</v>
      </c>
      <c r="G26" s="49" t="n">
        <v>60</v>
      </c>
      <c r="H26" s="51" t="n">
        <v>0</v>
      </c>
      <c r="I26" s="49" t="n">
        <f aca="false">G26+H26</f>
        <v>60</v>
      </c>
      <c r="J26" s="76" t="n">
        <f aca="false">IF(L26&gt;0,L26,0)</f>
        <v>0.833627426266702</v>
      </c>
      <c r="K26" s="49" t="n">
        <f aca="false">I26+J26</f>
        <v>60.8336274262667</v>
      </c>
      <c r="L26" s="49" t="n">
        <f aca="false">F26-(I26-W26)</f>
        <v>0.833627426266702</v>
      </c>
      <c r="M26" s="49" t="n">
        <v>4</v>
      </c>
      <c r="N26" s="49" t="n">
        <v>0</v>
      </c>
      <c r="O26" s="49" t="n">
        <v>0</v>
      </c>
      <c r="P26" s="6" t="n">
        <f aca="false">M26-(N26+O26)</f>
        <v>4</v>
      </c>
      <c r="Q26" s="49" t="n">
        <v>0</v>
      </c>
      <c r="R26" s="49" t="n">
        <v>0</v>
      </c>
      <c r="S26" s="49" t="n">
        <f aca="false">SUM(P26:R26)</f>
        <v>4</v>
      </c>
      <c r="T26" s="50"/>
      <c r="U26" s="49" t="n">
        <v>0</v>
      </c>
      <c r="V26" s="49" t="n">
        <v>77</v>
      </c>
      <c r="W26" s="6" t="n">
        <f aca="false">N26+O26+S26+U26+V26</f>
        <v>81</v>
      </c>
      <c r="X26" s="49" t="n">
        <f aca="false">IF(L26&lt;0,L26*-1,0)</f>
        <v>0</v>
      </c>
      <c r="Y26" s="49" t="n">
        <f aca="false">W26+X26</f>
        <v>81</v>
      </c>
      <c r="Z26" s="51" t="n">
        <v>0</v>
      </c>
      <c r="AA26" s="77" t="n">
        <v>36</v>
      </c>
      <c r="AB26" s="54" t="n">
        <v>6</v>
      </c>
      <c r="AC26" s="55" t="n">
        <f aca="false">AC25+1</f>
        <v>17</v>
      </c>
      <c r="AD26" s="83"/>
      <c r="AE26" s="85"/>
      <c r="AF26" s="84"/>
    </row>
    <row r="27" customFormat="false" ht="11.1" hidden="false" customHeight="true" outlineLevel="0" collapsed="false">
      <c r="A27" s="55" t="n">
        <f aca="false">A26+1</f>
        <v>18</v>
      </c>
      <c r="B27" s="69" t="n">
        <v>6910.56</v>
      </c>
      <c r="C27" s="50" t="n">
        <v>324234</v>
      </c>
      <c r="D27" s="54" t="n">
        <f aca="false">C27-C26</f>
        <v>-40</v>
      </c>
      <c r="E27" s="50" t="n">
        <f aca="false">C27-152000</f>
        <v>172234</v>
      </c>
      <c r="F27" s="49" t="n">
        <f aca="false">D27/$D$2</f>
        <v>-20.1663725737333</v>
      </c>
      <c r="G27" s="49" t="n">
        <v>59</v>
      </c>
      <c r="H27" s="51" t="n">
        <v>0</v>
      </c>
      <c r="I27" s="49" t="n">
        <f aca="false">G27+H27</f>
        <v>59</v>
      </c>
      <c r="J27" s="76" t="n">
        <f aca="false">IF(L27&gt;0,L27,0)</f>
        <v>0.833627426266702</v>
      </c>
      <c r="K27" s="49" t="n">
        <f aca="false">I27+J27</f>
        <v>59.8336274262667</v>
      </c>
      <c r="L27" s="49" t="n">
        <f aca="false">F27-(I27-W27)</f>
        <v>0.833627426266702</v>
      </c>
      <c r="M27" s="49" t="n">
        <v>4</v>
      </c>
      <c r="N27" s="49" t="n">
        <v>0</v>
      </c>
      <c r="O27" s="49" t="n">
        <v>0</v>
      </c>
      <c r="P27" s="6" t="n">
        <f aca="false">M27-(N27+O27)</f>
        <v>4</v>
      </c>
      <c r="Q27" s="49" t="n">
        <v>0</v>
      </c>
      <c r="R27" s="49" t="n">
        <v>0</v>
      </c>
      <c r="S27" s="49" t="n">
        <f aca="false">SUM(P27:R27)</f>
        <v>4</v>
      </c>
      <c r="T27" s="50"/>
      <c r="U27" s="49" t="n">
        <v>0</v>
      </c>
      <c r="V27" s="49" t="n">
        <v>76</v>
      </c>
      <c r="W27" s="6" t="n">
        <f aca="false">N27+O27+S27+U27+V27</f>
        <v>80</v>
      </c>
      <c r="X27" s="49" t="n">
        <f aca="false">IF(L27&lt;0,L27*-1,0)</f>
        <v>0</v>
      </c>
      <c r="Y27" s="49" t="n">
        <f aca="false">W27+X27</f>
        <v>80</v>
      </c>
      <c r="Z27" s="87" t="n">
        <v>0</v>
      </c>
      <c r="AA27" s="77" t="n">
        <v>34</v>
      </c>
      <c r="AB27" s="54" t="n">
        <v>4</v>
      </c>
      <c r="AC27" s="55" t="n">
        <f aca="false">AC26+1</f>
        <v>18</v>
      </c>
      <c r="AD27" s="83"/>
      <c r="AE27" s="85"/>
      <c r="AF27" s="84"/>
    </row>
    <row r="28" customFormat="false" ht="11.1" hidden="false" customHeight="true" outlineLevel="0" collapsed="false">
      <c r="A28" s="55" t="n">
        <f aca="false">A27+1</f>
        <v>19</v>
      </c>
      <c r="B28" s="69" t="n">
        <v>6910.56</v>
      </c>
      <c r="C28" s="88" t="n">
        <v>324234</v>
      </c>
      <c r="D28" s="54" t="n">
        <f aca="false">C28-C27</f>
        <v>0</v>
      </c>
      <c r="E28" s="50" t="n">
        <f aca="false">C28-152000</f>
        <v>172234</v>
      </c>
      <c r="F28" s="49" t="n">
        <f aca="false">D28/$D$2</f>
        <v>0</v>
      </c>
      <c r="G28" s="49" t="n">
        <v>81</v>
      </c>
      <c r="H28" s="51" t="n">
        <v>0</v>
      </c>
      <c r="I28" s="49" t="n">
        <f aca="false">G28+H28</f>
        <v>81</v>
      </c>
      <c r="J28" s="76" t="n">
        <f aca="false">IF(L28&gt;0,L28,0)</f>
        <v>0</v>
      </c>
      <c r="K28" s="49" t="n">
        <f aca="false">I28+J28</f>
        <v>81</v>
      </c>
      <c r="L28" s="49" t="n">
        <f aca="false">F28-(I28-W28)</f>
        <v>0</v>
      </c>
      <c r="M28" s="49" t="n">
        <v>4</v>
      </c>
      <c r="N28" s="49" t="n">
        <v>0</v>
      </c>
      <c r="O28" s="49" t="n">
        <v>0</v>
      </c>
      <c r="P28" s="6" t="n">
        <f aca="false">M28-(N28+O28)</f>
        <v>4</v>
      </c>
      <c r="Q28" s="49" t="n">
        <v>0</v>
      </c>
      <c r="R28" s="49" t="n">
        <v>0</v>
      </c>
      <c r="S28" s="49" t="n">
        <f aca="false">SUM(P28:R28)</f>
        <v>4</v>
      </c>
      <c r="T28" s="50"/>
      <c r="U28" s="49" t="n">
        <v>0</v>
      </c>
      <c r="V28" s="49" t="n">
        <v>77</v>
      </c>
      <c r="W28" s="6" t="n">
        <f aca="false">N28+O28+S28+U28+V28</f>
        <v>81</v>
      </c>
      <c r="X28" s="49" t="n">
        <f aca="false">IF(L28&lt;0,L28*-1,0)</f>
        <v>0</v>
      </c>
      <c r="Y28" s="49" t="n">
        <f aca="false">W28+X28</f>
        <v>81</v>
      </c>
      <c r="Z28" s="51" t="n">
        <v>0</v>
      </c>
      <c r="AA28" s="77" t="n">
        <v>39</v>
      </c>
      <c r="AB28" s="54" t="n">
        <v>10</v>
      </c>
      <c r="AC28" s="55" t="n">
        <f aca="false">AC27+1</f>
        <v>19</v>
      </c>
      <c r="AD28" s="83"/>
      <c r="AE28" s="85"/>
      <c r="AF28" s="84"/>
    </row>
    <row r="29" customFormat="false" ht="11.1" hidden="false" customHeight="true" outlineLevel="0" collapsed="false">
      <c r="A29" s="55" t="n">
        <f aca="false">A28+1</f>
        <v>20</v>
      </c>
      <c r="B29" s="69" t="n">
        <v>6910.57</v>
      </c>
      <c r="C29" s="50" t="n">
        <v>324274</v>
      </c>
      <c r="D29" s="54" t="n">
        <f aca="false">C29-C28</f>
        <v>40</v>
      </c>
      <c r="E29" s="50" t="n">
        <f aca="false">C29-152000</f>
        <v>172274</v>
      </c>
      <c r="F29" s="49" t="n">
        <f aca="false">D29/$D$2</f>
        <v>20.1663725737333</v>
      </c>
      <c r="G29" s="49" t="n">
        <v>102</v>
      </c>
      <c r="H29" s="51" t="n">
        <v>0</v>
      </c>
      <c r="I29" s="49" t="n">
        <f aca="false">G29+H29</f>
        <v>102</v>
      </c>
      <c r="J29" s="76" t="n">
        <f aca="false">IF(L29&gt;0,L29,0)</f>
        <v>0</v>
      </c>
      <c r="K29" s="49" t="n">
        <f aca="false">I29+J29</f>
        <v>102</v>
      </c>
      <c r="L29" s="49" t="n">
        <f aca="false">F29-(I29-W29)</f>
        <v>-0.833627426266702</v>
      </c>
      <c r="M29" s="49" t="n">
        <v>4</v>
      </c>
      <c r="N29" s="49" t="n">
        <v>0</v>
      </c>
      <c r="O29" s="49" t="n">
        <v>0</v>
      </c>
      <c r="P29" s="6" t="n">
        <f aca="false">M29-(N29+O29)</f>
        <v>4</v>
      </c>
      <c r="Q29" s="49" t="n">
        <v>0</v>
      </c>
      <c r="R29" s="49" t="n">
        <v>0</v>
      </c>
      <c r="S29" s="49" t="n">
        <f aca="false">SUM(P29:R29)</f>
        <v>4</v>
      </c>
      <c r="T29" s="50"/>
      <c r="U29" s="49" t="n">
        <v>0</v>
      </c>
      <c r="V29" s="49" t="n">
        <v>77</v>
      </c>
      <c r="W29" s="6" t="n">
        <f aca="false">N29+O29+S29+U29+V29</f>
        <v>81</v>
      </c>
      <c r="X29" s="49" t="n">
        <f aca="false">IF(L29&lt;0,L29*-1,0)</f>
        <v>0.833627426266702</v>
      </c>
      <c r="Y29" s="49" t="n">
        <f aca="false">W29+X29</f>
        <v>81.8336274262667</v>
      </c>
      <c r="Z29" s="51" t="n">
        <v>0</v>
      </c>
      <c r="AA29" s="77" t="n">
        <v>42</v>
      </c>
      <c r="AB29" s="54" t="n">
        <v>12</v>
      </c>
      <c r="AC29" s="55" t="n">
        <f aca="false">AC28+1</f>
        <v>20</v>
      </c>
      <c r="AD29" s="83"/>
      <c r="AE29" s="85"/>
      <c r="AF29" s="84"/>
    </row>
    <row r="30" customFormat="false" ht="11.1" hidden="false" customHeight="true" outlineLevel="0" collapsed="false">
      <c r="A30" s="55" t="n">
        <f aca="false">A29+1</f>
        <v>21</v>
      </c>
      <c r="B30" s="69" t="n">
        <v>6910.57</v>
      </c>
      <c r="C30" s="50" t="n">
        <v>324274</v>
      </c>
      <c r="D30" s="54" t="n">
        <f aca="false">C30-C29</f>
        <v>0</v>
      </c>
      <c r="E30" s="50" t="n">
        <f aca="false">C30-152000</f>
        <v>172274</v>
      </c>
      <c r="F30" s="49" t="n">
        <f aca="false">D30/$D$2</f>
        <v>0</v>
      </c>
      <c r="G30" s="49" t="n">
        <v>82</v>
      </c>
      <c r="H30" s="51" t="n">
        <v>0</v>
      </c>
      <c r="I30" s="49" t="n">
        <f aca="false">G30+H30</f>
        <v>82</v>
      </c>
      <c r="J30" s="76" t="n">
        <f aca="false">IF(L30&gt;0,L30,0)</f>
        <v>0</v>
      </c>
      <c r="K30" s="49" t="n">
        <f aca="false">I30+J30</f>
        <v>82</v>
      </c>
      <c r="L30" s="49" t="n">
        <f aca="false">F30-(I30-W30)</f>
        <v>-1</v>
      </c>
      <c r="M30" s="49" t="n">
        <v>4</v>
      </c>
      <c r="N30" s="49" t="n">
        <v>0</v>
      </c>
      <c r="O30" s="49" t="n">
        <v>0</v>
      </c>
      <c r="P30" s="6" t="n">
        <f aca="false">M30-(N30+O30)</f>
        <v>4</v>
      </c>
      <c r="Q30" s="49" t="n">
        <v>0</v>
      </c>
      <c r="R30" s="49" t="n">
        <v>0</v>
      </c>
      <c r="S30" s="49" t="n">
        <f aca="false">SUM(P30:R30)</f>
        <v>4</v>
      </c>
      <c r="T30" s="50"/>
      <c r="U30" s="49" t="n">
        <v>0</v>
      </c>
      <c r="V30" s="49" t="n">
        <v>77</v>
      </c>
      <c r="W30" s="6" t="n">
        <f aca="false">N30+O30+S30+U30+V30</f>
        <v>81</v>
      </c>
      <c r="X30" s="49" t="n">
        <f aca="false">IF(L30&lt;0,L30*-1,0)</f>
        <v>1</v>
      </c>
      <c r="Y30" s="49" t="n">
        <f aca="false">W30+X30</f>
        <v>82</v>
      </c>
      <c r="Z30" s="51" t="n">
        <v>0</v>
      </c>
      <c r="AA30" s="54" t="n">
        <v>45</v>
      </c>
      <c r="AB30" s="54" t="n">
        <v>14</v>
      </c>
      <c r="AC30" s="55" t="n">
        <f aca="false">AC29+1</f>
        <v>21</v>
      </c>
      <c r="AD30" s="83"/>
      <c r="AE30" s="85"/>
      <c r="AF30" s="84"/>
    </row>
    <row r="31" customFormat="false" ht="11.1" hidden="false" customHeight="true" outlineLevel="0" collapsed="false">
      <c r="A31" s="55" t="n">
        <f aca="false">A30+1</f>
        <v>22</v>
      </c>
      <c r="B31" s="69" t="n">
        <v>6910.57</v>
      </c>
      <c r="C31" s="50" t="n">
        <v>324274</v>
      </c>
      <c r="D31" s="54" t="n">
        <f aca="false">C31-C30</f>
        <v>0</v>
      </c>
      <c r="E31" s="50" t="n">
        <f aca="false">C31-152000</f>
        <v>172274</v>
      </c>
      <c r="F31" s="49" t="n">
        <f aca="false">D31/$D$2</f>
        <v>0</v>
      </c>
      <c r="G31" s="49" t="n">
        <v>82</v>
      </c>
      <c r="H31" s="51" t="n">
        <v>0</v>
      </c>
      <c r="I31" s="49" t="n">
        <f aca="false">G31+H31</f>
        <v>82</v>
      </c>
      <c r="J31" s="76" t="n">
        <f aca="false">IF(L31&gt;0,L31,0)</f>
        <v>0</v>
      </c>
      <c r="K31" s="49" t="n">
        <f aca="false">I31+J31</f>
        <v>82</v>
      </c>
      <c r="L31" s="49" t="n">
        <f aca="false">F31-(I31-W31)</f>
        <v>-1</v>
      </c>
      <c r="M31" s="49" t="n">
        <v>4</v>
      </c>
      <c r="N31" s="49" t="n">
        <v>0</v>
      </c>
      <c r="O31" s="49" t="n">
        <v>0</v>
      </c>
      <c r="P31" s="6" t="n">
        <f aca="false">M31-(N31+O31)</f>
        <v>4</v>
      </c>
      <c r="Q31" s="49" t="n">
        <v>0</v>
      </c>
      <c r="R31" s="49" t="n">
        <v>0</v>
      </c>
      <c r="S31" s="49" t="n">
        <f aca="false">SUM(P31:R31)</f>
        <v>4</v>
      </c>
      <c r="T31" s="50"/>
      <c r="U31" s="49" t="n">
        <v>0</v>
      </c>
      <c r="V31" s="49" t="n">
        <v>77</v>
      </c>
      <c r="W31" s="6" t="n">
        <f aca="false">N31+O31+S31+U31+V31</f>
        <v>81</v>
      </c>
      <c r="X31" s="49" t="n">
        <f aca="false">IF(L31&lt;0,L31*-1,0)</f>
        <v>1</v>
      </c>
      <c r="Y31" s="49" t="n">
        <f aca="false">W31+X31</f>
        <v>82</v>
      </c>
      <c r="Z31" s="51" t="n">
        <v>0</v>
      </c>
      <c r="AA31" s="54" t="n">
        <v>45</v>
      </c>
      <c r="AB31" s="54" t="n">
        <v>16</v>
      </c>
      <c r="AC31" s="55" t="n">
        <f aca="false">AC30+1</f>
        <v>22</v>
      </c>
      <c r="AD31" s="83"/>
      <c r="AE31" s="85"/>
      <c r="AF31" s="84"/>
    </row>
    <row r="32" customFormat="false" ht="11.1" hidden="false" customHeight="true" outlineLevel="0" collapsed="false">
      <c r="A32" s="55" t="n">
        <f aca="false">A31+1</f>
        <v>23</v>
      </c>
      <c r="B32" s="69" t="n">
        <v>6910.56</v>
      </c>
      <c r="C32" s="50" t="n">
        <v>324234</v>
      </c>
      <c r="D32" s="54" t="n">
        <f aca="false">C32-C31</f>
        <v>-40</v>
      </c>
      <c r="E32" s="50" t="n">
        <f aca="false">C32-152000</f>
        <v>172234</v>
      </c>
      <c r="F32" s="49" t="n">
        <f aca="false">D32/$D$2</f>
        <v>-20.1663725737333</v>
      </c>
      <c r="G32" s="49" t="n">
        <v>61</v>
      </c>
      <c r="H32" s="51" t="n">
        <v>0</v>
      </c>
      <c r="I32" s="49" t="n">
        <f aca="false">G32+H32</f>
        <v>61</v>
      </c>
      <c r="J32" s="76" t="n">
        <f aca="false">IF(L32&gt;0,L32,0)</f>
        <v>0</v>
      </c>
      <c r="K32" s="49" t="n">
        <f aca="false">I32+J32</f>
        <v>61</v>
      </c>
      <c r="L32" s="49" t="n">
        <f aca="false">F32-(I32-W32)</f>
        <v>-0.166372573733298</v>
      </c>
      <c r="M32" s="49" t="n">
        <v>4</v>
      </c>
      <c r="N32" s="49" t="n">
        <v>0</v>
      </c>
      <c r="O32" s="49" t="n">
        <v>0</v>
      </c>
      <c r="P32" s="6" t="n">
        <f aca="false">M32-(N32+O32)</f>
        <v>4</v>
      </c>
      <c r="Q32" s="49" t="n">
        <v>0</v>
      </c>
      <c r="R32" s="49" t="n">
        <v>0</v>
      </c>
      <c r="S32" s="49" t="n">
        <f aca="false">SUM(P32:R32)</f>
        <v>4</v>
      </c>
      <c r="T32" s="50"/>
      <c r="U32" s="49" t="n">
        <v>0</v>
      </c>
      <c r="V32" s="49" t="n">
        <v>77</v>
      </c>
      <c r="W32" s="6" t="n">
        <f aca="false">N32+O32+S32+U32+V32</f>
        <v>81</v>
      </c>
      <c r="X32" s="49" t="n">
        <f aca="false">IF(L32&lt;0,L32*-1,0)</f>
        <v>0.166372573733298</v>
      </c>
      <c r="Y32" s="49" t="n">
        <f aca="false">W32+X32</f>
        <v>81.1663725737333</v>
      </c>
      <c r="Z32" s="51" t="n">
        <v>0</v>
      </c>
      <c r="AA32" s="54" t="n">
        <v>46</v>
      </c>
      <c r="AB32" s="77" t="n">
        <v>14</v>
      </c>
      <c r="AC32" s="55" t="n">
        <f aca="false">AC31+1</f>
        <v>23</v>
      </c>
      <c r="AD32" s="83"/>
      <c r="AE32" s="85"/>
      <c r="AF32" s="84"/>
    </row>
    <row r="33" customFormat="false" ht="11.1" hidden="false" customHeight="true" outlineLevel="0" collapsed="false">
      <c r="A33" s="55" t="n">
        <f aca="false">A32+1</f>
        <v>24</v>
      </c>
      <c r="B33" s="69" t="n">
        <v>6910.56</v>
      </c>
      <c r="C33" s="50" t="n">
        <v>324234</v>
      </c>
      <c r="D33" s="54" t="n">
        <f aca="false">C33-C32</f>
        <v>0</v>
      </c>
      <c r="E33" s="50" t="n">
        <f aca="false">C33-152000</f>
        <v>172234</v>
      </c>
      <c r="F33" s="49" t="n">
        <f aca="false">D33/$D$2</f>
        <v>0</v>
      </c>
      <c r="G33" s="49" t="n">
        <v>81</v>
      </c>
      <c r="H33" s="51" t="n">
        <v>0</v>
      </c>
      <c r="I33" s="49" t="n">
        <f aca="false">G33+H33</f>
        <v>81</v>
      </c>
      <c r="J33" s="76" t="n">
        <f aca="false">IF(L33&gt;0,L33,0)</f>
        <v>0</v>
      </c>
      <c r="K33" s="49" t="n">
        <f aca="false">I33+J33</f>
        <v>81</v>
      </c>
      <c r="L33" s="49" t="n">
        <f aca="false">F33-(I33-W33)</f>
        <v>0</v>
      </c>
      <c r="M33" s="49" t="n">
        <v>4</v>
      </c>
      <c r="N33" s="49" t="n">
        <v>0</v>
      </c>
      <c r="O33" s="49" t="n">
        <v>0</v>
      </c>
      <c r="P33" s="6" t="n">
        <f aca="false">M33-(N33+O33)</f>
        <v>4</v>
      </c>
      <c r="Q33" s="49" t="n">
        <v>0</v>
      </c>
      <c r="R33" s="49" t="n">
        <v>0</v>
      </c>
      <c r="S33" s="49" t="n">
        <f aca="false">SUM(P33:R33)</f>
        <v>4</v>
      </c>
      <c r="T33" s="50"/>
      <c r="U33" s="49" t="n">
        <v>0</v>
      </c>
      <c r="V33" s="49" t="n">
        <v>77</v>
      </c>
      <c r="W33" s="6" t="n">
        <f aca="false">N33+O33+S33+U33+V33</f>
        <v>81</v>
      </c>
      <c r="X33" s="49" t="n">
        <f aca="false">IF(L33&lt;0,L33*-1,0)</f>
        <v>0</v>
      </c>
      <c r="Y33" s="49" t="n">
        <f aca="false">W33+X33</f>
        <v>81</v>
      </c>
      <c r="Z33" s="51" t="n">
        <v>0</v>
      </c>
      <c r="AA33" s="54" t="n">
        <v>48</v>
      </c>
      <c r="AB33" s="77" t="n">
        <v>16</v>
      </c>
      <c r="AC33" s="55" t="n">
        <f aca="false">AC32+1</f>
        <v>24</v>
      </c>
      <c r="AD33" s="83"/>
      <c r="AE33" s="85"/>
      <c r="AF33" s="84"/>
    </row>
    <row r="34" customFormat="false" ht="11.1" hidden="false" customHeight="true" outlineLevel="0" collapsed="false">
      <c r="A34" s="55" t="n">
        <f aca="false">A33+1</f>
        <v>25</v>
      </c>
      <c r="B34" s="69" t="n">
        <v>6910.56</v>
      </c>
      <c r="C34" s="50" t="n">
        <v>324234</v>
      </c>
      <c r="D34" s="54" t="n">
        <f aca="false">C34-C33</f>
        <v>0</v>
      </c>
      <c r="E34" s="50" t="n">
        <f aca="false">C34-152000</f>
        <v>172234</v>
      </c>
      <c r="F34" s="49" t="n">
        <f aca="false">D34/$D$2</f>
        <v>0</v>
      </c>
      <c r="G34" s="49" t="n">
        <v>81</v>
      </c>
      <c r="H34" s="51" t="n">
        <v>0</v>
      </c>
      <c r="I34" s="49" t="n">
        <f aca="false">G34+H34</f>
        <v>81</v>
      </c>
      <c r="J34" s="76" t="n">
        <f aca="false">IF(L34&gt;0,L34,0)</f>
        <v>0</v>
      </c>
      <c r="K34" s="49" t="n">
        <f aca="false">I34+J34</f>
        <v>81</v>
      </c>
      <c r="L34" s="49" t="n">
        <f aca="false">F34-(I34-W34)</f>
        <v>0</v>
      </c>
      <c r="M34" s="49" t="n">
        <v>4</v>
      </c>
      <c r="N34" s="49" t="n">
        <v>0</v>
      </c>
      <c r="O34" s="49" t="n">
        <v>0</v>
      </c>
      <c r="P34" s="6" t="n">
        <f aca="false">M34-(N34+O34)</f>
        <v>4</v>
      </c>
      <c r="Q34" s="49" t="n">
        <v>0</v>
      </c>
      <c r="R34" s="49" t="n">
        <v>0</v>
      </c>
      <c r="S34" s="49" t="n">
        <f aca="false">SUM(P34:R34)</f>
        <v>4</v>
      </c>
      <c r="T34" s="50"/>
      <c r="U34" s="49" t="n">
        <v>0</v>
      </c>
      <c r="V34" s="49" t="n">
        <v>77</v>
      </c>
      <c r="W34" s="6" t="n">
        <f aca="false">N34+O34+S34+U34+V34</f>
        <v>81</v>
      </c>
      <c r="X34" s="49" t="n">
        <f aca="false">IF(L34&lt;0,L34*-1,0)</f>
        <v>0</v>
      </c>
      <c r="Y34" s="49" t="n">
        <f aca="false">W34+X34</f>
        <v>81</v>
      </c>
      <c r="Z34" s="51" t="n">
        <v>0</v>
      </c>
      <c r="AA34" s="54" t="n">
        <v>51</v>
      </c>
      <c r="AB34" s="77" t="n">
        <v>17</v>
      </c>
      <c r="AC34" s="55" t="n">
        <f aca="false">AC33+1</f>
        <v>25</v>
      </c>
      <c r="AD34" s="83"/>
      <c r="AE34" s="85"/>
      <c r="AF34" s="84"/>
    </row>
    <row r="35" customFormat="false" ht="11.1" hidden="false" customHeight="true" outlineLevel="0" collapsed="false">
      <c r="A35" s="55" t="n">
        <f aca="false">A34+1</f>
        <v>26</v>
      </c>
      <c r="B35" s="69" t="n">
        <v>6910.57</v>
      </c>
      <c r="C35" s="50" t="n">
        <v>324274</v>
      </c>
      <c r="D35" s="54" t="n">
        <f aca="false">C35-C34</f>
        <v>40</v>
      </c>
      <c r="E35" s="50" t="n">
        <f aca="false">C35-152000</f>
        <v>172274</v>
      </c>
      <c r="F35" s="49" t="n">
        <f aca="false">D35/$D$2</f>
        <v>20.1663725737333</v>
      </c>
      <c r="G35" s="49" t="n">
        <v>101</v>
      </c>
      <c r="H35" s="51" t="n">
        <v>0</v>
      </c>
      <c r="I35" s="49" t="n">
        <f aca="false">G35+H35</f>
        <v>101</v>
      </c>
      <c r="J35" s="76" t="n">
        <f aca="false">IF(L35&gt;0,L35,0)</f>
        <v>0.166372573733298</v>
      </c>
      <c r="K35" s="49" t="n">
        <f aca="false">I35+J35</f>
        <v>101.166372573733</v>
      </c>
      <c r="L35" s="49" t="n">
        <f aca="false">F35-(I35-W35)</f>
        <v>0.166372573733298</v>
      </c>
      <c r="M35" s="49" t="n">
        <v>4</v>
      </c>
      <c r="N35" s="49" t="n">
        <v>0</v>
      </c>
      <c r="O35" s="49" t="n">
        <v>0</v>
      </c>
      <c r="P35" s="6" t="n">
        <f aca="false">M35-(N35+O35)</f>
        <v>4</v>
      </c>
      <c r="Q35" s="49" t="n">
        <v>0</v>
      </c>
      <c r="R35" s="49" t="n">
        <v>0</v>
      </c>
      <c r="S35" s="49" t="n">
        <f aca="false">SUM(P35:R35)</f>
        <v>4</v>
      </c>
      <c r="T35" s="50"/>
      <c r="U35" s="49" t="n">
        <v>0</v>
      </c>
      <c r="V35" s="49" t="n">
        <v>77</v>
      </c>
      <c r="W35" s="6" t="n">
        <f aca="false">N35+O35+S35+U35+V35</f>
        <v>81</v>
      </c>
      <c r="X35" s="49" t="n">
        <f aca="false">IF(L35&lt;0,L35*-1,0)</f>
        <v>0</v>
      </c>
      <c r="Y35" s="49" t="n">
        <f aca="false">W35+X35</f>
        <v>81</v>
      </c>
      <c r="Z35" s="51" t="n">
        <v>0</v>
      </c>
      <c r="AA35" s="54" t="n">
        <v>52</v>
      </c>
      <c r="AB35" s="54" t="n">
        <v>20</v>
      </c>
      <c r="AC35" s="55" t="n">
        <f aca="false">AC34+1</f>
        <v>26</v>
      </c>
      <c r="AD35" s="83"/>
      <c r="AE35" s="85"/>
      <c r="AF35" s="84"/>
    </row>
    <row r="36" customFormat="false" ht="11.1" hidden="false" customHeight="true" outlineLevel="0" collapsed="false">
      <c r="A36" s="55" t="n">
        <f aca="false">A35+1</f>
        <v>27</v>
      </c>
      <c r="B36" s="69" t="n">
        <v>6910.59</v>
      </c>
      <c r="C36" s="50" t="n">
        <v>324354</v>
      </c>
      <c r="D36" s="54" t="n">
        <f aca="false">C36-C35</f>
        <v>80</v>
      </c>
      <c r="E36" s="50" t="n">
        <f aca="false">C36-152000</f>
        <v>172354</v>
      </c>
      <c r="F36" s="49" t="n">
        <f aca="false">D36/$D$2</f>
        <v>40.3327451474666</v>
      </c>
      <c r="G36" s="49" t="n">
        <v>122</v>
      </c>
      <c r="H36" s="51" t="n">
        <v>0</v>
      </c>
      <c r="I36" s="49" t="n">
        <f aca="false">G36+H36</f>
        <v>122</v>
      </c>
      <c r="J36" s="76" t="n">
        <f aca="false">IF(L36&gt;0,L36,0)</f>
        <v>0</v>
      </c>
      <c r="K36" s="49" t="n">
        <f aca="false">I36+J36</f>
        <v>122</v>
      </c>
      <c r="L36" s="49" t="n">
        <f aca="false">F36-(I36-W36)</f>
        <v>-0.667254852533404</v>
      </c>
      <c r="M36" s="49" t="n">
        <v>4</v>
      </c>
      <c r="N36" s="49" t="n">
        <v>0</v>
      </c>
      <c r="O36" s="49" t="n">
        <v>0</v>
      </c>
      <c r="P36" s="6" t="n">
        <f aca="false">M36-(N36+O36)</f>
        <v>4</v>
      </c>
      <c r="Q36" s="49" t="n">
        <v>0</v>
      </c>
      <c r="R36" s="49" t="n">
        <v>0</v>
      </c>
      <c r="S36" s="49" t="n">
        <f aca="false">SUM(P36:R36)</f>
        <v>4</v>
      </c>
      <c r="T36" s="50"/>
      <c r="U36" s="49" t="n">
        <v>0</v>
      </c>
      <c r="V36" s="49" t="n">
        <v>77</v>
      </c>
      <c r="W36" s="6" t="n">
        <f aca="false">N36+O36+S36+U36+V36</f>
        <v>81</v>
      </c>
      <c r="X36" s="49" t="n">
        <f aca="false">IF(L36&lt;0,L36*-1,0)</f>
        <v>0.667254852533404</v>
      </c>
      <c r="Y36" s="49" t="n">
        <f aca="false">W36+X36</f>
        <v>81.6672548525334</v>
      </c>
      <c r="Z36" s="51" t="n">
        <v>0</v>
      </c>
      <c r="AA36" s="54" t="n">
        <v>54</v>
      </c>
      <c r="AB36" s="54" t="n">
        <v>23</v>
      </c>
      <c r="AC36" s="55" t="n">
        <f aca="false">AC35+1</f>
        <v>27</v>
      </c>
      <c r="AD36" s="83"/>
      <c r="AE36" s="85"/>
      <c r="AF36" s="84"/>
    </row>
    <row r="37" customFormat="false" ht="11.1" hidden="false" customHeight="true" outlineLevel="0" collapsed="false">
      <c r="A37" s="55" t="n">
        <v>28</v>
      </c>
      <c r="B37" s="69" t="n">
        <v>6910.62</v>
      </c>
      <c r="C37" s="50" t="n">
        <v>324474</v>
      </c>
      <c r="D37" s="54" t="n">
        <f aca="false">C37-C36</f>
        <v>120</v>
      </c>
      <c r="E37" s="50" t="n">
        <f aca="false">C37-152000</f>
        <v>172474</v>
      </c>
      <c r="F37" s="49" t="n">
        <f aca="false">D37/$D$2</f>
        <v>60.4991177211999</v>
      </c>
      <c r="G37" s="49" t="n">
        <v>142</v>
      </c>
      <c r="H37" s="51" t="n">
        <v>0</v>
      </c>
      <c r="I37" s="49" t="n">
        <f aca="false">G37+H37</f>
        <v>142</v>
      </c>
      <c r="J37" s="76" t="n">
        <f aca="false">IF(L37&gt;0,L37,0)</f>
        <v>0</v>
      </c>
      <c r="K37" s="49" t="n">
        <f aca="false">I37-J37</f>
        <v>142</v>
      </c>
      <c r="L37" s="49" t="n">
        <f aca="false">F37-(I37-W37)</f>
        <v>-0.500882278800106</v>
      </c>
      <c r="M37" s="49" t="n">
        <v>4</v>
      </c>
      <c r="N37" s="49" t="n">
        <v>0</v>
      </c>
      <c r="O37" s="49" t="n">
        <v>0</v>
      </c>
      <c r="P37" s="6" t="n">
        <f aca="false">M37-(N37+O37)</f>
        <v>4</v>
      </c>
      <c r="Q37" s="49" t="n">
        <v>0</v>
      </c>
      <c r="R37" s="49" t="n">
        <v>0</v>
      </c>
      <c r="S37" s="49" t="n">
        <f aca="false">SUM(P37:R37)</f>
        <v>4</v>
      </c>
      <c r="T37" s="50"/>
      <c r="U37" s="49" t="n">
        <v>0</v>
      </c>
      <c r="V37" s="49" t="n">
        <v>77</v>
      </c>
      <c r="W37" s="6" t="n">
        <f aca="false">N37+O37+S37+U37+V37</f>
        <v>81</v>
      </c>
      <c r="X37" s="49" t="n">
        <f aca="false">IF(L37&lt;0,L37*-1,0)</f>
        <v>0.500882278800106</v>
      </c>
      <c r="Y37" s="49" t="n">
        <f aca="false">W37+X37</f>
        <v>81.5008822788001</v>
      </c>
      <c r="Z37" s="51" t="n">
        <v>0</v>
      </c>
      <c r="AA37" s="54" t="n">
        <v>53</v>
      </c>
      <c r="AB37" s="54" t="n">
        <v>34</v>
      </c>
      <c r="AC37" s="55" t="n">
        <v>28</v>
      </c>
      <c r="AD37" s="83"/>
      <c r="AE37" s="85"/>
      <c r="AF37" s="84"/>
    </row>
    <row r="38" customFormat="false" ht="11.1" hidden="false" customHeight="true" outlineLevel="0" collapsed="false">
      <c r="A38" s="55" t="n">
        <v>29</v>
      </c>
      <c r="B38" s="69" t="n">
        <v>6910.65</v>
      </c>
      <c r="C38" s="50" t="n">
        <v>324595</v>
      </c>
      <c r="D38" s="54" t="n">
        <f aca="false">C38-C37</f>
        <v>121</v>
      </c>
      <c r="E38" s="50" t="n">
        <f aca="false">C38-152000</f>
        <v>172595</v>
      </c>
      <c r="F38" s="49" t="n">
        <f aca="false">D38/$D$2</f>
        <v>61.0032770355432</v>
      </c>
      <c r="G38" s="49" t="n">
        <v>142</v>
      </c>
      <c r="H38" s="51" t="n">
        <v>0</v>
      </c>
      <c r="I38" s="49" t="n">
        <f aca="false">G38+H38</f>
        <v>142</v>
      </c>
      <c r="J38" s="76" t="n">
        <f aca="false">IF(L38&gt;0,L38,0)</f>
        <v>0.00327703554322767</v>
      </c>
      <c r="K38" s="49" t="n">
        <f aca="false">I38+J38</f>
        <v>142.003277035543</v>
      </c>
      <c r="L38" s="49" t="n">
        <f aca="false">F38-(I38-W38)</f>
        <v>0.00327703554322767</v>
      </c>
      <c r="M38" s="49" t="n">
        <v>4</v>
      </c>
      <c r="N38" s="49" t="n">
        <v>0</v>
      </c>
      <c r="O38" s="49" t="n">
        <v>0</v>
      </c>
      <c r="P38" s="6" t="n">
        <f aca="false">M38-(N38+O38)</f>
        <v>4</v>
      </c>
      <c r="Q38" s="49" t="n">
        <v>0</v>
      </c>
      <c r="R38" s="49" t="n">
        <v>0</v>
      </c>
      <c r="S38" s="49" t="n">
        <f aca="false">SUM(P38:R38)</f>
        <v>4</v>
      </c>
      <c r="T38" s="50"/>
      <c r="U38" s="49" t="n">
        <v>0</v>
      </c>
      <c r="V38" s="49" t="n">
        <v>77</v>
      </c>
      <c r="W38" s="6" t="n">
        <f aca="false">N38+O38+S38+U38+V38</f>
        <v>81</v>
      </c>
      <c r="X38" s="49" t="n">
        <f aca="false">IF(L38&lt;0,L38*-1,0)</f>
        <v>0</v>
      </c>
      <c r="Y38" s="49" t="n">
        <f aca="false">W38+X38</f>
        <v>81</v>
      </c>
      <c r="Z38" s="51" t="n">
        <v>0.02</v>
      </c>
      <c r="AA38" s="54" t="n">
        <v>53</v>
      </c>
      <c r="AB38" s="54" t="n">
        <v>24</v>
      </c>
      <c r="AC38" s="55" t="n">
        <v>29</v>
      </c>
      <c r="AD38" s="83"/>
      <c r="AE38" s="85"/>
      <c r="AF38" s="84"/>
    </row>
    <row r="39" customFormat="false" ht="3" hidden="false" customHeight="true" outlineLevel="0" collapsed="false">
      <c r="A39" s="70"/>
      <c r="B39" s="70"/>
      <c r="C39" s="72"/>
      <c r="D39" s="70"/>
      <c r="E39" s="72"/>
      <c r="F39" s="70"/>
      <c r="G39" s="70"/>
      <c r="H39" s="73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2"/>
      <c r="U39" s="70"/>
      <c r="V39" s="70"/>
      <c r="W39" s="70"/>
      <c r="X39" s="70"/>
      <c r="Y39" s="70"/>
      <c r="Z39" s="73"/>
      <c r="AA39" s="74"/>
      <c r="AB39" s="74"/>
      <c r="AC39" s="75"/>
      <c r="AD39" s="83"/>
      <c r="AE39" s="83"/>
      <c r="AF39" s="84"/>
    </row>
    <row r="40" customFormat="false" ht="11.1" hidden="false" customHeight="true" outlineLevel="0" collapsed="false">
      <c r="A40" s="49" t="s">
        <v>44</v>
      </c>
      <c r="B40" s="49"/>
      <c r="C40" s="50"/>
      <c r="D40" s="50"/>
      <c r="E40" s="50"/>
      <c r="F40" s="50" t="n">
        <f aca="false">SUM(F10:F38)</f>
        <v>-182.001512477943</v>
      </c>
      <c r="G40" s="50" t="n">
        <f aca="false">SUM(G10:G38)</f>
        <v>2189</v>
      </c>
      <c r="H40" s="51" t="n">
        <f aca="false">SUM(H10:H39)</f>
        <v>0</v>
      </c>
      <c r="I40" s="50" t="n">
        <f aca="false">SUM(I10:I38)</f>
        <v>2189</v>
      </c>
      <c r="J40" s="50" t="n">
        <f aca="false">SUM(J10:J38)</f>
        <v>5.50088227880011</v>
      </c>
      <c r="K40" s="50" t="n">
        <f aca="false">SUM(K10:K38)</f>
        <v>2194.5008822788</v>
      </c>
      <c r="L40" s="50" t="n">
        <f aca="false">SUM(L10:L38)</f>
        <v>-1.00151247794302</v>
      </c>
      <c r="M40" s="50" t="n">
        <f aca="false">SUM(M10:M38)</f>
        <v>123</v>
      </c>
      <c r="N40" s="50" t="n">
        <f aca="false">SUM(N10:N38)</f>
        <v>0</v>
      </c>
      <c r="O40" s="50" t="n">
        <f aca="false">SUM(O10:O38)</f>
        <v>0</v>
      </c>
      <c r="P40" s="50" t="n">
        <f aca="false">SUM(P10:P38)</f>
        <v>123</v>
      </c>
      <c r="Q40" s="50" t="n">
        <f aca="false">SUM(Q10:Q38)</f>
        <v>0</v>
      </c>
      <c r="R40" s="50" t="n">
        <f aca="false">SUM(R10:R38)</f>
        <v>0</v>
      </c>
      <c r="S40" s="50" t="n">
        <f aca="false">SUM(S10:S38)</f>
        <v>123</v>
      </c>
      <c r="T40" s="50"/>
      <c r="U40" s="50" t="n">
        <f aca="false">SUM(U10:U38)</f>
        <v>0</v>
      </c>
      <c r="V40" s="50" t="n">
        <f aca="false">SUM(V10:V38)</f>
        <v>2247</v>
      </c>
      <c r="W40" s="50" t="n">
        <f aca="false">SUM(W10:W38)</f>
        <v>2370</v>
      </c>
      <c r="X40" s="50" t="n">
        <f aca="false">SUM(X10:X38)</f>
        <v>6.50239475674312</v>
      </c>
      <c r="Y40" s="50" t="n">
        <f aca="false">SUM(Y10:Y38)</f>
        <v>2376.50239475674</v>
      </c>
      <c r="Z40" s="51" t="n">
        <f aca="false">SUM(Z10:Z38)</f>
        <v>0.65</v>
      </c>
      <c r="AA40" s="54" t="n">
        <f aca="false">AVERAGE(AA10:AA38)</f>
        <v>42.8620689655172</v>
      </c>
      <c r="AB40" s="54" t="n">
        <f aca="false">AVERAGE(AB10:AB38)</f>
        <v>12.7931034482759</v>
      </c>
      <c r="AC40" s="55" t="s">
        <v>45</v>
      </c>
      <c r="AD40" s="83"/>
      <c r="AE40" s="83"/>
      <c r="AF40" s="84"/>
    </row>
    <row r="41" customFormat="false" ht="11.1" hidden="false" customHeight="true" outlineLevel="0" collapsed="false">
      <c r="A41" s="49" t="s">
        <v>46</v>
      </c>
      <c r="B41" s="49"/>
      <c r="C41" s="50"/>
      <c r="D41" s="50" t="n">
        <f aca="false">SUM(D10:D38)</f>
        <v>-361</v>
      </c>
      <c r="E41" s="50"/>
      <c r="F41" s="50" t="n">
        <f aca="false">F40*$D$2</f>
        <v>-361</v>
      </c>
      <c r="G41" s="50" t="n">
        <f aca="false">G40*$D$2</f>
        <v>4341.8815</v>
      </c>
      <c r="H41" s="51" t="n">
        <f aca="false">H40*$D$2</f>
        <v>0</v>
      </c>
      <c r="I41" s="50" t="n">
        <f aca="false">I40*$D$2</f>
        <v>4341.8815</v>
      </c>
      <c r="J41" s="50" t="n">
        <f aca="false">J40*$D$2</f>
        <v>10.911</v>
      </c>
      <c r="K41" s="50" t="n">
        <f aca="false">K40*$D$2</f>
        <v>4352.7925</v>
      </c>
      <c r="L41" s="50" t="n">
        <f aca="false">L40*$D$2</f>
        <v>-1.98649999999997</v>
      </c>
      <c r="M41" s="50" t="n">
        <f aca="false">M40*$D$2</f>
        <v>243.9705</v>
      </c>
      <c r="N41" s="50" t="n">
        <f aca="false">N40*$D$2</f>
        <v>0</v>
      </c>
      <c r="O41" s="50" t="n">
        <f aca="false">O40*$D$2</f>
        <v>0</v>
      </c>
      <c r="P41" s="50" t="n">
        <f aca="false">P40*$D$2</f>
        <v>243.9705</v>
      </c>
      <c r="Q41" s="50" t="n">
        <f aca="false">Q40*$D$2</f>
        <v>0</v>
      </c>
      <c r="R41" s="50" t="n">
        <f aca="false">R40*$D$2</f>
        <v>0</v>
      </c>
      <c r="S41" s="50" t="n">
        <f aca="false">S40*$D$2</f>
        <v>243.9705</v>
      </c>
      <c r="T41" s="50"/>
      <c r="U41" s="50" t="n">
        <f aca="false">U40*$D$2</f>
        <v>0</v>
      </c>
      <c r="V41" s="50" t="n">
        <f aca="false">V40*$D$2</f>
        <v>4456.9245</v>
      </c>
      <c r="W41" s="50" t="n">
        <f aca="false">W40*$D$2</f>
        <v>4700.895</v>
      </c>
      <c r="X41" s="50" t="n">
        <f aca="false">X40*$D$2</f>
        <v>12.8975</v>
      </c>
      <c r="Y41" s="50" t="n">
        <f aca="false">Y40*$D$2</f>
        <v>4713.7925</v>
      </c>
      <c r="Z41" s="51"/>
      <c r="AA41" s="54" t="n">
        <f aca="false">MAX(AA10:AA38)</f>
        <v>54</v>
      </c>
      <c r="AB41" s="54" t="n">
        <f aca="false">MAX(AB10:AB38)</f>
        <v>34</v>
      </c>
      <c r="AC41" s="55" t="s">
        <v>47</v>
      </c>
      <c r="AD41" s="83"/>
      <c r="AE41" s="83"/>
      <c r="AF41" s="84"/>
    </row>
    <row r="42" customFormat="false" ht="3" hidden="false" customHeight="true" outlineLevel="0" collapsed="false">
      <c r="A42" s="70"/>
      <c r="B42" s="70"/>
      <c r="C42" s="72"/>
      <c r="D42" s="72"/>
      <c r="E42" s="72"/>
      <c r="F42" s="72"/>
      <c r="G42" s="72"/>
      <c r="H42" s="73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51"/>
      <c r="AA42" s="54"/>
      <c r="AB42" s="54"/>
      <c r="AC42" s="55"/>
      <c r="AD42" s="83"/>
      <c r="AE42" s="83"/>
      <c r="AF42" s="84"/>
    </row>
    <row r="43" customFormat="false" ht="11.1" hidden="false" customHeight="true" outlineLevel="0" collapsed="false">
      <c r="A43" s="49" t="s">
        <v>48</v>
      </c>
      <c r="B43" s="49"/>
      <c r="C43" s="50"/>
      <c r="D43" s="50"/>
      <c r="E43" s="50"/>
      <c r="F43" s="50"/>
      <c r="G43" s="50"/>
      <c r="H43" s="51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54" t="n">
        <f aca="false">MIN(AA10:AA38)</f>
        <v>34</v>
      </c>
      <c r="AB43" s="54" t="n">
        <f aca="false">MIN(AB10:AB38)</f>
        <v>0</v>
      </c>
      <c r="AC43" s="55" t="s">
        <v>49</v>
      </c>
      <c r="AD43" s="83"/>
      <c r="AE43" s="83"/>
      <c r="AF43" s="84"/>
    </row>
    <row r="44" customFormat="false" ht="11.1" hidden="false" customHeight="true" outlineLevel="0" collapsed="false">
      <c r="A44" s="49" t="s">
        <v>50</v>
      </c>
      <c r="B44" s="49"/>
      <c r="C44" s="50"/>
      <c r="D44" s="50"/>
      <c r="E44" s="50"/>
      <c r="F44" s="50"/>
      <c r="G44" s="50"/>
      <c r="H44" s="51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54"/>
      <c r="AB44" s="54"/>
      <c r="AC44" s="55"/>
      <c r="AD44" s="83"/>
      <c r="AE44" s="83"/>
      <c r="AF44" s="84"/>
    </row>
    <row r="45" customFormat="false" ht="3" hidden="false" customHeight="true" outlineLevel="0" collapsed="false">
      <c r="A45" s="70"/>
      <c r="B45" s="70"/>
      <c r="C45" s="72"/>
      <c r="D45" s="72"/>
      <c r="E45" s="72"/>
      <c r="F45" s="72"/>
      <c r="G45" s="72"/>
      <c r="H45" s="73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3"/>
      <c r="AA45" s="54"/>
      <c r="AB45" s="54"/>
      <c r="AC45" s="55"/>
      <c r="AD45" s="83"/>
      <c r="AE45" s="83"/>
      <c r="AF45" s="84"/>
    </row>
    <row r="46" customFormat="false" ht="11.1" hidden="false" customHeight="true" outlineLevel="0" collapsed="false">
      <c r="A46" s="49" t="s">
        <v>51</v>
      </c>
      <c r="B46" s="49"/>
      <c r="C46" s="50"/>
      <c r="D46" s="50"/>
      <c r="E46" s="50"/>
      <c r="F46" s="50" t="n">
        <f aca="false">F8+F40</f>
        <v>-769.347113687925</v>
      </c>
      <c r="G46" s="50" t="n">
        <f aca="false">G8+G40</f>
        <v>10383</v>
      </c>
      <c r="H46" s="51" t="n">
        <f aca="false">H8+H40</f>
        <v>0</v>
      </c>
      <c r="I46" s="50" t="n">
        <f aca="false">I8+I40</f>
        <v>10383</v>
      </c>
      <c r="J46" s="50" t="n">
        <f aca="false">J8+J40</f>
        <v>911.433324930678</v>
      </c>
      <c r="K46" s="50" t="n">
        <f aca="false">K8+K40</f>
        <v>11294.4333249307</v>
      </c>
      <c r="L46" s="50" t="n">
        <f aca="false">L8+L40</f>
        <v>-7.34711368792531</v>
      </c>
      <c r="M46" s="50" t="n">
        <f aca="false">M8+M40</f>
        <v>1034</v>
      </c>
      <c r="N46" s="50" t="n">
        <f aca="false">N8+N40</f>
        <v>0</v>
      </c>
      <c r="O46" s="50" t="n">
        <f aca="false">O8+O40</f>
        <v>0</v>
      </c>
      <c r="P46" s="50" t="n">
        <f aca="false">P8+P40</f>
        <v>1034</v>
      </c>
      <c r="Q46" s="50" t="n">
        <f aca="false">Q8+Q40</f>
        <v>533</v>
      </c>
      <c r="R46" s="50" t="n">
        <f aca="false">R8+R40</f>
        <v>104</v>
      </c>
      <c r="S46" s="50" t="n">
        <f aca="false">S8+S40</f>
        <v>1671</v>
      </c>
      <c r="T46" s="50"/>
      <c r="U46" s="50" t="n">
        <f aca="false">U8+U40</f>
        <v>0</v>
      </c>
      <c r="V46" s="50" t="n">
        <f aca="false">V8+V40</f>
        <v>9474</v>
      </c>
      <c r="W46" s="50" t="n">
        <f aca="false">W8+W40</f>
        <v>11145</v>
      </c>
      <c r="X46" s="50" t="n">
        <f aca="false">X8+X40</f>
        <v>918.780438618603</v>
      </c>
      <c r="Y46" s="50" t="n">
        <f aca="false">Y8+Y40</f>
        <v>12063.7804386186</v>
      </c>
      <c r="Z46" s="51" t="n">
        <f aca="false">Z8+Z40</f>
        <v>6.79</v>
      </c>
      <c r="AA46" s="54"/>
      <c r="AB46" s="54"/>
      <c r="AC46" s="55"/>
      <c r="AD46" s="83"/>
      <c r="AE46" s="83"/>
      <c r="AF46" s="84"/>
    </row>
    <row r="47" customFormat="false" ht="11.1" hidden="false" customHeight="true" outlineLevel="0" collapsed="false">
      <c r="A47" s="49" t="s">
        <v>52</v>
      </c>
      <c r="B47" s="49"/>
      <c r="C47" s="50"/>
      <c r="D47" s="50" t="n">
        <f aca="false">D8+D41</f>
        <v>-1526</v>
      </c>
      <c r="E47" s="50" t="n">
        <f aca="false">E38</f>
        <v>172595</v>
      </c>
      <c r="F47" s="50" t="n">
        <f aca="false">F46*$D$2</f>
        <v>-1526</v>
      </c>
      <c r="G47" s="50" t="n">
        <f aca="false">G46*$D$2</f>
        <v>20594.6805</v>
      </c>
      <c r="H47" s="51" t="n">
        <f aca="false">H46*$D$2</f>
        <v>0</v>
      </c>
      <c r="I47" s="50" t="n">
        <f aca="false">I46*$D$2</f>
        <v>20594.6805</v>
      </c>
      <c r="J47" s="50" t="n">
        <f aca="false">J46*$D$2</f>
        <v>1807.828</v>
      </c>
      <c r="K47" s="50" t="n">
        <f aca="false">K46*$D$2</f>
        <v>22402.5085</v>
      </c>
      <c r="L47" s="50" t="n">
        <f aca="false">L46*$D$2</f>
        <v>-14.5729999999999</v>
      </c>
      <c r="M47" s="50" t="n">
        <f aca="false">M46*$D$2</f>
        <v>2050.939</v>
      </c>
      <c r="N47" s="50" t="n">
        <f aca="false">N46*$D$2</f>
        <v>0</v>
      </c>
      <c r="O47" s="50" t="n">
        <f aca="false">O46*$D$2</f>
        <v>0</v>
      </c>
      <c r="P47" s="50" t="n">
        <f aca="false">P46*$D$2</f>
        <v>2050.939</v>
      </c>
      <c r="Q47" s="50" t="n">
        <f aca="false">Q46*$D$2</f>
        <v>1057.2055</v>
      </c>
      <c r="R47" s="50" t="n">
        <f aca="false">R46*$D$2</f>
        <v>206.284</v>
      </c>
      <c r="S47" s="50" t="n">
        <f aca="false">S46*$D$2</f>
        <v>3314.4285</v>
      </c>
      <c r="T47" s="50" t="n">
        <f aca="false">T46*$D$2</f>
        <v>0</v>
      </c>
      <c r="U47" s="50" t="n">
        <f aca="false">U46*$D$2</f>
        <v>0</v>
      </c>
      <c r="V47" s="50" t="n">
        <f aca="false">V46*$D$2</f>
        <v>18791.679</v>
      </c>
      <c r="W47" s="50" t="n">
        <f aca="false">W46*$D$2</f>
        <v>22106.1075</v>
      </c>
      <c r="X47" s="50" t="n">
        <f aca="false">X46*$D$2</f>
        <v>1822.401</v>
      </c>
      <c r="Y47" s="50" t="n">
        <f aca="false">Y46*$D$2</f>
        <v>23928.5085</v>
      </c>
      <c r="Z47" s="51"/>
      <c r="AA47" s="54"/>
      <c r="AB47" s="54"/>
      <c r="AC47" s="55"/>
      <c r="AD47" s="83"/>
      <c r="AE47" s="83"/>
      <c r="AF47" s="84"/>
    </row>
    <row r="48" customFormat="false" ht="3" hidden="false" customHeight="true" outlineLevel="0" collapsed="false">
      <c r="A48" s="70"/>
      <c r="B48" s="70"/>
      <c r="C48" s="72"/>
      <c r="D48" s="70"/>
      <c r="E48" s="72"/>
      <c r="F48" s="70"/>
      <c r="G48" s="70"/>
      <c r="H48" s="73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2"/>
      <c r="U48" s="70"/>
      <c r="V48" s="70"/>
      <c r="W48" s="70"/>
      <c r="X48" s="70"/>
      <c r="Y48" s="70"/>
      <c r="Z48" s="51"/>
      <c r="AA48" s="54"/>
      <c r="AB48" s="54"/>
      <c r="AC48" s="55"/>
      <c r="AD48" s="83"/>
      <c r="AE48" s="83"/>
      <c r="AF48" s="84"/>
    </row>
    <row r="49" customFormat="false" ht="11.1" hidden="false" customHeight="true" outlineLevel="0" collapsed="false">
      <c r="A49" s="49"/>
      <c r="B49" s="79"/>
      <c r="C49" s="50"/>
      <c r="D49" s="49"/>
      <c r="E49" s="50"/>
      <c r="F49" s="49"/>
      <c r="G49" s="49"/>
      <c r="H49" s="51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  <c r="Z49" s="51"/>
      <c r="AA49" s="54"/>
      <c r="AB49" s="54"/>
      <c r="AC49" s="55"/>
      <c r="AD49" s="82"/>
      <c r="AE49" s="82"/>
    </row>
    <row r="50" customFormat="false" ht="11.1" hidden="false" customHeight="true" outlineLevel="0" collapsed="false">
      <c r="A50" s="49"/>
      <c r="B50" s="69"/>
      <c r="C50" s="50"/>
      <c r="D50" s="77"/>
      <c r="E50" s="50"/>
      <c r="F50" s="49"/>
      <c r="G50" s="49"/>
      <c r="H50" s="2"/>
      <c r="I50" s="50"/>
      <c r="J50" s="49"/>
      <c r="K50" s="39"/>
      <c r="L50" s="49"/>
      <c r="M50" s="49"/>
      <c r="N50" s="49"/>
      <c r="O50" s="49"/>
      <c r="P50" s="49"/>
      <c r="Q50" s="49"/>
      <c r="R50" s="49"/>
      <c r="S50" s="49"/>
      <c r="T50" s="50"/>
      <c r="U50" s="49"/>
      <c r="V50" s="49"/>
      <c r="W50" s="49"/>
      <c r="X50" s="49"/>
      <c r="Y50" s="49"/>
      <c r="Z50" s="51"/>
      <c r="AA50" s="54"/>
      <c r="AB50" s="54"/>
      <c r="AC50" s="55"/>
      <c r="AD50" s="82"/>
      <c r="AE50" s="82"/>
    </row>
    <row r="51" customFormat="false" ht="11.1" hidden="false" customHeight="true" outlineLevel="0" collapsed="false">
      <c r="A51" s="77"/>
      <c r="B51" s="77"/>
      <c r="C51" s="50"/>
      <c r="D51" s="50"/>
      <c r="E51" s="50"/>
      <c r="F51" s="77"/>
      <c r="G51" s="77"/>
      <c r="H51" s="51"/>
      <c r="I51" s="50"/>
      <c r="J51" s="77"/>
      <c r="K51" s="77"/>
      <c r="L51" s="77"/>
      <c r="M51" s="76"/>
      <c r="N51" s="76"/>
      <c r="O51" s="76"/>
      <c r="P51" s="76"/>
      <c r="Q51" s="77"/>
      <c r="R51" s="77"/>
      <c r="S51" s="77"/>
      <c r="T51" s="50"/>
      <c r="U51" s="77"/>
      <c r="V51" s="77"/>
      <c r="W51" s="77"/>
      <c r="X51" s="77"/>
      <c r="Y51" s="77"/>
      <c r="Z51" s="51"/>
      <c r="AA51" s="54"/>
      <c r="AB51" s="54"/>
      <c r="AC51" s="55"/>
      <c r="AD51" s="86"/>
      <c r="AE51" s="86"/>
    </row>
    <row r="52" customFormat="false" ht="11.1" hidden="false" customHeight="true" outlineLevel="0" collapsed="false">
      <c r="A52" s="77"/>
      <c r="B52" s="53"/>
      <c r="C52" s="50"/>
      <c r="D52" s="50"/>
      <c r="E52" s="50"/>
      <c r="F52" s="77"/>
      <c r="G52" s="77"/>
      <c r="H52" s="51"/>
      <c r="I52" s="50"/>
      <c r="J52" s="77"/>
      <c r="K52" s="77"/>
      <c r="L52" s="77"/>
      <c r="M52" s="76"/>
      <c r="N52" s="76"/>
      <c r="O52" s="76"/>
      <c r="P52" s="76"/>
      <c r="Q52" s="77"/>
      <c r="R52" s="77"/>
      <c r="S52" s="77"/>
      <c r="T52" s="50"/>
      <c r="U52" s="77"/>
      <c r="V52" s="77"/>
      <c r="W52" s="77"/>
      <c r="X52" s="77"/>
      <c r="Y52" s="77"/>
      <c r="Z52" s="51"/>
      <c r="AA52" s="54"/>
      <c r="AB52" s="54"/>
      <c r="AC52" s="55"/>
      <c r="AD52" s="86"/>
      <c r="AE52" s="86"/>
    </row>
    <row r="53" customFormat="false" ht="11.1" hidden="false" customHeight="true" outlineLevel="0" collapsed="false">
      <c r="A53" s="77"/>
      <c r="B53" s="77"/>
      <c r="C53" s="50"/>
      <c r="D53" s="77"/>
      <c r="E53" s="50"/>
      <c r="F53" s="77"/>
      <c r="G53" s="81"/>
      <c r="H53" s="51"/>
      <c r="I53" s="77"/>
      <c r="J53" s="77"/>
      <c r="K53" s="77"/>
      <c r="L53" s="77"/>
      <c r="M53" s="76"/>
      <c r="N53" s="76"/>
      <c r="O53" s="76"/>
      <c r="P53" s="76"/>
      <c r="Q53" s="77"/>
      <c r="R53" s="77"/>
      <c r="S53" s="77"/>
      <c r="T53" s="50"/>
      <c r="U53" s="77"/>
      <c r="V53" s="77"/>
      <c r="W53" s="77"/>
      <c r="X53" s="77"/>
      <c r="Y53" s="77"/>
      <c r="Z53" s="51"/>
      <c r="AA53" s="54"/>
      <c r="AB53" s="54"/>
      <c r="AC53" s="55"/>
      <c r="AD53" s="86"/>
      <c r="AE53" s="86"/>
    </row>
    <row r="54" customFormat="false" ht="11.1" hidden="false" customHeight="true" outlineLevel="0" collapsed="false">
      <c r="P54" s="45"/>
      <c r="S54" s="42"/>
      <c r="T54" s="43"/>
      <c r="V54" s="42"/>
      <c r="Y54" s="42"/>
      <c r="AB54" s="47"/>
      <c r="AC54" s="4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44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4.6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51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51"/>
      <c r="I2" s="49"/>
      <c r="J2" s="49"/>
      <c r="K2" s="57" t="s">
        <v>59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51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61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60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61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60</v>
      </c>
      <c r="AD5" s="82"/>
      <c r="AE5" s="82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68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  <c r="AD6" s="83"/>
      <c r="AE6" s="83"/>
      <c r="AF6" s="84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/>
      <c r="G7" s="50"/>
      <c r="H7" s="5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FEB!B38</f>
        <v>6910.65</v>
      </c>
      <c r="C8" s="50" t="n">
        <f aca="false">FEB!C38</f>
        <v>324595</v>
      </c>
      <c r="D8" s="50" t="n">
        <f aca="false">FEB!$D$47</f>
        <v>-1526</v>
      </c>
      <c r="E8" s="50" t="n">
        <f aca="false">FEB!$E$47</f>
        <v>172595</v>
      </c>
      <c r="F8" s="50" t="n">
        <f aca="false">FEB!F46</f>
        <v>-769.347113687925</v>
      </c>
      <c r="G8" s="50" t="n">
        <f aca="false">FEB!G46</f>
        <v>10383</v>
      </c>
      <c r="H8" s="51" t="n">
        <f aca="false">FEB!H46</f>
        <v>0</v>
      </c>
      <c r="I8" s="50" t="n">
        <f aca="false">FEB!I46</f>
        <v>10383</v>
      </c>
      <c r="J8" s="50" t="n">
        <f aca="false">FEB!J46</f>
        <v>911.433324930678</v>
      </c>
      <c r="K8" s="50" t="n">
        <f aca="false">FEB!K46</f>
        <v>11294.4333249307</v>
      </c>
      <c r="L8" s="50" t="n">
        <f aca="false">FEB!L46</f>
        <v>-7.34711368792531</v>
      </c>
      <c r="M8" s="50" t="n">
        <f aca="false">FEB!M46</f>
        <v>1034</v>
      </c>
      <c r="N8" s="50" t="n">
        <f aca="false">FEB!N46</f>
        <v>0</v>
      </c>
      <c r="O8" s="50" t="n">
        <f aca="false">FEB!O46</f>
        <v>0</v>
      </c>
      <c r="P8" s="50" t="n">
        <f aca="false">FEB!P46</f>
        <v>1034</v>
      </c>
      <c r="Q8" s="50" t="n">
        <f aca="false">FEB!Q46</f>
        <v>533</v>
      </c>
      <c r="R8" s="50" t="n">
        <f aca="false">FEB!R46</f>
        <v>104</v>
      </c>
      <c r="S8" s="50" t="n">
        <f aca="false">FEB!S46</f>
        <v>1671</v>
      </c>
      <c r="T8" s="50" t="n">
        <f aca="false">FEB!T46</f>
        <v>0</v>
      </c>
      <c r="U8" s="50" t="n">
        <f aca="false">FEB!U46</f>
        <v>0</v>
      </c>
      <c r="V8" s="50" t="n">
        <f aca="false">FEB!V46</f>
        <v>9474</v>
      </c>
      <c r="W8" s="50" t="n">
        <f aca="false">FEB!W46</f>
        <v>11145</v>
      </c>
      <c r="X8" s="50" t="n">
        <f aca="false">FEB!X46</f>
        <v>918.780438618603</v>
      </c>
      <c r="Y8" s="50" t="n">
        <f aca="false">FEB!Y46</f>
        <v>12063.7804386186</v>
      </c>
      <c r="Z8" s="51" t="n">
        <f aca="false">FEB!Z46</f>
        <v>6.79</v>
      </c>
      <c r="AA8" s="54"/>
      <c r="AB8" s="54"/>
      <c r="AC8" s="55"/>
      <c r="AD8" s="85"/>
      <c r="AE8" s="83"/>
      <c r="AF8" s="8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73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6910.69</v>
      </c>
      <c r="C10" s="50" t="n">
        <v>324755</v>
      </c>
      <c r="D10" s="54" t="n">
        <f aca="false">C10-C8</f>
        <v>160</v>
      </c>
      <c r="E10" s="50" t="n">
        <f aca="false">C10-152000</f>
        <v>172755</v>
      </c>
      <c r="F10" s="49" t="n">
        <f aca="false">D10/$D$2</f>
        <v>80.6654902949332</v>
      </c>
      <c r="G10" s="49" t="n">
        <v>162</v>
      </c>
      <c r="H10" s="87" t="n">
        <v>0</v>
      </c>
      <c r="I10" s="49" t="n">
        <f aca="false">G10+H10</f>
        <v>162</v>
      </c>
      <c r="J10" s="76" t="n">
        <f aca="false">IF(L10&gt;0,L10,0)</f>
        <v>0</v>
      </c>
      <c r="K10" s="49" t="n">
        <f aca="false">I10+J10</f>
        <v>162</v>
      </c>
      <c r="L10" s="49" t="n">
        <f aca="false">F10-(I10-W10)</f>
        <v>-1.33450970506681</v>
      </c>
      <c r="M10" s="49" t="n">
        <v>4</v>
      </c>
      <c r="N10" s="49" t="n">
        <v>0</v>
      </c>
      <c r="O10" s="49" t="n">
        <v>0</v>
      </c>
      <c r="P10" s="6" t="n">
        <f aca="false">M10-(N10+O10)</f>
        <v>4</v>
      </c>
      <c r="Q10" s="49" t="n">
        <v>0</v>
      </c>
      <c r="R10" s="49" t="n">
        <v>0</v>
      </c>
      <c r="S10" s="49" t="n">
        <f aca="false">SUM(P10:R10)</f>
        <v>4</v>
      </c>
      <c r="T10" s="50"/>
      <c r="U10" s="49" t="n">
        <v>0</v>
      </c>
      <c r="V10" s="49" t="n">
        <v>76</v>
      </c>
      <c r="W10" s="6" t="n">
        <f aca="false">N10+O10+S10+U10+V10</f>
        <v>80</v>
      </c>
      <c r="X10" s="49" t="n">
        <f aca="false">IF(L10&lt;0,L10*-1,0)</f>
        <v>1.33450970506681</v>
      </c>
      <c r="Y10" s="49" t="n">
        <f aca="false">W10+X10</f>
        <v>81.3345097050668</v>
      </c>
      <c r="Z10" s="51" t="n">
        <v>0</v>
      </c>
      <c r="AA10" s="54" t="n">
        <v>49</v>
      </c>
      <c r="AB10" s="54" t="n">
        <v>25</v>
      </c>
      <c r="AC10" s="55" t="n">
        <v>1</v>
      </c>
      <c r="AD10" s="84"/>
      <c r="AE10" s="85"/>
      <c r="AF10" s="84"/>
    </row>
    <row r="11" customFormat="false" ht="11.1" hidden="false" customHeight="true" outlineLevel="0" collapsed="false">
      <c r="A11" s="55" t="n">
        <f aca="false">A10+1</f>
        <v>2</v>
      </c>
      <c r="B11" s="69" t="n">
        <v>6910.75</v>
      </c>
      <c r="C11" s="50" t="n">
        <v>324996</v>
      </c>
      <c r="D11" s="54" t="n">
        <f aca="false">C11-C10</f>
        <v>241</v>
      </c>
      <c r="E11" s="50" t="n">
        <f aca="false">C11-152000</f>
        <v>172996</v>
      </c>
      <c r="F11" s="49" t="n">
        <f aca="false">D11/$D$2</f>
        <v>121.502394756743</v>
      </c>
      <c r="G11" s="49" t="n">
        <v>205</v>
      </c>
      <c r="H11" s="87" t="n">
        <v>0</v>
      </c>
      <c r="I11" s="49" t="n">
        <f aca="false">G11+H11</f>
        <v>205</v>
      </c>
      <c r="J11" s="76" t="n">
        <f aca="false">IF(L11&gt;0,L11,0)</f>
        <v>0</v>
      </c>
      <c r="K11" s="49" t="n">
        <f aca="false">I11+J11</f>
        <v>205</v>
      </c>
      <c r="L11" s="49" t="n">
        <f aca="false">F11-(I11-W11)</f>
        <v>-1.49760524325687</v>
      </c>
      <c r="M11" s="49" t="n">
        <v>6</v>
      </c>
      <c r="N11" s="49" t="n">
        <v>0</v>
      </c>
      <c r="O11" s="49" t="n">
        <v>0</v>
      </c>
      <c r="P11" s="6" t="n">
        <f aca="false">M11-(N11+O11)</f>
        <v>6</v>
      </c>
      <c r="Q11" s="49" t="n">
        <v>0</v>
      </c>
      <c r="R11" s="49" t="n">
        <v>0</v>
      </c>
      <c r="S11" s="49" t="n">
        <f aca="false">SUM(P11:R11)</f>
        <v>6</v>
      </c>
      <c r="T11" s="50"/>
      <c r="U11" s="49" t="n">
        <v>0</v>
      </c>
      <c r="V11" s="49" t="n">
        <v>76</v>
      </c>
      <c r="W11" s="6" t="n">
        <f aca="false">N11+O11+S11+U11+V11</f>
        <v>82</v>
      </c>
      <c r="X11" s="49" t="n">
        <f aca="false">IF(L11&lt;0,L11*-1,0)</f>
        <v>1.49760524325687</v>
      </c>
      <c r="Y11" s="49" t="n">
        <f aca="false">W11+X11</f>
        <v>83.4976052432569</v>
      </c>
      <c r="Z11" s="51" t="n">
        <v>0</v>
      </c>
      <c r="AA11" s="54" t="n">
        <v>46</v>
      </c>
      <c r="AB11" s="54" t="n">
        <v>24</v>
      </c>
      <c r="AC11" s="55" t="n">
        <f aca="false">AC10+1</f>
        <v>2</v>
      </c>
      <c r="AD11" s="84"/>
      <c r="AE11" s="85"/>
      <c r="AF11" s="84"/>
    </row>
    <row r="12" customFormat="false" ht="11.1" hidden="false" customHeight="true" outlineLevel="0" collapsed="false">
      <c r="A12" s="55" t="n">
        <f aca="false">A11+1</f>
        <v>3</v>
      </c>
      <c r="B12" s="69" t="n">
        <v>6910.8</v>
      </c>
      <c r="C12" s="50" t="n">
        <v>325197</v>
      </c>
      <c r="D12" s="54" t="n">
        <f aca="false">C12-C11</f>
        <v>201</v>
      </c>
      <c r="E12" s="50" t="n">
        <f aca="false">C12-152000</f>
        <v>173197</v>
      </c>
      <c r="F12" s="49" t="n">
        <f aca="false">D12/$D$2</f>
        <v>101.33602218301</v>
      </c>
      <c r="G12" s="49" t="n">
        <v>188</v>
      </c>
      <c r="H12" s="87" t="n">
        <v>0</v>
      </c>
      <c r="I12" s="49" t="n">
        <f aca="false">G12+H12</f>
        <v>188</v>
      </c>
      <c r="J12" s="76" t="n">
        <f aca="false">IF(L12&gt;0,L12,0)</f>
        <v>0</v>
      </c>
      <c r="K12" s="49" t="n">
        <f aca="false">I12+J12</f>
        <v>188</v>
      </c>
      <c r="L12" s="49" t="n">
        <f aca="false">F12-(I12-W12)</f>
        <v>-0.663977816990169</v>
      </c>
      <c r="M12" s="49" t="n">
        <v>9</v>
      </c>
      <c r="N12" s="49" t="n">
        <v>0</v>
      </c>
      <c r="O12" s="49" t="n">
        <v>0</v>
      </c>
      <c r="P12" s="6" t="n">
        <f aca="false">M12-(N12+O12)</f>
        <v>9</v>
      </c>
      <c r="Q12" s="49" t="n">
        <v>0</v>
      </c>
      <c r="R12" s="49" t="n">
        <v>0</v>
      </c>
      <c r="S12" s="49" t="n">
        <f aca="false">SUM(P12:R12)</f>
        <v>9</v>
      </c>
      <c r="T12" s="50"/>
      <c r="U12" s="49" t="n">
        <v>0</v>
      </c>
      <c r="V12" s="49" t="n">
        <v>77</v>
      </c>
      <c r="W12" s="6" t="n">
        <f aca="false">N12+O12+S12+U12+V12</f>
        <v>86</v>
      </c>
      <c r="X12" s="49" t="n">
        <f aca="false">IF(L12&lt;0,L12*-1,0)</f>
        <v>0.663977816990169</v>
      </c>
      <c r="Y12" s="49" t="n">
        <f aca="false">W12+X12</f>
        <v>86.6639778169902</v>
      </c>
      <c r="Z12" s="51" t="n">
        <v>0</v>
      </c>
      <c r="AA12" s="54" t="n">
        <v>44</v>
      </c>
      <c r="AB12" s="54" t="n">
        <v>21</v>
      </c>
      <c r="AC12" s="55" t="n">
        <f aca="false">AC11+1</f>
        <v>3</v>
      </c>
      <c r="AD12" s="84"/>
      <c r="AE12" s="85"/>
      <c r="AF12" s="84"/>
    </row>
    <row r="13" customFormat="false" ht="11.1" hidden="false" customHeight="true" outlineLevel="0" collapsed="false">
      <c r="A13" s="55" t="n">
        <f aca="false">A12+1</f>
        <v>4</v>
      </c>
      <c r="B13" s="69" t="n">
        <v>6910.86</v>
      </c>
      <c r="C13" s="50" t="n">
        <v>325438</v>
      </c>
      <c r="D13" s="54" t="n">
        <f aca="false">C13-C12</f>
        <v>241</v>
      </c>
      <c r="E13" s="50" t="n">
        <f aca="false">C13-152000</f>
        <v>173438</v>
      </c>
      <c r="F13" s="49" t="n">
        <f aca="false">D13/$D$2</f>
        <v>121.502394756743</v>
      </c>
      <c r="G13" s="49" t="n">
        <v>210</v>
      </c>
      <c r="H13" s="87" t="n">
        <v>0</v>
      </c>
      <c r="I13" s="49" t="n">
        <f aca="false">G13+H13</f>
        <v>210</v>
      </c>
      <c r="J13" s="76" t="n">
        <f aca="false">IF(L13&gt;0,L13,0)</f>
        <v>0</v>
      </c>
      <c r="K13" s="49" t="n">
        <f aca="false">I13+J13</f>
        <v>210</v>
      </c>
      <c r="L13" s="49" t="n">
        <f aca="false">F13-(I13-W13)</f>
        <v>-1.49760524325687</v>
      </c>
      <c r="M13" s="49" t="n">
        <v>11</v>
      </c>
      <c r="N13" s="49" t="n">
        <v>0</v>
      </c>
      <c r="O13" s="49" t="n">
        <v>0</v>
      </c>
      <c r="P13" s="6" t="n">
        <f aca="false">M13-(N13+O13)</f>
        <v>11</v>
      </c>
      <c r="Q13" s="49" t="n">
        <v>0</v>
      </c>
      <c r="R13" s="49" t="n">
        <v>0</v>
      </c>
      <c r="S13" s="49" t="n">
        <f aca="false">SUM(P13:R13)</f>
        <v>11</v>
      </c>
      <c r="T13" s="50"/>
      <c r="U13" s="49" t="n">
        <v>0</v>
      </c>
      <c r="V13" s="49" t="n">
        <v>76</v>
      </c>
      <c r="W13" s="6" t="n">
        <f aca="false">N13+O13+S13+U13+V13</f>
        <v>87</v>
      </c>
      <c r="X13" s="49" t="n">
        <f aca="false">IF(L13&lt;0,L13*-1,0)</f>
        <v>1.49760524325687</v>
      </c>
      <c r="Y13" s="49" t="n">
        <f aca="false">W13+X13</f>
        <v>88.4976052432569</v>
      </c>
      <c r="Z13" s="51" t="n">
        <v>0</v>
      </c>
      <c r="AA13" s="54" t="n">
        <v>51</v>
      </c>
      <c r="AB13" s="54" t="n">
        <v>19</v>
      </c>
      <c r="AC13" s="55" t="n">
        <f aca="false">AC12+1</f>
        <v>4</v>
      </c>
      <c r="AD13" s="84"/>
      <c r="AE13" s="85"/>
      <c r="AF13" s="84"/>
    </row>
    <row r="14" customFormat="false" ht="11.1" hidden="false" customHeight="true" outlineLevel="0" collapsed="false">
      <c r="A14" s="55" t="n">
        <f aca="false">A13+1</f>
        <v>5</v>
      </c>
      <c r="B14" s="69" t="n">
        <v>6910.93</v>
      </c>
      <c r="C14" s="50" t="n">
        <v>325718</v>
      </c>
      <c r="D14" s="54" t="n">
        <f aca="false">C14-C13</f>
        <v>280</v>
      </c>
      <c r="E14" s="50" t="n">
        <f aca="false">C14-152000</f>
        <v>173718</v>
      </c>
      <c r="F14" s="49" t="n">
        <f aca="false">D14/$D$2</f>
        <v>141.164608016133</v>
      </c>
      <c r="G14" s="49" t="n">
        <v>233</v>
      </c>
      <c r="H14" s="87" t="n">
        <v>0</v>
      </c>
      <c r="I14" s="49" t="n">
        <f aca="false">G14+H14</f>
        <v>233</v>
      </c>
      <c r="J14" s="76" t="n">
        <f aca="false">IF(L14&gt;0,L14,0)</f>
        <v>0</v>
      </c>
      <c r="K14" s="49" t="n">
        <f aca="false">I14+J14</f>
        <v>233</v>
      </c>
      <c r="L14" s="49" t="n">
        <f aca="false">F14-(I14-W14)</f>
        <v>-0.835391983866913</v>
      </c>
      <c r="M14" s="49" t="n">
        <v>14</v>
      </c>
      <c r="N14" s="49" t="n">
        <v>0</v>
      </c>
      <c r="O14" s="49" t="n">
        <v>0</v>
      </c>
      <c r="P14" s="6" t="n">
        <f aca="false">M14-(N14+O14)</f>
        <v>14</v>
      </c>
      <c r="Q14" s="49" t="n">
        <v>0</v>
      </c>
      <c r="R14" s="49" t="n">
        <v>0</v>
      </c>
      <c r="S14" s="49" t="n">
        <f aca="false">SUM(P14:R14)</f>
        <v>14</v>
      </c>
      <c r="T14" s="50"/>
      <c r="U14" s="49" t="n">
        <v>0</v>
      </c>
      <c r="V14" s="49" t="n">
        <v>77</v>
      </c>
      <c r="W14" s="6" t="n">
        <f aca="false">N14+O14+S14+U14+V14</f>
        <v>91</v>
      </c>
      <c r="X14" s="49" t="n">
        <f aca="false">IF(L14&lt;0,L14*-1,0)</f>
        <v>0.835391983866913</v>
      </c>
      <c r="Y14" s="49" t="n">
        <f aca="false">W14+X14</f>
        <v>91.8353919838669</v>
      </c>
      <c r="Z14" s="51" t="n">
        <v>0</v>
      </c>
      <c r="AA14" s="54" t="n">
        <v>56</v>
      </c>
      <c r="AB14" s="54" t="n">
        <v>20</v>
      </c>
      <c r="AC14" s="55" t="n">
        <f aca="false">AC13+1</f>
        <v>5</v>
      </c>
      <c r="AD14" s="84"/>
      <c r="AE14" s="85"/>
      <c r="AF14" s="84"/>
    </row>
    <row r="15" customFormat="false" ht="11.1" hidden="false" customHeight="true" outlineLevel="0" collapsed="false">
      <c r="A15" s="55" t="n">
        <f aca="false">A14+1</f>
        <v>6</v>
      </c>
      <c r="B15" s="69" t="n">
        <v>6911.01</v>
      </c>
      <c r="C15" s="50" t="n">
        <v>326040</v>
      </c>
      <c r="D15" s="54" t="n">
        <f aca="false">C15-C14</f>
        <v>322</v>
      </c>
      <c r="E15" s="50" t="n">
        <f aca="false">C15-152000</f>
        <v>174040</v>
      </c>
      <c r="F15" s="49" t="n">
        <f aca="false">D15/$D$2</f>
        <v>162.339299218553</v>
      </c>
      <c r="G15" s="49" t="n">
        <v>128</v>
      </c>
      <c r="H15" s="87" t="n">
        <v>0</v>
      </c>
      <c r="I15" s="49" t="n">
        <f aca="false">G15+H15</f>
        <v>128</v>
      </c>
      <c r="J15" s="76" t="n">
        <f aca="false">IF(L15&gt;0,L15,0)</f>
        <v>124.339299218553</v>
      </c>
      <c r="K15" s="49" t="n">
        <f aca="false">I15+J15</f>
        <v>252.339299218553</v>
      </c>
      <c r="L15" s="49" t="n">
        <f aca="false">F15-(I15-W15)</f>
        <v>124.339299218553</v>
      </c>
      <c r="M15" s="49" t="n">
        <v>14</v>
      </c>
      <c r="N15" s="49" t="n">
        <v>0</v>
      </c>
      <c r="O15" s="49" t="n">
        <v>0</v>
      </c>
      <c r="P15" s="6" t="n">
        <f aca="false">M15-(N15+O15)</f>
        <v>14</v>
      </c>
      <c r="Q15" s="49" t="n">
        <v>0</v>
      </c>
      <c r="R15" s="49" t="n">
        <v>0</v>
      </c>
      <c r="S15" s="49" t="n">
        <f aca="false">SUM(P15:R15)</f>
        <v>14</v>
      </c>
      <c r="T15" s="50"/>
      <c r="U15" s="49" t="n">
        <v>0</v>
      </c>
      <c r="V15" s="49" t="n">
        <v>76</v>
      </c>
      <c r="W15" s="6" t="n">
        <f aca="false">N15+O15+S15+U15+V15</f>
        <v>90</v>
      </c>
      <c r="X15" s="49" t="n">
        <f aca="false">IF(L15&lt;0,L15*-1,0)</f>
        <v>0</v>
      </c>
      <c r="Y15" s="49" t="n">
        <f aca="false">W15+X15</f>
        <v>90</v>
      </c>
      <c r="Z15" s="51" t="n">
        <v>0.02</v>
      </c>
      <c r="AA15" s="54" t="n">
        <v>48</v>
      </c>
      <c r="AB15" s="54" t="n">
        <v>22</v>
      </c>
      <c r="AC15" s="55" t="n">
        <f aca="false">AC14+1</f>
        <v>6</v>
      </c>
      <c r="AD15" s="83"/>
      <c r="AE15" s="85"/>
      <c r="AF15" s="84"/>
    </row>
    <row r="16" customFormat="false" ht="11.1" hidden="false" customHeight="true" outlineLevel="0" collapsed="false">
      <c r="A16" s="55" t="n">
        <f aca="false">A15+1</f>
        <v>7</v>
      </c>
      <c r="B16" s="69" t="n">
        <v>6911.02</v>
      </c>
      <c r="C16" s="50" t="n">
        <v>326080</v>
      </c>
      <c r="D16" s="54" t="n">
        <f aca="false">C16-C15</f>
        <v>40</v>
      </c>
      <c r="E16" s="50" t="n">
        <f aca="false">C16-152000</f>
        <v>174080</v>
      </c>
      <c r="F16" s="49" t="n">
        <f aca="false">D16/$D$2</f>
        <v>20.1663725737333</v>
      </c>
      <c r="G16" s="49" t="n">
        <v>123</v>
      </c>
      <c r="H16" s="87" t="n">
        <v>0</v>
      </c>
      <c r="I16" s="49" t="n">
        <f aca="false">G16+H16</f>
        <v>123</v>
      </c>
      <c r="J16" s="76" t="n">
        <f aca="false">IF(L16&gt;0,L16,0)</f>
        <v>0</v>
      </c>
      <c r="K16" s="49" t="n">
        <f aca="false">I16+J16</f>
        <v>123</v>
      </c>
      <c r="L16" s="49" t="n">
        <f aca="false">F16-(I16-W16)</f>
        <v>-8.8336274262667</v>
      </c>
      <c r="M16" s="49" t="n">
        <v>17</v>
      </c>
      <c r="N16" s="49" t="n">
        <v>0</v>
      </c>
      <c r="O16" s="49" t="n">
        <v>0</v>
      </c>
      <c r="P16" s="6" t="n">
        <f aca="false">M16-(N16+O16)</f>
        <v>17</v>
      </c>
      <c r="Q16" s="49" t="n">
        <v>0</v>
      </c>
      <c r="R16" s="49" t="n">
        <v>0</v>
      </c>
      <c r="S16" s="49" t="n">
        <f aca="false">SUM(P16:R16)</f>
        <v>17</v>
      </c>
      <c r="T16" s="50"/>
      <c r="U16" s="49" t="n">
        <v>0</v>
      </c>
      <c r="V16" s="49" t="n">
        <v>77</v>
      </c>
      <c r="W16" s="6" t="n">
        <f aca="false">N16+O16+S16+U16+V16</f>
        <v>94</v>
      </c>
      <c r="X16" s="49" t="n">
        <f aca="false">IF(L16&lt;0,L16*-1,0)</f>
        <v>8.8336274262667</v>
      </c>
      <c r="Y16" s="49" t="n">
        <f aca="false">W16+X16</f>
        <v>102.833627426267</v>
      </c>
      <c r="Z16" s="51" t="n">
        <v>0</v>
      </c>
      <c r="AA16" s="54" t="n">
        <v>34</v>
      </c>
      <c r="AB16" s="54" t="n">
        <v>18</v>
      </c>
      <c r="AC16" s="55" t="n">
        <f aca="false">AC15+1</f>
        <v>7</v>
      </c>
      <c r="AD16" s="83"/>
      <c r="AE16" s="85"/>
      <c r="AF16" s="84"/>
    </row>
    <row r="17" customFormat="false" ht="11.1" hidden="false" customHeight="true" outlineLevel="0" collapsed="false">
      <c r="A17" s="55" t="n">
        <f aca="false">A16+1</f>
        <v>8</v>
      </c>
      <c r="B17" s="69" t="n">
        <v>6911.03</v>
      </c>
      <c r="C17" s="50" t="n">
        <v>326121</v>
      </c>
      <c r="D17" s="54" t="n">
        <f aca="false">C17-C16</f>
        <v>41</v>
      </c>
      <c r="E17" s="50" t="n">
        <f aca="false">C17-152000</f>
        <v>174121</v>
      </c>
      <c r="F17" s="49" t="n">
        <f aca="false">D17/$D$2</f>
        <v>20.6705318880766</v>
      </c>
      <c r="G17" s="49" t="n">
        <v>95</v>
      </c>
      <c r="H17" s="87" t="n">
        <v>0</v>
      </c>
      <c r="I17" s="49" t="n">
        <f aca="false">G17+H17</f>
        <v>95</v>
      </c>
      <c r="J17" s="76" t="n">
        <f aca="false">IF(L17&gt;0,L17,0)</f>
        <v>20.6705318880766</v>
      </c>
      <c r="K17" s="49" t="n">
        <f aca="false">I17+J17</f>
        <v>115.670531888077</v>
      </c>
      <c r="L17" s="49" t="n">
        <f aca="false">F17-(I17-W17)</f>
        <v>20.6705318880766</v>
      </c>
      <c r="M17" s="49" t="n">
        <v>19</v>
      </c>
      <c r="N17" s="49" t="n">
        <v>0</v>
      </c>
      <c r="O17" s="49" t="n">
        <v>0</v>
      </c>
      <c r="P17" s="6" t="n">
        <f aca="false">M17-(N17+O17)</f>
        <v>19</v>
      </c>
      <c r="Q17" s="49" t="n">
        <v>0</v>
      </c>
      <c r="R17" s="49" t="n">
        <v>0</v>
      </c>
      <c r="S17" s="49" t="n">
        <f aca="false">SUM(P17:R17)</f>
        <v>19</v>
      </c>
      <c r="T17" s="50"/>
      <c r="U17" s="49" t="n">
        <v>0</v>
      </c>
      <c r="V17" s="49" t="n">
        <v>76</v>
      </c>
      <c r="W17" s="6" t="n">
        <f aca="false">N17+O17+S17+U17+V17</f>
        <v>95</v>
      </c>
      <c r="X17" s="49" t="n">
        <f aca="false">IF(L17&lt;0,L17*-1,0)</f>
        <v>0</v>
      </c>
      <c r="Y17" s="49" t="n">
        <f aca="false">W17+X17</f>
        <v>95</v>
      </c>
      <c r="Z17" s="51" t="n">
        <v>0</v>
      </c>
      <c r="AA17" s="54" t="n">
        <v>39</v>
      </c>
      <c r="AB17" s="54" t="n">
        <v>10</v>
      </c>
      <c r="AC17" s="55" t="n">
        <f aca="false">AC16+1</f>
        <v>8</v>
      </c>
      <c r="AD17" s="83"/>
      <c r="AE17" s="85"/>
      <c r="AF17" s="84"/>
    </row>
    <row r="18" customFormat="false" ht="11.1" hidden="false" customHeight="true" outlineLevel="0" collapsed="false">
      <c r="A18" s="55" t="n">
        <f aca="false">A17+1</f>
        <v>9</v>
      </c>
      <c r="B18" s="69" t="n">
        <v>6911.04</v>
      </c>
      <c r="C18" s="50" t="n">
        <v>326161</v>
      </c>
      <c r="D18" s="54" t="n">
        <f aca="false">C18-C17</f>
        <v>40</v>
      </c>
      <c r="E18" s="50" t="n">
        <f aca="false">C18-152000</f>
        <v>174161</v>
      </c>
      <c r="F18" s="49" t="n">
        <f aca="false">D18/$D$2</f>
        <v>20.1663725737333</v>
      </c>
      <c r="G18" s="49" t="n">
        <v>96</v>
      </c>
      <c r="H18" s="87" t="n">
        <v>0</v>
      </c>
      <c r="I18" s="49" t="n">
        <f aca="false">G18+H18</f>
        <v>96</v>
      </c>
      <c r="J18" s="76" t="n">
        <f aca="false">IF(L18&gt;0,L18,0)</f>
        <v>18.1663725737333</v>
      </c>
      <c r="K18" s="49" t="n">
        <f aca="false">I18+J18</f>
        <v>114.166372573733</v>
      </c>
      <c r="L18" s="49" t="n">
        <f aca="false">F18-(I18-W18)</f>
        <v>18.1663725737333</v>
      </c>
      <c r="M18" s="49" t="n">
        <v>19</v>
      </c>
      <c r="N18" s="49" t="n">
        <v>0</v>
      </c>
      <c r="O18" s="49" t="n">
        <v>0</v>
      </c>
      <c r="P18" s="6" t="n">
        <f aca="false">M18-(N18+O18)</f>
        <v>19</v>
      </c>
      <c r="Q18" s="49" t="n">
        <v>0</v>
      </c>
      <c r="R18" s="49" t="n">
        <v>0</v>
      </c>
      <c r="S18" s="49" t="n">
        <f aca="false">SUM(P18:R18)</f>
        <v>19</v>
      </c>
      <c r="T18" s="50"/>
      <c r="U18" s="49" t="n">
        <v>0</v>
      </c>
      <c r="V18" s="49" t="n">
        <v>75</v>
      </c>
      <c r="W18" s="6" t="n">
        <f aca="false">N18+O18+S18+U18+V18</f>
        <v>94</v>
      </c>
      <c r="X18" s="49" t="n">
        <f aca="false">IF(L18&lt;0,L18*-1,0)</f>
        <v>0</v>
      </c>
      <c r="Y18" s="49" t="n">
        <f aca="false">W18+X18</f>
        <v>94</v>
      </c>
      <c r="Z18" s="51" t="n">
        <v>0.03</v>
      </c>
      <c r="AA18" s="77" t="n">
        <v>42</v>
      </c>
      <c r="AB18" s="54" t="n">
        <v>13</v>
      </c>
      <c r="AC18" s="55" t="n">
        <f aca="false">AC17+1</f>
        <v>9</v>
      </c>
      <c r="AD18" s="83"/>
      <c r="AE18" s="85"/>
      <c r="AF18" s="84"/>
    </row>
    <row r="19" customFormat="false" ht="11.1" hidden="false" customHeight="true" outlineLevel="0" collapsed="false">
      <c r="A19" s="55" t="n">
        <f aca="false">A18+1</f>
        <v>10</v>
      </c>
      <c r="B19" s="69" t="n">
        <v>6911.05</v>
      </c>
      <c r="C19" s="50" t="n">
        <v>326202</v>
      </c>
      <c r="D19" s="54" t="n">
        <f aca="false">C19-C18</f>
        <v>41</v>
      </c>
      <c r="E19" s="50" t="n">
        <f aca="false">C19-152000</f>
        <v>174202</v>
      </c>
      <c r="F19" s="49" t="n">
        <f aca="false">D19/$D$2</f>
        <v>20.6705318880766</v>
      </c>
      <c r="G19" s="49" t="n">
        <v>118</v>
      </c>
      <c r="H19" s="87" t="n">
        <v>0</v>
      </c>
      <c r="I19" s="49" t="n">
        <f aca="false">G19+H19</f>
        <v>118</v>
      </c>
      <c r="J19" s="76" t="n">
        <f aca="false">IF(L19&gt;0,L19,0)</f>
        <v>0</v>
      </c>
      <c r="K19" s="49" t="n">
        <f aca="false">I19+J19</f>
        <v>118</v>
      </c>
      <c r="L19" s="49" t="n">
        <f aca="false">F19-(I19-W19)</f>
        <v>-2.32946811192337</v>
      </c>
      <c r="M19" s="89" t="n">
        <v>19</v>
      </c>
      <c r="N19" s="89" t="n">
        <v>0</v>
      </c>
      <c r="O19" s="49" t="n">
        <v>0</v>
      </c>
      <c r="P19" s="6" t="n">
        <f aca="false">M19-(N19+O19)</f>
        <v>19</v>
      </c>
      <c r="Q19" s="49" t="n">
        <v>0</v>
      </c>
      <c r="R19" s="49" t="n">
        <v>0</v>
      </c>
      <c r="S19" s="49" t="n">
        <f aca="false">SUM(P19:R19)</f>
        <v>19</v>
      </c>
      <c r="T19" s="50"/>
      <c r="U19" s="49" t="n">
        <v>0</v>
      </c>
      <c r="V19" s="49" t="n">
        <v>76</v>
      </c>
      <c r="W19" s="6" t="n">
        <f aca="false">N19+O19+S19+U19+V19</f>
        <v>95</v>
      </c>
      <c r="X19" s="49" t="n">
        <f aca="false">IF(L19&lt;0,L19*-1,0)</f>
        <v>2.32946811192337</v>
      </c>
      <c r="Y19" s="49" t="n">
        <f aca="false">W19+X19</f>
        <v>97.3294681119234</v>
      </c>
      <c r="Z19" s="51" t="n">
        <v>0.22</v>
      </c>
      <c r="AA19" s="54" t="n">
        <v>30</v>
      </c>
      <c r="AB19" s="54" t="n">
        <v>20</v>
      </c>
      <c r="AC19" s="55" t="n">
        <f aca="false">AC18+1</f>
        <v>10</v>
      </c>
      <c r="AD19" s="83"/>
      <c r="AE19" s="85"/>
      <c r="AF19" s="84"/>
    </row>
    <row r="20" customFormat="false" ht="11.1" hidden="false" customHeight="true" outlineLevel="0" collapsed="false">
      <c r="A20" s="55" t="n">
        <f aca="false">A19+1</f>
        <v>11</v>
      </c>
      <c r="B20" s="69" t="n">
        <v>6911.07</v>
      </c>
      <c r="C20" s="50" t="n">
        <v>326283</v>
      </c>
      <c r="D20" s="54" t="n">
        <f aca="false">C20-C19</f>
        <v>81</v>
      </c>
      <c r="E20" s="50" t="n">
        <f aca="false">C20-152000</f>
        <v>174283</v>
      </c>
      <c r="F20" s="49" t="n">
        <f aca="false">D20/$D$2</f>
        <v>40.8369044618099</v>
      </c>
      <c r="G20" s="49" t="n">
        <v>95</v>
      </c>
      <c r="H20" s="87" t="n">
        <v>0</v>
      </c>
      <c r="I20" s="49" t="n">
        <f aca="false">G20+H20</f>
        <v>95</v>
      </c>
      <c r="J20" s="76" t="n">
        <f aca="false">IF(L20&gt;0,L20,0)</f>
        <v>36.8369044618099</v>
      </c>
      <c r="K20" s="49" t="n">
        <f aca="false">I20+J20</f>
        <v>131.83690446181</v>
      </c>
      <c r="L20" s="49" t="n">
        <f aca="false">F20-(I20-W20)</f>
        <v>36.8369044618099</v>
      </c>
      <c r="M20" s="89" t="n">
        <v>15</v>
      </c>
      <c r="N20" s="89" t="n">
        <v>0</v>
      </c>
      <c r="O20" s="49" t="n">
        <v>0</v>
      </c>
      <c r="P20" s="6" t="n">
        <f aca="false">M20-(N20+O20)</f>
        <v>15</v>
      </c>
      <c r="Q20" s="49" t="n">
        <v>0</v>
      </c>
      <c r="R20" s="49" t="n">
        <v>0</v>
      </c>
      <c r="S20" s="49" t="n">
        <f aca="false">SUM(P20:R20)</f>
        <v>15</v>
      </c>
      <c r="T20" s="50"/>
      <c r="U20" s="49" t="n">
        <v>0</v>
      </c>
      <c r="V20" s="49" t="n">
        <v>76</v>
      </c>
      <c r="W20" s="6" t="n">
        <f aca="false">N20+O20+S20+U20+V20</f>
        <v>91</v>
      </c>
      <c r="X20" s="49" t="n">
        <f aca="false">IF(L20&lt;0,L20*-1,0)</f>
        <v>0</v>
      </c>
      <c r="Y20" s="49" t="n">
        <f aca="false">W20+X20</f>
        <v>91</v>
      </c>
      <c r="Z20" s="51" t="n">
        <v>0</v>
      </c>
      <c r="AA20" s="54" t="n">
        <v>32</v>
      </c>
      <c r="AB20" s="54" t="n">
        <v>9</v>
      </c>
      <c r="AC20" s="55" t="n">
        <f aca="false">AC19+1</f>
        <v>11</v>
      </c>
      <c r="AD20" s="83"/>
      <c r="AE20" s="85"/>
      <c r="AF20" s="84"/>
    </row>
    <row r="21" customFormat="false" ht="11.1" hidden="false" customHeight="true" outlineLevel="0" collapsed="false">
      <c r="A21" s="55" t="n">
        <f aca="false">A20+1</f>
        <v>12</v>
      </c>
      <c r="B21" s="69" t="n">
        <v>6911.08</v>
      </c>
      <c r="C21" s="50" t="n">
        <v>326323</v>
      </c>
      <c r="D21" s="54" t="n">
        <f aca="false">C21-C20</f>
        <v>40</v>
      </c>
      <c r="E21" s="50" t="n">
        <f aca="false">C21-152000</f>
        <v>174323</v>
      </c>
      <c r="F21" s="49" t="n">
        <f aca="false">D21/$D$2</f>
        <v>20.1663725737333</v>
      </c>
      <c r="G21" s="49" t="n">
        <v>81</v>
      </c>
      <c r="H21" s="87" t="n">
        <v>0</v>
      </c>
      <c r="I21" s="49" t="n">
        <f aca="false">G21+H21</f>
        <v>81</v>
      </c>
      <c r="J21" s="76" t="n">
        <f aca="false">IF(L21&gt;0,L21,0)</f>
        <v>28.1663725737333</v>
      </c>
      <c r="K21" s="49" t="n">
        <f aca="false">I21+J21</f>
        <v>109.166372573733</v>
      </c>
      <c r="L21" s="49" t="n">
        <f aca="false">F21-(I21-W21)</f>
        <v>28.1663725737333</v>
      </c>
      <c r="M21" s="89" t="n">
        <v>13</v>
      </c>
      <c r="N21" s="89" t="n">
        <v>0</v>
      </c>
      <c r="O21" s="49" t="n">
        <v>0</v>
      </c>
      <c r="P21" s="6" t="n">
        <f aca="false">M21-(N21+O21)</f>
        <v>13</v>
      </c>
      <c r="Q21" s="49" t="n">
        <v>0</v>
      </c>
      <c r="R21" s="49" t="n">
        <v>0</v>
      </c>
      <c r="S21" s="49" t="n">
        <f aca="false">SUM(P21:R21)</f>
        <v>13</v>
      </c>
      <c r="T21" s="50"/>
      <c r="U21" s="49" t="n">
        <v>0</v>
      </c>
      <c r="V21" s="49" t="n">
        <v>76</v>
      </c>
      <c r="W21" s="6" t="n">
        <f aca="false">N21+O21+S21+U21+V21</f>
        <v>89</v>
      </c>
      <c r="X21" s="49" t="n">
        <f aca="false">IF(L21&lt;0,L21*-1,0)</f>
        <v>0</v>
      </c>
      <c r="Y21" s="49" t="n">
        <f aca="false">W21+X21</f>
        <v>89</v>
      </c>
      <c r="Z21" s="51" t="n">
        <v>0</v>
      </c>
      <c r="AA21" s="54" t="n">
        <v>31</v>
      </c>
      <c r="AB21" s="54" t="n">
        <v>12</v>
      </c>
      <c r="AC21" s="55" t="n">
        <f aca="false">AC20+1</f>
        <v>12</v>
      </c>
      <c r="AD21" s="83"/>
      <c r="AE21" s="85"/>
      <c r="AF21" s="84"/>
    </row>
    <row r="22" customFormat="false" ht="11.1" hidden="false" customHeight="true" outlineLevel="0" collapsed="false">
      <c r="A22" s="55" t="n">
        <f aca="false">A21+1</f>
        <v>13</v>
      </c>
      <c r="B22" s="69" t="n">
        <v>6911.09</v>
      </c>
      <c r="C22" s="50" t="n">
        <v>326363</v>
      </c>
      <c r="D22" s="54" t="n">
        <f aca="false">C22-C21</f>
        <v>40</v>
      </c>
      <c r="E22" s="50" t="n">
        <f aca="false">C22-152000</f>
        <v>174363</v>
      </c>
      <c r="F22" s="49" t="n">
        <f aca="false">D22/$D$2</f>
        <v>20.1663725737333</v>
      </c>
      <c r="G22" s="49" t="n">
        <v>99</v>
      </c>
      <c r="H22" s="87" t="n">
        <v>0</v>
      </c>
      <c r="I22" s="49" t="n">
        <f aca="false">G22+H22</f>
        <v>99</v>
      </c>
      <c r="J22" s="76" t="n">
        <f aca="false">IF(L22&gt;0,L22,0)</f>
        <v>11.1663725737333</v>
      </c>
      <c r="K22" s="49" t="n">
        <f aca="false">I22+J22</f>
        <v>110.166372573733</v>
      </c>
      <c r="L22" s="49" t="n">
        <f aca="false">F22-(I22-W22)</f>
        <v>11.1663725737333</v>
      </c>
      <c r="M22" s="89" t="n">
        <v>13</v>
      </c>
      <c r="N22" s="89" t="n">
        <v>0</v>
      </c>
      <c r="O22" s="49" t="n">
        <v>0</v>
      </c>
      <c r="P22" s="6" t="n">
        <f aca="false">M22-(N22+O22)</f>
        <v>13</v>
      </c>
      <c r="Q22" s="49" t="n">
        <v>0</v>
      </c>
      <c r="R22" s="49" t="n">
        <v>0</v>
      </c>
      <c r="S22" s="49" t="n">
        <f aca="false">SUM(P22:R22)</f>
        <v>13</v>
      </c>
      <c r="T22" s="50"/>
      <c r="U22" s="49" t="n">
        <v>0</v>
      </c>
      <c r="V22" s="49" t="n">
        <v>77</v>
      </c>
      <c r="W22" s="6" t="n">
        <f aca="false">N22+O22+S22+U22+V22</f>
        <v>90</v>
      </c>
      <c r="X22" s="49" t="n">
        <f aca="false">IF(L22&lt;0,L22*-1,0)</f>
        <v>0</v>
      </c>
      <c r="Y22" s="49" t="n">
        <f aca="false">W22+X22</f>
        <v>90</v>
      </c>
      <c r="Z22" s="51" t="n">
        <v>0</v>
      </c>
      <c r="AA22" s="54" t="n">
        <v>33</v>
      </c>
      <c r="AB22" s="54" t="n">
        <v>14</v>
      </c>
      <c r="AC22" s="55" t="n">
        <f aca="false">AC21+1</f>
        <v>13</v>
      </c>
      <c r="AD22" s="83"/>
      <c r="AE22" s="85"/>
      <c r="AF22" s="84"/>
    </row>
    <row r="23" customFormat="false" ht="11.1" hidden="false" customHeight="true" outlineLevel="0" collapsed="false">
      <c r="A23" s="55" t="n">
        <f aca="false">A22+1</f>
        <v>14</v>
      </c>
      <c r="B23" s="69" t="n">
        <v>6911.09</v>
      </c>
      <c r="C23" s="50" t="n">
        <v>326363</v>
      </c>
      <c r="D23" s="54" t="n">
        <f aca="false">C23-C22</f>
        <v>0</v>
      </c>
      <c r="E23" s="50" t="n">
        <f aca="false">C23-152000</f>
        <v>174363</v>
      </c>
      <c r="F23" s="49" t="n">
        <f aca="false">D23/$D$2</f>
        <v>0</v>
      </c>
      <c r="G23" s="49" t="n">
        <v>90</v>
      </c>
      <c r="H23" s="51" t="n">
        <v>0</v>
      </c>
      <c r="I23" s="49" t="n">
        <f aca="false">G23+H23</f>
        <v>90</v>
      </c>
      <c r="J23" s="76" t="n">
        <f aca="false">IF(L23&gt;0,L23,0)</f>
        <v>0</v>
      </c>
      <c r="K23" s="49" t="n">
        <f aca="false">I23+J23</f>
        <v>90</v>
      </c>
      <c r="L23" s="49" t="n">
        <f aca="false">F23-(I23-W23)</f>
        <v>-1</v>
      </c>
      <c r="M23" s="49" t="n">
        <v>13</v>
      </c>
      <c r="N23" s="49" t="n">
        <v>0</v>
      </c>
      <c r="O23" s="49" t="n">
        <v>0</v>
      </c>
      <c r="P23" s="6" t="n">
        <f aca="false">M23-(N23+O23)</f>
        <v>13</v>
      </c>
      <c r="Q23" s="49" t="n">
        <v>0</v>
      </c>
      <c r="R23" s="49" t="n">
        <v>0</v>
      </c>
      <c r="S23" s="49" t="n">
        <f aca="false">SUM(P23:R23)</f>
        <v>13</v>
      </c>
      <c r="T23" s="50"/>
      <c r="U23" s="49" t="n">
        <v>0</v>
      </c>
      <c r="V23" s="49" t="n">
        <v>76</v>
      </c>
      <c r="W23" s="6" t="n">
        <f aca="false">N23+O23+S23+U23+V23</f>
        <v>89</v>
      </c>
      <c r="X23" s="49" t="n">
        <f aca="false">IF(L23&lt;0,L23*-1,0)</f>
        <v>1</v>
      </c>
      <c r="Y23" s="49" t="n">
        <f aca="false">W23+X23</f>
        <v>90</v>
      </c>
      <c r="Z23" s="51" t="n">
        <v>0</v>
      </c>
      <c r="AA23" s="77" t="n">
        <v>42</v>
      </c>
      <c r="AB23" s="54" t="n">
        <v>11</v>
      </c>
      <c r="AC23" s="55" t="n">
        <f aca="false">AC22+1</f>
        <v>14</v>
      </c>
      <c r="AD23" s="83"/>
      <c r="AE23" s="85"/>
      <c r="AF23" s="84"/>
    </row>
    <row r="24" customFormat="false" ht="11.1" hidden="false" customHeight="true" outlineLevel="0" collapsed="false">
      <c r="A24" s="55" t="n">
        <f aca="false">A23+1</f>
        <v>15</v>
      </c>
      <c r="B24" s="69" t="n">
        <v>6911.09</v>
      </c>
      <c r="C24" s="50" t="n">
        <v>326363</v>
      </c>
      <c r="D24" s="54" t="n">
        <f aca="false">C24-C23</f>
        <v>0</v>
      </c>
      <c r="E24" s="50" t="n">
        <f aca="false">C24-152000</f>
        <v>174363</v>
      </c>
      <c r="F24" s="49" t="n">
        <f aca="false">D24/$D$2</f>
        <v>0</v>
      </c>
      <c r="G24" s="49" t="n">
        <v>97</v>
      </c>
      <c r="H24" s="51" t="n">
        <v>0</v>
      </c>
      <c r="I24" s="49" t="n">
        <f aca="false">G24+H24</f>
        <v>97</v>
      </c>
      <c r="J24" s="76" t="n">
        <f aca="false">IF(L24&gt;0,L24,0)</f>
        <v>0</v>
      </c>
      <c r="K24" s="49" t="n">
        <f aca="false">I24+J24</f>
        <v>97</v>
      </c>
      <c r="L24" s="49" t="n">
        <f aca="false">F24-(I24-W24)</f>
        <v>-9</v>
      </c>
      <c r="M24" s="49" t="n">
        <v>13</v>
      </c>
      <c r="N24" s="49" t="n">
        <v>0</v>
      </c>
      <c r="O24" s="49" t="n">
        <v>0</v>
      </c>
      <c r="P24" s="6" t="n">
        <f aca="false">M24-(N24+O24)</f>
        <v>13</v>
      </c>
      <c r="Q24" s="49" t="n">
        <v>0</v>
      </c>
      <c r="R24" s="49" t="n">
        <v>0</v>
      </c>
      <c r="S24" s="49" t="n">
        <f aca="false">SUM(P24:R24)</f>
        <v>13</v>
      </c>
      <c r="T24" s="50"/>
      <c r="U24" s="49" t="n">
        <v>0</v>
      </c>
      <c r="V24" s="49" t="n">
        <v>75</v>
      </c>
      <c r="W24" s="6" t="n">
        <f aca="false">N24+O24+S24+U24+V24</f>
        <v>88</v>
      </c>
      <c r="X24" s="49" t="n">
        <f aca="false">IF(L24&lt;0,L24*-1,0)</f>
        <v>9</v>
      </c>
      <c r="Y24" s="49" t="n">
        <f aca="false">W24+X24</f>
        <v>97</v>
      </c>
      <c r="Z24" s="51" t="n">
        <v>0.01</v>
      </c>
      <c r="AA24" s="77" t="n">
        <v>46</v>
      </c>
      <c r="AB24" s="54" t="n">
        <v>8</v>
      </c>
      <c r="AC24" s="55" t="n">
        <f aca="false">AC23+1</f>
        <v>15</v>
      </c>
      <c r="AD24" s="83"/>
      <c r="AE24" s="85"/>
      <c r="AF24" s="84"/>
    </row>
    <row r="25" customFormat="false" ht="11.1" hidden="false" customHeight="true" outlineLevel="0" collapsed="false">
      <c r="A25" s="55" t="n">
        <f aca="false">A24+1</f>
        <v>16</v>
      </c>
      <c r="B25" s="69" t="n">
        <v>6911.09</v>
      </c>
      <c r="C25" s="50" t="n">
        <v>326363</v>
      </c>
      <c r="D25" s="54" t="n">
        <f aca="false">C25-C24</f>
        <v>0</v>
      </c>
      <c r="E25" s="50" t="n">
        <f aca="false">C25-152000</f>
        <v>174363</v>
      </c>
      <c r="F25" s="49" t="n">
        <f aca="false">D25/$D$2</f>
        <v>0</v>
      </c>
      <c r="G25" s="49" t="n">
        <v>102</v>
      </c>
      <c r="H25" s="51" t="n">
        <v>0</v>
      </c>
      <c r="I25" s="49" t="n">
        <f aca="false">G25+H25</f>
        <v>102</v>
      </c>
      <c r="J25" s="76" t="n">
        <f aca="false">IF(L25&gt;0,L25,0)</f>
        <v>0</v>
      </c>
      <c r="K25" s="49" t="n">
        <f aca="false">I25+J25</f>
        <v>102</v>
      </c>
      <c r="L25" s="49" t="n">
        <f aca="false">F25-(I25-W25)</f>
        <v>-9</v>
      </c>
      <c r="M25" s="49" t="n">
        <v>13</v>
      </c>
      <c r="N25" s="49" t="n">
        <v>0</v>
      </c>
      <c r="O25" s="49" t="n">
        <v>0</v>
      </c>
      <c r="P25" s="6" t="n">
        <f aca="false">M25-(N25+O25)</f>
        <v>13</v>
      </c>
      <c r="Q25" s="49" t="n">
        <v>0</v>
      </c>
      <c r="R25" s="49" t="n">
        <v>4</v>
      </c>
      <c r="S25" s="49" t="n">
        <f aca="false">SUM(P25:R25)</f>
        <v>17</v>
      </c>
      <c r="T25" s="50"/>
      <c r="U25" s="49" t="n">
        <v>0</v>
      </c>
      <c r="V25" s="49" t="n">
        <v>76</v>
      </c>
      <c r="W25" s="6" t="n">
        <f aca="false">N25+O25+S25+U25+V25</f>
        <v>93</v>
      </c>
      <c r="X25" s="49" t="n">
        <f aca="false">IF(L25&lt;0,L25*-1,0)</f>
        <v>9</v>
      </c>
      <c r="Y25" s="49" t="n">
        <f aca="false">W25+X25</f>
        <v>102</v>
      </c>
      <c r="Z25" s="51" t="n">
        <v>0.07</v>
      </c>
      <c r="AA25" s="77" t="n">
        <v>34</v>
      </c>
      <c r="AB25" s="54" t="n">
        <v>20</v>
      </c>
      <c r="AC25" s="55" t="n">
        <f aca="false">AC24+1</f>
        <v>16</v>
      </c>
      <c r="AD25" s="83"/>
      <c r="AE25" s="0"/>
      <c r="AF25" s="84"/>
    </row>
    <row r="26" customFormat="false" ht="11.1" hidden="false" customHeight="true" outlineLevel="0" collapsed="false">
      <c r="A26" s="55" t="n">
        <f aca="false">A25+1</f>
        <v>17</v>
      </c>
      <c r="B26" s="69" t="n">
        <v>6911.1</v>
      </c>
      <c r="C26" s="50" t="n">
        <v>326404</v>
      </c>
      <c r="D26" s="54" t="n">
        <f aca="false">C26-C25</f>
        <v>41</v>
      </c>
      <c r="E26" s="50" t="n">
        <f aca="false">C26-152000</f>
        <v>174404</v>
      </c>
      <c r="F26" s="49" t="n">
        <f aca="false">D26/$D$2</f>
        <v>20.6705318880766</v>
      </c>
      <c r="G26" s="49" t="n">
        <v>79</v>
      </c>
      <c r="H26" s="51" t="n">
        <v>0</v>
      </c>
      <c r="I26" s="49" t="n">
        <f aca="false">G26+H26</f>
        <v>79</v>
      </c>
      <c r="J26" s="76" t="n">
        <f aca="false">IF(L26&gt;0,L26,0)</f>
        <v>38.6705318880766</v>
      </c>
      <c r="K26" s="49" t="n">
        <f aca="false">I26+J26</f>
        <v>117.670531888077</v>
      </c>
      <c r="L26" s="49" t="n">
        <f aca="false">F26-(I26-W26)</f>
        <v>38.6705318880766</v>
      </c>
      <c r="M26" s="49" t="n">
        <v>13</v>
      </c>
      <c r="N26" s="49" t="n">
        <v>0</v>
      </c>
      <c r="O26" s="49" t="n">
        <v>0</v>
      </c>
      <c r="P26" s="6" t="n">
        <f aca="false">M26-(N26+O26)</f>
        <v>13</v>
      </c>
      <c r="Q26" s="49" t="n">
        <v>0</v>
      </c>
      <c r="R26" s="49" t="n">
        <v>7</v>
      </c>
      <c r="S26" s="49" t="n">
        <f aca="false">SUM(P26:R26)</f>
        <v>20</v>
      </c>
      <c r="T26" s="50"/>
      <c r="U26" s="49" t="n">
        <v>0</v>
      </c>
      <c r="V26" s="49" t="n">
        <v>77</v>
      </c>
      <c r="W26" s="6" t="n">
        <f aca="false">N26+O26+S26+U26+V26</f>
        <v>97</v>
      </c>
      <c r="X26" s="49" t="n">
        <f aca="false">IF(L26&lt;0,L26*-1,0)</f>
        <v>0</v>
      </c>
      <c r="Y26" s="49" t="n">
        <f aca="false">W26+X26</f>
        <v>97</v>
      </c>
      <c r="Z26" s="51" t="n">
        <v>0</v>
      </c>
      <c r="AA26" s="77" t="n">
        <v>34</v>
      </c>
      <c r="AB26" s="54" t="n">
        <v>15</v>
      </c>
      <c r="AC26" s="55" t="n">
        <f aca="false">AC25+1</f>
        <v>17</v>
      </c>
      <c r="AD26" s="83"/>
      <c r="AE26" s="85"/>
      <c r="AF26" s="84"/>
    </row>
    <row r="27" customFormat="false" ht="11.1" hidden="false" customHeight="true" outlineLevel="0" collapsed="false">
      <c r="A27" s="55" t="n">
        <f aca="false">A26+1</f>
        <v>18</v>
      </c>
      <c r="B27" s="69" t="n">
        <v>6911.12</v>
      </c>
      <c r="C27" s="50" t="n">
        <v>326485</v>
      </c>
      <c r="D27" s="54" t="n">
        <f aca="false">C27-C26</f>
        <v>81</v>
      </c>
      <c r="E27" s="50" t="n">
        <f aca="false">C27-152000</f>
        <v>174485</v>
      </c>
      <c r="F27" s="49" t="n">
        <f aca="false">D27/$D$2</f>
        <v>40.8369044618099</v>
      </c>
      <c r="G27" s="49" t="n">
        <v>85</v>
      </c>
      <c r="H27" s="51" t="n">
        <v>0</v>
      </c>
      <c r="I27" s="49" t="n">
        <f aca="false">G27+H27</f>
        <v>85</v>
      </c>
      <c r="J27" s="76" t="n">
        <f aca="false">IF(L27&gt;0,L27,0)</f>
        <v>47.8369044618099</v>
      </c>
      <c r="K27" s="49" t="n">
        <f aca="false">I27+J27</f>
        <v>132.83690446181</v>
      </c>
      <c r="L27" s="49" t="n">
        <f aca="false">F27-(I27-W27)</f>
        <v>47.8369044618099</v>
      </c>
      <c r="M27" s="49" t="n">
        <v>8</v>
      </c>
      <c r="N27" s="49" t="n">
        <v>0</v>
      </c>
      <c r="O27" s="49" t="n">
        <v>0</v>
      </c>
      <c r="P27" s="6" t="n">
        <f aca="false">M27-(N27+O27)</f>
        <v>8</v>
      </c>
      <c r="Q27" s="49" t="n">
        <v>0</v>
      </c>
      <c r="R27" s="49" t="n">
        <v>7</v>
      </c>
      <c r="S27" s="49" t="n">
        <f aca="false">SUM(P27:R27)</f>
        <v>15</v>
      </c>
      <c r="T27" s="50"/>
      <c r="U27" s="49" t="n">
        <v>0</v>
      </c>
      <c r="V27" s="49" t="n">
        <v>77</v>
      </c>
      <c r="W27" s="6" t="n">
        <f aca="false">N27+O27+S27+U27+V27</f>
        <v>92</v>
      </c>
      <c r="X27" s="49" t="n">
        <f aca="false">IF(L27&lt;0,L27*-1,0)</f>
        <v>0</v>
      </c>
      <c r="Y27" s="49" t="n">
        <f aca="false">W27+X27</f>
        <v>92</v>
      </c>
      <c r="Z27" s="51" t="n">
        <v>0</v>
      </c>
      <c r="AA27" s="77" t="n">
        <v>52</v>
      </c>
      <c r="AB27" s="54" t="n">
        <v>13</v>
      </c>
      <c r="AC27" s="55" t="n">
        <f aca="false">AC26+1</f>
        <v>18</v>
      </c>
      <c r="AD27" s="83"/>
      <c r="AE27" s="85"/>
      <c r="AF27" s="84"/>
    </row>
    <row r="28" customFormat="false" ht="11.1" hidden="false" customHeight="true" outlineLevel="0" collapsed="false">
      <c r="A28" s="55" t="n">
        <f aca="false">A27+1</f>
        <v>19</v>
      </c>
      <c r="B28" s="69" t="n">
        <v>6911.14</v>
      </c>
      <c r="C28" s="88" t="n">
        <v>326566</v>
      </c>
      <c r="D28" s="54" t="n">
        <f aca="false">C28-C27</f>
        <v>81</v>
      </c>
      <c r="E28" s="50" t="n">
        <f aca="false">C28-152000</f>
        <v>174566</v>
      </c>
      <c r="F28" s="49" t="n">
        <f aca="false">D28/$D$2</f>
        <v>40.8369044618099</v>
      </c>
      <c r="G28" s="49" t="n">
        <v>87</v>
      </c>
      <c r="H28" s="51" t="n">
        <v>0</v>
      </c>
      <c r="I28" s="49" t="n">
        <f aca="false">G28+H28</f>
        <v>87</v>
      </c>
      <c r="J28" s="76" t="n">
        <f aca="false">IF(L28&gt;0,L28,0)</f>
        <v>41.8369044618099</v>
      </c>
      <c r="K28" s="49" t="n">
        <f aca="false">I28+J28</f>
        <v>128.83690446181</v>
      </c>
      <c r="L28" s="49" t="n">
        <f aca="false">F28-(I28-W28)</f>
        <v>41.8369044618099</v>
      </c>
      <c r="M28" s="49" t="n">
        <v>4</v>
      </c>
      <c r="N28" s="49" t="n">
        <v>0</v>
      </c>
      <c r="O28" s="49" t="n">
        <v>0</v>
      </c>
      <c r="P28" s="6" t="n">
        <f aca="false">M28-(N28+O28)</f>
        <v>4</v>
      </c>
      <c r="Q28" s="49" t="n">
        <v>0</v>
      </c>
      <c r="R28" s="49" t="n">
        <v>7</v>
      </c>
      <c r="S28" s="49" t="n">
        <f aca="false">SUM(P28:R28)</f>
        <v>11</v>
      </c>
      <c r="T28" s="50"/>
      <c r="U28" s="49" t="n">
        <v>0</v>
      </c>
      <c r="V28" s="49" t="n">
        <v>77</v>
      </c>
      <c r="W28" s="6" t="n">
        <f aca="false">N28+O28+S28+U28+V28</f>
        <v>88</v>
      </c>
      <c r="X28" s="49" t="n">
        <f aca="false">IF(L28&lt;0,L28*-1,0)</f>
        <v>0</v>
      </c>
      <c r="Y28" s="49" t="n">
        <f aca="false">W28+X28</f>
        <v>88</v>
      </c>
      <c r="Z28" s="51" t="n">
        <v>0</v>
      </c>
      <c r="AA28" s="77" t="n">
        <v>59</v>
      </c>
      <c r="AB28" s="54" t="n">
        <v>14</v>
      </c>
      <c r="AC28" s="55" t="n">
        <f aca="false">AC27+1</f>
        <v>19</v>
      </c>
      <c r="AD28" s="83"/>
      <c r="AE28" s="85"/>
      <c r="AF28" s="84"/>
    </row>
    <row r="29" customFormat="false" ht="11.1" hidden="false" customHeight="true" outlineLevel="0" collapsed="false">
      <c r="A29" s="55" t="n">
        <f aca="false">A28+1</f>
        <v>20</v>
      </c>
      <c r="B29" s="69" t="n">
        <v>6911.15</v>
      </c>
      <c r="C29" s="50" t="n">
        <v>326606</v>
      </c>
      <c r="D29" s="54" t="n">
        <f aca="false">C29-C28</f>
        <v>40</v>
      </c>
      <c r="E29" s="50" t="n">
        <f aca="false">C29-152000</f>
        <v>174606</v>
      </c>
      <c r="F29" s="49" t="n">
        <f aca="false">D29/$D$2</f>
        <v>20.1663725737333</v>
      </c>
      <c r="G29" s="49" t="n">
        <v>95</v>
      </c>
      <c r="H29" s="51" t="n">
        <v>0</v>
      </c>
      <c r="I29" s="49" t="n">
        <f aca="false">G29+H29</f>
        <v>95</v>
      </c>
      <c r="J29" s="76" t="n">
        <f aca="false">IF(L29&gt;0,L29,0)</f>
        <v>12.1663725737333</v>
      </c>
      <c r="K29" s="49" t="n">
        <f aca="false">I29+J29</f>
        <v>107.166372573733</v>
      </c>
      <c r="L29" s="49" t="n">
        <f aca="false">F29-(I29-W29)</f>
        <v>12.1663725737333</v>
      </c>
      <c r="M29" s="49" t="n">
        <v>4</v>
      </c>
      <c r="N29" s="49" t="n">
        <v>0</v>
      </c>
      <c r="O29" s="49" t="n">
        <v>0</v>
      </c>
      <c r="P29" s="6" t="n">
        <f aca="false">M29-(N29+O29)</f>
        <v>4</v>
      </c>
      <c r="Q29" s="49" t="n">
        <v>0</v>
      </c>
      <c r="R29" s="49" t="n">
        <v>7</v>
      </c>
      <c r="S29" s="49" t="n">
        <f aca="false">SUM(P29:R29)</f>
        <v>11</v>
      </c>
      <c r="T29" s="50"/>
      <c r="U29" s="49" t="n">
        <v>0</v>
      </c>
      <c r="V29" s="49" t="n">
        <v>76</v>
      </c>
      <c r="W29" s="6" t="n">
        <f aca="false">N29+O29+S29+U29+V29</f>
        <v>87</v>
      </c>
      <c r="X29" s="49" t="n">
        <f aca="false">IF(L29&lt;0,L29*-1,0)</f>
        <v>0</v>
      </c>
      <c r="Y29" s="49" t="n">
        <f aca="false">W29+X29</f>
        <v>87</v>
      </c>
      <c r="Z29" s="51" t="n">
        <v>0</v>
      </c>
      <c r="AA29" s="77" t="n">
        <v>62</v>
      </c>
      <c r="AB29" s="54" t="n">
        <v>17</v>
      </c>
      <c r="AC29" s="55" t="n">
        <f aca="false">AC28+1</f>
        <v>20</v>
      </c>
      <c r="AD29" s="83"/>
      <c r="AE29" s="85"/>
      <c r="AF29" s="84"/>
    </row>
    <row r="30" customFormat="false" ht="11.1" hidden="false" customHeight="true" outlineLevel="0" collapsed="false">
      <c r="A30" s="55" t="n">
        <f aca="false">A29+1</f>
        <v>21</v>
      </c>
      <c r="B30" s="69" t="n">
        <v>6911.25</v>
      </c>
      <c r="C30" s="50" t="n">
        <v>327011</v>
      </c>
      <c r="D30" s="54" t="n">
        <f aca="false">C30-C29</f>
        <v>405</v>
      </c>
      <c r="E30" s="50" t="n">
        <f aca="false">C30-152000</f>
        <v>175011</v>
      </c>
      <c r="F30" s="49" t="n">
        <f aca="false">D30/$D$2</f>
        <v>204.18452230905</v>
      </c>
      <c r="G30" s="89" t="n">
        <v>109</v>
      </c>
      <c r="H30" s="51" t="n">
        <v>2</v>
      </c>
      <c r="I30" s="49" t="n">
        <f aca="false">G30+H30</f>
        <v>111</v>
      </c>
      <c r="J30" s="76" t="n">
        <f aca="false">IF(L30&gt;0,L30,0)</f>
        <v>180.18452230905</v>
      </c>
      <c r="K30" s="49" t="n">
        <f aca="false">I30+J30</f>
        <v>291.18452230905</v>
      </c>
      <c r="L30" s="49" t="n">
        <f aca="false">F30-(I30-W30)</f>
        <v>180.18452230905</v>
      </c>
      <c r="M30" s="49" t="n">
        <v>4</v>
      </c>
      <c r="N30" s="49" t="n">
        <v>0</v>
      </c>
      <c r="O30" s="49" t="n">
        <v>0</v>
      </c>
      <c r="P30" s="6" t="n">
        <f aca="false">M30-(N30+O30)</f>
        <v>4</v>
      </c>
      <c r="Q30" s="49" t="n">
        <v>0</v>
      </c>
      <c r="R30" s="49" t="n">
        <v>7</v>
      </c>
      <c r="S30" s="49" t="n">
        <f aca="false">SUM(P30:R30)</f>
        <v>11</v>
      </c>
      <c r="T30" s="50"/>
      <c r="U30" s="49" t="n">
        <v>0</v>
      </c>
      <c r="V30" s="49" t="n">
        <v>76</v>
      </c>
      <c r="W30" s="6" t="n">
        <f aca="false">N30+O30+S30+U30+V30</f>
        <v>87</v>
      </c>
      <c r="X30" s="49" t="n">
        <f aca="false">IF(L30&lt;0,L30*-1,0)</f>
        <v>0</v>
      </c>
      <c r="Y30" s="49" t="n">
        <f aca="false">W30+X30</f>
        <v>87</v>
      </c>
      <c r="Z30" s="51" t="n">
        <v>0</v>
      </c>
      <c r="AA30" s="54" t="n">
        <v>63</v>
      </c>
      <c r="AB30" s="54" t="n">
        <v>18</v>
      </c>
      <c r="AC30" s="55" t="n">
        <f aca="false">AC29+1</f>
        <v>21</v>
      </c>
      <c r="AD30" s="83"/>
      <c r="AE30" s="85"/>
      <c r="AF30" s="84"/>
    </row>
    <row r="31" customFormat="false" ht="11.1" hidden="false" customHeight="true" outlineLevel="0" collapsed="false">
      <c r="A31" s="55" t="n">
        <f aca="false">A30+1</f>
        <v>22</v>
      </c>
      <c r="B31" s="69" t="n">
        <v>6911.41</v>
      </c>
      <c r="C31" s="50" t="n">
        <v>327658</v>
      </c>
      <c r="D31" s="54" t="n">
        <f aca="false">C31-C30</f>
        <v>647</v>
      </c>
      <c r="E31" s="50" t="n">
        <f aca="false">C31-152000</f>
        <v>175658</v>
      </c>
      <c r="F31" s="49" t="n">
        <f aca="false">D31/$D$2</f>
        <v>326.191076380136</v>
      </c>
      <c r="G31" s="49" t="n">
        <v>142</v>
      </c>
      <c r="H31" s="51" t="n">
        <v>5</v>
      </c>
      <c r="I31" s="49" t="n">
        <f aca="false">G31+H31</f>
        <v>147</v>
      </c>
      <c r="J31" s="76" t="n">
        <f aca="false">IF(L31&gt;0,L31,0)</f>
        <v>263.191076380136</v>
      </c>
      <c r="K31" s="49" t="n">
        <f aca="false">I31+J31</f>
        <v>410.191076380136</v>
      </c>
      <c r="L31" s="49" t="n">
        <f aca="false">F31-(I31-W31)</f>
        <v>263.191076380136</v>
      </c>
      <c r="M31" s="49" t="n">
        <v>4</v>
      </c>
      <c r="N31" s="49" t="n">
        <v>0</v>
      </c>
      <c r="O31" s="49" t="n">
        <v>0</v>
      </c>
      <c r="P31" s="6" t="n">
        <f aca="false">M31-(N31+O31)</f>
        <v>4</v>
      </c>
      <c r="Q31" s="49" t="n">
        <v>0</v>
      </c>
      <c r="R31" s="49" t="n">
        <v>3</v>
      </c>
      <c r="S31" s="49" t="n">
        <f aca="false">SUM(P31:R31)</f>
        <v>7</v>
      </c>
      <c r="T31" s="50"/>
      <c r="U31" s="49" t="n">
        <v>0</v>
      </c>
      <c r="V31" s="49" t="n">
        <v>77</v>
      </c>
      <c r="W31" s="6" t="n">
        <f aca="false">N31+O31+S31+U31+V31</f>
        <v>84</v>
      </c>
      <c r="X31" s="49" t="n">
        <f aca="false">IF(L31&lt;0,L31*-1,0)</f>
        <v>0</v>
      </c>
      <c r="Y31" s="49" t="n">
        <f aca="false">W31+X31</f>
        <v>84</v>
      </c>
      <c r="Z31" s="51" t="n">
        <v>0</v>
      </c>
      <c r="AA31" s="54" t="n">
        <v>56</v>
      </c>
      <c r="AB31" s="54" t="n">
        <v>24</v>
      </c>
      <c r="AC31" s="55" t="n">
        <f aca="false">AC30+1</f>
        <v>22</v>
      </c>
      <c r="AD31" s="83"/>
      <c r="AE31" s="85"/>
      <c r="AF31" s="84"/>
    </row>
    <row r="32" customFormat="false" ht="11.1" hidden="false" customHeight="true" outlineLevel="0" collapsed="false">
      <c r="A32" s="55" t="n">
        <f aca="false">A31+1</f>
        <v>23</v>
      </c>
      <c r="B32" s="69" t="n">
        <v>6911.6</v>
      </c>
      <c r="C32" s="50" t="n">
        <v>328426</v>
      </c>
      <c r="D32" s="54" t="n">
        <f aca="false">C32-C31</f>
        <v>768</v>
      </c>
      <c r="E32" s="50" t="n">
        <f aca="false">C32-152000</f>
        <v>176426</v>
      </c>
      <c r="F32" s="49" t="n">
        <f aca="false">D32/$D$2</f>
        <v>387.194353415679</v>
      </c>
      <c r="G32" s="49" t="n">
        <v>165</v>
      </c>
      <c r="H32" s="51" t="n">
        <v>8</v>
      </c>
      <c r="I32" s="49" t="n">
        <f aca="false">G32+H32</f>
        <v>173</v>
      </c>
      <c r="J32" s="76" t="n">
        <f aca="false">IF(L32&gt;0,L32,0)</f>
        <v>295.194353415679</v>
      </c>
      <c r="K32" s="49" t="n">
        <f aca="false">I32+J32</f>
        <v>468.194353415679</v>
      </c>
      <c r="L32" s="49" t="n">
        <f aca="false">F32-(I32-W32)</f>
        <v>295.194353415679</v>
      </c>
      <c r="M32" s="49" t="n">
        <v>4</v>
      </c>
      <c r="N32" s="49" t="n">
        <v>0</v>
      </c>
      <c r="O32" s="49" t="n">
        <v>0</v>
      </c>
      <c r="P32" s="6" t="n">
        <f aca="false">M32-(N32+O32)</f>
        <v>4</v>
      </c>
      <c r="Q32" s="49" t="n">
        <v>0</v>
      </c>
      <c r="R32" s="49" t="n">
        <v>0</v>
      </c>
      <c r="S32" s="49" t="n">
        <f aca="false">SUM(P32:R32)</f>
        <v>4</v>
      </c>
      <c r="T32" s="50"/>
      <c r="U32" s="49" t="n">
        <v>0</v>
      </c>
      <c r="V32" s="49" t="n">
        <v>77</v>
      </c>
      <c r="W32" s="6" t="n">
        <f aca="false">N32+O32+S32+U32+V32</f>
        <v>81</v>
      </c>
      <c r="X32" s="49" t="n">
        <f aca="false">IF(L32&lt;0,L32*-1,0)</f>
        <v>0</v>
      </c>
      <c r="Y32" s="49" t="n">
        <f aca="false">W32+X32</f>
        <v>81</v>
      </c>
      <c r="Z32" s="51" t="n">
        <v>0</v>
      </c>
      <c r="AA32" s="54" t="n">
        <v>57</v>
      </c>
      <c r="AB32" s="77" t="n">
        <v>23</v>
      </c>
      <c r="AC32" s="55" t="n">
        <f aca="false">AC31+1</f>
        <v>23</v>
      </c>
      <c r="AD32" s="83"/>
      <c r="AE32" s="85"/>
      <c r="AF32" s="84"/>
    </row>
    <row r="33" customFormat="false" ht="11.1" hidden="false" customHeight="true" outlineLevel="0" collapsed="false">
      <c r="A33" s="55" t="n">
        <f aca="false">A32+1</f>
        <v>24</v>
      </c>
      <c r="B33" s="69" t="n">
        <v>6911.73</v>
      </c>
      <c r="C33" s="50" t="n">
        <v>328952</v>
      </c>
      <c r="D33" s="54" t="n">
        <f aca="false">C33-C32</f>
        <v>526</v>
      </c>
      <c r="E33" s="50" t="n">
        <f aca="false">C33-152000</f>
        <v>176952</v>
      </c>
      <c r="F33" s="49" t="n">
        <f aca="false">D33/$D$2</f>
        <v>265.187799344593</v>
      </c>
      <c r="G33" s="49" t="n">
        <v>213</v>
      </c>
      <c r="H33" s="51" t="n">
        <v>12</v>
      </c>
      <c r="I33" s="49" t="n">
        <f aca="false">G33+H33</f>
        <v>225</v>
      </c>
      <c r="J33" s="76" t="n">
        <f aca="false">IF(L33&gt;0,L33,0)</f>
        <v>123.187799344593</v>
      </c>
      <c r="K33" s="49" t="n">
        <f aca="false">I33+J33</f>
        <v>348.187799344593</v>
      </c>
      <c r="L33" s="49" t="n">
        <f aca="false">F33-(I33-W33)</f>
        <v>123.187799344593</v>
      </c>
      <c r="M33" s="49" t="n">
        <v>4</v>
      </c>
      <c r="N33" s="49" t="n">
        <v>0</v>
      </c>
      <c r="O33" s="49" t="n">
        <v>0</v>
      </c>
      <c r="P33" s="6" t="n">
        <f aca="false">M33-(N33+O33)</f>
        <v>4</v>
      </c>
      <c r="Q33" s="49" t="n">
        <v>0</v>
      </c>
      <c r="R33" s="49" t="n">
        <v>0</v>
      </c>
      <c r="S33" s="49" t="n">
        <f aca="false">SUM(P33:R33)</f>
        <v>4</v>
      </c>
      <c r="T33" s="50"/>
      <c r="U33" s="49" t="n">
        <v>0</v>
      </c>
      <c r="V33" s="49" t="n">
        <v>79</v>
      </c>
      <c r="W33" s="6" t="n">
        <f aca="false">N33+O33+S33+U33+V33</f>
        <v>83</v>
      </c>
      <c r="X33" s="49" t="n">
        <f aca="false">IF(L33&lt;0,L33*-1,0)</f>
        <v>0</v>
      </c>
      <c r="Y33" s="49" t="n">
        <f aca="false">W33+X33</f>
        <v>83</v>
      </c>
      <c r="Z33" s="51" t="n">
        <v>0</v>
      </c>
      <c r="AA33" s="54" t="n">
        <v>54</v>
      </c>
      <c r="AB33" s="77" t="n">
        <v>25</v>
      </c>
      <c r="AC33" s="55" t="n">
        <f aca="false">AC32+1</f>
        <v>24</v>
      </c>
      <c r="AD33" s="83"/>
      <c r="AE33" s="85"/>
      <c r="AF33" s="84"/>
    </row>
    <row r="34" customFormat="false" ht="11.1" hidden="false" customHeight="true" outlineLevel="0" collapsed="false">
      <c r="A34" s="55" t="n">
        <f aca="false">A33+1</f>
        <v>25</v>
      </c>
      <c r="B34" s="69" t="n">
        <v>6911.89</v>
      </c>
      <c r="C34" s="50" t="n">
        <v>329599</v>
      </c>
      <c r="D34" s="54" t="n">
        <f aca="false">C34-C33</f>
        <v>647</v>
      </c>
      <c r="E34" s="50" t="n">
        <f aca="false">C34-152000</f>
        <v>177599</v>
      </c>
      <c r="F34" s="49" t="n">
        <f aca="false">D34/$D$2</f>
        <v>326.191076380136</v>
      </c>
      <c r="G34" s="49" t="n">
        <v>213</v>
      </c>
      <c r="H34" s="51" t="n">
        <v>12</v>
      </c>
      <c r="I34" s="49" t="n">
        <f aca="false">G34+H34</f>
        <v>225</v>
      </c>
      <c r="J34" s="76" t="n">
        <f aca="false">IF(L34&gt;0,L34,0)</f>
        <v>184.191076380136</v>
      </c>
      <c r="K34" s="49" t="n">
        <f aca="false">I34+J34</f>
        <v>409.191076380136</v>
      </c>
      <c r="L34" s="49" t="n">
        <f aca="false">F34-(I34-W34)</f>
        <v>184.191076380136</v>
      </c>
      <c r="M34" s="49" t="n">
        <v>4</v>
      </c>
      <c r="N34" s="49" t="n">
        <v>0</v>
      </c>
      <c r="O34" s="49" t="n">
        <v>0</v>
      </c>
      <c r="P34" s="6" t="n">
        <f aca="false">M34-(N34+O34)</f>
        <v>4</v>
      </c>
      <c r="Q34" s="49" t="n">
        <v>0</v>
      </c>
      <c r="R34" s="49" t="n">
        <v>0</v>
      </c>
      <c r="S34" s="49" t="n">
        <f aca="false">SUM(P34:R34)</f>
        <v>4</v>
      </c>
      <c r="T34" s="50"/>
      <c r="U34" s="49" t="n">
        <v>0</v>
      </c>
      <c r="V34" s="49" t="n">
        <v>79</v>
      </c>
      <c r="W34" s="6" t="n">
        <f aca="false">N34+O34+S34+U34+V34</f>
        <v>83</v>
      </c>
      <c r="X34" s="49" t="n">
        <f aca="false">IF(L34&lt;0,L34*-1,0)</f>
        <v>0</v>
      </c>
      <c r="Y34" s="49" t="n">
        <f aca="false">W34+X34</f>
        <v>83</v>
      </c>
      <c r="Z34" s="51" t="n">
        <v>0</v>
      </c>
      <c r="AA34" s="54" t="n">
        <v>56</v>
      </c>
      <c r="AB34" s="77" t="n">
        <v>22</v>
      </c>
      <c r="AC34" s="55" t="n">
        <f aca="false">AC33+1</f>
        <v>25</v>
      </c>
      <c r="AD34" s="83"/>
      <c r="AE34" s="85"/>
      <c r="AF34" s="84"/>
    </row>
    <row r="35" customFormat="false" ht="11.1" hidden="false" customHeight="true" outlineLevel="0" collapsed="false">
      <c r="A35" s="55" t="n">
        <f aca="false">A34+1</f>
        <v>26</v>
      </c>
      <c r="B35" s="69" t="n">
        <v>6912.21</v>
      </c>
      <c r="C35" s="50" t="n">
        <v>330900</v>
      </c>
      <c r="D35" s="54" t="n">
        <f aca="false">C35-C34</f>
        <v>1301</v>
      </c>
      <c r="E35" s="50" t="n">
        <f aca="false">C35-152000</f>
        <v>178900</v>
      </c>
      <c r="F35" s="49" t="n">
        <f aca="false">D35/$D$2</f>
        <v>655.911267960676</v>
      </c>
      <c r="G35" s="49" t="n">
        <v>256</v>
      </c>
      <c r="H35" s="51" t="n">
        <v>17</v>
      </c>
      <c r="I35" s="49" t="n">
        <f aca="false">G35+H35</f>
        <v>273</v>
      </c>
      <c r="J35" s="76" t="n">
        <f aca="false">IF(L35&gt;0,L35,0)</f>
        <v>465.911267960676</v>
      </c>
      <c r="K35" s="49" t="n">
        <f aca="false">I35+J35</f>
        <v>738.911267960676</v>
      </c>
      <c r="L35" s="49" t="n">
        <f aca="false">F35-(I35-W35)</f>
        <v>465.911267960676</v>
      </c>
      <c r="M35" s="49" t="n">
        <v>4</v>
      </c>
      <c r="N35" s="49" t="n">
        <v>0</v>
      </c>
      <c r="O35" s="49" t="n">
        <v>0</v>
      </c>
      <c r="P35" s="6" t="n">
        <f aca="false">M35-(N35+O35)</f>
        <v>4</v>
      </c>
      <c r="Q35" s="49" t="n">
        <v>0</v>
      </c>
      <c r="R35" s="49" t="n">
        <v>0</v>
      </c>
      <c r="S35" s="49" t="n">
        <f aca="false">SUM(P35:R35)</f>
        <v>4</v>
      </c>
      <c r="T35" s="50"/>
      <c r="U35" s="49" t="n">
        <v>0</v>
      </c>
      <c r="V35" s="49" t="n">
        <v>79</v>
      </c>
      <c r="W35" s="6" t="n">
        <f aca="false">N35+O35+S35+U35+V35</f>
        <v>83</v>
      </c>
      <c r="X35" s="49" t="n">
        <f aca="false">IF(L35&lt;0,L35*-1,0)</f>
        <v>0</v>
      </c>
      <c r="Y35" s="49" t="n">
        <f aca="false">W35+X35</f>
        <v>83</v>
      </c>
      <c r="Z35" s="51" t="n">
        <v>0</v>
      </c>
      <c r="AA35" s="54" t="n">
        <v>60</v>
      </c>
      <c r="AB35" s="54" t="n">
        <v>24</v>
      </c>
      <c r="AC35" s="55" t="n">
        <f aca="false">AC34+1</f>
        <v>26</v>
      </c>
      <c r="AD35" s="83"/>
      <c r="AE35" s="85"/>
      <c r="AF35" s="84"/>
    </row>
    <row r="36" customFormat="false" ht="11.1" hidden="false" customHeight="true" outlineLevel="0" collapsed="false">
      <c r="A36" s="55" t="n">
        <f aca="false">A35+1</f>
        <v>27</v>
      </c>
      <c r="B36" s="69" t="n">
        <v>6912.5</v>
      </c>
      <c r="C36" s="50" t="n">
        <v>332083</v>
      </c>
      <c r="D36" s="54" t="n">
        <f aca="false">C36-C35</f>
        <v>1183</v>
      </c>
      <c r="E36" s="50" t="n">
        <f aca="false">C36-152000</f>
        <v>180083</v>
      </c>
      <c r="F36" s="49" t="n">
        <f aca="false">D36/$D$2</f>
        <v>596.420468868162</v>
      </c>
      <c r="G36" s="49" t="n">
        <v>333</v>
      </c>
      <c r="H36" s="51" t="n">
        <v>24</v>
      </c>
      <c r="I36" s="49" t="n">
        <f aca="false">G36+H36</f>
        <v>357</v>
      </c>
      <c r="J36" s="76" t="n">
        <f aca="false">IF(L36&gt;0,L36,0)</f>
        <v>322.420468868162</v>
      </c>
      <c r="K36" s="49" t="n">
        <f aca="false">I36+J36</f>
        <v>679.420468868162</v>
      </c>
      <c r="L36" s="49" t="n">
        <f aca="false">F36-(I36-W36)</f>
        <v>322.420468868162</v>
      </c>
      <c r="M36" s="49" t="n">
        <v>4</v>
      </c>
      <c r="N36" s="49" t="n">
        <v>0</v>
      </c>
      <c r="O36" s="49" t="n">
        <v>0</v>
      </c>
      <c r="P36" s="6" t="n">
        <f aca="false">M36-(N36+O36)</f>
        <v>4</v>
      </c>
      <c r="Q36" s="49" t="n">
        <v>0</v>
      </c>
      <c r="R36" s="49" t="n">
        <v>0</v>
      </c>
      <c r="S36" s="49" t="n">
        <f aca="false">SUM(P36:R36)</f>
        <v>4</v>
      </c>
      <c r="T36" s="50"/>
      <c r="U36" s="49" t="n">
        <v>0</v>
      </c>
      <c r="V36" s="49" t="n">
        <v>79</v>
      </c>
      <c r="W36" s="6" t="n">
        <f aca="false">N36+O36+S36+U36+V36</f>
        <v>83</v>
      </c>
      <c r="X36" s="49" t="n">
        <f aca="false">IF(L36&lt;0,L36*-1,0)</f>
        <v>0</v>
      </c>
      <c r="Y36" s="49" t="n">
        <f aca="false">W36+X36</f>
        <v>83</v>
      </c>
      <c r="Z36" s="51" t="n">
        <v>0</v>
      </c>
      <c r="AA36" s="54" t="n">
        <v>54</v>
      </c>
      <c r="AB36" s="54" t="n">
        <v>23</v>
      </c>
      <c r="AC36" s="55" t="n">
        <f aca="false">AC35+1</f>
        <v>27</v>
      </c>
      <c r="AD36" s="83"/>
      <c r="AE36" s="85"/>
      <c r="AF36" s="84"/>
    </row>
    <row r="37" customFormat="false" ht="11.1" hidden="false" customHeight="true" outlineLevel="0" collapsed="false">
      <c r="A37" s="55" t="n">
        <f aca="false">A36+1</f>
        <v>28</v>
      </c>
      <c r="B37" s="69" t="n">
        <v>6912.56</v>
      </c>
      <c r="C37" s="50" t="n">
        <v>332327</v>
      </c>
      <c r="D37" s="54" t="n">
        <f aca="false">C37-C36</f>
        <v>244</v>
      </c>
      <c r="E37" s="50" t="n">
        <f aca="false">C37-152000</f>
        <v>180327</v>
      </c>
      <c r="F37" s="49" t="n">
        <f aca="false">D37/$D$2</f>
        <v>123.014872699773</v>
      </c>
      <c r="G37" s="49" t="n">
        <v>339</v>
      </c>
      <c r="H37" s="51" t="n">
        <v>36</v>
      </c>
      <c r="I37" s="49" t="n">
        <f aca="false">G37+H37</f>
        <v>375</v>
      </c>
      <c r="J37" s="76" t="n">
        <f aca="false">IF(L37&gt;0,L37,0)</f>
        <v>28.0148726997731</v>
      </c>
      <c r="K37" s="49" t="n">
        <f aca="false">I37+J37</f>
        <v>403.014872699773</v>
      </c>
      <c r="L37" s="49" t="n">
        <f aca="false">F37-(I37-W37)</f>
        <v>28.0148726997731</v>
      </c>
      <c r="M37" s="49" t="n">
        <v>4</v>
      </c>
      <c r="N37" s="49" t="n">
        <v>0</v>
      </c>
      <c r="O37" s="49" t="n">
        <v>0</v>
      </c>
      <c r="P37" s="6" t="n">
        <f aca="false">M37-(N37+O37)</f>
        <v>4</v>
      </c>
      <c r="Q37" s="49" t="n">
        <v>186</v>
      </c>
      <c r="R37" s="49" t="n">
        <v>8</v>
      </c>
      <c r="S37" s="49" t="n">
        <f aca="false">SUM(P37:R37)</f>
        <v>198</v>
      </c>
      <c r="T37" s="50"/>
      <c r="U37" s="49" t="n">
        <v>0</v>
      </c>
      <c r="V37" s="49" t="n">
        <v>82</v>
      </c>
      <c r="W37" s="6" t="n">
        <f aca="false">N37+O37+S37+U37+V37</f>
        <v>280</v>
      </c>
      <c r="X37" s="49" t="n">
        <f aca="false">IF(L37&lt;0,L37*-1,0)</f>
        <v>0</v>
      </c>
      <c r="Y37" s="49" t="n">
        <f aca="false">W37+X37</f>
        <v>280</v>
      </c>
      <c r="Z37" s="51" t="n">
        <v>0</v>
      </c>
      <c r="AA37" s="54" t="n">
        <v>31</v>
      </c>
      <c r="AB37" s="54" t="n">
        <v>26</v>
      </c>
      <c r="AC37" s="55" t="n">
        <f aca="false">AC36+1</f>
        <v>28</v>
      </c>
      <c r="AD37" s="83"/>
      <c r="AE37" s="85"/>
      <c r="AF37" s="84"/>
    </row>
    <row r="38" customFormat="false" ht="11.1" hidden="false" customHeight="true" outlineLevel="0" collapsed="false">
      <c r="A38" s="55" t="n">
        <f aca="false">A37+1</f>
        <v>29</v>
      </c>
      <c r="B38" s="69" t="n">
        <v>6912.5</v>
      </c>
      <c r="C38" s="50" t="n">
        <v>332083</v>
      </c>
      <c r="D38" s="54" t="n">
        <f aca="false">C38-C37</f>
        <v>-244</v>
      </c>
      <c r="E38" s="50" t="n">
        <f aca="false">C38-152000</f>
        <v>180083</v>
      </c>
      <c r="F38" s="49" t="n">
        <f aca="false">D38/$D$2</f>
        <v>-123.014872699773</v>
      </c>
      <c r="G38" s="49" t="n">
        <v>248</v>
      </c>
      <c r="H38" s="51" t="n">
        <v>35</v>
      </c>
      <c r="I38" s="49" t="n">
        <f aca="false">G38+H38</f>
        <v>283</v>
      </c>
      <c r="J38" s="76" t="n">
        <f aca="false">IF(L38&gt;0,L38,0)</f>
        <v>41.9851273002269</v>
      </c>
      <c r="K38" s="49" t="n">
        <f aca="false">I38+J38</f>
        <v>324.985127300227</v>
      </c>
      <c r="L38" s="49" t="n">
        <f aca="false">F38-(I38-W38)</f>
        <v>41.9851273002269</v>
      </c>
      <c r="M38" s="49" t="n">
        <v>4</v>
      </c>
      <c r="N38" s="49" t="n">
        <v>0</v>
      </c>
      <c r="O38" s="49" t="n">
        <v>0</v>
      </c>
      <c r="P38" s="6" t="n">
        <f aca="false">M38-(N38+O38)</f>
        <v>4</v>
      </c>
      <c r="Q38" s="49" t="n">
        <v>341</v>
      </c>
      <c r="R38" s="49" t="n">
        <v>22</v>
      </c>
      <c r="S38" s="49" t="n">
        <f aca="false">SUM(P38:R38)</f>
        <v>367</v>
      </c>
      <c r="T38" s="50"/>
      <c r="U38" s="49" t="n">
        <v>0</v>
      </c>
      <c r="V38" s="49" t="n">
        <v>81</v>
      </c>
      <c r="W38" s="6" t="n">
        <f aca="false">N38+O38+S38+U38+V38</f>
        <v>448</v>
      </c>
      <c r="X38" s="49" t="n">
        <f aca="false">IF(L38&lt;0,L38*-1,0)</f>
        <v>0</v>
      </c>
      <c r="Y38" s="49" t="n">
        <f aca="false">W38+X38</f>
        <v>448</v>
      </c>
      <c r="Z38" s="51" t="n">
        <v>0</v>
      </c>
      <c r="AA38" s="77" t="n">
        <v>44</v>
      </c>
      <c r="AB38" s="54" t="n">
        <v>8</v>
      </c>
      <c r="AC38" s="55" t="n">
        <f aca="false">AC37+1</f>
        <v>29</v>
      </c>
      <c r="AD38" s="83"/>
      <c r="AE38" s="85"/>
      <c r="AF38" s="84"/>
    </row>
    <row r="39" customFormat="false" ht="11.1" hidden="false" customHeight="true" outlineLevel="0" collapsed="false">
      <c r="A39" s="55" t="n">
        <v>30</v>
      </c>
      <c r="B39" s="69" t="n">
        <v>6912.39</v>
      </c>
      <c r="C39" s="50" t="n">
        <v>331634</v>
      </c>
      <c r="D39" s="54" t="n">
        <f aca="false">C39-C38</f>
        <v>-449</v>
      </c>
      <c r="E39" s="50" t="n">
        <f aca="false">C39-152000</f>
        <v>179634</v>
      </c>
      <c r="F39" s="49" t="n">
        <f aca="false">D39/$D$2</f>
        <v>-226.367532140156</v>
      </c>
      <c r="G39" s="49" t="n">
        <v>249</v>
      </c>
      <c r="H39" s="51" t="n">
        <v>32</v>
      </c>
      <c r="I39" s="49" t="n">
        <f aca="false">G39+H39</f>
        <v>281</v>
      </c>
      <c r="J39" s="76" t="n">
        <f aca="false">IF(L39&gt;0,L39,0)</f>
        <v>0</v>
      </c>
      <c r="K39" s="49" t="n">
        <f aca="false">I39+J39</f>
        <v>281</v>
      </c>
      <c r="L39" s="49" t="n">
        <f aca="false">F39-(I39-W39)</f>
        <v>-61.3675321401563</v>
      </c>
      <c r="M39" s="49" t="n">
        <v>4</v>
      </c>
      <c r="N39" s="49" t="n">
        <v>0</v>
      </c>
      <c r="O39" s="49" t="n">
        <v>0</v>
      </c>
      <c r="P39" s="6" t="n">
        <f aca="false">M39-(N39+O39)</f>
        <v>4</v>
      </c>
      <c r="Q39" s="49" t="n">
        <v>352</v>
      </c>
      <c r="R39" s="49" t="n">
        <v>10</v>
      </c>
      <c r="S39" s="49" t="n">
        <f aca="false">SUM(P39:R39)</f>
        <v>366</v>
      </c>
      <c r="T39" s="50"/>
      <c r="U39" s="49" t="n">
        <v>0</v>
      </c>
      <c r="V39" s="49" t="n">
        <v>80</v>
      </c>
      <c r="W39" s="6" t="n">
        <f aca="false">N39+O39+S39+U39+V39</f>
        <v>446</v>
      </c>
      <c r="X39" s="49" t="n">
        <f aca="false">IF(L39&lt;0,L39*-1,0)</f>
        <v>61.3675321401563</v>
      </c>
      <c r="Y39" s="49" t="n">
        <f aca="false">W39+X39</f>
        <v>507.367532140156</v>
      </c>
      <c r="Z39" s="51" t="n">
        <v>0.02</v>
      </c>
      <c r="AA39" s="77" t="n">
        <v>41</v>
      </c>
      <c r="AB39" s="54" t="n">
        <v>3</v>
      </c>
      <c r="AC39" s="55" t="n">
        <v>30</v>
      </c>
      <c r="AD39" s="83"/>
      <c r="AE39" s="85"/>
      <c r="AF39" s="84"/>
    </row>
    <row r="40" customFormat="false" ht="11.1" hidden="false" customHeight="true" outlineLevel="0" collapsed="false">
      <c r="A40" s="55" t="n">
        <v>31</v>
      </c>
      <c r="B40" s="69" t="n">
        <v>6912.37</v>
      </c>
      <c r="C40" s="50" t="n">
        <v>331553</v>
      </c>
      <c r="D40" s="54" t="n">
        <f aca="false">C40-C39</f>
        <v>-81</v>
      </c>
      <c r="E40" s="50" t="n">
        <f aca="false">C40-152000</f>
        <v>179553</v>
      </c>
      <c r="F40" s="49" t="n">
        <f aca="false">D40/$D$2</f>
        <v>-40.8369044618099</v>
      </c>
      <c r="G40" s="49" t="n">
        <v>207</v>
      </c>
      <c r="H40" s="51" t="n">
        <v>23</v>
      </c>
      <c r="I40" s="49" t="n">
        <f aca="false">G40+H40</f>
        <v>230</v>
      </c>
      <c r="J40" s="76" t="n">
        <f aca="false">IF(L40&gt;0,L40,0)</f>
        <v>162.16309553819</v>
      </c>
      <c r="K40" s="49" t="n">
        <f aca="false">I40+J40</f>
        <v>392.16309553819</v>
      </c>
      <c r="L40" s="49" t="n">
        <f aca="false">F40-(I40-W40)</f>
        <v>162.16309553819</v>
      </c>
      <c r="M40" s="49" t="n">
        <v>4</v>
      </c>
      <c r="N40" s="49" t="n">
        <v>0</v>
      </c>
      <c r="O40" s="49" t="n">
        <v>0</v>
      </c>
      <c r="P40" s="6" t="n">
        <f aca="false">M40-(N40+O40)</f>
        <v>4</v>
      </c>
      <c r="Q40" s="49" t="n">
        <v>348</v>
      </c>
      <c r="R40" s="49" t="n">
        <v>10</v>
      </c>
      <c r="S40" s="49" t="n">
        <f aca="false">SUM(P40:R40)</f>
        <v>362</v>
      </c>
      <c r="T40" s="50"/>
      <c r="U40" s="49" t="n">
        <v>0</v>
      </c>
      <c r="V40" s="49" t="n">
        <v>71</v>
      </c>
      <c r="W40" s="6" t="n">
        <f aca="false">N40+O40+S40+U40+V40</f>
        <v>433</v>
      </c>
      <c r="X40" s="49" t="n">
        <f aca="false">IF(L40&lt;0,L40*-1,0)</f>
        <v>0</v>
      </c>
      <c r="Y40" s="49" t="n">
        <f aca="false">W40+X40</f>
        <v>433</v>
      </c>
      <c r="Z40" s="51" t="n">
        <v>0.13</v>
      </c>
      <c r="AA40" s="77" t="n">
        <v>35</v>
      </c>
      <c r="AB40" s="54" t="n">
        <v>20</v>
      </c>
      <c r="AC40" s="55" t="n">
        <v>31</v>
      </c>
      <c r="AD40" s="83"/>
      <c r="AE40" s="83"/>
      <c r="AF40" s="84"/>
    </row>
    <row r="41" customFormat="false" ht="3" hidden="false" customHeight="true" outlineLevel="0" collapsed="false">
      <c r="A41" s="70"/>
      <c r="B41" s="70"/>
      <c r="C41" s="72"/>
      <c r="D41" s="70"/>
      <c r="E41" s="72"/>
      <c r="F41" s="70"/>
      <c r="G41" s="70"/>
      <c r="H41" s="73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2"/>
      <c r="U41" s="70"/>
      <c r="V41" s="70"/>
      <c r="W41" s="70"/>
      <c r="X41" s="70"/>
      <c r="Y41" s="70"/>
      <c r="Z41" s="73"/>
      <c r="AA41" s="74"/>
      <c r="AB41" s="74"/>
      <c r="AC41" s="75"/>
      <c r="AD41" s="83"/>
      <c r="AE41" s="83"/>
      <c r="AF41" s="84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3507.94050920091</v>
      </c>
      <c r="G42" s="50" t="n">
        <f aca="false">SUM(G10:G40)</f>
        <v>4942</v>
      </c>
      <c r="H42" s="51" t="n">
        <f aca="false">SUM(H10:H40)</f>
        <v>206</v>
      </c>
      <c r="I42" s="50" t="n">
        <f aca="false">SUM(I10:I40)</f>
        <v>5148</v>
      </c>
      <c r="J42" s="50" t="n">
        <f aca="false">SUM(J10:J40)</f>
        <v>2446.30022687169</v>
      </c>
      <c r="K42" s="50" t="n">
        <f aca="false">SUM(K10:K40)</f>
        <v>7594.30022687169</v>
      </c>
      <c r="L42" s="50" t="n">
        <f aca="false">SUM(L10:L40)</f>
        <v>2348.94050920091</v>
      </c>
      <c r="M42" s="50" t="n">
        <f aca="false">SUM(M10:M40)</f>
        <v>285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285</v>
      </c>
      <c r="Q42" s="50" t="n">
        <f aca="false">SUM(Q10:Q40)</f>
        <v>1227</v>
      </c>
      <c r="R42" s="50" t="n">
        <f aca="false">SUM(R10:R40)</f>
        <v>92</v>
      </c>
      <c r="S42" s="50" t="n">
        <f aca="false">SUM(S10:S40)</f>
        <v>1604</v>
      </c>
      <c r="T42" s="50"/>
      <c r="U42" s="50" t="n">
        <f aca="false">SUM(U10:U40)</f>
        <v>0</v>
      </c>
      <c r="V42" s="50" t="n">
        <f aca="false">SUM(V10:V40)</f>
        <v>2385</v>
      </c>
      <c r="W42" s="50" t="n">
        <f aca="false">SUM(W10:W40)</f>
        <v>3989</v>
      </c>
      <c r="X42" s="50" t="n">
        <f aca="false">SUM(X10:X40)</f>
        <v>97.359717670784</v>
      </c>
      <c r="Y42" s="50" t="n">
        <f aca="false">SUM(Y10:Y40)</f>
        <v>4086.35971767078</v>
      </c>
      <c r="Z42" s="51" t="n">
        <f aca="false">SUM(Z10:Z40)</f>
        <v>0.5</v>
      </c>
      <c r="AA42" s="54" t="n">
        <f aca="false">AVERAGE(AA10:AA40)</f>
        <v>45.6451612903226</v>
      </c>
      <c r="AB42" s="54" t="n">
        <f aca="false">AVERAGE(AB10:AB40)</f>
        <v>17.4516129032258</v>
      </c>
      <c r="AC42" s="55" t="s">
        <v>45</v>
      </c>
      <c r="AD42" s="83"/>
      <c r="AE42" s="83"/>
      <c r="AF42" s="84"/>
    </row>
    <row r="43" customFormat="false" ht="11.1" hidden="false" customHeight="true" outlineLevel="0" collapsed="false">
      <c r="A43" s="49" t="s">
        <v>46</v>
      </c>
      <c r="B43" s="49"/>
      <c r="C43" s="50"/>
      <c r="D43" s="50" t="n">
        <f aca="false">SUM(D10:D40)</f>
        <v>6958</v>
      </c>
      <c r="E43" s="50"/>
      <c r="F43" s="50" t="n">
        <f aca="false">F42*$D$2</f>
        <v>6958</v>
      </c>
      <c r="G43" s="50" t="n">
        <f aca="false">G42*$D$2</f>
        <v>9802.457</v>
      </c>
      <c r="H43" s="51" t="n">
        <f aca="false">H42*$D$2</f>
        <v>408.601</v>
      </c>
      <c r="I43" s="50" t="n">
        <f aca="false">I42*$D$2</f>
        <v>10211.058</v>
      </c>
      <c r="J43" s="50" t="n">
        <f aca="false">J42*$D$2</f>
        <v>4852.2365</v>
      </c>
      <c r="K43" s="50" t="n">
        <f aca="false">K42*$D$2</f>
        <v>15063.2945</v>
      </c>
      <c r="L43" s="50" t="n">
        <f aca="false">L42*$D$2</f>
        <v>4659.1235</v>
      </c>
      <c r="M43" s="50" t="n">
        <f aca="false">M42*$D$2</f>
        <v>565.2975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565.2975</v>
      </c>
      <c r="Q43" s="50" t="n">
        <f aca="false">Q42*$D$2</f>
        <v>2433.7545</v>
      </c>
      <c r="R43" s="50" t="n">
        <f aca="false">R42*$D$2</f>
        <v>182.482</v>
      </c>
      <c r="S43" s="50" t="n">
        <f aca="false">S42*$D$2</f>
        <v>3181.534</v>
      </c>
      <c r="T43" s="50"/>
      <c r="U43" s="50" t="n">
        <f aca="false">U42*$D$2</f>
        <v>0</v>
      </c>
      <c r="V43" s="50" t="n">
        <f aca="false">V42*$D$2</f>
        <v>4730.6475</v>
      </c>
      <c r="W43" s="50" t="n">
        <f aca="false">W42*$D$2</f>
        <v>7912.1815</v>
      </c>
      <c r="X43" s="50" t="n">
        <f aca="false">X42*$D$2</f>
        <v>193.113</v>
      </c>
      <c r="Y43" s="50" t="n">
        <f aca="false">Y42*$D$2</f>
        <v>8105.2945</v>
      </c>
      <c r="Z43" s="51"/>
      <c r="AA43" s="54" t="n">
        <f aca="false">MAX(AA10:AA40)</f>
        <v>63</v>
      </c>
      <c r="AB43" s="54" t="n">
        <f aca="false">MAX(AB10:AB40)</f>
        <v>26</v>
      </c>
      <c r="AC43" s="55" t="s">
        <v>47</v>
      </c>
      <c r="AD43" s="83"/>
      <c r="AE43" s="83"/>
      <c r="AF43" s="84"/>
    </row>
    <row r="44" customFormat="false" ht="3" hidden="false" customHeight="true" outlineLevel="0" collapsed="false">
      <c r="A44" s="70"/>
      <c r="B44" s="70"/>
      <c r="C44" s="72"/>
      <c r="D44" s="72"/>
      <c r="E44" s="72"/>
      <c r="F44" s="72"/>
      <c r="G44" s="72"/>
      <c r="H44" s="73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1"/>
      <c r="AA44" s="54"/>
      <c r="AB44" s="54"/>
      <c r="AC44" s="55"/>
      <c r="AD44" s="83"/>
      <c r="AE44" s="83"/>
      <c r="AF44" s="84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/>
      <c r="G45" s="50"/>
      <c r="H45" s="51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54" t="n">
        <f aca="false">MIN(AA10:AA40)</f>
        <v>30</v>
      </c>
      <c r="AB45" s="54" t="n">
        <f aca="false">MIN(AB10:AB40)</f>
        <v>3</v>
      </c>
      <c r="AC45" s="55" t="s">
        <v>49</v>
      </c>
      <c r="AD45" s="83"/>
      <c r="AE45" s="83"/>
      <c r="AF45" s="84"/>
    </row>
    <row r="46" customFormat="false" ht="11.1" hidden="false" customHeight="true" outlineLevel="0" collapsed="false">
      <c r="A46" s="49" t="s">
        <v>50</v>
      </c>
      <c r="B46" s="49"/>
      <c r="C46" s="50"/>
      <c r="D46" s="50"/>
      <c r="E46" s="50"/>
      <c r="F46" s="50"/>
      <c r="G46" s="50"/>
      <c r="H46" s="51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54"/>
      <c r="AB46" s="54"/>
      <c r="AC46" s="55"/>
      <c r="AD46" s="83"/>
      <c r="AE46" s="83"/>
      <c r="AF46" s="84"/>
    </row>
    <row r="47" customFormat="false" ht="3" hidden="false" customHeight="true" outlineLevel="0" collapsed="false">
      <c r="A47" s="70"/>
      <c r="B47" s="70"/>
      <c r="C47" s="72"/>
      <c r="D47" s="72"/>
      <c r="E47" s="72"/>
      <c r="F47" s="72"/>
      <c r="G47" s="72"/>
      <c r="H47" s="73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54"/>
      <c r="AB47" s="54"/>
      <c r="AC47" s="55"/>
      <c r="AD47" s="83"/>
      <c r="AE47" s="83"/>
      <c r="AF47" s="84"/>
    </row>
    <row r="48" customFormat="false" ht="11.1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2738.59339551298</v>
      </c>
      <c r="G48" s="50" t="n">
        <f aca="false">G8+G42</f>
        <v>15325</v>
      </c>
      <c r="H48" s="51" t="n">
        <f aca="false">H8+H42</f>
        <v>206</v>
      </c>
      <c r="I48" s="50" t="n">
        <f aca="false">I8+I42</f>
        <v>15531</v>
      </c>
      <c r="J48" s="50" t="n">
        <f aca="false">J8+J42</f>
        <v>3357.73355180237</v>
      </c>
      <c r="K48" s="50" t="n">
        <f aca="false">K8+K42</f>
        <v>18888.7335518024</v>
      </c>
      <c r="L48" s="50" t="n">
        <f aca="false">L8+L42</f>
        <v>2341.59339551298</v>
      </c>
      <c r="M48" s="50" t="n">
        <f aca="false">M8+M42</f>
        <v>1319</v>
      </c>
      <c r="N48" s="50" t="n">
        <f aca="false">N8+N42</f>
        <v>0</v>
      </c>
      <c r="O48" s="50" t="n">
        <f aca="false">O8+O42</f>
        <v>0</v>
      </c>
      <c r="P48" s="50" t="n">
        <f aca="false">P8+P42</f>
        <v>1319</v>
      </c>
      <c r="Q48" s="50" t="n">
        <f aca="false">Q8+Q42</f>
        <v>1760</v>
      </c>
      <c r="R48" s="50" t="n">
        <f aca="false">R8+R42</f>
        <v>196</v>
      </c>
      <c r="S48" s="50" t="n">
        <f aca="false">S8+S42</f>
        <v>3275</v>
      </c>
      <c r="T48" s="50"/>
      <c r="U48" s="50" t="n">
        <f aca="false">U8+U42</f>
        <v>0</v>
      </c>
      <c r="V48" s="50" t="n">
        <f aca="false">V8+V42</f>
        <v>11859</v>
      </c>
      <c r="W48" s="50" t="n">
        <f aca="false">W8+W42</f>
        <v>15134</v>
      </c>
      <c r="X48" s="50" t="n">
        <f aca="false">X8+X42</f>
        <v>1016.14015628939</v>
      </c>
      <c r="Y48" s="50" t="n">
        <f aca="false">Y8+Y42</f>
        <v>16150.1401562894</v>
      </c>
      <c r="Z48" s="51" t="n">
        <f aca="false">Z8+Z42</f>
        <v>7.29</v>
      </c>
      <c r="AA48" s="54"/>
      <c r="AB48" s="54"/>
      <c r="AC48" s="55"/>
      <c r="AD48" s="83"/>
      <c r="AE48" s="83"/>
      <c r="AF48" s="84"/>
    </row>
    <row r="49" customFormat="false" ht="11.1" hidden="false" customHeight="true" outlineLevel="0" collapsed="false">
      <c r="A49" s="49" t="s">
        <v>52</v>
      </c>
      <c r="B49" s="49"/>
      <c r="C49" s="50"/>
      <c r="D49" s="50" t="n">
        <f aca="false">D8+D43</f>
        <v>5432</v>
      </c>
      <c r="E49" s="50" t="n">
        <f aca="false">E40</f>
        <v>179553</v>
      </c>
      <c r="F49" s="50" t="n">
        <f aca="false">F48*$D$2</f>
        <v>5432</v>
      </c>
      <c r="G49" s="50" t="n">
        <f aca="false">G48*$D$2</f>
        <v>30397.1375</v>
      </c>
      <c r="H49" s="51" t="n">
        <f aca="false">H48*$D$2</f>
        <v>408.601</v>
      </c>
      <c r="I49" s="50" t="n">
        <f aca="false">I48*$D$2</f>
        <v>30805.7385</v>
      </c>
      <c r="J49" s="50" t="n">
        <f aca="false">J48*$D$2</f>
        <v>6660.0645</v>
      </c>
      <c r="K49" s="50" t="n">
        <f aca="false">K48*$D$2</f>
        <v>37465.803</v>
      </c>
      <c r="L49" s="50" t="n">
        <f aca="false">L48*$D$2</f>
        <v>4644.5505</v>
      </c>
      <c r="M49" s="50" t="n">
        <f aca="false">M48*$D$2</f>
        <v>2616.2365</v>
      </c>
      <c r="N49" s="50" t="n">
        <f aca="false">N48*$D$2</f>
        <v>0</v>
      </c>
      <c r="O49" s="50" t="n">
        <f aca="false">O48*$D$2</f>
        <v>0</v>
      </c>
      <c r="P49" s="50" t="n">
        <f aca="false">P48*$D$2</f>
        <v>2616.2365</v>
      </c>
      <c r="Q49" s="50" t="n">
        <f aca="false">Q48*$D$2</f>
        <v>3490.96</v>
      </c>
      <c r="R49" s="50" t="n">
        <f aca="false">R48*$D$2</f>
        <v>388.766</v>
      </c>
      <c r="S49" s="50" t="n">
        <f aca="false">S48*$D$2</f>
        <v>6495.9625</v>
      </c>
      <c r="T49" s="50" t="n">
        <f aca="false">T48*$D$2</f>
        <v>0</v>
      </c>
      <c r="U49" s="50" t="n">
        <f aca="false">U48*$D$2</f>
        <v>0</v>
      </c>
      <c r="V49" s="50" t="n">
        <f aca="false">V48*$D$2</f>
        <v>23522.3265</v>
      </c>
      <c r="W49" s="50" t="n">
        <f aca="false">W48*$D$2</f>
        <v>30018.289</v>
      </c>
      <c r="X49" s="50" t="n">
        <f aca="false">X48*$D$2</f>
        <v>2015.514</v>
      </c>
      <c r="Y49" s="50" t="n">
        <f aca="false">Y48*$D$2</f>
        <v>32033.803</v>
      </c>
      <c r="Z49" s="51"/>
      <c r="AA49" s="54"/>
      <c r="AB49" s="54"/>
      <c r="AC49" s="55"/>
      <c r="AD49" s="83"/>
      <c r="AE49" s="83"/>
      <c r="AF49" s="84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73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1"/>
      <c r="AA50" s="54"/>
      <c r="AB50" s="54"/>
      <c r="AC50" s="55"/>
      <c r="AD50" s="83"/>
      <c r="AE50" s="83"/>
      <c r="AF50" s="84"/>
    </row>
    <row r="51" customFormat="false" ht="11.1" hidden="false" customHeight="true" outlineLevel="0" collapsed="false">
      <c r="A51" s="49"/>
      <c r="B51" s="79"/>
      <c r="C51" s="50"/>
      <c r="D51" s="49"/>
      <c r="E51" s="50"/>
      <c r="F51" s="49"/>
      <c r="G51" s="49"/>
      <c r="H51" s="51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  <c r="Y51" s="49"/>
      <c r="Z51" s="51"/>
      <c r="AA51" s="54"/>
      <c r="AB51" s="54"/>
      <c r="AC51" s="55"/>
      <c r="AD51" s="82"/>
      <c r="AE51" s="82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49"/>
      <c r="H52" s="51"/>
      <c r="I52" s="80"/>
      <c r="J52" s="49"/>
      <c r="K52" s="39"/>
      <c r="L52" s="49"/>
      <c r="M52" s="49"/>
      <c r="N52" s="49"/>
      <c r="O52" s="49"/>
      <c r="P52" s="49"/>
      <c r="Q52" s="49"/>
      <c r="R52" s="49"/>
      <c r="S52" s="49"/>
      <c r="T52" s="50"/>
      <c r="U52" s="49"/>
      <c r="V52" s="49"/>
      <c r="W52" s="49"/>
      <c r="X52" s="49"/>
      <c r="Y52" s="49"/>
      <c r="Z52" s="51"/>
      <c r="AA52" s="54"/>
      <c r="AB52" s="54"/>
      <c r="AC52" s="55"/>
      <c r="AD52" s="82"/>
      <c r="AE52" s="82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51"/>
      <c r="I53" s="77"/>
      <c r="J53" s="77"/>
      <c r="K53" s="77"/>
      <c r="L53" s="77"/>
      <c r="M53" s="76"/>
      <c r="N53" s="76"/>
      <c r="O53" s="76"/>
      <c r="P53" s="76"/>
      <c r="Q53" s="77"/>
      <c r="R53" s="77"/>
      <c r="S53" s="77"/>
      <c r="T53" s="50"/>
      <c r="U53" s="77"/>
      <c r="V53" s="77"/>
      <c r="W53" s="77"/>
      <c r="X53" s="77"/>
      <c r="Y53" s="77"/>
      <c r="Z53" s="51"/>
      <c r="AA53" s="54"/>
      <c r="AB53" s="54"/>
      <c r="AC53" s="55"/>
      <c r="AD53" s="86"/>
      <c r="AE53" s="86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51"/>
      <c r="I54" s="77"/>
      <c r="J54" s="77"/>
      <c r="K54" s="77"/>
      <c r="L54" s="77"/>
      <c r="M54" s="76"/>
      <c r="N54" s="76"/>
      <c r="O54" s="76"/>
      <c r="P54" s="77"/>
      <c r="Q54" s="77"/>
      <c r="R54" s="77"/>
      <c r="S54" s="50"/>
      <c r="T54" s="77"/>
      <c r="U54" s="77"/>
      <c r="V54" s="50"/>
      <c r="W54" s="77"/>
      <c r="X54" s="77"/>
      <c r="Y54" s="53"/>
      <c r="Z54" s="51"/>
      <c r="AA54" s="54"/>
      <c r="AB54" s="55"/>
      <c r="AC54" s="86"/>
      <c r="AD54" s="86"/>
    </row>
    <row r="55" customFormat="false" ht="11.1" hidden="false" customHeight="true" outlineLevel="0" collapsed="false">
      <c r="A55" s="77"/>
      <c r="B55" s="77"/>
      <c r="C55" s="50"/>
      <c r="D55" s="77"/>
      <c r="E55" s="50"/>
      <c r="F55" s="77"/>
      <c r="G55" s="81"/>
      <c r="H55" s="51"/>
      <c r="I55" s="77"/>
      <c r="J55" s="77"/>
      <c r="K55" s="77"/>
      <c r="L55" s="77"/>
      <c r="M55" s="76"/>
      <c r="N55" s="76"/>
      <c r="O55" s="76"/>
      <c r="P55" s="77"/>
      <c r="Q55" s="77"/>
      <c r="R55" s="77"/>
      <c r="S55" s="50"/>
      <c r="T55" s="77"/>
      <c r="U55" s="77"/>
      <c r="V55" s="50"/>
      <c r="W55" s="77"/>
      <c r="X55" s="77"/>
      <c r="Y55" s="53"/>
      <c r="Z55" s="51"/>
      <c r="AA55" s="54"/>
      <c r="AB55" s="55"/>
      <c r="AC55" s="86"/>
      <c r="AD55" s="8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20" activePane="bottomRight" state="frozen"/>
      <selection pane="topLeft" activeCell="A1" activeCellId="0" sqref="A1"/>
      <selection pane="topRight" activeCell="R1" activeCellId="0" sqref="R1"/>
      <selection pane="bottomLeft" activeCell="A20" activeCellId="0" sqref="A20"/>
      <selection pane="bottomRight" activeCell="AB39" activeCellId="0" sqref="AB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90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91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3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40"/>
      <c r="Z1" s="8"/>
      <c r="AA1" s="10"/>
      <c r="AB1" s="11"/>
      <c r="AC1" s="92"/>
      <c r="AD1" s="92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38"/>
      <c r="I2" s="6"/>
      <c r="J2" s="6"/>
      <c r="K2" s="93" t="s">
        <v>61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6"/>
      <c r="X2" s="6"/>
      <c r="Y2" s="40"/>
      <c r="Z2" s="8"/>
      <c r="AA2" s="10"/>
      <c r="AB2" s="11"/>
      <c r="AC2" s="92"/>
      <c r="AD2" s="92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3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 t="n">
        <v>5</v>
      </c>
      <c r="Y3" s="40"/>
      <c r="Z3" s="8"/>
      <c r="AA3" s="10"/>
      <c r="AB3" s="11"/>
      <c r="AC3" s="92"/>
      <c r="AD3" s="92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94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4" t="s">
        <v>10</v>
      </c>
      <c r="X4" s="14" t="s">
        <v>11</v>
      </c>
      <c r="Y4" s="14" t="s">
        <v>12</v>
      </c>
      <c r="Z4" s="16" t="s">
        <v>19</v>
      </c>
      <c r="AA4" s="18" t="s">
        <v>20</v>
      </c>
      <c r="AB4" s="18" t="s">
        <v>21</v>
      </c>
      <c r="AC4" s="18" t="s">
        <v>3</v>
      </c>
      <c r="AD4" s="92"/>
      <c r="AE4" s="92"/>
    </row>
    <row r="5" customFormat="false" ht="11.1" hidden="false" customHeight="true" outlineLevel="0" collapsed="false">
      <c r="A5" s="19" t="s">
        <v>62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94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31</v>
      </c>
      <c r="N5" s="14" t="s">
        <v>32</v>
      </c>
      <c r="O5" s="14" t="s">
        <v>33</v>
      </c>
      <c r="P5" s="14" t="s">
        <v>63</v>
      </c>
      <c r="Q5" s="14" t="s">
        <v>35</v>
      </c>
      <c r="R5" s="14" t="s">
        <v>36</v>
      </c>
      <c r="S5" s="14" t="s">
        <v>16</v>
      </c>
      <c r="T5" s="15" t="s">
        <v>37</v>
      </c>
      <c r="U5" s="14" t="s">
        <v>38</v>
      </c>
      <c r="V5" s="14" t="s">
        <v>39</v>
      </c>
      <c r="W5" s="14" t="s">
        <v>40</v>
      </c>
      <c r="X5" s="14" t="s">
        <v>40</v>
      </c>
      <c r="Y5" s="14" t="s">
        <v>40</v>
      </c>
      <c r="Z5" s="21"/>
      <c r="AA5" s="18" t="s">
        <v>41</v>
      </c>
      <c r="AB5" s="18" t="s">
        <v>41</v>
      </c>
      <c r="AC5" s="22" t="s">
        <v>62</v>
      </c>
      <c r="AD5" s="92"/>
      <c r="AE5" s="92"/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9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3"/>
      <c r="X6" s="23"/>
      <c r="Y6" s="23"/>
      <c r="Z6" s="8"/>
      <c r="AA6" s="11"/>
      <c r="AB6" s="11"/>
      <c r="AC6" s="11"/>
      <c r="AD6" s="92"/>
      <c r="AE6" s="92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A7" s="10"/>
      <c r="AB7" s="10"/>
      <c r="AC7" s="11"/>
      <c r="AD7" s="92"/>
    </row>
    <row r="8" s="1" customFormat="true" ht="11.1" hidden="false" customHeight="true" outlineLevel="0" collapsed="false">
      <c r="A8" s="7" t="s">
        <v>43</v>
      </c>
      <c r="B8" s="26" t="n">
        <f aca="false">MAR!B40</f>
        <v>6912.37</v>
      </c>
      <c r="C8" s="7" t="n">
        <f aca="false">MAR!C40</f>
        <v>331553</v>
      </c>
      <c r="D8" s="7" t="n">
        <f aca="false">MAR!D49</f>
        <v>5432</v>
      </c>
      <c r="E8" s="7" t="n">
        <f aca="false">MAR!E49</f>
        <v>179553</v>
      </c>
      <c r="F8" s="7" t="n">
        <f aca="false">MAR!F48</f>
        <v>2738.59339551298</v>
      </c>
      <c r="G8" s="7" t="n">
        <f aca="false">MAR!G48</f>
        <v>15325</v>
      </c>
      <c r="H8" s="10" t="n">
        <f aca="false">MAR!H48</f>
        <v>206</v>
      </c>
      <c r="I8" s="7" t="n">
        <f aca="false">MAR!I48</f>
        <v>15531</v>
      </c>
      <c r="J8" s="7" t="n">
        <f aca="false">MAR!J48</f>
        <v>3357.73355180237</v>
      </c>
      <c r="K8" s="7" t="n">
        <f aca="false">MAR!K48</f>
        <v>18888.7335518024</v>
      </c>
      <c r="L8" s="7" t="n">
        <f aca="false">MAR!L48</f>
        <v>2341.59339551298</v>
      </c>
      <c r="M8" s="7" t="n">
        <f aca="false">MAR!M48</f>
        <v>1319</v>
      </c>
      <c r="N8" s="7" t="n">
        <f aca="false">MAR!N48</f>
        <v>0</v>
      </c>
      <c r="O8" s="7" t="n">
        <f aca="false">MAR!O48</f>
        <v>0</v>
      </c>
      <c r="P8" s="7" t="n">
        <f aca="false">MAR!P48</f>
        <v>1319</v>
      </c>
      <c r="Q8" s="7" t="n">
        <f aca="false">MAR!Q48</f>
        <v>1760</v>
      </c>
      <c r="R8" s="7" t="n">
        <f aca="false">MAR!R48</f>
        <v>196</v>
      </c>
      <c r="S8" s="7" t="n">
        <f aca="false">MAR!S48</f>
        <v>3275</v>
      </c>
      <c r="T8" s="7" t="n">
        <f aca="false">MAR!T48</f>
        <v>0</v>
      </c>
      <c r="U8" s="7" t="n">
        <f aca="false">MAR!U48</f>
        <v>0</v>
      </c>
      <c r="V8" s="7" t="n">
        <f aca="false">MAR!V48</f>
        <v>11859</v>
      </c>
      <c r="W8" s="7" t="n">
        <f aca="false">MAR!W48</f>
        <v>15134</v>
      </c>
      <c r="X8" s="7" t="n">
        <f aca="false">MAR!X48</f>
        <v>1016.14015628939</v>
      </c>
      <c r="Y8" s="7" t="n">
        <f aca="false">MAR!Y48</f>
        <v>16150.1401562894</v>
      </c>
      <c r="Z8" s="8" t="n">
        <f aca="false">MAR!Z48</f>
        <v>7.29</v>
      </c>
      <c r="AA8" s="10"/>
      <c r="AB8" s="10"/>
      <c r="AC8" s="11"/>
      <c r="AD8" s="96"/>
      <c r="AE8" s="92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9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9"/>
      <c r="U9" s="27"/>
      <c r="V9" s="27"/>
      <c r="W9" s="27"/>
      <c r="X9" s="27"/>
      <c r="Y9" s="27"/>
      <c r="Z9" s="30"/>
      <c r="AA9" s="31"/>
      <c r="AB9" s="31"/>
      <c r="AC9" s="32"/>
      <c r="AD9" s="92"/>
      <c r="AE9" s="92"/>
    </row>
    <row r="10" customFormat="false" ht="11.1" hidden="false" customHeight="true" outlineLevel="0" collapsed="false">
      <c r="A10" s="11" t="n">
        <v>1</v>
      </c>
      <c r="B10" s="26" t="n">
        <v>6912.4</v>
      </c>
      <c r="C10" s="7" t="n">
        <v>331675</v>
      </c>
      <c r="D10" s="10" t="n">
        <f aca="false">C10-C8</f>
        <v>122</v>
      </c>
      <c r="E10" s="7" t="n">
        <f aca="false">C10-152000</f>
        <v>179675</v>
      </c>
      <c r="F10" s="6" t="n">
        <f aca="false">D10/$D$2</f>
        <v>61.5074363498866</v>
      </c>
      <c r="G10" s="6" t="n">
        <v>169</v>
      </c>
      <c r="H10" s="38" t="n">
        <v>12</v>
      </c>
      <c r="I10" s="6" t="n">
        <f aca="false">G10+H10</f>
        <v>181</v>
      </c>
      <c r="J10" s="98" t="n">
        <f aca="false">IF(L10&gt;0,L10,0)</f>
        <v>225.507436349887</v>
      </c>
      <c r="K10" s="6" t="n">
        <f aca="false">I10+J10</f>
        <v>406.507436349887</v>
      </c>
      <c r="L10" s="6" t="n">
        <f aca="false">F10-(I10-W10)</f>
        <v>225.507436349887</v>
      </c>
      <c r="M10" s="6" t="n">
        <v>4</v>
      </c>
      <c r="N10" s="6" t="n">
        <v>0</v>
      </c>
      <c r="O10" s="6" t="n">
        <v>0</v>
      </c>
      <c r="P10" s="6" t="n">
        <f aca="false">M10-(N10+O10)</f>
        <v>4</v>
      </c>
      <c r="Q10" s="6" t="n">
        <v>236</v>
      </c>
      <c r="R10" s="6" t="n">
        <v>27</v>
      </c>
      <c r="S10" s="6" t="n">
        <f aca="false">SUM(P10:R10)</f>
        <v>267</v>
      </c>
      <c r="T10" s="7" t="n">
        <f aca="false">I10-S10</f>
        <v>-86</v>
      </c>
      <c r="U10" s="6" t="n">
        <v>0</v>
      </c>
      <c r="V10" s="6" t="n">
        <v>78</v>
      </c>
      <c r="W10" s="6" t="n">
        <f aca="false">N10+O10+S10+U10+V10</f>
        <v>345</v>
      </c>
      <c r="X10" s="6" t="n">
        <f aca="false">IF(L10&lt;0,L10*-1,0)</f>
        <v>0</v>
      </c>
      <c r="Y10" s="6" t="n">
        <f aca="false">W10+X10</f>
        <v>345</v>
      </c>
      <c r="Z10" s="8" t="n">
        <v>0</v>
      </c>
      <c r="AA10" s="10" t="n">
        <v>40</v>
      </c>
      <c r="AB10" s="10" t="n">
        <v>14</v>
      </c>
      <c r="AC10" s="11" t="n">
        <v>1</v>
      </c>
      <c r="AD10" s="10"/>
      <c r="AE10" s="10"/>
      <c r="AG10" s="6"/>
    </row>
    <row r="11" customFormat="false" ht="11.1" hidden="false" customHeight="true" outlineLevel="0" collapsed="false">
      <c r="A11" s="11" t="n">
        <f aca="false">A10+1</f>
        <v>2</v>
      </c>
      <c r="B11" s="26" t="n">
        <v>6912.43</v>
      </c>
      <c r="C11" s="7" t="n">
        <v>331797</v>
      </c>
      <c r="D11" s="10" t="n">
        <f aca="false">C11-C10</f>
        <v>122</v>
      </c>
      <c r="E11" s="7" t="n">
        <f aca="false">C11-152000</f>
        <v>179797</v>
      </c>
      <c r="F11" s="6" t="n">
        <f aca="false">D11/$D$2</f>
        <v>61.5074363498866</v>
      </c>
      <c r="G11" s="6" t="n">
        <v>191</v>
      </c>
      <c r="H11" s="38" t="n">
        <v>15</v>
      </c>
      <c r="I11" s="6" t="n">
        <f aca="false">G11+H11</f>
        <v>206</v>
      </c>
      <c r="J11" s="98" t="n">
        <f aca="false">IF(L11&gt;0,L11,0)</f>
        <v>58.5074363498866</v>
      </c>
      <c r="K11" s="6" t="n">
        <f aca="false">I11+J11</f>
        <v>264.507436349887</v>
      </c>
      <c r="L11" s="6" t="n">
        <f aca="false">F11-(I11-W11)</f>
        <v>58.5074363498866</v>
      </c>
      <c r="M11" s="6" t="n">
        <v>4</v>
      </c>
      <c r="N11" s="6" t="n">
        <v>0</v>
      </c>
      <c r="O11" s="6" t="n">
        <v>0</v>
      </c>
      <c r="P11" s="6" t="n">
        <f aca="false">M11-(N11+O11)</f>
        <v>4</v>
      </c>
      <c r="Q11" s="6" t="n">
        <v>117</v>
      </c>
      <c r="R11" s="6" t="n">
        <v>0</v>
      </c>
      <c r="S11" s="6" t="n">
        <f aca="false">SUM(P11:R11)</f>
        <v>121</v>
      </c>
      <c r="T11" s="7" t="n">
        <f aca="false">(I11-S11)+T10</f>
        <v>-1</v>
      </c>
      <c r="U11" s="6" t="n">
        <v>0</v>
      </c>
      <c r="V11" s="6" t="n">
        <v>82</v>
      </c>
      <c r="W11" s="6" t="n">
        <f aca="false">N11+O11+S11+U11+V11</f>
        <v>203</v>
      </c>
      <c r="X11" s="6" t="n">
        <f aca="false">IF(L11&lt;0,L11*-1,0)</f>
        <v>0</v>
      </c>
      <c r="Y11" s="6" t="n">
        <f aca="false">W11+X11</f>
        <v>203</v>
      </c>
      <c r="Z11" s="8" t="n">
        <v>0</v>
      </c>
      <c r="AA11" s="10" t="n">
        <v>52</v>
      </c>
      <c r="AB11" s="10" t="n">
        <v>21</v>
      </c>
      <c r="AC11" s="11" t="n">
        <f aca="false">AC10+1</f>
        <v>2</v>
      </c>
      <c r="AD11" s="10"/>
      <c r="AE11" s="10"/>
      <c r="AG11" s="6"/>
    </row>
    <row r="12" customFormat="false" ht="11.1" hidden="false" customHeight="true" outlineLevel="0" collapsed="false">
      <c r="A12" s="11" t="n">
        <f aca="false">A11+1</f>
        <v>3</v>
      </c>
      <c r="B12" s="26" t="n">
        <v>6912.47</v>
      </c>
      <c r="C12" s="7" t="n">
        <v>331960</v>
      </c>
      <c r="D12" s="10" t="n">
        <f aca="false">C12-C11</f>
        <v>163</v>
      </c>
      <c r="E12" s="7" t="n">
        <f aca="false">C12-152000</f>
        <v>179960</v>
      </c>
      <c r="F12" s="6" t="n">
        <f aca="false">D12/$D$2</f>
        <v>82.1779682379632</v>
      </c>
      <c r="G12" s="6" t="n">
        <v>207</v>
      </c>
      <c r="H12" s="38" t="n">
        <v>16</v>
      </c>
      <c r="I12" s="6" t="n">
        <f aca="false">G12+H12</f>
        <v>223</v>
      </c>
      <c r="J12" s="98" t="n">
        <f aca="false">IF(L12&gt;0,L12,0)</f>
        <v>62.1779682379632</v>
      </c>
      <c r="K12" s="6" t="n">
        <f aca="false">I12+J12</f>
        <v>285.177968237963</v>
      </c>
      <c r="L12" s="6" t="n">
        <f aca="false">F12-(I12-W12)</f>
        <v>62.1779682379632</v>
      </c>
      <c r="M12" s="6" t="n">
        <v>4</v>
      </c>
      <c r="N12" s="6" t="n">
        <v>0</v>
      </c>
      <c r="O12" s="6" t="n">
        <v>0</v>
      </c>
      <c r="P12" s="6" t="n">
        <f aca="false">M12-(N12+O12)</f>
        <v>4</v>
      </c>
      <c r="Q12" s="6" t="n">
        <v>117</v>
      </c>
      <c r="R12" s="6" t="n">
        <v>0</v>
      </c>
      <c r="S12" s="6" t="n">
        <f aca="false">SUM(P12:R12)</f>
        <v>121</v>
      </c>
      <c r="T12" s="7" t="n">
        <f aca="false">(I12-S12)+T11</f>
        <v>101</v>
      </c>
      <c r="U12" s="6" t="n">
        <v>0</v>
      </c>
      <c r="V12" s="6" t="n">
        <v>82</v>
      </c>
      <c r="W12" s="6" t="n">
        <f aca="false">N12+O12+S12+U12+V12</f>
        <v>203</v>
      </c>
      <c r="X12" s="6" t="n">
        <f aca="false">IF(L12&lt;0,L12*-1,0)</f>
        <v>0</v>
      </c>
      <c r="Y12" s="6" t="n">
        <f aca="false">W12+X12</f>
        <v>203</v>
      </c>
      <c r="Z12" s="8" t="n">
        <v>0</v>
      </c>
      <c r="AA12" s="10" t="n">
        <v>59</v>
      </c>
      <c r="AB12" s="10" t="n">
        <v>22</v>
      </c>
      <c r="AC12" s="11" t="n">
        <f aca="false">AC11+1</f>
        <v>3</v>
      </c>
      <c r="AD12" s="10"/>
      <c r="AE12" s="10"/>
      <c r="AG12" s="6"/>
    </row>
    <row r="13" customFormat="false" ht="11.1" hidden="false" customHeight="true" outlineLevel="0" collapsed="false">
      <c r="A13" s="11" t="n">
        <f aca="false">A12+1</f>
        <v>4</v>
      </c>
      <c r="B13" s="26" t="n">
        <v>6912.55</v>
      </c>
      <c r="C13" s="7" t="n">
        <v>332287</v>
      </c>
      <c r="D13" s="10" t="n">
        <f aca="false">C13-C12</f>
        <v>327</v>
      </c>
      <c r="E13" s="7" t="n">
        <f aca="false">C13-152000</f>
        <v>180287</v>
      </c>
      <c r="F13" s="6" t="n">
        <f aca="false">D13/$D$2</f>
        <v>164.86009579027</v>
      </c>
      <c r="G13" s="6" t="n">
        <v>237</v>
      </c>
      <c r="H13" s="38" t="n">
        <v>20</v>
      </c>
      <c r="I13" s="6" t="n">
        <f aca="false">G13+H13</f>
        <v>257</v>
      </c>
      <c r="J13" s="98" t="n">
        <f aca="false">IF(L13&gt;0,L13,0)</f>
        <v>120.86009579027</v>
      </c>
      <c r="K13" s="6" t="n">
        <f aca="false">I13+J13</f>
        <v>377.86009579027</v>
      </c>
      <c r="L13" s="6" t="n">
        <f aca="false">F13-(I13-W13)</f>
        <v>120.86009579027</v>
      </c>
      <c r="M13" s="6" t="n">
        <v>13</v>
      </c>
      <c r="N13" s="6" t="n">
        <v>0</v>
      </c>
      <c r="O13" s="6" t="n">
        <v>0</v>
      </c>
      <c r="P13" s="6" t="n">
        <f aca="false">M13-(N13+O13)</f>
        <v>13</v>
      </c>
      <c r="Q13" s="6" t="n">
        <v>117</v>
      </c>
      <c r="R13" s="6" t="n">
        <v>0</v>
      </c>
      <c r="S13" s="6" t="n">
        <f aca="false">SUM(P13:R13)</f>
        <v>130</v>
      </c>
      <c r="T13" s="7" t="n">
        <f aca="false">(I13-S13)+T12</f>
        <v>228</v>
      </c>
      <c r="U13" s="6" t="n">
        <v>0</v>
      </c>
      <c r="V13" s="6" t="n">
        <v>83</v>
      </c>
      <c r="W13" s="6" t="n">
        <f aca="false">N13+O13+S13+U13+V13</f>
        <v>213</v>
      </c>
      <c r="X13" s="6" t="n">
        <f aca="false">IF(L13&lt;0,L13*-1,0)</f>
        <v>0</v>
      </c>
      <c r="Y13" s="6" t="n">
        <f aca="false">W13+X13</f>
        <v>213</v>
      </c>
      <c r="Z13" s="8" t="n">
        <v>0</v>
      </c>
      <c r="AA13" s="10" t="n">
        <v>50</v>
      </c>
      <c r="AB13" s="10" t="n">
        <v>22</v>
      </c>
      <c r="AC13" s="11" t="n">
        <f aca="false">AC12+1</f>
        <v>4</v>
      </c>
      <c r="AD13" s="10"/>
      <c r="AE13" s="10"/>
      <c r="AG13" s="6"/>
    </row>
    <row r="14" customFormat="false" ht="11.1" hidden="false" customHeight="true" outlineLevel="0" collapsed="false">
      <c r="A14" s="11" t="n">
        <f aca="false">A13+1</f>
        <v>5</v>
      </c>
      <c r="B14" s="26" t="n">
        <v>6912.73</v>
      </c>
      <c r="C14" s="7" t="n">
        <v>330020</v>
      </c>
      <c r="D14" s="10" t="n">
        <f aca="false">C14-C13</f>
        <v>-2267</v>
      </c>
      <c r="E14" s="7" t="n">
        <f aca="false">C14-152000</f>
        <v>178020</v>
      </c>
      <c r="F14" s="6" t="n">
        <f aca="false">D14/$D$2</f>
        <v>-1142.92916561633</v>
      </c>
      <c r="G14" s="6" t="n">
        <v>245</v>
      </c>
      <c r="H14" s="38" t="n">
        <v>18</v>
      </c>
      <c r="I14" s="6" t="n">
        <f aca="false">G14+H14</f>
        <v>263</v>
      </c>
      <c r="J14" s="98" t="n">
        <f aca="false">IF(L14&gt;0,L14,0)</f>
        <v>0</v>
      </c>
      <c r="K14" s="6" t="n">
        <f aca="false">I14+J14</f>
        <v>263</v>
      </c>
      <c r="L14" s="6" t="n">
        <f aca="false">F14-(I14-W14)</f>
        <v>-1230.92916561633</v>
      </c>
      <c r="M14" s="6" t="n">
        <v>18</v>
      </c>
      <c r="N14" s="6" t="n">
        <v>0</v>
      </c>
      <c r="O14" s="6" t="n">
        <v>0</v>
      </c>
      <c r="P14" s="6" t="n">
        <f aca="false">M14-(N14+O14)</f>
        <v>18</v>
      </c>
      <c r="Q14" s="6" t="n">
        <v>75</v>
      </c>
      <c r="R14" s="6" t="n">
        <v>0</v>
      </c>
      <c r="S14" s="6" t="n">
        <f aca="false">SUM(P14:R14)</f>
        <v>93</v>
      </c>
      <c r="T14" s="7" t="n">
        <f aca="false">(I14-S14)+T13</f>
        <v>398</v>
      </c>
      <c r="U14" s="6" t="n">
        <v>0</v>
      </c>
      <c r="V14" s="6" t="n">
        <v>82</v>
      </c>
      <c r="W14" s="6" t="n">
        <f aca="false">N14+O14+S14+U14+V14</f>
        <v>175</v>
      </c>
      <c r="X14" s="6" t="n">
        <f aca="false">IF(L14&lt;0,L14*-1,0)</f>
        <v>1230.92916561633</v>
      </c>
      <c r="Y14" s="6" t="n">
        <f aca="false">W14+X14</f>
        <v>1405.92916561633</v>
      </c>
      <c r="Z14" s="8" t="n">
        <v>0</v>
      </c>
      <c r="AA14" s="10" t="n">
        <v>56</v>
      </c>
      <c r="AB14" s="10" t="n">
        <v>10</v>
      </c>
      <c r="AC14" s="11" t="n">
        <f aca="false">AC13+1</f>
        <v>5</v>
      </c>
      <c r="AD14" s="10"/>
      <c r="AE14" s="10"/>
      <c r="AG14" s="6"/>
    </row>
    <row r="15" customFormat="false" ht="11.1" hidden="false" customHeight="true" outlineLevel="0" collapsed="false">
      <c r="A15" s="11" t="n">
        <f aca="false">A14+1</f>
        <v>6</v>
      </c>
      <c r="B15" s="26" t="n">
        <v>6912.87</v>
      </c>
      <c r="C15" s="7" t="n">
        <v>333591</v>
      </c>
      <c r="D15" s="10" t="n">
        <f aca="false">C15-C14</f>
        <v>3571</v>
      </c>
      <c r="E15" s="7" t="n">
        <f aca="false">C15-152000</f>
        <v>181591</v>
      </c>
      <c r="F15" s="6" t="n">
        <f aca="false">D15/$D$2</f>
        <v>1800.35291152004</v>
      </c>
      <c r="G15" s="6" t="n">
        <v>290</v>
      </c>
      <c r="H15" s="38" t="n">
        <v>26</v>
      </c>
      <c r="I15" s="6" t="n">
        <f aca="false">G15+H15</f>
        <v>316</v>
      </c>
      <c r="J15" s="98" t="n">
        <f aca="false">IF(L15&gt;0,L15,0)</f>
        <v>1589.35291152004</v>
      </c>
      <c r="K15" s="6" t="n">
        <f aca="false">I15+J15</f>
        <v>1905.35291152004</v>
      </c>
      <c r="L15" s="6" t="n">
        <f aca="false">F15-(I15-W15)</f>
        <v>1589.35291152004</v>
      </c>
      <c r="M15" s="6" t="n">
        <v>22</v>
      </c>
      <c r="N15" s="6" t="n">
        <v>0</v>
      </c>
      <c r="O15" s="6" t="n">
        <v>0</v>
      </c>
      <c r="P15" s="6" t="n">
        <f aca="false">M15-(N15+O15)</f>
        <v>22</v>
      </c>
      <c r="Q15" s="6" t="n">
        <v>0</v>
      </c>
      <c r="R15" s="6" t="n">
        <v>0</v>
      </c>
      <c r="S15" s="6" t="n">
        <f aca="false">SUM(P15:R15)</f>
        <v>22</v>
      </c>
      <c r="T15" s="7" t="n">
        <f aca="false">(I15-S15)+T14</f>
        <v>692</v>
      </c>
      <c r="U15" s="6" t="n">
        <v>0</v>
      </c>
      <c r="V15" s="6" t="n">
        <v>83</v>
      </c>
      <c r="W15" s="6" t="n">
        <f aca="false">N15+O15+S15+U15+V15</f>
        <v>105</v>
      </c>
      <c r="X15" s="6" t="n">
        <f aca="false">IF(L15&lt;0,L15*-1,0)</f>
        <v>0</v>
      </c>
      <c r="Y15" s="6" t="n">
        <f aca="false">W15+X15</f>
        <v>105</v>
      </c>
      <c r="Z15" s="8" t="n">
        <v>0</v>
      </c>
      <c r="AA15" s="10" t="n">
        <v>63</v>
      </c>
      <c r="AB15" s="10" t="n">
        <v>25</v>
      </c>
      <c r="AC15" s="11" t="n">
        <f aca="false">AC14+1</f>
        <v>6</v>
      </c>
      <c r="AD15" s="10"/>
      <c r="AE15" s="10"/>
      <c r="AG15" s="6"/>
    </row>
    <row r="16" customFormat="false" ht="11.1" hidden="false" customHeight="true" outlineLevel="0" collapsed="false">
      <c r="A16" s="11" t="n">
        <f aca="false">A15+1</f>
        <v>7</v>
      </c>
      <c r="B16" s="26" t="n">
        <v>6913.25</v>
      </c>
      <c r="C16" s="7" t="n">
        <v>335149</v>
      </c>
      <c r="D16" s="10" t="n">
        <f aca="false">C16-C15</f>
        <v>1558</v>
      </c>
      <c r="E16" s="7" t="n">
        <f aca="false">C16-152000</f>
        <v>183149</v>
      </c>
      <c r="F16" s="6" t="n">
        <f aca="false">D16/$D$2</f>
        <v>785.480211746912</v>
      </c>
      <c r="G16" s="6" t="n">
        <v>423</v>
      </c>
      <c r="H16" s="38" t="n">
        <v>42</v>
      </c>
      <c r="I16" s="6" t="n">
        <f aca="false">G16+H16</f>
        <v>465</v>
      </c>
      <c r="J16" s="98" t="n">
        <f aca="false">IF(L16&gt;0,L16,0)</f>
        <v>440.480211746912</v>
      </c>
      <c r="K16" s="6" t="n">
        <f aca="false">I16+J16</f>
        <v>905.480211746912</v>
      </c>
      <c r="L16" s="6" t="n">
        <f aca="false">F16-(I16-W16)</f>
        <v>440.480211746912</v>
      </c>
      <c r="M16" s="6" t="n">
        <v>35</v>
      </c>
      <c r="N16" s="6" t="n">
        <v>0</v>
      </c>
      <c r="O16" s="6" t="n">
        <v>0</v>
      </c>
      <c r="P16" s="6" t="n">
        <f aca="false">M16-(N16+O16)</f>
        <v>35</v>
      </c>
      <c r="Q16" s="6" t="n">
        <v>0</v>
      </c>
      <c r="R16" s="6" t="n">
        <v>0</v>
      </c>
      <c r="S16" s="6" t="n">
        <f aca="false">SUM(P16:R16)</f>
        <v>35</v>
      </c>
      <c r="T16" s="7" t="n">
        <f aca="false">(I16-S16)+T15</f>
        <v>1122</v>
      </c>
      <c r="U16" s="6" t="n">
        <v>0</v>
      </c>
      <c r="V16" s="6" t="n">
        <v>85</v>
      </c>
      <c r="W16" s="6" t="n">
        <f aca="false">N16+O16+S16+U16+V16</f>
        <v>120</v>
      </c>
      <c r="X16" s="6" t="n">
        <f aca="false">IF(L16&lt;0,L16*-1,0)</f>
        <v>0</v>
      </c>
      <c r="Y16" s="6" t="n">
        <f aca="false">W16+X16</f>
        <v>120</v>
      </c>
      <c r="Z16" s="8" t="n">
        <v>0</v>
      </c>
      <c r="AA16" s="10" t="n">
        <v>68</v>
      </c>
      <c r="AB16" s="10" t="n">
        <v>29</v>
      </c>
      <c r="AC16" s="11" t="n">
        <f aca="false">AC15+1</f>
        <v>7</v>
      </c>
      <c r="AD16" s="10"/>
      <c r="AE16" s="10"/>
      <c r="AG16" s="6"/>
    </row>
    <row r="17" customFormat="false" ht="11.1" hidden="false" customHeight="true" outlineLevel="0" collapsed="false">
      <c r="A17" s="11" t="n">
        <f aca="false">A16+1</f>
        <v>8</v>
      </c>
      <c r="B17" s="26" t="n">
        <v>6913.5</v>
      </c>
      <c r="C17" s="7" t="n">
        <v>336176</v>
      </c>
      <c r="D17" s="10" t="n">
        <f aca="false">C17-C16</f>
        <v>1027</v>
      </c>
      <c r="E17" s="7" t="n">
        <f aca="false">C17-152000</f>
        <v>184176</v>
      </c>
      <c r="F17" s="6" t="n">
        <f aca="false">D17/$D$2</f>
        <v>517.771615830603</v>
      </c>
      <c r="G17" s="6" t="n">
        <v>586</v>
      </c>
      <c r="H17" s="38" t="n">
        <v>73</v>
      </c>
      <c r="I17" s="6" t="n">
        <f aca="false">G17+H17</f>
        <v>659</v>
      </c>
      <c r="J17" s="98" t="n">
        <f aca="false">IF(L17&gt;0,L17,0)</f>
        <v>0</v>
      </c>
      <c r="K17" s="6" t="n">
        <f aca="false">I17+J17</f>
        <v>659</v>
      </c>
      <c r="L17" s="6" t="n">
        <f aca="false">F17-(I17-W17)</f>
        <v>-14.2283841693975</v>
      </c>
      <c r="M17" s="6" t="n">
        <v>41</v>
      </c>
      <c r="N17" s="6" t="n">
        <v>0</v>
      </c>
      <c r="O17" s="6" t="n">
        <v>0</v>
      </c>
      <c r="P17" s="6" t="n">
        <f aca="false">M17-(N17+O17)</f>
        <v>41</v>
      </c>
      <c r="Q17" s="6" t="n">
        <v>0</v>
      </c>
      <c r="R17" s="6" t="n">
        <v>0</v>
      </c>
      <c r="S17" s="6" t="n">
        <f aca="false">SUM(P17:R17)</f>
        <v>41</v>
      </c>
      <c r="T17" s="7" t="n">
        <f aca="false">(I17-S17)+T16</f>
        <v>1740</v>
      </c>
      <c r="U17" s="6" t="n">
        <v>0</v>
      </c>
      <c r="V17" s="6" t="n">
        <v>86</v>
      </c>
      <c r="W17" s="6" t="n">
        <f aca="false">N17+O17+S17+U17+V17</f>
        <v>127</v>
      </c>
      <c r="X17" s="6" t="n">
        <f aca="false">IF(L17&lt;0,L17*-1,0)</f>
        <v>14.2283841693975</v>
      </c>
      <c r="Y17" s="6" t="n">
        <f aca="false">W17+X17</f>
        <v>141.228384169397</v>
      </c>
      <c r="Z17" s="8" t="n">
        <v>0</v>
      </c>
      <c r="AA17" s="10" t="n">
        <v>62</v>
      </c>
      <c r="AB17" s="10" t="n">
        <v>32</v>
      </c>
      <c r="AC17" s="11" t="n">
        <f aca="false">AC16+1</f>
        <v>8</v>
      </c>
      <c r="AD17" s="10"/>
      <c r="AE17" s="10"/>
      <c r="AG17" s="6"/>
    </row>
    <row r="18" customFormat="false" ht="11.1" hidden="false" customHeight="true" outlineLevel="0" collapsed="false">
      <c r="A18" s="11" t="n">
        <f aca="false">A17+1</f>
        <v>9</v>
      </c>
      <c r="B18" s="26" t="n">
        <v>6913.95</v>
      </c>
      <c r="C18" s="7" t="n">
        <v>338025</v>
      </c>
      <c r="D18" s="10" t="n">
        <f aca="false">C18-C17</f>
        <v>1849</v>
      </c>
      <c r="E18" s="7" t="n">
        <f aca="false">C18-152000</f>
        <v>186025</v>
      </c>
      <c r="F18" s="6" t="n">
        <f aca="false">D18/$D$2</f>
        <v>932.190572220822</v>
      </c>
      <c r="G18" s="6" t="n">
        <v>596</v>
      </c>
      <c r="H18" s="38" t="n">
        <v>66</v>
      </c>
      <c r="I18" s="6" t="n">
        <f aca="false">G18+H18</f>
        <v>662</v>
      </c>
      <c r="J18" s="98" t="n">
        <f aca="false">IF(L18&gt;0,L18,0)</f>
        <v>400.190572220822</v>
      </c>
      <c r="K18" s="6" t="n">
        <f aca="false">I18+J18</f>
        <v>1062.19057222082</v>
      </c>
      <c r="L18" s="6" t="n">
        <f aca="false">F18-(I18-W18)</f>
        <v>400.190572220822</v>
      </c>
      <c r="M18" s="6" t="n">
        <v>43</v>
      </c>
      <c r="N18" s="6" t="n">
        <v>0</v>
      </c>
      <c r="O18" s="6" t="n">
        <v>0</v>
      </c>
      <c r="P18" s="6" t="n">
        <f aca="false">M18-(N18+O18)</f>
        <v>43</v>
      </c>
      <c r="Q18" s="6" t="n">
        <v>0</v>
      </c>
      <c r="R18" s="6" t="n">
        <v>0</v>
      </c>
      <c r="S18" s="6" t="n">
        <f aca="false">SUM(P18:R18)</f>
        <v>43</v>
      </c>
      <c r="T18" s="7" t="n">
        <f aca="false">(I18-S18)+T17</f>
        <v>2359</v>
      </c>
      <c r="U18" s="6" t="n">
        <v>0</v>
      </c>
      <c r="V18" s="6" t="n">
        <v>87</v>
      </c>
      <c r="W18" s="6" t="n">
        <f aca="false">N18+O18+S18+U18+V18</f>
        <v>130</v>
      </c>
      <c r="X18" s="6" t="n">
        <f aca="false">IF(L18&lt;0,L18*-1,0)</f>
        <v>0</v>
      </c>
      <c r="Y18" s="6" t="n">
        <f aca="false">W18+X18</f>
        <v>130</v>
      </c>
      <c r="Z18" s="8" t="n">
        <v>0</v>
      </c>
      <c r="AA18" s="35" t="n">
        <v>61</v>
      </c>
      <c r="AB18" s="10" t="n">
        <v>20</v>
      </c>
      <c r="AC18" s="11" t="n">
        <f aca="false">AC17+1</f>
        <v>9</v>
      </c>
      <c r="AD18" s="10"/>
      <c r="AE18" s="10"/>
      <c r="AG18" s="6"/>
    </row>
    <row r="19" customFormat="false" ht="11.1" hidden="false" customHeight="true" outlineLevel="0" collapsed="false">
      <c r="A19" s="11" t="n">
        <f aca="false">A18+1</f>
        <v>10</v>
      </c>
      <c r="B19" s="26" t="n">
        <v>6914.26</v>
      </c>
      <c r="C19" s="7" t="n">
        <v>339307</v>
      </c>
      <c r="D19" s="10" t="n">
        <f aca="false">C19-C18</f>
        <v>1282</v>
      </c>
      <c r="E19" s="7" t="n">
        <f aca="false">C19-152000</f>
        <v>187307</v>
      </c>
      <c r="F19" s="6" t="n">
        <f aca="false">D19/$D$2</f>
        <v>646.332240988152</v>
      </c>
      <c r="G19" s="6" t="n">
        <v>522</v>
      </c>
      <c r="H19" s="38" t="n">
        <v>44</v>
      </c>
      <c r="I19" s="6" t="n">
        <f aca="false">G19+H19</f>
        <v>566</v>
      </c>
      <c r="J19" s="98" t="n">
        <f aca="false">IF(L19&gt;0,L19,0)</f>
        <v>210.332240988152</v>
      </c>
      <c r="K19" s="6" t="n">
        <f aca="false">I19+J19</f>
        <v>776.332240988152</v>
      </c>
      <c r="L19" s="6" t="n">
        <f aca="false">F19-(I19-W19)</f>
        <v>210.332240988152</v>
      </c>
      <c r="M19" s="6" t="n">
        <v>43</v>
      </c>
      <c r="N19" s="6" t="n">
        <v>0</v>
      </c>
      <c r="O19" s="6" t="n">
        <v>0</v>
      </c>
      <c r="P19" s="6" t="n">
        <f aca="false">M19-(N19+O19)</f>
        <v>43</v>
      </c>
      <c r="Q19" s="6" t="n">
        <v>0</v>
      </c>
      <c r="R19" s="6" t="n">
        <v>0</v>
      </c>
      <c r="S19" s="6" t="n">
        <f aca="false">SUM(P19:R19)</f>
        <v>43</v>
      </c>
      <c r="T19" s="7" t="n">
        <f aca="false">(I19-S19)+T18</f>
        <v>2882</v>
      </c>
      <c r="U19" s="6" t="n">
        <v>0</v>
      </c>
      <c r="V19" s="6" t="n">
        <v>87</v>
      </c>
      <c r="W19" s="6" t="n">
        <f aca="false">N19+O19+S19+U19+V19</f>
        <v>130</v>
      </c>
      <c r="X19" s="6" t="n">
        <f aca="false">IF(L19&lt;0,L19*-1,0)</f>
        <v>0</v>
      </c>
      <c r="Y19" s="6" t="n">
        <f aca="false">W19+X19</f>
        <v>130</v>
      </c>
      <c r="Z19" s="8" t="n">
        <v>0</v>
      </c>
      <c r="AA19" s="10" t="n">
        <v>62</v>
      </c>
      <c r="AB19" s="10" t="n">
        <v>22</v>
      </c>
      <c r="AC19" s="11" t="n">
        <f aca="false">AC18+1</f>
        <v>10</v>
      </c>
      <c r="AD19" s="10"/>
      <c r="AE19" s="10"/>
      <c r="AG19" s="6"/>
    </row>
    <row r="20" customFormat="false" ht="11.1" hidden="false" customHeight="true" outlineLevel="0" collapsed="false">
      <c r="A20" s="11" t="n">
        <f aca="false">A19+1</f>
        <v>11</v>
      </c>
      <c r="B20" s="26" t="n">
        <v>6914.57</v>
      </c>
      <c r="C20" s="7" t="n">
        <v>340591</v>
      </c>
      <c r="D20" s="10" t="n">
        <f aca="false">C20-C19</f>
        <v>1284</v>
      </c>
      <c r="E20" s="7" t="n">
        <f aca="false">C20-152000</f>
        <v>188591</v>
      </c>
      <c r="F20" s="6" t="n">
        <f aca="false">D20/$D$2</f>
        <v>647.340559616839</v>
      </c>
      <c r="G20" s="6" t="n">
        <v>521</v>
      </c>
      <c r="H20" s="38" t="n">
        <v>36</v>
      </c>
      <c r="I20" s="6" t="n">
        <f aca="false">G20+H20</f>
        <v>557</v>
      </c>
      <c r="J20" s="98" t="n">
        <f aca="false">IF(L20&gt;0,L20,0)</f>
        <v>226.340559616839</v>
      </c>
      <c r="K20" s="6" t="n">
        <f aca="false">I20+J20</f>
        <v>783.340559616839</v>
      </c>
      <c r="L20" s="6" t="n">
        <f aca="false">F20-(I20-W20)</f>
        <v>226.340559616839</v>
      </c>
      <c r="M20" s="6" t="n">
        <v>49</v>
      </c>
      <c r="N20" s="6" t="n">
        <v>0</v>
      </c>
      <c r="O20" s="6" t="n">
        <v>0</v>
      </c>
      <c r="P20" s="6" t="n">
        <f aca="false">M20-(N20+O20)</f>
        <v>49</v>
      </c>
      <c r="Q20" s="6" t="n">
        <v>0</v>
      </c>
      <c r="R20" s="6" t="n">
        <v>0</v>
      </c>
      <c r="S20" s="6" t="n">
        <f aca="false">SUM(P20:R20)</f>
        <v>49</v>
      </c>
      <c r="T20" s="7" t="n">
        <f aca="false">(I20-S20)+T19</f>
        <v>3390</v>
      </c>
      <c r="U20" s="6" t="n">
        <v>0</v>
      </c>
      <c r="V20" s="6" t="n">
        <v>87</v>
      </c>
      <c r="W20" s="6" t="n">
        <f aca="false">N20+O20+S20+U20+V20</f>
        <v>136</v>
      </c>
      <c r="X20" s="6" t="n">
        <f aca="false">IF(L20&lt;0,L20*-1,0)</f>
        <v>0</v>
      </c>
      <c r="Y20" s="6" t="n">
        <f aca="false">W20+X20</f>
        <v>136</v>
      </c>
      <c r="Z20" s="8" t="n">
        <v>0</v>
      </c>
      <c r="AA20" s="10" t="n">
        <v>69</v>
      </c>
      <c r="AB20" s="10" t="n">
        <v>24</v>
      </c>
      <c r="AC20" s="11" t="n">
        <f aca="false">AC19+1</f>
        <v>11</v>
      </c>
      <c r="AD20" s="10"/>
      <c r="AE20" s="10"/>
      <c r="AG20" s="6"/>
    </row>
    <row r="21" customFormat="false" ht="11.1" hidden="false" customHeight="true" outlineLevel="0" collapsed="false">
      <c r="A21" s="11" t="n">
        <f aca="false">A20+1</f>
        <v>12</v>
      </c>
      <c r="B21" s="26" t="n">
        <v>6915</v>
      </c>
      <c r="C21" s="7" t="n">
        <v>342372</v>
      </c>
      <c r="D21" s="10" t="n">
        <f aca="false">C21-C20</f>
        <v>1781</v>
      </c>
      <c r="E21" s="7" t="n">
        <f aca="false">C21-152000</f>
        <v>190372</v>
      </c>
      <c r="F21" s="6" t="n">
        <f aca="false">D21/$D$2</f>
        <v>897.907738845475</v>
      </c>
      <c r="G21" s="6" t="n">
        <v>632</v>
      </c>
      <c r="H21" s="38" t="n">
        <v>47</v>
      </c>
      <c r="I21" s="6" t="n">
        <f aca="false">G21+H21</f>
        <v>679</v>
      </c>
      <c r="J21" s="98" t="n">
        <f aca="false">IF(L21&gt;0,L21,0)</f>
        <v>358.907738845475</v>
      </c>
      <c r="K21" s="6" t="n">
        <f aca="false">I21+J21</f>
        <v>1037.90773884548</v>
      </c>
      <c r="L21" s="6" t="n">
        <f aca="false">F21-(I21-W21)</f>
        <v>358.907738845475</v>
      </c>
      <c r="M21" s="6" t="n">
        <v>53</v>
      </c>
      <c r="N21" s="6" t="n">
        <v>0</v>
      </c>
      <c r="O21" s="6" t="n">
        <v>0</v>
      </c>
      <c r="P21" s="6" t="n">
        <f aca="false">M21-(N21+O21)</f>
        <v>53</v>
      </c>
      <c r="Q21" s="6" t="n">
        <v>0</v>
      </c>
      <c r="R21" s="6" t="n">
        <v>0</v>
      </c>
      <c r="S21" s="6" t="n">
        <f aca="false">SUM(P21:R21)</f>
        <v>53</v>
      </c>
      <c r="T21" s="7" t="n">
        <f aca="false">(I21-S21)+T20</f>
        <v>4016</v>
      </c>
      <c r="U21" s="6" t="n">
        <v>0</v>
      </c>
      <c r="V21" s="6" t="n">
        <v>87</v>
      </c>
      <c r="W21" s="6" t="n">
        <f aca="false">N21+O21+S21+U21+V21</f>
        <v>140</v>
      </c>
      <c r="X21" s="6" t="n">
        <f aca="false">IF(L21&lt;0,L21*-1,0)</f>
        <v>0</v>
      </c>
      <c r="Y21" s="6" t="n">
        <f aca="false">W21+X21</f>
        <v>140</v>
      </c>
      <c r="Z21" s="8" t="n">
        <v>0</v>
      </c>
      <c r="AA21" s="10" t="n">
        <v>69</v>
      </c>
      <c r="AB21" s="10" t="n">
        <v>32</v>
      </c>
      <c r="AC21" s="11" t="n">
        <f aca="false">AC20+1</f>
        <v>12</v>
      </c>
      <c r="AD21" s="10"/>
      <c r="AE21" s="10"/>
      <c r="AG21" s="6"/>
    </row>
    <row r="22" customFormat="false" ht="11.1" hidden="false" customHeight="true" outlineLevel="0" collapsed="false">
      <c r="A22" s="11" t="n">
        <f aca="false">A21+1</f>
        <v>13</v>
      </c>
      <c r="B22" s="26" t="n">
        <v>6915.43</v>
      </c>
      <c r="C22" s="7" t="n">
        <v>344167</v>
      </c>
      <c r="D22" s="10" t="n">
        <f aca="false">C22-C21</f>
        <v>1795</v>
      </c>
      <c r="E22" s="7" t="n">
        <f aca="false">C22-152000</f>
        <v>192167</v>
      </c>
      <c r="F22" s="6" t="n">
        <f aca="false">D22/$D$2</f>
        <v>904.965969246282</v>
      </c>
      <c r="G22" s="6" t="n">
        <v>811</v>
      </c>
      <c r="H22" s="38" t="n">
        <v>61</v>
      </c>
      <c r="I22" s="6" t="n">
        <f aca="false">G22+H22</f>
        <v>872</v>
      </c>
      <c r="J22" s="98" t="n">
        <f aca="false">IF(L22&gt;0,L22,0)</f>
        <v>172.965969246282</v>
      </c>
      <c r="K22" s="6" t="n">
        <f aca="false">I22+J22</f>
        <v>1044.96596924628</v>
      </c>
      <c r="L22" s="6" t="n">
        <f aca="false">F22-(I22-W22)</f>
        <v>172.965969246282</v>
      </c>
      <c r="M22" s="6" t="n">
        <v>53</v>
      </c>
      <c r="N22" s="6" t="n">
        <v>0</v>
      </c>
      <c r="O22" s="6" t="n">
        <v>0</v>
      </c>
      <c r="P22" s="6" t="n">
        <f aca="false">M22-(N22+O22)</f>
        <v>53</v>
      </c>
      <c r="Q22" s="6" t="n">
        <v>0</v>
      </c>
      <c r="R22" s="6" t="n">
        <v>0</v>
      </c>
      <c r="S22" s="6" t="n">
        <f aca="false">SUM(P22:R22)</f>
        <v>53</v>
      </c>
      <c r="T22" s="7" t="n">
        <f aca="false">(I22-S22)+T21</f>
        <v>4835</v>
      </c>
      <c r="U22" s="6" t="n">
        <v>0</v>
      </c>
      <c r="V22" s="6" t="n">
        <v>87</v>
      </c>
      <c r="W22" s="6" t="n">
        <f aca="false">N22+O22+S22+U22+V22</f>
        <v>140</v>
      </c>
      <c r="X22" s="6" t="n">
        <f aca="false">IF(L22&lt;0,L22*-1,0)</f>
        <v>0</v>
      </c>
      <c r="Y22" s="6" t="n">
        <f aca="false">W22+X22</f>
        <v>140</v>
      </c>
      <c r="Z22" s="8" t="n">
        <v>0</v>
      </c>
      <c r="AA22" s="10" t="n">
        <v>71</v>
      </c>
      <c r="AB22" s="10" t="n">
        <v>36</v>
      </c>
      <c r="AC22" s="11" t="n">
        <f aca="false">AC21+1</f>
        <v>13</v>
      </c>
      <c r="AD22" s="10"/>
      <c r="AE22" s="10"/>
      <c r="AG22" s="6"/>
    </row>
    <row r="23" customFormat="false" ht="11.1" hidden="false" customHeight="true" outlineLevel="0" collapsed="false">
      <c r="A23" s="11" t="n">
        <f aca="false">A22+1</f>
        <v>14</v>
      </c>
      <c r="B23" s="26" t="n">
        <v>6915.99</v>
      </c>
      <c r="C23" s="7" t="n">
        <v>346505</v>
      </c>
      <c r="D23" s="10" t="n">
        <f aca="false">C23-C22</f>
        <v>2338</v>
      </c>
      <c r="E23" s="7" t="n">
        <f aca="false">C23-152000</f>
        <v>194505</v>
      </c>
      <c r="F23" s="6" t="n">
        <f aca="false">D23/$D$2</f>
        <v>1178.72447693471</v>
      </c>
      <c r="G23" s="6" t="n">
        <v>786</v>
      </c>
      <c r="H23" s="38" t="n">
        <v>47</v>
      </c>
      <c r="I23" s="6" t="n">
        <f aca="false">G23+H23</f>
        <v>833</v>
      </c>
      <c r="J23" s="98" t="n">
        <f aca="false">IF(L23&gt;0,L23,0)</f>
        <v>487.724476934711</v>
      </c>
      <c r="K23" s="6" t="n">
        <f aca="false">I23+J23</f>
        <v>1320.72447693471</v>
      </c>
      <c r="L23" s="6" t="n">
        <f aca="false">F23-(I23-W23)</f>
        <v>487.724476934711</v>
      </c>
      <c r="M23" s="6" t="n">
        <v>55</v>
      </c>
      <c r="N23" s="6" t="n">
        <v>0</v>
      </c>
      <c r="O23" s="6" t="n">
        <v>0</v>
      </c>
      <c r="P23" s="6" t="n">
        <f aca="false">M23-(N23+O23)</f>
        <v>55</v>
      </c>
      <c r="Q23" s="6" t="n">
        <v>0</v>
      </c>
      <c r="R23" s="6" t="n">
        <v>0</v>
      </c>
      <c r="S23" s="6" t="n">
        <f aca="false">SUM(P23:R23)</f>
        <v>55</v>
      </c>
      <c r="T23" s="7" t="n">
        <f aca="false">(I23-S23)+T22</f>
        <v>5613</v>
      </c>
      <c r="U23" s="6" t="n">
        <v>0</v>
      </c>
      <c r="V23" s="6" t="n">
        <v>87</v>
      </c>
      <c r="W23" s="6" t="n">
        <f aca="false">N23+O23+S23+U23+V23</f>
        <v>142</v>
      </c>
      <c r="X23" s="6" t="n">
        <f aca="false">IF(L23&lt;0,L23*-1,0)</f>
        <v>0</v>
      </c>
      <c r="Y23" s="6" t="n">
        <f aca="false">W23+X23</f>
        <v>142</v>
      </c>
      <c r="Z23" s="8" t="n">
        <v>0.58</v>
      </c>
      <c r="AA23" s="35" t="n">
        <v>59</v>
      </c>
      <c r="AB23" s="10" t="n">
        <v>35</v>
      </c>
      <c r="AC23" s="11" t="n">
        <f aca="false">AC22+1</f>
        <v>14</v>
      </c>
      <c r="AD23" s="10"/>
      <c r="AE23" s="10"/>
      <c r="AG23" s="6"/>
    </row>
    <row r="24" customFormat="false" ht="11.1" hidden="false" customHeight="true" outlineLevel="0" collapsed="false">
      <c r="A24" s="11" t="n">
        <f aca="false">A23+1</f>
        <v>15</v>
      </c>
      <c r="B24" s="26" t="n">
        <v>6916.5</v>
      </c>
      <c r="C24" s="7" t="n">
        <v>348650</v>
      </c>
      <c r="D24" s="10" t="n">
        <f aca="false">C24-C23</f>
        <v>2145</v>
      </c>
      <c r="E24" s="7" t="n">
        <f aca="false">C24-152000</f>
        <v>196650</v>
      </c>
      <c r="F24" s="6" t="n">
        <f aca="false">D24/$D$2</f>
        <v>1081.42172926645</v>
      </c>
      <c r="G24" s="6" t="n">
        <v>840</v>
      </c>
      <c r="H24" s="38" t="n">
        <v>77</v>
      </c>
      <c r="I24" s="6" t="n">
        <f aca="false">G24+H24</f>
        <v>917</v>
      </c>
      <c r="J24" s="98" t="n">
        <f aca="false">IF(L24&gt;0,L24,0)</f>
        <v>330.421729266448</v>
      </c>
      <c r="K24" s="6" t="n">
        <f aca="false">I24+J24</f>
        <v>1247.42172926645</v>
      </c>
      <c r="L24" s="6" t="n">
        <f aca="false">F24-(I24-W24)</f>
        <v>330.421729266448</v>
      </c>
      <c r="M24" s="6" t="n">
        <v>63</v>
      </c>
      <c r="N24" s="6" t="n">
        <v>0</v>
      </c>
      <c r="O24" s="6" t="n">
        <v>0</v>
      </c>
      <c r="P24" s="6" t="n">
        <f aca="false">M24-(N24+O24)</f>
        <v>63</v>
      </c>
      <c r="Q24" s="6" t="n">
        <v>0</v>
      </c>
      <c r="R24" s="6" t="n">
        <v>0</v>
      </c>
      <c r="S24" s="6" t="n">
        <f aca="false">SUM(P24:R24)</f>
        <v>63</v>
      </c>
      <c r="T24" s="7" t="n">
        <f aca="false">(I24-S24)+T23</f>
        <v>6467</v>
      </c>
      <c r="U24" s="6" t="n">
        <v>16</v>
      </c>
      <c r="V24" s="6" t="n">
        <v>87</v>
      </c>
      <c r="W24" s="6" t="n">
        <f aca="false">N24+O24+S24+U24+V24</f>
        <v>166</v>
      </c>
      <c r="X24" s="6" t="n">
        <f aca="false">IF(L24&lt;0,L24*-1,0)</f>
        <v>0</v>
      </c>
      <c r="Y24" s="6" t="n">
        <f aca="false">W24+X24</f>
        <v>166</v>
      </c>
      <c r="Z24" s="8" t="n">
        <v>0</v>
      </c>
      <c r="AA24" s="35" t="n">
        <v>59</v>
      </c>
      <c r="AB24" s="10" t="n">
        <v>33</v>
      </c>
      <c r="AC24" s="11" t="n">
        <f aca="false">AC23+1</f>
        <v>15</v>
      </c>
      <c r="AD24" s="10"/>
      <c r="AE24" s="10"/>
      <c r="AG24" s="6"/>
    </row>
    <row r="25" customFormat="false" ht="11.1" hidden="false" customHeight="true" outlineLevel="0" collapsed="false">
      <c r="A25" s="11" t="n">
        <f aca="false">A24+1</f>
        <v>16</v>
      </c>
      <c r="B25" s="26" t="n">
        <v>6917</v>
      </c>
      <c r="C25" s="7" t="n">
        <v>350754</v>
      </c>
      <c r="D25" s="10" t="n">
        <f aca="false">C25-C24</f>
        <v>2104</v>
      </c>
      <c r="E25" s="7" t="n">
        <f aca="false">C25-152000</f>
        <v>198754</v>
      </c>
      <c r="F25" s="6" t="n">
        <f aca="false">D25/$D$2</f>
        <v>1060.75119737837</v>
      </c>
      <c r="G25" s="6" t="n">
        <v>857</v>
      </c>
      <c r="H25" s="38" t="n">
        <v>83</v>
      </c>
      <c r="I25" s="6" t="n">
        <f aca="false">G25+H25</f>
        <v>940</v>
      </c>
      <c r="J25" s="98" t="n">
        <f aca="false">IF(L25&gt;0,L25,0)</f>
        <v>275.751197378371</v>
      </c>
      <c r="K25" s="6" t="n">
        <f aca="false">I25+J25</f>
        <v>1215.75119737837</v>
      </c>
      <c r="L25" s="6" t="n">
        <f aca="false">F25-(I25-W25)</f>
        <v>275.751197378371</v>
      </c>
      <c r="M25" s="6" t="n">
        <v>68</v>
      </c>
      <c r="N25" s="6" t="n">
        <v>0</v>
      </c>
      <c r="O25" s="6" t="n">
        <v>0</v>
      </c>
      <c r="P25" s="6" t="n">
        <f aca="false">M25-(N25+O25)</f>
        <v>68</v>
      </c>
      <c r="Q25" s="6" t="n">
        <v>0</v>
      </c>
      <c r="R25" s="6" t="n">
        <v>0</v>
      </c>
      <c r="S25" s="6" t="n">
        <f aca="false">SUM(P25:R25)</f>
        <v>68</v>
      </c>
      <c r="T25" s="7" t="n">
        <f aca="false">(I25-S25)+T24</f>
        <v>7339</v>
      </c>
      <c r="U25" s="6" t="n">
        <v>0</v>
      </c>
      <c r="V25" s="6" t="n">
        <v>87</v>
      </c>
      <c r="W25" s="6" t="n">
        <f aca="false">N25+O25+S25+U25+V25</f>
        <v>155</v>
      </c>
      <c r="X25" s="6" t="n">
        <f aca="false">IF(L25&lt;0,L25*-1,0)</f>
        <v>0</v>
      </c>
      <c r="Y25" s="6" t="n">
        <f aca="false">W25+X25</f>
        <v>155</v>
      </c>
      <c r="Z25" s="8" t="n">
        <v>0.61</v>
      </c>
      <c r="AA25" s="35" t="n">
        <v>45</v>
      </c>
      <c r="AB25" s="10" t="n">
        <v>28</v>
      </c>
      <c r="AC25" s="11" t="n">
        <f aca="false">AC24+1</f>
        <v>16</v>
      </c>
      <c r="AD25" s="10"/>
      <c r="AE25" s="10"/>
      <c r="AG25" s="6"/>
    </row>
    <row r="26" customFormat="false" ht="11.1" hidden="false" customHeight="true" outlineLevel="0" collapsed="false">
      <c r="A26" s="11" t="n">
        <f aca="false">A25+1</f>
        <v>17</v>
      </c>
      <c r="B26" s="26" t="n">
        <v>6917.45</v>
      </c>
      <c r="C26" s="7" t="n">
        <v>352662</v>
      </c>
      <c r="D26" s="10" t="n">
        <f aca="false">C26-C25</f>
        <v>1908</v>
      </c>
      <c r="E26" s="7" t="n">
        <f aca="false">C26-152000</f>
        <v>200662</v>
      </c>
      <c r="F26" s="6" t="n">
        <f aca="false">D26/$D$2</f>
        <v>961.935971767078</v>
      </c>
      <c r="G26" s="6" t="n">
        <v>760</v>
      </c>
      <c r="H26" s="38" t="n">
        <v>81</v>
      </c>
      <c r="I26" s="6" t="n">
        <f aca="false">G26+H26</f>
        <v>841</v>
      </c>
      <c r="J26" s="98" t="n">
        <f aca="false">IF(L26&gt;0,L26,0)</f>
        <v>275.935971767078</v>
      </c>
      <c r="K26" s="6" t="n">
        <f aca="false">I26+J26</f>
        <v>1116.93597176708</v>
      </c>
      <c r="L26" s="6" t="n">
        <f aca="false">F26-(I26-W26)</f>
        <v>275.935971767078</v>
      </c>
      <c r="M26" s="6" t="n">
        <v>68</v>
      </c>
      <c r="N26" s="6" t="n">
        <v>0</v>
      </c>
      <c r="O26" s="6" t="n">
        <v>0</v>
      </c>
      <c r="P26" s="6" t="n">
        <f aca="false">M26-(N26+O26)</f>
        <v>68</v>
      </c>
      <c r="Q26" s="6" t="n">
        <v>0</v>
      </c>
      <c r="R26" s="6" t="n">
        <v>0</v>
      </c>
      <c r="S26" s="6" t="n">
        <f aca="false">SUM(P26:R26)</f>
        <v>68</v>
      </c>
      <c r="T26" s="7" t="n">
        <f aca="false">(I26-S26)+T25</f>
        <v>8112</v>
      </c>
      <c r="U26" s="6" t="n">
        <v>0</v>
      </c>
      <c r="V26" s="6" t="n">
        <v>87</v>
      </c>
      <c r="W26" s="6" t="n">
        <f aca="false">N26+O26+S26+U26+V26</f>
        <v>155</v>
      </c>
      <c r="X26" s="6" t="n">
        <f aca="false">IF(L26&lt;0,L26*-1,0)</f>
        <v>0</v>
      </c>
      <c r="Y26" s="6" t="n">
        <f aca="false">W26+X26</f>
        <v>155</v>
      </c>
      <c r="Z26" s="8" t="n">
        <v>0</v>
      </c>
      <c r="AA26" s="35" t="n">
        <v>47</v>
      </c>
      <c r="AB26" s="10" t="n">
        <v>26</v>
      </c>
      <c r="AC26" s="11" t="n">
        <f aca="false">AC25+1</f>
        <v>17</v>
      </c>
      <c r="AD26" s="10"/>
      <c r="AE26" s="10"/>
      <c r="AG26" s="6"/>
    </row>
    <row r="27" customFormat="false" ht="11.1" hidden="false" customHeight="true" outlineLevel="0" collapsed="false">
      <c r="A27" s="11" t="n">
        <f aca="false">A26+1</f>
        <v>18</v>
      </c>
      <c r="B27" s="26" t="n">
        <v>6917.63</v>
      </c>
      <c r="C27" s="7" t="n">
        <v>353425</v>
      </c>
      <c r="D27" s="10" t="n">
        <f aca="false">C27-C26</f>
        <v>763</v>
      </c>
      <c r="E27" s="7" t="n">
        <f aca="false">C27-152000</f>
        <v>201425</v>
      </c>
      <c r="F27" s="6" t="n">
        <f aca="false">D27/$D$2</f>
        <v>384.673556843963</v>
      </c>
      <c r="G27" s="6" t="n">
        <v>613</v>
      </c>
      <c r="H27" s="38" t="n">
        <v>49</v>
      </c>
      <c r="I27" s="6" t="n">
        <f aca="false">G27+H27</f>
        <v>662</v>
      </c>
      <c r="J27" s="98" t="n">
        <f aca="false">IF(L27&gt;0,L27,0)</f>
        <v>0</v>
      </c>
      <c r="K27" s="6" t="n">
        <f aca="false">I27+J27</f>
        <v>662</v>
      </c>
      <c r="L27" s="6" t="n">
        <f aca="false">F27-(I27-W27)</f>
        <v>-101.326443156037</v>
      </c>
      <c r="M27" s="6" t="n">
        <v>68</v>
      </c>
      <c r="N27" s="6" t="n">
        <v>0</v>
      </c>
      <c r="O27" s="6" t="n">
        <v>0</v>
      </c>
      <c r="P27" s="6" t="n">
        <f aca="false">M27-(N27+O27)</f>
        <v>68</v>
      </c>
      <c r="Q27" s="6" t="n">
        <v>0</v>
      </c>
      <c r="R27" s="6" t="n">
        <v>0</v>
      </c>
      <c r="S27" s="6" t="n">
        <f aca="false">SUM(P27:R27)</f>
        <v>68</v>
      </c>
      <c r="T27" s="7" t="n">
        <f aca="false">(I27-S27)+T26</f>
        <v>8706</v>
      </c>
      <c r="U27" s="6" t="n">
        <v>21</v>
      </c>
      <c r="V27" s="6" t="n">
        <v>87</v>
      </c>
      <c r="W27" s="6" t="n">
        <f aca="false">N27+O27+S27+U27+V27</f>
        <v>176</v>
      </c>
      <c r="X27" s="6" t="n">
        <f aca="false">IF(L27&lt;0,L27*-1,0)</f>
        <v>101.326443156037</v>
      </c>
      <c r="Y27" s="6" t="n">
        <f aca="false">W27+X27</f>
        <v>277.326443156037</v>
      </c>
      <c r="Z27" s="8" t="n">
        <v>0.09</v>
      </c>
      <c r="AA27" s="35" t="n">
        <v>48</v>
      </c>
      <c r="AB27" s="10" t="n">
        <v>29</v>
      </c>
      <c r="AC27" s="11" t="n">
        <f aca="false">AC26+1</f>
        <v>18</v>
      </c>
      <c r="AD27" s="10"/>
      <c r="AE27" s="10"/>
      <c r="AG27" s="6"/>
    </row>
    <row r="28" customFormat="false" ht="11.1" hidden="false" customHeight="true" outlineLevel="0" collapsed="false">
      <c r="A28" s="11" t="n">
        <f aca="false">A27+1</f>
        <v>19</v>
      </c>
      <c r="B28" s="26" t="n">
        <v>6917.95</v>
      </c>
      <c r="C28" s="7" t="n">
        <v>354782</v>
      </c>
      <c r="D28" s="10" t="n">
        <f aca="false">C28-C27</f>
        <v>1357</v>
      </c>
      <c r="E28" s="7" t="n">
        <f aca="false">C28-152000</f>
        <v>202782</v>
      </c>
      <c r="F28" s="6" t="n">
        <f aca="false">D28/$D$2</f>
        <v>684.144189563902</v>
      </c>
      <c r="G28" s="6" t="n">
        <v>582</v>
      </c>
      <c r="H28" s="38" t="n">
        <v>33</v>
      </c>
      <c r="I28" s="6" t="n">
        <f aca="false">G28+H28</f>
        <v>615</v>
      </c>
      <c r="J28" s="98" t="n">
        <f aca="false">IF(L28&gt;0,L28,0)</f>
        <v>232.144189563902</v>
      </c>
      <c r="K28" s="6" t="n">
        <f aca="false">I28+J28</f>
        <v>847.144189563902</v>
      </c>
      <c r="L28" s="6" t="n">
        <f aca="false">F28-(I28-W28)</f>
        <v>232.144189563902</v>
      </c>
      <c r="M28" s="6" t="n">
        <v>68</v>
      </c>
      <c r="N28" s="6" t="n">
        <v>0</v>
      </c>
      <c r="O28" s="6" t="n">
        <v>0</v>
      </c>
      <c r="P28" s="6" t="n">
        <f aca="false">M28-(N28+O28)</f>
        <v>68</v>
      </c>
      <c r="Q28" s="6" t="n">
        <v>0</v>
      </c>
      <c r="R28" s="6" t="n">
        <v>8</v>
      </c>
      <c r="S28" s="6" t="n">
        <f aca="false">SUM(P28:R28)</f>
        <v>76</v>
      </c>
      <c r="T28" s="7" t="n">
        <f aca="false">(I28-S28)+T27</f>
        <v>9245</v>
      </c>
      <c r="U28" s="6" t="n">
        <v>0</v>
      </c>
      <c r="V28" s="6" t="n">
        <v>87</v>
      </c>
      <c r="W28" s="6" t="n">
        <f aca="false">N28+O28+S28+U28+V28</f>
        <v>163</v>
      </c>
      <c r="X28" s="6" t="n">
        <f aca="false">IF(L28&lt;0,L28*-1,0)</f>
        <v>0</v>
      </c>
      <c r="Y28" s="6" t="n">
        <f aca="false">W28+X28</f>
        <v>163</v>
      </c>
      <c r="Z28" s="8" t="n">
        <v>0</v>
      </c>
      <c r="AA28" s="35" t="n">
        <v>56</v>
      </c>
      <c r="AB28" s="10" t="n">
        <v>30</v>
      </c>
      <c r="AC28" s="11" t="n">
        <f aca="false">AC27+1</f>
        <v>19</v>
      </c>
      <c r="AD28" s="10"/>
      <c r="AE28" s="10"/>
      <c r="AG28" s="6"/>
    </row>
    <row r="29" customFormat="false" ht="11.1" hidden="false" customHeight="true" outlineLevel="0" collapsed="false">
      <c r="A29" s="11" t="n">
        <f aca="false">A28+1</f>
        <v>20</v>
      </c>
      <c r="B29" s="26" t="n">
        <v>6918.2</v>
      </c>
      <c r="C29" s="7" t="n">
        <v>355848</v>
      </c>
      <c r="D29" s="10" t="n">
        <f aca="false">C29-C28</f>
        <v>1066</v>
      </c>
      <c r="E29" s="7" t="n">
        <f aca="false">C29-152000</f>
        <v>203848</v>
      </c>
      <c r="F29" s="6" t="n">
        <f aca="false">D29/$D$2</f>
        <v>537.433829089992</v>
      </c>
      <c r="G29" s="6" t="n">
        <v>600</v>
      </c>
      <c r="H29" s="38" t="n">
        <v>32</v>
      </c>
      <c r="I29" s="6" t="n">
        <f aca="false">G29+H29</f>
        <v>632</v>
      </c>
      <c r="J29" s="98" t="n">
        <f aca="false">IF(L29&gt;0,L29,0)</f>
        <v>111.433829089992</v>
      </c>
      <c r="K29" s="6" t="n">
        <f aca="false">I29+J29</f>
        <v>743.433829089992</v>
      </c>
      <c r="L29" s="6" t="n">
        <f aca="false">F29-(I29-W29)</f>
        <v>111.433829089992</v>
      </c>
      <c r="M29" s="6" t="n">
        <v>69</v>
      </c>
      <c r="N29" s="6" t="n">
        <v>0</v>
      </c>
      <c r="O29" s="6" t="n">
        <v>0</v>
      </c>
      <c r="P29" s="6" t="n">
        <f aca="false">M29-(N29+O29)</f>
        <v>69</v>
      </c>
      <c r="Q29" s="6" t="n">
        <v>43</v>
      </c>
      <c r="R29" s="6" t="n">
        <v>7</v>
      </c>
      <c r="S29" s="6" t="n">
        <f aca="false">SUM(P29:R29)</f>
        <v>119</v>
      </c>
      <c r="T29" s="7" t="n">
        <f aca="false">(I29-S29)+T28</f>
        <v>9758</v>
      </c>
      <c r="U29" s="6" t="n">
        <v>0</v>
      </c>
      <c r="V29" s="6" t="n">
        <v>87</v>
      </c>
      <c r="W29" s="6" t="n">
        <f aca="false">N29+O29+S29+U29+V29</f>
        <v>206</v>
      </c>
      <c r="X29" s="6" t="n">
        <f aca="false">IF(L29&lt;0,L29*-1,0)</f>
        <v>0</v>
      </c>
      <c r="Y29" s="6" t="n">
        <f aca="false">W29+X29</f>
        <v>206</v>
      </c>
      <c r="Z29" s="8" t="n">
        <v>0.01</v>
      </c>
      <c r="AA29" s="35" t="n">
        <v>59</v>
      </c>
      <c r="AB29" s="10" t="n">
        <v>34</v>
      </c>
      <c r="AC29" s="11" t="n">
        <f aca="false">AC28+1</f>
        <v>20</v>
      </c>
      <c r="AD29" s="10"/>
      <c r="AE29" s="10"/>
      <c r="AG29" s="6"/>
    </row>
    <row r="30" customFormat="false" ht="11.1" hidden="false" customHeight="true" outlineLevel="0" collapsed="false">
      <c r="A30" s="11" t="n">
        <f aca="false">A29+1</f>
        <v>21</v>
      </c>
      <c r="B30" s="26" t="n">
        <v>6918.5</v>
      </c>
      <c r="C30" s="7" t="n">
        <v>357130</v>
      </c>
      <c r="D30" s="10" t="n">
        <f aca="false">C30-C29</f>
        <v>1282</v>
      </c>
      <c r="E30" s="7" t="n">
        <f aca="false">C30-152000</f>
        <v>205130</v>
      </c>
      <c r="F30" s="6" t="n">
        <f aca="false">D30/$D$2</f>
        <v>646.332240988152</v>
      </c>
      <c r="G30" s="6" t="n">
        <v>606</v>
      </c>
      <c r="H30" s="38" t="n">
        <v>25</v>
      </c>
      <c r="I30" s="6" t="n">
        <f aca="false">G30+H30</f>
        <v>631</v>
      </c>
      <c r="J30" s="98" t="n">
        <f aca="false">IF(L30&gt;0,L30,0)</f>
        <v>276.332240988152</v>
      </c>
      <c r="K30" s="6" t="n">
        <f aca="false">I30+J30</f>
        <v>907.332240988152</v>
      </c>
      <c r="L30" s="6" t="n">
        <f aca="false">F30-(I30-W30)</f>
        <v>276.332240988152</v>
      </c>
      <c r="M30" s="6" t="n">
        <v>69</v>
      </c>
      <c r="N30" s="6" t="n">
        <v>0</v>
      </c>
      <c r="O30" s="6" t="n">
        <v>0</v>
      </c>
      <c r="P30" s="6" t="n">
        <f aca="false">M30-(N30+O30)</f>
        <v>69</v>
      </c>
      <c r="Q30" s="6" t="n">
        <v>71</v>
      </c>
      <c r="R30" s="6" t="n">
        <v>12</v>
      </c>
      <c r="S30" s="6" t="n">
        <f aca="false">SUM(P30:R30)</f>
        <v>152</v>
      </c>
      <c r="T30" s="7" t="n">
        <f aca="false">(I30-S30)+T29</f>
        <v>10237</v>
      </c>
      <c r="U30" s="6" t="n">
        <v>26</v>
      </c>
      <c r="V30" s="6" t="n">
        <v>83</v>
      </c>
      <c r="W30" s="6" t="n">
        <f aca="false">N30+O30+S30+U30+V30</f>
        <v>261</v>
      </c>
      <c r="X30" s="6" t="n">
        <f aca="false">IF(L30&lt;0,L30*-1,0)</f>
        <v>0</v>
      </c>
      <c r="Y30" s="6" t="n">
        <f aca="false">W30+X30</f>
        <v>261</v>
      </c>
      <c r="Z30" s="8" t="n">
        <v>0.31</v>
      </c>
      <c r="AA30" s="10" t="n">
        <v>48</v>
      </c>
      <c r="AB30" s="10" t="n">
        <v>38</v>
      </c>
      <c r="AC30" s="11" t="n">
        <f aca="false">AC29+1</f>
        <v>21</v>
      </c>
      <c r="AD30" s="10"/>
      <c r="AE30" s="10"/>
      <c r="AG30" s="6"/>
    </row>
    <row r="31" customFormat="false" ht="11.1" hidden="false" customHeight="true" outlineLevel="0" collapsed="false">
      <c r="A31" s="11" t="n">
        <f aca="false">A30+1</f>
        <v>22</v>
      </c>
      <c r="B31" s="26" t="n">
        <v>6918.81</v>
      </c>
      <c r="C31" s="7" t="n">
        <v>358455</v>
      </c>
      <c r="D31" s="10" t="n">
        <f aca="false">C31-C30</f>
        <v>1325</v>
      </c>
      <c r="E31" s="7" t="n">
        <f aca="false">C31-152000</f>
        <v>206455</v>
      </c>
      <c r="F31" s="6" t="n">
        <f aca="false">D31/$D$2</f>
        <v>668.011091504915</v>
      </c>
      <c r="G31" s="6" t="n">
        <v>562</v>
      </c>
      <c r="H31" s="38" t="n">
        <v>19</v>
      </c>
      <c r="I31" s="6" t="n">
        <f aca="false">G31+H31</f>
        <v>581</v>
      </c>
      <c r="J31" s="98" t="n">
        <f aca="false">IF(L31&gt;0,L31,0)</f>
        <v>353.011091504916</v>
      </c>
      <c r="K31" s="6" t="n">
        <f aca="false">I31+J31</f>
        <v>934.011091504916</v>
      </c>
      <c r="L31" s="6" t="n">
        <f aca="false">F31-(I31-W31)</f>
        <v>353.011091504916</v>
      </c>
      <c r="M31" s="6" t="n">
        <v>69</v>
      </c>
      <c r="N31" s="6" t="n">
        <v>0</v>
      </c>
      <c r="O31" s="6" t="n">
        <v>0</v>
      </c>
      <c r="P31" s="6" t="n">
        <f aca="false">M31-(N31+O31)</f>
        <v>69</v>
      </c>
      <c r="Q31" s="6" t="n">
        <v>72</v>
      </c>
      <c r="R31" s="6" t="n">
        <v>12</v>
      </c>
      <c r="S31" s="6" t="n">
        <f aca="false">SUM(P31:R31)</f>
        <v>153</v>
      </c>
      <c r="T31" s="7" t="n">
        <f aca="false">(I31-S31)+T30</f>
        <v>10665</v>
      </c>
      <c r="U31" s="6" t="n">
        <v>30</v>
      </c>
      <c r="V31" s="6" t="n">
        <v>83</v>
      </c>
      <c r="W31" s="6" t="n">
        <f aca="false">N31+O31+S31+U31+V31</f>
        <v>266</v>
      </c>
      <c r="X31" s="6" t="n">
        <f aca="false">IF(L31&lt;0,L31*-1,0)</f>
        <v>0</v>
      </c>
      <c r="Y31" s="6" t="n">
        <f aca="false">W31+X31</f>
        <v>266</v>
      </c>
      <c r="Z31" s="8" t="n">
        <v>0.32</v>
      </c>
      <c r="AA31" s="10" t="n">
        <v>37</v>
      </c>
      <c r="AB31" s="10" t="n">
        <v>28</v>
      </c>
      <c r="AC31" s="11" t="n">
        <f aca="false">AC30+1</f>
        <v>22</v>
      </c>
      <c r="AD31" s="10"/>
      <c r="AE31" s="10"/>
      <c r="AG31" s="6"/>
    </row>
    <row r="32" customFormat="false" ht="11.1" hidden="false" customHeight="true" outlineLevel="0" collapsed="false">
      <c r="A32" s="11" t="n">
        <f aca="false">A31+1</f>
        <v>23</v>
      </c>
      <c r="B32" s="26" t="n">
        <v>6919.09</v>
      </c>
      <c r="C32" s="7" t="n">
        <v>359654</v>
      </c>
      <c r="D32" s="10" t="n">
        <f aca="false">C32-C31</f>
        <v>1199</v>
      </c>
      <c r="E32" s="7" t="n">
        <f aca="false">C32-152000</f>
        <v>207654</v>
      </c>
      <c r="F32" s="6" t="n">
        <f aca="false">D32/$D$2</f>
        <v>604.487017897656</v>
      </c>
      <c r="G32" s="6" t="n">
        <v>513</v>
      </c>
      <c r="H32" s="38" t="n">
        <v>18</v>
      </c>
      <c r="I32" s="6" t="n">
        <f aca="false">G32+H32</f>
        <v>531</v>
      </c>
      <c r="J32" s="98" t="n">
        <f aca="false">IF(L32&gt;0,L32,0)</f>
        <v>307.487017897656</v>
      </c>
      <c r="K32" s="6" t="n">
        <f aca="false">I32+J32</f>
        <v>838.487017897656</v>
      </c>
      <c r="L32" s="6" t="n">
        <f aca="false">F32-(I32-W32)</f>
        <v>307.487017897656</v>
      </c>
      <c r="M32" s="6" t="n">
        <v>69</v>
      </c>
      <c r="N32" s="6" t="n">
        <v>0</v>
      </c>
      <c r="O32" s="6" t="n">
        <v>0</v>
      </c>
      <c r="P32" s="6" t="n">
        <f aca="false">M32-(N32+O32)</f>
        <v>69</v>
      </c>
      <c r="Q32" s="6" t="n">
        <v>72</v>
      </c>
      <c r="R32" s="6" t="n">
        <v>10</v>
      </c>
      <c r="S32" s="6" t="n">
        <f aca="false">SUM(P32:R32)</f>
        <v>151</v>
      </c>
      <c r="T32" s="7" t="n">
        <f aca="false">(I32-S32)+T31</f>
        <v>11045</v>
      </c>
      <c r="U32" s="6" t="n">
        <v>0</v>
      </c>
      <c r="V32" s="6" t="n">
        <v>83</v>
      </c>
      <c r="W32" s="6" t="n">
        <f aca="false">N32+O32+S32+U32+V32</f>
        <v>234</v>
      </c>
      <c r="X32" s="6" t="n">
        <f aca="false">IF(L32&lt;0,L32*-1,0)</f>
        <v>0</v>
      </c>
      <c r="Y32" s="6" t="n">
        <f aca="false">W32+X32</f>
        <v>234</v>
      </c>
      <c r="Z32" s="8" t="n">
        <v>0</v>
      </c>
      <c r="AA32" s="10" t="n">
        <v>40</v>
      </c>
      <c r="AB32" s="35" t="n">
        <v>26</v>
      </c>
      <c r="AC32" s="11" t="n">
        <f aca="false">AC31+1</f>
        <v>23</v>
      </c>
      <c r="AD32" s="10"/>
      <c r="AE32" s="10"/>
      <c r="AG32" s="6"/>
    </row>
    <row r="33" customFormat="false" ht="11.1" hidden="false" customHeight="true" outlineLevel="0" collapsed="false">
      <c r="A33" s="11" t="n">
        <f aca="false">A32+1</f>
        <v>24</v>
      </c>
      <c r="B33" s="26" t="n">
        <v>6919.37</v>
      </c>
      <c r="C33" s="7" t="n">
        <v>360860</v>
      </c>
      <c r="D33" s="10" t="n">
        <f aca="false">C33-C32</f>
        <v>1206</v>
      </c>
      <c r="E33" s="7" t="n">
        <f aca="false">C33-152000</f>
        <v>208860</v>
      </c>
      <c r="F33" s="6" t="n">
        <f aca="false">D33/$D$2</f>
        <v>608.016133098059</v>
      </c>
      <c r="G33" s="6" t="n">
        <v>485</v>
      </c>
      <c r="H33" s="38" t="n">
        <v>23</v>
      </c>
      <c r="I33" s="6" t="n">
        <f aca="false">G33+H33</f>
        <v>508</v>
      </c>
      <c r="J33" s="98" t="n">
        <f aca="false">IF(L33&gt;0,L33,0)</f>
        <v>334.016133098059</v>
      </c>
      <c r="K33" s="6" t="n">
        <f aca="false">I33+J33</f>
        <v>842.016133098059</v>
      </c>
      <c r="L33" s="6" t="n">
        <f aca="false">F33-(I33-W33)</f>
        <v>334.016133098059</v>
      </c>
      <c r="M33" s="6" t="n">
        <v>69</v>
      </c>
      <c r="N33" s="6" t="n">
        <v>0</v>
      </c>
      <c r="O33" s="6" t="n">
        <v>0</v>
      </c>
      <c r="P33" s="6" t="n">
        <f aca="false">M33-(N33+O33)</f>
        <v>69</v>
      </c>
      <c r="Q33" s="6" t="n">
        <v>72</v>
      </c>
      <c r="R33" s="6" t="n">
        <v>10</v>
      </c>
      <c r="S33" s="6" t="n">
        <f aca="false">SUM(P33:R33)</f>
        <v>151</v>
      </c>
      <c r="T33" s="7" t="n">
        <f aca="false">(I33-S33)+T32</f>
        <v>11402</v>
      </c>
      <c r="U33" s="6" t="n">
        <v>0</v>
      </c>
      <c r="V33" s="6" t="n">
        <v>83</v>
      </c>
      <c r="W33" s="6" t="n">
        <f aca="false">N33+O33+S33+U33+V33</f>
        <v>234</v>
      </c>
      <c r="X33" s="6" t="n">
        <f aca="false">IF(L33&lt;0,L33*-1,0)</f>
        <v>0</v>
      </c>
      <c r="Y33" s="6" t="n">
        <f aca="false">W33+X33</f>
        <v>234</v>
      </c>
      <c r="Z33" s="8" t="n">
        <v>0.17</v>
      </c>
      <c r="AA33" s="10" t="n">
        <v>43</v>
      </c>
      <c r="AB33" s="35" t="n">
        <v>27</v>
      </c>
      <c r="AC33" s="11" t="n">
        <f aca="false">AC32+1</f>
        <v>24</v>
      </c>
      <c r="AD33" s="10"/>
      <c r="AE33" s="10"/>
      <c r="AG33" s="6"/>
    </row>
    <row r="34" customFormat="false" ht="11.1" hidden="false" customHeight="true" outlineLevel="0" collapsed="false">
      <c r="A34" s="11" t="n">
        <f aca="false">A33+1</f>
        <v>25</v>
      </c>
      <c r="B34" s="26" t="n">
        <v>6919.71</v>
      </c>
      <c r="C34" s="7" t="n">
        <v>362324</v>
      </c>
      <c r="D34" s="10" t="n">
        <f aca="false">C34-C33</f>
        <v>1464</v>
      </c>
      <c r="E34" s="7" t="n">
        <f aca="false">C34-152000</f>
        <v>210324</v>
      </c>
      <c r="F34" s="6" t="n">
        <f aca="false">D34/$D$2</f>
        <v>738.089236198639</v>
      </c>
      <c r="G34" s="6" t="n">
        <v>510</v>
      </c>
      <c r="H34" s="38" t="n">
        <v>32</v>
      </c>
      <c r="I34" s="6" t="n">
        <f aca="false">G34+H34</f>
        <v>542</v>
      </c>
      <c r="J34" s="98" t="n">
        <f aca="false">IF(L34&gt;0,L34,0)</f>
        <v>438.089236198639</v>
      </c>
      <c r="K34" s="6" t="n">
        <f aca="false">I34+J34</f>
        <v>980.089236198639</v>
      </c>
      <c r="L34" s="6" t="n">
        <f aca="false">F34-(I34-W34)</f>
        <v>438.089236198639</v>
      </c>
      <c r="M34" s="6" t="n">
        <v>69</v>
      </c>
      <c r="N34" s="6" t="n">
        <v>0</v>
      </c>
      <c r="O34" s="6" t="n">
        <v>0</v>
      </c>
      <c r="P34" s="6" t="n">
        <f aca="false">M34-(N34+O34)</f>
        <v>69</v>
      </c>
      <c r="Q34" s="6" t="n">
        <v>72</v>
      </c>
      <c r="R34" s="6" t="n">
        <v>10</v>
      </c>
      <c r="S34" s="6" t="n">
        <f aca="false">SUM(P34:R34)</f>
        <v>151</v>
      </c>
      <c r="T34" s="7" t="n">
        <f aca="false">(I34-S34)+T33</f>
        <v>11793</v>
      </c>
      <c r="U34" s="6" t="n">
        <v>8</v>
      </c>
      <c r="V34" s="6" t="n">
        <v>83</v>
      </c>
      <c r="W34" s="6" t="n">
        <f aca="false">N34+O34+S34+U34+V34</f>
        <v>242</v>
      </c>
      <c r="X34" s="6" t="n">
        <f aca="false">IF(L34&lt;0,L34*-1,0)</f>
        <v>0</v>
      </c>
      <c r="Y34" s="6" t="n">
        <f aca="false">W34+X34</f>
        <v>242</v>
      </c>
      <c r="Z34" s="8" t="n">
        <v>0</v>
      </c>
      <c r="AA34" s="10" t="n">
        <v>49</v>
      </c>
      <c r="AB34" s="35" t="n">
        <v>26</v>
      </c>
      <c r="AC34" s="11" t="n">
        <f aca="false">AC33+1</f>
        <v>25</v>
      </c>
      <c r="AD34" s="10"/>
      <c r="AE34" s="10"/>
      <c r="AG34" s="6"/>
    </row>
    <row r="35" customFormat="false" ht="11.1" hidden="false" customHeight="true" outlineLevel="0" collapsed="false">
      <c r="A35" s="11" t="n">
        <f aca="false">A34+1</f>
        <v>26</v>
      </c>
      <c r="B35" s="26" t="n">
        <v>6920.03</v>
      </c>
      <c r="C35" s="7" t="n">
        <v>363703</v>
      </c>
      <c r="D35" s="10" t="n">
        <f aca="false">C35-C34</f>
        <v>1379</v>
      </c>
      <c r="E35" s="7" t="n">
        <f aca="false">C35-152000</f>
        <v>211703</v>
      </c>
      <c r="F35" s="6" t="n">
        <f aca="false">D35/$D$2</f>
        <v>695.235694479455</v>
      </c>
      <c r="G35" s="6" t="n">
        <v>611</v>
      </c>
      <c r="H35" s="38" t="n">
        <v>56</v>
      </c>
      <c r="I35" s="6" t="n">
        <f aca="false">G35+H35</f>
        <v>667</v>
      </c>
      <c r="J35" s="98" t="n">
        <f aca="false">IF(L35&gt;0,L35,0)</f>
        <v>263.235694479455</v>
      </c>
      <c r="K35" s="6" t="n">
        <f aca="false">I35+J35</f>
        <v>930.235694479456</v>
      </c>
      <c r="L35" s="6" t="n">
        <f aca="false">F35-(I35-W35)</f>
        <v>263.235694479455</v>
      </c>
      <c r="M35" s="6" t="n">
        <v>69</v>
      </c>
      <c r="N35" s="6" t="n">
        <v>0</v>
      </c>
      <c r="O35" s="6" t="n">
        <v>0</v>
      </c>
      <c r="P35" s="6" t="n">
        <f aca="false">M35-(N35+O35)</f>
        <v>69</v>
      </c>
      <c r="Q35" s="6" t="n">
        <v>72</v>
      </c>
      <c r="R35" s="6" t="n">
        <v>11</v>
      </c>
      <c r="S35" s="6" t="n">
        <f aca="false">SUM(P35:R35)</f>
        <v>152</v>
      </c>
      <c r="T35" s="7" t="n">
        <f aca="false">(I35-S35)+T34</f>
        <v>12308</v>
      </c>
      <c r="U35" s="6" t="n">
        <v>0</v>
      </c>
      <c r="V35" s="6" t="n">
        <v>83</v>
      </c>
      <c r="W35" s="6" t="n">
        <f aca="false">N35+O35+S35+U35+V35</f>
        <v>235</v>
      </c>
      <c r="X35" s="6" t="n">
        <f aca="false">IF(L35&lt;0,L35*-1,0)</f>
        <v>0</v>
      </c>
      <c r="Y35" s="6" t="n">
        <f aca="false">W35+X35</f>
        <v>235</v>
      </c>
      <c r="Z35" s="8" t="n">
        <v>0</v>
      </c>
      <c r="AA35" s="10" t="n">
        <v>65</v>
      </c>
      <c r="AB35" s="10" t="n">
        <v>28</v>
      </c>
      <c r="AC35" s="11" t="n">
        <f aca="false">AC34+1</f>
        <v>26</v>
      </c>
      <c r="AD35" s="10"/>
      <c r="AE35" s="10"/>
      <c r="AG35" s="3"/>
    </row>
    <row r="36" customFormat="false" ht="11.1" hidden="false" customHeight="true" outlineLevel="0" collapsed="false">
      <c r="A36" s="11" t="n">
        <f aca="false">A35+1</f>
        <v>27</v>
      </c>
      <c r="B36" s="26" t="n">
        <v>6920.36</v>
      </c>
      <c r="C36" s="7" t="n">
        <v>365136</v>
      </c>
      <c r="D36" s="10" t="n">
        <f aca="false">C36-C35</f>
        <v>1433</v>
      </c>
      <c r="E36" s="7" t="n">
        <f aca="false">C36-152000</f>
        <v>213136</v>
      </c>
      <c r="F36" s="6" t="n">
        <f aca="false">D36/$D$2</f>
        <v>722.460297453995</v>
      </c>
      <c r="G36" s="6" t="n">
        <v>626</v>
      </c>
      <c r="H36" s="38" t="n">
        <v>59</v>
      </c>
      <c r="I36" s="6" t="n">
        <f aca="false">G36+H36</f>
        <v>685</v>
      </c>
      <c r="J36" s="98" t="n">
        <f aca="false">IF(L36&gt;0,L36,0)</f>
        <v>275.460297453995</v>
      </c>
      <c r="K36" s="6" t="n">
        <f aca="false">I36+J36</f>
        <v>960.460297453995</v>
      </c>
      <c r="L36" s="6" t="n">
        <f aca="false">F36-(I36-W36)</f>
        <v>275.460297453995</v>
      </c>
      <c r="M36" s="6" t="n">
        <v>69</v>
      </c>
      <c r="N36" s="6" t="n">
        <v>0</v>
      </c>
      <c r="O36" s="6" t="n">
        <v>0</v>
      </c>
      <c r="P36" s="6" t="n">
        <f aca="false">M36-(N36+O36)</f>
        <v>69</v>
      </c>
      <c r="Q36" s="6" t="n">
        <v>72</v>
      </c>
      <c r="R36" s="6" t="n">
        <v>10</v>
      </c>
      <c r="S36" s="6" t="n">
        <f aca="false">SUM(P36:R36)</f>
        <v>151</v>
      </c>
      <c r="T36" s="7" t="n">
        <f aca="false">(I36-S36)+T35</f>
        <v>12842</v>
      </c>
      <c r="U36" s="6" t="n">
        <v>4</v>
      </c>
      <c r="V36" s="6" t="n">
        <v>83</v>
      </c>
      <c r="W36" s="6" t="n">
        <f aca="false">N36+O36+S36+U36+V36</f>
        <v>238</v>
      </c>
      <c r="X36" s="6" t="n">
        <f aca="false">IF(L36&lt;0,L36*-1,0)</f>
        <v>0</v>
      </c>
      <c r="Y36" s="6" t="n">
        <f aca="false">W36+X36</f>
        <v>238</v>
      </c>
      <c r="Z36" s="8" t="n">
        <v>0</v>
      </c>
      <c r="AA36" s="10" t="n">
        <v>63</v>
      </c>
      <c r="AB36" s="10" t="n">
        <v>31</v>
      </c>
      <c r="AC36" s="11" t="n">
        <f aca="false">AC35+1</f>
        <v>27</v>
      </c>
      <c r="AD36" s="10"/>
      <c r="AE36" s="10"/>
      <c r="AG36" s="6"/>
    </row>
    <row r="37" customFormat="false" ht="11.1" hidden="false" customHeight="true" outlineLevel="0" collapsed="false">
      <c r="A37" s="11" t="n">
        <f aca="false">A36+1</f>
        <v>28</v>
      </c>
      <c r="B37" s="26" t="n">
        <v>6920.66</v>
      </c>
      <c r="C37" s="7" t="n">
        <v>366439</v>
      </c>
      <c r="D37" s="10" t="n">
        <f aca="false">C37-C36</f>
        <v>1303</v>
      </c>
      <c r="E37" s="7" t="n">
        <f aca="false">C37-152000</f>
        <v>214439</v>
      </c>
      <c r="F37" s="6" t="n">
        <f aca="false">D37/$D$2</f>
        <v>656.919586589362</v>
      </c>
      <c r="G37" s="6" t="n">
        <v>710</v>
      </c>
      <c r="H37" s="38" t="n">
        <v>54</v>
      </c>
      <c r="I37" s="6" t="n">
        <f aca="false">G37+H37</f>
        <v>764</v>
      </c>
      <c r="J37" s="98" t="n">
        <f aca="false">IF(L37&gt;0,L37,0)</f>
        <v>238.919586589362</v>
      </c>
      <c r="K37" s="6" t="n">
        <f aca="false">I37+J37</f>
        <v>1002.91958658936</v>
      </c>
      <c r="L37" s="6" t="n">
        <f aca="false">F37-(I37-W37)</f>
        <v>238.919586589362</v>
      </c>
      <c r="M37" s="6" t="n">
        <v>70</v>
      </c>
      <c r="N37" s="6" t="n">
        <v>0</v>
      </c>
      <c r="O37" s="6" t="n">
        <v>0</v>
      </c>
      <c r="P37" s="6" t="n">
        <f aca="false">M37-(N37+O37)</f>
        <v>70</v>
      </c>
      <c r="Q37" s="6" t="n">
        <v>72</v>
      </c>
      <c r="R37" s="6" t="n">
        <v>18</v>
      </c>
      <c r="S37" s="6" t="n">
        <f aca="false">SUM(P37:R37)</f>
        <v>160</v>
      </c>
      <c r="T37" s="7" t="n">
        <f aca="false">T36</f>
        <v>12842</v>
      </c>
      <c r="U37" s="6" t="n">
        <v>27</v>
      </c>
      <c r="V37" s="6" t="n">
        <v>159</v>
      </c>
      <c r="W37" s="6" t="n">
        <f aca="false">N37+O37+S37+U37+V37</f>
        <v>346</v>
      </c>
      <c r="X37" s="6" t="n">
        <f aca="false">IF(L37&lt;0,L37*-1,0)</f>
        <v>0</v>
      </c>
      <c r="Y37" s="6" t="n">
        <f aca="false">W37+X37</f>
        <v>346</v>
      </c>
      <c r="Z37" s="8" t="n">
        <v>0.06</v>
      </c>
      <c r="AA37" s="10" t="n">
        <v>59</v>
      </c>
      <c r="AB37" s="10" t="n">
        <v>42</v>
      </c>
      <c r="AC37" s="11" t="n">
        <f aca="false">AC36+1</f>
        <v>28</v>
      </c>
      <c r="AD37" s="10"/>
      <c r="AE37" s="10"/>
      <c r="AG37" s="6"/>
    </row>
    <row r="38" customFormat="false" ht="11.1" hidden="false" customHeight="true" outlineLevel="0" collapsed="false">
      <c r="A38" s="11" t="n">
        <f aca="false">A37+1</f>
        <v>29</v>
      </c>
      <c r="B38" s="26" t="n">
        <v>6921</v>
      </c>
      <c r="C38" s="7" t="n">
        <v>367915</v>
      </c>
      <c r="D38" s="10" t="n">
        <f aca="false">C38-C37</f>
        <v>1476</v>
      </c>
      <c r="E38" s="7" t="n">
        <f aca="false">C38-152000</f>
        <v>215915</v>
      </c>
      <c r="F38" s="6" t="n">
        <f aca="false">D38/$D$2</f>
        <v>744.139147970759</v>
      </c>
      <c r="G38" s="6" t="n">
        <v>780</v>
      </c>
      <c r="H38" s="38" t="n">
        <v>63</v>
      </c>
      <c r="I38" s="6" t="n">
        <f aca="false">G38+H38</f>
        <v>843</v>
      </c>
      <c r="J38" s="98" t="n">
        <f aca="false">IF(L38&gt;0,L38,0)</f>
        <v>316.139147970759</v>
      </c>
      <c r="K38" s="6" t="n">
        <f aca="false">I38+J38</f>
        <v>1159.13914797076</v>
      </c>
      <c r="L38" s="6" t="n">
        <f aca="false">F38-(I38-W38)</f>
        <v>316.139147970759</v>
      </c>
      <c r="M38" s="6" t="n">
        <v>75</v>
      </c>
      <c r="N38" s="6" t="n">
        <v>0</v>
      </c>
      <c r="O38" s="6" t="n">
        <v>0</v>
      </c>
      <c r="P38" s="6" t="n">
        <f aca="false">M38-(N38+O38)</f>
        <v>75</v>
      </c>
      <c r="Q38" s="6" t="n">
        <v>73</v>
      </c>
      <c r="R38" s="6" t="n">
        <v>26</v>
      </c>
      <c r="S38" s="6" t="n">
        <f aca="false">SUM(P38:R38)</f>
        <v>174</v>
      </c>
      <c r="T38" s="7" t="n">
        <f aca="false">T37</f>
        <v>12842</v>
      </c>
      <c r="U38" s="6" t="n">
        <v>11</v>
      </c>
      <c r="V38" s="6" t="n">
        <v>230</v>
      </c>
      <c r="W38" s="6" t="n">
        <f aca="false">N38+O38+S38+U38+V38</f>
        <v>415</v>
      </c>
      <c r="X38" s="6" t="n">
        <f aca="false">IF(L38&lt;0,L38*-1,0)</f>
        <v>0</v>
      </c>
      <c r="Y38" s="6" t="n">
        <f aca="false">W38+X38</f>
        <v>415</v>
      </c>
      <c r="Z38" s="8" t="n">
        <v>0</v>
      </c>
      <c r="AA38" s="35" t="n">
        <v>60</v>
      </c>
      <c r="AB38" s="10" t="n">
        <v>32</v>
      </c>
      <c r="AC38" s="11" t="n">
        <f aca="false">AC37+1</f>
        <v>29</v>
      </c>
      <c r="AD38" s="10"/>
      <c r="AE38" s="10"/>
      <c r="AG38" s="6"/>
    </row>
    <row r="39" customFormat="false" ht="11.1" hidden="false" customHeight="true" outlineLevel="0" collapsed="false">
      <c r="A39" s="11" t="n">
        <v>30</v>
      </c>
      <c r="B39" s="26" t="n">
        <v>6921.3</v>
      </c>
      <c r="C39" s="7" t="n">
        <v>369228</v>
      </c>
      <c r="D39" s="10" t="n">
        <f aca="false">C39-C38</f>
        <v>1313</v>
      </c>
      <c r="E39" s="7" t="n">
        <f aca="false">C39-152000</f>
        <v>217228</v>
      </c>
      <c r="F39" s="6" t="n">
        <f aca="false">D39/$D$2</f>
        <v>661.961179732796</v>
      </c>
      <c r="G39" s="6" t="n">
        <v>886</v>
      </c>
      <c r="H39" s="38" t="n">
        <v>104</v>
      </c>
      <c r="I39" s="6" t="n">
        <f aca="false">G39+H39</f>
        <v>990</v>
      </c>
      <c r="J39" s="98" t="n">
        <f aca="false">IF(L39&gt;0,L39,0)</f>
        <v>95.9611797327956</v>
      </c>
      <c r="K39" s="6" t="n">
        <f aca="false">I39+J39</f>
        <v>1085.9611797328</v>
      </c>
      <c r="L39" s="6" t="n">
        <f aca="false">F39-(I39-W39)</f>
        <v>95.9611797327956</v>
      </c>
      <c r="M39" s="6" t="n">
        <v>95</v>
      </c>
      <c r="N39" s="6" t="n">
        <v>0</v>
      </c>
      <c r="O39" s="6" t="n">
        <v>0</v>
      </c>
      <c r="P39" s="6" t="n">
        <f aca="false">M39-(N39+O39)</f>
        <v>95</v>
      </c>
      <c r="Q39" s="6" t="n">
        <v>73</v>
      </c>
      <c r="R39" s="6" t="n">
        <v>27</v>
      </c>
      <c r="S39" s="6" t="n">
        <f aca="false">SUM(P39:R39)</f>
        <v>195</v>
      </c>
      <c r="T39" s="7" t="n">
        <f aca="false">T38</f>
        <v>12842</v>
      </c>
      <c r="U39" s="6" t="n">
        <v>0</v>
      </c>
      <c r="V39" s="6" t="n">
        <v>229</v>
      </c>
      <c r="W39" s="6" t="n">
        <f aca="false">N39+O39+S39+U39+V39</f>
        <v>424</v>
      </c>
      <c r="X39" s="6" t="n">
        <f aca="false">IF(L39&lt;0,L39*-1,0)</f>
        <v>0</v>
      </c>
      <c r="Y39" s="6" t="n">
        <f aca="false">W39+X39</f>
        <v>424</v>
      </c>
      <c r="Z39" s="8" t="n">
        <v>0</v>
      </c>
      <c r="AA39" s="35" t="n">
        <v>55</v>
      </c>
      <c r="AB39" s="10" t="n">
        <v>28</v>
      </c>
      <c r="AC39" s="11" t="n">
        <v>30</v>
      </c>
      <c r="AD39" s="10"/>
      <c r="AE39" s="10"/>
      <c r="AG39" s="6"/>
    </row>
    <row r="40" customFormat="false" ht="3" hidden="false" customHeight="true" outlineLevel="0" collapsed="false">
      <c r="A40" s="27"/>
      <c r="B40" s="27"/>
      <c r="C40" s="29"/>
      <c r="D40" s="27"/>
      <c r="E40" s="29"/>
      <c r="F40" s="27"/>
      <c r="G40" s="27"/>
      <c r="H40" s="9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9"/>
      <c r="U40" s="27"/>
      <c r="V40" s="27"/>
      <c r="W40" s="27"/>
      <c r="X40" s="27"/>
      <c r="Y40" s="27"/>
      <c r="Z40" s="30"/>
      <c r="AA40" s="31"/>
      <c r="AB40" s="31"/>
      <c r="AC40" s="32"/>
      <c r="AD40" s="92"/>
      <c r="AE40" s="92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18994.2021678851</v>
      </c>
      <c r="G41" s="7" t="n">
        <f aca="false">SUM(G10:G39)</f>
        <v>16757</v>
      </c>
      <c r="H41" s="7" t="n">
        <f aca="false">SUM(H10:H39)</f>
        <v>1331</v>
      </c>
      <c r="I41" s="7" t="n">
        <f aca="false">SUM(I10:I39)</f>
        <v>18088</v>
      </c>
      <c r="J41" s="7" t="n">
        <f aca="false">SUM(J10:J39)</f>
        <v>8477.68616082682</v>
      </c>
      <c r="K41" s="7" t="n">
        <f aca="false">SUM(K10:K39)</f>
        <v>26565.6861608268</v>
      </c>
      <c r="L41" s="7" t="n">
        <f aca="false">SUM(L10:L39)</f>
        <v>7131.20216788505</v>
      </c>
      <c r="M41" s="7" t="n">
        <f aca="false">SUM(M10:M39)</f>
        <v>1564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1564</v>
      </c>
      <c r="Q41" s="7" t="n">
        <f aca="false">SUM(Q10:Q39)</f>
        <v>1426</v>
      </c>
      <c r="R41" s="7" t="n">
        <f aca="false">SUM(R10:R39)</f>
        <v>188</v>
      </c>
      <c r="S41" s="7" t="n">
        <f aca="false">SUM(S10:S39)</f>
        <v>3178</v>
      </c>
      <c r="T41" s="7"/>
      <c r="U41" s="7" t="n">
        <f aca="false">SUM(U10:U39)</f>
        <v>143</v>
      </c>
      <c r="V41" s="7" t="n">
        <f aca="false">SUM(V10:V39)</f>
        <v>2904</v>
      </c>
      <c r="W41" s="7" t="n">
        <f aca="false">SUM(W10:W39)</f>
        <v>6225</v>
      </c>
      <c r="X41" s="7" t="n">
        <f aca="false">SUM(X10:X39)</f>
        <v>1346.48399294177</v>
      </c>
      <c r="Y41" s="7" t="n">
        <f aca="false">SUM(Y10:Y39)</f>
        <v>7571.48399294177</v>
      </c>
      <c r="Z41" s="8" t="n">
        <f aca="false">SUM(Z10:Z39)</f>
        <v>2.15</v>
      </c>
      <c r="AA41" s="10" t="n">
        <f aca="false">AVERAGE(AA10:AA39)</f>
        <v>55.8</v>
      </c>
      <c r="AB41" s="10" t="n">
        <f aca="false">AVERAGE(AB10:AB39)</f>
        <v>27.6666666666667</v>
      </c>
      <c r="AC41" s="11" t="s">
        <v>64</v>
      </c>
      <c r="AD41" s="92"/>
      <c r="AE41" s="92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37675</v>
      </c>
      <c r="E42" s="7"/>
      <c r="F42" s="7" t="n">
        <f aca="false">F41*$D$2</f>
        <v>37675</v>
      </c>
      <c r="G42" s="7" t="n">
        <f aca="false">G41*$D$2</f>
        <v>33237.5095</v>
      </c>
      <c r="H42" s="7" t="n">
        <f aca="false">H41*$D$2</f>
        <v>2640.0385</v>
      </c>
      <c r="I42" s="7" t="n">
        <f aca="false">I41*$D$2</f>
        <v>35877.548</v>
      </c>
      <c r="J42" s="7" t="n">
        <f aca="false">J41*$D$2</f>
        <v>16815.4905</v>
      </c>
      <c r="K42" s="7" t="n">
        <f aca="false">K41*$D$2</f>
        <v>52693.0385</v>
      </c>
      <c r="L42" s="7" t="n">
        <f aca="false">L41*$D$2</f>
        <v>14144.7395</v>
      </c>
      <c r="M42" s="7" t="n">
        <f aca="false">M41*$D$2</f>
        <v>3102.194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3102.194</v>
      </c>
      <c r="Q42" s="7" t="n">
        <f aca="false">Q41*$D$2</f>
        <v>2828.471</v>
      </c>
      <c r="R42" s="7" t="n">
        <f aca="false">R41*$D$2</f>
        <v>372.898</v>
      </c>
      <c r="S42" s="7" t="n">
        <f aca="false">S41*$D$2</f>
        <v>6303.563</v>
      </c>
      <c r="T42" s="7"/>
      <c r="U42" s="7" t="n">
        <f aca="false">U41*$D$2</f>
        <v>283.6405</v>
      </c>
      <c r="V42" s="7" t="n">
        <f aca="false">V41*$D$2</f>
        <v>5760.084</v>
      </c>
      <c r="W42" s="7" t="n">
        <f aca="false">W41*$D$2</f>
        <v>12347.2875</v>
      </c>
      <c r="X42" s="7" t="n">
        <f aca="false">X41*$D$2</f>
        <v>2670.751</v>
      </c>
      <c r="Y42" s="7" t="n">
        <f aca="false">Y41*$D$2</f>
        <v>15018.0385</v>
      </c>
      <c r="Z42" s="8"/>
      <c r="AA42" s="10" t="n">
        <f aca="false">MAX(AA10:AA39)</f>
        <v>71</v>
      </c>
      <c r="AB42" s="10" t="n">
        <f aca="false">MAX(AB10:AB39)</f>
        <v>42</v>
      </c>
      <c r="AC42" s="11" t="s">
        <v>47</v>
      </c>
      <c r="AD42" s="92"/>
      <c r="AE42" s="92"/>
    </row>
    <row r="43" customFormat="false" ht="3" hidden="false" customHeight="true" outlineLevel="0" collapsed="false">
      <c r="A43" s="27"/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8"/>
      <c r="AA43" s="10"/>
      <c r="AB43" s="10"/>
      <c r="AC43" s="11"/>
      <c r="AD43" s="92"/>
      <c r="AE43" s="92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18994.2021678851</v>
      </c>
      <c r="G44" s="7" t="n">
        <f aca="false">G7+G41</f>
        <v>16757</v>
      </c>
      <c r="H44" s="10" t="n">
        <f aca="false">H7+H41</f>
        <v>1331</v>
      </c>
      <c r="I44" s="7" t="n">
        <f aca="false">I7+I41</f>
        <v>18088</v>
      </c>
      <c r="J44" s="7" t="n">
        <f aca="false">J7+J41</f>
        <v>8477.68616082682</v>
      </c>
      <c r="K44" s="7" t="n">
        <f aca="false">K7+K41</f>
        <v>26565.6861608268</v>
      </c>
      <c r="L44" s="7" t="n">
        <f aca="false">L7+L41</f>
        <v>7131.20216788505</v>
      </c>
      <c r="M44" s="7" t="n">
        <f aca="false">M7+M41</f>
        <v>1564</v>
      </c>
      <c r="N44" s="7" t="n">
        <f aca="false">N7+N41</f>
        <v>0</v>
      </c>
      <c r="O44" s="7" t="n">
        <f aca="false">O7+O41</f>
        <v>0</v>
      </c>
      <c r="P44" s="7" t="n">
        <f aca="false">P7+P41</f>
        <v>1564</v>
      </c>
      <c r="Q44" s="7" t="n">
        <f aca="false">Q7+Q41</f>
        <v>1426</v>
      </c>
      <c r="R44" s="7" t="n">
        <f aca="false">R7+R41</f>
        <v>188</v>
      </c>
      <c r="S44" s="7" t="n">
        <f aca="false">S7+S41</f>
        <v>3178</v>
      </c>
      <c r="T44" s="7" t="n">
        <f aca="false">T39</f>
        <v>12842</v>
      </c>
      <c r="U44" s="7" t="n">
        <f aca="false">U7+U41</f>
        <v>143</v>
      </c>
      <c r="V44" s="7" t="n">
        <f aca="false">V7+V41</f>
        <v>2904</v>
      </c>
      <c r="W44" s="7" t="n">
        <f aca="false">W7+W41</f>
        <v>6225</v>
      </c>
      <c r="X44" s="7" t="n">
        <f aca="false">X7+X41</f>
        <v>1346.48399294177</v>
      </c>
      <c r="Y44" s="7" t="n">
        <f aca="false">Y7+Y41</f>
        <v>7571.48399294177</v>
      </c>
      <c r="Z44" s="8"/>
      <c r="AA44" s="10" t="n">
        <f aca="false">MIN(AA10:AA39)</f>
        <v>37</v>
      </c>
      <c r="AB44" s="10" t="n">
        <f aca="false">MIN(AB10:AB39)</f>
        <v>10</v>
      </c>
      <c r="AC44" s="11" t="s">
        <v>49</v>
      </c>
      <c r="AD44" s="92"/>
      <c r="AE44" s="92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37675</v>
      </c>
      <c r="G45" s="7" t="n">
        <f aca="false">G44*$D$2</f>
        <v>33237.5095</v>
      </c>
      <c r="H45" s="10" t="n">
        <f aca="false">H44*$D$2</f>
        <v>2640.0385</v>
      </c>
      <c r="I45" s="7" t="n">
        <f aca="false">I44*$D$2</f>
        <v>35877.548</v>
      </c>
      <c r="J45" s="7" t="n">
        <f aca="false">J44*$D$2</f>
        <v>16815.4905</v>
      </c>
      <c r="K45" s="7" t="n">
        <f aca="false">K44*$D$2</f>
        <v>52693.0385</v>
      </c>
      <c r="L45" s="7" t="n">
        <f aca="false">L44*$D$2</f>
        <v>14144.7395</v>
      </c>
      <c r="M45" s="7" t="n">
        <f aca="false">M44*$D$2</f>
        <v>3102.194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3102.194</v>
      </c>
      <c r="Q45" s="7" t="n">
        <f aca="false">Q44*$D$2</f>
        <v>2828.471</v>
      </c>
      <c r="R45" s="7" t="n">
        <f aca="false">R44*$D$2</f>
        <v>372.898</v>
      </c>
      <c r="S45" s="7" t="n">
        <f aca="false">S44*$D$2</f>
        <v>6303.563</v>
      </c>
      <c r="T45" s="7" t="n">
        <f aca="false">T44*$D$2</f>
        <v>25472.107</v>
      </c>
      <c r="U45" s="7" t="n">
        <f aca="false">U44*$D$2</f>
        <v>283.6405</v>
      </c>
      <c r="V45" s="7" t="n">
        <f aca="false">V44*$D$2</f>
        <v>5760.084</v>
      </c>
      <c r="W45" s="7" t="n">
        <f aca="false">W44*$D$2</f>
        <v>12347.2875</v>
      </c>
      <c r="X45" s="7" t="n">
        <f aca="false">X44*$D$2</f>
        <v>2670.751</v>
      </c>
      <c r="Y45" s="7" t="n">
        <f aca="false">Y44*$D$2</f>
        <v>15018.0385</v>
      </c>
      <c r="Z45" s="8"/>
      <c r="AA45" s="10"/>
      <c r="AB45" s="10"/>
      <c r="AC45" s="11"/>
      <c r="AD45" s="92"/>
      <c r="AE45" s="92"/>
    </row>
    <row r="46" customFormat="false" ht="3" hidden="false" customHeight="true" outlineLevel="0" collapsed="false">
      <c r="A46" s="27"/>
      <c r="B46" s="27"/>
      <c r="C46" s="29"/>
      <c r="D46" s="29"/>
      <c r="E46" s="29"/>
      <c r="F46" s="29"/>
      <c r="G46" s="29"/>
      <c r="H46" s="31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30"/>
      <c r="AA46" s="10"/>
      <c r="AB46" s="10"/>
      <c r="AC46" s="11"/>
      <c r="AD46" s="92"/>
      <c r="AE46" s="92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21732.795563398</v>
      </c>
      <c r="G47" s="7" t="n">
        <f aca="false">G8+G41</f>
        <v>32082</v>
      </c>
      <c r="H47" s="10" t="n">
        <f aca="false">H8+H41</f>
        <v>1537</v>
      </c>
      <c r="I47" s="7" t="n">
        <f aca="false">I8+I41</f>
        <v>33619</v>
      </c>
      <c r="J47" s="7" t="n">
        <f aca="false">J8+J41</f>
        <v>11835.4197126292</v>
      </c>
      <c r="K47" s="7" t="n">
        <f aca="false">K8+K41</f>
        <v>45454.4197126292</v>
      </c>
      <c r="L47" s="7" t="n">
        <f aca="false">L8+L41</f>
        <v>9472.79556339804</v>
      </c>
      <c r="M47" s="7" t="n">
        <f aca="false">M8+M41</f>
        <v>2883</v>
      </c>
      <c r="N47" s="7" t="n">
        <f aca="false">N8+N41</f>
        <v>0</v>
      </c>
      <c r="O47" s="7" t="n">
        <f aca="false">O8+O41</f>
        <v>0</v>
      </c>
      <c r="P47" s="7" t="n">
        <f aca="false">P8+P41</f>
        <v>2883</v>
      </c>
      <c r="Q47" s="7" t="n">
        <f aca="false">Q8+Q41</f>
        <v>3186</v>
      </c>
      <c r="R47" s="7" t="n">
        <f aca="false">R8+R41</f>
        <v>384</v>
      </c>
      <c r="S47" s="7" t="n">
        <f aca="false">S8+S41</f>
        <v>6453</v>
      </c>
      <c r="T47" s="7"/>
      <c r="U47" s="7" t="n">
        <f aca="false">U8+U41</f>
        <v>143</v>
      </c>
      <c r="V47" s="7" t="n">
        <f aca="false">V8+V41</f>
        <v>14763</v>
      </c>
      <c r="W47" s="7" t="n">
        <f aca="false">W8+W41</f>
        <v>21359</v>
      </c>
      <c r="X47" s="7" t="n">
        <f aca="false">X8+X41</f>
        <v>2362.62414923116</v>
      </c>
      <c r="Y47" s="7" t="n">
        <f aca="false">Y8+Y41</f>
        <v>23721.6241492312</v>
      </c>
      <c r="Z47" s="8" t="n">
        <f aca="false">Z8+Z41</f>
        <v>9.44</v>
      </c>
      <c r="AA47" s="10"/>
      <c r="AB47" s="10"/>
      <c r="AC47" s="11"/>
      <c r="AD47" s="92"/>
      <c r="AE47" s="92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43107</v>
      </c>
      <c r="E48" s="7" t="n">
        <f aca="false">E39</f>
        <v>217228</v>
      </c>
      <c r="F48" s="7" t="n">
        <f aca="false">F47*$D$2</f>
        <v>43107</v>
      </c>
      <c r="G48" s="7" t="n">
        <f aca="false">G47*$D$2</f>
        <v>63634.647</v>
      </c>
      <c r="H48" s="10" t="n">
        <f aca="false">H47*$D$2</f>
        <v>3048.6395</v>
      </c>
      <c r="I48" s="7" t="n">
        <f aca="false">I47*$D$2</f>
        <v>66683.2865</v>
      </c>
      <c r="J48" s="7" t="n">
        <f aca="false">J47*$D$2</f>
        <v>23475.555</v>
      </c>
      <c r="K48" s="7" t="n">
        <f aca="false">K47*$D$2</f>
        <v>90158.8415</v>
      </c>
      <c r="L48" s="7" t="n">
        <f aca="false">L47*$D$2</f>
        <v>18789.29</v>
      </c>
      <c r="M48" s="7" t="n">
        <f aca="false">M47*$D$2</f>
        <v>5718.4305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5718.4305</v>
      </c>
      <c r="Q48" s="7" t="n">
        <f aca="false">Q47*$D$2</f>
        <v>6319.431</v>
      </c>
      <c r="R48" s="7" t="n">
        <f aca="false">R47*$D$2</f>
        <v>761.664</v>
      </c>
      <c r="S48" s="7" t="n">
        <f aca="false">S47*$D$2</f>
        <v>12799.5255</v>
      </c>
      <c r="T48" s="7" t="n">
        <f aca="false">T47*$D$2</f>
        <v>0</v>
      </c>
      <c r="U48" s="7" t="n">
        <f aca="false">U47*$D$2</f>
        <v>283.6405</v>
      </c>
      <c r="V48" s="7" t="n">
        <f aca="false">V47*$D$2</f>
        <v>29282.4105</v>
      </c>
      <c r="W48" s="7" t="n">
        <f aca="false">W47*$D$2</f>
        <v>42365.5765</v>
      </c>
      <c r="X48" s="7" t="n">
        <f aca="false">X47*$D$2</f>
        <v>4686.265</v>
      </c>
      <c r="Y48" s="7" t="n">
        <f aca="false">Y47*$D$2</f>
        <v>47051.8415</v>
      </c>
      <c r="Z48" s="8"/>
      <c r="AA48" s="10"/>
      <c r="AB48" s="10"/>
      <c r="AC48" s="11"/>
      <c r="AD48" s="92"/>
      <c r="AE48" s="92"/>
    </row>
    <row r="49" customFormat="false" ht="3" hidden="false" customHeight="true" outlineLevel="0" collapsed="false">
      <c r="A49" s="27"/>
      <c r="B49" s="27"/>
      <c r="C49" s="29"/>
      <c r="D49" s="27"/>
      <c r="E49" s="29"/>
      <c r="F49" s="27"/>
      <c r="G49" s="27"/>
      <c r="H49" s="9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9"/>
      <c r="U49" s="27"/>
      <c r="V49" s="27"/>
      <c r="W49" s="27"/>
      <c r="X49" s="27"/>
      <c r="Y49" s="27"/>
      <c r="Z49" s="8"/>
      <c r="AA49" s="10"/>
      <c r="AB49" s="10"/>
      <c r="AC49" s="11"/>
      <c r="AD49" s="92"/>
      <c r="AE49" s="92"/>
    </row>
    <row r="50" customFormat="false" ht="14.1" hidden="false" customHeight="true" outlineLevel="0" collapsed="false">
      <c r="A50" s="36"/>
      <c r="B50" s="37"/>
      <c r="C50" s="7"/>
      <c r="D50" s="6"/>
      <c r="E50" s="7"/>
      <c r="F50" s="6"/>
      <c r="G50" s="6"/>
      <c r="H50" s="3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0"/>
      <c r="Z50" s="8" t="n">
        <v>34790</v>
      </c>
      <c r="AA50" s="10" t="n">
        <v>56</v>
      </c>
      <c r="AB50" s="10" t="n">
        <v>32</v>
      </c>
      <c r="AC50" s="11" t="s">
        <v>64</v>
      </c>
      <c r="AD50" s="92"/>
      <c r="AE50" s="92"/>
    </row>
    <row r="51" customFormat="false" ht="11.1" hidden="false" customHeight="true" outlineLevel="0" collapsed="false">
      <c r="A51" s="6"/>
      <c r="B51" s="26"/>
      <c r="C51" s="7"/>
      <c r="D51" s="35"/>
      <c r="E51" s="7"/>
      <c r="F51" s="6"/>
      <c r="G51" s="6"/>
      <c r="H51" s="35"/>
      <c r="I51" s="38"/>
      <c r="J51" s="6"/>
      <c r="K51" s="39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6"/>
      <c r="Z51" s="8"/>
      <c r="AA51" s="10" t="n">
        <v>67</v>
      </c>
      <c r="AB51" s="10" t="n">
        <v>40</v>
      </c>
      <c r="AC51" s="11" t="s">
        <v>65</v>
      </c>
      <c r="AD51" s="92"/>
      <c r="AE51" s="92"/>
    </row>
    <row r="52" customFormat="false" ht="11.1" hidden="false" customHeight="true" outlineLevel="0" collapsed="false">
      <c r="B52" s="35"/>
      <c r="C52" s="7"/>
      <c r="D52" s="7"/>
      <c r="E52" s="7"/>
      <c r="F52" s="35"/>
      <c r="G52" s="35"/>
      <c r="H52" s="38"/>
      <c r="I52" s="35"/>
      <c r="J52" s="35"/>
      <c r="K52" s="35"/>
      <c r="L52" s="35"/>
      <c r="M52" s="33"/>
      <c r="N52" s="33"/>
      <c r="O52" s="33"/>
      <c r="P52" s="33"/>
      <c r="Q52" s="35"/>
      <c r="R52" s="35"/>
      <c r="S52" s="35"/>
      <c r="T52" s="7"/>
      <c r="U52" s="35"/>
      <c r="V52" s="35"/>
      <c r="W52" s="35"/>
      <c r="X52" s="35"/>
      <c r="Y52" s="35"/>
      <c r="Z52" s="8"/>
      <c r="AA52" s="10" t="n">
        <v>36</v>
      </c>
      <c r="AB52" s="10" t="n">
        <v>22</v>
      </c>
      <c r="AC52" s="11" t="s">
        <v>66</v>
      </c>
      <c r="AD52" s="99"/>
      <c r="AE52" s="99"/>
    </row>
    <row r="53" customFormat="false" ht="11.1" hidden="false" customHeight="true" outlineLevel="0" collapsed="false">
      <c r="A53" s="35"/>
      <c r="B53" s="40"/>
      <c r="C53" s="7"/>
      <c r="D53" s="7"/>
      <c r="E53" s="7"/>
      <c r="F53" s="35"/>
      <c r="G53" s="35"/>
      <c r="H53" s="38"/>
      <c r="I53" s="35"/>
      <c r="J53" s="35"/>
      <c r="K53" s="35"/>
      <c r="L53" s="35"/>
      <c r="M53" s="33"/>
      <c r="N53" s="33"/>
      <c r="O53" s="33"/>
      <c r="P53" s="33"/>
      <c r="Q53" s="35"/>
      <c r="R53" s="35"/>
      <c r="S53" s="35"/>
      <c r="T53" s="7"/>
      <c r="U53" s="35"/>
      <c r="V53" s="35"/>
      <c r="W53" s="35"/>
      <c r="X53" s="35"/>
      <c r="Y53" s="0"/>
      <c r="Z53" s="8" t="n">
        <v>35156</v>
      </c>
      <c r="AA53" s="10" t="n">
        <v>60</v>
      </c>
      <c r="AB53" s="10" t="n">
        <v>32</v>
      </c>
      <c r="AC53" s="11" t="s">
        <v>64</v>
      </c>
      <c r="AD53" s="99"/>
      <c r="AE53" s="99"/>
    </row>
    <row r="54" customFormat="false" ht="11.1" hidden="false" customHeight="true" outlineLevel="0" collapsed="false">
      <c r="A54" s="35"/>
      <c r="B54" s="35"/>
      <c r="C54" s="7"/>
      <c r="D54" s="35"/>
      <c r="E54" s="7"/>
      <c r="F54" s="35"/>
      <c r="G54" s="41"/>
      <c r="H54" s="38"/>
      <c r="I54" s="35"/>
      <c r="J54" s="35"/>
      <c r="K54" s="35"/>
      <c r="L54" s="35"/>
      <c r="M54" s="33"/>
      <c r="N54" s="33"/>
      <c r="O54" s="33"/>
      <c r="P54" s="35"/>
      <c r="Q54" s="35"/>
      <c r="R54" s="35"/>
      <c r="S54" s="7"/>
      <c r="T54" s="35"/>
      <c r="U54" s="35"/>
      <c r="V54" s="7"/>
      <c r="W54" s="35"/>
      <c r="X54" s="35"/>
      <c r="Y54" s="40"/>
      <c r="Z54" s="8" t="n">
        <v>76</v>
      </c>
      <c r="AA54" s="10" t="n">
        <v>42</v>
      </c>
      <c r="AB54" s="11" t="s">
        <v>65</v>
      </c>
      <c r="AC54" s="99"/>
      <c r="AD54" s="99"/>
    </row>
    <row r="55" customFormat="false" ht="11.1" hidden="false" customHeight="true" outlineLevel="0" collapsed="false">
      <c r="Z55" s="2" t="n">
        <v>41</v>
      </c>
      <c r="AA55" s="4" t="n">
        <v>21</v>
      </c>
      <c r="AB55" s="11" t="s">
        <v>66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21" activePane="bottomRight" state="frozen"/>
      <selection pane="topLeft" activeCell="A1" activeCellId="0" sqref="A1"/>
      <selection pane="topRight" activeCell="K1" activeCellId="0" sqref="K1"/>
      <selection pane="bottomLeft" activeCell="A21" activeCellId="0" sqref="A21"/>
      <selection pane="bottomRight" activeCell="AB41" activeCellId="0" sqref="AB41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46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4.32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53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53"/>
      <c r="I2" s="49"/>
      <c r="J2" s="49"/>
      <c r="K2" s="57" t="s">
        <v>67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53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100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68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100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68</v>
      </c>
      <c r="AD5" s="82"/>
      <c r="AE5" s="82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101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  <c r="AD6" s="83"/>
      <c r="AE6" s="83"/>
      <c r="AF6" s="84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 t="n">
        <f aca="false">APR!F44</f>
        <v>18994.2021678851</v>
      </c>
      <c r="G7" s="50" t="n">
        <f aca="false">APR!G44</f>
        <v>16757</v>
      </c>
      <c r="H7" s="53" t="n">
        <f aca="false">APR!H44</f>
        <v>1331</v>
      </c>
      <c r="I7" s="50" t="n">
        <f aca="false">APR!I44</f>
        <v>18088</v>
      </c>
      <c r="J7" s="50" t="n">
        <f aca="false">APR!J44</f>
        <v>8477.68616082682</v>
      </c>
      <c r="K7" s="50" t="n">
        <f aca="false">APR!K44</f>
        <v>26565.6861608268</v>
      </c>
      <c r="L7" s="50" t="n">
        <f aca="false">APR!L44</f>
        <v>7131.20216788505</v>
      </c>
      <c r="M7" s="50" t="n">
        <f aca="false">APR!M44</f>
        <v>1564</v>
      </c>
      <c r="N7" s="50" t="n">
        <f aca="false">APR!N44</f>
        <v>0</v>
      </c>
      <c r="O7" s="50" t="n">
        <f aca="false">APR!O44</f>
        <v>0</v>
      </c>
      <c r="P7" s="50" t="n">
        <f aca="false">APR!P44</f>
        <v>1564</v>
      </c>
      <c r="Q7" s="50" t="n">
        <f aca="false">APR!Q44</f>
        <v>1426</v>
      </c>
      <c r="R7" s="50" t="n">
        <f aca="false">APR!R44</f>
        <v>188</v>
      </c>
      <c r="S7" s="50" t="n">
        <f aca="false">APR!S44</f>
        <v>3178</v>
      </c>
      <c r="T7" s="50" t="n">
        <f aca="false">APR!T44</f>
        <v>12842</v>
      </c>
      <c r="U7" s="50" t="n">
        <f aca="false">APR!U44</f>
        <v>143</v>
      </c>
      <c r="V7" s="50" t="n">
        <f aca="false">APR!V44</f>
        <v>2904</v>
      </c>
      <c r="W7" s="50" t="n">
        <f aca="false">APR!W44</f>
        <v>6225</v>
      </c>
      <c r="X7" s="50" t="n">
        <f aca="false">APR!X44</f>
        <v>1346.48399294177</v>
      </c>
      <c r="Y7" s="50" t="n">
        <f aca="false">APR!Y44</f>
        <v>7571.48399294177</v>
      </c>
      <c r="Z7" s="51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APR!B39</f>
        <v>6921.3</v>
      </c>
      <c r="C8" s="50" t="n">
        <f aca="false">APR!C39</f>
        <v>369228</v>
      </c>
      <c r="D8" s="50" t="n">
        <f aca="false">APR!D48</f>
        <v>43107</v>
      </c>
      <c r="E8" s="50" t="n">
        <f aca="false">APR!E48</f>
        <v>217228</v>
      </c>
      <c r="F8" s="50" t="n">
        <f aca="false">APR!F47</f>
        <v>21732.795563398</v>
      </c>
      <c r="G8" s="50" t="n">
        <f aca="false">APR!G47</f>
        <v>32082</v>
      </c>
      <c r="H8" s="53" t="n">
        <f aca="false">APR!H47</f>
        <v>1537</v>
      </c>
      <c r="I8" s="50" t="n">
        <f aca="false">APR!I47</f>
        <v>33619</v>
      </c>
      <c r="J8" s="50" t="n">
        <f aca="false">APR!J47</f>
        <v>11835.4197126292</v>
      </c>
      <c r="K8" s="50" t="n">
        <f aca="false">APR!K47</f>
        <v>45454.4197126292</v>
      </c>
      <c r="L8" s="50" t="n">
        <f aca="false">APR!L47</f>
        <v>9472.79556339804</v>
      </c>
      <c r="M8" s="50" t="n">
        <f aca="false">APR!M47</f>
        <v>2883</v>
      </c>
      <c r="N8" s="50" t="n">
        <f aca="false">APR!N47</f>
        <v>0</v>
      </c>
      <c r="O8" s="50" t="n">
        <f aca="false">APR!O47</f>
        <v>0</v>
      </c>
      <c r="P8" s="50" t="n">
        <f aca="false">APR!P47</f>
        <v>2883</v>
      </c>
      <c r="Q8" s="50" t="n">
        <f aca="false">APR!Q47</f>
        <v>3186</v>
      </c>
      <c r="R8" s="50" t="n">
        <f aca="false">APR!R47</f>
        <v>384</v>
      </c>
      <c r="S8" s="50" t="n">
        <f aca="false">APR!S47</f>
        <v>6453</v>
      </c>
      <c r="T8" s="50" t="n">
        <f aca="false">APR!T45</f>
        <v>25472.107</v>
      </c>
      <c r="U8" s="50" t="n">
        <f aca="false">APR!U47</f>
        <v>143</v>
      </c>
      <c r="V8" s="50" t="n">
        <f aca="false">APR!V47</f>
        <v>14763</v>
      </c>
      <c r="W8" s="50" t="n">
        <f aca="false">APR!W47</f>
        <v>21359</v>
      </c>
      <c r="X8" s="50" t="n">
        <f aca="false">APR!X47</f>
        <v>2362.62414923116</v>
      </c>
      <c r="Y8" s="50" t="n">
        <f aca="false">APR!Y47</f>
        <v>23721.6241492312</v>
      </c>
      <c r="Z8" s="51" t="n">
        <f aca="false">APR!Z47</f>
        <v>9.44</v>
      </c>
      <c r="AA8" s="54"/>
      <c r="AB8" s="54"/>
      <c r="AC8" s="55"/>
      <c r="AD8" s="85"/>
      <c r="AE8" s="83"/>
      <c r="AF8" s="8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102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6921.76</v>
      </c>
      <c r="C10" s="50" t="n">
        <v>371243</v>
      </c>
      <c r="D10" s="54" t="n">
        <f aca="false">C10-C8</f>
        <v>2015</v>
      </c>
      <c r="E10" s="50" t="n">
        <f aca="false">C10-152000</f>
        <v>219243</v>
      </c>
      <c r="F10" s="49" t="n">
        <f aca="false">D10/$D$2</f>
        <v>1015.88101840182</v>
      </c>
      <c r="G10" s="49" t="n">
        <v>1075</v>
      </c>
      <c r="H10" s="53" t="n">
        <v>111</v>
      </c>
      <c r="I10" s="49" t="n">
        <f aca="false">G10+H10</f>
        <v>1186</v>
      </c>
      <c r="J10" s="76" t="n">
        <f aca="false">IF(L10&gt;0,L10)</f>
        <v>253.881018401815</v>
      </c>
      <c r="K10" s="49" t="n">
        <f aca="false">I10+J10</f>
        <v>1439.88101840181</v>
      </c>
      <c r="L10" s="49" t="n">
        <f aca="false">F10-(I10-W10)</f>
        <v>253.881018401815</v>
      </c>
      <c r="M10" s="49" t="n">
        <v>95</v>
      </c>
      <c r="N10" s="49" t="n">
        <v>0</v>
      </c>
      <c r="O10" s="49" t="n">
        <v>0</v>
      </c>
      <c r="P10" s="6" t="n">
        <f aca="false">M10-(N10+O10)</f>
        <v>95</v>
      </c>
      <c r="Q10" s="49" t="n">
        <v>73</v>
      </c>
      <c r="R10" s="49" t="n">
        <v>28</v>
      </c>
      <c r="S10" s="49" t="n">
        <f aca="false">SUM(P10:R10)</f>
        <v>196</v>
      </c>
      <c r="T10" s="50" t="n">
        <f aca="false">T7</f>
        <v>12842</v>
      </c>
      <c r="U10" s="49" t="n">
        <v>0</v>
      </c>
      <c r="V10" s="49" t="n">
        <v>228</v>
      </c>
      <c r="W10" s="6" t="n">
        <f aca="false">N10+O10+S10+U10+V10</f>
        <v>424</v>
      </c>
      <c r="X10" s="49" t="n">
        <f aca="false">IF(L10&lt;0,L10*-1,0)</f>
        <v>0</v>
      </c>
      <c r="Y10" s="49" t="n">
        <f aca="false">W10+X10</f>
        <v>424</v>
      </c>
      <c r="Z10" s="51" t="n">
        <v>0</v>
      </c>
      <c r="AA10" s="54" t="n">
        <v>45</v>
      </c>
      <c r="AB10" s="54" t="n">
        <v>26</v>
      </c>
      <c r="AC10" s="55" t="n">
        <v>1</v>
      </c>
      <c r="AD10" s="84"/>
      <c r="AE10" s="85"/>
      <c r="AF10" s="84"/>
    </row>
    <row r="11" customFormat="false" ht="11.1" hidden="false" customHeight="true" outlineLevel="0" collapsed="false">
      <c r="A11" s="55" t="n">
        <f aca="false">A10+1</f>
        <v>2</v>
      </c>
      <c r="B11" s="69" t="n">
        <v>6921.62</v>
      </c>
      <c r="C11" s="50" t="n">
        <v>370630</v>
      </c>
      <c r="D11" s="54" t="n">
        <f aca="false">C11-C10</f>
        <v>-613</v>
      </c>
      <c r="E11" s="50" t="n">
        <f aca="false">C11-152000</f>
        <v>218630</v>
      </c>
      <c r="F11" s="49" t="n">
        <f aca="false">D11/$D$2</f>
        <v>-309.049659692463</v>
      </c>
      <c r="G11" s="49" t="n">
        <v>859</v>
      </c>
      <c r="H11" s="53" t="n">
        <v>68</v>
      </c>
      <c r="I11" s="49" t="n">
        <f aca="false">G11+H11</f>
        <v>927</v>
      </c>
      <c r="J11" s="76" t="n">
        <f aca="false">IF(L11&gt;0,L11,0)</f>
        <v>0</v>
      </c>
      <c r="K11" s="49" t="n">
        <f aca="false">I11+J11</f>
        <v>927</v>
      </c>
      <c r="L11" s="49" t="n">
        <f aca="false">F11-(I11-W11)</f>
        <v>-262.049659692463</v>
      </c>
      <c r="M11" s="49" t="n">
        <v>107</v>
      </c>
      <c r="N11" s="49" t="n">
        <v>0</v>
      </c>
      <c r="O11" s="49" t="n">
        <v>0</v>
      </c>
      <c r="P11" s="6" t="n">
        <f aca="false">M11-(N11+O11)</f>
        <v>107</v>
      </c>
      <c r="Q11" s="49" t="n">
        <v>98</v>
      </c>
      <c r="R11" s="49" t="n">
        <v>27</v>
      </c>
      <c r="S11" s="49" t="n">
        <f aca="false">SUM(P11:R11)</f>
        <v>232</v>
      </c>
      <c r="T11" s="50" t="n">
        <f aca="false">T10</f>
        <v>12842</v>
      </c>
      <c r="U11" s="49" t="n">
        <v>6</v>
      </c>
      <c r="V11" s="49" t="n">
        <v>736</v>
      </c>
      <c r="W11" s="6" t="n">
        <f aca="false">N11+O11+S11+U11+V11</f>
        <v>974</v>
      </c>
      <c r="X11" s="49" t="n">
        <f aca="false">IF(L11&lt;0,L11*-1,0)</f>
        <v>262.049659692463</v>
      </c>
      <c r="Y11" s="49" t="n">
        <f aca="false">W11+X11</f>
        <v>1236.04965969246</v>
      </c>
      <c r="Z11" s="51" t="n">
        <v>0</v>
      </c>
      <c r="AA11" s="54" t="n">
        <v>61</v>
      </c>
      <c r="AB11" s="54" t="n">
        <v>20</v>
      </c>
      <c r="AC11" s="55" t="n">
        <f aca="false">AC10+1</f>
        <v>2</v>
      </c>
      <c r="AD11" s="84"/>
      <c r="AE11" s="85"/>
      <c r="AF11" s="84"/>
    </row>
    <row r="12" customFormat="false" ht="11.1" hidden="false" customHeight="true" outlineLevel="0" collapsed="false">
      <c r="A12" s="55" t="n">
        <f aca="false">A11+1</f>
        <v>3</v>
      </c>
      <c r="B12" s="69" t="n">
        <v>6921.35</v>
      </c>
      <c r="C12" s="50" t="n">
        <v>369447</v>
      </c>
      <c r="D12" s="54" t="n">
        <f aca="false">C12-C11</f>
        <v>-1183</v>
      </c>
      <c r="E12" s="50" t="n">
        <f aca="false">C12-152000</f>
        <v>217447</v>
      </c>
      <c r="F12" s="49" t="n">
        <f aca="false">D12/$D$2</f>
        <v>-596.420468868162</v>
      </c>
      <c r="G12" s="49" t="n">
        <v>734</v>
      </c>
      <c r="H12" s="53" t="n">
        <v>56</v>
      </c>
      <c r="I12" s="49" t="n">
        <f aca="false">G12+H12</f>
        <v>790</v>
      </c>
      <c r="J12" s="76" t="n">
        <f aca="false">IF(L12&gt;0,L12,0)</f>
        <v>77.5795311318377</v>
      </c>
      <c r="K12" s="49" t="n">
        <f aca="false">I12+J12</f>
        <v>867.579531131838</v>
      </c>
      <c r="L12" s="49" t="n">
        <f aca="false">F12-(I12-W12)</f>
        <v>77.5795311318377</v>
      </c>
      <c r="M12" s="49" t="n">
        <v>120</v>
      </c>
      <c r="N12" s="49" t="n">
        <v>0</v>
      </c>
      <c r="O12" s="49" t="n">
        <v>0</v>
      </c>
      <c r="P12" s="6" t="n">
        <f aca="false">M12-(N12+O12)</f>
        <v>120</v>
      </c>
      <c r="Q12" s="49" t="n">
        <v>112</v>
      </c>
      <c r="R12" s="49" t="n">
        <v>28</v>
      </c>
      <c r="S12" s="49" t="n">
        <f aca="false">SUM(P12:R12)</f>
        <v>260</v>
      </c>
      <c r="T12" s="50" t="n">
        <f aca="false">T11</f>
        <v>12842</v>
      </c>
      <c r="U12" s="49" t="n">
        <v>3</v>
      </c>
      <c r="V12" s="49" t="n">
        <v>1201</v>
      </c>
      <c r="W12" s="6" t="n">
        <f aca="false">N12+O12+S12+U12+V12</f>
        <v>1464</v>
      </c>
      <c r="X12" s="49" t="n">
        <f aca="false">IF(L12&lt;0,L12*-1,0)</f>
        <v>0</v>
      </c>
      <c r="Y12" s="49" t="n">
        <f aca="false">W12+X12</f>
        <v>1464</v>
      </c>
      <c r="Z12" s="51" t="n">
        <v>0</v>
      </c>
      <c r="AA12" s="54" t="n">
        <v>64</v>
      </c>
      <c r="AB12" s="54" t="n">
        <v>24</v>
      </c>
      <c r="AC12" s="55" t="n">
        <f aca="false">AC11+1</f>
        <v>3</v>
      </c>
      <c r="AD12" s="84"/>
      <c r="AE12" s="85"/>
      <c r="AF12" s="84"/>
    </row>
    <row r="13" customFormat="false" ht="11.1" hidden="false" customHeight="true" outlineLevel="0" collapsed="false">
      <c r="A13" s="55" t="n">
        <f aca="false">A12+1</f>
        <v>4</v>
      </c>
      <c r="B13" s="69" t="n">
        <v>6921.08</v>
      </c>
      <c r="C13" s="50" t="n">
        <v>368265</v>
      </c>
      <c r="D13" s="54" t="n">
        <f aca="false">C13-C12</f>
        <v>-1182</v>
      </c>
      <c r="E13" s="50" t="n">
        <f aca="false">C13-152000</f>
        <v>216265</v>
      </c>
      <c r="F13" s="49" t="n">
        <f aca="false">D13/$D$2</f>
        <v>-595.916309553819</v>
      </c>
      <c r="G13" s="49" t="n">
        <v>699</v>
      </c>
      <c r="H13" s="53" t="n">
        <v>53</v>
      </c>
      <c r="I13" s="49" t="n">
        <f aca="false">G13+H13</f>
        <v>752</v>
      </c>
      <c r="J13" s="76" t="n">
        <f aca="false">IF(L13&gt;0,L13,0)</f>
        <v>124.083690446181</v>
      </c>
      <c r="K13" s="49" t="n">
        <f aca="false">I13+J13</f>
        <v>876.083690446181</v>
      </c>
      <c r="L13" s="49" t="n">
        <f aca="false">F13-(I13-W13)</f>
        <v>124.083690446181</v>
      </c>
      <c r="M13" s="49" t="n">
        <v>119</v>
      </c>
      <c r="N13" s="49" t="n">
        <v>0</v>
      </c>
      <c r="O13" s="49" t="n">
        <v>0</v>
      </c>
      <c r="P13" s="6" t="n">
        <f aca="false">M13-(N13+O13)</f>
        <v>119</v>
      </c>
      <c r="Q13" s="49" t="n">
        <v>112</v>
      </c>
      <c r="R13" s="49" t="n">
        <v>36</v>
      </c>
      <c r="S13" s="49" t="n">
        <f aca="false">SUM(P13:R13)</f>
        <v>267</v>
      </c>
      <c r="T13" s="50" t="n">
        <f aca="false">T12</f>
        <v>12842</v>
      </c>
      <c r="U13" s="49" t="n">
        <v>4</v>
      </c>
      <c r="V13" s="49" t="n">
        <v>1201</v>
      </c>
      <c r="W13" s="6" t="n">
        <f aca="false">N13+O13+S13+U13+V13</f>
        <v>1472</v>
      </c>
      <c r="X13" s="49" t="n">
        <f aca="false">IF(L13&lt;0,L13*-1,0)</f>
        <v>0</v>
      </c>
      <c r="Y13" s="49" t="n">
        <f aca="false">W13+X13</f>
        <v>1472</v>
      </c>
      <c r="Z13" s="51" t="n">
        <v>0</v>
      </c>
      <c r="AA13" s="54" t="n">
        <v>69</v>
      </c>
      <c r="AB13" s="54" t="n">
        <v>28</v>
      </c>
      <c r="AC13" s="55" t="n">
        <f aca="false">AC12+1</f>
        <v>4</v>
      </c>
      <c r="AD13" s="84"/>
      <c r="AE13" s="85"/>
      <c r="AF13" s="84"/>
    </row>
    <row r="14" customFormat="false" ht="11.1" hidden="false" customHeight="true" outlineLevel="0" collapsed="false">
      <c r="A14" s="55" t="n">
        <f aca="false">A13+1</f>
        <v>5</v>
      </c>
      <c r="B14" s="69" t="n">
        <v>6920.77</v>
      </c>
      <c r="C14" s="50" t="n">
        <v>366916</v>
      </c>
      <c r="D14" s="54" t="n">
        <f aca="false">C14-C13</f>
        <v>-1349</v>
      </c>
      <c r="E14" s="50" t="n">
        <f aca="false">C14-152000</f>
        <v>214916</v>
      </c>
      <c r="F14" s="49" t="n">
        <f aca="false">D14/$D$2</f>
        <v>-680.110915049156</v>
      </c>
      <c r="G14" s="49" t="n">
        <v>788</v>
      </c>
      <c r="H14" s="53" t="n">
        <v>60</v>
      </c>
      <c r="I14" s="49" t="n">
        <f aca="false">G14+H14</f>
        <v>848</v>
      </c>
      <c r="J14" s="76" t="n">
        <f aca="false">IF(L14&gt;0,L14,0)</f>
        <v>9.88908495084445</v>
      </c>
      <c r="K14" s="49" t="n">
        <f aca="false">I14+J14</f>
        <v>857.889084950845</v>
      </c>
      <c r="L14" s="49" t="n">
        <f aca="false">F14-(I14-W14)</f>
        <v>9.88908495084445</v>
      </c>
      <c r="M14" s="49" t="n">
        <v>133</v>
      </c>
      <c r="N14" s="49" t="n">
        <v>0</v>
      </c>
      <c r="O14" s="49" t="n">
        <v>0</v>
      </c>
      <c r="P14" s="6" t="n">
        <f aca="false">M14-(N14+O14)</f>
        <v>133</v>
      </c>
      <c r="Q14" s="49" t="n">
        <v>117</v>
      </c>
      <c r="R14" s="49" t="n">
        <v>81</v>
      </c>
      <c r="S14" s="49" t="n">
        <f aca="false">SUM(P14:R14)</f>
        <v>331</v>
      </c>
      <c r="T14" s="50" t="n">
        <f aca="false">T13</f>
        <v>12842</v>
      </c>
      <c r="U14" s="49" t="n">
        <v>6</v>
      </c>
      <c r="V14" s="49" t="n">
        <v>1201</v>
      </c>
      <c r="W14" s="6" t="n">
        <f aca="false">N14+O14+S14+U14+V14</f>
        <v>1538</v>
      </c>
      <c r="X14" s="49" t="n">
        <f aca="false">IF(L14&lt;0,L14*-1,0)</f>
        <v>0</v>
      </c>
      <c r="Y14" s="49" t="n">
        <f aca="false">W14+X14</f>
        <v>1538</v>
      </c>
      <c r="Z14" s="51" t="n">
        <v>0</v>
      </c>
      <c r="AA14" s="54" t="n">
        <v>67</v>
      </c>
      <c r="AB14" s="54" t="n">
        <v>29</v>
      </c>
      <c r="AC14" s="55" t="n">
        <f aca="false">AC13+1</f>
        <v>5</v>
      </c>
      <c r="AD14" s="84"/>
      <c r="AE14" s="85"/>
      <c r="AF14" s="84"/>
    </row>
    <row r="15" customFormat="false" ht="11.1" hidden="false" customHeight="true" outlineLevel="0" collapsed="false">
      <c r="A15" s="55" t="n">
        <f aca="false">A14+1</f>
        <v>6</v>
      </c>
      <c r="B15" s="69" t="n">
        <v>6920.47</v>
      </c>
      <c r="C15" s="50" t="n">
        <v>365614</v>
      </c>
      <c r="D15" s="54" t="n">
        <f aca="false">C15-C14</f>
        <v>-1302</v>
      </c>
      <c r="E15" s="50" t="n">
        <f aca="false">C15-152000</f>
        <v>213614</v>
      </c>
      <c r="F15" s="49" t="n">
        <f aca="false">D15/$D$2</f>
        <v>-656.415427275019</v>
      </c>
      <c r="G15" s="49" t="n">
        <v>833</v>
      </c>
      <c r="H15" s="53" t="n">
        <v>55</v>
      </c>
      <c r="I15" s="49" t="n">
        <f aca="false">G15+H15</f>
        <v>888</v>
      </c>
      <c r="J15" s="76" t="n">
        <f aca="false">IF(L15&gt;0,L15,0)</f>
        <v>0</v>
      </c>
      <c r="K15" s="49" t="n">
        <f aca="false">I15+J15</f>
        <v>888</v>
      </c>
      <c r="L15" s="49" t="n">
        <f aca="false">F15-(I15-W15)</f>
        <v>-5.41542727501894</v>
      </c>
      <c r="M15" s="49" t="n">
        <v>164</v>
      </c>
      <c r="N15" s="49" t="n">
        <v>0</v>
      </c>
      <c r="O15" s="49" t="n">
        <v>0</v>
      </c>
      <c r="P15" s="6" t="n">
        <f aca="false">M15-(N15+O15)</f>
        <v>164</v>
      </c>
      <c r="Q15" s="49" t="n">
        <v>127</v>
      </c>
      <c r="R15" s="49" t="n">
        <v>47</v>
      </c>
      <c r="S15" s="49" t="n">
        <f aca="false">SUM(P15:R15)</f>
        <v>338</v>
      </c>
      <c r="T15" s="50" t="n">
        <f aca="false">T14</f>
        <v>12842</v>
      </c>
      <c r="U15" s="49" t="n">
        <v>0</v>
      </c>
      <c r="V15" s="49" t="n">
        <v>1201</v>
      </c>
      <c r="W15" s="6" t="n">
        <f aca="false">N15+O15+S15+U15+V15</f>
        <v>1539</v>
      </c>
      <c r="X15" s="49" t="n">
        <f aca="false">IF(L15&lt;0,L15*-1,0)</f>
        <v>5.41542727501894</v>
      </c>
      <c r="Y15" s="49" t="n">
        <f aca="false">W15+X15</f>
        <v>1544.41542727502</v>
      </c>
      <c r="Z15" s="51" t="n">
        <v>0</v>
      </c>
      <c r="AA15" s="54" t="n">
        <v>52</v>
      </c>
      <c r="AB15" s="54" t="n">
        <v>38</v>
      </c>
      <c r="AC15" s="55" t="n">
        <f aca="false">AC14+1</f>
        <v>6</v>
      </c>
      <c r="AD15" s="83"/>
      <c r="AE15" s="85"/>
      <c r="AF15" s="84"/>
    </row>
    <row r="16" customFormat="false" ht="11.1" hidden="false" customHeight="true" outlineLevel="0" collapsed="false">
      <c r="A16" s="55" t="n">
        <f aca="false">A15+1</f>
        <v>7</v>
      </c>
      <c r="B16" s="69" t="n">
        <v>6920.17</v>
      </c>
      <c r="C16" s="50" t="n">
        <v>364311</v>
      </c>
      <c r="D16" s="54" t="n">
        <f aca="false">C16-C15</f>
        <v>-1303</v>
      </c>
      <c r="E16" s="50" t="n">
        <f aca="false">C16-152000</f>
        <v>212311</v>
      </c>
      <c r="F16" s="49" t="n">
        <f aca="false">D16/$D$2</f>
        <v>-656.919586589362</v>
      </c>
      <c r="G16" s="49" t="n">
        <v>711</v>
      </c>
      <c r="H16" s="53" t="n">
        <v>43</v>
      </c>
      <c r="I16" s="49" t="n">
        <f aca="false">G16+H16</f>
        <v>754</v>
      </c>
      <c r="J16" s="76" t="n">
        <f aca="false">IF(L16&gt;0,L16,0)</f>
        <v>138.080413410638</v>
      </c>
      <c r="K16" s="49" t="n">
        <f aca="false">I16+J16</f>
        <v>892.080413410638</v>
      </c>
      <c r="L16" s="49" t="n">
        <f aca="false">F16-(I16-W16)</f>
        <v>138.080413410638</v>
      </c>
      <c r="M16" s="49" t="n">
        <v>175</v>
      </c>
      <c r="N16" s="49" t="n">
        <v>0</v>
      </c>
      <c r="O16" s="49" t="n">
        <v>0</v>
      </c>
      <c r="P16" s="6" t="n">
        <f aca="false">M16-(N16+O16)</f>
        <v>175</v>
      </c>
      <c r="Q16" s="49" t="n">
        <v>127</v>
      </c>
      <c r="R16" s="49" t="n">
        <v>46</v>
      </c>
      <c r="S16" s="49" t="n">
        <f aca="false">SUM(P16:R16)</f>
        <v>348</v>
      </c>
      <c r="T16" s="50" t="n">
        <f aca="false">T15</f>
        <v>12842</v>
      </c>
      <c r="U16" s="49" t="n">
        <v>0</v>
      </c>
      <c r="V16" s="49" t="n">
        <v>1201</v>
      </c>
      <c r="W16" s="6" t="n">
        <f aca="false">N16+O16+S16+U16+V16</f>
        <v>1549</v>
      </c>
      <c r="X16" s="49" t="n">
        <f aca="false">IF(L16&lt;0,L16*-1,0)</f>
        <v>0</v>
      </c>
      <c r="Y16" s="49" t="n">
        <f aca="false">W16+X16</f>
        <v>1549</v>
      </c>
      <c r="Z16" s="51" t="n">
        <v>0</v>
      </c>
      <c r="AA16" s="54" t="n">
        <v>55</v>
      </c>
      <c r="AB16" s="54" t="n">
        <v>27</v>
      </c>
      <c r="AC16" s="55" t="n">
        <f aca="false">AC15+1</f>
        <v>7</v>
      </c>
      <c r="AD16" s="83"/>
      <c r="AE16" s="85"/>
      <c r="AF16" s="84"/>
    </row>
    <row r="17" customFormat="false" ht="11.1" hidden="false" customHeight="true" outlineLevel="0" collapsed="false">
      <c r="A17" s="55" t="n">
        <f aca="false">A16+1</f>
        <v>8</v>
      </c>
      <c r="B17" s="69" t="n">
        <v>6919.87</v>
      </c>
      <c r="C17" s="50" t="n">
        <v>363013</v>
      </c>
      <c r="D17" s="54" t="n">
        <f aca="false">C17-C16</f>
        <v>-1298</v>
      </c>
      <c r="E17" s="50" t="n">
        <f aca="false">C17-152000</f>
        <v>211013</v>
      </c>
      <c r="F17" s="49" t="n">
        <f aca="false">D17/$D$2</f>
        <v>-654.398790017646</v>
      </c>
      <c r="G17" s="49" t="n">
        <v>684</v>
      </c>
      <c r="H17" s="53" t="n">
        <v>36</v>
      </c>
      <c r="I17" s="49" t="n">
        <f aca="false">G17+H17</f>
        <v>720</v>
      </c>
      <c r="J17" s="76" t="n">
        <f aca="false">IF(L17&gt;0,L17,0)</f>
        <v>172.601209982355</v>
      </c>
      <c r="K17" s="49" t="n">
        <f aca="false">I17+J17</f>
        <v>892.601209982355</v>
      </c>
      <c r="L17" s="49" t="n">
        <f aca="false">F17-(I17-W17)</f>
        <v>172.601209982355</v>
      </c>
      <c r="M17" s="49" t="n">
        <v>174</v>
      </c>
      <c r="N17" s="49" t="n">
        <v>0</v>
      </c>
      <c r="O17" s="49" t="n">
        <v>0</v>
      </c>
      <c r="P17" s="6" t="n">
        <f aca="false">M17-(N17+O17)</f>
        <v>174</v>
      </c>
      <c r="Q17" s="49" t="n">
        <v>126</v>
      </c>
      <c r="R17" s="49" t="n">
        <v>46</v>
      </c>
      <c r="S17" s="49" t="n">
        <f aca="false">SUM(P17:R17)</f>
        <v>346</v>
      </c>
      <c r="T17" s="50" t="n">
        <f aca="false">T16</f>
        <v>12842</v>
      </c>
      <c r="U17" s="49" t="n">
        <v>0</v>
      </c>
      <c r="V17" s="49" t="n">
        <v>1201</v>
      </c>
      <c r="W17" s="6" t="n">
        <f aca="false">N17+O17+S17+U17+V17</f>
        <v>1547</v>
      </c>
      <c r="X17" s="49" t="n">
        <f aca="false">IF(L17&lt;0,L17*-1,0)</f>
        <v>0</v>
      </c>
      <c r="Y17" s="49" t="n">
        <f aca="false">W17+X17</f>
        <v>1547</v>
      </c>
      <c r="Z17" s="51" t="n">
        <v>0</v>
      </c>
      <c r="AA17" s="54" t="n">
        <v>63</v>
      </c>
      <c r="AB17" s="54" t="n">
        <v>29</v>
      </c>
      <c r="AC17" s="55" t="n">
        <f aca="false">AC16+1</f>
        <v>8</v>
      </c>
      <c r="AD17" s="83"/>
      <c r="AE17" s="85"/>
      <c r="AF17" s="84"/>
    </row>
    <row r="18" customFormat="false" ht="11.1" hidden="false" customHeight="true" outlineLevel="0" collapsed="false">
      <c r="A18" s="55" t="n">
        <f aca="false">A17+1</f>
        <v>9</v>
      </c>
      <c r="B18" s="69" t="n">
        <v>6919.61</v>
      </c>
      <c r="C18" s="50" t="n">
        <v>361894</v>
      </c>
      <c r="D18" s="54" t="n">
        <f aca="false">C18-C17</f>
        <v>-1119</v>
      </c>
      <c r="E18" s="50" t="n">
        <f aca="false">C18-152000</f>
        <v>209894</v>
      </c>
      <c r="F18" s="49" t="n">
        <f aca="false">D18/$D$2</f>
        <v>-564.154272750189</v>
      </c>
      <c r="G18" s="49" t="n">
        <v>611</v>
      </c>
      <c r="H18" s="53" t="n">
        <v>28</v>
      </c>
      <c r="I18" s="49" t="n">
        <f aca="false">G18+H18</f>
        <v>639</v>
      </c>
      <c r="J18" s="76" t="n">
        <f aca="false">IF(L18&gt;0,L18,0)</f>
        <v>7.84572724981092</v>
      </c>
      <c r="K18" s="49" t="n">
        <f aca="false">I18+J18</f>
        <v>646.845727249811</v>
      </c>
      <c r="L18" s="49" t="n">
        <f aca="false">F18-(I18-W18)</f>
        <v>7.84572724981092</v>
      </c>
      <c r="M18" s="49" t="n">
        <v>174</v>
      </c>
      <c r="N18" s="49" t="n">
        <v>0</v>
      </c>
      <c r="O18" s="49" t="n">
        <v>0</v>
      </c>
      <c r="P18" s="6" t="n">
        <f aca="false">M18-(N18+O18)</f>
        <v>174</v>
      </c>
      <c r="Q18" s="49" t="n">
        <v>140</v>
      </c>
      <c r="R18" s="49" t="n">
        <v>47</v>
      </c>
      <c r="S18" s="49" t="n">
        <f aca="false">SUM(P18:R18)</f>
        <v>361</v>
      </c>
      <c r="T18" s="50" t="n">
        <f aca="false">T17</f>
        <v>12842</v>
      </c>
      <c r="U18" s="49" t="n">
        <v>15</v>
      </c>
      <c r="V18" s="49" t="n">
        <v>835</v>
      </c>
      <c r="W18" s="6" t="n">
        <f aca="false">N18+O18+S18+U18+V18</f>
        <v>1211</v>
      </c>
      <c r="X18" s="49" t="n">
        <f aca="false">IF(L18&lt;0,L18*-1,0)</f>
        <v>0</v>
      </c>
      <c r="Y18" s="49" t="n">
        <f aca="false">W18+X18</f>
        <v>1211</v>
      </c>
      <c r="Z18" s="51" t="n">
        <v>0</v>
      </c>
      <c r="AA18" s="54" t="n">
        <v>60</v>
      </c>
      <c r="AB18" s="54" t="n">
        <v>32</v>
      </c>
      <c r="AC18" s="55" t="n">
        <f aca="false">AC17+1</f>
        <v>9</v>
      </c>
      <c r="AD18" s="83"/>
      <c r="AE18" s="85"/>
      <c r="AF18" s="84"/>
    </row>
    <row r="19" customFormat="false" ht="11.1" hidden="false" customHeight="true" outlineLevel="0" collapsed="false">
      <c r="A19" s="55" t="n">
        <f aca="false">A18+1</f>
        <v>10</v>
      </c>
      <c r="B19" s="69" t="n">
        <v>6919.68</v>
      </c>
      <c r="C19" s="50" t="n">
        <v>362195</v>
      </c>
      <c r="D19" s="54" t="n">
        <f aca="false">C19-C18</f>
        <v>301</v>
      </c>
      <c r="E19" s="50" t="n">
        <f aca="false">C19-152000</f>
        <v>210195</v>
      </c>
      <c r="F19" s="49" t="n">
        <f aca="false">D19/$D$2</f>
        <v>151.751953617343</v>
      </c>
      <c r="G19" s="49" t="n">
        <v>678</v>
      </c>
      <c r="H19" s="53" t="n">
        <v>28</v>
      </c>
      <c r="I19" s="49" t="n">
        <f aca="false">G19+H19</f>
        <v>706</v>
      </c>
      <c r="J19" s="76" t="n">
        <f aca="false">IF(L19&gt;0,L19,0)</f>
        <v>188.751953617343</v>
      </c>
      <c r="K19" s="49" t="n">
        <f aca="false">I19+J19</f>
        <v>894.751953617343</v>
      </c>
      <c r="L19" s="49" t="n">
        <f aca="false">F19-(I19-W19)</f>
        <v>188.751953617343</v>
      </c>
      <c r="M19" s="49" t="n">
        <v>174</v>
      </c>
      <c r="N19" s="49" t="n">
        <v>0</v>
      </c>
      <c r="O19" s="49" t="n">
        <v>0</v>
      </c>
      <c r="P19" s="6" t="n">
        <f aca="false">M19-(N19+O19)</f>
        <v>174</v>
      </c>
      <c r="Q19" s="49" t="n">
        <v>152</v>
      </c>
      <c r="R19" s="49" t="n">
        <v>55</v>
      </c>
      <c r="S19" s="49" t="n">
        <f aca="false">SUM(P19:R19)</f>
        <v>381</v>
      </c>
      <c r="T19" s="50" t="n">
        <f aca="false">T18</f>
        <v>12842</v>
      </c>
      <c r="U19" s="49" t="n">
        <v>8</v>
      </c>
      <c r="V19" s="49" t="n">
        <v>354</v>
      </c>
      <c r="W19" s="6" t="n">
        <f aca="false">N19+O19+S19+U19+V19</f>
        <v>743</v>
      </c>
      <c r="X19" s="49" t="n">
        <f aca="false">IF(L19&lt;0,L19*-1,0)</f>
        <v>0</v>
      </c>
      <c r="Y19" s="49" t="n">
        <f aca="false">W19+X19</f>
        <v>743</v>
      </c>
      <c r="Z19" s="51" t="n">
        <v>0</v>
      </c>
      <c r="AA19" s="54" t="n">
        <v>68</v>
      </c>
      <c r="AB19" s="54" t="n">
        <v>34</v>
      </c>
      <c r="AC19" s="55" t="n">
        <f aca="false">AC18+1</f>
        <v>10</v>
      </c>
      <c r="AD19" s="83"/>
      <c r="AE19" s="85"/>
      <c r="AF19" s="84"/>
    </row>
    <row r="20" customFormat="false" ht="11.1" hidden="false" customHeight="true" outlineLevel="0" collapsed="false">
      <c r="A20" s="55" t="n">
        <f aca="false">A19+1</f>
        <v>11</v>
      </c>
      <c r="B20" s="69" t="n">
        <v>6919.87</v>
      </c>
      <c r="C20" s="50" t="n">
        <v>363013</v>
      </c>
      <c r="D20" s="54" t="n">
        <f aca="false">C20-C19</f>
        <v>818</v>
      </c>
      <c r="E20" s="50" t="n">
        <f aca="false">C20-152000</f>
        <v>211013</v>
      </c>
      <c r="F20" s="49" t="n">
        <f aca="false">D20/$D$2</f>
        <v>412.402319132846</v>
      </c>
      <c r="G20" s="49" t="n">
        <v>896</v>
      </c>
      <c r="H20" s="53" t="n">
        <v>34</v>
      </c>
      <c r="I20" s="49" t="n">
        <f aca="false">G20+H20</f>
        <v>930</v>
      </c>
      <c r="J20" s="76" t="n">
        <f aca="false">IF(L20&gt;0,L20,0)</f>
        <v>101.402319132846</v>
      </c>
      <c r="K20" s="49" t="n">
        <f aca="false">I20+J20</f>
        <v>1031.40231913285</v>
      </c>
      <c r="L20" s="49" t="n">
        <f aca="false">F20-(I20-W20)</f>
        <v>101.402319132846</v>
      </c>
      <c r="M20" s="49" t="n">
        <v>178</v>
      </c>
      <c r="N20" s="49" t="n">
        <v>0</v>
      </c>
      <c r="O20" s="49" t="n">
        <v>0</v>
      </c>
      <c r="P20" s="6" t="n">
        <f aca="false">M20-(N20+O20)</f>
        <v>178</v>
      </c>
      <c r="Q20" s="49" t="n">
        <v>164</v>
      </c>
      <c r="R20" s="49" t="n">
        <v>69</v>
      </c>
      <c r="S20" s="49" t="n">
        <f aca="false">SUM(P20:R20)</f>
        <v>411</v>
      </c>
      <c r="T20" s="50" t="n">
        <f aca="false">T19</f>
        <v>12842</v>
      </c>
      <c r="U20" s="49" t="n">
        <v>15</v>
      </c>
      <c r="V20" s="49" t="n">
        <v>193</v>
      </c>
      <c r="W20" s="6" t="n">
        <f aca="false">N20+O20+S20+U20+V20</f>
        <v>619</v>
      </c>
      <c r="X20" s="49" t="n">
        <f aca="false">IF(L20&lt;0,L20*-1,0)</f>
        <v>0</v>
      </c>
      <c r="Y20" s="49" t="n">
        <f aca="false">W20+X20</f>
        <v>619</v>
      </c>
      <c r="Z20" s="51" t="n">
        <v>0</v>
      </c>
      <c r="AA20" s="54" t="n">
        <v>72</v>
      </c>
      <c r="AB20" s="54" t="n">
        <v>35</v>
      </c>
      <c r="AC20" s="55" t="n">
        <f aca="false">AC19+1</f>
        <v>11</v>
      </c>
      <c r="AD20" s="83"/>
      <c r="AE20" s="85"/>
      <c r="AF20" s="84"/>
    </row>
    <row r="21" customFormat="false" ht="11.1" hidden="false" customHeight="true" outlineLevel="0" collapsed="false">
      <c r="A21" s="55" t="n">
        <f aca="false">A20+1</f>
        <v>12</v>
      </c>
      <c r="B21" s="69" t="n">
        <v>6920.21</v>
      </c>
      <c r="C21" s="50" t="n">
        <v>364485</v>
      </c>
      <c r="D21" s="54" t="n">
        <f aca="false">C21-C20</f>
        <v>1472</v>
      </c>
      <c r="E21" s="50" t="n">
        <f aca="false">C21-152000</f>
        <v>212485</v>
      </c>
      <c r="F21" s="49" t="n">
        <f aca="false">D21/$D$2</f>
        <v>742.122510713385</v>
      </c>
      <c r="G21" s="49" t="n">
        <v>1169</v>
      </c>
      <c r="H21" s="53" t="n">
        <v>40</v>
      </c>
      <c r="I21" s="49" t="n">
        <f aca="false">G21+H21</f>
        <v>1209</v>
      </c>
      <c r="J21" s="76" t="n">
        <f aca="false">IF(L21&gt;0,L21,0)</f>
        <v>189.122510713385</v>
      </c>
      <c r="K21" s="49" t="n">
        <f aca="false">I21+J21</f>
        <v>1398.12251071339</v>
      </c>
      <c r="L21" s="49" t="n">
        <f aca="false">F21-(I21-W21)</f>
        <v>189.122510713385</v>
      </c>
      <c r="M21" s="49" t="n">
        <v>191</v>
      </c>
      <c r="N21" s="49" t="n">
        <v>0</v>
      </c>
      <c r="O21" s="49" t="n">
        <v>0</v>
      </c>
      <c r="P21" s="6" t="n">
        <f aca="false">M21-(N21+O21)</f>
        <v>191</v>
      </c>
      <c r="Q21" s="49" t="n">
        <v>175</v>
      </c>
      <c r="R21" s="49" t="n">
        <v>74</v>
      </c>
      <c r="S21" s="49" t="n">
        <f aca="false">SUM(P21:R21)</f>
        <v>440</v>
      </c>
      <c r="T21" s="50" t="n">
        <f aca="false">T20</f>
        <v>12842</v>
      </c>
      <c r="U21" s="49" t="n">
        <v>22</v>
      </c>
      <c r="V21" s="49" t="n">
        <v>194</v>
      </c>
      <c r="W21" s="6" t="n">
        <f aca="false">N21+O21+S21+U21+V21</f>
        <v>656</v>
      </c>
      <c r="X21" s="49" t="n">
        <f aca="false">IF(L21&lt;0,L21*-1,0)</f>
        <v>0</v>
      </c>
      <c r="Y21" s="49" t="n">
        <f aca="false">W21+X21</f>
        <v>656</v>
      </c>
      <c r="Z21" s="51" t="n">
        <v>0</v>
      </c>
      <c r="AA21" s="54" t="n">
        <v>76</v>
      </c>
      <c r="AB21" s="54" t="n">
        <v>34</v>
      </c>
      <c r="AC21" s="55" t="n">
        <f aca="false">AC20+1</f>
        <v>12</v>
      </c>
      <c r="AD21" s="83"/>
      <c r="AE21" s="85"/>
      <c r="AF21" s="84"/>
    </row>
    <row r="22" customFormat="false" ht="11.1" hidden="false" customHeight="true" outlineLevel="0" collapsed="false">
      <c r="A22" s="55" t="n">
        <f aca="false">A21+1</f>
        <v>13</v>
      </c>
      <c r="B22" s="69" t="n">
        <v>6920.6</v>
      </c>
      <c r="C22" s="50" t="n">
        <v>366178</v>
      </c>
      <c r="D22" s="54" t="n">
        <f aca="false">C22-C21</f>
        <v>1693</v>
      </c>
      <c r="E22" s="50" t="n">
        <f aca="false">C22-152000</f>
        <v>214178</v>
      </c>
      <c r="F22" s="49" t="n">
        <f aca="false">D22/$D$2</f>
        <v>853.541719183262</v>
      </c>
      <c r="G22" s="49" t="n">
        <v>1429</v>
      </c>
      <c r="H22" s="53" t="n">
        <v>42</v>
      </c>
      <c r="I22" s="49" t="n">
        <f aca="false">G22+H22</f>
        <v>1471</v>
      </c>
      <c r="J22" s="76" t="n">
        <f aca="false">IF(L22&gt;0,L22,0)</f>
        <v>42.5417191832619</v>
      </c>
      <c r="K22" s="49" t="n">
        <f aca="false">I22+J22</f>
        <v>1513.54171918326</v>
      </c>
      <c r="L22" s="49" t="n">
        <f aca="false">F22-(I22-W22)</f>
        <v>42.5417191832619</v>
      </c>
      <c r="M22" s="49" t="n">
        <v>209</v>
      </c>
      <c r="N22" s="49" t="n">
        <v>0</v>
      </c>
      <c r="O22" s="49" t="n">
        <v>0</v>
      </c>
      <c r="P22" s="6" t="n">
        <f aca="false">M22-(N22+O22)</f>
        <v>209</v>
      </c>
      <c r="Q22" s="49" t="n">
        <v>176</v>
      </c>
      <c r="R22" s="49" t="n">
        <v>73</v>
      </c>
      <c r="S22" s="49" t="n">
        <f aca="false">SUM(P22:R22)</f>
        <v>458</v>
      </c>
      <c r="T22" s="50" t="n">
        <f aca="false">T21</f>
        <v>12842</v>
      </c>
      <c r="U22" s="49" t="n">
        <v>8</v>
      </c>
      <c r="V22" s="49" t="n">
        <v>194</v>
      </c>
      <c r="W22" s="6" t="n">
        <f aca="false">N22+O22+S22+U22+V22</f>
        <v>660</v>
      </c>
      <c r="X22" s="49" t="n">
        <f aca="false">IF(L22&lt;0,L22*-1,0)</f>
        <v>0</v>
      </c>
      <c r="Y22" s="49" t="n">
        <f aca="false">W22+X22</f>
        <v>660</v>
      </c>
      <c r="Z22" s="51" t="n">
        <v>0</v>
      </c>
      <c r="AA22" s="54" t="n">
        <v>77</v>
      </c>
      <c r="AB22" s="54" t="n">
        <v>40</v>
      </c>
      <c r="AC22" s="55" t="n">
        <f aca="false">AC21+1</f>
        <v>13</v>
      </c>
      <c r="AD22" s="83"/>
      <c r="AE22" s="85"/>
      <c r="AF22" s="84"/>
    </row>
    <row r="23" customFormat="false" ht="11.1" hidden="false" customHeight="true" outlineLevel="0" collapsed="false">
      <c r="A23" s="55" t="n">
        <f aca="false">A22+1</f>
        <v>14</v>
      </c>
      <c r="B23" s="69" t="n">
        <v>6921.1</v>
      </c>
      <c r="C23" s="50" t="n">
        <v>368353</v>
      </c>
      <c r="D23" s="54" t="n">
        <f aca="false">C23-C22</f>
        <v>2175</v>
      </c>
      <c r="E23" s="50" t="n">
        <f aca="false">C23-152000</f>
        <v>216353</v>
      </c>
      <c r="F23" s="49" t="n">
        <f aca="false">D23/$D$2</f>
        <v>1096.54650869675</v>
      </c>
      <c r="G23" s="49" t="n">
        <v>1546</v>
      </c>
      <c r="H23" s="53" t="n">
        <v>39</v>
      </c>
      <c r="I23" s="49" t="n">
        <f aca="false">G23+H23</f>
        <v>1585</v>
      </c>
      <c r="J23" s="76" t="n">
        <f aca="false">IF(L23&gt;0,L23,0)</f>
        <v>186.546508696748</v>
      </c>
      <c r="K23" s="49" t="n">
        <f aca="false">I23+J23</f>
        <v>1771.54650869675</v>
      </c>
      <c r="L23" s="49" t="n">
        <f aca="false">F23-(I23-W23)</f>
        <v>186.546508696748</v>
      </c>
      <c r="M23" s="49" t="n">
        <v>213</v>
      </c>
      <c r="N23" s="49" t="n">
        <v>0</v>
      </c>
      <c r="O23" s="49" t="n">
        <v>0</v>
      </c>
      <c r="P23" s="6" t="n">
        <f aca="false">M23-(N23+O23)</f>
        <v>213</v>
      </c>
      <c r="Q23" s="49" t="n">
        <v>176</v>
      </c>
      <c r="R23" s="49" t="n">
        <v>73</v>
      </c>
      <c r="S23" s="49" t="n">
        <f aca="false">SUM(P23:R23)</f>
        <v>462</v>
      </c>
      <c r="T23" s="50" t="n">
        <f aca="false">T22</f>
        <v>12842</v>
      </c>
      <c r="U23" s="49" t="n">
        <v>19</v>
      </c>
      <c r="V23" s="49" t="n">
        <v>194</v>
      </c>
      <c r="W23" s="6" t="n">
        <f aca="false">N23+O23+S23+U23+V23</f>
        <v>675</v>
      </c>
      <c r="X23" s="49" t="n">
        <f aca="false">IF(L23&lt;0,L23*-1,0)</f>
        <v>0</v>
      </c>
      <c r="Y23" s="49" t="n">
        <f aca="false">W23+X23</f>
        <v>675</v>
      </c>
      <c r="Z23" s="51" t="n">
        <v>0</v>
      </c>
      <c r="AA23" s="54" t="n">
        <v>78</v>
      </c>
      <c r="AB23" s="54" t="n">
        <v>40</v>
      </c>
      <c r="AC23" s="55" t="n">
        <f aca="false">AC22+1</f>
        <v>14</v>
      </c>
      <c r="AD23" s="83"/>
      <c r="AE23" s="85"/>
      <c r="AF23" s="84"/>
    </row>
    <row r="24" customFormat="false" ht="11.1" hidden="false" customHeight="true" outlineLevel="0" collapsed="false">
      <c r="A24" s="55" t="n">
        <f aca="false">A23+1</f>
        <v>15</v>
      </c>
      <c r="B24" s="69" t="n">
        <v>6921.72</v>
      </c>
      <c r="C24" s="50" t="n">
        <v>371067</v>
      </c>
      <c r="D24" s="54" t="n">
        <f aca="false">C24-C23</f>
        <v>2714</v>
      </c>
      <c r="E24" s="50" t="n">
        <f aca="false">C24-152000</f>
        <v>219067</v>
      </c>
      <c r="F24" s="49" t="n">
        <f aca="false">D24/$D$2</f>
        <v>1368.2883791278</v>
      </c>
      <c r="G24" s="49" t="n">
        <v>1776</v>
      </c>
      <c r="H24" s="53" t="n">
        <v>38</v>
      </c>
      <c r="I24" s="49" t="n">
        <f aca="false">G24+H24</f>
        <v>1814</v>
      </c>
      <c r="J24" s="76" t="n">
        <f aca="false">IF(L24&gt;0,L24,0)</f>
        <v>232.288379127804</v>
      </c>
      <c r="K24" s="89" t="n">
        <f aca="false">I24+J24</f>
        <v>2046.2883791278</v>
      </c>
      <c r="L24" s="49" t="n">
        <f aca="false">F24-(I24-W24)</f>
        <v>232.288379127804</v>
      </c>
      <c r="M24" s="49" t="n">
        <v>214</v>
      </c>
      <c r="N24" s="49" t="n">
        <v>0</v>
      </c>
      <c r="O24" s="49" t="n">
        <v>0</v>
      </c>
      <c r="P24" s="6" t="n">
        <f aca="false">M24-(N24+O24)</f>
        <v>214</v>
      </c>
      <c r="Q24" s="49" t="n">
        <v>177</v>
      </c>
      <c r="R24" s="49" t="n">
        <v>74</v>
      </c>
      <c r="S24" s="49" t="n">
        <f aca="false">SUM(P24:R24)</f>
        <v>465</v>
      </c>
      <c r="T24" s="50" t="n">
        <f aca="false">T23</f>
        <v>12842</v>
      </c>
      <c r="U24" s="49" t="n">
        <v>19</v>
      </c>
      <c r="V24" s="49" t="n">
        <v>194</v>
      </c>
      <c r="W24" s="6" t="n">
        <f aca="false">N24+O24+S24+U24+V24</f>
        <v>678</v>
      </c>
      <c r="X24" s="49" t="n">
        <f aca="false">IF(L24&lt;0,L24*-1,0)</f>
        <v>0</v>
      </c>
      <c r="Y24" s="49" t="n">
        <f aca="false">W24+X24</f>
        <v>678</v>
      </c>
      <c r="Z24" s="51" t="n">
        <v>0</v>
      </c>
      <c r="AA24" s="54" t="n">
        <v>79</v>
      </c>
      <c r="AB24" s="54" t="n">
        <v>40</v>
      </c>
      <c r="AC24" s="55" t="n">
        <f aca="false">AC23+1</f>
        <v>15</v>
      </c>
      <c r="AD24" s="83"/>
      <c r="AE24" s="85"/>
      <c r="AF24" s="84"/>
    </row>
    <row r="25" customFormat="false" ht="11.1" hidden="false" customHeight="true" outlineLevel="0" collapsed="false">
      <c r="A25" s="55" t="n">
        <f aca="false">A24+1</f>
        <v>16</v>
      </c>
      <c r="B25" s="69" t="n">
        <v>6922.43</v>
      </c>
      <c r="C25" s="50" t="n">
        <v>374192</v>
      </c>
      <c r="D25" s="54" t="n">
        <f aca="false">C25-C24</f>
        <v>3125</v>
      </c>
      <c r="E25" s="50" t="n">
        <f aca="false">C25-152000</f>
        <v>222192</v>
      </c>
      <c r="F25" s="49" t="n">
        <f aca="false">D25/$D$2</f>
        <v>1575.49785732291</v>
      </c>
      <c r="G25" s="49" t="n">
        <v>1876</v>
      </c>
      <c r="H25" s="53" t="n">
        <v>32</v>
      </c>
      <c r="I25" s="49" t="n">
        <f aca="false">G25+H25</f>
        <v>1908</v>
      </c>
      <c r="J25" s="76" t="n">
        <f aca="false">IF(L25&gt;0,L25,0)</f>
        <v>354.497857322914</v>
      </c>
      <c r="K25" s="49" t="n">
        <f aca="false">I25+J25</f>
        <v>2262.49785732291</v>
      </c>
      <c r="L25" s="49" t="n">
        <f aca="false">F25-(I25-W25)</f>
        <v>354.497857322914</v>
      </c>
      <c r="M25" s="49" t="n">
        <v>215</v>
      </c>
      <c r="N25" s="49" t="n">
        <v>0</v>
      </c>
      <c r="O25" s="49" t="n">
        <v>0</v>
      </c>
      <c r="P25" s="6" t="n">
        <f aca="false">M25-(N25+O25)</f>
        <v>215</v>
      </c>
      <c r="Q25" s="49" t="n">
        <v>178</v>
      </c>
      <c r="R25" s="49" t="n">
        <v>79</v>
      </c>
      <c r="S25" s="49" t="n">
        <f aca="false">SUM(P25:R25)</f>
        <v>472</v>
      </c>
      <c r="T25" s="50" t="n">
        <f aca="false">T24</f>
        <v>12842</v>
      </c>
      <c r="U25" s="49" t="n">
        <v>19</v>
      </c>
      <c r="V25" s="49" t="n">
        <v>196</v>
      </c>
      <c r="W25" s="6" t="n">
        <f aca="false">N25+O25+S25+U25+V25</f>
        <v>687</v>
      </c>
      <c r="X25" s="49" t="n">
        <f aca="false">IF(L25&lt;0,L25*-1,0)</f>
        <v>0</v>
      </c>
      <c r="Y25" s="49" t="n">
        <f aca="false">W25+X25</f>
        <v>687</v>
      </c>
      <c r="Z25" s="51" t="n">
        <v>0</v>
      </c>
      <c r="AA25" s="54" t="n">
        <v>78</v>
      </c>
      <c r="AB25" s="54" t="n">
        <v>41</v>
      </c>
      <c r="AC25" s="55" t="n">
        <f aca="false">AC24+1</f>
        <v>16</v>
      </c>
      <c r="AD25" s="83"/>
      <c r="AE25" s="85"/>
      <c r="AF25" s="84"/>
    </row>
    <row r="26" customFormat="false" ht="11.1" hidden="false" customHeight="true" outlineLevel="0" collapsed="false">
      <c r="A26" s="55" t="n">
        <f aca="false">A25+1</f>
        <v>17</v>
      </c>
      <c r="B26" s="69" t="n">
        <v>6923.07</v>
      </c>
      <c r="C26" s="50" t="n">
        <v>377020</v>
      </c>
      <c r="D26" s="54" t="n">
        <f aca="false">C26-C25</f>
        <v>2828</v>
      </c>
      <c r="E26" s="50" t="n">
        <f aca="false">C26-152000</f>
        <v>225020</v>
      </c>
      <c r="F26" s="49" t="n">
        <f aca="false">D26/$D$2</f>
        <v>1425.76254096294</v>
      </c>
      <c r="G26" s="49" t="n">
        <v>1904</v>
      </c>
      <c r="H26" s="53" t="n">
        <v>25</v>
      </c>
      <c r="I26" s="49" t="n">
        <f aca="false">G26+H26</f>
        <v>1929</v>
      </c>
      <c r="J26" s="76" t="n">
        <f aca="false">IF(L26&gt;0,L26,0)</f>
        <v>196.762540962944</v>
      </c>
      <c r="K26" s="89" t="n">
        <f aca="false">I26+J26</f>
        <v>2125.76254096294</v>
      </c>
      <c r="L26" s="49" t="n">
        <f aca="false">F26-(I26-W26)</f>
        <v>196.762540962944</v>
      </c>
      <c r="M26" s="49" t="n">
        <v>222</v>
      </c>
      <c r="N26" s="49" t="n">
        <v>0</v>
      </c>
      <c r="O26" s="49" t="n">
        <v>0</v>
      </c>
      <c r="P26" s="6" t="n">
        <f aca="false">M26-(N26+O26)</f>
        <v>222</v>
      </c>
      <c r="Q26" s="49" t="n">
        <v>178</v>
      </c>
      <c r="R26" s="49" t="n">
        <v>87</v>
      </c>
      <c r="S26" s="49" t="n">
        <f aca="false">SUM(P26:R26)</f>
        <v>487</v>
      </c>
      <c r="T26" s="50" t="n">
        <f aca="false">T25</f>
        <v>12842</v>
      </c>
      <c r="U26" s="49" t="n">
        <v>17</v>
      </c>
      <c r="V26" s="49" t="n">
        <v>196</v>
      </c>
      <c r="W26" s="6" t="n">
        <f aca="false">N26+O26+S26+U26+V26</f>
        <v>700</v>
      </c>
      <c r="X26" s="49" t="n">
        <f aca="false">IF(L26&lt;0,L26*-1,0)</f>
        <v>0</v>
      </c>
      <c r="Y26" s="49" t="n">
        <f aca="false">W26+X26</f>
        <v>700</v>
      </c>
      <c r="Z26" s="51" t="n">
        <v>0.29</v>
      </c>
      <c r="AA26" s="54" t="n">
        <v>69</v>
      </c>
      <c r="AB26" s="54" t="n">
        <v>44</v>
      </c>
      <c r="AC26" s="55" t="n">
        <f aca="false">AC25+1</f>
        <v>17</v>
      </c>
      <c r="AD26" s="83"/>
      <c r="AE26" s="85"/>
      <c r="AF26" s="84"/>
    </row>
    <row r="27" customFormat="false" ht="11.1" hidden="false" customHeight="true" outlineLevel="0" collapsed="false">
      <c r="A27" s="55" t="n">
        <f aca="false">A26+1</f>
        <v>18</v>
      </c>
      <c r="B27" s="69" t="n">
        <v>6923.59</v>
      </c>
      <c r="C27" s="50" t="n">
        <v>379335</v>
      </c>
      <c r="D27" s="54" t="n">
        <f aca="false">C27-C26</f>
        <v>2315</v>
      </c>
      <c r="E27" s="50" t="n">
        <f aca="false">C27-152000</f>
        <v>227335</v>
      </c>
      <c r="F27" s="49" t="n">
        <f aca="false">D27/$D$2</f>
        <v>1167.12881270481</v>
      </c>
      <c r="G27" s="49" t="n">
        <v>2160</v>
      </c>
      <c r="H27" s="53" t="n">
        <v>8</v>
      </c>
      <c r="I27" s="49" t="n">
        <f aca="false">G27+H27</f>
        <v>2168</v>
      </c>
      <c r="J27" s="76" t="n">
        <f aca="false">IF(L27&gt;0,L27,0)</f>
        <v>42.1288127048147</v>
      </c>
      <c r="K27" s="49" t="n">
        <f aca="false">I27+J27</f>
        <v>2210.12881270481</v>
      </c>
      <c r="L27" s="49" t="n">
        <f aca="false">F27-(I27-W27)</f>
        <v>42.1288127048147</v>
      </c>
      <c r="M27" s="49" t="n">
        <v>240</v>
      </c>
      <c r="N27" s="49" t="n">
        <v>0</v>
      </c>
      <c r="O27" s="49" t="n">
        <v>0</v>
      </c>
      <c r="P27" s="6" t="n">
        <f aca="false">M27-(N27+O27)</f>
        <v>240</v>
      </c>
      <c r="Q27" s="49" t="n">
        <v>179</v>
      </c>
      <c r="R27" s="49" t="n">
        <v>87</v>
      </c>
      <c r="S27" s="49" t="n">
        <f aca="false">SUM(P27:R27)</f>
        <v>506</v>
      </c>
      <c r="T27" s="50" t="n">
        <f aca="false">T26</f>
        <v>12842</v>
      </c>
      <c r="U27" s="49" t="n">
        <v>26</v>
      </c>
      <c r="V27" s="49" t="n">
        <v>511</v>
      </c>
      <c r="W27" s="6" t="n">
        <f aca="false">N27+O27+S27+U27+V27</f>
        <v>1043</v>
      </c>
      <c r="X27" s="49" t="n">
        <f aca="false">IF(L27&lt;0,L27*-1,0)</f>
        <v>0</v>
      </c>
      <c r="Y27" s="49" t="n">
        <f aca="false">W27+X27</f>
        <v>1043</v>
      </c>
      <c r="Z27" s="51" t="n">
        <v>0.4</v>
      </c>
      <c r="AA27" s="54" t="n">
        <v>59</v>
      </c>
      <c r="AB27" s="54" t="n">
        <v>40</v>
      </c>
      <c r="AC27" s="55" t="n">
        <f aca="false">AC26+1</f>
        <v>18</v>
      </c>
      <c r="AD27" s="83"/>
      <c r="AE27" s="85"/>
      <c r="AF27" s="84"/>
    </row>
    <row r="28" customFormat="false" ht="11.1" hidden="false" customHeight="true" outlineLevel="0" collapsed="false">
      <c r="A28" s="55" t="n">
        <f aca="false">A27+1</f>
        <v>19</v>
      </c>
      <c r="B28" s="69" t="n">
        <v>6923.68</v>
      </c>
      <c r="C28" s="88" t="n">
        <v>379735</v>
      </c>
      <c r="D28" s="54" t="n">
        <f aca="false">C28-C27</f>
        <v>400</v>
      </c>
      <c r="E28" s="50" t="n">
        <f aca="false">C28-152000</f>
        <v>227735</v>
      </c>
      <c r="F28" s="49" t="n">
        <f aca="false">D28/$D$2</f>
        <v>201.663725737333</v>
      </c>
      <c r="G28" s="49" t="n">
        <v>1827</v>
      </c>
      <c r="H28" s="53" t="n">
        <v>23</v>
      </c>
      <c r="I28" s="49" t="n">
        <f aca="false">G28+H28</f>
        <v>1850</v>
      </c>
      <c r="J28" s="76" t="n">
        <f aca="false">IF(L28&gt;0,L28,0)</f>
        <v>0</v>
      </c>
      <c r="K28" s="49" t="n">
        <f aca="false">I28+J28</f>
        <v>1850</v>
      </c>
      <c r="L28" s="49" t="n">
        <f aca="false">F28-(I28-W28)</f>
        <v>-67.336274262667</v>
      </c>
      <c r="M28" s="49" t="n">
        <v>241</v>
      </c>
      <c r="N28" s="49" t="n">
        <v>0</v>
      </c>
      <c r="O28" s="49" t="n">
        <v>0</v>
      </c>
      <c r="P28" s="6" t="n">
        <f aca="false">M28-(N28+O28)</f>
        <v>241</v>
      </c>
      <c r="Q28" s="49" t="n">
        <v>180</v>
      </c>
      <c r="R28" s="49" t="n">
        <v>90</v>
      </c>
      <c r="S28" s="49" t="n">
        <f aca="false">SUM(P28:R28)</f>
        <v>511</v>
      </c>
      <c r="T28" s="50" t="n">
        <f aca="false">T27</f>
        <v>12842</v>
      </c>
      <c r="U28" s="49" t="n">
        <v>16</v>
      </c>
      <c r="V28" s="49" t="n">
        <v>1054</v>
      </c>
      <c r="W28" s="6" t="n">
        <f aca="false">N28+O28+S28+U28+V28</f>
        <v>1581</v>
      </c>
      <c r="X28" s="49" t="n">
        <f aca="false">IF(L28&lt;0,L28*-1,0)</f>
        <v>67.336274262667</v>
      </c>
      <c r="Y28" s="49" t="n">
        <f aca="false">W28+X28</f>
        <v>1648.33627426267</v>
      </c>
      <c r="Z28" s="51" t="n">
        <v>0</v>
      </c>
      <c r="AA28" s="54" t="n">
        <v>54</v>
      </c>
      <c r="AB28" s="54" t="n">
        <v>35</v>
      </c>
      <c r="AC28" s="55" t="n">
        <f aca="false">AC27+1</f>
        <v>19</v>
      </c>
      <c r="AD28" s="83"/>
      <c r="AE28" s="85"/>
      <c r="AF28" s="84"/>
    </row>
    <row r="29" customFormat="false" ht="11.1" hidden="false" customHeight="true" outlineLevel="0" collapsed="false">
      <c r="A29" s="55" t="n">
        <f aca="false">A28+1</f>
        <v>20</v>
      </c>
      <c r="B29" s="69" t="n">
        <v>6923.6</v>
      </c>
      <c r="C29" s="50" t="n">
        <v>379379</v>
      </c>
      <c r="D29" s="54" t="n">
        <f aca="false">C29-C28</f>
        <v>-356</v>
      </c>
      <c r="E29" s="50" t="n">
        <f aca="false">C29-152000</f>
        <v>227379</v>
      </c>
      <c r="F29" s="49" t="n">
        <f aca="false">D29/$D$2</f>
        <v>-179.480715906226</v>
      </c>
      <c r="G29" s="49" t="n">
        <v>1411</v>
      </c>
      <c r="H29" s="53" t="n">
        <v>44</v>
      </c>
      <c r="I29" s="49" t="n">
        <f aca="false">G29+H29</f>
        <v>1455</v>
      </c>
      <c r="J29" s="76" t="n">
        <f aca="false">IF(L29&gt;0,L29,0)</f>
        <v>0</v>
      </c>
      <c r="K29" s="49" t="n">
        <f aca="false">I29+J29</f>
        <v>1455</v>
      </c>
      <c r="L29" s="49" t="n">
        <f aca="false">F29-(I29-W29)</f>
        <v>-38.4807159062264</v>
      </c>
      <c r="M29" s="49" t="n">
        <v>223</v>
      </c>
      <c r="N29" s="49" t="n">
        <v>0</v>
      </c>
      <c r="O29" s="49" t="n">
        <v>0</v>
      </c>
      <c r="P29" s="6" t="n">
        <f aca="false">M29-(N29+O29)</f>
        <v>223</v>
      </c>
      <c r="Q29" s="49" t="n">
        <v>180</v>
      </c>
      <c r="R29" s="49" t="n">
        <v>91</v>
      </c>
      <c r="S29" s="49" t="n">
        <f aca="false">SUM(P29:R29)</f>
        <v>494</v>
      </c>
      <c r="T29" s="50" t="n">
        <f aca="false">T28</f>
        <v>12842</v>
      </c>
      <c r="U29" s="49" t="n">
        <v>15</v>
      </c>
      <c r="V29" s="49" t="n">
        <v>1087</v>
      </c>
      <c r="W29" s="6" t="n">
        <f aca="false">N29+O29+S29+U29+V29</f>
        <v>1596</v>
      </c>
      <c r="X29" s="49" t="n">
        <f aca="false">IF(L29&lt;0,L29*-1,0)</f>
        <v>38.4807159062264</v>
      </c>
      <c r="Y29" s="49" t="n">
        <f aca="false">W29+X29</f>
        <v>1634.48071590623</v>
      </c>
      <c r="Z29" s="51" t="n">
        <v>0</v>
      </c>
      <c r="AA29" s="54" t="n">
        <v>63</v>
      </c>
      <c r="AB29" s="54" t="n">
        <v>31</v>
      </c>
      <c r="AC29" s="55" t="n">
        <f aca="false">AC28+1</f>
        <v>20</v>
      </c>
      <c r="AD29" s="83"/>
      <c r="AE29" s="85"/>
      <c r="AF29" s="84"/>
    </row>
    <row r="30" customFormat="false" ht="11.1" hidden="false" customHeight="true" outlineLevel="0" collapsed="false">
      <c r="A30" s="55" t="n">
        <f aca="false">A29+1</f>
        <v>21</v>
      </c>
      <c r="B30" s="103" t="n">
        <v>6923.4</v>
      </c>
      <c r="C30" s="50" t="n">
        <v>378489</v>
      </c>
      <c r="D30" s="54" t="n">
        <f aca="false">C30-C29</f>
        <v>-890</v>
      </c>
      <c r="E30" s="50" t="n">
        <f aca="false">C30-152000</f>
        <v>226489</v>
      </c>
      <c r="F30" s="49" t="n">
        <f aca="false">D30/$D$2</f>
        <v>-448.701789765566</v>
      </c>
      <c r="G30" s="49" t="n">
        <v>1104</v>
      </c>
      <c r="H30" s="53" t="n">
        <v>35</v>
      </c>
      <c r="I30" s="49" t="n">
        <f aca="false">G30+H30</f>
        <v>1139</v>
      </c>
      <c r="J30" s="76" t="n">
        <f aca="false">IF(L30&gt;0,L30,0)</f>
        <v>0</v>
      </c>
      <c r="K30" s="49" t="n">
        <f aca="false">I30+J30</f>
        <v>1139</v>
      </c>
      <c r="L30" s="49" t="n">
        <f aca="false">F30-(I30-W30)</f>
        <v>-181.701789765566</v>
      </c>
      <c r="M30" s="49" t="n">
        <v>222</v>
      </c>
      <c r="N30" s="49" t="n">
        <v>0</v>
      </c>
      <c r="O30" s="49" t="n">
        <v>0</v>
      </c>
      <c r="P30" s="6" t="n">
        <f aca="false">M30-(N30+O30)</f>
        <v>222</v>
      </c>
      <c r="Q30" s="49" t="n">
        <v>180</v>
      </c>
      <c r="R30" s="49" t="n">
        <v>91</v>
      </c>
      <c r="S30" s="49" t="n">
        <f aca="false">SUM(P30:R30)</f>
        <v>493</v>
      </c>
      <c r="T30" s="50" t="n">
        <f aca="false">T29</f>
        <v>12842</v>
      </c>
      <c r="U30" s="49" t="n">
        <v>24</v>
      </c>
      <c r="V30" s="49" t="n">
        <v>889</v>
      </c>
      <c r="W30" s="6" t="n">
        <f aca="false">N30+O30+S30+U30+V30</f>
        <v>1406</v>
      </c>
      <c r="X30" s="49" t="n">
        <f aca="false">IF(L30&lt;0,L30*-1,0)</f>
        <v>181.701789765566</v>
      </c>
      <c r="Y30" s="49" t="n">
        <f aca="false">W30+X30</f>
        <v>1587.70178976557</v>
      </c>
      <c r="Z30" s="51" t="n">
        <v>0</v>
      </c>
      <c r="AA30" s="54" t="n">
        <v>64</v>
      </c>
      <c r="AB30" s="54" t="n">
        <v>32</v>
      </c>
      <c r="AC30" s="55" t="n">
        <f aca="false">AC29+1</f>
        <v>21</v>
      </c>
      <c r="AD30" s="83"/>
      <c r="AE30" s="85"/>
      <c r="AF30" s="84"/>
    </row>
    <row r="31" customFormat="false" ht="11.1" hidden="false" customHeight="true" outlineLevel="0" collapsed="false">
      <c r="A31" s="55" t="n">
        <f aca="false">A30+1</f>
        <v>22</v>
      </c>
      <c r="B31" s="69" t="n">
        <v>6923.41</v>
      </c>
      <c r="C31" s="50" t="n">
        <v>378534</v>
      </c>
      <c r="D31" s="54" t="n">
        <f aca="false">C31-C30</f>
        <v>45</v>
      </c>
      <c r="E31" s="50" t="n">
        <f aca="false">C31-152000</f>
        <v>226534</v>
      </c>
      <c r="F31" s="49" t="n">
        <f aca="false">D31/$D$2</f>
        <v>22.68716914545</v>
      </c>
      <c r="G31" s="49" t="n">
        <v>994</v>
      </c>
      <c r="H31" s="53" t="n">
        <v>29</v>
      </c>
      <c r="I31" s="49" t="n">
        <f aca="false">G31+H31</f>
        <v>1023</v>
      </c>
      <c r="J31" s="76" t="n">
        <f aca="false">IF(L31&gt;0,L31,0)</f>
        <v>204.68716914545</v>
      </c>
      <c r="K31" s="49" t="n">
        <f aca="false">I31+J31</f>
        <v>1227.68716914545</v>
      </c>
      <c r="L31" s="49" t="n">
        <f aca="false">F31-(I31-W31)</f>
        <v>204.68716914545</v>
      </c>
      <c r="M31" s="49" t="n">
        <v>222</v>
      </c>
      <c r="N31" s="49" t="n">
        <v>0</v>
      </c>
      <c r="O31" s="49" t="n">
        <v>0</v>
      </c>
      <c r="P31" s="6" t="n">
        <f aca="false">M31-(N31+O31)</f>
        <v>222</v>
      </c>
      <c r="Q31" s="49" t="n">
        <v>180</v>
      </c>
      <c r="R31" s="49" t="n">
        <v>91</v>
      </c>
      <c r="S31" s="89" t="n">
        <f aca="false">SUM(P31:R31)</f>
        <v>493</v>
      </c>
      <c r="T31" s="50" t="n">
        <f aca="false">T30</f>
        <v>12842</v>
      </c>
      <c r="U31" s="49" t="n">
        <v>8</v>
      </c>
      <c r="V31" s="49" t="n">
        <v>704</v>
      </c>
      <c r="W31" s="6" t="n">
        <f aca="false">N31+O31+S31+U31+V31</f>
        <v>1205</v>
      </c>
      <c r="X31" s="49" t="n">
        <f aca="false">IF(L31&lt;0,L31*-1,0)</f>
        <v>0</v>
      </c>
      <c r="Y31" s="49" t="n">
        <f aca="false">W31+X31</f>
        <v>1205</v>
      </c>
      <c r="Z31" s="51" t="n">
        <v>0</v>
      </c>
      <c r="AA31" s="54" t="n">
        <v>68</v>
      </c>
      <c r="AB31" s="54" t="n">
        <v>32</v>
      </c>
      <c r="AC31" s="55" t="n">
        <f aca="false">AC30+1</f>
        <v>22</v>
      </c>
      <c r="AD31" s="83"/>
      <c r="AE31" s="85"/>
      <c r="AF31" s="84"/>
    </row>
    <row r="32" customFormat="false" ht="11.1" hidden="false" customHeight="true" outlineLevel="0" collapsed="false">
      <c r="A32" s="55" t="n">
        <f aca="false">A31+1</f>
        <v>23</v>
      </c>
      <c r="B32" s="69" t="n">
        <v>6923.41</v>
      </c>
      <c r="C32" s="50" t="n">
        <v>378534</v>
      </c>
      <c r="D32" s="54" t="n">
        <f aca="false">C32-C31</f>
        <v>0</v>
      </c>
      <c r="E32" s="50" t="n">
        <f aca="false">C32-152000</f>
        <v>226534</v>
      </c>
      <c r="F32" s="49" t="n">
        <f aca="false">D32/$D$2</f>
        <v>0</v>
      </c>
      <c r="G32" s="49" t="n">
        <v>1012</v>
      </c>
      <c r="H32" s="53" t="n">
        <v>11</v>
      </c>
      <c r="I32" s="49" t="n">
        <f aca="false">G32+H32</f>
        <v>1023</v>
      </c>
      <c r="J32" s="76" t="n">
        <f aca="false">IF(L32&gt;0,L32,0)</f>
        <v>96</v>
      </c>
      <c r="K32" s="49" t="n">
        <f aca="false">I32+J32</f>
        <v>1119</v>
      </c>
      <c r="L32" s="49" t="n">
        <f aca="false">F32-(I32-W32)</f>
        <v>96</v>
      </c>
      <c r="M32" s="49" t="n">
        <v>222</v>
      </c>
      <c r="N32" s="49" t="n">
        <v>0</v>
      </c>
      <c r="O32" s="49" t="n">
        <v>0</v>
      </c>
      <c r="P32" s="6" t="n">
        <f aca="false">M32-(N32+O32)</f>
        <v>222</v>
      </c>
      <c r="Q32" s="49" t="n">
        <v>180</v>
      </c>
      <c r="R32" s="49" t="n">
        <v>91</v>
      </c>
      <c r="S32" s="49" t="n">
        <f aca="false">SUM(P32:R32)</f>
        <v>493</v>
      </c>
      <c r="T32" s="50" t="n">
        <f aca="false">T31</f>
        <v>12842</v>
      </c>
      <c r="U32" s="49" t="n">
        <v>26</v>
      </c>
      <c r="V32" s="49" t="n">
        <v>600</v>
      </c>
      <c r="W32" s="6" t="n">
        <f aca="false">N32+O32+S32+U32+V32</f>
        <v>1119</v>
      </c>
      <c r="X32" s="49" t="n">
        <f aca="false">IF(L32&lt;0,L32*-1,0)</f>
        <v>0</v>
      </c>
      <c r="Y32" s="49" t="n">
        <f aca="false">W32+X32</f>
        <v>1119</v>
      </c>
      <c r="Z32" s="51" t="n">
        <v>0</v>
      </c>
      <c r="AA32" s="54" t="n">
        <v>70</v>
      </c>
      <c r="AB32" s="54" t="n">
        <v>33</v>
      </c>
      <c r="AC32" s="55" t="n">
        <f aca="false">AC31+1</f>
        <v>23</v>
      </c>
      <c r="AD32" s="83"/>
      <c r="AE32" s="85"/>
      <c r="AF32" s="84"/>
    </row>
    <row r="33" customFormat="false" ht="11.1" hidden="false" customHeight="true" outlineLevel="0" collapsed="false">
      <c r="A33" s="55" t="n">
        <f aca="false">A32+1</f>
        <v>24</v>
      </c>
      <c r="B33" s="69" t="n">
        <v>6923.45</v>
      </c>
      <c r="C33" s="50" t="n">
        <v>378712</v>
      </c>
      <c r="D33" s="54" t="n">
        <f aca="false">C33-C32</f>
        <v>178</v>
      </c>
      <c r="E33" s="50" t="n">
        <f aca="false">C33-152000</f>
        <v>226712</v>
      </c>
      <c r="F33" s="49" t="n">
        <f aca="false">D33/$D$2</f>
        <v>89.7403579531132</v>
      </c>
      <c r="G33" s="49" t="n">
        <v>1107</v>
      </c>
      <c r="H33" s="53" t="n">
        <v>3</v>
      </c>
      <c r="I33" s="49" t="n">
        <f aca="false">G33+H33</f>
        <v>1110</v>
      </c>
      <c r="J33" s="76" t="n">
        <f aca="false">IF(L33&gt;0,L33,0)</f>
        <v>97.7403579531132</v>
      </c>
      <c r="K33" s="49" t="n">
        <f aca="false">I33+J33</f>
        <v>1207.74035795311</v>
      </c>
      <c r="L33" s="49" t="n">
        <f aca="false">F33-(I33-W33)</f>
        <v>97.7403579531132</v>
      </c>
      <c r="M33" s="49" t="n">
        <v>229</v>
      </c>
      <c r="N33" s="49" t="n">
        <v>0</v>
      </c>
      <c r="O33" s="49" t="n">
        <v>0</v>
      </c>
      <c r="P33" s="6" t="n">
        <f aca="false">M33-(N33+O33)</f>
        <v>229</v>
      </c>
      <c r="Q33" s="49" t="n">
        <v>167</v>
      </c>
      <c r="R33" s="49" t="n">
        <v>92</v>
      </c>
      <c r="S33" s="49" t="n">
        <f aca="false">SUM(P33:R33)</f>
        <v>488</v>
      </c>
      <c r="T33" s="50" t="n">
        <f aca="false">T32</f>
        <v>12842</v>
      </c>
      <c r="U33" s="49" t="n">
        <v>30</v>
      </c>
      <c r="V33" s="49" t="n">
        <v>600</v>
      </c>
      <c r="W33" s="6" t="n">
        <f aca="false">N33+O33+S33+U33+V33</f>
        <v>1118</v>
      </c>
      <c r="X33" s="49" t="n">
        <f aca="false">IF(L33&lt;0,L33*-1,0)</f>
        <v>0</v>
      </c>
      <c r="Y33" s="49" t="n">
        <f aca="false">W33+X33</f>
        <v>1118</v>
      </c>
      <c r="Z33" s="51" t="n">
        <v>0</v>
      </c>
      <c r="AA33" s="54" t="n">
        <v>72</v>
      </c>
      <c r="AB33" s="54" t="n">
        <v>34</v>
      </c>
      <c r="AC33" s="55" t="n">
        <f aca="false">AC32+1</f>
        <v>24</v>
      </c>
      <c r="AD33" s="83"/>
      <c r="AE33" s="85"/>
      <c r="AF33" s="84"/>
    </row>
    <row r="34" customFormat="false" ht="11.1" hidden="false" customHeight="true" outlineLevel="0" collapsed="false">
      <c r="A34" s="55" t="n">
        <f aca="false">A33+1</f>
        <v>25</v>
      </c>
      <c r="B34" s="69" t="n">
        <v>6923.4</v>
      </c>
      <c r="C34" s="50" t="n">
        <v>378489</v>
      </c>
      <c r="D34" s="54" t="n">
        <f aca="false">C34-C33</f>
        <v>-223</v>
      </c>
      <c r="E34" s="50" t="n">
        <f aca="false">C34-152000</f>
        <v>226489</v>
      </c>
      <c r="F34" s="49" t="n">
        <f aca="false">D34/$D$2</f>
        <v>-112.427527098563</v>
      </c>
      <c r="G34" s="49" t="n">
        <v>1128</v>
      </c>
      <c r="H34" s="53" t="n">
        <v>2</v>
      </c>
      <c r="I34" s="49" t="n">
        <f aca="false">G34+H34</f>
        <v>1130</v>
      </c>
      <c r="J34" s="76" t="n">
        <f aca="false">IF(L34&gt;0,L34,0)</f>
        <v>0</v>
      </c>
      <c r="K34" s="49" t="n">
        <f aca="false">I34+J34</f>
        <v>1130</v>
      </c>
      <c r="L34" s="49" t="n">
        <f aca="false">F34-(I34-W34)</f>
        <v>-111.427527098563</v>
      </c>
      <c r="M34" s="49" t="n">
        <v>245</v>
      </c>
      <c r="N34" s="49" t="n">
        <v>0</v>
      </c>
      <c r="O34" s="49" t="n">
        <v>0</v>
      </c>
      <c r="P34" s="6" t="n">
        <f aca="false">M34-(N34+O34)</f>
        <v>245</v>
      </c>
      <c r="Q34" s="49" t="n">
        <v>162</v>
      </c>
      <c r="R34" s="49" t="n">
        <v>91</v>
      </c>
      <c r="S34" s="49" t="n">
        <f aca="false">SUM(P34:R34)</f>
        <v>498</v>
      </c>
      <c r="T34" s="50" t="n">
        <f aca="false">T33</f>
        <v>12842</v>
      </c>
      <c r="U34" s="49" t="n">
        <v>33</v>
      </c>
      <c r="V34" s="49" t="n">
        <v>600</v>
      </c>
      <c r="W34" s="6" t="n">
        <f aca="false">N34+O34+S34+U34+V34</f>
        <v>1131</v>
      </c>
      <c r="X34" s="49" t="n">
        <f aca="false">IF(L34&lt;0,L34*-1,0)</f>
        <v>111.427527098563</v>
      </c>
      <c r="Y34" s="49" t="n">
        <f aca="false">W34+X34</f>
        <v>1242.42752709856</v>
      </c>
      <c r="Z34" s="51" t="n">
        <v>0</v>
      </c>
      <c r="AA34" s="54" t="n">
        <v>77</v>
      </c>
      <c r="AB34" s="54" t="n">
        <v>34</v>
      </c>
      <c r="AC34" s="55" t="n">
        <f aca="false">AC33+1</f>
        <v>25</v>
      </c>
      <c r="AD34" s="83"/>
      <c r="AE34" s="85"/>
      <c r="AF34" s="84"/>
    </row>
    <row r="35" customFormat="false" ht="11.1" hidden="false" customHeight="true" outlineLevel="0" collapsed="false">
      <c r="A35" s="55" t="n">
        <f aca="false">A34+1</f>
        <v>26</v>
      </c>
      <c r="B35" s="69" t="n">
        <v>6923.36</v>
      </c>
      <c r="C35" s="50" t="n">
        <v>378311</v>
      </c>
      <c r="D35" s="54" t="n">
        <f aca="false">C35-C34</f>
        <v>-178</v>
      </c>
      <c r="E35" s="50" t="n">
        <f aca="false">C35-152000</f>
        <v>226311</v>
      </c>
      <c r="F35" s="49" t="n">
        <f aca="false">D35/$D$2</f>
        <v>-89.7403579531132</v>
      </c>
      <c r="G35" s="49" t="n">
        <v>1027</v>
      </c>
      <c r="H35" s="53" t="n">
        <v>1</v>
      </c>
      <c r="I35" s="49" t="n">
        <f aca="false">G35+H35</f>
        <v>1028</v>
      </c>
      <c r="J35" s="76" t="n">
        <f aca="false">IF(L35&gt;0,L35,0)</f>
        <v>7.25964204688682</v>
      </c>
      <c r="K35" s="49" t="n">
        <f aca="false">I35+J35</f>
        <v>1035.25964204689</v>
      </c>
      <c r="L35" s="49" t="n">
        <f aca="false">F35-(I35-W35)</f>
        <v>7.25964204688682</v>
      </c>
      <c r="M35" s="49" t="n">
        <v>245</v>
      </c>
      <c r="N35" s="49" t="n">
        <v>0</v>
      </c>
      <c r="O35" s="49" t="n">
        <v>0</v>
      </c>
      <c r="P35" s="6" t="n">
        <f aca="false">M35-(N35+O35)</f>
        <v>245</v>
      </c>
      <c r="Q35" s="49" t="n">
        <v>162</v>
      </c>
      <c r="R35" s="49" t="n">
        <v>91</v>
      </c>
      <c r="S35" s="49" t="n">
        <f aca="false">SUM(P35:R35)</f>
        <v>498</v>
      </c>
      <c r="T35" s="50" t="n">
        <f aca="false">T34</f>
        <v>12842</v>
      </c>
      <c r="U35" s="49" t="n">
        <v>27</v>
      </c>
      <c r="V35" s="49" t="n">
        <v>600</v>
      </c>
      <c r="W35" s="6" t="n">
        <f aca="false">N35+O35+S35+U35+V35</f>
        <v>1125</v>
      </c>
      <c r="X35" s="49" t="n">
        <f aca="false">IF(L35&lt;0,L35*-1,0)</f>
        <v>0</v>
      </c>
      <c r="Y35" s="49" t="n">
        <f aca="false">W35+X35</f>
        <v>1125</v>
      </c>
      <c r="Z35" s="51" t="n">
        <v>0</v>
      </c>
      <c r="AA35" s="54" t="n">
        <v>75</v>
      </c>
      <c r="AB35" s="54" t="n">
        <v>41</v>
      </c>
      <c r="AC35" s="55" t="n">
        <f aca="false">AC34+1</f>
        <v>26</v>
      </c>
      <c r="AD35" s="83"/>
      <c r="AE35" s="85"/>
      <c r="AF35" s="84"/>
    </row>
    <row r="36" customFormat="false" ht="11.1" hidden="false" customHeight="true" outlineLevel="0" collapsed="false">
      <c r="A36" s="55" t="n">
        <f aca="false">A35+1</f>
        <v>27</v>
      </c>
      <c r="B36" s="69" t="n">
        <v>6923.38</v>
      </c>
      <c r="C36" s="50" t="n">
        <v>378400</v>
      </c>
      <c r="D36" s="54" t="n">
        <f aca="false">C36-C35</f>
        <v>89</v>
      </c>
      <c r="E36" s="50" t="n">
        <f aca="false">C36-152000</f>
        <v>226400</v>
      </c>
      <c r="F36" s="49" t="n">
        <f aca="false">D36/$D$2</f>
        <v>44.8701789765566</v>
      </c>
      <c r="G36" s="49" t="n">
        <v>1083</v>
      </c>
      <c r="H36" s="53" t="n">
        <v>0</v>
      </c>
      <c r="I36" s="49" t="n">
        <f aca="false">G36+H36</f>
        <v>1083</v>
      </c>
      <c r="J36" s="76" t="n">
        <f aca="false">IF(L36&gt;0,L36,0)</f>
        <v>138.870178976557</v>
      </c>
      <c r="K36" s="49" t="n">
        <f aca="false">I36+J36</f>
        <v>1221.87017897656</v>
      </c>
      <c r="L36" s="49" t="n">
        <f aca="false">F36-(I36-W36)</f>
        <v>138.870178976557</v>
      </c>
      <c r="M36" s="49" t="n">
        <v>245</v>
      </c>
      <c r="N36" s="49" t="n">
        <v>0</v>
      </c>
      <c r="O36" s="49" t="n">
        <v>0</v>
      </c>
      <c r="P36" s="6" t="n">
        <f aca="false">M36-(N36+O36)</f>
        <v>245</v>
      </c>
      <c r="Q36" s="49" t="n">
        <v>212</v>
      </c>
      <c r="R36" s="49" t="n">
        <v>91</v>
      </c>
      <c r="S36" s="49" t="n">
        <f aca="false">SUM(P36:R36)</f>
        <v>548</v>
      </c>
      <c r="T36" s="50" t="n">
        <f aca="false">T35</f>
        <v>12842</v>
      </c>
      <c r="U36" s="49" t="n">
        <v>29</v>
      </c>
      <c r="V36" s="49" t="n">
        <v>600</v>
      </c>
      <c r="W36" s="6" t="n">
        <f aca="false">N36+O36+S36+U36+V36</f>
        <v>1177</v>
      </c>
      <c r="X36" s="49" t="n">
        <f aca="false">IF(L36&lt;0,L36*-1,0)</f>
        <v>0</v>
      </c>
      <c r="Y36" s="49" t="n">
        <f aca="false">W36+X36</f>
        <v>1177</v>
      </c>
      <c r="Z36" s="51" t="n">
        <v>0</v>
      </c>
      <c r="AA36" s="54" t="n">
        <v>75</v>
      </c>
      <c r="AB36" s="54" t="n">
        <v>46</v>
      </c>
      <c r="AC36" s="55" t="n">
        <f aca="false">AC35+1</f>
        <v>27</v>
      </c>
      <c r="AD36" s="83"/>
      <c r="AE36" s="85"/>
      <c r="AF36" s="84"/>
    </row>
    <row r="37" customFormat="false" ht="11.1" hidden="false" customHeight="true" outlineLevel="0" collapsed="false">
      <c r="A37" s="55" t="n">
        <v>28</v>
      </c>
      <c r="B37" s="69" t="n">
        <v>6923.35</v>
      </c>
      <c r="C37" s="50" t="n">
        <v>378267</v>
      </c>
      <c r="D37" s="54" t="n">
        <f aca="false">C37-C36</f>
        <v>-133</v>
      </c>
      <c r="E37" s="50" t="n">
        <f aca="false">C37-152000</f>
        <v>226267</v>
      </c>
      <c r="F37" s="49" t="n">
        <f aca="false">D37/$D$2</f>
        <v>-67.0531888076632</v>
      </c>
      <c r="G37" s="49" t="n">
        <v>1262</v>
      </c>
      <c r="H37" s="53" t="n">
        <v>0</v>
      </c>
      <c r="I37" s="49" t="n">
        <f aca="false">G37+H37</f>
        <v>1262</v>
      </c>
      <c r="J37" s="76" t="n">
        <f aca="false">IF(L37&gt;0,L37,0)</f>
        <v>0</v>
      </c>
      <c r="K37" s="49" t="n">
        <f aca="false">I37+J37</f>
        <v>1262</v>
      </c>
      <c r="L37" s="49" t="n">
        <f aca="false">F37-(I37-W37)</f>
        <v>-117.053188807663</v>
      </c>
      <c r="M37" s="49" t="n">
        <v>245</v>
      </c>
      <c r="N37" s="49" t="n">
        <v>0</v>
      </c>
      <c r="O37" s="49" t="n">
        <v>0</v>
      </c>
      <c r="P37" s="6" t="n">
        <f aca="false">M37-(N37+O37)</f>
        <v>245</v>
      </c>
      <c r="Q37" s="49" t="n">
        <v>162</v>
      </c>
      <c r="R37" s="49" t="n">
        <v>92</v>
      </c>
      <c r="S37" s="49" t="n">
        <f aca="false">SUM(P37:R37)</f>
        <v>499</v>
      </c>
      <c r="T37" s="50" t="n">
        <f aca="false">T36</f>
        <v>12842</v>
      </c>
      <c r="U37" s="49" t="n">
        <v>15</v>
      </c>
      <c r="V37" s="49" t="n">
        <v>698</v>
      </c>
      <c r="W37" s="6" t="n">
        <f aca="false">N37+O37+S37+U37+V37</f>
        <v>1212</v>
      </c>
      <c r="X37" s="49" t="n">
        <f aca="false">IF(L37&lt;0,L37*-1,0)</f>
        <v>117.053188807663</v>
      </c>
      <c r="Y37" s="49" t="n">
        <f aca="false">W37+X37</f>
        <v>1329.05318880766</v>
      </c>
      <c r="Z37" s="51" t="n">
        <v>0</v>
      </c>
      <c r="AA37" s="54" t="n">
        <v>73</v>
      </c>
      <c r="AB37" s="54" t="n">
        <v>44</v>
      </c>
      <c r="AC37" s="55" t="n">
        <v>28</v>
      </c>
      <c r="AD37" s="83"/>
      <c r="AE37" s="85"/>
      <c r="AF37" s="84"/>
    </row>
    <row r="38" customFormat="false" ht="11.1" hidden="false" customHeight="true" outlineLevel="0" collapsed="false">
      <c r="A38" s="55" t="n">
        <v>29</v>
      </c>
      <c r="B38" s="69" t="n">
        <v>6923.32</v>
      </c>
      <c r="C38" s="50" t="n">
        <v>378133</v>
      </c>
      <c r="D38" s="54" t="n">
        <f aca="false">C38-C37</f>
        <v>-134</v>
      </c>
      <c r="E38" s="50" t="n">
        <f aca="false">C38-152000</f>
        <v>226133</v>
      </c>
      <c r="F38" s="49" t="n">
        <f aca="false">D38/$D$2</f>
        <v>-67.5573481220066</v>
      </c>
      <c r="G38" s="49" t="n">
        <v>1303</v>
      </c>
      <c r="H38" s="53" t="n">
        <v>0</v>
      </c>
      <c r="I38" s="49" t="n">
        <f aca="false">G38+H38</f>
        <v>1303</v>
      </c>
      <c r="J38" s="76" t="n">
        <f aca="false">IF(L38&gt;0,L38,0)</f>
        <v>0</v>
      </c>
      <c r="K38" s="49" t="n">
        <f aca="false">I38+J38</f>
        <v>1303</v>
      </c>
      <c r="L38" s="49" t="n">
        <f aca="false">F38-(I38-W38)</f>
        <v>-38.5573481220066</v>
      </c>
      <c r="M38" s="49" t="n">
        <v>245</v>
      </c>
      <c r="N38" s="49" t="n">
        <v>0</v>
      </c>
      <c r="O38" s="49" t="n">
        <v>0</v>
      </c>
      <c r="P38" s="6" t="n">
        <f aca="false">M38-(N38+O38)</f>
        <v>245</v>
      </c>
      <c r="Q38" s="49" t="n">
        <v>162</v>
      </c>
      <c r="R38" s="49" t="n">
        <v>91</v>
      </c>
      <c r="S38" s="49" t="n">
        <f aca="false">SUM(P38:R38)</f>
        <v>498</v>
      </c>
      <c r="T38" s="50" t="n">
        <f aca="false">T37</f>
        <v>12842</v>
      </c>
      <c r="U38" s="49" t="n">
        <v>33</v>
      </c>
      <c r="V38" s="49" t="n">
        <v>801</v>
      </c>
      <c r="W38" s="6" t="n">
        <f aca="false">N38+O38+S38+U38+V38</f>
        <v>1332</v>
      </c>
      <c r="X38" s="49" t="n">
        <f aca="false">IF(L38&lt;0,L38*-1,0)</f>
        <v>38.5573481220066</v>
      </c>
      <c r="Y38" s="49" t="n">
        <f aca="false">W38+X38</f>
        <v>1370.55734812201</v>
      </c>
      <c r="Z38" s="51" t="n">
        <v>0</v>
      </c>
      <c r="AA38" s="54" t="n">
        <v>73</v>
      </c>
      <c r="AB38" s="54" t="n">
        <v>41</v>
      </c>
      <c r="AC38" s="55" t="n">
        <v>29</v>
      </c>
      <c r="AD38" s="83"/>
      <c r="AE38" s="85"/>
      <c r="AF38" s="84"/>
    </row>
    <row r="39" customFormat="false" ht="11.1" hidden="false" customHeight="true" outlineLevel="0" collapsed="false">
      <c r="A39" s="55" t="n">
        <v>30</v>
      </c>
      <c r="B39" s="69" t="n">
        <v>6923.38</v>
      </c>
      <c r="C39" s="50" t="n">
        <v>378400</v>
      </c>
      <c r="D39" s="54" t="n">
        <f aca="false">C39-C38</f>
        <v>267</v>
      </c>
      <c r="E39" s="50" t="n">
        <f aca="false">C39-152000</f>
        <v>226400</v>
      </c>
      <c r="F39" s="49" t="n">
        <f aca="false">D39/$D$2</f>
        <v>134.61053692967</v>
      </c>
      <c r="G39" s="49" t="n">
        <v>1317</v>
      </c>
      <c r="H39" s="53" t="n">
        <v>0</v>
      </c>
      <c r="I39" s="49" t="n">
        <f aca="false">G39+H39</f>
        <v>1317</v>
      </c>
      <c r="J39" s="76" t="n">
        <f aca="false">IF(L39&gt;0,L39,0)</f>
        <v>57.6105369296698</v>
      </c>
      <c r="K39" s="49" t="n">
        <f aca="false">I39+J39</f>
        <v>1374.61053692967</v>
      </c>
      <c r="L39" s="49" t="n">
        <f aca="false">F39-(I39-W39)</f>
        <v>57.6105369296698</v>
      </c>
      <c r="M39" s="49" t="n">
        <v>244</v>
      </c>
      <c r="N39" s="49" t="n">
        <v>0</v>
      </c>
      <c r="O39" s="49" t="n">
        <v>0</v>
      </c>
      <c r="P39" s="6" t="n">
        <f aca="false">M39-(N39+O39)</f>
        <v>244</v>
      </c>
      <c r="Q39" s="49" t="n">
        <v>162</v>
      </c>
      <c r="R39" s="49" t="n">
        <v>92</v>
      </c>
      <c r="S39" s="49" t="n">
        <f aca="false">SUM(P39:R39)</f>
        <v>498</v>
      </c>
      <c r="T39" s="50" t="n">
        <f aca="false">T38</f>
        <v>12842</v>
      </c>
      <c r="U39" s="49" t="n">
        <v>26</v>
      </c>
      <c r="V39" s="49" t="n">
        <v>716</v>
      </c>
      <c r="W39" s="6" t="n">
        <f aca="false">N39+O39+S39+U39+V39</f>
        <v>1240</v>
      </c>
      <c r="X39" s="49" t="n">
        <f aca="false">IF(L39&lt;0,L39*-1,0)</f>
        <v>0</v>
      </c>
      <c r="Y39" s="49" t="n">
        <f aca="false">W39+X39</f>
        <v>1240</v>
      </c>
      <c r="Z39" s="51" t="n">
        <v>0</v>
      </c>
      <c r="AA39" s="54" t="n">
        <v>63</v>
      </c>
      <c r="AB39" s="54" t="n">
        <v>27</v>
      </c>
      <c r="AC39" s="55" t="n">
        <v>30</v>
      </c>
      <c r="AD39" s="83"/>
      <c r="AE39" s="85"/>
      <c r="AF39" s="84"/>
    </row>
    <row r="40" customFormat="false" ht="11.1" hidden="false" customHeight="true" outlineLevel="0" collapsed="false">
      <c r="A40" s="55" t="n">
        <v>31</v>
      </c>
      <c r="B40" s="69" t="n">
        <v>6923.3</v>
      </c>
      <c r="C40" s="50" t="n">
        <v>378044</v>
      </c>
      <c r="D40" s="54" t="n">
        <f aca="false">C40-C39</f>
        <v>-356</v>
      </c>
      <c r="E40" s="50" t="n">
        <f aca="false">C40-152000</f>
        <v>226044</v>
      </c>
      <c r="F40" s="49" t="n">
        <f aca="false">D40/$D$2</f>
        <v>-179.480715906226</v>
      </c>
      <c r="G40" s="49" t="n">
        <v>999</v>
      </c>
      <c r="H40" s="53" t="n">
        <v>2</v>
      </c>
      <c r="I40" s="49" t="n">
        <f aca="false">G40+H40</f>
        <v>1001</v>
      </c>
      <c r="J40" s="76" t="n">
        <f aca="false">IF(L40&gt;0,L40,0)</f>
        <v>0</v>
      </c>
      <c r="K40" s="49" t="n">
        <f aca="false">I40+J40</f>
        <v>1001</v>
      </c>
      <c r="L40" s="49" t="n">
        <f aca="false">F40-(I40-W40)</f>
        <v>-53.4807159062264</v>
      </c>
      <c r="M40" s="49" t="n">
        <v>244</v>
      </c>
      <c r="N40" s="49" t="n">
        <v>0</v>
      </c>
      <c r="O40" s="49" t="n">
        <v>0</v>
      </c>
      <c r="P40" s="6" t="n">
        <f aca="false">M40-(N40+O40)</f>
        <v>244</v>
      </c>
      <c r="Q40" s="49" t="n">
        <v>162</v>
      </c>
      <c r="R40" s="49" t="n">
        <v>91</v>
      </c>
      <c r="S40" s="49" t="n">
        <f aca="false">SUM(P40:R40)</f>
        <v>497</v>
      </c>
      <c r="T40" s="50" t="n">
        <f aca="false">T39</f>
        <v>12842</v>
      </c>
      <c r="U40" s="49" t="n">
        <v>30</v>
      </c>
      <c r="V40" s="49" t="n">
        <v>600</v>
      </c>
      <c r="W40" s="6" t="n">
        <f aca="false">N40+O40+S40+U40+V40</f>
        <v>1127</v>
      </c>
      <c r="X40" s="49" t="n">
        <f aca="false">IF(L40&lt;0,L40*-1,0)</f>
        <v>53.4807159062264</v>
      </c>
      <c r="Y40" s="49" t="n">
        <f aca="false">W40+X40</f>
        <v>1180.48071590623</v>
      </c>
      <c r="Z40" s="51" t="n">
        <v>0</v>
      </c>
      <c r="AA40" s="54" t="n">
        <v>66</v>
      </c>
      <c r="AB40" s="54" t="n">
        <v>27</v>
      </c>
      <c r="AC40" s="55" t="n">
        <v>31</v>
      </c>
      <c r="AD40" s="83"/>
      <c r="AE40" s="85"/>
      <c r="AF40" s="84"/>
    </row>
    <row r="41" customFormat="false" ht="3" hidden="false" customHeight="true" outlineLevel="0" collapsed="false">
      <c r="A41" s="70"/>
      <c r="B41" s="70"/>
      <c r="C41" s="72"/>
      <c r="D41" s="70"/>
      <c r="E41" s="72"/>
      <c r="F41" s="70"/>
      <c r="G41" s="70"/>
      <c r="H41" s="102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2"/>
      <c r="U41" s="70"/>
      <c r="V41" s="70"/>
      <c r="W41" s="70"/>
      <c r="X41" s="70"/>
      <c r="Y41" s="70"/>
      <c r="Z41" s="73"/>
      <c r="AA41" s="74"/>
      <c r="AB41" s="74"/>
      <c r="AC41" s="75"/>
      <c r="AD41" s="83"/>
      <c r="AE41" s="83"/>
      <c r="AF41" s="84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4444.66851525082</v>
      </c>
      <c r="G42" s="50" t="n">
        <f aca="false">SUM(G10:G40)</f>
        <v>36002</v>
      </c>
      <c r="H42" s="53" t="n">
        <f aca="false">SUM(H10:H40)</f>
        <v>946</v>
      </c>
      <c r="I42" s="50" t="n">
        <f aca="false">SUM(I10:I40)</f>
        <v>36948</v>
      </c>
      <c r="J42" s="50" t="n">
        <f aca="false">SUM(J10:J40)</f>
        <v>2920.17116208722</v>
      </c>
      <c r="K42" s="50" t="n">
        <f aca="false">SUM(K10:K40)</f>
        <v>39868.1711620872</v>
      </c>
      <c r="L42" s="50" t="n">
        <f aca="false">SUM(L10:L40)</f>
        <v>2044.66851525082</v>
      </c>
      <c r="M42" s="50" t="n">
        <f aca="false">SUM(M10:M40)</f>
        <v>6189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6189</v>
      </c>
      <c r="Q42" s="50" t="n">
        <f aca="false">SUM(Q10:Q40)</f>
        <v>4838</v>
      </c>
      <c r="R42" s="50" t="n">
        <f aca="false">SUM(R10:R40)</f>
        <v>2242</v>
      </c>
      <c r="S42" s="50" t="n">
        <f aca="false">SUM(S10:S40)</f>
        <v>13269</v>
      </c>
      <c r="T42" s="50"/>
      <c r="U42" s="50" t="n">
        <f aca="false">SUM(U10:U40)</f>
        <v>499</v>
      </c>
      <c r="V42" s="50" t="n">
        <f aca="false">SUM(V10:V40)</f>
        <v>20780</v>
      </c>
      <c r="W42" s="50" t="n">
        <f aca="false">SUM(W10:W40)</f>
        <v>34548</v>
      </c>
      <c r="X42" s="50" t="n">
        <f aca="false">SUM(X10:X40)</f>
        <v>875.5026468364</v>
      </c>
      <c r="Y42" s="50" t="n">
        <f aca="false">SUM(Y10:Y40)</f>
        <v>35423.5026468364</v>
      </c>
      <c r="Z42" s="51" t="n">
        <f aca="false">SUM(Z10:Z40)</f>
        <v>0.69</v>
      </c>
      <c r="AA42" s="54" t="n">
        <f aca="false">AVERAGE(AA10:AA40)</f>
        <v>67.258064516129</v>
      </c>
      <c r="AB42" s="54" t="n">
        <f aca="false">AVERAGE(AB10:AB40)</f>
        <v>34.1290322580645</v>
      </c>
      <c r="AC42" s="55" t="s">
        <v>69</v>
      </c>
      <c r="AD42" s="83"/>
      <c r="AE42" s="83"/>
      <c r="AF42" s="84"/>
    </row>
    <row r="43" customFormat="false" ht="11.1" hidden="false" customHeight="true" outlineLevel="0" collapsed="false">
      <c r="A43" s="49" t="s">
        <v>46</v>
      </c>
      <c r="B43" s="49"/>
      <c r="C43" s="50"/>
      <c r="D43" s="50" t="n">
        <f aca="false">SUM(D10:D40)</f>
        <v>8816</v>
      </c>
      <c r="E43" s="50"/>
      <c r="F43" s="50" t="n">
        <f aca="false">F42*$D$2</f>
        <v>8816</v>
      </c>
      <c r="G43" s="50" t="n">
        <f aca="false">G42*$D$2</f>
        <v>71409.967</v>
      </c>
      <c r="H43" s="53" t="n">
        <f aca="false">H42*$D$2</f>
        <v>1876.391</v>
      </c>
      <c r="I43" s="50" t="n">
        <f aca="false">I42*$D$2</f>
        <v>73286.358</v>
      </c>
      <c r="J43" s="50" t="n">
        <f aca="false">J42*$D$2</f>
        <v>5792.1595</v>
      </c>
      <c r="K43" s="50" t="n">
        <f aca="false">K42*$D$2</f>
        <v>79078.5175</v>
      </c>
      <c r="L43" s="50" t="n">
        <f aca="false">L42*$D$2</f>
        <v>4055.6</v>
      </c>
      <c r="M43" s="50" t="n">
        <f aca="false">M42*$D$2</f>
        <v>12275.8815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12275.8815</v>
      </c>
      <c r="Q43" s="50" t="n">
        <f aca="false">Q42*$D$2</f>
        <v>9596.173</v>
      </c>
      <c r="R43" s="50" t="n">
        <f aca="false">R42*$D$2</f>
        <v>4447.007</v>
      </c>
      <c r="S43" s="50" t="n">
        <f aca="false">S42*$D$2</f>
        <v>26319.0615</v>
      </c>
      <c r="T43" s="50"/>
      <c r="U43" s="50" t="n">
        <f aca="false">U42*$D$2</f>
        <v>989.7665</v>
      </c>
      <c r="V43" s="50" t="n">
        <f aca="false">V42*$D$2</f>
        <v>41217.13</v>
      </c>
      <c r="W43" s="104" t="n">
        <f aca="false">W42*$D$2</f>
        <v>68525.958</v>
      </c>
      <c r="X43" s="50" t="n">
        <f aca="false">X42*$D$2</f>
        <v>1736.5595</v>
      </c>
      <c r="Y43" s="50" t="n">
        <f aca="false">Y42*$D$2</f>
        <v>70262.5175</v>
      </c>
      <c r="Z43" s="51"/>
      <c r="AA43" s="54" t="n">
        <f aca="false">MAX(AA10:AA40)</f>
        <v>79</v>
      </c>
      <c r="AB43" s="54" t="n">
        <f aca="false">MAX(AB10:AB40)</f>
        <v>46</v>
      </c>
      <c r="AC43" s="55" t="s">
        <v>47</v>
      </c>
      <c r="AD43" s="83"/>
      <c r="AE43" s="83"/>
      <c r="AF43" s="84"/>
    </row>
    <row r="44" customFormat="false" ht="3" hidden="false" customHeight="true" outlineLevel="0" collapsed="false">
      <c r="A44" s="70"/>
      <c r="B44" s="70"/>
      <c r="C44" s="72"/>
      <c r="D44" s="72"/>
      <c r="E44" s="72"/>
      <c r="F44" s="72"/>
      <c r="G44" s="72"/>
      <c r="H44" s="10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1"/>
      <c r="AA44" s="54"/>
      <c r="AB44" s="54"/>
      <c r="AC44" s="55"/>
      <c r="AD44" s="83"/>
      <c r="AE44" s="83"/>
      <c r="AF44" s="84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 t="n">
        <f aca="false">F7+F42</f>
        <v>23438.8706831359</v>
      </c>
      <c r="G45" s="50" t="n">
        <f aca="false">G7+G42</f>
        <v>52759</v>
      </c>
      <c r="H45" s="53" t="n">
        <f aca="false">H7+H42</f>
        <v>2277</v>
      </c>
      <c r="I45" s="50" t="n">
        <f aca="false">I7+I42</f>
        <v>55036</v>
      </c>
      <c r="J45" s="50" t="n">
        <f aca="false">J7+J42</f>
        <v>11397.857322914</v>
      </c>
      <c r="K45" s="50" t="n">
        <f aca="false">K7+K42</f>
        <v>66433.8573229141</v>
      </c>
      <c r="L45" s="50" t="n">
        <f aca="false">L7+L42</f>
        <v>9175.87068313587</v>
      </c>
      <c r="M45" s="50" t="n">
        <f aca="false">M7+M42</f>
        <v>7753</v>
      </c>
      <c r="N45" s="50" t="n">
        <f aca="false">N7+N42</f>
        <v>0</v>
      </c>
      <c r="O45" s="50" t="n">
        <f aca="false">O7+O42</f>
        <v>0</v>
      </c>
      <c r="P45" s="50" t="n">
        <f aca="false">P7+P42</f>
        <v>7753</v>
      </c>
      <c r="Q45" s="50" t="n">
        <f aca="false">Q7+Q42</f>
        <v>6264</v>
      </c>
      <c r="R45" s="50" t="n">
        <f aca="false">R7+R42</f>
        <v>2430</v>
      </c>
      <c r="S45" s="50" t="n">
        <f aca="false">S7+S42</f>
        <v>16447</v>
      </c>
      <c r="T45" s="50" t="n">
        <f aca="false">T7+T42</f>
        <v>12842</v>
      </c>
      <c r="U45" s="50" t="n">
        <f aca="false">U7+U42</f>
        <v>642</v>
      </c>
      <c r="V45" s="50" t="n">
        <f aca="false">V7+V42</f>
        <v>23684</v>
      </c>
      <c r="W45" s="50" t="n">
        <f aca="false">W7+W42</f>
        <v>40773</v>
      </c>
      <c r="X45" s="50" t="n">
        <f aca="false">X7+X42</f>
        <v>2221.98663977817</v>
      </c>
      <c r="Y45" s="50" t="n">
        <f aca="false">Y7+Y42</f>
        <v>42994.9866397782</v>
      </c>
      <c r="Z45" s="51"/>
      <c r="AA45" s="54" t="n">
        <f aca="false">MIN(AA10:AA40)</f>
        <v>45</v>
      </c>
      <c r="AB45" s="54" t="n">
        <f aca="false">MIN(AB10:AB40)</f>
        <v>20</v>
      </c>
      <c r="AC45" s="55" t="s">
        <v>49</v>
      </c>
      <c r="AD45" s="83"/>
      <c r="AE45" s="83"/>
      <c r="AF45" s="84"/>
    </row>
    <row r="46" customFormat="false" ht="11.1" hidden="false" customHeight="true" outlineLevel="0" collapsed="false">
      <c r="A46" s="49" t="s">
        <v>50</v>
      </c>
      <c r="B46" s="49"/>
      <c r="C46" s="50"/>
      <c r="D46" s="50"/>
      <c r="E46" s="50"/>
      <c r="F46" s="50" t="n">
        <f aca="false">F45*$D$2</f>
        <v>46491</v>
      </c>
      <c r="G46" s="50" t="n">
        <f aca="false">G45*$D$2</f>
        <v>104647.4765</v>
      </c>
      <c r="H46" s="53" t="n">
        <f aca="false">H45*$D$2</f>
        <v>4516.4295</v>
      </c>
      <c r="I46" s="50" t="n">
        <f aca="false">I45*$D$2</f>
        <v>109163.906</v>
      </c>
      <c r="J46" s="50" t="n">
        <f aca="false">J45*$D$2</f>
        <v>22607.65</v>
      </c>
      <c r="K46" s="50" t="n">
        <f aca="false">K45*$D$2</f>
        <v>131771.556</v>
      </c>
      <c r="L46" s="50" t="n">
        <f aca="false">L45*$D$2</f>
        <v>18200.3395</v>
      </c>
      <c r="M46" s="50" t="n">
        <f aca="false">M45*$D$2</f>
        <v>15378.0755</v>
      </c>
      <c r="N46" s="50" t="n">
        <f aca="false">N45*$D$2</f>
        <v>0</v>
      </c>
      <c r="O46" s="50" t="n">
        <f aca="false">O45*$D$2</f>
        <v>0</v>
      </c>
      <c r="P46" s="50" t="n">
        <f aca="false">P45*$D$2</f>
        <v>15378.0755</v>
      </c>
      <c r="Q46" s="50" t="n">
        <f aca="false">Q45*$D$2</f>
        <v>12424.644</v>
      </c>
      <c r="R46" s="50" t="n">
        <f aca="false">R45*$D$2</f>
        <v>4819.905</v>
      </c>
      <c r="S46" s="50" t="n">
        <f aca="false">S45*$D$2</f>
        <v>32622.6245</v>
      </c>
      <c r="T46" s="50" t="n">
        <f aca="false">T45*$D$2</f>
        <v>25472.107</v>
      </c>
      <c r="U46" s="50" t="n">
        <f aca="false">U45*$D$2</f>
        <v>1273.407</v>
      </c>
      <c r="V46" s="50" t="n">
        <f aca="false">V45*$D$2</f>
        <v>46977.214</v>
      </c>
      <c r="W46" s="50" t="n">
        <f aca="false">W45*$D$2</f>
        <v>80873.2455</v>
      </c>
      <c r="X46" s="50" t="n">
        <f aca="false">X45*$D$2</f>
        <v>4407.3105</v>
      </c>
      <c r="Y46" s="50" t="n">
        <f aca="false">Y45*$D$2</f>
        <v>85280.556</v>
      </c>
      <c r="Z46" s="51"/>
      <c r="AA46" s="54"/>
      <c r="AB46" s="54"/>
      <c r="AC46" s="55"/>
      <c r="AD46" s="83"/>
      <c r="AE46" s="83"/>
      <c r="AF46" s="84"/>
    </row>
    <row r="47" customFormat="false" ht="3" hidden="false" customHeight="true" outlineLevel="0" collapsed="false">
      <c r="A47" s="70"/>
      <c r="B47" s="70"/>
      <c r="C47" s="72"/>
      <c r="D47" s="72"/>
      <c r="E47" s="72"/>
      <c r="F47" s="72"/>
      <c r="G47" s="72"/>
      <c r="H47" s="10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54"/>
      <c r="AB47" s="54"/>
      <c r="AC47" s="55"/>
      <c r="AD47" s="83"/>
      <c r="AE47" s="83"/>
      <c r="AF47" s="84"/>
    </row>
    <row r="48" customFormat="false" ht="11.1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26177.4640786488</v>
      </c>
      <c r="G48" s="50" t="n">
        <f aca="false">G8+G42</f>
        <v>68084</v>
      </c>
      <c r="H48" s="53" t="n">
        <f aca="false">H8+H42</f>
        <v>2483</v>
      </c>
      <c r="I48" s="50" t="n">
        <f aca="false">I8+I42</f>
        <v>70567</v>
      </c>
      <c r="J48" s="50" t="n">
        <f aca="false">J8+J42</f>
        <v>14755.5908747164</v>
      </c>
      <c r="K48" s="50" t="n">
        <f aca="false">K8+K42</f>
        <v>85322.5908747164</v>
      </c>
      <c r="L48" s="50" t="n">
        <f aca="false">L8+L42</f>
        <v>11517.4640786489</v>
      </c>
      <c r="M48" s="50" t="n">
        <f aca="false">M8+M42</f>
        <v>9072</v>
      </c>
      <c r="N48" s="50" t="n">
        <f aca="false">N8+N42</f>
        <v>0</v>
      </c>
      <c r="O48" s="50" t="n">
        <f aca="false">O8+O42</f>
        <v>0</v>
      </c>
      <c r="P48" s="50" t="n">
        <f aca="false">P8+P42</f>
        <v>9072</v>
      </c>
      <c r="Q48" s="50" t="n">
        <f aca="false">Q8+Q42</f>
        <v>8024</v>
      </c>
      <c r="R48" s="50" t="n">
        <f aca="false">R8+R42</f>
        <v>2626</v>
      </c>
      <c r="S48" s="50" t="n">
        <f aca="false">S8+S42</f>
        <v>19722</v>
      </c>
      <c r="T48" s="50"/>
      <c r="U48" s="50" t="n">
        <f aca="false">U8+U42</f>
        <v>642</v>
      </c>
      <c r="V48" s="50" t="n">
        <f aca="false">V8+V42</f>
        <v>35543</v>
      </c>
      <c r="W48" s="50" t="n">
        <f aca="false">W8+W42</f>
        <v>55907</v>
      </c>
      <c r="X48" s="50" t="n">
        <f aca="false">X8+X42</f>
        <v>3238.12679606756</v>
      </c>
      <c r="Y48" s="50" t="n">
        <f aca="false">Y8+Y42</f>
        <v>59145.1267960676</v>
      </c>
      <c r="Z48" s="51" t="n">
        <f aca="false">Z8+Z42</f>
        <v>10.13</v>
      </c>
      <c r="AA48" s="54"/>
      <c r="AB48" s="54"/>
      <c r="AC48" s="55"/>
      <c r="AD48" s="83"/>
      <c r="AE48" s="83"/>
      <c r="AF48" s="84"/>
    </row>
    <row r="49" customFormat="false" ht="11.1" hidden="false" customHeight="true" outlineLevel="0" collapsed="false">
      <c r="A49" s="49" t="s">
        <v>52</v>
      </c>
      <c r="B49" s="49"/>
      <c r="C49" s="50"/>
      <c r="D49" s="50" t="n">
        <f aca="false">D8+D43</f>
        <v>51923</v>
      </c>
      <c r="E49" s="50" t="n">
        <f aca="false">E40</f>
        <v>226044</v>
      </c>
      <c r="F49" s="50" t="n">
        <f aca="false">F48*$D$2</f>
        <v>51923</v>
      </c>
      <c r="G49" s="50" t="n">
        <f aca="false">G48*$D$2</f>
        <v>135044.614</v>
      </c>
      <c r="H49" s="53" t="n">
        <f aca="false">H48*$D$2</f>
        <v>4925.0305</v>
      </c>
      <c r="I49" s="50" t="n">
        <f aca="false">I48*$D$2</f>
        <v>139969.6445</v>
      </c>
      <c r="J49" s="50" t="n">
        <f aca="false">J48*$D$2</f>
        <v>29267.7145</v>
      </c>
      <c r="K49" s="50" t="n">
        <f aca="false">K48*$D$2</f>
        <v>169237.359</v>
      </c>
      <c r="L49" s="50" t="n">
        <f aca="false">L48*$D$2</f>
        <v>22844.89</v>
      </c>
      <c r="M49" s="50" t="n">
        <f aca="false">M48*$D$2</f>
        <v>17994.312</v>
      </c>
      <c r="N49" s="50" t="n">
        <f aca="false">N48*$D$2</f>
        <v>0</v>
      </c>
      <c r="O49" s="50" t="n">
        <f aca="false">O48*$D$2</f>
        <v>0</v>
      </c>
      <c r="P49" s="50" t="n">
        <f aca="false">P48*$D$2</f>
        <v>17994.312</v>
      </c>
      <c r="Q49" s="50" t="n">
        <f aca="false">Q48*$D$2</f>
        <v>15915.604</v>
      </c>
      <c r="R49" s="50" t="n">
        <f aca="false">R48*$D$2</f>
        <v>5208.671</v>
      </c>
      <c r="S49" s="50" t="n">
        <f aca="false">S48*$D$2</f>
        <v>39118.587</v>
      </c>
      <c r="T49" s="50" t="n">
        <f aca="false">T48*$D$2</f>
        <v>0</v>
      </c>
      <c r="U49" s="50" t="n">
        <f aca="false">U48*$D$2</f>
        <v>1273.407</v>
      </c>
      <c r="V49" s="50" t="n">
        <f aca="false">V48*$D$2</f>
        <v>70499.5405</v>
      </c>
      <c r="W49" s="50" t="n">
        <f aca="false">W48*$D$2</f>
        <v>110891.5345</v>
      </c>
      <c r="X49" s="50" t="n">
        <f aca="false">X48*$D$2</f>
        <v>6422.8245</v>
      </c>
      <c r="Y49" s="50" t="n">
        <f aca="false">Y48*$D$2</f>
        <v>117314.359</v>
      </c>
      <c r="Z49" s="51"/>
      <c r="AA49" s="54"/>
      <c r="AB49" s="54"/>
      <c r="AC49" s="55"/>
      <c r="AD49" s="83"/>
      <c r="AE49" s="83"/>
      <c r="AF49" s="84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102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1"/>
      <c r="AA50" s="54"/>
      <c r="AB50" s="54"/>
      <c r="AC50" s="55"/>
      <c r="AD50" s="83"/>
      <c r="AE50" s="83"/>
      <c r="AF50" s="84"/>
    </row>
    <row r="51" customFormat="false" ht="11.1" hidden="false" customHeight="true" outlineLevel="0" collapsed="false">
      <c r="A51" s="105"/>
      <c r="B51" s="79"/>
      <c r="C51" s="50"/>
      <c r="D51" s="49"/>
      <c r="E51" s="50"/>
      <c r="F51" s="49"/>
      <c r="G51" s="49"/>
      <c r="H51" s="53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  <c r="Y51" s="49"/>
      <c r="Z51" s="51"/>
      <c r="AA51" s="54"/>
      <c r="AB51" s="54"/>
      <c r="AC51" s="55"/>
      <c r="AD51" s="82"/>
      <c r="AE51" s="82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77"/>
      <c r="H52" s="53"/>
      <c r="I52" s="88"/>
      <c r="J52" s="49"/>
      <c r="K52" s="39"/>
      <c r="L52" s="49"/>
      <c r="M52" s="49"/>
      <c r="N52" s="50"/>
      <c r="O52" s="106"/>
      <c r="P52" s="49"/>
      <c r="Q52" s="49"/>
      <c r="R52" s="50"/>
      <c r="S52" s="106"/>
      <c r="T52" s="50"/>
      <c r="U52" s="49"/>
      <c r="V52" s="50"/>
      <c r="W52" s="49"/>
      <c r="X52" s="49"/>
      <c r="Y52" s="53"/>
      <c r="Z52" s="51"/>
      <c r="AA52" s="54"/>
      <c r="AB52" s="55"/>
      <c r="AC52" s="82"/>
      <c r="AD52" s="82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53"/>
      <c r="I53" s="50"/>
      <c r="J53" s="77"/>
      <c r="K53" s="77"/>
      <c r="L53" s="76"/>
      <c r="M53" s="0"/>
      <c r="N53" s="88"/>
      <c r="O53" s="76"/>
      <c r="P53" s="77"/>
      <c r="Q53" s="77"/>
      <c r="R53" s="88"/>
      <c r="S53" s="50"/>
      <c r="T53" s="107"/>
      <c r="U53" s="77"/>
      <c r="V53" s="50"/>
      <c r="W53" s="77"/>
      <c r="X53" s="77"/>
      <c r="Y53" s="53"/>
      <c r="Z53" s="51"/>
      <c r="AA53" s="54"/>
      <c r="AB53" s="55"/>
      <c r="AC53" s="86"/>
      <c r="AD53" s="86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53"/>
      <c r="I54" s="77"/>
      <c r="J54" s="77"/>
      <c r="K54" s="77"/>
      <c r="L54" s="77"/>
      <c r="M54" s="76"/>
      <c r="N54" s="76"/>
      <c r="O54" s="76"/>
      <c r="P54" s="77"/>
      <c r="Q54" s="77"/>
      <c r="R54" s="77"/>
      <c r="S54" s="50"/>
      <c r="T54" s="77"/>
      <c r="U54" s="50"/>
      <c r="V54" s="50"/>
      <c r="W54" s="77"/>
      <c r="X54" s="77"/>
      <c r="Y54" s="53"/>
      <c r="Z54" s="51"/>
      <c r="AA54" s="54"/>
      <c r="AB54" s="55"/>
      <c r="AC54" s="86"/>
      <c r="AD54" s="86"/>
    </row>
    <row r="55" customFormat="false" ht="11.1" hidden="false" customHeight="true" outlineLevel="0" collapsed="false">
      <c r="A55" s="77"/>
      <c r="B55" s="0"/>
      <c r="C55" s="50"/>
      <c r="D55" s="0"/>
      <c r="E55" s="50"/>
      <c r="F55" s="77"/>
      <c r="G55" s="108"/>
      <c r="H55" s="109"/>
      <c r="I55" s="110"/>
      <c r="J55" s="77"/>
      <c r="K55" s="77"/>
      <c r="L55" s="77"/>
      <c r="M55" s="76"/>
      <c r="N55" s="76"/>
      <c r="O55" s="76"/>
      <c r="P55" s="77"/>
      <c r="Q55" s="77"/>
      <c r="R55" s="77"/>
      <c r="S55" s="50"/>
      <c r="T55" s="77"/>
      <c r="U55" s="77"/>
      <c r="V55" s="50"/>
      <c r="W55" s="77"/>
      <c r="X55" s="77"/>
      <c r="Y55" s="53"/>
      <c r="Z55" s="51"/>
      <c r="AA55" s="54"/>
      <c r="AB55" s="55"/>
      <c r="AC55" s="86"/>
      <c r="AD55" s="8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0" activePane="bottomRight" state="frozen"/>
      <selection pane="topLeft" activeCell="A1" activeCellId="0" sqref="A1"/>
      <selection pane="topRight" activeCell="L1" activeCellId="0" sqref="L1"/>
      <selection pane="bottomLeft" activeCell="A20" activeCellId="0" sqref="A20"/>
      <selection pane="bottomRight" activeCell="AB39" activeCellId="0" sqref="AB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91" width="8.16"/>
    <col collapsed="false" customWidth="true" hidden="false" outlineLevel="0" max="26" min="26" style="2" width="5.1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40"/>
      <c r="Z1" s="8"/>
      <c r="AA1" s="10"/>
      <c r="AB1" s="11"/>
      <c r="AC1" s="92"/>
      <c r="AD1" s="92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8"/>
      <c r="I2" s="6"/>
      <c r="J2" s="6"/>
      <c r="K2" s="93" t="s">
        <v>70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6"/>
      <c r="X2" s="6"/>
      <c r="Y2" s="40"/>
      <c r="Z2" s="8"/>
      <c r="AA2" s="10"/>
      <c r="AB2" s="11"/>
      <c r="AC2" s="92"/>
      <c r="AD2" s="92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40"/>
      <c r="Z3" s="8"/>
      <c r="AA3" s="10"/>
      <c r="AB3" s="11"/>
      <c r="AC3" s="92"/>
      <c r="AD3" s="92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4" t="s">
        <v>10</v>
      </c>
      <c r="X4" s="14" t="s">
        <v>11</v>
      </c>
      <c r="Y4" s="14" t="s">
        <v>12</v>
      </c>
      <c r="Z4" s="16" t="s">
        <v>19</v>
      </c>
      <c r="AA4" s="18" t="s">
        <v>20</v>
      </c>
      <c r="AB4" s="18" t="s">
        <v>21</v>
      </c>
      <c r="AC4" s="18" t="s">
        <v>3</v>
      </c>
      <c r="AD4" s="92"/>
      <c r="AE4" s="92"/>
    </row>
    <row r="5" customFormat="false" ht="11.1" hidden="false" customHeight="true" outlineLevel="0" collapsed="false">
      <c r="A5" s="19" t="s">
        <v>71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16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31</v>
      </c>
      <c r="N5" s="14" t="s">
        <v>32</v>
      </c>
      <c r="O5" s="14" t="s">
        <v>33</v>
      </c>
      <c r="P5" s="14" t="s">
        <v>63</v>
      </c>
      <c r="Q5" s="14" t="s">
        <v>35</v>
      </c>
      <c r="R5" s="14" t="s">
        <v>36</v>
      </c>
      <c r="S5" s="14" t="s">
        <v>16</v>
      </c>
      <c r="T5" s="15" t="s">
        <v>37</v>
      </c>
      <c r="U5" s="14" t="s">
        <v>38</v>
      </c>
      <c r="V5" s="14" t="s">
        <v>39</v>
      </c>
      <c r="W5" s="14" t="s">
        <v>40</v>
      </c>
      <c r="X5" s="14" t="s">
        <v>40</v>
      </c>
      <c r="Y5" s="14" t="s">
        <v>40</v>
      </c>
      <c r="Z5" s="21"/>
      <c r="AA5" s="18" t="s">
        <v>41</v>
      </c>
      <c r="AB5" s="18" t="s">
        <v>41</v>
      </c>
      <c r="AC5" s="22" t="s">
        <v>71</v>
      </c>
      <c r="AD5" s="92"/>
      <c r="AE5" s="92"/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3"/>
      <c r="X6" s="23"/>
      <c r="Y6" s="23"/>
      <c r="Z6" s="8"/>
      <c r="AA6" s="11"/>
      <c r="AB6" s="11"/>
      <c r="AC6" s="11"/>
      <c r="AF6" s="111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 t="n">
        <f aca="false">MAY!F45</f>
        <v>23438.8706831359</v>
      </c>
      <c r="G7" s="7" t="n">
        <f aca="false">MAY!G45</f>
        <v>52759</v>
      </c>
      <c r="H7" s="8" t="n">
        <f aca="false">MAY!H45</f>
        <v>2277</v>
      </c>
      <c r="I7" s="7" t="n">
        <f aca="false">MAY!I45</f>
        <v>55036</v>
      </c>
      <c r="J7" s="7" t="n">
        <f aca="false">MAY!J45</f>
        <v>11397.857322914</v>
      </c>
      <c r="K7" s="7" t="n">
        <f aca="false">MAY!K45</f>
        <v>66433.8573229141</v>
      </c>
      <c r="L7" s="7" t="n">
        <f aca="false">MAY!L45</f>
        <v>9175.87068313587</v>
      </c>
      <c r="M7" s="7" t="n">
        <f aca="false">MAY!M45</f>
        <v>7753</v>
      </c>
      <c r="N7" s="7" t="n">
        <f aca="false">MAY!N45</f>
        <v>0</v>
      </c>
      <c r="O7" s="7" t="n">
        <f aca="false">MAY!O45</f>
        <v>0</v>
      </c>
      <c r="P7" s="7" t="n">
        <f aca="false">MAY!P45</f>
        <v>7753</v>
      </c>
      <c r="Q7" s="7" t="n">
        <f aca="false">MAY!Q45</f>
        <v>6264</v>
      </c>
      <c r="R7" s="7" t="n">
        <f aca="false">MAY!R45</f>
        <v>2430</v>
      </c>
      <c r="S7" s="7" t="n">
        <f aca="false">MAY!S45</f>
        <v>16447</v>
      </c>
      <c r="T7" s="7" t="n">
        <f aca="false">MAY!T45</f>
        <v>12842</v>
      </c>
      <c r="U7" s="7" t="n">
        <f aca="false">MAY!U45</f>
        <v>642</v>
      </c>
      <c r="V7" s="7" t="n">
        <f aca="false">MAY!V45</f>
        <v>23684</v>
      </c>
      <c r="W7" s="7" t="n">
        <f aca="false">MAY!W45</f>
        <v>40773</v>
      </c>
      <c r="X7" s="7" t="n">
        <f aca="false">MAY!X45</f>
        <v>2221.98663977817</v>
      </c>
      <c r="Y7" s="7" t="n">
        <f aca="false">MAY!Y45</f>
        <v>42994.9866397782</v>
      </c>
      <c r="Z7" s="8"/>
      <c r="AA7" s="10"/>
      <c r="AB7" s="10"/>
      <c r="AC7" s="11"/>
      <c r="AD7" s="96"/>
      <c r="AF7" s="112"/>
    </row>
    <row r="8" s="1" customFormat="true" ht="11.1" hidden="false" customHeight="true" outlineLevel="0" collapsed="false">
      <c r="A8" s="7" t="s">
        <v>43</v>
      </c>
      <c r="B8" s="26" t="n">
        <f aca="false">MAY!B40</f>
        <v>6923.3</v>
      </c>
      <c r="C8" s="7" t="n">
        <f aca="false">MAY!C40</f>
        <v>378044</v>
      </c>
      <c r="D8" s="7" t="n">
        <f aca="false">MAY!D49</f>
        <v>51923</v>
      </c>
      <c r="E8" s="7" t="n">
        <f aca="false">MAY!E49</f>
        <v>226044</v>
      </c>
      <c r="F8" s="7" t="n">
        <f aca="false">MAY!F48</f>
        <v>26177.4640786488</v>
      </c>
      <c r="G8" s="7" t="n">
        <f aca="false">MAY!G48</f>
        <v>68084</v>
      </c>
      <c r="H8" s="8" t="n">
        <f aca="false">MAY!H48</f>
        <v>2483</v>
      </c>
      <c r="I8" s="7" t="n">
        <f aca="false">MAY!I48</f>
        <v>70567</v>
      </c>
      <c r="J8" s="7" t="n">
        <f aca="false">MAY!J48</f>
        <v>14755.5908747164</v>
      </c>
      <c r="K8" s="7" t="n">
        <f aca="false">MAY!K48</f>
        <v>85322.5908747164</v>
      </c>
      <c r="L8" s="7" t="n">
        <f aca="false">MAY!L48</f>
        <v>11517.4640786489</v>
      </c>
      <c r="M8" s="7" t="n">
        <f aca="false">MAY!M48</f>
        <v>9072</v>
      </c>
      <c r="N8" s="7" t="n">
        <f aca="false">MAY!N48</f>
        <v>0</v>
      </c>
      <c r="O8" s="7" t="n">
        <f aca="false">MAY!O48</f>
        <v>0</v>
      </c>
      <c r="P8" s="7" t="n">
        <f aca="false">MAY!P48</f>
        <v>9072</v>
      </c>
      <c r="Q8" s="7" t="n">
        <f aca="false">MAY!Q48</f>
        <v>8024</v>
      </c>
      <c r="R8" s="7" t="n">
        <f aca="false">MAY!R48</f>
        <v>2626</v>
      </c>
      <c r="S8" s="7" t="n">
        <f aca="false">MAY!S48</f>
        <v>19722</v>
      </c>
      <c r="T8" s="7" t="n">
        <f aca="false">MAY!T46</f>
        <v>25472.107</v>
      </c>
      <c r="U8" s="7" t="n">
        <f aca="false">MAY!U48</f>
        <v>642</v>
      </c>
      <c r="V8" s="7" t="n">
        <f aca="false">MAY!V48</f>
        <v>35543</v>
      </c>
      <c r="W8" s="7" t="n">
        <f aca="false">MAY!W48</f>
        <v>55907</v>
      </c>
      <c r="X8" s="7" t="n">
        <f aca="false">MAY!X48</f>
        <v>3238.12679606756</v>
      </c>
      <c r="Y8" s="7" t="n">
        <f aca="false">MAY!Y48</f>
        <v>59145.1267960676</v>
      </c>
      <c r="Z8" s="8" t="n">
        <f aca="false">MAY!Z48</f>
        <v>10.13</v>
      </c>
      <c r="AA8" s="10"/>
      <c r="AB8" s="10"/>
      <c r="AC8" s="11"/>
      <c r="AD8" s="113"/>
      <c r="AE8" s="113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30"/>
      <c r="I9" s="27"/>
      <c r="J9" s="27"/>
      <c r="K9" s="27"/>
      <c r="L9" s="27"/>
      <c r="M9" s="27"/>
      <c r="N9" s="27"/>
      <c r="O9" s="27" t="n">
        <v>0</v>
      </c>
      <c r="P9" s="27"/>
      <c r="Q9" s="27"/>
      <c r="R9" s="27" t="n">
        <v>0</v>
      </c>
      <c r="S9" s="27"/>
      <c r="T9" s="29"/>
      <c r="U9" s="27"/>
      <c r="V9" s="27"/>
      <c r="W9" s="27"/>
      <c r="X9" s="27"/>
      <c r="Y9" s="27"/>
      <c r="Z9" s="30"/>
      <c r="AA9" s="31"/>
      <c r="AB9" s="31"/>
      <c r="AC9" s="32"/>
      <c r="AD9" s="92"/>
      <c r="AE9" s="92"/>
    </row>
    <row r="10" customFormat="false" ht="11.1" hidden="false" customHeight="true" outlineLevel="0" collapsed="false">
      <c r="A10" s="11" t="n">
        <v>1</v>
      </c>
      <c r="B10" s="26" t="n">
        <v>6923.16</v>
      </c>
      <c r="C10" s="7" t="n">
        <v>377421</v>
      </c>
      <c r="D10" s="10" t="n">
        <f aca="false">C10-C8</f>
        <v>-623</v>
      </c>
      <c r="E10" s="7" t="n">
        <f aca="false">C10-152000</f>
        <v>225421</v>
      </c>
      <c r="F10" s="6" t="n">
        <f aca="false">D10/$D$2</f>
        <v>-314.091252835896</v>
      </c>
      <c r="G10" s="6" t="n">
        <v>821</v>
      </c>
      <c r="H10" s="8" t="n">
        <v>0</v>
      </c>
      <c r="I10" s="6" t="n">
        <f aca="false">G10+H10</f>
        <v>821</v>
      </c>
      <c r="J10" s="98" t="n">
        <f aca="false">IF(L10&gt;0,L10,0)</f>
        <v>0</v>
      </c>
      <c r="K10" s="6" t="n">
        <f aca="false">I10+J10</f>
        <v>821</v>
      </c>
      <c r="L10" s="6" t="n">
        <f aca="false">F10-(I10-W10)</f>
        <v>-9.09125283589611</v>
      </c>
      <c r="M10" s="6" t="n">
        <v>244</v>
      </c>
      <c r="N10" s="6" t="n">
        <v>0</v>
      </c>
      <c r="O10" s="49" t="n">
        <v>0</v>
      </c>
      <c r="P10" s="6" t="n">
        <f aca="false">M10-(N10+O10)</f>
        <v>244</v>
      </c>
      <c r="Q10" s="6" t="n">
        <v>162</v>
      </c>
      <c r="R10" s="6" t="n">
        <v>91</v>
      </c>
      <c r="S10" s="6" t="n">
        <f aca="false">SUM(P10:R10)</f>
        <v>497</v>
      </c>
      <c r="T10" s="7" t="n">
        <f aca="false">T7</f>
        <v>12842</v>
      </c>
      <c r="U10" s="6" t="n">
        <v>29</v>
      </c>
      <c r="V10" s="6" t="n">
        <v>600</v>
      </c>
      <c r="W10" s="6" t="n">
        <f aca="false">N10+O10+S10+U10+V10</f>
        <v>1126</v>
      </c>
      <c r="X10" s="6" t="n">
        <f aca="false">IF(L10&lt;0,L10*-1,0)</f>
        <v>9.09125283589611</v>
      </c>
      <c r="Y10" s="6" t="n">
        <f aca="false">W10+X10</f>
        <v>1135.0912528359</v>
      </c>
      <c r="Z10" s="8" t="n">
        <v>0</v>
      </c>
      <c r="AA10" s="10" t="n">
        <v>76</v>
      </c>
      <c r="AB10" s="10" t="n">
        <v>31</v>
      </c>
      <c r="AC10" s="11" t="n">
        <v>1</v>
      </c>
      <c r="AD10" s="10"/>
      <c r="AE10" s="10"/>
      <c r="AF10" s="114"/>
      <c r="AG10" s="6"/>
    </row>
    <row r="11" customFormat="false" ht="11.1" hidden="false" customHeight="true" outlineLevel="0" collapsed="false">
      <c r="A11" s="11" t="n">
        <f aca="false">A10+1</f>
        <v>2</v>
      </c>
      <c r="B11" s="26" t="n">
        <v>6922.99</v>
      </c>
      <c r="C11" s="7" t="n">
        <v>376665</v>
      </c>
      <c r="D11" s="10" t="n">
        <f aca="false">C11-C10</f>
        <v>-756</v>
      </c>
      <c r="E11" s="7" t="n">
        <f aca="false">C11-152000</f>
        <v>224665</v>
      </c>
      <c r="F11" s="6" t="n">
        <f aca="false">D11/$D$2</f>
        <v>-381.144441643559</v>
      </c>
      <c r="G11" s="6" t="n">
        <v>750</v>
      </c>
      <c r="H11" s="8" t="n">
        <v>0</v>
      </c>
      <c r="I11" s="6" t="n">
        <f aca="false">G11+H11</f>
        <v>750</v>
      </c>
      <c r="J11" s="98" t="n">
        <f aca="false">IF(L11&gt;0,L11,0)</f>
        <v>0</v>
      </c>
      <c r="K11" s="6" t="n">
        <f aca="false">I11+J11</f>
        <v>750</v>
      </c>
      <c r="L11" s="6" t="n">
        <f aca="false">F11-(I11-W11)</f>
        <v>-7.14444164355933</v>
      </c>
      <c r="M11" s="6" t="n">
        <v>244</v>
      </c>
      <c r="N11" s="6" t="n">
        <v>0</v>
      </c>
      <c r="O11" s="49" t="n">
        <v>0</v>
      </c>
      <c r="P11" s="6" t="n">
        <f aca="false">M11-(N11+O11)</f>
        <v>244</v>
      </c>
      <c r="Q11" s="6" t="n">
        <v>162</v>
      </c>
      <c r="R11" s="6" t="n">
        <v>92</v>
      </c>
      <c r="S11" s="6" t="n">
        <f aca="false">SUM(P11:R11)</f>
        <v>498</v>
      </c>
      <c r="T11" s="50" t="n">
        <f aca="false">T10</f>
        <v>12842</v>
      </c>
      <c r="U11" s="6" t="n">
        <v>26</v>
      </c>
      <c r="V11" s="6" t="n">
        <v>600</v>
      </c>
      <c r="W11" s="6" t="n">
        <f aca="false">N11+O11+S11+U11+V11</f>
        <v>1124</v>
      </c>
      <c r="X11" s="6" t="n">
        <f aca="false">IF(L11&lt;0,L11*-1,0)</f>
        <v>7.14444164355933</v>
      </c>
      <c r="Y11" s="6" t="n">
        <f aca="false">W11+X11</f>
        <v>1131.14444164356</v>
      </c>
      <c r="Z11" s="8" t="n">
        <v>0</v>
      </c>
      <c r="AA11" s="10" t="n">
        <v>76</v>
      </c>
      <c r="AB11" s="10" t="n">
        <v>31</v>
      </c>
      <c r="AC11" s="11" t="n">
        <f aca="false">AC10+1</f>
        <v>2</v>
      </c>
      <c r="AD11" s="10"/>
      <c r="AE11" s="10"/>
      <c r="AG11" s="6"/>
    </row>
    <row r="12" customFormat="false" ht="11.1" hidden="false" customHeight="true" outlineLevel="0" collapsed="false">
      <c r="A12" s="11" t="n">
        <f aca="false">A11+1</f>
        <v>3</v>
      </c>
      <c r="B12" s="26" t="n">
        <v>6923.02</v>
      </c>
      <c r="C12" s="7" t="n">
        <v>376798</v>
      </c>
      <c r="D12" s="10" t="n">
        <f aca="false">C12-C11</f>
        <v>133</v>
      </c>
      <c r="E12" s="7" t="n">
        <f aca="false">C12-152000</f>
        <v>224798</v>
      </c>
      <c r="F12" s="6" t="n">
        <f aca="false">D12/$D$2</f>
        <v>67.0531888076632</v>
      </c>
      <c r="G12" s="6" t="n">
        <v>914</v>
      </c>
      <c r="H12" s="8" t="n">
        <v>0</v>
      </c>
      <c r="I12" s="6" t="n">
        <f aca="false">G12+H12</f>
        <v>914</v>
      </c>
      <c r="J12" s="98" t="n">
        <f aca="false">IF(L12&gt;0,L12,0)</f>
        <v>283.053188807663</v>
      </c>
      <c r="K12" s="6" t="n">
        <f aca="false">I12+J12</f>
        <v>1197.05318880766</v>
      </c>
      <c r="L12" s="6" t="n">
        <f aca="false">F12-(I12-W12)</f>
        <v>283.053188807663</v>
      </c>
      <c r="M12" s="6" t="n">
        <v>244</v>
      </c>
      <c r="N12" s="6" t="n">
        <v>0</v>
      </c>
      <c r="O12" s="6" t="n">
        <v>0</v>
      </c>
      <c r="P12" s="6" t="n">
        <f aca="false">M12-(N12+O12)</f>
        <v>244</v>
      </c>
      <c r="Q12" s="6" t="n">
        <v>162</v>
      </c>
      <c r="R12" s="6" t="n">
        <v>92</v>
      </c>
      <c r="S12" s="6" t="n">
        <f aca="false">SUM(P12:R12)</f>
        <v>498</v>
      </c>
      <c r="T12" s="50" t="n">
        <f aca="false">T11</f>
        <v>12842</v>
      </c>
      <c r="U12" s="6" t="n">
        <v>32</v>
      </c>
      <c r="V12" s="6" t="n">
        <v>600</v>
      </c>
      <c r="W12" s="6" t="n">
        <f aca="false">N12+O12+S12+U12+V12</f>
        <v>1130</v>
      </c>
      <c r="X12" s="6" t="n">
        <f aca="false">IF(L12&lt;0,L12*-1,0)</f>
        <v>0</v>
      </c>
      <c r="Y12" s="6" t="n">
        <f aca="false">W12+X12</f>
        <v>1130</v>
      </c>
      <c r="Z12" s="8" t="n">
        <v>0</v>
      </c>
      <c r="AA12" s="10" t="n">
        <v>76</v>
      </c>
      <c r="AB12" s="10" t="n">
        <v>34</v>
      </c>
      <c r="AC12" s="11" t="n">
        <f aca="false">AC11+1</f>
        <v>3</v>
      </c>
      <c r="AD12" s="10"/>
      <c r="AE12" s="10"/>
      <c r="AG12" s="6"/>
    </row>
    <row r="13" customFormat="false" ht="11.1" hidden="false" customHeight="true" outlineLevel="0" collapsed="false">
      <c r="A13" s="11" t="n">
        <f aca="false">A12+1</f>
        <v>4</v>
      </c>
      <c r="B13" s="26" t="n">
        <v>6923.05</v>
      </c>
      <c r="C13" s="7" t="n">
        <v>376931</v>
      </c>
      <c r="D13" s="10" t="n">
        <f aca="false">C13-C12</f>
        <v>133</v>
      </c>
      <c r="E13" s="7" t="n">
        <f aca="false">C13-152000</f>
        <v>224931</v>
      </c>
      <c r="F13" s="6" t="n">
        <f aca="false">D13/$D$2</f>
        <v>67.0531888076632</v>
      </c>
      <c r="G13" s="6" t="n">
        <v>1153</v>
      </c>
      <c r="H13" s="8" t="n">
        <v>0</v>
      </c>
      <c r="I13" s="6" t="n">
        <f aca="false">G13+H13</f>
        <v>1153</v>
      </c>
      <c r="J13" s="98" t="n">
        <f aca="false">IF(L13&gt;0,L13,0)</f>
        <v>53.0531888076632</v>
      </c>
      <c r="K13" s="6" t="n">
        <f aca="false">I13+J13</f>
        <v>1206.05318880766</v>
      </c>
      <c r="L13" s="6" t="n">
        <f aca="false">F13-(I13-W13)</f>
        <v>53.0531888076632</v>
      </c>
      <c r="M13" s="6" t="n">
        <v>244</v>
      </c>
      <c r="N13" s="6" t="n">
        <v>0</v>
      </c>
      <c r="O13" s="6" t="n">
        <v>0</v>
      </c>
      <c r="P13" s="6" t="n">
        <f aca="false">M13-(N13+O13)</f>
        <v>244</v>
      </c>
      <c r="Q13" s="6" t="n">
        <v>162</v>
      </c>
      <c r="R13" s="6" t="n">
        <v>92</v>
      </c>
      <c r="S13" s="6" t="n">
        <f aca="false">SUM(P13:R13)</f>
        <v>498</v>
      </c>
      <c r="T13" s="50" t="n">
        <f aca="false">T12</f>
        <v>12842</v>
      </c>
      <c r="U13" s="6" t="n">
        <v>41</v>
      </c>
      <c r="V13" s="6" t="n">
        <v>600</v>
      </c>
      <c r="W13" s="6" t="n">
        <f aca="false">N13+O13+S13+U13+V13</f>
        <v>1139</v>
      </c>
      <c r="X13" s="6" t="n">
        <f aca="false">IF(L13&lt;0,L13*-1,0)</f>
        <v>0</v>
      </c>
      <c r="Y13" s="6" t="n">
        <f aca="false">W13+X13</f>
        <v>1139</v>
      </c>
      <c r="Z13" s="8" t="n">
        <v>0</v>
      </c>
      <c r="AA13" s="10" t="n">
        <v>77</v>
      </c>
      <c r="AB13" s="10" t="n">
        <v>37</v>
      </c>
      <c r="AC13" s="11" t="n">
        <f aca="false">AC12+1</f>
        <v>4</v>
      </c>
      <c r="AD13" s="10"/>
      <c r="AE13" s="10"/>
      <c r="AG13" s="6"/>
    </row>
    <row r="14" customFormat="false" ht="11.1" hidden="false" customHeight="true" outlineLevel="0" collapsed="false">
      <c r="A14" s="11" t="n">
        <f aca="false">A13+1</f>
        <v>5</v>
      </c>
      <c r="B14" s="26" t="n">
        <v>6923.07</v>
      </c>
      <c r="C14" s="7" t="n">
        <v>377020</v>
      </c>
      <c r="D14" s="10" t="n">
        <f aca="false">C14-C13</f>
        <v>89</v>
      </c>
      <c r="E14" s="7" t="n">
        <f aca="false">C14-152000</f>
        <v>225020</v>
      </c>
      <c r="F14" s="6" t="n">
        <f aca="false">D14/$D$2</f>
        <v>44.8701789765566</v>
      </c>
      <c r="G14" s="6" t="n">
        <v>1260</v>
      </c>
      <c r="H14" s="8" t="n">
        <v>0</v>
      </c>
      <c r="I14" s="6" t="n">
        <f aca="false">G14+H14</f>
        <v>1260</v>
      </c>
      <c r="J14" s="98" t="n">
        <f aca="false">IF(L14&gt;0,L14,0)</f>
        <v>0</v>
      </c>
      <c r="K14" s="6" t="n">
        <f aca="false">I14+J14</f>
        <v>1260</v>
      </c>
      <c r="L14" s="6" t="n">
        <f aca="false">F14-(I14-W14)</f>
        <v>-99.1298210234434</v>
      </c>
      <c r="M14" s="6" t="n">
        <v>244</v>
      </c>
      <c r="N14" s="6" t="n">
        <v>0</v>
      </c>
      <c r="O14" s="6" t="n">
        <v>0</v>
      </c>
      <c r="P14" s="6" t="n">
        <f aca="false">M14-(N14+O14)</f>
        <v>244</v>
      </c>
      <c r="Q14" s="6" t="n">
        <v>164</v>
      </c>
      <c r="R14" s="6" t="n">
        <v>92</v>
      </c>
      <c r="S14" s="6" t="n">
        <f aca="false">SUM(P14:R14)</f>
        <v>500</v>
      </c>
      <c r="T14" s="50" t="n">
        <f aca="false">T13</f>
        <v>12842</v>
      </c>
      <c r="U14" s="6" t="n">
        <v>16</v>
      </c>
      <c r="V14" s="6" t="n">
        <v>600</v>
      </c>
      <c r="W14" s="6" t="n">
        <f aca="false">N14+O14+S14+U14+V14</f>
        <v>1116</v>
      </c>
      <c r="X14" s="6" t="n">
        <f aca="false">IF(L14&lt;0,L14*-1,0)</f>
        <v>99.1298210234434</v>
      </c>
      <c r="Y14" s="6" t="n">
        <f aca="false">W14+X14</f>
        <v>1215.12982102344</v>
      </c>
      <c r="Z14" s="8" t="n">
        <v>0</v>
      </c>
      <c r="AA14" s="10" t="n">
        <v>83</v>
      </c>
      <c r="AB14" s="10" t="n">
        <v>42</v>
      </c>
      <c r="AC14" s="11" t="n">
        <v>5</v>
      </c>
      <c r="AD14" s="10"/>
      <c r="AE14" s="10"/>
      <c r="AG14" s="6"/>
    </row>
    <row r="15" customFormat="false" ht="11.1" hidden="false" customHeight="true" outlineLevel="0" collapsed="false">
      <c r="A15" s="11" t="n">
        <f aca="false">A14+1</f>
        <v>6</v>
      </c>
      <c r="B15" s="26" t="n">
        <v>6923.14</v>
      </c>
      <c r="C15" s="7" t="n">
        <v>377332</v>
      </c>
      <c r="D15" s="10" t="n">
        <f aca="false">C15-C14</f>
        <v>312</v>
      </c>
      <c r="E15" s="7" t="n">
        <f aca="false">C15-152000</f>
        <v>225332</v>
      </c>
      <c r="F15" s="6" t="n">
        <f aca="false">D15/$D$2</f>
        <v>157.29770607512</v>
      </c>
      <c r="G15" s="6" t="n">
        <v>1390</v>
      </c>
      <c r="H15" s="8" t="n">
        <v>0</v>
      </c>
      <c r="I15" s="6" t="n">
        <f aca="false">G15+H15</f>
        <v>1390</v>
      </c>
      <c r="J15" s="98" t="n">
        <f aca="false">IF(L15&gt;0,L15,0)</f>
        <v>0</v>
      </c>
      <c r="K15" s="6" t="n">
        <f aca="false">I15+J15</f>
        <v>1390</v>
      </c>
      <c r="L15" s="6" t="n">
        <f aca="false">F15-(I15-W15)</f>
        <v>-101.70229392488</v>
      </c>
      <c r="M15" s="6" t="n">
        <v>244</v>
      </c>
      <c r="N15" s="6" t="n">
        <v>0</v>
      </c>
      <c r="O15" s="6" t="n">
        <v>0</v>
      </c>
      <c r="P15" s="6" t="n">
        <f aca="false">M15-(N15+O15)</f>
        <v>244</v>
      </c>
      <c r="Q15" s="6" t="n">
        <v>166</v>
      </c>
      <c r="R15" s="6" t="n">
        <v>91</v>
      </c>
      <c r="S15" s="6" t="n">
        <f aca="false">SUM(P15:R15)</f>
        <v>501</v>
      </c>
      <c r="T15" s="50" t="n">
        <f aca="false">T14</f>
        <v>12842</v>
      </c>
      <c r="U15" s="6" t="n">
        <v>30</v>
      </c>
      <c r="V15" s="6" t="n">
        <v>600</v>
      </c>
      <c r="W15" s="6" t="n">
        <f aca="false">N15+O15+S15+U15+V15</f>
        <v>1131</v>
      </c>
      <c r="X15" s="6" t="n">
        <f aca="false">IF(L15&lt;0,L15*-1,0)</f>
        <v>101.70229392488</v>
      </c>
      <c r="Y15" s="6" t="n">
        <f aca="false">W15+X15</f>
        <v>1232.70229392488</v>
      </c>
      <c r="Z15" s="8" t="n">
        <v>0</v>
      </c>
      <c r="AA15" s="10" t="n">
        <v>83</v>
      </c>
      <c r="AB15" s="10" t="n">
        <v>47</v>
      </c>
      <c r="AC15" s="11" t="n">
        <f aca="false">AC14+1</f>
        <v>6</v>
      </c>
      <c r="AD15" s="10"/>
      <c r="AE15" s="10"/>
      <c r="AG15" s="6"/>
    </row>
    <row r="16" customFormat="false" ht="11.1" hidden="false" customHeight="true" outlineLevel="0" collapsed="false">
      <c r="A16" s="11" t="n">
        <f aca="false">A15+1</f>
        <v>7</v>
      </c>
      <c r="B16" s="26" t="n">
        <v>6923.2</v>
      </c>
      <c r="C16" s="7" t="n">
        <v>377599</v>
      </c>
      <c r="D16" s="10" t="n">
        <f aca="false">C16-C15</f>
        <v>267</v>
      </c>
      <c r="E16" s="7" t="n">
        <f aca="false">C16-152000</f>
        <v>225599</v>
      </c>
      <c r="F16" s="6" t="n">
        <f aca="false">D16/$D$2</f>
        <v>134.61053692967</v>
      </c>
      <c r="G16" s="6" t="n">
        <v>1382</v>
      </c>
      <c r="H16" s="8" t="n">
        <v>0</v>
      </c>
      <c r="I16" s="6" t="n">
        <f aca="false">G16+H16</f>
        <v>1382</v>
      </c>
      <c r="J16" s="98" t="n">
        <f aca="false">IF(L16&gt;0,L16,0)</f>
        <v>0</v>
      </c>
      <c r="K16" s="6" t="n">
        <f aca="false">I16+J16</f>
        <v>1382</v>
      </c>
      <c r="L16" s="6" t="n">
        <f aca="false">F16-(I16-W16)</f>
        <v>-97.3894630703302</v>
      </c>
      <c r="M16" s="6" t="n">
        <v>244</v>
      </c>
      <c r="N16" s="6" t="n">
        <v>0</v>
      </c>
      <c r="O16" s="6" t="n">
        <v>0</v>
      </c>
      <c r="P16" s="6" t="n">
        <f aca="false">M16-(N16+O16)</f>
        <v>244</v>
      </c>
      <c r="Q16" s="6" t="n">
        <v>182</v>
      </c>
      <c r="R16" s="6" t="n">
        <v>92</v>
      </c>
      <c r="S16" s="6" t="n">
        <f aca="false">SUM(P16:R16)</f>
        <v>518</v>
      </c>
      <c r="T16" s="50" t="n">
        <f aca="false">T15</f>
        <v>12842</v>
      </c>
      <c r="U16" s="6" t="n">
        <v>32</v>
      </c>
      <c r="V16" s="6" t="n">
        <v>600</v>
      </c>
      <c r="W16" s="6" t="n">
        <f aca="false">N16+O16+S16+U16+V16</f>
        <v>1150</v>
      </c>
      <c r="X16" s="6" t="n">
        <f aca="false">IF(L16&lt;0,L16*-1,0)</f>
        <v>97.3894630703302</v>
      </c>
      <c r="Y16" s="6" t="n">
        <f aca="false">W16+X16</f>
        <v>1247.38946307033</v>
      </c>
      <c r="Z16" s="8" t="n">
        <v>0</v>
      </c>
      <c r="AA16" s="10" t="n">
        <v>77</v>
      </c>
      <c r="AB16" s="10" t="n">
        <v>41</v>
      </c>
      <c r="AC16" s="11" t="n">
        <f aca="false">AC15+1</f>
        <v>7</v>
      </c>
      <c r="AD16" s="10"/>
      <c r="AE16" s="10"/>
      <c r="AG16" s="6"/>
    </row>
    <row r="17" customFormat="false" ht="11.1" hidden="false" customHeight="true" outlineLevel="0" collapsed="false">
      <c r="A17" s="11" t="n">
        <f aca="false">A16+1</f>
        <v>8</v>
      </c>
      <c r="B17" s="26" t="n">
        <v>6923.32</v>
      </c>
      <c r="C17" s="7" t="n">
        <v>378133</v>
      </c>
      <c r="D17" s="10" t="n">
        <f aca="false">C17-C16</f>
        <v>534</v>
      </c>
      <c r="E17" s="7" t="n">
        <f aca="false">C17-152000</f>
        <v>226133</v>
      </c>
      <c r="F17" s="6" t="n">
        <f aca="false">D17/$D$2</f>
        <v>269.221073859339</v>
      </c>
      <c r="G17" s="6" t="n">
        <v>1258</v>
      </c>
      <c r="H17" s="8" t="n">
        <v>0</v>
      </c>
      <c r="I17" s="6" t="n">
        <f aca="false">G17+H17</f>
        <v>1258</v>
      </c>
      <c r="J17" s="98" t="n">
        <f aca="false">IF(L17&gt;0,L17,0)</f>
        <v>62.2210738593395</v>
      </c>
      <c r="K17" s="6" t="n">
        <f aca="false">I17+J17</f>
        <v>1320.22107385934</v>
      </c>
      <c r="L17" s="6" t="n">
        <f aca="false">F17-(I17-W17)</f>
        <v>62.2210738593395</v>
      </c>
      <c r="M17" s="6" t="n">
        <v>238</v>
      </c>
      <c r="N17" s="6" t="n">
        <v>0</v>
      </c>
      <c r="O17" s="6" t="n">
        <v>0</v>
      </c>
      <c r="P17" s="6" t="n">
        <f aca="false">M17-(N17+O17)</f>
        <v>238</v>
      </c>
      <c r="Q17" s="6" t="n">
        <v>189</v>
      </c>
      <c r="R17" s="6" t="n">
        <v>92</v>
      </c>
      <c r="S17" s="6" t="n">
        <f aca="false">SUM(P17:R17)</f>
        <v>519</v>
      </c>
      <c r="T17" s="50" t="n">
        <f aca="false">T16</f>
        <v>12842</v>
      </c>
      <c r="U17" s="6" t="n">
        <v>35</v>
      </c>
      <c r="V17" s="6" t="n">
        <v>497</v>
      </c>
      <c r="W17" s="6" t="n">
        <f aca="false">N17+O17+S17+U17+V17</f>
        <v>1051</v>
      </c>
      <c r="X17" s="6" t="n">
        <f aca="false">IF(L17&lt;0,L17*-1,0)</f>
        <v>0</v>
      </c>
      <c r="Y17" s="6" t="n">
        <f aca="false">W17+X17</f>
        <v>1051</v>
      </c>
      <c r="Z17" s="8" t="n">
        <v>0.09</v>
      </c>
      <c r="AA17" s="10" t="n">
        <v>78</v>
      </c>
      <c r="AB17" s="10" t="n">
        <v>40</v>
      </c>
      <c r="AC17" s="11" t="n">
        <f aca="false">AC16+1</f>
        <v>8</v>
      </c>
      <c r="AD17" s="10"/>
      <c r="AE17" s="10"/>
      <c r="AG17" s="6"/>
    </row>
    <row r="18" customFormat="false" ht="11.1" hidden="false" customHeight="true" outlineLevel="0" collapsed="false">
      <c r="A18" s="11" t="n">
        <f aca="false">A17+1</f>
        <v>9</v>
      </c>
      <c r="B18" s="26" t="n">
        <v>6923.46</v>
      </c>
      <c r="C18" s="7" t="n">
        <v>378756</v>
      </c>
      <c r="D18" s="10" t="n">
        <f aca="false">C18-C17</f>
        <v>623</v>
      </c>
      <c r="E18" s="7" t="n">
        <f aca="false">C18-152000</f>
        <v>226756</v>
      </c>
      <c r="F18" s="6" t="n">
        <f aca="false">D18/$D$2</f>
        <v>314.091252835896</v>
      </c>
      <c r="G18" s="6" t="n">
        <v>1118</v>
      </c>
      <c r="H18" s="8" t="n">
        <v>0</v>
      </c>
      <c r="I18" s="6" t="n">
        <f aca="false">G18+H18</f>
        <v>1118</v>
      </c>
      <c r="J18" s="98" t="n">
        <f aca="false">IF(L18&gt;0,L18,0)</f>
        <v>51.0912528358961</v>
      </c>
      <c r="K18" s="6" t="n">
        <f aca="false">I18+J18</f>
        <v>1169.0912528359</v>
      </c>
      <c r="L18" s="6" t="n">
        <f aca="false">F18-(I18-W18)</f>
        <v>51.0912528358961</v>
      </c>
      <c r="M18" s="6" t="n">
        <v>240</v>
      </c>
      <c r="N18" s="6" t="n">
        <v>0</v>
      </c>
      <c r="O18" s="6" t="n">
        <v>0</v>
      </c>
      <c r="P18" s="6" t="n">
        <f aca="false">M18-(N18+O18)</f>
        <v>240</v>
      </c>
      <c r="Q18" s="6" t="n">
        <v>199</v>
      </c>
      <c r="R18" s="6" t="n">
        <v>91</v>
      </c>
      <c r="S18" s="6" t="n">
        <f aca="false">SUM(P18:R18)</f>
        <v>530</v>
      </c>
      <c r="T18" s="50" t="n">
        <f aca="false">T17</f>
        <v>12842</v>
      </c>
      <c r="U18" s="6" t="n">
        <v>24</v>
      </c>
      <c r="V18" s="6" t="n">
        <v>301</v>
      </c>
      <c r="W18" s="6" t="n">
        <f aca="false">N18+O18+S18+U18+V18</f>
        <v>855</v>
      </c>
      <c r="X18" s="6" t="n">
        <f aca="false">IF(L18&lt;0,L18*-1,0)</f>
        <v>0</v>
      </c>
      <c r="Y18" s="6" t="n">
        <f aca="false">W18+X18</f>
        <v>855</v>
      </c>
      <c r="Z18" s="8" t="n">
        <v>0</v>
      </c>
      <c r="AA18" s="10" t="n">
        <v>76</v>
      </c>
      <c r="AB18" s="10" t="n">
        <v>40</v>
      </c>
      <c r="AC18" s="11" t="n">
        <f aca="false">AC17+1</f>
        <v>9</v>
      </c>
      <c r="AD18" s="10"/>
      <c r="AE18" s="10"/>
      <c r="AG18" s="6"/>
    </row>
    <row r="19" customFormat="false" ht="11.1" hidden="false" customHeight="true" outlineLevel="0" collapsed="false">
      <c r="A19" s="11" t="n">
        <f aca="false">A18+1</f>
        <v>10</v>
      </c>
      <c r="B19" s="26" t="n">
        <v>6923.63</v>
      </c>
      <c r="C19" s="7" t="n">
        <v>379513</v>
      </c>
      <c r="D19" s="10" t="n">
        <f aca="false">C19-C18</f>
        <v>757</v>
      </c>
      <c r="E19" s="7" t="n">
        <f aca="false">C19-152000</f>
        <v>227513</v>
      </c>
      <c r="F19" s="6" t="n">
        <f aca="false">D19/$D$2</f>
        <v>381.648600957903</v>
      </c>
      <c r="G19" s="6" t="n">
        <v>1057</v>
      </c>
      <c r="H19" s="8" t="n">
        <v>0</v>
      </c>
      <c r="I19" s="6" t="n">
        <f aca="false">G19+H19</f>
        <v>1057</v>
      </c>
      <c r="J19" s="98" t="n">
        <f aca="false">IF(L19&gt;0,L19,0)</f>
        <v>89.6486009579027</v>
      </c>
      <c r="K19" s="6" t="n">
        <f aca="false">I19+J19</f>
        <v>1146.6486009579</v>
      </c>
      <c r="L19" s="6" t="n">
        <f aca="false">F19-(I19-W19)</f>
        <v>89.6486009579027</v>
      </c>
      <c r="M19" s="6" t="n">
        <v>244</v>
      </c>
      <c r="N19" s="6" t="n">
        <v>0</v>
      </c>
      <c r="O19" s="6" t="n">
        <v>0</v>
      </c>
      <c r="P19" s="6" t="n">
        <f aca="false">M19-(N19+O19)</f>
        <v>244</v>
      </c>
      <c r="Q19" s="6" t="n">
        <v>199</v>
      </c>
      <c r="R19" s="6" t="n">
        <v>92</v>
      </c>
      <c r="S19" s="6" t="n">
        <f aca="false">SUM(P19:R19)</f>
        <v>535</v>
      </c>
      <c r="T19" s="50" t="n">
        <f aca="false">T18</f>
        <v>12842</v>
      </c>
      <c r="U19" s="6" t="n">
        <v>30</v>
      </c>
      <c r="V19" s="6" t="n">
        <v>200</v>
      </c>
      <c r="W19" s="6" t="n">
        <f aca="false">N19+O19+S19+U19+V19</f>
        <v>765</v>
      </c>
      <c r="X19" s="6" t="n">
        <f aca="false">IF(L19&lt;0,L19*-1,0)</f>
        <v>0</v>
      </c>
      <c r="Y19" s="6" t="n">
        <f aca="false">W19+X19</f>
        <v>765</v>
      </c>
      <c r="Z19" s="8" t="n">
        <v>0</v>
      </c>
      <c r="AA19" s="10" t="n">
        <v>78</v>
      </c>
      <c r="AB19" s="10" t="n">
        <v>41</v>
      </c>
      <c r="AC19" s="11" t="n">
        <f aca="false">AC18+1</f>
        <v>10</v>
      </c>
      <c r="AD19" s="10"/>
      <c r="AE19" s="10"/>
      <c r="AG19" s="6"/>
    </row>
    <row r="20" customFormat="false" ht="11.1" hidden="false" customHeight="true" outlineLevel="0" collapsed="false">
      <c r="A20" s="11" t="n">
        <f aca="false">A19+1</f>
        <v>11</v>
      </c>
      <c r="B20" s="26" t="n">
        <v>6923.74</v>
      </c>
      <c r="C20" s="7" t="n">
        <v>380003</v>
      </c>
      <c r="D20" s="10" t="n">
        <f aca="false">C20-C19</f>
        <v>490</v>
      </c>
      <c r="E20" s="7" t="n">
        <f aca="false">C20-152000</f>
        <v>228003</v>
      </c>
      <c r="F20" s="6" t="n">
        <f aca="false">D20/$D$2</f>
        <v>247.038064028233</v>
      </c>
      <c r="G20" s="6" t="n">
        <v>1078</v>
      </c>
      <c r="H20" s="8" t="n">
        <v>0</v>
      </c>
      <c r="I20" s="6" t="n">
        <f aca="false">G20+H20</f>
        <v>1078</v>
      </c>
      <c r="J20" s="98" t="n">
        <f aca="false">IF(L20&gt;0,L20,0)</f>
        <v>0</v>
      </c>
      <c r="K20" s="6" t="n">
        <f aca="false">I20+J20</f>
        <v>1078</v>
      </c>
      <c r="L20" s="6" t="n">
        <f aca="false">F20-(I20-W20)</f>
        <v>-81.9619359717671</v>
      </c>
      <c r="M20" s="6" t="n">
        <v>244</v>
      </c>
      <c r="N20" s="6" t="n">
        <v>0</v>
      </c>
      <c r="O20" s="6" t="n">
        <v>0</v>
      </c>
      <c r="P20" s="6" t="n">
        <f aca="false">M20-(N20+O20)</f>
        <v>244</v>
      </c>
      <c r="Q20" s="6" t="n">
        <v>199</v>
      </c>
      <c r="R20" s="6" t="n">
        <v>92</v>
      </c>
      <c r="S20" s="6" t="n">
        <f aca="false">SUM(P20:R20)</f>
        <v>535</v>
      </c>
      <c r="T20" s="50" t="n">
        <f aca="false">T19</f>
        <v>12842</v>
      </c>
      <c r="U20" s="6" t="n">
        <v>14</v>
      </c>
      <c r="V20" s="6" t="n">
        <v>200</v>
      </c>
      <c r="W20" s="6" t="n">
        <f aca="false">N20+O20+S20+U20+V20</f>
        <v>749</v>
      </c>
      <c r="X20" s="6" t="n">
        <f aca="false">IF(L20&lt;0,L20*-1,0)</f>
        <v>81.9619359717671</v>
      </c>
      <c r="Y20" s="6" t="n">
        <f aca="false">W20+X20</f>
        <v>830.961935971767</v>
      </c>
      <c r="Z20" s="8" t="n">
        <v>0</v>
      </c>
      <c r="AA20" s="10" t="n">
        <v>78</v>
      </c>
      <c r="AB20" s="10" t="n">
        <v>42</v>
      </c>
      <c r="AC20" s="11" t="n">
        <f aca="false">AC19+1</f>
        <v>11</v>
      </c>
      <c r="AD20" s="10"/>
      <c r="AE20" s="10"/>
      <c r="AG20" s="6"/>
    </row>
    <row r="21" customFormat="false" ht="11.1" hidden="false" customHeight="true" outlineLevel="0" collapsed="false">
      <c r="A21" s="11" t="n">
        <f aca="false">A20+1</f>
        <v>12</v>
      </c>
      <c r="B21" s="26" t="n">
        <v>6923.82</v>
      </c>
      <c r="C21" s="7" t="n">
        <v>380359</v>
      </c>
      <c r="D21" s="10" t="n">
        <f aca="false">C21-C20</f>
        <v>356</v>
      </c>
      <c r="E21" s="7" t="n">
        <f aca="false">C21-152000</f>
        <v>228359</v>
      </c>
      <c r="F21" s="6" t="n">
        <f aca="false">D21/$D$2</f>
        <v>179.480715906226</v>
      </c>
      <c r="G21" s="6" t="n">
        <v>949</v>
      </c>
      <c r="H21" s="8" t="n">
        <v>5</v>
      </c>
      <c r="I21" s="6" t="n">
        <f aca="false">G21+H21</f>
        <v>954</v>
      </c>
      <c r="J21" s="98" t="n">
        <f aca="false">IF(L21&gt;0,L21,0)</f>
        <v>0</v>
      </c>
      <c r="K21" s="6" t="n">
        <f aca="false">I21+J21</f>
        <v>954</v>
      </c>
      <c r="L21" s="6" t="n">
        <f aca="false">F21-(I21-W21)</f>
        <v>-16.5192840937737</v>
      </c>
      <c r="M21" s="6" t="n">
        <v>244</v>
      </c>
      <c r="N21" s="6" t="n">
        <v>0</v>
      </c>
      <c r="O21" s="6" t="n">
        <v>0</v>
      </c>
      <c r="P21" s="6" t="n">
        <f aca="false">M21-(N21+O21)</f>
        <v>244</v>
      </c>
      <c r="Q21" s="6" t="n">
        <v>200</v>
      </c>
      <c r="R21" s="6" t="n">
        <v>91</v>
      </c>
      <c r="S21" s="6" t="n">
        <f aca="false">SUM(P21:R21)</f>
        <v>535</v>
      </c>
      <c r="T21" s="50" t="n">
        <f aca="false">T20</f>
        <v>12842</v>
      </c>
      <c r="U21" s="6" t="n">
        <v>22</v>
      </c>
      <c r="V21" s="6" t="n">
        <v>201</v>
      </c>
      <c r="W21" s="6" t="n">
        <f aca="false">N21+O21+S21+U21+V21</f>
        <v>758</v>
      </c>
      <c r="X21" s="6" t="n">
        <f aca="false">IF(L21&lt;0,L21*-1,0)</f>
        <v>16.5192840937737</v>
      </c>
      <c r="Y21" s="6" t="n">
        <f aca="false">W21+X21</f>
        <v>774.519284093774</v>
      </c>
      <c r="Z21" s="8" t="n">
        <v>0</v>
      </c>
      <c r="AA21" s="10" t="n">
        <v>81</v>
      </c>
      <c r="AB21" s="10" t="n">
        <v>41</v>
      </c>
      <c r="AC21" s="11" t="n">
        <f aca="false">AC20+1</f>
        <v>12</v>
      </c>
      <c r="AD21" s="10"/>
      <c r="AE21" s="10"/>
      <c r="AG21" s="6"/>
    </row>
    <row r="22" customFormat="false" ht="11.1" hidden="false" customHeight="true" outlineLevel="0" collapsed="false">
      <c r="A22" s="11" t="n">
        <f aca="false">A21+1</f>
        <v>13</v>
      </c>
      <c r="B22" s="26" t="n">
        <v>6923.79</v>
      </c>
      <c r="C22" s="7" t="n">
        <v>380225</v>
      </c>
      <c r="D22" s="10" t="n">
        <f aca="false">C22-C21</f>
        <v>-134</v>
      </c>
      <c r="E22" s="7" t="n">
        <f aca="false">C22-152000</f>
        <v>228225</v>
      </c>
      <c r="F22" s="6" t="n">
        <f aca="false">D22/$D$2</f>
        <v>-67.5573481220066</v>
      </c>
      <c r="G22" s="6" t="n">
        <v>838</v>
      </c>
      <c r="H22" s="8" t="n">
        <v>5</v>
      </c>
      <c r="I22" s="6" t="n">
        <f aca="false">G22+H22</f>
        <v>843</v>
      </c>
      <c r="J22" s="98" t="n">
        <f aca="false">IF(L22&gt;0,L22,0)</f>
        <v>0</v>
      </c>
      <c r="K22" s="6" t="n">
        <f aca="false">I22+J22</f>
        <v>843</v>
      </c>
      <c r="L22" s="6" t="n">
        <f aca="false">F22-(I22-W22)</f>
        <v>-92.5573481220066</v>
      </c>
      <c r="M22" s="6" t="n">
        <v>244</v>
      </c>
      <c r="N22" s="6" t="n">
        <v>0</v>
      </c>
      <c r="O22" s="6" t="n">
        <v>0</v>
      </c>
      <c r="P22" s="6" t="n">
        <f aca="false">M22-(N22+O22)</f>
        <v>244</v>
      </c>
      <c r="Q22" s="6" t="n">
        <v>201</v>
      </c>
      <c r="R22" s="6" t="n">
        <v>92</v>
      </c>
      <c r="S22" s="6" t="n">
        <f aca="false">SUM(P22:R22)</f>
        <v>537</v>
      </c>
      <c r="T22" s="50" t="n">
        <f aca="false">T21</f>
        <v>12842</v>
      </c>
      <c r="U22" s="6" t="n">
        <v>14</v>
      </c>
      <c r="V22" s="6" t="n">
        <v>267</v>
      </c>
      <c r="W22" s="6" t="n">
        <f aca="false">N22+O22+S22+U22+V22</f>
        <v>818</v>
      </c>
      <c r="X22" s="6" t="n">
        <f aca="false">IF(L22&lt;0,L22*-1,0)</f>
        <v>92.5573481220066</v>
      </c>
      <c r="Y22" s="6" t="n">
        <f aca="false">W22+X22</f>
        <v>910.557348122007</v>
      </c>
      <c r="Z22" s="8" t="n">
        <v>0</v>
      </c>
      <c r="AA22" s="10" t="n">
        <v>82</v>
      </c>
      <c r="AB22" s="10" t="n">
        <v>40</v>
      </c>
      <c r="AC22" s="11" t="n">
        <f aca="false">AC21+1</f>
        <v>13</v>
      </c>
      <c r="AD22" s="10"/>
      <c r="AE22" s="10"/>
      <c r="AG22" s="6"/>
    </row>
    <row r="23" customFormat="false" ht="11.1" hidden="false" customHeight="true" outlineLevel="0" collapsed="false">
      <c r="A23" s="11" t="n">
        <f aca="false">A22+1</f>
        <v>14</v>
      </c>
      <c r="B23" s="26" t="n">
        <v>6923.69</v>
      </c>
      <c r="C23" s="7" t="n">
        <v>379780</v>
      </c>
      <c r="D23" s="10" t="n">
        <f aca="false">C23-C22</f>
        <v>-445</v>
      </c>
      <c r="E23" s="7" t="n">
        <f aca="false">C23-152000</f>
        <v>227780</v>
      </c>
      <c r="F23" s="6" t="n">
        <f aca="false">D23/$D$2</f>
        <v>-224.350894882783</v>
      </c>
      <c r="G23" s="6" t="n">
        <v>664</v>
      </c>
      <c r="H23" s="8" t="n">
        <v>5</v>
      </c>
      <c r="I23" s="6" t="n">
        <f aca="false">G23+H23</f>
        <v>669</v>
      </c>
      <c r="J23" s="98" t="n">
        <f aca="false">IF(L23&gt;0,L23,0)</f>
        <v>0</v>
      </c>
      <c r="K23" s="6" t="n">
        <f aca="false">I23+J23</f>
        <v>669</v>
      </c>
      <c r="L23" s="6" t="n">
        <f aca="false">F23-(I23-W23)</f>
        <v>-58.350894882783</v>
      </c>
      <c r="M23" s="6" t="n">
        <v>244</v>
      </c>
      <c r="N23" s="6" t="n">
        <v>0</v>
      </c>
      <c r="O23" s="6" t="n">
        <v>0</v>
      </c>
      <c r="P23" s="6" t="n">
        <f aca="false">M23-(N23+O23)</f>
        <v>244</v>
      </c>
      <c r="Q23" s="6" t="n">
        <v>200</v>
      </c>
      <c r="R23" s="6" t="n">
        <v>91</v>
      </c>
      <c r="S23" s="6" t="n">
        <f aca="false">SUM(P23:R23)</f>
        <v>535</v>
      </c>
      <c r="T23" s="50" t="n">
        <f aca="false">T22</f>
        <v>12842</v>
      </c>
      <c r="U23" s="6" t="n">
        <v>19</v>
      </c>
      <c r="V23" s="6" t="n">
        <v>281</v>
      </c>
      <c r="W23" s="6" t="n">
        <f aca="false">N23+O23+S23+U23+V23</f>
        <v>835</v>
      </c>
      <c r="X23" s="6" t="n">
        <f aca="false">IF(L23&lt;0,L23*-1,0)</f>
        <v>58.350894882783</v>
      </c>
      <c r="Y23" s="6" t="n">
        <f aca="false">W23+X23</f>
        <v>893.350894882783</v>
      </c>
      <c r="Z23" s="8" t="n">
        <v>0</v>
      </c>
      <c r="AA23" s="10" t="n">
        <v>79</v>
      </c>
      <c r="AB23" s="10" t="n">
        <v>44</v>
      </c>
      <c r="AC23" s="11" t="n">
        <f aca="false">AC22+1</f>
        <v>14</v>
      </c>
      <c r="AD23" s="10"/>
      <c r="AE23" s="10"/>
      <c r="AG23" s="6"/>
    </row>
    <row r="24" customFormat="false" ht="11.1" hidden="false" customHeight="true" outlineLevel="0" collapsed="false">
      <c r="A24" s="11" t="n">
        <f aca="false">A23+1</f>
        <v>15</v>
      </c>
      <c r="B24" s="26" t="n">
        <v>6923.67</v>
      </c>
      <c r="C24" s="7" t="n">
        <v>379691</v>
      </c>
      <c r="D24" s="10" t="n">
        <f aca="false">C24-C23</f>
        <v>-89</v>
      </c>
      <c r="E24" s="7" t="n">
        <f aca="false">C24-152000</f>
        <v>227691</v>
      </c>
      <c r="F24" s="6" t="n">
        <f aca="false">D24/$D$2</f>
        <v>-44.8701789765566</v>
      </c>
      <c r="G24" s="6" t="n">
        <v>605</v>
      </c>
      <c r="H24" s="8" t="n">
        <v>5</v>
      </c>
      <c r="I24" s="6" t="n">
        <f aca="false">G24+H24</f>
        <v>610</v>
      </c>
      <c r="J24" s="98" t="n">
        <f aca="false">IF(L24&gt;0,L24,0)</f>
        <v>54.1298210234434</v>
      </c>
      <c r="K24" s="6" t="n">
        <f aca="false">I24+J24</f>
        <v>664.129821023443</v>
      </c>
      <c r="L24" s="6" t="n">
        <f aca="false">F24-(I24-W24)</f>
        <v>54.1298210234434</v>
      </c>
      <c r="M24" s="6" t="n">
        <v>244</v>
      </c>
      <c r="N24" s="6" t="n">
        <v>0</v>
      </c>
      <c r="O24" s="6" t="n">
        <v>0</v>
      </c>
      <c r="P24" s="6" t="n">
        <f aca="false">M24-(N24+O24)</f>
        <v>244</v>
      </c>
      <c r="Q24" s="6" t="n">
        <v>200</v>
      </c>
      <c r="R24" s="6" t="n">
        <v>91</v>
      </c>
      <c r="S24" s="6" t="n">
        <f aca="false">SUM(P24:R24)</f>
        <v>535</v>
      </c>
      <c r="T24" s="50" t="n">
        <f aca="false">T23</f>
        <v>12842</v>
      </c>
      <c r="U24" s="6" t="n">
        <v>13</v>
      </c>
      <c r="V24" s="6" t="n">
        <v>161</v>
      </c>
      <c r="W24" s="6" t="n">
        <f aca="false">N24+O24+S24+U24+V24</f>
        <v>709</v>
      </c>
      <c r="X24" s="6" t="n">
        <f aca="false">IF(L24&lt;0,L24*-1,0)</f>
        <v>0</v>
      </c>
      <c r="Y24" s="6" t="n">
        <f aca="false">W24+X24</f>
        <v>709</v>
      </c>
      <c r="Z24" s="8" t="n">
        <v>0</v>
      </c>
      <c r="AA24" s="10" t="n">
        <v>83</v>
      </c>
      <c r="AB24" s="10" t="n">
        <v>38</v>
      </c>
      <c r="AC24" s="11" t="n">
        <f aca="false">AC23+1</f>
        <v>15</v>
      </c>
      <c r="AD24" s="10"/>
      <c r="AE24" s="10"/>
      <c r="AG24" s="6"/>
    </row>
    <row r="25" customFormat="false" ht="11.1" hidden="false" customHeight="true" outlineLevel="0" collapsed="false">
      <c r="A25" s="11" t="n">
        <f aca="false">A24+1</f>
        <v>16</v>
      </c>
      <c r="B25" s="26" t="n">
        <v>6923.65</v>
      </c>
      <c r="C25" s="7" t="n">
        <v>379602</v>
      </c>
      <c r="D25" s="10" t="n">
        <f aca="false">C25-C24</f>
        <v>-89</v>
      </c>
      <c r="E25" s="7" t="n">
        <f aca="false">C25-152000</f>
        <v>227602</v>
      </c>
      <c r="F25" s="6" t="n">
        <f aca="false">D25/$D$2</f>
        <v>-44.8701789765566</v>
      </c>
      <c r="G25" s="6" t="n">
        <v>611</v>
      </c>
      <c r="H25" s="8" t="n">
        <v>4</v>
      </c>
      <c r="I25" s="6" t="n">
        <f aca="false">G25+H25</f>
        <v>615</v>
      </c>
      <c r="J25" s="98" t="n">
        <f aca="false">IF(L25&gt;0,L25,0)</f>
        <v>0</v>
      </c>
      <c r="K25" s="6" t="n">
        <f aca="false">I25+J25</f>
        <v>615</v>
      </c>
      <c r="L25" s="6" t="n">
        <f aca="false">F25-(I25-W25)</f>
        <v>-6.87017897655659</v>
      </c>
      <c r="M25" s="6" t="n">
        <v>244</v>
      </c>
      <c r="N25" s="6" t="n">
        <v>0</v>
      </c>
      <c r="O25" s="6" t="n">
        <v>0</v>
      </c>
      <c r="P25" s="6" t="n">
        <f aca="false">M25-(N25+O25)</f>
        <v>244</v>
      </c>
      <c r="Q25" s="6" t="n">
        <v>200</v>
      </c>
      <c r="R25" s="6" t="n">
        <v>90</v>
      </c>
      <c r="S25" s="6" t="n">
        <f aca="false">SUM(P25:R25)</f>
        <v>534</v>
      </c>
      <c r="T25" s="50" t="n">
        <f aca="false">T24</f>
        <v>12842</v>
      </c>
      <c r="U25" s="6" t="n">
        <v>22</v>
      </c>
      <c r="V25" s="6" t="n">
        <v>97</v>
      </c>
      <c r="W25" s="6" t="n">
        <f aca="false">N25+O25+S25+U25+V25</f>
        <v>653</v>
      </c>
      <c r="X25" s="6" t="n">
        <f aca="false">IF(L25&lt;0,L25*-1,0)</f>
        <v>6.87017897655659</v>
      </c>
      <c r="Y25" s="6" t="n">
        <f aca="false">W25+X25</f>
        <v>659.870178976557</v>
      </c>
      <c r="Z25" s="8" t="n">
        <v>0</v>
      </c>
      <c r="AA25" s="10" t="n">
        <v>82</v>
      </c>
      <c r="AB25" s="10" t="n">
        <v>47</v>
      </c>
      <c r="AC25" s="11" t="n">
        <f aca="false">AC24+1</f>
        <v>16</v>
      </c>
      <c r="AD25" s="10"/>
      <c r="AE25" s="10"/>
      <c r="AG25" s="6"/>
    </row>
    <row r="26" customFormat="false" ht="11.1" hidden="false" customHeight="true" outlineLevel="0" collapsed="false">
      <c r="A26" s="11" t="n">
        <f aca="false">A25+1</f>
        <v>17</v>
      </c>
      <c r="B26" s="26" t="n">
        <v>6923.65</v>
      </c>
      <c r="C26" s="7" t="n">
        <v>379602</v>
      </c>
      <c r="D26" s="10" t="n">
        <f aca="false">C26-C25</f>
        <v>0</v>
      </c>
      <c r="E26" s="7" t="n">
        <f aca="false">C26-152000</f>
        <v>227602</v>
      </c>
      <c r="F26" s="6" t="n">
        <f aca="false">D26/$D$2</f>
        <v>0</v>
      </c>
      <c r="G26" s="6" t="n">
        <v>598</v>
      </c>
      <c r="H26" s="8" t="n">
        <v>4</v>
      </c>
      <c r="I26" s="6" t="n">
        <f aca="false">G26+H26</f>
        <v>602</v>
      </c>
      <c r="J26" s="98" t="n">
        <f aca="false">IF(L26&gt;0,L26,0)</f>
        <v>26</v>
      </c>
      <c r="K26" s="6" t="n">
        <f aca="false">I26+J26</f>
        <v>628</v>
      </c>
      <c r="L26" s="6" t="n">
        <f aca="false">F26-(I26-W26)</f>
        <v>26</v>
      </c>
      <c r="M26" s="6" t="n">
        <v>244</v>
      </c>
      <c r="N26" s="6" t="n">
        <v>0</v>
      </c>
      <c r="O26" s="6" t="n">
        <v>0</v>
      </c>
      <c r="P26" s="6" t="n">
        <f aca="false">M26-(N26+O26)</f>
        <v>244</v>
      </c>
      <c r="Q26" s="6" t="n">
        <v>200</v>
      </c>
      <c r="R26" s="6" t="n">
        <v>90</v>
      </c>
      <c r="S26" s="6" t="n">
        <f aca="false">SUM(P26:R26)</f>
        <v>534</v>
      </c>
      <c r="T26" s="50" t="n">
        <f aca="false">(I26-S26)+T25</f>
        <v>12910</v>
      </c>
      <c r="U26" s="6" t="n">
        <v>15</v>
      </c>
      <c r="V26" s="6" t="n">
        <v>79</v>
      </c>
      <c r="W26" s="6" t="n">
        <f aca="false">N26+O26+S26+U26+V26</f>
        <v>628</v>
      </c>
      <c r="X26" s="6" t="n">
        <f aca="false">IF(L26&lt;0,L26*-1,0)</f>
        <v>0</v>
      </c>
      <c r="Y26" s="6" t="n">
        <f aca="false">W26+X26</f>
        <v>628</v>
      </c>
      <c r="Z26" s="8" t="n">
        <v>0</v>
      </c>
      <c r="AA26" s="10" t="n">
        <v>83</v>
      </c>
      <c r="AB26" s="10" t="n">
        <v>47</v>
      </c>
      <c r="AC26" s="11" t="n">
        <f aca="false">AC25+1</f>
        <v>17</v>
      </c>
      <c r="AD26" s="10"/>
      <c r="AE26" s="10"/>
      <c r="AG26" s="6"/>
    </row>
    <row r="27" customFormat="false" ht="11.1" hidden="false" customHeight="true" outlineLevel="0" collapsed="false">
      <c r="A27" s="11" t="n">
        <f aca="false">A26+1</f>
        <v>18</v>
      </c>
      <c r="B27" s="26" t="n">
        <v>6923.65</v>
      </c>
      <c r="C27" s="7" t="n">
        <v>379602</v>
      </c>
      <c r="D27" s="10" t="n">
        <f aca="false">C27-C26</f>
        <v>0</v>
      </c>
      <c r="E27" s="7" t="n">
        <f aca="false">C27-152000</f>
        <v>227602</v>
      </c>
      <c r="F27" s="6" t="n">
        <f aca="false">D27/$D$2</f>
        <v>0</v>
      </c>
      <c r="G27" s="6" t="n">
        <v>602</v>
      </c>
      <c r="H27" s="8" t="n">
        <v>5</v>
      </c>
      <c r="I27" s="6" t="n">
        <f aca="false">G27+H27</f>
        <v>607</v>
      </c>
      <c r="J27" s="98" t="n">
        <f aca="false">IF(L27&gt;0,L27,0)</f>
        <v>13</v>
      </c>
      <c r="K27" s="6" t="n">
        <f aca="false">I27+J27</f>
        <v>620</v>
      </c>
      <c r="L27" s="6" t="n">
        <f aca="false">F27-(I27-W27)</f>
        <v>13</v>
      </c>
      <c r="M27" s="6" t="n">
        <v>244</v>
      </c>
      <c r="N27" s="6" t="n">
        <v>0</v>
      </c>
      <c r="O27" s="6" t="n">
        <v>0</v>
      </c>
      <c r="P27" s="6" t="n">
        <f aca="false">M27-(N27+O27)</f>
        <v>244</v>
      </c>
      <c r="Q27" s="6" t="n">
        <v>192</v>
      </c>
      <c r="R27" s="6" t="n">
        <v>90</v>
      </c>
      <c r="S27" s="6" t="n">
        <f aca="false">SUM(P27:R27)</f>
        <v>526</v>
      </c>
      <c r="T27" s="50" t="n">
        <f aca="false">(I27-S27)+T26</f>
        <v>12991</v>
      </c>
      <c r="U27" s="6" t="n">
        <v>15</v>
      </c>
      <c r="V27" s="6" t="n">
        <v>79</v>
      </c>
      <c r="W27" s="6" t="n">
        <f aca="false">N27+O27+S27+U27+V27</f>
        <v>620</v>
      </c>
      <c r="X27" s="6" t="n">
        <f aca="false">IF(L27&lt;0,L27*-1,0)</f>
        <v>0</v>
      </c>
      <c r="Y27" s="6" t="n">
        <f aca="false">W27+X27</f>
        <v>620</v>
      </c>
      <c r="Z27" s="8" t="n">
        <v>0</v>
      </c>
      <c r="AA27" s="10" t="n">
        <v>86</v>
      </c>
      <c r="AB27" s="10" t="n">
        <v>49</v>
      </c>
      <c r="AC27" s="11" t="n">
        <f aca="false">AC26+1</f>
        <v>18</v>
      </c>
      <c r="AD27" s="10"/>
      <c r="AE27" s="10"/>
      <c r="AG27" s="6"/>
    </row>
    <row r="28" customFormat="false" ht="11.1" hidden="false" customHeight="true" outlineLevel="0" collapsed="false">
      <c r="A28" s="11" t="n">
        <f aca="false">A27+1</f>
        <v>19</v>
      </c>
      <c r="B28" s="26" t="n">
        <v>6923.65</v>
      </c>
      <c r="C28" s="7" t="n">
        <v>379602</v>
      </c>
      <c r="D28" s="10" t="n">
        <f aca="false">C28-C27</f>
        <v>0</v>
      </c>
      <c r="E28" s="7" t="n">
        <f aca="false">C28-152000</f>
        <v>227602</v>
      </c>
      <c r="F28" s="6" t="n">
        <f aca="false">D28/$D$2</f>
        <v>0</v>
      </c>
      <c r="G28" s="6" t="n">
        <v>639</v>
      </c>
      <c r="H28" s="8" t="n">
        <v>6</v>
      </c>
      <c r="I28" s="6" t="n">
        <f aca="false">G28+H28</f>
        <v>645</v>
      </c>
      <c r="J28" s="98" t="n">
        <f aca="false">IF(L28&gt;0,L28,0)</f>
        <v>0</v>
      </c>
      <c r="K28" s="6" t="n">
        <f aca="false">I28+J28</f>
        <v>645</v>
      </c>
      <c r="L28" s="6" t="n">
        <f aca="false">F28-(I28-W28)</f>
        <v>-33</v>
      </c>
      <c r="M28" s="6" t="n">
        <v>244</v>
      </c>
      <c r="N28" s="6" t="n">
        <v>0</v>
      </c>
      <c r="O28" s="6" t="n">
        <v>0</v>
      </c>
      <c r="P28" s="6" t="n">
        <f aca="false">M28-(N28+O28)</f>
        <v>244</v>
      </c>
      <c r="Q28" s="6" t="n">
        <v>177</v>
      </c>
      <c r="R28" s="6" t="n">
        <v>90</v>
      </c>
      <c r="S28" s="6" t="n">
        <f aca="false">SUM(P28:R28)</f>
        <v>511</v>
      </c>
      <c r="T28" s="50" t="n">
        <f aca="false">(I28-S28)+T27</f>
        <v>13125</v>
      </c>
      <c r="U28" s="6" t="n">
        <v>22</v>
      </c>
      <c r="V28" s="6" t="n">
        <v>79</v>
      </c>
      <c r="W28" s="6" t="n">
        <f aca="false">N28+O28+S28+U28+V28</f>
        <v>612</v>
      </c>
      <c r="X28" s="6" t="n">
        <f aca="false">IF(L28&lt;0,L28*-1,0)</f>
        <v>33</v>
      </c>
      <c r="Y28" s="6" t="n">
        <f aca="false">W28+X28</f>
        <v>645</v>
      </c>
      <c r="Z28" s="8" t="n">
        <v>0</v>
      </c>
      <c r="AA28" s="10" t="n">
        <v>87</v>
      </c>
      <c r="AB28" s="10" t="n">
        <v>51</v>
      </c>
      <c r="AC28" s="11" t="n">
        <f aca="false">AC27+1</f>
        <v>19</v>
      </c>
      <c r="AD28" s="10"/>
      <c r="AE28" s="10"/>
      <c r="AG28" s="6"/>
    </row>
    <row r="29" customFormat="false" ht="11.1" hidden="false" customHeight="true" outlineLevel="0" collapsed="false">
      <c r="A29" s="11" t="n">
        <f aca="false">A28+1</f>
        <v>20</v>
      </c>
      <c r="B29" s="26" t="n">
        <v>6923.65</v>
      </c>
      <c r="C29" s="7" t="n">
        <v>379602</v>
      </c>
      <c r="D29" s="10" t="n">
        <f aca="false">C29-C28</f>
        <v>0</v>
      </c>
      <c r="E29" s="7" t="n">
        <f aca="false">C29-152000</f>
        <v>227602</v>
      </c>
      <c r="F29" s="6" t="n">
        <f aca="false">D29/$D$2</f>
        <v>0</v>
      </c>
      <c r="G29" s="6" t="n">
        <v>595</v>
      </c>
      <c r="H29" s="8" t="n">
        <v>6</v>
      </c>
      <c r="I29" s="6" t="n">
        <f aca="false">G29+H29</f>
        <v>601</v>
      </c>
      <c r="J29" s="98" t="n">
        <f aca="false">IF(L29&gt;0,L29,0)</f>
        <v>0</v>
      </c>
      <c r="K29" s="6" t="n">
        <f aca="false">I29+J29</f>
        <v>601</v>
      </c>
      <c r="L29" s="6" t="n">
        <f aca="false">F29-(I29-W29)</f>
        <v>-5</v>
      </c>
      <c r="M29" s="6" t="n">
        <v>245</v>
      </c>
      <c r="N29" s="6" t="n">
        <v>0</v>
      </c>
      <c r="O29" s="115" t="n">
        <v>0</v>
      </c>
      <c r="P29" s="6" t="n">
        <f aca="false">M29-(N29+O29)</f>
        <v>245</v>
      </c>
      <c r="Q29" s="6" t="n">
        <v>177</v>
      </c>
      <c r="R29" s="6" t="n">
        <v>90</v>
      </c>
      <c r="S29" s="6" t="n">
        <f aca="false">SUM(P29:R29)</f>
        <v>512</v>
      </c>
      <c r="T29" s="50" t="n">
        <f aca="false">(I29-S29)+T28</f>
        <v>13214</v>
      </c>
      <c r="U29" s="6" t="n">
        <v>4</v>
      </c>
      <c r="V29" s="6" t="n">
        <v>80</v>
      </c>
      <c r="W29" s="6" t="n">
        <f aca="false">N29+O29+S29+U29+V29</f>
        <v>596</v>
      </c>
      <c r="X29" s="6" t="n">
        <f aca="false">IF(L29&lt;0,L29*-1,0)</f>
        <v>5</v>
      </c>
      <c r="Y29" s="6" t="n">
        <f aca="false">W29+X29</f>
        <v>601</v>
      </c>
      <c r="Z29" s="8" t="n">
        <v>0</v>
      </c>
      <c r="AA29" s="10" t="n">
        <v>86</v>
      </c>
      <c r="AB29" s="10" t="n">
        <v>52</v>
      </c>
      <c r="AC29" s="11" t="n">
        <f aca="false">AC28+1</f>
        <v>20</v>
      </c>
      <c r="AD29" s="10"/>
      <c r="AE29" s="10"/>
      <c r="AG29" s="6"/>
    </row>
    <row r="30" customFormat="false" ht="11.1" hidden="false" customHeight="true" outlineLevel="0" collapsed="false">
      <c r="A30" s="11" t="n">
        <f aca="false">A29+1</f>
        <v>21</v>
      </c>
      <c r="B30" s="26" t="n">
        <v>6923.62</v>
      </c>
      <c r="C30" s="7" t="n">
        <v>379468</v>
      </c>
      <c r="D30" s="10" t="n">
        <f aca="false">C30-C29</f>
        <v>-134</v>
      </c>
      <c r="E30" s="7" t="n">
        <f aca="false">C30-152000</f>
        <v>227468</v>
      </c>
      <c r="F30" s="6" t="n">
        <f aca="false">D30/$D$2</f>
        <v>-67.5573481220066</v>
      </c>
      <c r="G30" s="6" t="n">
        <v>565</v>
      </c>
      <c r="H30" s="8" t="n">
        <v>6</v>
      </c>
      <c r="I30" s="6" t="n">
        <f aca="false">G30+H30</f>
        <v>571</v>
      </c>
      <c r="J30" s="98" t="n">
        <f aca="false">IF(L30&gt;0,L30,0)</f>
        <v>0</v>
      </c>
      <c r="K30" s="6" t="n">
        <f aca="false">I30+J30</f>
        <v>571</v>
      </c>
      <c r="L30" s="6" t="n">
        <f aca="false">F30-(I30-W30)</f>
        <v>-41.5573481220066</v>
      </c>
      <c r="M30" s="6" t="n">
        <v>245</v>
      </c>
      <c r="N30" s="6" t="n">
        <v>0</v>
      </c>
      <c r="O30" s="6" t="n">
        <v>0</v>
      </c>
      <c r="P30" s="6" t="n">
        <f aca="false">M30-(N30+O30)</f>
        <v>245</v>
      </c>
      <c r="Q30" s="6" t="n">
        <v>176</v>
      </c>
      <c r="R30" s="6" t="n">
        <v>90</v>
      </c>
      <c r="S30" s="6" t="n">
        <f aca="false">SUM(P30:R30)</f>
        <v>511</v>
      </c>
      <c r="T30" s="50" t="n">
        <f aca="false">(I30-S30)+T29</f>
        <v>13274</v>
      </c>
      <c r="U30" s="6" t="n">
        <v>6</v>
      </c>
      <c r="V30" s="6" t="n">
        <v>80</v>
      </c>
      <c r="W30" s="6" t="n">
        <f aca="false">N30+O30+S30+U30+V30</f>
        <v>597</v>
      </c>
      <c r="X30" s="6" t="n">
        <f aca="false">IF(L30&lt;0,L30*-1,0)</f>
        <v>41.5573481220066</v>
      </c>
      <c r="Y30" s="6" t="n">
        <f aca="false">W30+X30</f>
        <v>638.557348122007</v>
      </c>
      <c r="Z30" s="8" t="n">
        <v>0</v>
      </c>
      <c r="AA30" s="10" t="n">
        <v>88</v>
      </c>
      <c r="AB30" s="10" t="n">
        <v>48</v>
      </c>
      <c r="AC30" s="11" t="n">
        <f aca="false">AC29+1</f>
        <v>21</v>
      </c>
      <c r="AD30" s="10"/>
      <c r="AE30" s="10"/>
      <c r="AG30" s="6"/>
    </row>
    <row r="31" customFormat="false" ht="11.1" hidden="false" customHeight="true" outlineLevel="0" collapsed="false">
      <c r="A31" s="11" t="n">
        <f aca="false">A30+1</f>
        <v>22</v>
      </c>
      <c r="B31" s="26" t="n">
        <v>6923.59</v>
      </c>
      <c r="C31" s="7" t="n">
        <v>379335</v>
      </c>
      <c r="D31" s="10" t="n">
        <f aca="false">C31-C30</f>
        <v>-133</v>
      </c>
      <c r="E31" s="7" t="n">
        <f aca="false">C31-152000</f>
        <v>227335</v>
      </c>
      <c r="F31" s="6" t="n">
        <f aca="false">D31/$D$2</f>
        <v>-67.0531888076632</v>
      </c>
      <c r="G31" s="6" t="n">
        <v>507</v>
      </c>
      <c r="H31" s="8" t="n">
        <v>7</v>
      </c>
      <c r="I31" s="6" t="n">
        <f aca="false">G31+H31</f>
        <v>514</v>
      </c>
      <c r="J31" s="98" t="n">
        <f aca="false">IF(L31&gt;0,L31,0)</f>
        <v>16.9468111923368</v>
      </c>
      <c r="K31" s="6" t="n">
        <f aca="false">I31+J31</f>
        <v>530.946811192337</v>
      </c>
      <c r="L31" s="6" t="n">
        <f aca="false">F31-(I31-W31)</f>
        <v>16.9468111923368</v>
      </c>
      <c r="M31" s="6" t="n">
        <v>245</v>
      </c>
      <c r="N31" s="6" t="n">
        <v>0</v>
      </c>
      <c r="O31" s="6" t="n">
        <v>0</v>
      </c>
      <c r="P31" s="6" t="n">
        <f aca="false">M31-(N31+O31)</f>
        <v>245</v>
      </c>
      <c r="Q31" s="6" t="n">
        <v>166</v>
      </c>
      <c r="R31" s="6" t="n">
        <v>90</v>
      </c>
      <c r="S31" s="6" t="n">
        <f aca="false">SUM(P31:R31)</f>
        <v>501</v>
      </c>
      <c r="T31" s="50" t="n">
        <f aca="false">(I31-S31)+T30</f>
        <v>13287</v>
      </c>
      <c r="U31" s="6" t="n">
        <v>17</v>
      </c>
      <c r="V31" s="6" t="n">
        <v>80</v>
      </c>
      <c r="W31" s="6" t="n">
        <f aca="false">N31+O31+S31+U31+V31</f>
        <v>598</v>
      </c>
      <c r="X31" s="6" t="n">
        <f aca="false">IF(L31&lt;0,L31*-1,0)</f>
        <v>0</v>
      </c>
      <c r="Y31" s="6" t="n">
        <f aca="false">W31+X31</f>
        <v>598</v>
      </c>
      <c r="Z31" s="8" t="n">
        <v>0</v>
      </c>
      <c r="AA31" s="10" t="n">
        <v>88</v>
      </c>
      <c r="AB31" s="10" t="n">
        <v>49</v>
      </c>
      <c r="AC31" s="11" t="n">
        <f aca="false">AC30+1</f>
        <v>22</v>
      </c>
      <c r="AD31" s="10"/>
      <c r="AE31" s="10"/>
      <c r="AG31" s="6"/>
    </row>
    <row r="32" customFormat="false" ht="11.1" hidden="false" customHeight="true" outlineLevel="0" collapsed="false">
      <c r="A32" s="11" t="n">
        <f aca="false">A31+1</f>
        <v>23</v>
      </c>
      <c r="B32" s="26" t="n">
        <v>6923.56</v>
      </c>
      <c r="C32" s="7" t="n">
        <v>379201</v>
      </c>
      <c r="D32" s="10" t="n">
        <f aca="false">C32-C31</f>
        <v>-134</v>
      </c>
      <c r="E32" s="7" t="n">
        <f aca="false">C32-152000</f>
        <v>227201</v>
      </c>
      <c r="F32" s="6" t="n">
        <f aca="false">D32/$D$2</f>
        <v>-67.5573481220066</v>
      </c>
      <c r="G32" s="6" t="n">
        <v>502</v>
      </c>
      <c r="H32" s="8" t="n">
        <v>8</v>
      </c>
      <c r="I32" s="6" t="n">
        <f aca="false">G32+H32</f>
        <v>510</v>
      </c>
      <c r="J32" s="98" t="n">
        <f aca="false">IF(L32&gt;0,L32,0)</f>
        <v>18.4426518779934</v>
      </c>
      <c r="K32" s="6" t="n">
        <f aca="false">I32+J32</f>
        <v>528.442651877993</v>
      </c>
      <c r="L32" s="6" t="n">
        <f aca="false">F32-(I32-W32)</f>
        <v>18.4426518779934</v>
      </c>
      <c r="M32" s="6" t="n">
        <v>244</v>
      </c>
      <c r="N32" s="6" t="n">
        <v>0</v>
      </c>
      <c r="O32" s="6" t="n">
        <v>0</v>
      </c>
      <c r="P32" s="6" t="n">
        <f aca="false">M32-(N32+O32)</f>
        <v>244</v>
      </c>
      <c r="Q32" s="6" t="n">
        <v>160</v>
      </c>
      <c r="R32" s="6" t="n">
        <v>90</v>
      </c>
      <c r="S32" s="6" t="n">
        <f aca="false">SUM(P32:R32)</f>
        <v>494</v>
      </c>
      <c r="T32" s="50" t="n">
        <f aca="false">(I32-S32)+T31</f>
        <v>13303</v>
      </c>
      <c r="U32" s="6" t="n">
        <v>22</v>
      </c>
      <c r="V32" s="6" t="n">
        <v>80</v>
      </c>
      <c r="W32" s="6" t="n">
        <f aca="false">N32+O32+S32+U32+V32</f>
        <v>596</v>
      </c>
      <c r="X32" s="6" t="n">
        <f aca="false">IF(L32&lt;0,L32*-1,0)</f>
        <v>0</v>
      </c>
      <c r="Y32" s="6" t="n">
        <f aca="false">W32+X32</f>
        <v>596</v>
      </c>
      <c r="Z32" s="8" t="n">
        <v>0</v>
      </c>
      <c r="AA32" s="10" t="n">
        <v>90</v>
      </c>
      <c r="AB32" s="10" t="n">
        <v>55</v>
      </c>
      <c r="AC32" s="11" t="n">
        <f aca="false">AC31+1</f>
        <v>23</v>
      </c>
      <c r="AD32" s="10"/>
      <c r="AE32" s="10"/>
      <c r="AG32" s="6"/>
    </row>
    <row r="33" customFormat="false" ht="11.1" hidden="false" customHeight="true" outlineLevel="0" collapsed="false">
      <c r="A33" s="11" t="n">
        <f aca="false">A32+1</f>
        <v>24</v>
      </c>
      <c r="B33" s="26" t="n">
        <v>6923.53</v>
      </c>
      <c r="C33" s="7" t="n">
        <v>379068</v>
      </c>
      <c r="D33" s="10" t="n">
        <f aca="false">C33-C32</f>
        <v>-133</v>
      </c>
      <c r="E33" s="7" t="n">
        <f aca="false">C33-152000</f>
        <v>227068</v>
      </c>
      <c r="F33" s="6" t="n">
        <f aca="false">D33/$D$2</f>
        <v>-67.0531888076632</v>
      </c>
      <c r="G33" s="6" t="n">
        <v>506</v>
      </c>
      <c r="H33" s="8" t="n">
        <v>7</v>
      </c>
      <c r="I33" s="6" t="n">
        <f aca="false">G33+H33</f>
        <v>513</v>
      </c>
      <c r="J33" s="98" t="n">
        <f aca="false">IF(L33&gt;0,L33,0)</f>
        <v>19.9468111923368</v>
      </c>
      <c r="K33" s="6" t="n">
        <f aca="false">I33+J33</f>
        <v>532.946811192337</v>
      </c>
      <c r="L33" s="6" t="n">
        <f aca="false">F33-(I33-W33)</f>
        <v>19.9468111923368</v>
      </c>
      <c r="M33" s="6" t="n">
        <v>244</v>
      </c>
      <c r="N33" s="6" t="n">
        <v>0</v>
      </c>
      <c r="O33" s="6" t="n">
        <v>0</v>
      </c>
      <c r="P33" s="6" t="n">
        <f aca="false">M33-(N33+O33)</f>
        <v>244</v>
      </c>
      <c r="Q33" s="6" t="n">
        <v>160</v>
      </c>
      <c r="R33" s="6" t="n">
        <v>90</v>
      </c>
      <c r="S33" s="6" t="n">
        <f aca="false">SUM(P33:R33)</f>
        <v>494</v>
      </c>
      <c r="T33" s="50" t="n">
        <f aca="false">(I33-S33)+T32</f>
        <v>13322</v>
      </c>
      <c r="U33" s="6" t="n">
        <v>26</v>
      </c>
      <c r="V33" s="6" t="n">
        <v>80</v>
      </c>
      <c r="W33" s="6" t="n">
        <f aca="false">N33+O33+S33+U33+V33</f>
        <v>600</v>
      </c>
      <c r="X33" s="6" t="n">
        <f aca="false">IF(L33&lt;0,L33*-1,0)</f>
        <v>0</v>
      </c>
      <c r="Y33" s="6" t="n">
        <f aca="false">W33+X33</f>
        <v>600</v>
      </c>
      <c r="Z33" s="8" t="n">
        <v>0</v>
      </c>
      <c r="AA33" s="10" t="n">
        <v>95</v>
      </c>
      <c r="AB33" s="10" t="n">
        <v>53</v>
      </c>
      <c r="AC33" s="11" t="n">
        <f aca="false">AC32+1</f>
        <v>24</v>
      </c>
      <c r="AD33" s="10"/>
      <c r="AE33" s="10"/>
      <c r="AG33" s="6"/>
    </row>
    <row r="34" customFormat="false" ht="11.1" hidden="false" customHeight="true" outlineLevel="0" collapsed="false">
      <c r="A34" s="11" t="n">
        <f aca="false">A33+1</f>
        <v>25</v>
      </c>
      <c r="B34" s="26" t="n">
        <v>6923.5</v>
      </c>
      <c r="C34" s="7" t="n">
        <v>378934</v>
      </c>
      <c r="D34" s="10" t="n">
        <f aca="false">C34-C33</f>
        <v>-134</v>
      </c>
      <c r="E34" s="7" t="n">
        <f aca="false">C34-152000</f>
        <v>226934</v>
      </c>
      <c r="F34" s="6" t="n">
        <f aca="false">D34/$D$2</f>
        <v>-67.5573481220066</v>
      </c>
      <c r="G34" s="6" t="n">
        <v>547</v>
      </c>
      <c r="H34" s="8" t="n">
        <v>7</v>
      </c>
      <c r="I34" s="6" t="n">
        <f aca="false">G34+H34</f>
        <v>554</v>
      </c>
      <c r="J34" s="98" t="n">
        <f aca="false">IF(L34&gt;0,L34,0)</f>
        <v>0</v>
      </c>
      <c r="K34" s="6" t="n">
        <f aca="false">I34+J34</f>
        <v>554</v>
      </c>
      <c r="L34" s="6" t="n">
        <f aca="false">F34-(I34-W34)</f>
        <v>-29.5573481220066</v>
      </c>
      <c r="M34" s="6" t="n">
        <v>242</v>
      </c>
      <c r="N34" s="6" t="n">
        <v>0</v>
      </c>
      <c r="O34" s="6" t="n">
        <v>0</v>
      </c>
      <c r="P34" s="6" t="n">
        <f aca="false">M34-(N34+O34)</f>
        <v>242</v>
      </c>
      <c r="Q34" s="6" t="n">
        <v>160</v>
      </c>
      <c r="R34" s="6" t="n">
        <v>90</v>
      </c>
      <c r="S34" s="6" t="n">
        <f aca="false">SUM(P34:R34)</f>
        <v>492</v>
      </c>
      <c r="T34" s="50" t="n">
        <f aca="false">(I34-S34)+T33</f>
        <v>13384</v>
      </c>
      <c r="U34" s="6" t="n">
        <v>20</v>
      </c>
      <c r="V34" s="6" t="n">
        <v>80</v>
      </c>
      <c r="W34" s="6" t="n">
        <f aca="false">N34+O34+S34+U34+V34</f>
        <v>592</v>
      </c>
      <c r="X34" s="6" t="n">
        <f aca="false">IF(L34&lt;0,L34*-1,0)</f>
        <v>29.5573481220066</v>
      </c>
      <c r="Y34" s="6" t="n">
        <f aca="false">W34+X34</f>
        <v>621.557348122007</v>
      </c>
      <c r="Z34" s="8" t="n">
        <v>0.68</v>
      </c>
      <c r="AA34" s="10" t="n">
        <v>86</v>
      </c>
      <c r="AB34" s="10" t="n">
        <v>51</v>
      </c>
      <c r="AC34" s="11" t="n">
        <f aca="false">AC33+1</f>
        <v>25</v>
      </c>
      <c r="AD34" s="10"/>
      <c r="AE34" s="10"/>
      <c r="AG34" s="6"/>
    </row>
    <row r="35" customFormat="false" ht="11.1" hidden="false" customHeight="true" outlineLevel="0" collapsed="false">
      <c r="A35" s="11" t="n">
        <f aca="false">A34+1</f>
        <v>26</v>
      </c>
      <c r="B35" s="26" t="n">
        <v>6923.47</v>
      </c>
      <c r="C35" s="7" t="n">
        <v>378801</v>
      </c>
      <c r="D35" s="10" t="n">
        <f aca="false">C35-C34</f>
        <v>-133</v>
      </c>
      <c r="E35" s="7" t="n">
        <f aca="false">C35-152000</f>
        <v>226801</v>
      </c>
      <c r="F35" s="6" t="n">
        <f aca="false">D35/$D$2</f>
        <v>-67.0531888076632</v>
      </c>
      <c r="G35" s="6" t="n">
        <v>495</v>
      </c>
      <c r="H35" s="8" t="n">
        <v>8</v>
      </c>
      <c r="I35" s="6" t="n">
        <f aca="false">G35+H35</f>
        <v>503</v>
      </c>
      <c r="J35" s="98" t="n">
        <f aca="false">IF(L35&gt;0,L35,0)</f>
        <v>22.9468111923368</v>
      </c>
      <c r="K35" s="6" t="n">
        <f aca="false">I35+J35</f>
        <v>525.946811192337</v>
      </c>
      <c r="L35" s="6" t="n">
        <f aca="false">F35-(I35-W35)</f>
        <v>22.9468111923368</v>
      </c>
      <c r="M35" s="6" t="n">
        <v>235</v>
      </c>
      <c r="N35" s="6" t="n">
        <v>0</v>
      </c>
      <c r="O35" s="116" t="n">
        <v>0</v>
      </c>
      <c r="P35" s="6" t="n">
        <f aca="false">M35-(N35+O35)</f>
        <v>235</v>
      </c>
      <c r="Q35" s="6" t="n">
        <v>160</v>
      </c>
      <c r="R35" s="6" t="n">
        <v>90</v>
      </c>
      <c r="S35" s="6" t="n">
        <f aca="false">SUM(P35:R35)</f>
        <v>485</v>
      </c>
      <c r="T35" s="50" t="n">
        <f aca="false">(I35-S35)+T34</f>
        <v>13402</v>
      </c>
      <c r="U35" s="117" t="n">
        <v>28</v>
      </c>
      <c r="V35" s="6" t="n">
        <v>80</v>
      </c>
      <c r="W35" s="6" t="n">
        <f aca="false">N35+O35+S35+U35+V35</f>
        <v>593</v>
      </c>
      <c r="X35" s="6" t="n">
        <f aca="false">IF(L35&lt;0,L35*-1,0)</f>
        <v>0</v>
      </c>
      <c r="Y35" s="6" t="n">
        <f aca="false">W35+X35</f>
        <v>593</v>
      </c>
      <c r="Z35" s="8" t="n">
        <v>0</v>
      </c>
      <c r="AA35" s="10" t="n">
        <v>86</v>
      </c>
      <c r="AB35" s="10" t="n">
        <v>51</v>
      </c>
      <c r="AC35" s="11" t="n">
        <f aca="false">AC34+1</f>
        <v>26</v>
      </c>
      <c r="AD35" s="10"/>
      <c r="AE35" s="10"/>
      <c r="AG35" s="3"/>
    </row>
    <row r="36" customFormat="false" ht="11.1" hidden="false" customHeight="true" outlineLevel="0" collapsed="false">
      <c r="A36" s="11" t="n">
        <f aca="false">A35+1</f>
        <v>27</v>
      </c>
      <c r="B36" s="26" t="n">
        <v>6923.45</v>
      </c>
      <c r="C36" s="7" t="n">
        <v>378712</v>
      </c>
      <c r="D36" s="10" t="n">
        <f aca="false">C36-C35</f>
        <v>-89</v>
      </c>
      <c r="E36" s="7" t="n">
        <f aca="false">C36-152000</f>
        <v>226712</v>
      </c>
      <c r="F36" s="6" t="n">
        <f aca="false">D36/$D$2</f>
        <v>-44.8701789765566</v>
      </c>
      <c r="G36" s="6" t="n">
        <v>442</v>
      </c>
      <c r="H36" s="8" t="n">
        <v>10</v>
      </c>
      <c r="I36" s="6" t="n">
        <f aca="false">G36+H36</f>
        <v>452</v>
      </c>
      <c r="J36" s="98" t="n">
        <f aca="false">IF(L36&gt;0,L36,0)</f>
        <v>94.1298210234434</v>
      </c>
      <c r="K36" s="6" t="n">
        <f aca="false">I36+J36</f>
        <v>546.129821023443</v>
      </c>
      <c r="L36" s="6" t="n">
        <f aca="false">F36-(I36-W36)</f>
        <v>94.1298210234434</v>
      </c>
      <c r="M36" s="6" t="n">
        <v>235</v>
      </c>
      <c r="N36" s="6" t="n">
        <v>0</v>
      </c>
      <c r="O36" s="6" t="n">
        <v>0</v>
      </c>
      <c r="P36" s="6" t="n">
        <f aca="false">M36-(N36+O36)</f>
        <v>235</v>
      </c>
      <c r="Q36" s="6" t="n">
        <v>160</v>
      </c>
      <c r="R36" s="6" t="n">
        <v>90</v>
      </c>
      <c r="S36" s="6" t="n">
        <f aca="false">SUM(P36:R36)</f>
        <v>485</v>
      </c>
      <c r="T36" s="50" t="n">
        <f aca="false">(I36-S36)+T35</f>
        <v>13369</v>
      </c>
      <c r="U36" s="6" t="n">
        <v>26</v>
      </c>
      <c r="V36" s="6" t="n">
        <v>80</v>
      </c>
      <c r="W36" s="6" t="n">
        <f aca="false">N36+O36+S36+U36+V36</f>
        <v>591</v>
      </c>
      <c r="X36" s="6" t="n">
        <f aca="false">IF(L36&lt;0,L36*-1,0)</f>
        <v>0</v>
      </c>
      <c r="Y36" s="6" t="n">
        <f aca="false">W36+X36</f>
        <v>591</v>
      </c>
      <c r="Z36" s="8" t="n">
        <v>0.66</v>
      </c>
      <c r="AA36" s="10" t="n">
        <v>73</v>
      </c>
      <c r="AB36" s="10" t="n">
        <v>50</v>
      </c>
      <c r="AC36" s="11" t="n">
        <f aca="false">AC35+1</f>
        <v>27</v>
      </c>
      <c r="AD36" s="10"/>
      <c r="AE36" s="10"/>
      <c r="AG36" s="6"/>
    </row>
    <row r="37" customFormat="false" ht="11.1" hidden="false" customHeight="true" outlineLevel="0" collapsed="false">
      <c r="A37" s="11" t="n">
        <f aca="false">A36+1</f>
        <v>28</v>
      </c>
      <c r="B37" s="26" t="n">
        <v>6923.51</v>
      </c>
      <c r="C37" s="7" t="n">
        <v>378979</v>
      </c>
      <c r="D37" s="10" t="n">
        <f aca="false">C37-C36</f>
        <v>267</v>
      </c>
      <c r="E37" s="7" t="n">
        <f aca="false">C37-152000</f>
        <v>226979</v>
      </c>
      <c r="F37" s="6" t="n">
        <f aca="false">D37/$D$2</f>
        <v>134.61053692967</v>
      </c>
      <c r="G37" s="6" t="n">
        <v>582</v>
      </c>
      <c r="H37" s="8" t="n">
        <v>13</v>
      </c>
      <c r="I37" s="6" t="n">
        <f aca="false">G37+H37</f>
        <v>595</v>
      </c>
      <c r="J37" s="98" t="n">
        <f aca="false">IF(L37&gt;0,L37,0)</f>
        <v>111.61053692967</v>
      </c>
      <c r="K37" s="6" t="n">
        <f aca="false">I37+J37</f>
        <v>706.61053692967</v>
      </c>
      <c r="L37" s="6" t="n">
        <f aca="false">F37-(I37-W37)</f>
        <v>111.61053692967</v>
      </c>
      <c r="M37" s="6" t="n">
        <v>222</v>
      </c>
      <c r="N37" s="6" t="n">
        <v>0</v>
      </c>
      <c r="O37" s="6" t="n">
        <v>0</v>
      </c>
      <c r="P37" s="6" t="n">
        <f aca="false">M37-(N37+O37)</f>
        <v>222</v>
      </c>
      <c r="Q37" s="6" t="n">
        <v>160</v>
      </c>
      <c r="R37" s="6" t="n">
        <v>88</v>
      </c>
      <c r="S37" s="6" t="n">
        <f aca="false">SUM(P37:R37)</f>
        <v>470</v>
      </c>
      <c r="T37" s="50" t="n">
        <f aca="false">(I37-S37)+T36</f>
        <v>13494</v>
      </c>
      <c r="U37" s="6" t="n">
        <v>22</v>
      </c>
      <c r="V37" s="6" t="n">
        <v>80</v>
      </c>
      <c r="W37" s="6" t="n">
        <f aca="false">N37+O37+S37+U37+V37</f>
        <v>572</v>
      </c>
      <c r="X37" s="6" t="n">
        <f aca="false">IF(L37&lt;0,L37*-1,0)</f>
        <v>0</v>
      </c>
      <c r="Y37" s="6" t="n">
        <f aca="false">W37+X37</f>
        <v>572</v>
      </c>
      <c r="Z37" s="8" t="n">
        <v>0.29</v>
      </c>
      <c r="AA37" s="10" t="n">
        <v>66</v>
      </c>
      <c r="AB37" s="10" t="n">
        <v>50</v>
      </c>
      <c r="AC37" s="11" t="n">
        <f aca="false">AC36+1</f>
        <v>28</v>
      </c>
      <c r="AD37" s="10"/>
      <c r="AE37" s="10"/>
      <c r="AG37" s="6"/>
    </row>
    <row r="38" customFormat="false" ht="11.1" hidden="false" customHeight="true" outlineLevel="0" collapsed="false">
      <c r="A38" s="11" t="n">
        <f aca="false">A37+1</f>
        <v>29</v>
      </c>
      <c r="B38" s="26" t="n">
        <v>6923.55</v>
      </c>
      <c r="C38" s="7" t="n">
        <v>379157</v>
      </c>
      <c r="D38" s="10" t="n">
        <f aca="false">C38-C37</f>
        <v>178</v>
      </c>
      <c r="E38" s="7" t="n">
        <f aca="false">C38-152000</f>
        <v>227157</v>
      </c>
      <c r="F38" s="6" t="n">
        <f aca="false">D38/$D$2</f>
        <v>89.7403579531132</v>
      </c>
      <c r="G38" s="6" t="n">
        <v>559</v>
      </c>
      <c r="H38" s="8" t="n">
        <v>14</v>
      </c>
      <c r="I38" s="6" t="n">
        <f aca="false">G38+H38</f>
        <v>573</v>
      </c>
      <c r="J38" s="98" t="n">
        <f aca="false">IF(L38&gt;0,L38,0)</f>
        <v>38.7403579531132</v>
      </c>
      <c r="K38" s="6" t="n">
        <f aca="false">I38+J38</f>
        <v>611.740357953113</v>
      </c>
      <c r="L38" s="6" t="n">
        <f aca="false">F38-(I38-W38)</f>
        <v>38.7403579531132</v>
      </c>
      <c r="M38" s="6" t="n">
        <v>192</v>
      </c>
      <c r="N38" s="6" t="n">
        <v>0</v>
      </c>
      <c r="O38" s="6" t="n">
        <v>0</v>
      </c>
      <c r="P38" s="6" t="n">
        <f aca="false">M38-(N38+O38)</f>
        <v>192</v>
      </c>
      <c r="Q38" s="6" t="n">
        <v>147</v>
      </c>
      <c r="R38" s="6" t="n">
        <v>87</v>
      </c>
      <c r="S38" s="6" t="n">
        <f aca="false">SUM(P38:R38)</f>
        <v>426</v>
      </c>
      <c r="T38" s="50" t="n">
        <f aca="false">(I38-S38)+T37</f>
        <v>13641</v>
      </c>
      <c r="U38" s="6" t="n">
        <v>16</v>
      </c>
      <c r="V38" s="6" t="n">
        <v>80</v>
      </c>
      <c r="W38" s="6" t="n">
        <f aca="false">N38+O38+S38+U38+V38</f>
        <v>522</v>
      </c>
      <c r="X38" s="6" t="n">
        <f aca="false">IF(L38&lt;0,L38*-1,0)</f>
        <v>0</v>
      </c>
      <c r="Y38" s="6" t="n">
        <f aca="false">W38+X38</f>
        <v>522</v>
      </c>
      <c r="Z38" s="8" t="n">
        <v>0.1</v>
      </c>
      <c r="AA38" s="10" t="n">
        <v>76</v>
      </c>
      <c r="AB38" s="10" t="n">
        <v>42</v>
      </c>
      <c r="AC38" s="11" t="n">
        <f aca="false">AC37+1</f>
        <v>29</v>
      </c>
      <c r="AD38" s="10"/>
      <c r="AE38" s="10"/>
      <c r="AG38" s="6"/>
    </row>
    <row r="39" customFormat="false" ht="11.1" hidden="false" customHeight="true" outlineLevel="0" collapsed="false">
      <c r="A39" s="11" t="n">
        <v>30</v>
      </c>
      <c r="B39" s="26" t="n">
        <v>6923.51</v>
      </c>
      <c r="C39" s="7" t="n">
        <v>378979</v>
      </c>
      <c r="D39" s="10" t="n">
        <f aca="false">C39-C38</f>
        <v>-178</v>
      </c>
      <c r="E39" s="7" t="n">
        <f aca="false">C39-152000</f>
        <v>226979</v>
      </c>
      <c r="F39" s="6" t="n">
        <f aca="false">D39/$D$2</f>
        <v>-89.7403579531132</v>
      </c>
      <c r="G39" s="6" t="n">
        <v>470</v>
      </c>
      <c r="H39" s="8" t="n">
        <v>12</v>
      </c>
      <c r="I39" s="6" t="n">
        <f aca="false">G39+H39</f>
        <v>482</v>
      </c>
      <c r="J39" s="98" t="n">
        <f aca="false">IF(L39&gt;0,L39,0)</f>
        <v>0</v>
      </c>
      <c r="K39" s="6" t="n">
        <f aca="false">I39+J39</f>
        <v>482</v>
      </c>
      <c r="L39" s="6" t="n">
        <f aca="false">F39-(I39-W39)</f>
        <v>-58.7403579531132</v>
      </c>
      <c r="M39" s="6" t="n">
        <v>185</v>
      </c>
      <c r="N39" s="6" t="n">
        <v>0</v>
      </c>
      <c r="O39" s="6" t="n">
        <v>0</v>
      </c>
      <c r="P39" s="6" t="n">
        <f aca="false">M39-(N39+O39)</f>
        <v>185</v>
      </c>
      <c r="Q39" s="6" t="n">
        <v>136</v>
      </c>
      <c r="R39" s="6" t="n">
        <v>87</v>
      </c>
      <c r="S39" s="6" t="n">
        <f aca="false">SUM(P39:R39)</f>
        <v>408</v>
      </c>
      <c r="T39" s="50" t="n">
        <f aca="false">(I39-S39)+T38</f>
        <v>13715</v>
      </c>
      <c r="U39" s="6" t="n">
        <v>26</v>
      </c>
      <c r="V39" s="6" t="n">
        <v>79</v>
      </c>
      <c r="W39" s="6" t="n">
        <f aca="false">N39+O39+S39+U39+V39</f>
        <v>513</v>
      </c>
      <c r="X39" s="6" t="n">
        <f aca="false">IF(L39&lt;0,L39*-1,0)</f>
        <v>58.7403579531132</v>
      </c>
      <c r="Y39" s="6" t="n">
        <f aca="false">W39+X39</f>
        <v>571.740357953113</v>
      </c>
      <c r="Z39" s="8" t="n">
        <v>0</v>
      </c>
      <c r="AA39" s="10" t="n">
        <v>79</v>
      </c>
      <c r="AB39" s="10" t="n">
        <v>52</v>
      </c>
      <c r="AC39" s="11" t="n">
        <v>30</v>
      </c>
      <c r="AD39" s="10"/>
      <c r="AE39" s="10"/>
      <c r="AG39" s="6"/>
    </row>
    <row r="40" customFormat="false" ht="3" hidden="false" customHeight="true" outlineLevel="0" collapsed="false">
      <c r="A40" s="27"/>
      <c r="B40" s="27"/>
      <c r="C40" s="29"/>
      <c r="D40" s="27"/>
      <c r="E40" s="29"/>
      <c r="F40" s="27"/>
      <c r="G40" s="27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9"/>
      <c r="U40" s="27"/>
      <c r="V40" s="27"/>
      <c r="W40" s="27"/>
      <c r="X40" s="27"/>
      <c r="Y40" s="27"/>
      <c r="Z40" s="30"/>
      <c r="AA40" s="31"/>
      <c r="AB40" s="31"/>
      <c r="AC40" s="32"/>
      <c r="AD40" s="92"/>
      <c r="AE40" s="92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471.388958911016</v>
      </c>
      <c r="G41" s="7" t="n">
        <f aca="false">SUM(G10:G39)</f>
        <v>23457</v>
      </c>
      <c r="H41" s="8" t="n">
        <f aca="false">SUM(H10:H39)</f>
        <v>137</v>
      </c>
      <c r="I41" s="7" t="n">
        <f aca="false">SUM(I10:I39)</f>
        <v>23594</v>
      </c>
      <c r="J41" s="7" t="n">
        <f aca="false">SUM(J10:J39)</f>
        <v>954.960927653138</v>
      </c>
      <c r="K41" s="7" t="n">
        <f aca="false">SUM(K10:K39)</f>
        <v>24548.9609276531</v>
      </c>
      <c r="L41" s="7" t="n">
        <f aca="false">SUM(L10:L39)</f>
        <v>216.388958911016</v>
      </c>
      <c r="M41" s="7" t="n">
        <f aca="false">SUM(M10:M39)</f>
        <v>7160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7160</v>
      </c>
      <c r="Q41" s="7" t="n">
        <f aca="false">SUM(Q10:Q39)</f>
        <v>5278</v>
      </c>
      <c r="R41" s="7" t="n">
        <f aca="false">SUM(R10:R39)</f>
        <v>2716</v>
      </c>
      <c r="S41" s="7" t="n">
        <f aca="false">SUM(S10:S39)</f>
        <v>15154</v>
      </c>
      <c r="T41" s="7"/>
      <c r="U41" s="7" t="n">
        <f aca="false">SUM(U10:U39)</f>
        <v>664</v>
      </c>
      <c r="V41" s="7" t="n">
        <f aca="false">SUM(V10:V39)</f>
        <v>7521</v>
      </c>
      <c r="W41" s="7" t="n">
        <f aca="false">SUM(W10:W39)</f>
        <v>23339</v>
      </c>
      <c r="X41" s="7" t="n">
        <f aca="false">SUM(X10:X39)</f>
        <v>738.571968742123</v>
      </c>
      <c r="Y41" s="7" t="n">
        <f aca="false">SUM(Y10:Y39)</f>
        <v>24077.5719687421</v>
      </c>
      <c r="Z41" s="8" t="n">
        <f aca="false">SUM(Z10:Z39)</f>
        <v>1.82</v>
      </c>
      <c r="AA41" s="10" t="n">
        <f aca="false">AVERAGE(AA10:AA39)</f>
        <v>81.1333333333333</v>
      </c>
      <c r="AB41" s="10" t="n">
        <f aca="false">AVERAGE(AB10:AB39)</f>
        <v>44.5333333333333</v>
      </c>
      <c r="AC41" s="11" t="s">
        <v>69</v>
      </c>
      <c r="AD41" s="92"/>
      <c r="AE41" s="92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935</v>
      </c>
      <c r="E42" s="7"/>
      <c r="F42" s="7" t="n">
        <f aca="false">F41*$D$2</f>
        <v>935</v>
      </c>
      <c r="G42" s="7" t="n">
        <f aca="false">G41*$D$2</f>
        <v>46526.9595</v>
      </c>
      <c r="H42" s="8" t="n">
        <f aca="false">H41*$D$2</f>
        <v>271.7395</v>
      </c>
      <c r="I42" s="7" t="n">
        <f aca="false">I41*$D$2</f>
        <v>46798.699</v>
      </c>
      <c r="J42" s="7" t="n">
        <f aca="false">J41*$D$2</f>
        <v>1894.165</v>
      </c>
      <c r="K42" s="7" t="n">
        <f aca="false">K41*$D$2</f>
        <v>48692.864</v>
      </c>
      <c r="L42" s="7" t="n">
        <f aca="false">L41*$D$2</f>
        <v>429.2075</v>
      </c>
      <c r="M42" s="7" t="n">
        <f aca="false">M41*$D$2</f>
        <v>14201.86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14201.86</v>
      </c>
      <c r="Q42" s="7" t="n">
        <f aca="false">Q41*$D$2</f>
        <v>10468.913</v>
      </c>
      <c r="R42" s="7" t="n">
        <f aca="false">R41*$D$2</f>
        <v>5387.186</v>
      </c>
      <c r="S42" s="7" t="n">
        <f aca="false">S41*$D$2</f>
        <v>30057.959</v>
      </c>
      <c r="T42" s="7"/>
      <c r="U42" s="7" t="n">
        <f aca="false">U41*$D$2</f>
        <v>1317.044</v>
      </c>
      <c r="V42" s="7" t="n">
        <f aca="false">V41*$D$2</f>
        <v>14917.9035</v>
      </c>
      <c r="W42" s="7" t="n">
        <f aca="false">W41*$D$2</f>
        <v>46292.9065</v>
      </c>
      <c r="X42" s="7" t="n">
        <f aca="false">X41*$D$2</f>
        <v>1464.9575</v>
      </c>
      <c r="Y42" s="7" t="n">
        <f aca="false">Y41*$D$2</f>
        <v>47757.864</v>
      </c>
      <c r="Z42" s="8"/>
      <c r="AA42" s="10" t="n">
        <f aca="false">MAX(AA10:AA39)</f>
        <v>95</v>
      </c>
      <c r="AB42" s="10" t="n">
        <f aca="false">MAX(AB10:AB39)</f>
        <v>55</v>
      </c>
      <c r="AC42" s="11" t="s">
        <v>47</v>
      </c>
      <c r="AD42" s="92"/>
      <c r="AE42" s="92"/>
    </row>
    <row r="43" customFormat="false" ht="3" hidden="false" customHeight="true" outlineLevel="0" collapsed="false">
      <c r="A43" s="27"/>
      <c r="B43" s="27"/>
      <c r="C43" s="29"/>
      <c r="D43" s="29"/>
      <c r="E43" s="29"/>
      <c r="F43" s="29"/>
      <c r="G43" s="29"/>
      <c r="H43" s="30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8"/>
      <c r="AA43" s="10"/>
      <c r="AB43" s="10"/>
      <c r="AC43" s="11"/>
      <c r="AD43" s="92"/>
      <c r="AE43" s="92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23910.2596420469</v>
      </c>
      <c r="G44" s="7" t="n">
        <f aca="false">G7+G41</f>
        <v>76216</v>
      </c>
      <c r="H44" s="8" t="n">
        <f aca="false">H7+H41</f>
        <v>2414</v>
      </c>
      <c r="I44" s="7" t="n">
        <f aca="false">I7+I41</f>
        <v>78630</v>
      </c>
      <c r="J44" s="7" t="n">
        <f aca="false">J7+J41</f>
        <v>12352.8182505672</v>
      </c>
      <c r="K44" s="7" t="n">
        <f aca="false">K7+K41</f>
        <v>90982.8182505672</v>
      </c>
      <c r="L44" s="7" t="n">
        <f aca="false">L7+L41</f>
        <v>9392.25964204689</v>
      </c>
      <c r="M44" s="7" t="n">
        <f aca="false">M7+M41</f>
        <v>14913</v>
      </c>
      <c r="N44" s="7" t="n">
        <f aca="false">N7+N41</f>
        <v>0</v>
      </c>
      <c r="O44" s="7" t="n">
        <f aca="false">O7+O41</f>
        <v>0</v>
      </c>
      <c r="P44" s="7" t="n">
        <f aca="false">P7+P41</f>
        <v>14913</v>
      </c>
      <c r="Q44" s="7" t="n">
        <f aca="false">Q7+Q41</f>
        <v>11542</v>
      </c>
      <c r="R44" s="7" t="n">
        <f aca="false">R7+R41</f>
        <v>5146</v>
      </c>
      <c r="S44" s="7" t="n">
        <f aca="false">S7+S41</f>
        <v>31601</v>
      </c>
      <c r="T44" s="7" t="n">
        <f aca="false">T39</f>
        <v>13715</v>
      </c>
      <c r="U44" s="7" t="n">
        <f aca="false">U7+U41</f>
        <v>1306</v>
      </c>
      <c r="V44" s="7" t="n">
        <f aca="false">V7+V41</f>
        <v>31205</v>
      </c>
      <c r="W44" s="7" t="n">
        <f aca="false">W7+W41</f>
        <v>64112</v>
      </c>
      <c r="X44" s="7" t="n">
        <f aca="false">X7+X41</f>
        <v>2960.55860852029</v>
      </c>
      <c r="Y44" s="7" t="n">
        <f aca="false">Y7+Y41</f>
        <v>67072.5586085203</v>
      </c>
      <c r="Z44" s="8"/>
      <c r="AA44" s="10" t="n">
        <f aca="false">MIN(AA10:AA39)</f>
        <v>66</v>
      </c>
      <c r="AB44" s="10" t="n">
        <f aca="false">MIN(AB10:AB39)</f>
        <v>31</v>
      </c>
      <c r="AC44" s="11" t="s">
        <v>49</v>
      </c>
      <c r="AD44" s="92"/>
      <c r="AE44" s="92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47426</v>
      </c>
      <c r="G45" s="7" t="n">
        <f aca="false">G44*$D$2</f>
        <v>151174.436</v>
      </c>
      <c r="H45" s="8" t="n">
        <f aca="false">H44*$D$2</f>
        <v>4788.169</v>
      </c>
      <c r="I45" s="7" t="n">
        <f aca="false">I44*$D$2</f>
        <v>155962.605</v>
      </c>
      <c r="J45" s="7" t="n">
        <f aca="false">J44*$D$2</f>
        <v>24501.815</v>
      </c>
      <c r="K45" s="7" t="n">
        <f aca="false">K44*$D$2</f>
        <v>180464.42</v>
      </c>
      <c r="L45" s="7" t="n">
        <f aca="false">L44*$D$2</f>
        <v>18629.547</v>
      </c>
      <c r="M45" s="7" t="n">
        <f aca="false">M44*$D$2</f>
        <v>29579.9355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29579.9355</v>
      </c>
      <c r="Q45" s="7" t="n">
        <f aca="false">Q44*$D$2</f>
        <v>22893.557</v>
      </c>
      <c r="R45" s="7" t="n">
        <f aca="false">R44*$D$2</f>
        <v>10207.091</v>
      </c>
      <c r="S45" s="7" t="n">
        <f aca="false">S44*$D$2</f>
        <v>62680.5835</v>
      </c>
      <c r="T45" s="7" t="n">
        <f aca="false">T44*$D$2</f>
        <v>27203.7025</v>
      </c>
      <c r="U45" s="7" t="n">
        <f aca="false">U44*$D$2</f>
        <v>2590.451</v>
      </c>
      <c r="V45" s="7" t="n">
        <f aca="false">V44*$D$2</f>
        <v>61895.1175</v>
      </c>
      <c r="W45" s="7" t="n">
        <f aca="false">W44*$D$2</f>
        <v>127166.152</v>
      </c>
      <c r="X45" s="7" t="n">
        <f aca="false">X44*$D$2</f>
        <v>5872.268</v>
      </c>
      <c r="Y45" s="7" t="n">
        <f aca="false">Y44*$D$2</f>
        <v>133038.42</v>
      </c>
      <c r="Z45" s="8"/>
      <c r="AA45" s="10"/>
      <c r="AB45" s="10"/>
      <c r="AC45" s="11"/>
      <c r="AD45" s="92"/>
      <c r="AE45" s="92"/>
    </row>
    <row r="46" customFormat="false" ht="3" hidden="false" customHeight="true" outlineLevel="0" collapsed="false">
      <c r="A46" s="27"/>
      <c r="B46" s="27"/>
      <c r="C46" s="29"/>
      <c r="D46" s="29"/>
      <c r="E46" s="29"/>
      <c r="F46" s="29"/>
      <c r="G46" s="29"/>
      <c r="H46" s="30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30"/>
      <c r="AA46" s="10"/>
      <c r="AB46" s="10"/>
      <c r="AC46" s="11"/>
      <c r="AD46" s="92"/>
      <c r="AE46" s="92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26648.8530375599</v>
      </c>
      <c r="G47" s="7" t="n">
        <f aca="false">G8+G41</f>
        <v>91541</v>
      </c>
      <c r="H47" s="8" t="n">
        <f aca="false">H8+H41</f>
        <v>2620</v>
      </c>
      <c r="I47" s="7" t="n">
        <f aca="false">I8+I41</f>
        <v>94161</v>
      </c>
      <c r="J47" s="7" t="n">
        <f aca="false">J8+J41</f>
        <v>15710.5518023696</v>
      </c>
      <c r="K47" s="7" t="n">
        <f aca="false">K8+K41</f>
        <v>109871.55180237</v>
      </c>
      <c r="L47" s="7" t="n">
        <f aca="false">L8+L41</f>
        <v>11733.8530375599</v>
      </c>
      <c r="M47" s="7" t="n">
        <f aca="false">M8+M41</f>
        <v>16232</v>
      </c>
      <c r="N47" s="7" t="n">
        <f aca="false">N8+N41</f>
        <v>0</v>
      </c>
      <c r="O47" s="7" t="n">
        <f aca="false">O8+O41</f>
        <v>0</v>
      </c>
      <c r="P47" s="7" t="n">
        <f aca="false">P8+P41</f>
        <v>16232</v>
      </c>
      <c r="Q47" s="7" t="n">
        <f aca="false">Q8+Q41</f>
        <v>13302</v>
      </c>
      <c r="R47" s="7" t="n">
        <f aca="false">R8+R41</f>
        <v>5342</v>
      </c>
      <c r="S47" s="7" t="n">
        <f aca="false">S8+S41</f>
        <v>34876</v>
      </c>
      <c r="T47" s="7" t="n">
        <f aca="false">T39</f>
        <v>13715</v>
      </c>
      <c r="U47" s="7" t="n">
        <f aca="false">U8+U41</f>
        <v>1306</v>
      </c>
      <c r="V47" s="7" t="n">
        <f aca="false">V8+V41</f>
        <v>43064</v>
      </c>
      <c r="W47" s="7" t="n">
        <f aca="false">W8+W41</f>
        <v>79246</v>
      </c>
      <c r="X47" s="7" t="n">
        <f aca="false">X8+X41</f>
        <v>3976.69876480968</v>
      </c>
      <c r="Y47" s="7" t="n">
        <f aca="false">Y8+Y41</f>
        <v>83222.6987648097</v>
      </c>
      <c r="Z47" s="8" t="n">
        <f aca="false">Z8+Z41</f>
        <v>11.95</v>
      </c>
      <c r="AA47" s="10"/>
      <c r="AB47" s="10"/>
      <c r="AC47" s="11"/>
      <c r="AD47" s="92"/>
      <c r="AE47" s="92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52858</v>
      </c>
      <c r="E48" s="7" t="n">
        <f aca="false">E39</f>
        <v>226979</v>
      </c>
      <c r="F48" s="7" t="n">
        <f aca="false">F47*$D$2</f>
        <v>52858</v>
      </c>
      <c r="G48" s="7" t="n">
        <f aca="false">G47*$D$2</f>
        <v>181571.5735</v>
      </c>
      <c r="H48" s="8" t="n">
        <f aca="false">H47*$D$2</f>
        <v>5196.77</v>
      </c>
      <c r="I48" s="7" t="n">
        <f aca="false">I47*$D$2</f>
        <v>186768.3435</v>
      </c>
      <c r="J48" s="7" t="n">
        <f aca="false">J47*$D$2</f>
        <v>31161.8795</v>
      </c>
      <c r="K48" s="7" t="n">
        <f aca="false">K47*$D$2</f>
        <v>217930.223</v>
      </c>
      <c r="L48" s="7" t="n">
        <f aca="false">L47*$D$2</f>
        <v>23274.0975</v>
      </c>
      <c r="M48" s="7" t="n">
        <f aca="false">M47*$D$2</f>
        <v>32196.172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32196.172</v>
      </c>
      <c r="Q48" s="7" t="n">
        <f aca="false">Q47*$D$2</f>
        <v>26384.517</v>
      </c>
      <c r="R48" s="7" t="n">
        <f aca="false">R47*$D$2</f>
        <v>10595.857</v>
      </c>
      <c r="S48" s="7" t="n">
        <f aca="false">S47*$D$2</f>
        <v>69176.546</v>
      </c>
      <c r="T48" s="7" t="n">
        <f aca="false">T47*$D$2</f>
        <v>27203.7025</v>
      </c>
      <c r="U48" s="7" t="n">
        <f aca="false">U47*$D$2</f>
        <v>2590.451</v>
      </c>
      <c r="V48" s="7" t="n">
        <f aca="false">V47*$D$2</f>
        <v>85417.444</v>
      </c>
      <c r="W48" s="7" t="n">
        <f aca="false">W47*$D$2</f>
        <v>157184.441</v>
      </c>
      <c r="X48" s="7" t="n">
        <f aca="false">X47*$D$2</f>
        <v>7887.782</v>
      </c>
      <c r="Y48" s="7" t="n">
        <f aca="false">Y47*$D$2</f>
        <v>165072.223</v>
      </c>
      <c r="Z48" s="8"/>
      <c r="AA48" s="10"/>
      <c r="AB48" s="10"/>
      <c r="AC48" s="11"/>
      <c r="AD48" s="92"/>
      <c r="AE48" s="92"/>
    </row>
    <row r="49" customFormat="false" ht="3" hidden="false" customHeight="true" outlineLevel="0" collapsed="false">
      <c r="A49" s="27"/>
      <c r="B49" s="27"/>
      <c r="C49" s="29"/>
      <c r="D49" s="27"/>
      <c r="E49" s="29"/>
      <c r="F49" s="27"/>
      <c r="G49" s="27"/>
      <c r="H49" s="30"/>
      <c r="I49" s="27"/>
      <c r="J49" s="27"/>
      <c r="K49" s="118"/>
      <c r="L49" s="27"/>
      <c r="M49" s="27"/>
      <c r="N49" s="27"/>
      <c r="O49" s="27"/>
      <c r="P49" s="27"/>
      <c r="Q49" s="27"/>
      <c r="R49" s="27"/>
      <c r="S49" s="27"/>
      <c r="T49" s="29"/>
      <c r="U49" s="27"/>
      <c r="V49" s="27"/>
      <c r="W49" s="27"/>
      <c r="X49" s="27"/>
      <c r="Y49" s="27"/>
      <c r="Z49" s="8"/>
      <c r="AA49" s="10"/>
      <c r="AB49" s="10"/>
      <c r="AC49" s="11"/>
      <c r="AD49" s="92"/>
      <c r="AE49" s="92"/>
    </row>
    <row r="50" customFormat="false" ht="14.1" hidden="false" customHeight="true" outlineLevel="0" collapsed="false">
      <c r="A50" s="36"/>
      <c r="B50" s="37"/>
      <c r="C50" s="7"/>
      <c r="D50" s="6"/>
      <c r="E50" s="7"/>
      <c r="F50" s="6"/>
      <c r="G50" s="119"/>
      <c r="H50" s="8"/>
      <c r="I50" s="6"/>
      <c r="J50" s="6"/>
      <c r="K50" s="120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6"/>
      <c r="Z50" s="8"/>
      <c r="AA50" s="10"/>
      <c r="AB50" s="10"/>
      <c r="AC50" s="11"/>
      <c r="AD50" s="92"/>
      <c r="AE50" s="92"/>
    </row>
    <row r="51" customFormat="false" ht="11.1" hidden="false" customHeight="true" outlineLevel="0" collapsed="false">
      <c r="A51" s="6"/>
      <c r="B51" s="26"/>
      <c r="C51" s="7"/>
      <c r="D51" s="35"/>
      <c r="E51" s="7"/>
      <c r="F51" s="6"/>
      <c r="G51" s="6"/>
      <c r="H51" s="8"/>
      <c r="I51" s="38"/>
      <c r="J51" s="6"/>
      <c r="K51" s="39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6"/>
      <c r="Z51" s="8"/>
      <c r="AA51" s="10"/>
      <c r="AB51" s="10"/>
      <c r="AC51" s="11"/>
      <c r="AD51" s="92"/>
      <c r="AE51" s="92"/>
    </row>
    <row r="52" customFormat="false" ht="11.1" hidden="false" customHeight="true" outlineLevel="0" collapsed="false">
      <c r="B52" s="35"/>
      <c r="C52" s="7"/>
      <c r="D52" s="7"/>
      <c r="E52" s="7"/>
      <c r="F52" s="35"/>
      <c r="G52" s="119"/>
      <c r="H52" s="8"/>
      <c r="I52" s="35"/>
      <c r="J52" s="35"/>
      <c r="K52" s="121"/>
      <c r="L52" s="35"/>
      <c r="M52" s="33"/>
      <c r="N52" s="33"/>
      <c r="O52" s="33"/>
      <c r="P52" s="35"/>
      <c r="Q52" s="35"/>
      <c r="R52" s="6"/>
      <c r="S52" s="7"/>
      <c r="T52" s="35"/>
      <c r="U52" s="35"/>
      <c r="V52" s="7"/>
      <c r="W52" s="35"/>
      <c r="X52" s="35"/>
      <c r="Y52" s="40"/>
      <c r="Z52" s="8"/>
      <c r="AA52" s="10"/>
      <c r="AB52" s="11"/>
      <c r="AC52" s="99"/>
      <c r="AD52" s="99"/>
    </row>
    <row r="53" customFormat="false" ht="11.1" hidden="false" customHeight="true" outlineLevel="0" collapsed="false">
      <c r="A53" s="35"/>
      <c r="B53" s="40"/>
      <c r="C53" s="7"/>
      <c r="D53" s="7"/>
      <c r="E53" s="7"/>
      <c r="F53" s="35"/>
      <c r="G53" s="119"/>
      <c r="H53" s="8"/>
      <c r="I53" s="35"/>
      <c r="J53" s="35"/>
      <c r="K53" s="121"/>
      <c r="L53" s="35"/>
      <c r="M53" s="33"/>
      <c r="N53" s="33"/>
      <c r="O53" s="33"/>
      <c r="P53" s="35"/>
      <c r="Q53" s="35"/>
      <c r="R53" s="35"/>
      <c r="S53" s="7"/>
      <c r="T53" s="35"/>
      <c r="U53" s="35"/>
      <c r="V53" s="7"/>
      <c r="W53" s="35"/>
      <c r="X53" s="35"/>
      <c r="Y53" s="40"/>
      <c r="Z53" s="8"/>
      <c r="AA53" s="10"/>
      <c r="AB53" s="11"/>
      <c r="AC53" s="99"/>
      <c r="AD53" s="99"/>
    </row>
    <row r="54" customFormat="false" ht="11.1" hidden="false" customHeight="true" outlineLevel="0" collapsed="false">
      <c r="A54" s="35"/>
      <c r="B54" s="35"/>
      <c r="C54" s="7"/>
      <c r="D54" s="35"/>
      <c r="E54" s="7"/>
      <c r="F54" s="35"/>
      <c r="G54" s="6"/>
      <c r="H54" s="8"/>
      <c r="I54" s="35"/>
      <c r="J54" s="35"/>
      <c r="K54" s="39"/>
      <c r="L54" s="35"/>
      <c r="M54" s="33"/>
      <c r="N54" s="33"/>
      <c r="O54" s="33"/>
      <c r="P54" s="35"/>
      <c r="Q54" s="35"/>
      <c r="R54" s="35"/>
      <c r="S54" s="7"/>
      <c r="T54" s="35"/>
      <c r="U54" s="35"/>
      <c r="V54" s="7"/>
      <c r="W54" s="35"/>
      <c r="X54" s="35"/>
      <c r="Y54" s="40"/>
      <c r="Z54" s="8"/>
      <c r="AA54" s="10"/>
      <c r="AB54" s="11"/>
      <c r="AC54" s="99"/>
      <c r="AD54" s="99"/>
    </row>
    <row r="55" customFormat="false" ht="11.1" hidden="false" customHeight="true" outlineLevel="0" collapsed="false">
      <c r="R55" s="35"/>
      <c r="S55" s="7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M21" activePane="bottomRight" state="frozen"/>
      <selection pane="topLeft" activeCell="A1" activeCellId="0" sqref="A1"/>
      <selection pane="topRight" activeCell="M1" activeCellId="0" sqref="M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122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6" width="5.6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123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3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123"/>
      <c r="I2" s="49"/>
      <c r="J2" s="49"/>
      <c r="K2" s="57" t="s">
        <v>72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3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123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3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124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100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73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124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125"/>
      <c r="AA5" s="62" t="s">
        <v>41</v>
      </c>
      <c r="AB5" s="62" t="s">
        <v>41</v>
      </c>
      <c r="AC5" s="65" t="s">
        <v>73</v>
      </c>
      <c r="AD5" s="82"/>
      <c r="AE5" s="82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126"/>
      <c r="I6" s="66"/>
      <c r="J6" s="66"/>
      <c r="K6" s="66"/>
      <c r="L6" s="66"/>
      <c r="M6" s="66"/>
      <c r="N6" s="66"/>
      <c r="O6" s="66"/>
      <c r="P6" s="66"/>
      <c r="Q6" s="66"/>
      <c r="R6" s="127"/>
      <c r="S6" s="66"/>
      <c r="T6" s="128"/>
      <c r="U6" s="66"/>
      <c r="V6" s="66"/>
      <c r="W6" s="66"/>
      <c r="X6" s="66"/>
      <c r="Y6" s="66"/>
      <c r="Z6" s="53"/>
      <c r="AA6" s="55"/>
      <c r="AB6" s="55"/>
      <c r="AC6" s="55"/>
      <c r="AD6" s="83"/>
      <c r="AE6" s="83"/>
      <c r="AF6" s="84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 t="n">
        <f aca="false">JUN!F44</f>
        <v>23910.2596420469</v>
      </c>
      <c r="G7" s="50" t="n">
        <f aca="false">JUN!G44</f>
        <v>76216</v>
      </c>
      <c r="H7" s="123" t="n">
        <f aca="false">JUN!H44</f>
        <v>2414</v>
      </c>
      <c r="I7" s="50" t="n">
        <f aca="false">JUN!I44</f>
        <v>78630</v>
      </c>
      <c r="J7" s="50" t="n">
        <f aca="false">JUN!J44</f>
        <v>12352.8182505672</v>
      </c>
      <c r="K7" s="50" t="n">
        <f aca="false">JUN!K44</f>
        <v>90982.8182505672</v>
      </c>
      <c r="L7" s="50" t="n">
        <f aca="false">JUN!L44</f>
        <v>9392.25964204689</v>
      </c>
      <c r="M7" s="50" t="n">
        <f aca="false">JUN!M44</f>
        <v>14913</v>
      </c>
      <c r="N7" s="50" t="n">
        <f aca="false">JUN!N44</f>
        <v>0</v>
      </c>
      <c r="O7" s="50" t="n">
        <f aca="false">JUN!O44</f>
        <v>0</v>
      </c>
      <c r="P7" s="50" t="n">
        <f aca="false">JUN!P44</f>
        <v>14913</v>
      </c>
      <c r="Q7" s="50" t="n">
        <f aca="false">JUN!Q44</f>
        <v>11542</v>
      </c>
      <c r="R7" s="50" t="n">
        <f aca="false">JUN!R44</f>
        <v>5146</v>
      </c>
      <c r="S7" s="50" t="n">
        <f aca="false">JUN!S44</f>
        <v>31601</v>
      </c>
      <c r="T7" s="50" t="n">
        <f aca="false">JUN!T44</f>
        <v>13715</v>
      </c>
      <c r="U7" s="50" t="n">
        <f aca="false">JUN!U44</f>
        <v>1306</v>
      </c>
      <c r="V7" s="50" t="n">
        <f aca="false">JUN!V44</f>
        <v>31205</v>
      </c>
      <c r="W7" s="50" t="n">
        <f aca="false">JUN!W44</f>
        <v>64112</v>
      </c>
      <c r="X7" s="50" t="n">
        <f aca="false">JUN!X44</f>
        <v>2960.55860852029</v>
      </c>
      <c r="Y7" s="50" t="n">
        <f aca="false">JUN!Y44</f>
        <v>67072.5586085203</v>
      </c>
      <c r="Z7" s="53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JUN!B39</f>
        <v>6923.51</v>
      </c>
      <c r="C8" s="50" t="n">
        <f aca="false">JUN!C39</f>
        <v>378979</v>
      </c>
      <c r="D8" s="50" t="n">
        <f aca="false">JUN!D48</f>
        <v>52858</v>
      </c>
      <c r="E8" s="50" t="n">
        <f aca="false">JUN!E48</f>
        <v>226979</v>
      </c>
      <c r="F8" s="50" t="n">
        <f aca="false">JUN!F47</f>
        <v>26648.8530375599</v>
      </c>
      <c r="G8" s="50" t="n">
        <f aca="false">JUN!G47</f>
        <v>91541</v>
      </c>
      <c r="H8" s="123" t="n">
        <f aca="false">JUN!H47</f>
        <v>2620</v>
      </c>
      <c r="I8" s="50" t="n">
        <f aca="false">JUN!I47</f>
        <v>94161</v>
      </c>
      <c r="J8" s="50" t="n">
        <f aca="false">JUN!J47</f>
        <v>15710.5518023696</v>
      </c>
      <c r="K8" s="50" t="n">
        <f aca="false">JUN!K47</f>
        <v>109871.55180237</v>
      </c>
      <c r="L8" s="50" t="n">
        <f aca="false">JUN!L47</f>
        <v>11733.8530375599</v>
      </c>
      <c r="M8" s="50" t="n">
        <f aca="false">JUN!M47</f>
        <v>16232</v>
      </c>
      <c r="N8" s="50" t="n">
        <f aca="false">JUN!N47</f>
        <v>0</v>
      </c>
      <c r="O8" s="50" t="n">
        <f aca="false">JUN!O47</f>
        <v>0</v>
      </c>
      <c r="P8" s="50" t="n">
        <f aca="false">JUN!P47</f>
        <v>16232</v>
      </c>
      <c r="Q8" s="50" t="n">
        <f aca="false">JUN!Q47</f>
        <v>13302</v>
      </c>
      <c r="R8" s="50" t="n">
        <f aca="false">JUN!R47</f>
        <v>5342</v>
      </c>
      <c r="S8" s="50" t="n">
        <f aca="false">JUN!S47</f>
        <v>34876</v>
      </c>
      <c r="T8" s="50" t="n">
        <f aca="false">JUN!T45</f>
        <v>27203.7025</v>
      </c>
      <c r="U8" s="50" t="n">
        <f aca="false">JUN!U47</f>
        <v>1306</v>
      </c>
      <c r="V8" s="50" t="n">
        <f aca="false">JUN!V47</f>
        <v>43064</v>
      </c>
      <c r="W8" s="50" t="n">
        <f aca="false">JUN!W47</f>
        <v>79246</v>
      </c>
      <c r="X8" s="50" t="n">
        <f aca="false">JUN!X47</f>
        <v>3976.69876480968</v>
      </c>
      <c r="Y8" s="50" t="n">
        <f aca="false">JUN!Y47</f>
        <v>83222.6987648097</v>
      </c>
      <c r="Z8" s="53" t="n">
        <f aca="false">JUN!Z47</f>
        <v>11.95</v>
      </c>
      <c r="AA8" s="54"/>
      <c r="AB8" s="54"/>
      <c r="AC8" s="55"/>
      <c r="AD8" s="85"/>
      <c r="AE8" s="83"/>
      <c r="AF8" s="8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129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102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6923.46</v>
      </c>
      <c r="C10" s="50" t="n">
        <v>378756</v>
      </c>
      <c r="D10" s="54" t="n">
        <f aca="false">C10-C8</f>
        <v>-223</v>
      </c>
      <c r="E10" s="50" t="n">
        <f aca="false">C10-152000</f>
        <v>226756</v>
      </c>
      <c r="F10" s="49" t="n">
        <f aca="false">D10/$D$2</f>
        <v>-112.427527098563</v>
      </c>
      <c r="G10" s="49" t="n">
        <v>408</v>
      </c>
      <c r="H10" s="123" t="n">
        <v>0</v>
      </c>
      <c r="I10" s="49" t="n">
        <f aca="false">G10+H10</f>
        <v>408</v>
      </c>
      <c r="J10" s="76" t="n">
        <f aca="false">IF(L10&gt;0,L10,0)</f>
        <v>0</v>
      </c>
      <c r="K10" s="49" t="n">
        <f aca="false">I10+J10</f>
        <v>408</v>
      </c>
      <c r="L10" s="49" t="n">
        <f aca="false">F10-(I10-W10)</f>
        <v>-8.42752709856315</v>
      </c>
      <c r="M10" s="49" t="n">
        <v>185</v>
      </c>
      <c r="N10" s="49" t="n">
        <v>0</v>
      </c>
      <c r="O10" s="49" t="n">
        <v>0</v>
      </c>
      <c r="P10" s="6" t="n">
        <f aca="false">M10-(N10+O10)</f>
        <v>185</v>
      </c>
      <c r="Q10" s="49" t="n">
        <v>136</v>
      </c>
      <c r="R10" s="49" t="n">
        <v>86</v>
      </c>
      <c r="S10" s="49" t="n">
        <f aca="false">SUM(P10:R10)</f>
        <v>407</v>
      </c>
      <c r="T10" s="50" t="n">
        <f aca="false">(I10-S10)+T7</f>
        <v>13716</v>
      </c>
      <c r="U10" s="49" t="n">
        <v>26</v>
      </c>
      <c r="V10" s="49" t="n">
        <v>79</v>
      </c>
      <c r="W10" s="6" t="n">
        <f aca="false">N10+O10+S10+U10+V10</f>
        <v>512</v>
      </c>
      <c r="X10" s="49" t="n">
        <f aca="false">IF(L10&lt;0,L10*-1,0)</f>
        <v>8.42752709856315</v>
      </c>
      <c r="Y10" s="49" t="n">
        <f aca="false">W10+X10</f>
        <v>520.427527098563</v>
      </c>
      <c r="Z10" s="53" t="n">
        <v>0</v>
      </c>
      <c r="AA10" s="130" t="n">
        <v>82</v>
      </c>
      <c r="AB10" s="130" t="n">
        <v>49</v>
      </c>
      <c r="AC10" s="55" t="n">
        <v>1</v>
      </c>
      <c r="AD10" s="84"/>
      <c r="AE10" s="85"/>
      <c r="AF10" s="84"/>
    </row>
    <row r="11" customFormat="false" ht="11.1" hidden="false" customHeight="true" outlineLevel="0" collapsed="false">
      <c r="A11" s="55" t="n">
        <f aca="false">A10+1</f>
        <v>2</v>
      </c>
      <c r="B11" s="69" t="n">
        <v>6923.38</v>
      </c>
      <c r="C11" s="50" t="n">
        <v>378400</v>
      </c>
      <c r="D11" s="54" t="n">
        <f aca="false">C11-C10</f>
        <v>-356</v>
      </c>
      <c r="E11" s="50" t="n">
        <f aca="false">C11-152000</f>
        <v>226400</v>
      </c>
      <c r="F11" s="49" t="n">
        <f aca="false">D11/$D$2</f>
        <v>-179.480715906226</v>
      </c>
      <c r="G11" s="49" t="n">
        <v>376</v>
      </c>
      <c r="H11" s="123" t="n">
        <v>0</v>
      </c>
      <c r="I11" s="49" t="n">
        <f aca="false">G11+H11</f>
        <v>376</v>
      </c>
      <c r="J11" s="76" t="n">
        <f aca="false">IF(L11&gt;0,L11,0)</f>
        <v>0</v>
      </c>
      <c r="K11" s="49" t="n">
        <f aca="false">I11+J11</f>
        <v>376</v>
      </c>
      <c r="L11" s="49" t="n">
        <f aca="false">F11-(I11-W11)</f>
        <v>-43.4807159062264</v>
      </c>
      <c r="M11" s="49" t="n">
        <v>185</v>
      </c>
      <c r="N11" s="49" t="n">
        <v>0</v>
      </c>
      <c r="O11" s="49" t="n">
        <v>0</v>
      </c>
      <c r="P11" s="6" t="n">
        <f aca="false">M11-(N11+O11)</f>
        <v>185</v>
      </c>
      <c r="Q11" s="49" t="n">
        <v>136</v>
      </c>
      <c r="R11" s="49" t="n">
        <v>87</v>
      </c>
      <c r="S11" s="49" t="n">
        <f aca="false">SUM(P11:R11)</f>
        <v>408</v>
      </c>
      <c r="T11" s="50" t="n">
        <f aca="false">(I11-S11)+T10</f>
        <v>13684</v>
      </c>
      <c r="U11" s="49" t="n">
        <v>26</v>
      </c>
      <c r="V11" s="49" t="n">
        <v>78</v>
      </c>
      <c r="W11" s="6" t="n">
        <f aca="false">N11+O11+S11+U11+V11</f>
        <v>512</v>
      </c>
      <c r="X11" s="49" t="n">
        <f aca="false">IF(L11&lt;0,L11*-1,0)</f>
        <v>43.4807159062264</v>
      </c>
      <c r="Y11" s="49" t="n">
        <f aca="false">W11+X11</f>
        <v>555.480715906226</v>
      </c>
      <c r="Z11" s="53" t="n">
        <v>0</v>
      </c>
      <c r="AA11" s="54" t="n">
        <v>79</v>
      </c>
      <c r="AB11" s="54" t="n">
        <v>51</v>
      </c>
      <c r="AC11" s="55" t="n">
        <f aca="false">AC10+1</f>
        <v>2</v>
      </c>
      <c r="AD11" s="84"/>
      <c r="AE11" s="85"/>
      <c r="AF11" s="84"/>
    </row>
    <row r="12" customFormat="false" ht="11.1" hidden="false" customHeight="true" outlineLevel="0" collapsed="false">
      <c r="A12" s="55" t="n">
        <f aca="false">A11+1</f>
        <v>3</v>
      </c>
      <c r="B12" s="69" t="n">
        <v>6923.35</v>
      </c>
      <c r="C12" s="50" t="n">
        <v>378267</v>
      </c>
      <c r="D12" s="54" t="n">
        <f aca="false">C12-C11</f>
        <v>-133</v>
      </c>
      <c r="E12" s="50" t="n">
        <f aca="false">C12-152000</f>
        <v>226267</v>
      </c>
      <c r="F12" s="49" t="n">
        <f aca="false">D12/$D$2</f>
        <v>-67.0531888076632</v>
      </c>
      <c r="G12" s="49" t="n">
        <v>362</v>
      </c>
      <c r="H12" s="123" t="n">
        <v>0</v>
      </c>
      <c r="I12" s="49" t="n">
        <f aca="false">G12+H12</f>
        <v>362</v>
      </c>
      <c r="J12" s="76" t="n">
        <f aca="false">IF(L12&gt;0,L12,0)</f>
        <v>70.9468111923368</v>
      </c>
      <c r="K12" s="49" t="n">
        <f aca="false">I12+J12</f>
        <v>432.946811192337</v>
      </c>
      <c r="L12" s="49" t="n">
        <f aca="false">F12-(I12-W12)</f>
        <v>70.9468111923368</v>
      </c>
      <c r="M12" s="49" t="n">
        <v>185</v>
      </c>
      <c r="N12" s="49" t="n">
        <v>0</v>
      </c>
      <c r="O12" s="49" t="n">
        <v>0</v>
      </c>
      <c r="P12" s="6" t="n">
        <f aca="false">M12-(N12+O12)</f>
        <v>185</v>
      </c>
      <c r="Q12" s="49" t="n">
        <v>136</v>
      </c>
      <c r="R12" s="49" t="n">
        <v>86</v>
      </c>
      <c r="S12" s="49" t="n">
        <f aca="false">SUM(P12:R12)</f>
        <v>407</v>
      </c>
      <c r="T12" s="50" t="n">
        <f aca="false">(I12-S12)+T11</f>
        <v>13639</v>
      </c>
      <c r="U12" s="49" t="n">
        <v>15</v>
      </c>
      <c r="V12" s="49" t="n">
        <v>78</v>
      </c>
      <c r="W12" s="6" t="n">
        <f aca="false">N12+O12+S12+U12+V12</f>
        <v>500</v>
      </c>
      <c r="X12" s="49" t="n">
        <f aca="false">IF(L12&lt;0,L12*-1,0)</f>
        <v>0</v>
      </c>
      <c r="Y12" s="49" t="n">
        <f aca="false">W12+X12</f>
        <v>500</v>
      </c>
      <c r="Z12" s="53" t="n">
        <v>0</v>
      </c>
      <c r="AA12" s="54" t="n">
        <v>80</v>
      </c>
      <c r="AB12" s="54" t="n">
        <v>51</v>
      </c>
      <c r="AC12" s="55" t="n">
        <f aca="false">AC11+1</f>
        <v>3</v>
      </c>
      <c r="AD12" s="84"/>
      <c r="AE12" s="85"/>
      <c r="AF12" s="84"/>
    </row>
    <row r="13" customFormat="false" ht="11.1" hidden="false" customHeight="true" outlineLevel="0" collapsed="false">
      <c r="A13" s="55" t="n">
        <f aca="false">A12+1</f>
        <v>4</v>
      </c>
      <c r="B13" s="69" t="n">
        <v>6923.36</v>
      </c>
      <c r="C13" s="50" t="n">
        <v>378311</v>
      </c>
      <c r="D13" s="54" t="n">
        <f aca="false">C13-C12</f>
        <v>44</v>
      </c>
      <c r="E13" s="50" t="n">
        <f aca="false">C13-152000</f>
        <v>226311</v>
      </c>
      <c r="F13" s="49" t="n">
        <f aca="false">D13/$D$2</f>
        <v>22.1830098311066</v>
      </c>
      <c r="G13" s="49" t="n">
        <v>509</v>
      </c>
      <c r="H13" s="123" t="n">
        <v>0</v>
      </c>
      <c r="I13" s="49" t="n">
        <f aca="false">G13+H13</f>
        <v>509</v>
      </c>
      <c r="J13" s="76" t="n">
        <f aca="false">IF(L13&gt;0,L13,0)</f>
        <v>27.1830098311066</v>
      </c>
      <c r="K13" s="49" t="n">
        <f aca="false">I13+J13</f>
        <v>536.183009831107</v>
      </c>
      <c r="L13" s="49" t="n">
        <f aca="false">F13-(I13-W13)</f>
        <v>27.1830098311066</v>
      </c>
      <c r="M13" s="49" t="n">
        <v>185</v>
      </c>
      <c r="N13" s="49" t="n">
        <v>0</v>
      </c>
      <c r="O13" s="49" t="n">
        <v>0</v>
      </c>
      <c r="P13" s="6" t="n">
        <f aca="false">M13-(N13+O13)</f>
        <v>185</v>
      </c>
      <c r="Q13" s="49" t="n">
        <v>136</v>
      </c>
      <c r="R13" s="49" t="n">
        <v>87</v>
      </c>
      <c r="S13" s="49" t="n">
        <f aca="false">SUM(P13:R13)</f>
        <v>408</v>
      </c>
      <c r="T13" s="50" t="n">
        <f aca="false">(I13-S13)+T12</f>
        <v>13740</v>
      </c>
      <c r="U13" s="49" t="n">
        <v>28</v>
      </c>
      <c r="V13" s="49" t="n">
        <v>78</v>
      </c>
      <c r="W13" s="6" t="n">
        <f aca="false">N13+O13+S13+U13+V13</f>
        <v>514</v>
      </c>
      <c r="X13" s="49" t="n">
        <f aca="false">IF(L13&lt;0,L13*-1,0)</f>
        <v>0</v>
      </c>
      <c r="Y13" s="49" t="n">
        <f aca="false">W13+X13</f>
        <v>514</v>
      </c>
      <c r="Z13" s="53" t="n">
        <v>0.27</v>
      </c>
      <c r="AA13" s="54" t="n">
        <v>82</v>
      </c>
      <c r="AB13" s="54" t="n">
        <v>50</v>
      </c>
      <c r="AC13" s="55" t="n">
        <f aca="false">AC12+1</f>
        <v>4</v>
      </c>
      <c r="AD13" s="84"/>
      <c r="AE13" s="85"/>
      <c r="AF13" s="84"/>
    </row>
    <row r="14" customFormat="false" ht="11.1" hidden="false" customHeight="true" outlineLevel="0" collapsed="false">
      <c r="A14" s="55" t="n">
        <f aca="false">A13+1</f>
        <v>5</v>
      </c>
      <c r="B14" s="69" t="n">
        <v>6923.3</v>
      </c>
      <c r="C14" s="50" t="n">
        <v>378044</v>
      </c>
      <c r="D14" s="54" t="n">
        <f aca="false">C14-C13</f>
        <v>-267</v>
      </c>
      <c r="E14" s="50" t="n">
        <f aca="false">C14-152000</f>
        <v>226044</v>
      </c>
      <c r="F14" s="49" t="n">
        <f aca="false">D14/$D$2</f>
        <v>-134.61053692967</v>
      </c>
      <c r="G14" s="49" t="n">
        <v>405</v>
      </c>
      <c r="H14" s="123" t="n">
        <v>0</v>
      </c>
      <c r="I14" s="49" t="n">
        <f aca="false">G14+H14</f>
        <v>405</v>
      </c>
      <c r="J14" s="76" t="n">
        <f aca="false">IF(L14&gt;0,L14,0)</f>
        <v>0</v>
      </c>
      <c r="K14" s="49" t="n">
        <f aca="false">I14+J14</f>
        <v>405</v>
      </c>
      <c r="L14" s="49" t="n">
        <f aca="false">F14-(I14-W14)</f>
        <v>-41.6105369296698</v>
      </c>
      <c r="M14" s="49" t="n">
        <v>180</v>
      </c>
      <c r="N14" s="49" t="n">
        <v>0</v>
      </c>
      <c r="O14" s="49" t="n">
        <v>0</v>
      </c>
      <c r="P14" s="6" t="n">
        <f aca="false">M14-(N14+O14)</f>
        <v>180</v>
      </c>
      <c r="Q14" s="49" t="n">
        <v>136</v>
      </c>
      <c r="R14" s="49" t="n">
        <v>84</v>
      </c>
      <c r="S14" s="49" t="n">
        <f aca="false">SUM(P14:R14)</f>
        <v>400</v>
      </c>
      <c r="T14" s="50" t="n">
        <f aca="false">(I14-S14)+T13</f>
        <v>13745</v>
      </c>
      <c r="U14" s="49" t="n">
        <v>20</v>
      </c>
      <c r="V14" s="49" t="n">
        <v>78</v>
      </c>
      <c r="W14" s="6" t="n">
        <f aca="false">N14+O14+S14+U14+V14</f>
        <v>498</v>
      </c>
      <c r="X14" s="49" t="n">
        <f aca="false">IF(L14&lt;0,L14*-1,0)</f>
        <v>41.6105369296698</v>
      </c>
      <c r="Y14" s="49" t="n">
        <f aca="false">W14+X14</f>
        <v>539.61053692967</v>
      </c>
      <c r="Z14" s="53" t="n">
        <v>0</v>
      </c>
      <c r="AA14" s="54" t="n">
        <v>78</v>
      </c>
      <c r="AB14" s="54" t="n">
        <v>50</v>
      </c>
      <c r="AC14" s="55" t="n">
        <f aca="false">AC13+1</f>
        <v>5</v>
      </c>
      <c r="AD14" s="84"/>
      <c r="AE14" s="85"/>
      <c r="AF14" s="84"/>
    </row>
    <row r="15" customFormat="false" ht="11.1" hidden="false" customHeight="true" outlineLevel="0" collapsed="false">
      <c r="A15" s="55" t="n">
        <f aca="false">A14+1</f>
        <v>6</v>
      </c>
      <c r="B15" s="69" t="n">
        <v>6923.23</v>
      </c>
      <c r="C15" s="50" t="n">
        <v>377732</v>
      </c>
      <c r="D15" s="54" t="n">
        <f aca="false">C15-C14</f>
        <v>-312</v>
      </c>
      <c r="E15" s="50" t="n">
        <f aca="false">C15-152000</f>
        <v>225732</v>
      </c>
      <c r="F15" s="49" t="n">
        <f aca="false">D15/$D$2</f>
        <v>-157.29770607512</v>
      </c>
      <c r="G15" s="49" t="n">
        <v>363</v>
      </c>
      <c r="H15" s="123" t="n">
        <v>0</v>
      </c>
      <c r="I15" s="49" t="n">
        <f aca="false">G15+H15</f>
        <v>363</v>
      </c>
      <c r="J15" s="76" t="n">
        <f aca="false">IF(L15&gt;0,L15,0)</f>
        <v>0</v>
      </c>
      <c r="K15" s="49" t="n">
        <f aca="false">I15+J15</f>
        <v>363</v>
      </c>
      <c r="L15" s="49" t="n">
        <f aca="false">F15-(I15-W15)</f>
        <v>-33.2977060751197</v>
      </c>
      <c r="M15" s="49" t="n">
        <v>168</v>
      </c>
      <c r="N15" s="49" t="n">
        <v>0</v>
      </c>
      <c r="O15" s="49" t="n">
        <v>0</v>
      </c>
      <c r="P15" s="6" t="n">
        <f aca="false">M15-(N15+O15)</f>
        <v>168</v>
      </c>
      <c r="Q15" s="49" t="n">
        <v>136</v>
      </c>
      <c r="R15" s="49" t="n">
        <v>85</v>
      </c>
      <c r="S15" s="49" t="n">
        <f aca="false">SUM(P15:R15)</f>
        <v>389</v>
      </c>
      <c r="T15" s="50" t="n">
        <f aca="false">(I15-S15)+T14</f>
        <v>13719</v>
      </c>
      <c r="U15" s="49" t="n">
        <v>20</v>
      </c>
      <c r="V15" s="49" t="n">
        <v>78</v>
      </c>
      <c r="W15" s="6" t="n">
        <f aca="false">N15+O15+S15+U15+V15</f>
        <v>487</v>
      </c>
      <c r="X15" s="49" t="n">
        <f aca="false">IF(L15&lt;0,L15*-1,0)</f>
        <v>33.2977060751197</v>
      </c>
      <c r="Y15" s="49" t="n">
        <f aca="false">W15+X15</f>
        <v>520.29770607512</v>
      </c>
      <c r="Z15" s="53" t="n">
        <v>0.03</v>
      </c>
      <c r="AA15" s="54" t="n">
        <v>81</v>
      </c>
      <c r="AB15" s="54" t="n">
        <v>41</v>
      </c>
      <c r="AC15" s="55" t="n">
        <f aca="false">AC14+1</f>
        <v>6</v>
      </c>
      <c r="AD15" s="83"/>
      <c r="AE15" s="85"/>
      <c r="AF15" s="84"/>
    </row>
    <row r="16" customFormat="false" ht="11.1" hidden="false" customHeight="true" outlineLevel="0" collapsed="false">
      <c r="A16" s="55" t="n">
        <f aca="false">A15+1</f>
        <v>7</v>
      </c>
      <c r="B16" s="69" t="n">
        <v>6923.13</v>
      </c>
      <c r="C16" s="50" t="n">
        <v>377287</v>
      </c>
      <c r="D16" s="54" t="n">
        <f aca="false">C16-C15</f>
        <v>-445</v>
      </c>
      <c r="E16" s="50" t="n">
        <f aca="false">C16-152000</f>
        <v>225287</v>
      </c>
      <c r="F16" s="49" t="n">
        <f aca="false">D16/$D$2</f>
        <v>-224.350894882783</v>
      </c>
      <c r="G16" s="49" t="n">
        <v>332</v>
      </c>
      <c r="H16" s="123" t="n">
        <v>0</v>
      </c>
      <c r="I16" s="49" t="n">
        <f aca="false">G16+H16</f>
        <v>332</v>
      </c>
      <c r="J16" s="76" t="n">
        <f aca="false">IF(L16&gt;0,L16,0)</f>
        <v>0</v>
      </c>
      <c r="K16" s="49" t="n">
        <f aca="false">I16+J16</f>
        <v>332</v>
      </c>
      <c r="L16" s="49" t="n">
        <f aca="false">F16-(I16-W16)</f>
        <v>-54.350894882783</v>
      </c>
      <c r="M16" s="49" t="n">
        <v>173</v>
      </c>
      <c r="N16" s="49" t="n">
        <v>0</v>
      </c>
      <c r="O16" s="49" t="n">
        <v>0</v>
      </c>
      <c r="P16" s="6" t="n">
        <f aca="false">M16-(N16+O16)</f>
        <v>173</v>
      </c>
      <c r="Q16" s="49" t="n">
        <v>136</v>
      </c>
      <c r="R16" s="49" t="n">
        <v>85</v>
      </c>
      <c r="S16" s="49" t="n">
        <f aca="false">SUM(P16:R16)</f>
        <v>394</v>
      </c>
      <c r="T16" s="50" t="n">
        <f aca="false">(I16-S16)+T15</f>
        <v>13657</v>
      </c>
      <c r="U16" s="49" t="n">
        <v>30</v>
      </c>
      <c r="V16" s="49" t="n">
        <v>78</v>
      </c>
      <c r="W16" s="6" t="n">
        <f aca="false">N16+O16+S16+U16+V16</f>
        <v>502</v>
      </c>
      <c r="X16" s="49" t="n">
        <f aca="false">IF(L16&lt;0,L16*-1,0)</f>
        <v>54.350894882783</v>
      </c>
      <c r="Y16" s="49" t="n">
        <f aca="false">W16+X16</f>
        <v>556.350894882783</v>
      </c>
      <c r="Z16" s="53" t="n">
        <v>0</v>
      </c>
      <c r="AA16" s="130" t="n">
        <v>84</v>
      </c>
      <c r="AB16" s="130" t="n">
        <v>41</v>
      </c>
      <c r="AC16" s="55" t="n">
        <f aca="false">AC15+1</f>
        <v>7</v>
      </c>
      <c r="AD16" s="83"/>
      <c r="AE16" s="85"/>
      <c r="AF16" s="84"/>
    </row>
    <row r="17" customFormat="false" ht="11.1" hidden="false" customHeight="true" outlineLevel="0" collapsed="false">
      <c r="A17" s="55" t="n">
        <f aca="false">A16+1</f>
        <v>8</v>
      </c>
      <c r="B17" s="69" t="n">
        <v>6923.02</v>
      </c>
      <c r="C17" s="50" t="n">
        <v>376798</v>
      </c>
      <c r="D17" s="54" t="n">
        <f aca="false">C17-C16</f>
        <v>-489</v>
      </c>
      <c r="E17" s="50" t="n">
        <f aca="false">C17-152000</f>
        <v>224798</v>
      </c>
      <c r="F17" s="49" t="n">
        <f aca="false">D17/$D$2</f>
        <v>-246.53390471389</v>
      </c>
      <c r="G17" s="49" t="n">
        <v>304</v>
      </c>
      <c r="H17" s="123" t="n">
        <v>0</v>
      </c>
      <c r="I17" s="49" t="n">
        <f aca="false">G17+H17</f>
        <v>304</v>
      </c>
      <c r="J17" s="76" t="n">
        <f aca="false">IF(L17&gt;0,L17,0)</f>
        <v>0</v>
      </c>
      <c r="K17" s="49" t="n">
        <f aca="false">I17+J17</f>
        <v>304</v>
      </c>
      <c r="L17" s="49" t="n">
        <f aca="false">F17-(I17-W17)</f>
        <v>-41.5339047138896</v>
      </c>
      <c r="M17" s="49" t="n">
        <v>182</v>
      </c>
      <c r="N17" s="49" t="n">
        <v>0</v>
      </c>
      <c r="O17" s="49" t="n">
        <v>0</v>
      </c>
      <c r="P17" s="6" t="n">
        <f aca="false">M17-(N17+O17)</f>
        <v>182</v>
      </c>
      <c r="Q17" s="49" t="n">
        <v>136</v>
      </c>
      <c r="R17" s="49" t="n">
        <v>82</v>
      </c>
      <c r="S17" s="49" t="n">
        <f aca="false">SUM(P17:R17)</f>
        <v>400</v>
      </c>
      <c r="T17" s="50" t="n">
        <f aca="false">(I17-S17)+T16</f>
        <v>13561</v>
      </c>
      <c r="U17" s="49" t="n">
        <v>31</v>
      </c>
      <c r="V17" s="49" t="n">
        <v>78</v>
      </c>
      <c r="W17" s="6" t="n">
        <f aca="false">N17+O17+S17+U17+V17</f>
        <v>509</v>
      </c>
      <c r="X17" s="49" t="n">
        <f aca="false">IF(L17&lt;0,L17*-1,0)</f>
        <v>41.5339047138896</v>
      </c>
      <c r="Y17" s="49" t="n">
        <f aca="false">W17+X17</f>
        <v>550.53390471389</v>
      </c>
      <c r="Z17" s="53" t="n">
        <v>0</v>
      </c>
      <c r="AA17" s="54" t="n">
        <v>85</v>
      </c>
      <c r="AB17" s="54" t="n">
        <v>50</v>
      </c>
      <c r="AC17" s="55" t="n">
        <f aca="false">AC16+1</f>
        <v>8</v>
      </c>
      <c r="AD17" s="83"/>
      <c r="AE17" s="85"/>
      <c r="AF17" s="84"/>
    </row>
    <row r="18" customFormat="false" ht="11.1" hidden="false" customHeight="true" outlineLevel="0" collapsed="false">
      <c r="A18" s="55" t="n">
        <f aca="false">A17+1</f>
        <v>9</v>
      </c>
      <c r="B18" s="69" t="n">
        <v>6922.9</v>
      </c>
      <c r="C18" s="50" t="n">
        <v>376267</v>
      </c>
      <c r="D18" s="54" t="n">
        <f aca="false">C18-C17</f>
        <v>-531</v>
      </c>
      <c r="E18" s="50" t="n">
        <f aca="false">C18-152000</f>
        <v>224267</v>
      </c>
      <c r="F18" s="49" t="n">
        <f aca="false">D18/$D$2</f>
        <v>-267.70859591631</v>
      </c>
      <c r="G18" s="49" t="n">
        <v>284</v>
      </c>
      <c r="H18" s="123" t="n">
        <v>0</v>
      </c>
      <c r="I18" s="49" t="n">
        <f aca="false">G18+H18</f>
        <v>284</v>
      </c>
      <c r="J18" s="76" t="n">
        <f aca="false">IF(L18&gt;0,L18,0)</f>
        <v>0</v>
      </c>
      <c r="K18" s="49" t="n">
        <f aca="false">I18+J18</f>
        <v>284</v>
      </c>
      <c r="L18" s="49" t="n">
        <f aca="false">F18-(I18-W18)</f>
        <v>-30.7085959163095</v>
      </c>
      <c r="M18" s="49" t="n">
        <v>182</v>
      </c>
      <c r="N18" s="49" t="n">
        <v>0</v>
      </c>
      <c r="O18" s="49" t="n">
        <v>0</v>
      </c>
      <c r="P18" s="6" t="n">
        <f aca="false">M18-(N18+O18)</f>
        <v>182</v>
      </c>
      <c r="Q18" s="49" t="n">
        <v>136</v>
      </c>
      <c r="R18" s="49" t="n">
        <v>83</v>
      </c>
      <c r="S18" s="49" t="n">
        <f aca="false">SUM(P18:R18)</f>
        <v>401</v>
      </c>
      <c r="T18" s="50" t="n">
        <f aca="false">(I18-S18)+T17</f>
        <v>13444</v>
      </c>
      <c r="U18" s="49" t="n">
        <v>42</v>
      </c>
      <c r="V18" s="49" t="n">
        <v>78</v>
      </c>
      <c r="W18" s="6" t="n">
        <f aca="false">N18+O18+S18+U18+V18</f>
        <v>521</v>
      </c>
      <c r="X18" s="49" t="n">
        <f aca="false">IF(L18&lt;0,L18*-1,0)</f>
        <v>30.7085959163095</v>
      </c>
      <c r="Y18" s="49" t="n">
        <f aca="false">W18+X18</f>
        <v>551.70859591631</v>
      </c>
      <c r="Z18" s="53" t="n">
        <v>0</v>
      </c>
      <c r="AA18" s="77" t="n">
        <v>84</v>
      </c>
      <c r="AB18" s="54" t="n">
        <v>50</v>
      </c>
      <c r="AC18" s="55" t="n">
        <f aca="false">AC17+1</f>
        <v>9</v>
      </c>
      <c r="AD18" s="83"/>
      <c r="AE18" s="85"/>
      <c r="AF18" s="84"/>
    </row>
    <row r="19" customFormat="false" ht="11.1" hidden="false" customHeight="true" outlineLevel="0" collapsed="false">
      <c r="A19" s="55" t="n">
        <f aca="false">A18+1</f>
        <v>10</v>
      </c>
      <c r="B19" s="69" t="n">
        <v>6922.79</v>
      </c>
      <c r="C19" s="50" t="n">
        <v>375782</v>
      </c>
      <c r="D19" s="54" t="n">
        <f aca="false">C19-C18</f>
        <v>-485</v>
      </c>
      <c r="E19" s="50" t="n">
        <f aca="false">C19-152000</f>
        <v>223782</v>
      </c>
      <c r="F19" s="49" t="n">
        <f aca="false">D19/$D$2</f>
        <v>-244.517267456516</v>
      </c>
      <c r="G19" s="49" t="n">
        <v>312</v>
      </c>
      <c r="H19" s="123" t="n">
        <v>0</v>
      </c>
      <c r="I19" s="49" t="n">
        <f aca="false">G19+H19</f>
        <v>312</v>
      </c>
      <c r="J19" s="76" t="n">
        <f aca="false">IF(L19&gt;0,L19,0)</f>
        <v>0</v>
      </c>
      <c r="K19" s="49" t="n">
        <f aca="false">I19+J19</f>
        <v>312</v>
      </c>
      <c r="L19" s="49" t="n">
        <f aca="false">F19-(I19-W19)</f>
        <v>-51.5172674565163</v>
      </c>
      <c r="M19" s="49" t="n">
        <v>182</v>
      </c>
      <c r="N19" s="49" t="n">
        <v>0</v>
      </c>
      <c r="O19" s="49" t="n">
        <v>0</v>
      </c>
      <c r="P19" s="6" t="n">
        <f aca="false">M19-(N19+O19)</f>
        <v>182</v>
      </c>
      <c r="Q19" s="49" t="n">
        <v>136</v>
      </c>
      <c r="R19" s="49" t="n">
        <v>82</v>
      </c>
      <c r="S19" s="49" t="n">
        <f aca="false">SUM(P19:R19)</f>
        <v>400</v>
      </c>
      <c r="T19" s="50" t="n">
        <f aca="false">(I19-S19)+T18</f>
        <v>13356</v>
      </c>
      <c r="U19" s="49" t="n">
        <v>27</v>
      </c>
      <c r="V19" s="49" t="n">
        <v>78</v>
      </c>
      <c r="W19" s="6" t="n">
        <f aca="false">N19+O19+S19+U19+V19</f>
        <v>505</v>
      </c>
      <c r="X19" s="49" t="n">
        <f aca="false">IF(L19&lt;0,L19*-1,0)</f>
        <v>51.5172674565163</v>
      </c>
      <c r="Y19" s="49" t="n">
        <f aca="false">W19+X19</f>
        <v>556.517267456516</v>
      </c>
      <c r="Z19" s="53" t="n">
        <v>0</v>
      </c>
      <c r="AA19" s="54" t="n">
        <v>80</v>
      </c>
      <c r="AB19" s="54" t="n">
        <v>49</v>
      </c>
      <c r="AC19" s="55" t="n">
        <f aca="false">AC18+1</f>
        <v>10</v>
      </c>
      <c r="AD19" s="83"/>
      <c r="AE19" s="85"/>
      <c r="AF19" s="84"/>
    </row>
    <row r="20" customFormat="false" ht="11.1" hidden="false" customHeight="true" outlineLevel="0" collapsed="false">
      <c r="A20" s="55" t="n">
        <f aca="false">A19+1</f>
        <v>11</v>
      </c>
      <c r="B20" s="69" t="n">
        <v>6922.71</v>
      </c>
      <c r="C20" s="50" t="n">
        <v>375428</v>
      </c>
      <c r="D20" s="54" t="n">
        <f aca="false">C20-C19</f>
        <v>-354</v>
      </c>
      <c r="E20" s="50" t="n">
        <f aca="false">C20-152000</f>
        <v>223428</v>
      </c>
      <c r="F20" s="49" t="n">
        <f aca="false">D20/$D$2</f>
        <v>-178.47239727754</v>
      </c>
      <c r="G20" s="49" t="n">
        <v>354</v>
      </c>
      <c r="H20" s="123" t="n">
        <v>0</v>
      </c>
      <c r="I20" s="49" t="n">
        <f aca="false">G20+H20</f>
        <v>354</v>
      </c>
      <c r="J20" s="76" t="n">
        <f aca="false">IF(L20&gt;0,L20,0)</f>
        <v>0</v>
      </c>
      <c r="K20" s="49" t="n">
        <f aca="false">I20+J20</f>
        <v>354</v>
      </c>
      <c r="L20" s="49" t="n">
        <f aca="false">F20-(I20-W20)</f>
        <v>-12.4723972775397</v>
      </c>
      <c r="M20" s="49" t="n">
        <v>189</v>
      </c>
      <c r="N20" s="49" t="n">
        <v>0</v>
      </c>
      <c r="O20" s="49" t="n">
        <v>0</v>
      </c>
      <c r="P20" s="6" t="n">
        <f aca="false">M20-(N20+O20)</f>
        <v>189</v>
      </c>
      <c r="Q20" s="49" t="n">
        <v>136</v>
      </c>
      <c r="R20" s="49" t="n">
        <v>82</v>
      </c>
      <c r="S20" s="49" t="n">
        <f aca="false">SUM(P20:R20)</f>
        <v>407</v>
      </c>
      <c r="T20" s="50" t="n">
        <f aca="false">(I20-S20)+T19</f>
        <v>13303</v>
      </c>
      <c r="U20" s="49" t="n">
        <v>35</v>
      </c>
      <c r="V20" s="49" t="n">
        <v>78</v>
      </c>
      <c r="W20" s="6" t="n">
        <f aca="false">N20+O20+S20+U20+V20</f>
        <v>520</v>
      </c>
      <c r="X20" s="49" t="n">
        <f aca="false">IF(L20&lt;0,L20*-1,0)</f>
        <v>12.4723972775397</v>
      </c>
      <c r="Y20" s="49" t="n">
        <f aca="false">W20+X20</f>
        <v>532.47239727754</v>
      </c>
      <c r="Z20" s="53" t="n">
        <v>0.09</v>
      </c>
      <c r="AA20" s="54" t="n">
        <v>81</v>
      </c>
      <c r="AB20" s="54" t="n">
        <v>47</v>
      </c>
      <c r="AC20" s="55" t="n">
        <f aca="false">AC19+1</f>
        <v>11</v>
      </c>
      <c r="AD20" s="83"/>
      <c r="AE20" s="85"/>
      <c r="AF20" s="84"/>
      <c r="AG20" s="131"/>
      <c r="AH20" s="131"/>
      <c r="AI20" s="131"/>
    </row>
    <row r="21" customFormat="false" ht="11.1" hidden="false" customHeight="true" outlineLevel="0" collapsed="false">
      <c r="A21" s="55" t="n">
        <f aca="false">A20+1</f>
        <v>12</v>
      </c>
      <c r="B21" s="69" t="n">
        <v>6922.55</v>
      </c>
      <c r="C21" s="50" t="n">
        <v>374722</v>
      </c>
      <c r="D21" s="54" t="n">
        <f aca="false">C21-C20</f>
        <v>-706</v>
      </c>
      <c r="E21" s="50" t="n">
        <f aca="false">C21-152000</f>
        <v>222722</v>
      </c>
      <c r="F21" s="49" t="n">
        <f aca="false">D21/$D$2</f>
        <v>-355.936475926393</v>
      </c>
      <c r="G21" s="49" t="n">
        <v>275</v>
      </c>
      <c r="H21" s="123" t="n">
        <v>0</v>
      </c>
      <c r="I21" s="49" t="n">
        <f aca="false">G21+H21</f>
        <v>275</v>
      </c>
      <c r="J21" s="76" t="n">
        <f aca="false">IF(L21&gt;0,L21,0)</f>
        <v>0</v>
      </c>
      <c r="K21" s="49" t="n">
        <f aca="false">I21+J21</f>
        <v>275</v>
      </c>
      <c r="L21" s="49" t="n">
        <f aca="false">F21-(I21-W21)</f>
        <v>-91.9364759263928</v>
      </c>
      <c r="M21" s="49" t="n">
        <v>196</v>
      </c>
      <c r="N21" s="49" t="n">
        <v>0</v>
      </c>
      <c r="O21" s="49" t="n">
        <v>0</v>
      </c>
      <c r="P21" s="6" t="n">
        <f aca="false">M21-(N21+O21)</f>
        <v>196</v>
      </c>
      <c r="Q21" s="49" t="n">
        <v>136</v>
      </c>
      <c r="R21" s="49" t="n">
        <v>82</v>
      </c>
      <c r="S21" s="49" t="n">
        <f aca="false">SUM(P21:R21)</f>
        <v>414</v>
      </c>
      <c r="T21" s="50" t="n">
        <f aca="false">(I21-S21)+T20</f>
        <v>13164</v>
      </c>
      <c r="U21" s="49" t="n">
        <v>47</v>
      </c>
      <c r="V21" s="49" t="n">
        <v>78</v>
      </c>
      <c r="W21" s="6" t="n">
        <f aca="false">N21+O21+S21+U21+V21</f>
        <v>539</v>
      </c>
      <c r="X21" s="49" t="n">
        <f aca="false">IF(L21&lt;0,L21*-1,0)</f>
        <v>91.9364759263928</v>
      </c>
      <c r="Y21" s="49" t="n">
        <f aca="false">W21+X21</f>
        <v>630.936475926393</v>
      </c>
      <c r="Z21" s="53" t="n">
        <v>0.02</v>
      </c>
      <c r="AA21" s="54" t="n">
        <v>83</v>
      </c>
      <c r="AB21" s="54" t="n">
        <v>51</v>
      </c>
      <c r="AC21" s="55" t="n">
        <f aca="false">AC20+1</f>
        <v>12</v>
      </c>
      <c r="AD21" s="83"/>
      <c r="AE21" s="83"/>
      <c r="AF21" s="83"/>
    </row>
    <row r="22" customFormat="false" ht="11.1" hidden="false" customHeight="true" outlineLevel="0" collapsed="false">
      <c r="A22" s="55" t="n">
        <f aca="false">A21+1</f>
        <v>13</v>
      </c>
      <c r="B22" s="69" t="n">
        <v>6922.4</v>
      </c>
      <c r="C22" s="50" t="n">
        <v>374060</v>
      </c>
      <c r="D22" s="54" t="n">
        <f aca="false">C22-C21</f>
        <v>-662</v>
      </c>
      <c r="E22" s="50" t="n">
        <f aca="false">C22-152000</f>
        <v>222060</v>
      </c>
      <c r="F22" s="49" t="n">
        <f aca="false">D22/$D$2</f>
        <v>-333.753466095286</v>
      </c>
      <c r="G22" s="49" t="n">
        <v>244</v>
      </c>
      <c r="H22" s="123" t="n">
        <v>0</v>
      </c>
      <c r="I22" s="49" t="n">
        <f aca="false">G22+H22</f>
        <v>244</v>
      </c>
      <c r="J22" s="76" t="n">
        <f aca="false">IF(L22&gt;0,L22,0)</f>
        <v>0</v>
      </c>
      <c r="K22" s="49" t="n">
        <f aca="false">I22+J22</f>
        <v>244</v>
      </c>
      <c r="L22" s="49" t="n">
        <f aca="false">F22-(I22-W22)</f>
        <v>-35.7534660952861</v>
      </c>
      <c r="M22" s="49" t="n">
        <v>204</v>
      </c>
      <c r="N22" s="49" t="n">
        <v>0</v>
      </c>
      <c r="O22" s="49" t="n">
        <v>0</v>
      </c>
      <c r="P22" s="6" t="n">
        <f aca="false">M22-(N22+O22)</f>
        <v>204</v>
      </c>
      <c r="Q22" s="49" t="n">
        <v>136</v>
      </c>
      <c r="R22" s="49" t="n">
        <v>83</v>
      </c>
      <c r="S22" s="49" t="n">
        <f aca="false">SUM(P22:R22)</f>
        <v>423</v>
      </c>
      <c r="T22" s="50" t="n">
        <f aca="false">(I22-S22)+T21</f>
        <v>12985</v>
      </c>
      <c r="U22" s="49" t="n">
        <v>41</v>
      </c>
      <c r="V22" s="49" t="n">
        <v>78</v>
      </c>
      <c r="W22" s="6" t="n">
        <f aca="false">N22+O22+S22+U22+V22</f>
        <v>542</v>
      </c>
      <c r="X22" s="49" t="n">
        <f aca="false">IF(L22&lt;0,L22*-1,0)</f>
        <v>35.7534660952861</v>
      </c>
      <c r="Y22" s="49" t="n">
        <f aca="false">W22+X22</f>
        <v>577.753466095286</v>
      </c>
      <c r="Z22" s="53" t="n">
        <v>0</v>
      </c>
      <c r="AA22" s="54" t="n">
        <v>86</v>
      </c>
      <c r="AB22" s="54" t="n">
        <v>54</v>
      </c>
      <c r="AC22" s="55" t="n">
        <f aca="false">AC21+1</f>
        <v>13</v>
      </c>
      <c r="AD22" s="83"/>
      <c r="AE22" s="83"/>
      <c r="AF22" s="83"/>
    </row>
    <row r="23" customFormat="false" ht="11.1" hidden="false" customHeight="true" outlineLevel="0" collapsed="false">
      <c r="A23" s="55" t="n">
        <f aca="false">A22+1</f>
        <v>14</v>
      </c>
      <c r="B23" s="69" t="n">
        <v>6922.24</v>
      </c>
      <c r="C23" s="50" t="n">
        <v>373353</v>
      </c>
      <c r="D23" s="54" t="n">
        <f aca="false">C23-C22</f>
        <v>-707</v>
      </c>
      <c r="E23" s="50" t="n">
        <f aca="false">C23-152000</f>
        <v>221353</v>
      </c>
      <c r="F23" s="49" t="n">
        <f aca="false">D23/$D$2</f>
        <v>-356.440635240736</v>
      </c>
      <c r="G23" s="49" t="n">
        <v>256</v>
      </c>
      <c r="H23" s="123" t="n">
        <v>0</v>
      </c>
      <c r="I23" s="49" t="n">
        <f aca="false">G23+H23</f>
        <v>256</v>
      </c>
      <c r="J23" s="76" t="n">
        <f aca="false">IF(L23&gt;0,L23,0)</f>
        <v>0</v>
      </c>
      <c r="K23" s="49" t="n">
        <f aca="false">I23+J23</f>
        <v>256</v>
      </c>
      <c r="L23" s="49" t="n">
        <f aca="false">F23-(I23-W23)</f>
        <v>-52.4406352407361</v>
      </c>
      <c r="M23" s="49" t="n">
        <v>210</v>
      </c>
      <c r="N23" s="49" t="n">
        <v>0</v>
      </c>
      <c r="O23" s="49" t="n">
        <v>0</v>
      </c>
      <c r="P23" s="6" t="n">
        <f aca="false">M23-(N23+O23)</f>
        <v>210</v>
      </c>
      <c r="Q23" s="49" t="n">
        <v>136</v>
      </c>
      <c r="R23" s="49" t="n">
        <v>83</v>
      </c>
      <c r="S23" s="49" t="n">
        <f aca="false">SUM(P23:R23)</f>
        <v>429</v>
      </c>
      <c r="T23" s="50" t="n">
        <f aca="false">(I23-S23)+T22</f>
        <v>12812</v>
      </c>
      <c r="U23" s="49" t="n">
        <v>53</v>
      </c>
      <c r="V23" s="49" t="n">
        <v>78</v>
      </c>
      <c r="W23" s="6" t="n">
        <f aca="false">N23+O23+S23+U23+V23</f>
        <v>560</v>
      </c>
      <c r="X23" s="49" t="n">
        <f aca="false">IF(L23&lt;0,L23*-1,0)</f>
        <v>52.4406352407361</v>
      </c>
      <c r="Y23" s="49" t="n">
        <f aca="false">W23+X23</f>
        <v>612.440635240736</v>
      </c>
      <c r="Z23" s="53" t="n">
        <v>0</v>
      </c>
      <c r="AA23" s="54" t="n">
        <v>86</v>
      </c>
      <c r="AB23" s="54" t="n">
        <v>53</v>
      </c>
      <c r="AC23" s="55" t="n">
        <f aca="false">AC22+1</f>
        <v>14</v>
      </c>
      <c r="AD23" s="83"/>
      <c r="AE23" s="83"/>
      <c r="AF23" s="83"/>
    </row>
    <row r="24" customFormat="false" ht="11.1" hidden="false" customHeight="true" outlineLevel="0" collapsed="false">
      <c r="A24" s="55" t="n">
        <f aca="false">A23+1</f>
        <v>15</v>
      </c>
      <c r="B24" s="69" t="n">
        <v>6922.09</v>
      </c>
      <c r="C24" s="50" t="n">
        <v>372691</v>
      </c>
      <c r="D24" s="54" t="n">
        <f aca="false">C24-C23</f>
        <v>-662</v>
      </c>
      <c r="E24" s="50" t="n">
        <f aca="false">C24-152000</f>
        <v>220691</v>
      </c>
      <c r="F24" s="49" t="n">
        <f aca="false">D24/$D$2</f>
        <v>-333.753466095286</v>
      </c>
      <c r="G24" s="49" t="n">
        <v>249</v>
      </c>
      <c r="H24" s="123" t="n">
        <v>0</v>
      </c>
      <c r="I24" s="49" t="n">
        <f aca="false">G24+H24</f>
        <v>249</v>
      </c>
      <c r="J24" s="76" t="n">
        <f aca="false">IF(L24&gt;0,L24,0)</f>
        <v>0</v>
      </c>
      <c r="K24" s="49" t="n">
        <f aca="false">I24+J24</f>
        <v>249</v>
      </c>
      <c r="L24" s="49" t="n">
        <f aca="false">F24-(I24-W24)</f>
        <v>-34.7534660952861</v>
      </c>
      <c r="M24" s="49" t="n">
        <v>210</v>
      </c>
      <c r="N24" s="49" t="n">
        <v>0</v>
      </c>
      <c r="O24" s="49" t="n">
        <v>0</v>
      </c>
      <c r="P24" s="6" t="n">
        <f aca="false">M24-(N24+O24)</f>
        <v>210</v>
      </c>
      <c r="Q24" s="49" t="n">
        <v>135</v>
      </c>
      <c r="R24" s="49" t="n">
        <v>83</v>
      </c>
      <c r="S24" s="49" t="n">
        <f aca="false">SUM(P24:R24)</f>
        <v>428</v>
      </c>
      <c r="T24" s="50" t="n">
        <f aca="false">(I24-S24)+T23</f>
        <v>12633</v>
      </c>
      <c r="U24" s="49" t="n">
        <v>42</v>
      </c>
      <c r="V24" s="49" t="n">
        <v>78</v>
      </c>
      <c r="W24" s="6" t="n">
        <f aca="false">N24+O24+S24+U24+V24</f>
        <v>548</v>
      </c>
      <c r="X24" s="49" t="n">
        <f aca="false">IF(L24&lt;0,L24*-1,0)</f>
        <v>34.7534660952861</v>
      </c>
      <c r="Y24" s="49" t="n">
        <f aca="false">W24+X24</f>
        <v>582.753466095286</v>
      </c>
      <c r="Z24" s="53" t="n">
        <v>0</v>
      </c>
      <c r="AA24" s="77" t="n">
        <v>84</v>
      </c>
      <c r="AB24" s="54" t="n">
        <v>48</v>
      </c>
      <c r="AC24" s="55" t="n">
        <f aca="false">AC23+1</f>
        <v>15</v>
      </c>
      <c r="AD24" s="83"/>
      <c r="AE24" s="83"/>
      <c r="AF24" s="83"/>
    </row>
    <row r="25" customFormat="false" ht="11.1" hidden="false" customHeight="true" outlineLevel="0" collapsed="false">
      <c r="A25" s="55" t="n">
        <f aca="false">A24+1</f>
        <v>16</v>
      </c>
      <c r="B25" s="69" t="n">
        <v>6921.94</v>
      </c>
      <c r="C25" s="50" t="n">
        <v>372031</v>
      </c>
      <c r="D25" s="54" t="n">
        <f aca="false">C25-C24</f>
        <v>-660</v>
      </c>
      <c r="E25" s="50" t="n">
        <f aca="false">C25-152000</f>
        <v>220031</v>
      </c>
      <c r="F25" s="49" t="n">
        <f aca="false">D25/$D$2</f>
        <v>-332.745147466599</v>
      </c>
      <c r="G25" s="49" t="n">
        <v>254</v>
      </c>
      <c r="H25" s="123" t="n">
        <v>0</v>
      </c>
      <c r="I25" s="49" t="n">
        <f aca="false">G25+H25</f>
        <v>254</v>
      </c>
      <c r="J25" s="76" t="n">
        <f aca="false">IF(L25&gt;0,L25,0)</f>
        <v>0</v>
      </c>
      <c r="K25" s="49" t="n">
        <f aca="false">I25+J25</f>
        <v>254</v>
      </c>
      <c r="L25" s="49" t="n">
        <f aca="false">F25-(I25-W25)</f>
        <v>-26.7451474665995</v>
      </c>
      <c r="M25" s="49" t="n">
        <v>209</v>
      </c>
      <c r="N25" s="49" t="n">
        <v>0</v>
      </c>
      <c r="O25" s="49" t="n">
        <v>0</v>
      </c>
      <c r="P25" s="6" t="n">
        <f aca="false">M25-(N25+O25)</f>
        <v>209</v>
      </c>
      <c r="Q25" s="49" t="n">
        <v>136</v>
      </c>
      <c r="R25" s="49" t="n">
        <v>83</v>
      </c>
      <c r="S25" s="49" t="n">
        <f aca="false">SUM(P25:R25)</f>
        <v>428</v>
      </c>
      <c r="T25" s="50" t="n">
        <f aca="false">(I25-S25)+T24</f>
        <v>12459</v>
      </c>
      <c r="U25" s="49" t="n">
        <v>54</v>
      </c>
      <c r="V25" s="49" t="n">
        <v>78</v>
      </c>
      <c r="W25" s="6" t="n">
        <f aca="false">N25+O25+S25+U25+V25</f>
        <v>560</v>
      </c>
      <c r="X25" s="49" t="n">
        <f aca="false">IF(L25&lt;0,L25*-1,0)</f>
        <v>26.7451474665995</v>
      </c>
      <c r="Y25" s="49" t="n">
        <f aca="false">W25+X25</f>
        <v>586.7451474666</v>
      </c>
      <c r="Z25" s="53" t="n">
        <v>0</v>
      </c>
      <c r="AA25" s="77" t="n">
        <v>85</v>
      </c>
      <c r="AB25" s="54" t="n">
        <v>48</v>
      </c>
      <c r="AC25" s="55" t="n">
        <f aca="false">AC24+1</f>
        <v>16</v>
      </c>
      <c r="AD25" s="83"/>
      <c r="AE25" s="83"/>
      <c r="AF25" s="83"/>
    </row>
    <row r="26" customFormat="false" ht="11.1" hidden="false" customHeight="true" outlineLevel="0" collapsed="false">
      <c r="A26" s="55" t="n">
        <f aca="false">A25+1</f>
        <v>17</v>
      </c>
      <c r="B26" s="69" t="n">
        <v>6921.79</v>
      </c>
      <c r="C26" s="50" t="n">
        <v>371374</v>
      </c>
      <c r="D26" s="54" t="n">
        <f aca="false">C26-C25</f>
        <v>-657</v>
      </c>
      <c r="E26" s="50" t="n">
        <f aca="false">C26-152000</f>
        <v>219374</v>
      </c>
      <c r="F26" s="49" t="n">
        <f aca="false">D26/$D$2</f>
        <v>-331.232669523569</v>
      </c>
      <c r="G26" s="49" t="n">
        <v>243</v>
      </c>
      <c r="H26" s="123" t="n">
        <v>0</v>
      </c>
      <c r="I26" s="49" t="n">
        <f aca="false">G26+H26</f>
        <v>243</v>
      </c>
      <c r="J26" s="76" t="n">
        <f aca="false">IF(L26&gt;0,L26,0)</f>
        <v>0</v>
      </c>
      <c r="K26" s="49" t="n">
        <f aca="false">I26+J26</f>
        <v>243</v>
      </c>
      <c r="L26" s="49" t="n">
        <f aca="false">F26-(I26-W26)</f>
        <v>-22.2326695235694</v>
      </c>
      <c r="M26" s="49" t="n">
        <v>209</v>
      </c>
      <c r="N26" s="49" t="n">
        <v>0</v>
      </c>
      <c r="O26" s="49" t="n">
        <v>0</v>
      </c>
      <c r="P26" s="6" t="n">
        <f aca="false">M26-(N26+O26)</f>
        <v>209</v>
      </c>
      <c r="Q26" s="49" t="n">
        <v>136</v>
      </c>
      <c r="R26" s="49" t="n">
        <v>83</v>
      </c>
      <c r="S26" s="49" t="n">
        <f aca="false">SUM(P26:R26)</f>
        <v>428</v>
      </c>
      <c r="T26" s="50" t="n">
        <f aca="false">(I26-S26)+T25</f>
        <v>12274</v>
      </c>
      <c r="U26" s="49" t="n">
        <v>46</v>
      </c>
      <c r="V26" s="49" t="n">
        <v>78</v>
      </c>
      <c r="W26" s="6" t="n">
        <f aca="false">N26+O26+S26+U26+V26</f>
        <v>552</v>
      </c>
      <c r="X26" s="49" t="n">
        <f aca="false">IF(L26&lt;0,L26*-1,0)</f>
        <v>22.2326695235694</v>
      </c>
      <c r="Y26" s="49" t="n">
        <f aca="false">W26+X26</f>
        <v>574.23266952357</v>
      </c>
      <c r="Z26" s="53" t="n">
        <v>0</v>
      </c>
      <c r="AA26" s="77" t="n">
        <v>85</v>
      </c>
      <c r="AB26" s="54" t="n">
        <v>49</v>
      </c>
      <c r="AC26" s="55" t="n">
        <f aca="false">AC25+1</f>
        <v>17</v>
      </c>
      <c r="AD26" s="83"/>
      <c r="AE26" s="83"/>
      <c r="AF26" s="83"/>
    </row>
    <row r="27" customFormat="false" ht="11.1" hidden="false" customHeight="true" outlineLevel="0" collapsed="false">
      <c r="A27" s="55" t="n">
        <f aca="false">A26+1</f>
        <v>18</v>
      </c>
      <c r="B27" s="69" t="n">
        <v>6921.6</v>
      </c>
      <c r="C27" s="50" t="n">
        <v>370542</v>
      </c>
      <c r="D27" s="54" t="n">
        <f aca="false">C27-C26</f>
        <v>-832</v>
      </c>
      <c r="E27" s="50" t="n">
        <f aca="false">C27-152000</f>
        <v>218542</v>
      </c>
      <c r="F27" s="49" t="n">
        <f aca="false">D27/$D$2</f>
        <v>-419.460549533653</v>
      </c>
      <c r="G27" s="49" t="n">
        <v>233</v>
      </c>
      <c r="H27" s="123" t="n">
        <v>0</v>
      </c>
      <c r="I27" s="49" t="n">
        <f aca="false">G27+H27</f>
        <v>233</v>
      </c>
      <c r="J27" s="76" t="n">
        <f aca="false">IF(L27&gt;0,L27,0)</f>
        <v>0</v>
      </c>
      <c r="K27" s="49" t="n">
        <f aca="false">I27+J27</f>
        <v>233</v>
      </c>
      <c r="L27" s="49" t="n">
        <f aca="false">F27-(I27-W27)</f>
        <v>-101.460549533653</v>
      </c>
      <c r="M27" s="49" t="n">
        <v>209</v>
      </c>
      <c r="N27" s="49" t="n">
        <v>0</v>
      </c>
      <c r="O27" s="49" t="n">
        <v>0</v>
      </c>
      <c r="P27" s="6" t="n">
        <f aca="false">M27-(N27+O27)</f>
        <v>209</v>
      </c>
      <c r="Q27" s="49" t="n">
        <v>136</v>
      </c>
      <c r="R27" s="49" t="n">
        <v>83</v>
      </c>
      <c r="S27" s="49" t="n">
        <f aca="false">SUM(P27:R27)</f>
        <v>428</v>
      </c>
      <c r="T27" s="50" t="n">
        <f aca="false">(I27-S27)+T26</f>
        <v>12079</v>
      </c>
      <c r="U27" s="49" t="n">
        <v>45</v>
      </c>
      <c r="V27" s="49" t="n">
        <v>78</v>
      </c>
      <c r="W27" s="6" t="n">
        <f aca="false">N27+O27+S27+U27+V27</f>
        <v>551</v>
      </c>
      <c r="X27" s="49" t="n">
        <f aca="false">IF(L27&lt;0,L27*-1,0)</f>
        <v>101.460549533653</v>
      </c>
      <c r="Y27" s="49" t="n">
        <f aca="false">W27+X27</f>
        <v>652.460549533653</v>
      </c>
      <c r="Z27" s="53" t="n">
        <v>0</v>
      </c>
      <c r="AA27" s="77" t="n">
        <v>87</v>
      </c>
      <c r="AB27" s="54" t="n">
        <v>42</v>
      </c>
      <c r="AC27" s="55" t="n">
        <f aca="false">AC26+1</f>
        <v>18</v>
      </c>
      <c r="AD27" s="83"/>
      <c r="AE27" s="83"/>
      <c r="AF27" s="83"/>
    </row>
    <row r="28" customFormat="false" ht="11.1" hidden="false" customHeight="true" outlineLevel="0" collapsed="false">
      <c r="A28" s="55" t="n">
        <f aca="false">A27+1</f>
        <v>19</v>
      </c>
      <c r="B28" s="69" t="n">
        <v>6921.43</v>
      </c>
      <c r="C28" s="88" t="n">
        <v>369798</v>
      </c>
      <c r="D28" s="54" t="n">
        <f aca="false">C28-C27</f>
        <v>-744</v>
      </c>
      <c r="E28" s="50" t="n">
        <f aca="false">C28-152000</f>
        <v>217798</v>
      </c>
      <c r="F28" s="49" t="n">
        <f aca="false">D28/$D$2</f>
        <v>-375.094529871439</v>
      </c>
      <c r="G28" s="49" t="n">
        <v>223</v>
      </c>
      <c r="H28" s="123" t="n">
        <v>0</v>
      </c>
      <c r="I28" s="49" t="n">
        <f aca="false">G28+H28</f>
        <v>223</v>
      </c>
      <c r="J28" s="76" t="n">
        <f aca="false">IF(L28&gt;0,L28,0)</f>
        <v>0</v>
      </c>
      <c r="K28" s="49" t="n">
        <f aca="false">I28+J28</f>
        <v>223</v>
      </c>
      <c r="L28" s="49" t="n">
        <f aca="false">F28-(I28-W28)</f>
        <v>-49.0945298714394</v>
      </c>
      <c r="M28" s="49" t="n">
        <v>208</v>
      </c>
      <c r="N28" s="49" t="n">
        <v>0</v>
      </c>
      <c r="O28" s="49" t="n">
        <v>0</v>
      </c>
      <c r="P28" s="6" t="n">
        <f aca="false">M28-(N28+O28)</f>
        <v>208</v>
      </c>
      <c r="Q28" s="49" t="n">
        <v>136</v>
      </c>
      <c r="R28" s="49" t="n">
        <v>82</v>
      </c>
      <c r="S28" s="49" t="n">
        <f aca="false">SUM(P28:R28)</f>
        <v>426</v>
      </c>
      <c r="T28" s="50" t="n">
        <f aca="false">(I28-S28)+T27</f>
        <v>11876</v>
      </c>
      <c r="U28" s="49" t="n">
        <v>45</v>
      </c>
      <c r="V28" s="49" t="n">
        <v>78</v>
      </c>
      <c r="W28" s="6" t="n">
        <f aca="false">N28+O28+S28+U28+V28</f>
        <v>549</v>
      </c>
      <c r="X28" s="49" t="n">
        <f aca="false">IF(L28&lt;0,L28*-1,0)</f>
        <v>49.0945298714394</v>
      </c>
      <c r="Y28" s="49" t="n">
        <f aca="false">W28+X28</f>
        <v>598.094529871439</v>
      </c>
      <c r="Z28" s="53" t="n">
        <v>0</v>
      </c>
      <c r="AA28" s="77" t="n">
        <v>85</v>
      </c>
      <c r="AB28" s="54" t="n">
        <v>50</v>
      </c>
      <c r="AC28" s="55" t="n">
        <f aca="false">AC27+1</f>
        <v>19</v>
      </c>
      <c r="AD28" s="83"/>
      <c r="AE28" s="83"/>
      <c r="AF28" s="83"/>
    </row>
    <row r="29" customFormat="false" ht="11.1" hidden="false" customHeight="true" outlineLevel="0" collapsed="false">
      <c r="A29" s="55" t="n">
        <f aca="false">A28+1</f>
        <v>20</v>
      </c>
      <c r="B29" s="69" t="n">
        <v>6921.25</v>
      </c>
      <c r="C29" s="50" t="n">
        <v>369009</v>
      </c>
      <c r="D29" s="54" t="n">
        <f aca="false">C29-C28</f>
        <v>-789</v>
      </c>
      <c r="E29" s="50" t="n">
        <f aca="false">C29-152000</f>
        <v>217009</v>
      </c>
      <c r="F29" s="49" t="n">
        <f aca="false">D29/$D$2</f>
        <v>-397.781699016889</v>
      </c>
      <c r="G29" s="49" t="n">
        <v>210</v>
      </c>
      <c r="H29" s="123" t="n">
        <v>0</v>
      </c>
      <c r="I29" s="49" t="n">
        <f aca="false">G29+H29</f>
        <v>210</v>
      </c>
      <c r="J29" s="76" t="n">
        <f aca="false">IF(L29&gt;0,L29,0)</f>
        <v>0</v>
      </c>
      <c r="K29" s="49" t="n">
        <f aca="false">I29+J29</f>
        <v>210</v>
      </c>
      <c r="L29" s="49" t="n">
        <f aca="false">F29-(I29-W29)</f>
        <v>-53.7816990168893</v>
      </c>
      <c r="M29" s="49" t="n">
        <v>208</v>
      </c>
      <c r="N29" s="49" t="n">
        <v>0</v>
      </c>
      <c r="O29" s="49" t="n">
        <v>0</v>
      </c>
      <c r="P29" s="6" t="n">
        <f aca="false">M29-(N29+O29)</f>
        <v>208</v>
      </c>
      <c r="Q29" s="49" t="n">
        <v>136</v>
      </c>
      <c r="R29" s="49" t="n">
        <v>83</v>
      </c>
      <c r="S29" s="49" t="n">
        <f aca="false">SUM(P29:R29)</f>
        <v>427</v>
      </c>
      <c r="T29" s="50" t="n">
        <f aca="false">(I29-S29)+T28</f>
        <v>11659</v>
      </c>
      <c r="U29" s="49" t="n">
        <v>47</v>
      </c>
      <c r="V29" s="49" t="n">
        <v>80</v>
      </c>
      <c r="W29" s="6" t="n">
        <f aca="false">N29+O29+S29+U29+V29</f>
        <v>554</v>
      </c>
      <c r="X29" s="49" t="n">
        <f aca="false">IF(L29&lt;0,L29*-1,0)</f>
        <v>53.7816990168893</v>
      </c>
      <c r="Y29" s="49" t="n">
        <f aca="false">W29+X29</f>
        <v>607.781699016889</v>
      </c>
      <c r="Z29" s="53" t="n">
        <v>0</v>
      </c>
      <c r="AA29" s="77" t="n">
        <v>83</v>
      </c>
      <c r="AB29" s="54" t="n">
        <v>54</v>
      </c>
      <c r="AC29" s="55" t="n">
        <f aca="false">AC28+1</f>
        <v>20</v>
      </c>
      <c r="AD29" s="83"/>
      <c r="AE29" s="83"/>
      <c r="AF29" s="83"/>
    </row>
    <row r="30" customFormat="false" ht="11.1" hidden="false" customHeight="true" outlineLevel="0" collapsed="false">
      <c r="A30" s="55" t="n">
        <f aca="false">A29+1</f>
        <v>21</v>
      </c>
      <c r="B30" s="69" t="n">
        <v>6921.05</v>
      </c>
      <c r="C30" s="50" t="n">
        <v>368134</v>
      </c>
      <c r="D30" s="54" t="n">
        <f aca="false">C30-C29</f>
        <v>-875</v>
      </c>
      <c r="E30" s="50" t="n">
        <f aca="false">C30-152000</f>
        <v>216134</v>
      </c>
      <c r="F30" s="49" t="n">
        <f aca="false">D30/$D$2</f>
        <v>-441.139400050416</v>
      </c>
      <c r="G30" s="49" t="n">
        <v>205</v>
      </c>
      <c r="H30" s="123" t="n">
        <v>0</v>
      </c>
      <c r="I30" s="49" t="n">
        <f aca="false">G30+H30</f>
        <v>205</v>
      </c>
      <c r="J30" s="76" t="n">
        <f aca="false">IF(L30&gt;0,L30,0)</f>
        <v>0</v>
      </c>
      <c r="K30" s="49" t="n">
        <f aca="false">I30+J30</f>
        <v>205</v>
      </c>
      <c r="L30" s="49" t="n">
        <f aca="false">F30-(I30-W30)</f>
        <v>-89.1394000504159</v>
      </c>
      <c r="M30" s="49" t="n">
        <v>208</v>
      </c>
      <c r="N30" s="49" t="n">
        <v>0</v>
      </c>
      <c r="O30" s="49" t="n">
        <v>0</v>
      </c>
      <c r="P30" s="6" t="n">
        <f aca="false">M30-(N30+O30)</f>
        <v>208</v>
      </c>
      <c r="Q30" s="49" t="n">
        <v>136</v>
      </c>
      <c r="R30" s="49" t="n">
        <v>83</v>
      </c>
      <c r="S30" s="49" t="n">
        <f aca="false">SUM(P30:R30)</f>
        <v>427</v>
      </c>
      <c r="T30" s="50" t="n">
        <f aca="false">(I30-S30)+T29</f>
        <v>11437</v>
      </c>
      <c r="U30" s="49" t="n">
        <v>49</v>
      </c>
      <c r="V30" s="49" t="n">
        <v>81</v>
      </c>
      <c r="W30" s="6" t="n">
        <f aca="false">N30+O30+S30+U30+V30</f>
        <v>557</v>
      </c>
      <c r="X30" s="49" t="n">
        <f aca="false">IF(L30&lt;0,L30*-1,0)</f>
        <v>89.1394000504159</v>
      </c>
      <c r="Y30" s="49" t="n">
        <f aca="false">W30+X30</f>
        <v>646.139400050416</v>
      </c>
      <c r="Z30" s="53" t="n">
        <v>0</v>
      </c>
      <c r="AA30" s="54" t="n">
        <v>85</v>
      </c>
      <c r="AB30" s="54" t="n">
        <v>52</v>
      </c>
      <c r="AC30" s="55" t="n">
        <f aca="false">AC29+1</f>
        <v>21</v>
      </c>
      <c r="AD30" s="83"/>
      <c r="AE30" s="83"/>
      <c r="AF30" s="83"/>
    </row>
    <row r="31" customFormat="false" ht="11.1" hidden="false" customHeight="true" outlineLevel="0" collapsed="false">
      <c r="A31" s="55" t="n">
        <f aca="false">A30+1</f>
        <v>22</v>
      </c>
      <c r="B31" s="69" t="n">
        <v>6920.88</v>
      </c>
      <c r="C31" s="50" t="n">
        <v>367394</v>
      </c>
      <c r="D31" s="54" t="n">
        <f aca="false">C31-C30</f>
        <v>-740</v>
      </c>
      <c r="E31" s="50" t="n">
        <f aca="false">C31-152000</f>
        <v>215394</v>
      </c>
      <c r="F31" s="49" t="n">
        <f aca="false">D31/$D$2</f>
        <v>-373.077892614066</v>
      </c>
      <c r="G31" s="49" t="n">
        <v>199</v>
      </c>
      <c r="H31" s="123" t="n">
        <v>0</v>
      </c>
      <c r="I31" s="49" t="n">
        <f aca="false">G31+H31</f>
        <v>199</v>
      </c>
      <c r="J31" s="76" t="n">
        <f aca="false">IF(L31&gt;0,L31,0)</f>
        <v>0</v>
      </c>
      <c r="K31" s="49" t="n">
        <f aca="false">I31+J31</f>
        <v>199</v>
      </c>
      <c r="L31" s="49" t="n">
        <f aca="false">F31-(I31-W31)</f>
        <v>-17.0778926140661</v>
      </c>
      <c r="M31" s="49" t="n">
        <v>213</v>
      </c>
      <c r="N31" s="49" t="n">
        <v>0</v>
      </c>
      <c r="O31" s="49" t="n">
        <v>0</v>
      </c>
      <c r="P31" s="6" t="n">
        <f aca="false">M31-(N31+O31)</f>
        <v>213</v>
      </c>
      <c r="Q31" s="49" t="n">
        <v>136</v>
      </c>
      <c r="R31" s="49" t="n">
        <v>83</v>
      </c>
      <c r="S31" s="49" t="n">
        <f aca="false">SUM(P31:R31)</f>
        <v>432</v>
      </c>
      <c r="T31" s="50" t="n">
        <f aca="false">(I31-S31)+T30</f>
        <v>11204</v>
      </c>
      <c r="U31" s="49" t="n">
        <v>42</v>
      </c>
      <c r="V31" s="49" t="n">
        <v>81</v>
      </c>
      <c r="W31" s="6" t="n">
        <f aca="false">N31+O31+S31+U31+V31</f>
        <v>555</v>
      </c>
      <c r="X31" s="49" t="n">
        <f aca="false">IF(L31&lt;0,L31*-1,0)</f>
        <v>17.0778926140661</v>
      </c>
      <c r="Y31" s="49" t="n">
        <f aca="false">W31+X31</f>
        <v>572.077892614066</v>
      </c>
      <c r="Z31" s="53" t="n">
        <v>0</v>
      </c>
      <c r="AA31" s="54" t="n">
        <v>85</v>
      </c>
      <c r="AB31" s="54" t="n">
        <v>52</v>
      </c>
      <c r="AC31" s="55" t="n">
        <f aca="false">AC30+1</f>
        <v>22</v>
      </c>
      <c r="AD31" s="83"/>
      <c r="AE31" s="83"/>
      <c r="AF31" s="83"/>
      <c r="AG31" s="131"/>
      <c r="AH31" s="131"/>
      <c r="AI31" s="131"/>
    </row>
    <row r="32" customFormat="false" ht="11.1" hidden="false" customHeight="true" outlineLevel="0" collapsed="false">
      <c r="A32" s="55" t="n">
        <f aca="false">A31+1</f>
        <v>23</v>
      </c>
      <c r="B32" s="69" t="n">
        <v>6920.7</v>
      </c>
      <c r="C32" s="50" t="n">
        <v>366612</v>
      </c>
      <c r="D32" s="54" t="n">
        <f aca="false">C32-C31</f>
        <v>-782</v>
      </c>
      <c r="E32" s="50" t="n">
        <f aca="false">C32-152000</f>
        <v>214612</v>
      </c>
      <c r="F32" s="49" t="n">
        <f aca="false">D32/$D$2</f>
        <v>-394.252583816486</v>
      </c>
      <c r="G32" s="49" t="n">
        <v>194</v>
      </c>
      <c r="H32" s="123" t="n">
        <v>0</v>
      </c>
      <c r="I32" s="49" t="n">
        <f aca="false">G32+H32</f>
        <v>194</v>
      </c>
      <c r="J32" s="76" t="n">
        <f aca="false">IF(L32&gt;0,L32,0)</f>
        <v>0</v>
      </c>
      <c r="K32" s="49" t="n">
        <f aca="false">I32+J32</f>
        <v>194</v>
      </c>
      <c r="L32" s="49" t="n">
        <f aca="false">F32-(I32-W32)</f>
        <v>-33.252583816486</v>
      </c>
      <c r="M32" s="49" t="n">
        <v>218</v>
      </c>
      <c r="N32" s="49" t="n">
        <v>0</v>
      </c>
      <c r="O32" s="49" t="n">
        <v>0</v>
      </c>
      <c r="P32" s="6" t="n">
        <f aca="false">M32-(N32+O32)</f>
        <v>218</v>
      </c>
      <c r="Q32" s="49" t="n">
        <v>136</v>
      </c>
      <c r="R32" s="49" t="n">
        <v>83</v>
      </c>
      <c r="S32" s="49" t="n">
        <f aca="false">SUM(P32:R32)</f>
        <v>437</v>
      </c>
      <c r="T32" s="50" t="n">
        <f aca="false">(I32-S32)+T31</f>
        <v>10961</v>
      </c>
      <c r="U32" s="49" t="n">
        <v>37</v>
      </c>
      <c r="V32" s="49" t="n">
        <v>81</v>
      </c>
      <c r="W32" s="6" t="n">
        <f aca="false">N32+O32+S32+U32+V32</f>
        <v>555</v>
      </c>
      <c r="X32" s="49" t="n">
        <f aca="false">IF(L32&lt;0,L32*-1,0)</f>
        <v>33.252583816486</v>
      </c>
      <c r="Y32" s="49" t="n">
        <f aca="false">W32+X32</f>
        <v>588.252583816486</v>
      </c>
      <c r="Z32" s="53" t="n">
        <v>0</v>
      </c>
      <c r="AA32" s="54" t="n">
        <v>86</v>
      </c>
      <c r="AB32" s="77" t="n">
        <v>50</v>
      </c>
      <c r="AC32" s="55" t="n">
        <f aca="false">AC31+1</f>
        <v>23</v>
      </c>
      <c r="AD32" s="83"/>
      <c r="AE32" s="83"/>
      <c r="AF32" s="83"/>
    </row>
    <row r="33" customFormat="false" ht="11.1" hidden="false" customHeight="true" outlineLevel="0" collapsed="false">
      <c r="A33" s="55" t="n">
        <f aca="false">A32+1</f>
        <v>24</v>
      </c>
      <c r="B33" s="69" t="n">
        <v>6920.51</v>
      </c>
      <c r="C33" s="50" t="n">
        <v>365787</v>
      </c>
      <c r="D33" s="54" t="n">
        <f aca="false">C33-C32</f>
        <v>-825</v>
      </c>
      <c r="E33" s="50" t="n">
        <f aca="false">C33-152000</f>
        <v>213787</v>
      </c>
      <c r="F33" s="49" t="n">
        <f aca="false">D33/$D$2</f>
        <v>-415.931434333249</v>
      </c>
      <c r="G33" s="49" t="n">
        <v>191</v>
      </c>
      <c r="H33" s="123" t="n">
        <v>0</v>
      </c>
      <c r="I33" s="49" t="n">
        <f aca="false">G33+H33</f>
        <v>191</v>
      </c>
      <c r="J33" s="76" t="n">
        <f aca="false">IF(L33&gt;0,L33,0)</f>
        <v>0</v>
      </c>
      <c r="K33" s="49" t="n">
        <f aca="false">I33+J33</f>
        <v>191</v>
      </c>
      <c r="L33" s="49" t="n">
        <f aca="false">F33-(I33-W33)</f>
        <v>-37.9314343332493</v>
      </c>
      <c r="M33" s="49" t="n">
        <v>218</v>
      </c>
      <c r="N33" s="49" t="n">
        <v>0</v>
      </c>
      <c r="O33" s="49" t="n">
        <v>0</v>
      </c>
      <c r="P33" s="6" t="n">
        <f aca="false">M33-(N33+O33)</f>
        <v>218</v>
      </c>
      <c r="Q33" s="49" t="n">
        <v>135</v>
      </c>
      <c r="R33" s="49" t="n">
        <v>84</v>
      </c>
      <c r="S33" s="49" t="n">
        <f aca="false">SUM(P33:R33)</f>
        <v>437</v>
      </c>
      <c r="T33" s="50" t="n">
        <f aca="false">(I33-S33)+T32</f>
        <v>10715</v>
      </c>
      <c r="U33" s="49" t="n">
        <v>51</v>
      </c>
      <c r="V33" s="49" t="n">
        <v>81</v>
      </c>
      <c r="W33" s="6" t="n">
        <f aca="false">N33+O33+S33+U33+V33</f>
        <v>569</v>
      </c>
      <c r="X33" s="49" t="n">
        <f aca="false">IF(L33&lt;0,L33*-1,0)</f>
        <v>37.9314343332493</v>
      </c>
      <c r="Y33" s="49" t="n">
        <f aca="false">W33+X33</f>
        <v>606.931434333249</v>
      </c>
      <c r="Z33" s="53" t="n">
        <v>0.08</v>
      </c>
      <c r="AA33" s="54" t="n">
        <v>88</v>
      </c>
      <c r="AB33" s="77" t="n">
        <v>51</v>
      </c>
      <c r="AC33" s="55" t="n">
        <f aca="false">AC32+1</f>
        <v>24</v>
      </c>
      <c r="AD33" s="83"/>
      <c r="AE33" s="83"/>
      <c r="AF33" s="83"/>
    </row>
    <row r="34" customFormat="false" ht="11.1" hidden="false" customHeight="true" outlineLevel="0" collapsed="false">
      <c r="A34" s="55" t="n">
        <f aca="false">A33+1</f>
        <v>25</v>
      </c>
      <c r="B34" s="69" t="n">
        <v>6920.31</v>
      </c>
      <c r="C34" s="50" t="n">
        <v>364919</v>
      </c>
      <c r="D34" s="54" t="n">
        <f aca="false">C34-C33</f>
        <v>-868</v>
      </c>
      <c r="E34" s="50" t="n">
        <f aca="false">C34-152000</f>
        <v>212919</v>
      </c>
      <c r="F34" s="49" t="n">
        <f aca="false">D34/$D$2</f>
        <v>-437.610284850013</v>
      </c>
      <c r="G34" s="49" t="n">
        <v>191</v>
      </c>
      <c r="H34" s="123" t="n">
        <v>0</v>
      </c>
      <c r="I34" s="49" t="n">
        <f aca="false">G34+H34</f>
        <v>191</v>
      </c>
      <c r="J34" s="76" t="n">
        <f aca="false">IF(L34&gt;0,L34,0)</f>
        <v>0</v>
      </c>
      <c r="K34" s="49" t="n">
        <f aca="false">I34+J34</f>
        <v>191</v>
      </c>
      <c r="L34" s="49" t="n">
        <f aca="false">F34-(I34-W34)</f>
        <v>-61.6102848500126</v>
      </c>
      <c r="M34" s="49" t="n">
        <v>218</v>
      </c>
      <c r="N34" s="49" t="n">
        <v>0</v>
      </c>
      <c r="O34" s="49" t="n">
        <v>0</v>
      </c>
      <c r="P34" s="6" t="n">
        <f aca="false">M34-(N34+O34)</f>
        <v>218</v>
      </c>
      <c r="Q34" s="49" t="n">
        <v>135</v>
      </c>
      <c r="R34" s="49" t="n">
        <v>83</v>
      </c>
      <c r="S34" s="49" t="n">
        <f aca="false">SUM(P34:R34)</f>
        <v>436</v>
      </c>
      <c r="T34" s="50" t="n">
        <f aca="false">(I34-S34)+T33</f>
        <v>10470</v>
      </c>
      <c r="U34" s="49" t="n">
        <v>50</v>
      </c>
      <c r="V34" s="49" t="n">
        <v>81</v>
      </c>
      <c r="W34" s="6" t="n">
        <f aca="false">N34+O34+S34+U34+V34</f>
        <v>567</v>
      </c>
      <c r="X34" s="49" t="n">
        <f aca="false">IF(L34&lt;0,L34*-1,0)</f>
        <v>61.6102848500126</v>
      </c>
      <c r="Y34" s="49" t="n">
        <f aca="false">W34+X34</f>
        <v>628.610284850013</v>
      </c>
      <c r="Z34" s="53" t="n">
        <v>0.01</v>
      </c>
      <c r="AA34" s="54" t="n">
        <v>85</v>
      </c>
      <c r="AB34" s="77" t="n">
        <v>52</v>
      </c>
      <c r="AC34" s="55" t="n">
        <f aca="false">AC33+1</f>
        <v>25</v>
      </c>
      <c r="AD34" s="83"/>
      <c r="AE34" s="83"/>
      <c r="AF34" s="83"/>
    </row>
    <row r="35" customFormat="false" ht="11.1" hidden="false" customHeight="true" outlineLevel="0" collapsed="false">
      <c r="A35" s="55" t="n">
        <f aca="false">A34+1</f>
        <v>26</v>
      </c>
      <c r="B35" s="69" t="n">
        <v>6920.1</v>
      </c>
      <c r="C35" s="50" t="n">
        <v>364007</v>
      </c>
      <c r="D35" s="54" t="n">
        <f aca="false">C35-C34</f>
        <v>-912</v>
      </c>
      <c r="E35" s="50" t="n">
        <f aca="false">C35-152000</f>
        <v>212007</v>
      </c>
      <c r="F35" s="49" t="n">
        <f aca="false">D35/$D$2</f>
        <v>-459.793294681119</v>
      </c>
      <c r="G35" s="49" t="n">
        <v>189</v>
      </c>
      <c r="H35" s="123" t="n">
        <v>0</v>
      </c>
      <c r="I35" s="49" t="n">
        <f aca="false">G35+H35</f>
        <v>189</v>
      </c>
      <c r="J35" s="76" t="n">
        <f aca="false">IF(L35&gt;0,L35,0)</f>
        <v>0</v>
      </c>
      <c r="K35" s="49" t="n">
        <f aca="false">I35+J35</f>
        <v>189</v>
      </c>
      <c r="L35" s="49" t="n">
        <f aca="false">F35-(I35-W35)</f>
        <v>-90.7932946811192</v>
      </c>
      <c r="M35" s="49" t="n">
        <v>218</v>
      </c>
      <c r="N35" s="49" t="n">
        <v>0</v>
      </c>
      <c r="O35" s="49" t="n">
        <v>0</v>
      </c>
      <c r="P35" s="6" t="n">
        <f aca="false">M35-(N35+O35)</f>
        <v>218</v>
      </c>
      <c r="Q35" s="49" t="n">
        <v>135</v>
      </c>
      <c r="R35" s="49" t="n">
        <v>83</v>
      </c>
      <c r="S35" s="49" t="n">
        <f aca="false">SUM(P35:R35)</f>
        <v>436</v>
      </c>
      <c r="T35" s="50" t="n">
        <f aca="false">(I35-S35)+T34</f>
        <v>10223</v>
      </c>
      <c r="U35" s="49" t="n">
        <v>41</v>
      </c>
      <c r="V35" s="49" t="n">
        <v>81</v>
      </c>
      <c r="W35" s="6" t="n">
        <f aca="false">N35+O35+S35+U35+V35</f>
        <v>558</v>
      </c>
      <c r="X35" s="49" t="n">
        <f aca="false">IF(L35&lt;0,L35*-1,0)</f>
        <v>90.7932946811192</v>
      </c>
      <c r="Y35" s="49" t="n">
        <f aca="false">W35+X35</f>
        <v>648.793294681119</v>
      </c>
      <c r="Z35" s="53" t="n">
        <v>0.23</v>
      </c>
      <c r="AA35" s="54" t="n">
        <v>86</v>
      </c>
      <c r="AB35" s="54" t="n">
        <v>52</v>
      </c>
      <c r="AC35" s="55" t="n">
        <f aca="false">AC34+1</f>
        <v>26</v>
      </c>
      <c r="AD35" s="83"/>
      <c r="AE35" s="83"/>
      <c r="AF35" s="83"/>
    </row>
    <row r="36" customFormat="false" ht="11.1" hidden="false" customHeight="true" outlineLevel="0" collapsed="false">
      <c r="A36" s="55" t="n">
        <f aca="false">A35+1</f>
        <v>27</v>
      </c>
      <c r="B36" s="69" t="n">
        <v>6919.92</v>
      </c>
      <c r="C36" s="50" t="n">
        <v>363229</v>
      </c>
      <c r="D36" s="54" t="n">
        <f aca="false">C36-C35</f>
        <v>-778</v>
      </c>
      <c r="E36" s="50" t="n">
        <f aca="false">C36-152000</f>
        <v>211229</v>
      </c>
      <c r="F36" s="49" t="n">
        <f aca="false">D36/$D$2</f>
        <v>-392.235946559113</v>
      </c>
      <c r="G36" s="49" t="n">
        <v>180</v>
      </c>
      <c r="H36" s="123" t="n">
        <v>0</v>
      </c>
      <c r="I36" s="49" t="n">
        <f aca="false">G36+H36</f>
        <v>180</v>
      </c>
      <c r="J36" s="76" t="n">
        <f aca="false">IF(L36&gt;0,L36,0)</f>
        <v>0</v>
      </c>
      <c r="K36" s="49" t="n">
        <f aca="false">I36+J36</f>
        <v>180</v>
      </c>
      <c r="L36" s="49" t="n">
        <f aca="false">F36-(I36-W36)</f>
        <v>-9.23594655911268</v>
      </c>
      <c r="M36" s="49" t="n">
        <v>218</v>
      </c>
      <c r="N36" s="49" t="n">
        <v>0</v>
      </c>
      <c r="O36" s="49" t="n">
        <v>0</v>
      </c>
      <c r="P36" s="6" t="n">
        <f aca="false">M36-(N36+O36)</f>
        <v>218</v>
      </c>
      <c r="Q36" s="49" t="n">
        <v>135</v>
      </c>
      <c r="R36" s="49" t="n">
        <v>85</v>
      </c>
      <c r="S36" s="49" t="n">
        <f aca="false">SUM(P36:R36)</f>
        <v>438</v>
      </c>
      <c r="T36" s="50" t="n">
        <f aca="false">(I36-S36)+T35</f>
        <v>9965</v>
      </c>
      <c r="U36" s="49" t="n">
        <v>44</v>
      </c>
      <c r="V36" s="49" t="n">
        <v>81</v>
      </c>
      <c r="W36" s="6" t="n">
        <f aca="false">N36+O36+S36+U36+V36</f>
        <v>563</v>
      </c>
      <c r="X36" s="49" t="n">
        <f aca="false">IF(L36&lt;0,L36*-1,0)</f>
        <v>9.23594655911268</v>
      </c>
      <c r="Y36" s="49" t="n">
        <f aca="false">W36+X36</f>
        <v>572.235946559113</v>
      </c>
      <c r="Z36" s="53" t="n">
        <v>0</v>
      </c>
      <c r="AA36" s="54" t="n">
        <v>82</v>
      </c>
      <c r="AB36" s="54" t="n">
        <v>46</v>
      </c>
      <c r="AC36" s="55" t="n">
        <f aca="false">AC35+1</f>
        <v>27</v>
      </c>
      <c r="AD36" s="83"/>
      <c r="AE36" s="83"/>
      <c r="AF36" s="83"/>
    </row>
    <row r="37" customFormat="false" ht="11.1" hidden="false" customHeight="true" outlineLevel="0" collapsed="false">
      <c r="A37" s="55" t="n">
        <f aca="false">A36+1</f>
        <v>28</v>
      </c>
      <c r="B37" s="69" t="n">
        <v>6919.75</v>
      </c>
      <c r="C37" s="50" t="n">
        <v>362497</v>
      </c>
      <c r="D37" s="54" t="n">
        <f aca="false">C37-C36</f>
        <v>-732</v>
      </c>
      <c r="E37" s="50" t="n">
        <f aca="false">C37-152000</f>
        <v>210497</v>
      </c>
      <c r="F37" s="49" t="n">
        <f aca="false">D37/$D$2</f>
        <v>-369.044618099319</v>
      </c>
      <c r="G37" s="49" t="n">
        <v>187</v>
      </c>
      <c r="H37" s="123" t="n">
        <v>0</v>
      </c>
      <c r="I37" s="49" t="n">
        <f aca="false">G37+H37</f>
        <v>187</v>
      </c>
      <c r="J37" s="76" t="n">
        <f aca="false">IF(L37&gt;0,L37,0)</f>
        <v>5.95538190068061</v>
      </c>
      <c r="K37" s="49" t="n">
        <f aca="false">I37+J37</f>
        <v>192.955381900681</v>
      </c>
      <c r="L37" s="49" t="n">
        <f aca="false">F37-(I37-W37)</f>
        <v>5.95538190068061</v>
      </c>
      <c r="M37" s="49" t="n">
        <v>217</v>
      </c>
      <c r="N37" s="49" t="n">
        <v>0</v>
      </c>
      <c r="O37" s="49" t="n">
        <v>0</v>
      </c>
      <c r="P37" s="6" t="n">
        <f aca="false">M37-(N37+O37)</f>
        <v>217</v>
      </c>
      <c r="Q37" s="49" t="n">
        <v>135</v>
      </c>
      <c r="R37" s="49" t="n">
        <v>86</v>
      </c>
      <c r="S37" s="49" t="n">
        <f aca="false">SUM(P37:R37)</f>
        <v>438</v>
      </c>
      <c r="T37" s="50" t="n">
        <f aca="false">(I37-S37)+T36</f>
        <v>9714</v>
      </c>
      <c r="U37" s="49" t="n">
        <v>44</v>
      </c>
      <c r="V37" s="49" t="n">
        <v>80</v>
      </c>
      <c r="W37" s="6" t="n">
        <f aca="false">N37+O37+S37+U37+V37</f>
        <v>562</v>
      </c>
      <c r="X37" s="49" t="n">
        <f aca="false">IF(L37&lt;0,L37*-1,0)</f>
        <v>0</v>
      </c>
      <c r="Y37" s="49" t="n">
        <f aca="false">W37+X37</f>
        <v>562</v>
      </c>
      <c r="Z37" s="53" t="n">
        <v>0.05</v>
      </c>
      <c r="AA37" s="54" t="n">
        <v>82</v>
      </c>
      <c r="AB37" s="54" t="n">
        <v>42</v>
      </c>
      <c r="AC37" s="55" t="n">
        <f aca="false">AC36+1</f>
        <v>28</v>
      </c>
      <c r="AD37" s="83"/>
      <c r="AE37" s="83"/>
      <c r="AF37" s="83"/>
    </row>
    <row r="38" customFormat="false" ht="11.1" hidden="false" customHeight="true" outlineLevel="0" collapsed="false">
      <c r="A38" s="55" t="n">
        <f aca="false">A37+1</f>
        <v>29</v>
      </c>
      <c r="B38" s="69" t="n">
        <v>6919.58</v>
      </c>
      <c r="C38" s="50" t="n">
        <v>361764</v>
      </c>
      <c r="D38" s="54" t="n">
        <f aca="false">C38-C37</f>
        <v>-733</v>
      </c>
      <c r="E38" s="50" t="n">
        <f aca="false">C38-152000</f>
        <v>209764</v>
      </c>
      <c r="F38" s="49" t="n">
        <f aca="false">D38/$D$2</f>
        <v>-369.548777413663</v>
      </c>
      <c r="G38" s="49" t="n">
        <v>203</v>
      </c>
      <c r="H38" s="123" t="n">
        <v>0</v>
      </c>
      <c r="I38" s="49" t="n">
        <f aca="false">G38+H38</f>
        <v>203</v>
      </c>
      <c r="J38" s="76" t="n">
        <f aca="false">IF(L38&gt;0,L38,0)</f>
        <v>0</v>
      </c>
      <c r="K38" s="49" t="n">
        <f aca="false">I38+J38</f>
        <v>203</v>
      </c>
      <c r="L38" s="49" t="n">
        <f aca="false">F38-(I38-W38)</f>
        <v>-10.5487774136627</v>
      </c>
      <c r="M38" s="49" t="n">
        <v>217</v>
      </c>
      <c r="N38" s="49" t="n">
        <v>0</v>
      </c>
      <c r="O38" s="49" t="n">
        <v>0</v>
      </c>
      <c r="P38" s="6" t="n">
        <f aca="false">M38-(N38+O38)</f>
        <v>217</v>
      </c>
      <c r="Q38" s="49" t="n">
        <v>135</v>
      </c>
      <c r="R38" s="49" t="n">
        <v>87</v>
      </c>
      <c r="S38" s="49" t="n">
        <f aca="false">SUM(P38:R38)</f>
        <v>439</v>
      </c>
      <c r="T38" s="50" t="n">
        <f aca="false">(I38-S38)+T37</f>
        <v>9478</v>
      </c>
      <c r="U38" s="49" t="n">
        <v>43</v>
      </c>
      <c r="V38" s="49" t="n">
        <v>80</v>
      </c>
      <c r="W38" s="6" t="n">
        <f aca="false">N38+O38+S38+U38+V38</f>
        <v>562</v>
      </c>
      <c r="X38" s="49" t="n">
        <f aca="false">IF(L38&lt;0,L38*-1,0)</f>
        <v>10.5487774136627</v>
      </c>
      <c r="Y38" s="49" t="n">
        <f aca="false">W38+X38</f>
        <v>572.548777413663</v>
      </c>
      <c r="Z38" s="53" t="n">
        <v>0</v>
      </c>
      <c r="AA38" s="77" t="n">
        <v>81</v>
      </c>
      <c r="AB38" s="54" t="n">
        <v>51</v>
      </c>
      <c r="AC38" s="55" t="n">
        <f aca="false">AC37+1</f>
        <v>29</v>
      </c>
      <c r="AD38" s="83"/>
      <c r="AE38" s="85"/>
      <c r="AF38" s="84"/>
    </row>
    <row r="39" customFormat="false" ht="11.1" hidden="false" customHeight="true" outlineLevel="0" collapsed="false">
      <c r="A39" s="55" t="n">
        <v>30</v>
      </c>
      <c r="B39" s="69" t="n">
        <v>6919.41</v>
      </c>
      <c r="C39" s="50" t="n">
        <v>361032</v>
      </c>
      <c r="D39" s="54" t="n">
        <f aca="false">C39-C38</f>
        <v>-732</v>
      </c>
      <c r="E39" s="50" t="n">
        <f aca="false">C39-152000</f>
        <v>209032</v>
      </c>
      <c r="F39" s="49" t="n">
        <f aca="false">D39/$D$2</f>
        <v>-369.044618099319</v>
      </c>
      <c r="G39" s="49" t="n">
        <v>191</v>
      </c>
      <c r="H39" s="123" t="n">
        <v>0</v>
      </c>
      <c r="I39" s="49" t="n">
        <f aca="false">G39+H39</f>
        <v>191</v>
      </c>
      <c r="J39" s="76" t="n">
        <f aca="false">IF(L39&gt;0,L39,0)</f>
        <v>0</v>
      </c>
      <c r="K39" s="49" t="n">
        <f aca="false">I39+J39</f>
        <v>191</v>
      </c>
      <c r="L39" s="49" t="n">
        <f aca="false">F39-(I39-W39)</f>
        <v>-2.04461809931939</v>
      </c>
      <c r="M39" s="49" t="n">
        <v>216</v>
      </c>
      <c r="N39" s="49" t="n">
        <v>0</v>
      </c>
      <c r="O39" s="49" t="n">
        <v>0</v>
      </c>
      <c r="P39" s="6" t="n">
        <f aca="false">M39-(N39+O39)</f>
        <v>216</v>
      </c>
      <c r="Q39" s="49" t="n">
        <v>135</v>
      </c>
      <c r="R39" s="49" t="n">
        <v>86</v>
      </c>
      <c r="S39" s="49" t="n">
        <f aca="false">SUM(P39:R39)</f>
        <v>437</v>
      </c>
      <c r="T39" s="50" t="n">
        <f aca="false">(I39-S39)+T38</f>
        <v>9232</v>
      </c>
      <c r="U39" s="49" t="n">
        <v>41</v>
      </c>
      <c r="V39" s="49" t="n">
        <v>80</v>
      </c>
      <c r="W39" s="6" t="n">
        <f aca="false">N39+O39+S39+U39+V39</f>
        <v>558</v>
      </c>
      <c r="X39" s="49" t="n">
        <f aca="false">IF(L39&lt;0,L39*-1,0)</f>
        <v>2.04461809931939</v>
      </c>
      <c r="Y39" s="49" t="n">
        <f aca="false">W39+X39</f>
        <v>560.044618099319</v>
      </c>
      <c r="Z39" s="53" t="n">
        <v>0.38</v>
      </c>
      <c r="AA39" s="77" t="n">
        <v>80</v>
      </c>
      <c r="AB39" s="54" t="n">
        <v>52</v>
      </c>
      <c r="AC39" s="55" t="n">
        <v>30</v>
      </c>
      <c r="AD39" s="83"/>
      <c r="AE39" s="85"/>
      <c r="AF39" s="84"/>
    </row>
    <row r="40" customFormat="false" ht="11.1" hidden="false" customHeight="true" outlineLevel="0" collapsed="false">
      <c r="A40" s="55" t="n">
        <v>31</v>
      </c>
      <c r="B40" s="69" t="n">
        <v>6919.25</v>
      </c>
      <c r="C40" s="50" t="n">
        <v>360343</v>
      </c>
      <c r="D40" s="54" t="n">
        <f aca="false">C40-C39</f>
        <v>-689</v>
      </c>
      <c r="E40" s="50" t="n">
        <f aca="false">C40-152000</f>
        <v>208343</v>
      </c>
      <c r="F40" s="49" t="n">
        <f aca="false">D40/$D$2</f>
        <v>-347.365767582556</v>
      </c>
      <c r="G40" s="49" t="n">
        <v>201</v>
      </c>
      <c r="H40" s="123" t="n">
        <v>0</v>
      </c>
      <c r="I40" s="49" t="n">
        <f aca="false">G40+H40</f>
        <v>201</v>
      </c>
      <c r="J40" s="76" t="n">
        <f aca="false">IF(L40&gt;0,L40,0)</f>
        <v>9.63423241744391</v>
      </c>
      <c r="K40" s="49" t="n">
        <f aca="false">I40+J40</f>
        <v>210.634232417444</v>
      </c>
      <c r="L40" s="49" t="n">
        <f aca="false">F40-(I40-W40)</f>
        <v>9.63423241744391</v>
      </c>
      <c r="M40" s="49" t="n">
        <v>216</v>
      </c>
      <c r="N40" s="49" t="n">
        <v>0</v>
      </c>
      <c r="O40" s="49" t="n">
        <v>0</v>
      </c>
      <c r="P40" s="6" t="n">
        <f aca="false">M40-(N40+O40)</f>
        <v>216</v>
      </c>
      <c r="Q40" s="49" t="n">
        <v>135</v>
      </c>
      <c r="R40" s="49" t="n">
        <v>86</v>
      </c>
      <c r="S40" s="49" t="n">
        <f aca="false">SUM(P40:R40)</f>
        <v>437</v>
      </c>
      <c r="T40" s="50" t="n">
        <f aca="false">(I40-S40)+T39</f>
        <v>8996</v>
      </c>
      <c r="U40" s="49" t="n">
        <v>42</v>
      </c>
      <c r="V40" s="49" t="n">
        <v>79</v>
      </c>
      <c r="W40" s="6" t="n">
        <f aca="false">N40+O40+S40+U40+V40</f>
        <v>558</v>
      </c>
      <c r="X40" s="49" t="n">
        <f aca="false">IF(L40&lt;0,L40*-1,0)</f>
        <v>0</v>
      </c>
      <c r="Y40" s="49" t="n">
        <f aca="false">W40+X40</f>
        <v>558</v>
      </c>
      <c r="Z40" s="53" t="n">
        <v>0.5</v>
      </c>
      <c r="AA40" s="77" t="n">
        <v>79</v>
      </c>
      <c r="AB40" s="54" t="n">
        <v>52</v>
      </c>
      <c r="AC40" s="55" t="n">
        <v>31</v>
      </c>
      <c r="AD40" s="83"/>
      <c r="AE40" s="83"/>
      <c r="AF40" s="84"/>
    </row>
    <row r="41" customFormat="false" ht="3" hidden="false" customHeight="true" outlineLevel="0" collapsed="false">
      <c r="A41" s="70"/>
      <c r="B41" s="70"/>
      <c r="C41" s="72"/>
      <c r="D41" s="70"/>
      <c r="E41" s="72"/>
      <c r="F41" s="70"/>
      <c r="G41" s="70"/>
      <c r="H41" s="129"/>
      <c r="I41" s="70"/>
      <c r="J41" s="70"/>
      <c r="K41" s="70"/>
      <c r="L41" s="70"/>
      <c r="M41" s="70"/>
      <c r="N41" s="70"/>
      <c r="O41" s="70" t="n">
        <v>0</v>
      </c>
      <c r="P41" s="70"/>
      <c r="Q41" s="70"/>
      <c r="R41" s="70"/>
      <c r="S41" s="70"/>
      <c r="T41" s="72"/>
      <c r="U41" s="70"/>
      <c r="V41" s="70"/>
      <c r="W41" s="70"/>
      <c r="X41" s="70"/>
      <c r="Y41" s="70"/>
      <c r="Z41" s="102" t="s">
        <v>74</v>
      </c>
      <c r="AA41" s="74"/>
      <c r="AB41" s="74"/>
      <c r="AC41" s="75"/>
      <c r="AD41" s="83"/>
      <c r="AE41" s="83"/>
      <c r="AF41" s="84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-9395.51298210234</v>
      </c>
      <c r="G42" s="50" t="n">
        <f aca="false">SUM(G10:G40)</f>
        <v>8327</v>
      </c>
      <c r="H42" s="123" t="n">
        <f aca="false">SUM(H10:H40)</f>
        <v>0</v>
      </c>
      <c r="I42" s="50" t="n">
        <f aca="false">SUM(I10:I40)</f>
        <v>8327</v>
      </c>
      <c r="J42" s="50" t="n">
        <f aca="false">SUM(J10:J40)</f>
        <v>113.719435341568</v>
      </c>
      <c r="K42" s="50" t="n">
        <f aca="false">SUM(K10:K40)</f>
        <v>8440.71943534157</v>
      </c>
      <c r="L42" s="50" t="n">
        <f aca="false">SUM(L10:L40)</f>
        <v>-1023.51298210234</v>
      </c>
      <c r="M42" s="50" t="n">
        <f aca="false">SUM(M10:M40)</f>
        <v>6236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6236</v>
      </c>
      <c r="Q42" s="50" t="n">
        <f aca="false">SUM(Q10:Q40)</f>
        <v>4207</v>
      </c>
      <c r="R42" s="50" t="n">
        <f aca="false">SUM(R10:R40)</f>
        <v>2603</v>
      </c>
      <c r="S42" s="50" t="n">
        <f aca="false">SUM(S10:S40)</f>
        <v>13046</v>
      </c>
      <c r="T42" s="50"/>
      <c r="U42" s="50" t="n">
        <f aca="false">SUM(U10:U40)</f>
        <v>1204</v>
      </c>
      <c r="V42" s="50" t="n">
        <f aca="false">SUM(V10:V40)</f>
        <v>2449</v>
      </c>
      <c r="W42" s="50" t="n">
        <f aca="false">SUM(W10:W40)</f>
        <v>16699</v>
      </c>
      <c r="X42" s="50" t="n">
        <f aca="false">SUM(X10:X40)</f>
        <v>1137.23241744391</v>
      </c>
      <c r="Y42" s="50" t="n">
        <f aca="false">SUM(Y10:Y40)</f>
        <v>17836.2324174439</v>
      </c>
      <c r="Z42" s="53" t="n">
        <f aca="false">SUM(Z10:Z40)</f>
        <v>1.66</v>
      </c>
      <c r="AA42" s="54" t="n">
        <f aca="false">AVERAGE(AA10:AA40)</f>
        <v>83.1935483870968</v>
      </c>
      <c r="AB42" s="54" t="n">
        <f aca="false">AVERAGE(AB10:AB40)</f>
        <v>49.3548387096774</v>
      </c>
      <c r="AC42" s="55" t="s">
        <v>69</v>
      </c>
      <c r="AD42" s="83"/>
      <c r="AE42" s="83"/>
      <c r="AF42" s="84"/>
    </row>
    <row r="43" customFormat="false" ht="11.1" hidden="false" customHeight="true" outlineLevel="0" collapsed="false">
      <c r="A43" s="49" t="s">
        <v>46</v>
      </c>
      <c r="B43" s="49"/>
      <c r="C43" s="50"/>
      <c r="D43" s="50" t="n">
        <f aca="false">SUM(D10:D40)</f>
        <v>-18636</v>
      </c>
      <c r="E43" s="50"/>
      <c r="F43" s="50" t="n">
        <f aca="false">F42*$D$2</f>
        <v>-18636</v>
      </c>
      <c r="G43" s="50" t="n">
        <f aca="false">G42*$D$2</f>
        <v>16516.6045</v>
      </c>
      <c r="H43" s="123" t="n">
        <f aca="false">H42*$D$2</f>
        <v>0</v>
      </c>
      <c r="I43" s="50" t="n">
        <f aca="false">I42*$D$2</f>
        <v>16516.6045</v>
      </c>
      <c r="J43" s="50" t="n">
        <f aca="false">J42*$D$2</f>
        <v>225.5625</v>
      </c>
      <c r="K43" s="50" t="n">
        <f aca="false">K42*$D$2</f>
        <v>16742.167</v>
      </c>
      <c r="L43" s="50" t="n">
        <f aca="false">L42*$D$2</f>
        <v>-2030.138</v>
      </c>
      <c r="M43" s="50" t="n">
        <f aca="false">M42*$D$2</f>
        <v>12369.106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12369.106</v>
      </c>
      <c r="Q43" s="50" t="n">
        <f aca="false">Q42*$D$2</f>
        <v>8344.5845</v>
      </c>
      <c r="R43" s="50" t="n">
        <f aca="false">R42*$D$2</f>
        <v>5163.0505</v>
      </c>
      <c r="S43" s="50" t="n">
        <f aca="false">S42*$D$2</f>
        <v>25876.741</v>
      </c>
      <c r="T43" s="50"/>
      <c r="U43" s="50" t="n">
        <f aca="false">U42*$D$2</f>
        <v>2388.134</v>
      </c>
      <c r="V43" s="50" t="n">
        <f aca="false">V42*$D$2</f>
        <v>4857.5915</v>
      </c>
      <c r="W43" s="50" t="n">
        <f aca="false">W42*$D$2</f>
        <v>33122.4665</v>
      </c>
      <c r="X43" s="50" t="n">
        <f aca="false">X42*$D$2</f>
        <v>2255.7005</v>
      </c>
      <c r="Y43" s="50" t="n">
        <f aca="false">Y42*$D$2</f>
        <v>35378.167</v>
      </c>
      <c r="Z43" s="53"/>
      <c r="AA43" s="54" t="n">
        <f aca="false">MAX(AA10:AA40)</f>
        <v>88</v>
      </c>
      <c r="AB43" s="54" t="n">
        <f aca="false">MAX(AB10:AB40)</f>
        <v>54</v>
      </c>
      <c r="AC43" s="55" t="s">
        <v>47</v>
      </c>
      <c r="AD43" s="83"/>
      <c r="AE43" s="83"/>
      <c r="AF43" s="84"/>
    </row>
    <row r="44" customFormat="false" ht="3" hidden="false" customHeight="true" outlineLevel="0" collapsed="false">
      <c r="A44" s="70"/>
      <c r="B44" s="70"/>
      <c r="C44" s="72"/>
      <c r="D44" s="72"/>
      <c r="E44" s="72"/>
      <c r="F44" s="72"/>
      <c r="G44" s="72"/>
      <c r="H44" s="129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3"/>
      <c r="AA44" s="54"/>
      <c r="AB44" s="54"/>
      <c r="AC44" s="55"/>
      <c r="AD44" s="83"/>
      <c r="AE44" s="83"/>
      <c r="AF44" s="84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 t="n">
        <f aca="false">F7+F42</f>
        <v>14514.7466599445</v>
      </c>
      <c r="G45" s="50" t="n">
        <f aca="false">G7+G42</f>
        <v>84543</v>
      </c>
      <c r="H45" s="123" t="n">
        <f aca="false">H7+H42</f>
        <v>2414</v>
      </c>
      <c r="I45" s="50" t="n">
        <f aca="false">I7+I42</f>
        <v>86957</v>
      </c>
      <c r="J45" s="50" t="n">
        <f aca="false">J7+J42</f>
        <v>12466.5376859087</v>
      </c>
      <c r="K45" s="50" t="n">
        <f aca="false">K7+K42</f>
        <v>99423.5376859088</v>
      </c>
      <c r="L45" s="50" t="n">
        <f aca="false">L7+L42</f>
        <v>8368.74665994454</v>
      </c>
      <c r="M45" s="50" t="n">
        <f aca="false">M7+M42</f>
        <v>21149</v>
      </c>
      <c r="N45" s="50" t="n">
        <f aca="false">N7+N42</f>
        <v>0</v>
      </c>
      <c r="O45" s="50" t="n">
        <f aca="false">O7+O42</f>
        <v>0</v>
      </c>
      <c r="P45" s="50" t="n">
        <f aca="false">P7+P42</f>
        <v>21149</v>
      </c>
      <c r="Q45" s="50" t="n">
        <f aca="false">Q7+Q42</f>
        <v>15749</v>
      </c>
      <c r="R45" s="50" t="n">
        <f aca="false">R7+R42</f>
        <v>7749</v>
      </c>
      <c r="S45" s="50" t="n">
        <f aca="false">S7+S42</f>
        <v>44647</v>
      </c>
      <c r="T45" s="50" t="n">
        <f aca="false">T40</f>
        <v>8996</v>
      </c>
      <c r="U45" s="50" t="n">
        <f aca="false">U7+U42</f>
        <v>2510</v>
      </c>
      <c r="V45" s="50" t="n">
        <f aca="false">V7+V42</f>
        <v>33654</v>
      </c>
      <c r="W45" s="50" t="n">
        <f aca="false">W7+W42</f>
        <v>80811</v>
      </c>
      <c r="X45" s="50" t="n">
        <f aca="false">X7+X42</f>
        <v>4097.79102596421</v>
      </c>
      <c r="Y45" s="50" t="n">
        <f aca="false">Y7+Y42</f>
        <v>84908.7910259642</v>
      </c>
      <c r="Z45" s="53"/>
      <c r="AA45" s="54" t="n">
        <f aca="false">MIN(AA10:AA40)</f>
        <v>78</v>
      </c>
      <c r="AB45" s="54" t="n">
        <f aca="false">MIN(AB10:AB40)</f>
        <v>41</v>
      </c>
      <c r="AC45" s="55" t="s">
        <v>49</v>
      </c>
      <c r="AD45" s="83"/>
      <c r="AE45" s="83"/>
      <c r="AF45" s="84"/>
    </row>
    <row r="46" customFormat="false" ht="11.1" hidden="false" customHeight="true" outlineLevel="0" collapsed="false">
      <c r="A46" s="49" t="s">
        <v>50</v>
      </c>
      <c r="B46" s="49"/>
      <c r="C46" s="50"/>
      <c r="D46" s="50"/>
      <c r="E46" s="50"/>
      <c r="F46" s="50" t="n">
        <f aca="false">F45*$D$2</f>
        <v>28790</v>
      </c>
      <c r="G46" s="50" t="n">
        <f aca="false">G45*$D$2</f>
        <v>167691.0405</v>
      </c>
      <c r="H46" s="123" t="n">
        <f aca="false">H45*$D$2</f>
        <v>4788.169</v>
      </c>
      <c r="I46" s="50" t="n">
        <f aca="false">I45*$D$2</f>
        <v>172479.2095</v>
      </c>
      <c r="J46" s="50" t="n">
        <f aca="false">J45*$D$2</f>
        <v>24727.3775</v>
      </c>
      <c r="K46" s="50" t="n">
        <f aca="false">K45*$D$2</f>
        <v>197206.587</v>
      </c>
      <c r="L46" s="50" t="n">
        <f aca="false">L45*$D$2</f>
        <v>16599.409</v>
      </c>
      <c r="M46" s="50" t="n">
        <f aca="false">M45*$D$2</f>
        <v>41949.0415</v>
      </c>
      <c r="N46" s="50" t="n">
        <f aca="false">N45*$D$2</f>
        <v>0</v>
      </c>
      <c r="O46" s="50" t="n">
        <f aca="false">O45*$D$2</f>
        <v>0</v>
      </c>
      <c r="P46" s="50" t="n">
        <f aca="false">P45*$D$2</f>
        <v>41949.0415</v>
      </c>
      <c r="Q46" s="50" t="n">
        <f aca="false">Q45*$D$2</f>
        <v>31238.1415</v>
      </c>
      <c r="R46" s="50" t="n">
        <f aca="false">R45*$D$2</f>
        <v>15370.1415</v>
      </c>
      <c r="S46" s="50" t="n">
        <f aca="false">S45*$D$2</f>
        <v>88557.3245</v>
      </c>
      <c r="T46" s="50" t="n">
        <f aca="false">T45*$D$2</f>
        <v>17843.566</v>
      </c>
      <c r="U46" s="50" t="n">
        <f aca="false">U45*$D$2</f>
        <v>4978.585</v>
      </c>
      <c r="V46" s="50" t="n">
        <f aca="false">V45*$D$2</f>
        <v>66752.709</v>
      </c>
      <c r="W46" s="50" t="n">
        <f aca="false">W45*$D$2</f>
        <v>160288.6185</v>
      </c>
      <c r="X46" s="50" t="n">
        <f aca="false">X45*$D$2</f>
        <v>8127.9685</v>
      </c>
      <c r="Y46" s="50" t="n">
        <f aca="false">Y45*$D$2</f>
        <v>168416.587</v>
      </c>
      <c r="Z46" s="53"/>
      <c r="AA46" s="54"/>
      <c r="AB46" s="54"/>
      <c r="AC46" s="55"/>
      <c r="AD46" s="83"/>
      <c r="AE46" s="83"/>
      <c r="AF46" s="84"/>
    </row>
    <row r="47" customFormat="false" ht="3" hidden="false" customHeight="true" outlineLevel="0" collapsed="false">
      <c r="A47" s="70"/>
      <c r="B47" s="70"/>
      <c r="C47" s="72"/>
      <c r="D47" s="72"/>
      <c r="E47" s="72"/>
      <c r="F47" s="72"/>
      <c r="G47" s="72"/>
      <c r="H47" s="129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102"/>
      <c r="AA47" s="54"/>
      <c r="AB47" s="54"/>
      <c r="AC47" s="55"/>
      <c r="AD47" s="83"/>
      <c r="AE47" s="83"/>
      <c r="AF47" s="84"/>
    </row>
    <row r="48" customFormat="false" ht="11.1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17253.3400554575</v>
      </c>
      <c r="G48" s="50" t="n">
        <f aca="false">G8+G42</f>
        <v>99868</v>
      </c>
      <c r="H48" s="123" t="n">
        <f aca="false">H8+H42</f>
        <v>2620</v>
      </c>
      <c r="I48" s="50" t="n">
        <f aca="false">I8+I42</f>
        <v>102488</v>
      </c>
      <c r="J48" s="50" t="n">
        <f aca="false">J8+J42</f>
        <v>15824.2712377111</v>
      </c>
      <c r="K48" s="50" t="n">
        <f aca="false">K8+K42</f>
        <v>118312.271237711</v>
      </c>
      <c r="L48" s="50" t="n">
        <f aca="false">L8+L42</f>
        <v>10710.3400554575</v>
      </c>
      <c r="M48" s="50" t="n">
        <f aca="false">M8+M42</f>
        <v>22468</v>
      </c>
      <c r="N48" s="50" t="n">
        <f aca="false">N8+N42</f>
        <v>0</v>
      </c>
      <c r="O48" s="50" t="n">
        <f aca="false">O8+O42</f>
        <v>0</v>
      </c>
      <c r="P48" s="50" t="n">
        <f aca="false">P8+P42</f>
        <v>22468</v>
      </c>
      <c r="Q48" s="50" t="n">
        <f aca="false">Q8+Q42</f>
        <v>17509</v>
      </c>
      <c r="R48" s="50" t="n">
        <f aca="false">R8+R42</f>
        <v>7945</v>
      </c>
      <c r="S48" s="50" t="n">
        <f aca="false">S8+S42</f>
        <v>47922</v>
      </c>
      <c r="T48" s="50" t="n">
        <f aca="false">T45</f>
        <v>8996</v>
      </c>
      <c r="U48" s="50" t="n">
        <f aca="false">U8+U42</f>
        <v>2510</v>
      </c>
      <c r="V48" s="50" t="n">
        <f aca="false">V8+V42</f>
        <v>45513</v>
      </c>
      <c r="W48" s="50" t="n">
        <f aca="false">W8+W42</f>
        <v>95945</v>
      </c>
      <c r="X48" s="50" t="n">
        <f aca="false">X8+X42</f>
        <v>5113.93118225359</v>
      </c>
      <c r="Y48" s="50" t="n">
        <f aca="false">Y8+Y42</f>
        <v>101058.931182254</v>
      </c>
      <c r="Z48" s="53" t="n">
        <f aca="false">Z8+Z42</f>
        <v>13.61</v>
      </c>
      <c r="AA48" s="54"/>
      <c r="AB48" s="54"/>
      <c r="AC48" s="55"/>
      <c r="AD48" s="83"/>
      <c r="AE48" s="83"/>
      <c r="AF48" s="84"/>
    </row>
    <row r="49" customFormat="false" ht="11.1" hidden="false" customHeight="true" outlineLevel="0" collapsed="false">
      <c r="A49" s="49" t="s">
        <v>52</v>
      </c>
      <c r="B49" s="49"/>
      <c r="C49" s="50"/>
      <c r="D49" s="50" t="n">
        <f aca="false">D8+D43</f>
        <v>34222</v>
      </c>
      <c r="E49" s="50" t="n">
        <f aca="false">E40</f>
        <v>208343</v>
      </c>
      <c r="F49" s="50" t="n">
        <f aca="false">F48*$D$2</f>
        <v>34222</v>
      </c>
      <c r="G49" s="50" t="n">
        <f aca="false">G48*$D$2</f>
        <v>198088.178</v>
      </c>
      <c r="H49" s="123" t="n">
        <f aca="false">H48*$D$2</f>
        <v>5196.77</v>
      </c>
      <c r="I49" s="50" t="n">
        <f aca="false">I48*$D$2</f>
        <v>203284.948</v>
      </c>
      <c r="J49" s="50" t="n">
        <f aca="false">J48*$D$2</f>
        <v>31387.442</v>
      </c>
      <c r="K49" s="50" t="n">
        <f aca="false">K48*$D$2</f>
        <v>234672.39</v>
      </c>
      <c r="L49" s="50" t="n">
        <f aca="false">L48*$D$2</f>
        <v>21243.9595</v>
      </c>
      <c r="M49" s="50" t="n">
        <f aca="false">M48*$D$2</f>
        <v>44565.278</v>
      </c>
      <c r="N49" s="50" t="n">
        <f aca="false">N48*$D$2</f>
        <v>0</v>
      </c>
      <c r="O49" s="50" t="n">
        <f aca="false">O48*$D$2</f>
        <v>0</v>
      </c>
      <c r="P49" s="50" t="n">
        <f aca="false">P48*$D$2</f>
        <v>44565.278</v>
      </c>
      <c r="Q49" s="50" t="n">
        <f aca="false">Q48*$D$2</f>
        <v>34729.1015</v>
      </c>
      <c r="R49" s="50" t="n">
        <f aca="false">R48*$D$2</f>
        <v>15758.9075</v>
      </c>
      <c r="S49" s="50" t="n">
        <f aca="false">S48*$D$2</f>
        <v>95053.287</v>
      </c>
      <c r="T49" s="50" t="n">
        <f aca="false">T48*$D$2</f>
        <v>17843.566</v>
      </c>
      <c r="U49" s="50" t="n">
        <f aca="false">U48*$D$2</f>
        <v>4978.585</v>
      </c>
      <c r="V49" s="50" t="n">
        <f aca="false">V48*$D$2</f>
        <v>90275.0355</v>
      </c>
      <c r="W49" s="50" t="n">
        <f aca="false">W48*$D$2</f>
        <v>190306.9075</v>
      </c>
      <c r="X49" s="50" t="n">
        <f aca="false">X48*$D$2</f>
        <v>10143.4825</v>
      </c>
      <c r="Y49" s="50" t="n">
        <f aca="false">Y48*$D$2</f>
        <v>200450.39</v>
      </c>
      <c r="Z49" s="53"/>
      <c r="AA49" s="54"/>
      <c r="AB49" s="54"/>
      <c r="AC49" s="55"/>
      <c r="AD49" s="83"/>
      <c r="AE49" s="83"/>
      <c r="AF49" s="84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129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3"/>
      <c r="AA50" s="54"/>
      <c r="AB50" s="54"/>
      <c r="AC50" s="55"/>
      <c r="AD50" s="83"/>
      <c r="AE50" s="83"/>
      <c r="AF50" s="84"/>
    </row>
    <row r="51" customFormat="false" ht="11.1" hidden="false" customHeight="true" outlineLevel="0" collapsed="false">
      <c r="A51" s="49"/>
      <c r="B51" s="79"/>
      <c r="C51" s="50"/>
      <c r="D51" s="49"/>
      <c r="E51" s="50"/>
      <c r="F51" s="49"/>
      <c r="G51" s="49"/>
      <c r="H51" s="132"/>
      <c r="I51" s="80"/>
      <c r="J51" s="49"/>
      <c r="K51" s="50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  <c r="Y51" s="49"/>
      <c r="Z51" s="53"/>
      <c r="AA51" s="54"/>
      <c r="AB51" s="54"/>
      <c r="AC51" s="55"/>
      <c r="AD51" s="82"/>
      <c r="AE51" s="82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49"/>
      <c r="H52" s="123"/>
      <c r="I52" s="80"/>
      <c r="J52" s="49"/>
      <c r="K52" s="39"/>
      <c r="L52" s="49"/>
      <c r="M52" s="49"/>
      <c r="N52" s="49"/>
      <c r="O52" s="49"/>
      <c r="P52" s="49"/>
      <c r="Q52" s="49"/>
      <c r="R52" s="49"/>
      <c r="S52" s="50"/>
      <c r="T52" s="49"/>
      <c r="U52" s="49"/>
      <c r="V52" s="50"/>
      <c r="W52" s="49"/>
      <c r="X52" s="49"/>
      <c r="Y52" s="53"/>
      <c r="Z52" s="53"/>
      <c r="AA52" s="54"/>
      <c r="AB52" s="55"/>
      <c r="AC52" s="82"/>
      <c r="AD52" s="82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123"/>
      <c r="I53" s="77"/>
      <c r="J53" s="77"/>
      <c r="K53" s="39"/>
      <c r="L53" s="77"/>
      <c r="M53" s="76"/>
      <c r="N53" s="76"/>
      <c r="O53" s="76"/>
      <c r="P53" s="77"/>
      <c r="Q53" s="77"/>
      <c r="R53" s="77"/>
      <c r="S53" s="50"/>
      <c r="T53" s="77"/>
      <c r="U53" s="77"/>
      <c r="V53" s="50"/>
      <c r="W53" s="77"/>
      <c r="X53" s="77"/>
      <c r="Y53" s="53"/>
      <c r="Z53" s="53"/>
      <c r="AA53" s="54"/>
      <c r="AB53" s="55"/>
      <c r="AC53" s="86"/>
      <c r="AD53" s="86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123"/>
      <c r="I54" s="77"/>
      <c r="J54" s="77"/>
      <c r="K54" s="77"/>
      <c r="L54" s="77"/>
      <c r="M54" s="76"/>
      <c r="N54" s="76"/>
      <c r="O54" s="76"/>
      <c r="P54" s="77"/>
      <c r="Q54" s="77"/>
      <c r="R54" s="77"/>
      <c r="S54" s="50"/>
      <c r="T54" s="77"/>
      <c r="U54" s="77"/>
      <c r="V54" s="50"/>
      <c r="W54" s="77"/>
      <c r="X54" s="77"/>
      <c r="Y54" s="53"/>
      <c r="Z54" s="53"/>
      <c r="AA54" s="54"/>
      <c r="AB54" s="55"/>
      <c r="AC54" s="86"/>
      <c r="AD54" s="86"/>
    </row>
    <row r="55" customFormat="false" ht="11.1" hidden="false" customHeight="true" outlineLevel="0" collapsed="false">
      <c r="A55" s="77"/>
      <c r="B55" s="77"/>
      <c r="C55" s="50"/>
      <c r="D55" s="77"/>
      <c r="E55" s="50"/>
      <c r="F55" s="77"/>
      <c r="G55" s="81"/>
      <c r="H55" s="123"/>
      <c r="I55" s="77"/>
      <c r="J55" s="77"/>
      <c r="K55" s="77"/>
      <c r="L55" s="77"/>
      <c r="M55" s="76"/>
      <c r="N55" s="76"/>
      <c r="O55" s="76"/>
      <c r="P55" s="77"/>
      <c r="Q55" s="77"/>
      <c r="R55" s="77"/>
      <c r="S55" s="50"/>
      <c r="T55" s="77"/>
      <c r="U55" s="77"/>
      <c r="V55" s="50"/>
      <c r="W55" s="77"/>
      <c r="X55" s="77"/>
      <c r="Y55" s="53"/>
      <c r="Z55" s="53"/>
      <c r="AA55" s="54"/>
      <c r="AB55" s="55"/>
      <c r="AC55" s="86"/>
      <c r="AD55" s="8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133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16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5.1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80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80"/>
      <c r="I2" s="49"/>
      <c r="J2" s="49"/>
      <c r="K2" s="57" t="s">
        <v>75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80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134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76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134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76</v>
      </c>
      <c r="AD5" s="82"/>
      <c r="AE5" s="82"/>
      <c r="AG5" s="135"/>
      <c r="AH5" s="135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13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  <c r="AD6" s="83"/>
      <c r="AE6" s="83"/>
      <c r="AF6" s="84"/>
      <c r="AG6" s="135"/>
      <c r="AH6" s="135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 t="n">
        <f aca="false">JUL!F45</f>
        <v>14514.7466599445</v>
      </c>
      <c r="G7" s="50" t="n">
        <f aca="false">JUL!G45</f>
        <v>84543</v>
      </c>
      <c r="H7" s="50" t="n">
        <f aca="false">JUL!H45</f>
        <v>2414</v>
      </c>
      <c r="I7" s="50" t="n">
        <f aca="false">JUL!I45</f>
        <v>86957</v>
      </c>
      <c r="J7" s="50" t="n">
        <f aca="false">JUL!J45</f>
        <v>12466.5376859087</v>
      </c>
      <c r="K7" s="50" t="n">
        <f aca="false">JUL!K45</f>
        <v>99423.5376859088</v>
      </c>
      <c r="L7" s="50" t="n">
        <f aca="false">JUL!L45</f>
        <v>8368.74665994454</v>
      </c>
      <c r="M7" s="50" t="n">
        <f aca="false">JUL!M45</f>
        <v>21149</v>
      </c>
      <c r="N7" s="50" t="n">
        <f aca="false">JUL!N45</f>
        <v>0</v>
      </c>
      <c r="O7" s="50" t="n">
        <f aca="false">JUL!O45</f>
        <v>0</v>
      </c>
      <c r="P7" s="50" t="n">
        <f aca="false">JUL!P45</f>
        <v>21149</v>
      </c>
      <c r="Q7" s="50" t="n">
        <f aca="false">JUL!Q45</f>
        <v>15749</v>
      </c>
      <c r="R7" s="50" t="n">
        <f aca="false">JUL!R45</f>
        <v>7749</v>
      </c>
      <c r="S7" s="50" t="n">
        <f aca="false">JUL!S45</f>
        <v>44647</v>
      </c>
      <c r="T7" s="50" t="n">
        <f aca="false">JUL!T45</f>
        <v>8996</v>
      </c>
      <c r="U7" s="50" t="n">
        <f aca="false">JUL!U45</f>
        <v>2510</v>
      </c>
      <c r="V7" s="50" t="n">
        <f aca="false">JUL!V45</f>
        <v>33654</v>
      </c>
      <c r="W7" s="50" t="n">
        <f aca="false">JUL!W45</f>
        <v>80811</v>
      </c>
      <c r="X7" s="50" t="n">
        <f aca="false">JUL!X45</f>
        <v>4097.79102596421</v>
      </c>
      <c r="Y7" s="50" t="n">
        <f aca="false">JUL!Y45</f>
        <v>84908.7910259642</v>
      </c>
      <c r="Z7" s="51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JUL!B40</f>
        <v>6919.25</v>
      </c>
      <c r="C8" s="50" t="n">
        <f aca="false">JUL!C40</f>
        <v>360343</v>
      </c>
      <c r="D8" s="50" t="n">
        <f aca="false">JUL!D49</f>
        <v>34222</v>
      </c>
      <c r="E8" s="50" t="n">
        <f aca="false">JUL!E49</f>
        <v>208343</v>
      </c>
      <c r="F8" s="50" t="n">
        <f aca="false">JUL!F48</f>
        <v>17253.3400554575</v>
      </c>
      <c r="G8" s="50" t="n">
        <f aca="false">JUL!G48</f>
        <v>99868</v>
      </c>
      <c r="H8" s="54" t="n">
        <f aca="false">JUL!H48</f>
        <v>2620</v>
      </c>
      <c r="I8" s="50" t="n">
        <f aca="false">JUL!I48</f>
        <v>102488</v>
      </c>
      <c r="J8" s="50" t="n">
        <f aca="false">JUL!J48</f>
        <v>15824.2712377111</v>
      </c>
      <c r="K8" s="50" t="n">
        <f aca="false">JUL!K48</f>
        <v>118312.271237711</v>
      </c>
      <c r="L8" s="50" t="n">
        <f aca="false">JUL!L48</f>
        <v>10710.3400554575</v>
      </c>
      <c r="M8" s="50" t="n">
        <f aca="false">JUL!M48</f>
        <v>22468</v>
      </c>
      <c r="N8" s="50" t="n">
        <f aca="false">JUL!N48</f>
        <v>0</v>
      </c>
      <c r="O8" s="50" t="n">
        <f aca="false">JUL!O48</f>
        <v>0</v>
      </c>
      <c r="P8" s="50" t="n">
        <f aca="false">JUL!P48</f>
        <v>22468</v>
      </c>
      <c r="Q8" s="50" t="n">
        <f aca="false">JUL!Q48</f>
        <v>17509</v>
      </c>
      <c r="R8" s="50" t="n">
        <f aca="false">JUL!R48</f>
        <v>7945</v>
      </c>
      <c r="S8" s="50" t="n">
        <f aca="false">JUL!S48</f>
        <v>47922</v>
      </c>
      <c r="T8" s="50" t="n">
        <f aca="false">JUL!T46</f>
        <v>17843.566</v>
      </c>
      <c r="U8" s="50" t="n">
        <f aca="false">JUL!U48</f>
        <v>2510</v>
      </c>
      <c r="V8" s="50" t="n">
        <f aca="false">JUL!V48</f>
        <v>45513</v>
      </c>
      <c r="W8" s="50" t="n">
        <f aca="false">JUL!W48</f>
        <v>95945</v>
      </c>
      <c r="X8" s="50" t="n">
        <f aca="false">JUL!X48</f>
        <v>5113.93118225359</v>
      </c>
      <c r="Y8" s="50" t="n">
        <f aca="false">JUL!Y48</f>
        <v>101058.931182254</v>
      </c>
      <c r="Z8" s="51" t="n">
        <f aca="false">JUL!Z48</f>
        <v>13.61</v>
      </c>
      <c r="AA8" s="54"/>
      <c r="AB8" s="54"/>
      <c r="AC8" s="55"/>
      <c r="AD8" s="85"/>
      <c r="AE8" s="83"/>
      <c r="AF8" s="85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137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6919.13</v>
      </c>
      <c r="C10" s="50" t="n">
        <v>359827</v>
      </c>
      <c r="D10" s="54" t="n">
        <f aca="false">C10-C8</f>
        <v>-516</v>
      </c>
      <c r="E10" s="50" t="n">
        <f aca="false">C10-152000</f>
        <v>207827</v>
      </c>
      <c r="F10" s="49" t="n">
        <f aca="false">D10/$D$2</f>
        <v>-260.14620620116</v>
      </c>
      <c r="G10" s="49" t="n">
        <v>305</v>
      </c>
      <c r="H10" s="80" t="n">
        <v>0</v>
      </c>
      <c r="I10" s="49" t="n">
        <f aca="false">G10+H10</f>
        <v>305</v>
      </c>
      <c r="J10" s="76" t="n">
        <f aca="false">IF(L10&gt;0,L10,0)</f>
        <v>0</v>
      </c>
      <c r="K10" s="49" t="n">
        <f aca="false">I10+J10</f>
        <v>305</v>
      </c>
      <c r="L10" s="49" t="n">
        <f aca="false">F10-(I10-W10)</f>
        <v>-5.14620620115954</v>
      </c>
      <c r="M10" s="49" t="n">
        <v>216</v>
      </c>
      <c r="N10" s="49" t="n">
        <v>0</v>
      </c>
      <c r="O10" s="49" t="n">
        <v>0</v>
      </c>
      <c r="P10" s="6" t="n">
        <f aca="false">M10-(N10+O10)</f>
        <v>216</v>
      </c>
      <c r="Q10" s="49" t="n">
        <v>135</v>
      </c>
      <c r="R10" s="49" t="n">
        <v>86</v>
      </c>
      <c r="S10" s="49" t="n">
        <f aca="false">SUM(P10:R10)</f>
        <v>437</v>
      </c>
      <c r="T10" s="50" t="n">
        <f aca="false">(I10-S10)+T7</f>
        <v>8864</v>
      </c>
      <c r="U10" s="49" t="n">
        <v>44</v>
      </c>
      <c r="V10" s="49" t="n">
        <v>79</v>
      </c>
      <c r="W10" s="6" t="n">
        <f aca="false">N10+O10+S10+U10+V10</f>
        <v>560</v>
      </c>
      <c r="X10" s="49" t="n">
        <f aca="false">IF(L10&lt;0,L10*-1,0)</f>
        <v>5.14620620115954</v>
      </c>
      <c r="Y10" s="49" t="n">
        <f aca="false">W10+X10</f>
        <v>565.14620620116</v>
      </c>
      <c r="Z10" s="51" t="n">
        <v>0</v>
      </c>
      <c r="AA10" s="54" t="n">
        <v>79</v>
      </c>
      <c r="AB10" s="54" t="n">
        <v>50</v>
      </c>
      <c r="AC10" s="55" t="n">
        <v>1</v>
      </c>
      <c r="AD10" s="84"/>
      <c r="AE10" s="85"/>
      <c r="AF10" s="85"/>
    </row>
    <row r="11" customFormat="false" ht="11.1" hidden="false" customHeight="true" outlineLevel="0" collapsed="false">
      <c r="A11" s="55" t="n">
        <f aca="false">A10+1</f>
        <v>2</v>
      </c>
      <c r="B11" s="69" t="n">
        <v>6918.98</v>
      </c>
      <c r="C11" s="50" t="n">
        <v>359181</v>
      </c>
      <c r="D11" s="54" t="n">
        <f aca="false">C11-C10</f>
        <v>-646</v>
      </c>
      <c r="E11" s="50" t="n">
        <f aca="false">C11-152000</f>
        <v>207181</v>
      </c>
      <c r="F11" s="49" t="n">
        <f aca="false">D11/$D$2</f>
        <v>-325.686917065793</v>
      </c>
      <c r="G11" s="49" t="n">
        <v>273</v>
      </c>
      <c r="H11" s="80" t="n">
        <v>0</v>
      </c>
      <c r="I11" s="49" t="n">
        <f aca="false">G11+H11</f>
        <v>273</v>
      </c>
      <c r="J11" s="76" t="n">
        <f aca="false">IF(L11&gt;0,L11,0)</f>
        <v>0</v>
      </c>
      <c r="K11" s="49" t="n">
        <f aca="false">I11+J11</f>
        <v>273</v>
      </c>
      <c r="L11" s="49" t="n">
        <f aca="false">F11-(I11-W11)</f>
        <v>-41.6869170657928</v>
      </c>
      <c r="M11" s="49" t="n">
        <v>216</v>
      </c>
      <c r="N11" s="49" t="n">
        <v>0</v>
      </c>
      <c r="O11" s="49" t="n">
        <v>0</v>
      </c>
      <c r="P11" s="6" t="n">
        <f aca="false">M11-(N11+O11)</f>
        <v>216</v>
      </c>
      <c r="Q11" s="49" t="n">
        <v>135</v>
      </c>
      <c r="R11" s="49" t="n">
        <v>86</v>
      </c>
      <c r="S11" s="49" t="n">
        <f aca="false">SUM(P11:R11)</f>
        <v>437</v>
      </c>
      <c r="T11" s="50" t="n">
        <f aca="false">(I11-S11)+T10</f>
        <v>8700</v>
      </c>
      <c r="U11" s="49" t="n">
        <v>42</v>
      </c>
      <c r="V11" s="49" t="n">
        <v>78</v>
      </c>
      <c r="W11" s="6" t="n">
        <f aca="false">N11+O11+S11+U11+V11</f>
        <v>557</v>
      </c>
      <c r="X11" s="49" t="n">
        <f aca="false">IF(L11&lt;0,L11*-1,0)</f>
        <v>41.6869170657928</v>
      </c>
      <c r="Y11" s="49" t="n">
        <f aca="false">W11+X11</f>
        <v>598.686917065793</v>
      </c>
      <c r="Z11" s="51" t="n">
        <v>0</v>
      </c>
      <c r="AA11" s="54" t="n">
        <v>81</v>
      </c>
      <c r="AB11" s="54" t="n">
        <v>50</v>
      </c>
      <c r="AC11" s="55" t="n">
        <f aca="false">AC10+1</f>
        <v>2</v>
      </c>
      <c r="AD11" s="84"/>
      <c r="AE11" s="85"/>
      <c r="AF11" s="85"/>
    </row>
    <row r="12" customFormat="false" ht="11.1" hidden="false" customHeight="true" outlineLevel="0" collapsed="false">
      <c r="A12" s="55" t="n">
        <f aca="false">A11+1</f>
        <v>3</v>
      </c>
      <c r="B12" s="69" t="n">
        <v>6918.85</v>
      </c>
      <c r="C12" s="50" t="n">
        <v>358626</v>
      </c>
      <c r="D12" s="54" t="n">
        <f aca="false">C12-C11</f>
        <v>-555</v>
      </c>
      <c r="E12" s="50" t="n">
        <f aca="false">C12-152000</f>
        <v>206626</v>
      </c>
      <c r="F12" s="49" t="n">
        <f aca="false">D12/$D$2</f>
        <v>-279.80841946055</v>
      </c>
      <c r="G12" s="49" t="n">
        <v>267</v>
      </c>
      <c r="H12" s="80" t="n">
        <v>0</v>
      </c>
      <c r="I12" s="49" t="n">
        <f aca="false">G12+H12</f>
        <v>267</v>
      </c>
      <c r="J12" s="76" t="n">
        <f aca="false">IF(L12&gt;0,L12,0)</f>
        <v>9.19158053945046</v>
      </c>
      <c r="K12" s="49" t="n">
        <f aca="false">I12+J12</f>
        <v>276.19158053945</v>
      </c>
      <c r="L12" s="49" t="n">
        <f aca="false">F12-(I12-W12)</f>
        <v>9.19158053945046</v>
      </c>
      <c r="M12" s="49" t="n">
        <v>216</v>
      </c>
      <c r="N12" s="49" t="n">
        <v>0</v>
      </c>
      <c r="O12" s="49" t="n">
        <v>0</v>
      </c>
      <c r="P12" s="6" t="n">
        <f aca="false">M12-(N12+O12)</f>
        <v>216</v>
      </c>
      <c r="Q12" s="49" t="n">
        <v>135</v>
      </c>
      <c r="R12" s="49" t="n">
        <v>87</v>
      </c>
      <c r="S12" s="49" t="n">
        <f aca="false">SUM(P12:R12)</f>
        <v>438</v>
      </c>
      <c r="T12" s="50" t="n">
        <f aca="false">(I12-S12)+T11</f>
        <v>8529</v>
      </c>
      <c r="U12" s="49" t="n">
        <v>40</v>
      </c>
      <c r="V12" s="49" t="n">
        <v>78</v>
      </c>
      <c r="W12" s="6" t="n">
        <f aca="false">N12+O12+S12+U12+V12</f>
        <v>556</v>
      </c>
      <c r="X12" s="49" t="n">
        <f aca="false">IF(L12&lt;0,L12*-1,0)</f>
        <v>0</v>
      </c>
      <c r="Y12" s="49" t="n">
        <f aca="false">W12+X12</f>
        <v>556</v>
      </c>
      <c r="Z12" s="51" t="n">
        <v>0</v>
      </c>
      <c r="AA12" s="54" t="n">
        <v>81</v>
      </c>
      <c r="AB12" s="54" t="n">
        <v>44</v>
      </c>
      <c r="AC12" s="55" t="n">
        <f aca="false">AC11+1</f>
        <v>3</v>
      </c>
      <c r="AD12" s="84"/>
      <c r="AE12" s="85"/>
      <c r="AF12" s="85"/>
    </row>
    <row r="13" customFormat="false" ht="11.1" hidden="false" customHeight="true" outlineLevel="0" collapsed="false">
      <c r="A13" s="55" t="n">
        <f aca="false">A12+1</f>
        <v>4</v>
      </c>
      <c r="B13" s="69" t="n">
        <v>6918.68</v>
      </c>
      <c r="C13" s="50" t="n">
        <v>357899</v>
      </c>
      <c r="D13" s="54" t="n">
        <f aca="false">C13-C12</f>
        <v>-727</v>
      </c>
      <c r="E13" s="50" t="n">
        <f aca="false">C13-152000</f>
        <v>205899</v>
      </c>
      <c r="F13" s="49" t="n">
        <f aca="false">D13/$D$2</f>
        <v>-366.523821527603</v>
      </c>
      <c r="G13" s="49" t="n">
        <v>229</v>
      </c>
      <c r="H13" s="80" t="n">
        <v>0</v>
      </c>
      <c r="I13" s="49" t="n">
        <f aca="false">G13+H13</f>
        <v>229</v>
      </c>
      <c r="J13" s="76" t="n">
        <f aca="false">IF(L13&gt;0,L13,0)</f>
        <v>0</v>
      </c>
      <c r="K13" s="49" t="n">
        <f aca="false">I13+J13</f>
        <v>229</v>
      </c>
      <c r="L13" s="49" t="n">
        <f aca="false">F13-(I13-W13)</f>
        <v>-47.5238215276027</v>
      </c>
      <c r="M13" s="49" t="n">
        <v>208</v>
      </c>
      <c r="N13" s="49" t="n">
        <v>0</v>
      </c>
      <c r="O13" s="49" t="n">
        <v>0</v>
      </c>
      <c r="P13" s="6" t="n">
        <f aca="false">M13-(N13+O13)</f>
        <v>208</v>
      </c>
      <c r="Q13" s="49" t="n">
        <v>135</v>
      </c>
      <c r="R13" s="49" t="n">
        <v>86</v>
      </c>
      <c r="S13" s="49" t="n">
        <f aca="false">SUM(P13:R13)</f>
        <v>429</v>
      </c>
      <c r="T13" s="50" t="n">
        <f aca="false">(I13-S13)+T12</f>
        <v>8329</v>
      </c>
      <c r="U13" s="49" t="n">
        <v>41</v>
      </c>
      <c r="V13" s="49" t="n">
        <v>78</v>
      </c>
      <c r="W13" s="6" t="n">
        <f aca="false">N13+O13+S13+U13+V13</f>
        <v>548</v>
      </c>
      <c r="X13" s="49" t="n">
        <f aca="false">IF(L13&lt;0,L13*-1,0)</f>
        <v>47.5238215276027</v>
      </c>
      <c r="Y13" s="49" t="n">
        <f aca="false">W13+X13</f>
        <v>595.523821527603</v>
      </c>
      <c r="Z13" s="51" t="n">
        <v>0</v>
      </c>
      <c r="AA13" s="54" t="n">
        <v>82</v>
      </c>
      <c r="AB13" s="54" t="n">
        <v>44</v>
      </c>
      <c r="AC13" s="55" t="n">
        <f aca="false">AC12+1</f>
        <v>4</v>
      </c>
      <c r="AD13" s="84"/>
      <c r="AE13" s="85"/>
      <c r="AF13" s="85"/>
    </row>
    <row r="14" customFormat="false" ht="11.1" hidden="false" customHeight="true" outlineLevel="0" collapsed="false">
      <c r="A14" s="55" t="n">
        <f aca="false">A13+1</f>
        <v>5</v>
      </c>
      <c r="B14" s="69" t="n">
        <v>6918.55</v>
      </c>
      <c r="C14" s="50" t="n">
        <v>357344</v>
      </c>
      <c r="D14" s="54" t="n">
        <f aca="false">C14-C13</f>
        <v>-555</v>
      </c>
      <c r="E14" s="50" t="n">
        <f aca="false">C14-152000</f>
        <v>205344</v>
      </c>
      <c r="F14" s="49" t="n">
        <f aca="false">D14/$D$2</f>
        <v>-279.80841946055</v>
      </c>
      <c r="G14" s="49" t="n">
        <v>201</v>
      </c>
      <c r="H14" s="80" t="n">
        <v>0</v>
      </c>
      <c r="I14" s="49" t="n">
        <f aca="false">G14+H14</f>
        <v>201</v>
      </c>
      <c r="J14" s="76" t="n">
        <f aca="false">IF(L14&gt;0,L14,0)</f>
        <v>59.1915805394505</v>
      </c>
      <c r="K14" s="49" t="n">
        <f aca="false">I14+J14</f>
        <v>260.19158053945</v>
      </c>
      <c r="L14" s="49" t="n">
        <f aca="false">F14-(I14-W14)</f>
        <v>59.1915805394505</v>
      </c>
      <c r="M14" s="49" t="n">
        <v>204</v>
      </c>
      <c r="N14" s="49" t="n">
        <v>0</v>
      </c>
      <c r="O14" s="49" t="n">
        <v>0</v>
      </c>
      <c r="P14" s="6" t="n">
        <f aca="false">M14-(N14+O14)</f>
        <v>204</v>
      </c>
      <c r="Q14" s="49" t="n">
        <v>135</v>
      </c>
      <c r="R14" s="49" t="n">
        <v>86</v>
      </c>
      <c r="S14" s="49" t="n">
        <f aca="false">SUM(P14:R14)</f>
        <v>425</v>
      </c>
      <c r="T14" s="50" t="n">
        <f aca="false">(I14-S14)+T13</f>
        <v>8105</v>
      </c>
      <c r="U14" s="49" t="n">
        <v>37</v>
      </c>
      <c r="V14" s="49" t="n">
        <v>78</v>
      </c>
      <c r="W14" s="6" t="n">
        <f aca="false">N14+O14+S14+U14+V14</f>
        <v>540</v>
      </c>
      <c r="X14" s="49" t="n">
        <f aca="false">IF(L14&lt;0,L14*-1,0)</f>
        <v>0</v>
      </c>
      <c r="Y14" s="49" t="n">
        <f aca="false">W14+X14</f>
        <v>540</v>
      </c>
      <c r="Z14" s="51" t="n">
        <v>0</v>
      </c>
      <c r="AA14" s="54" t="n">
        <v>84</v>
      </c>
      <c r="AB14" s="54" t="n">
        <v>45</v>
      </c>
      <c r="AC14" s="55" t="n">
        <f aca="false">AC13+1</f>
        <v>5</v>
      </c>
      <c r="AD14" s="84"/>
      <c r="AE14" s="85"/>
      <c r="AF14" s="85"/>
    </row>
    <row r="15" customFormat="false" ht="11.1" hidden="false" customHeight="true" outlineLevel="0" collapsed="false">
      <c r="A15" s="55" t="n">
        <f aca="false">A14+1</f>
        <v>6</v>
      </c>
      <c r="B15" s="69" t="n">
        <v>6918.45</v>
      </c>
      <c r="C15" s="50" t="n">
        <v>356917</v>
      </c>
      <c r="D15" s="54" t="n">
        <f aca="false">C15-C14</f>
        <v>-427</v>
      </c>
      <c r="E15" s="50" t="n">
        <f aca="false">C15-152000</f>
        <v>204917</v>
      </c>
      <c r="F15" s="49" t="n">
        <f aca="false">D15/$D$2</f>
        <v>-215.276027224603</v>
      </c>
      <c r="G15" s="49" t="n">
        <v>208</v>
      </c>
      <c r="H15" s="80" t="n">
        <v>0</v>
      </c>
      <c r="I15" s="49" t="n">
        <f aca="false">G15+H15</f>
        <v>208</v>
      </c>
      <c r="J15" s="76" t="n">
        <f aca="false">IF(L15&gt;0,L15,0)</f>
        <v>114.723972775397</v>
      </c>
      <c r="K15" s="49" t="n">
        <f aca="false">I15+J15</f>
        <v>322.723972775397</v>
      </c>
      <c r="L15" s="49" t="n">
        <f aca="false">F15-(I15-W15)</f>
        <v>114.723972775397</v>
      </c>
      <c r="M15" s="49" t="n">
        <v>203</v>
      </c>
      <c r="N15" s="49" t="n">
        <v>0</v>
      </c>
      <c r="O15" s="49" t="n">
        <v>0</v>
      </c>
      <c r="P15" s="6" t="n">
        <f aca="false">M15-(N15+O15)</f>
        <v>203</v>
      </c>
      <c r="Q15" s="49" t="n">
        <v>135</v>
      </c>
      <c r="R15" s="49" t="n">
        <v>85</v>
      </c>
      <c r="S15" s="49" t="n">
        <f aca="false">SUM(P15:R15)</f>
        <v>423</v>
      </c>
      <c r="T15" s="50" t="n">
        <f aca="false">(I15-S15)+T14</f>
        <v>7890</v>
      </c>
      <c r="U15" s="49" t="n">
        <v>38</v>
      </c>
      <c r="V15" s="49" t="n">
        <v>77</v>
      </c>
      <c r="W15" s="6" t="n">
        <f aca="false">N15+O15+S15+U15+V15</f>
        <v>538</v>
      </c>
      <c r="X15" s="49" t="n">
        <f aca="false">IF(L15&lt;0,L15*-1,0)</f>
        <v>0</v>
      </c>
      <c r="Y15" s="49" t="n">
        <f aca="false">W15+X15</f>
        <v>538</v>
      </c>
      <c r="Z15" s="51" t="n">
        <v>0</v>
      </c>
      <c r="AA15" s="54" t="n">
        <v>82</v>
      </c>
      <c r="AB15" s="54" t="n">
        <v>50</v>
      </c>
      <c r="AC15" s="55" t="n">
        <f aca="false">AC14+1</f>
        <v>6</v>
      </c>
      <c r="AD15" s="83"/>
      <c r="AE15" s="85"/>
      <c r="AF15" s="85"/>
    </row>
    <row r="16" customFormat="false" ht="11.1" hidden="false" customHeight="true" outlineLevel="0" collapsed="false">
      <c r="A16" s="55" t="n">
        <f aca="false">A15+1</f>
        <v>7</v>
      </c>
      <c r="B16" s="69" t="n">
        <v>6918.3</v>
      </c>
      <c r="C16" s="50" t="n">
        <v>356272</v>
      </c>
      <c r="D16" s="54" t="n">
        <f aca="false">C16-C15</f>
        <v>-645</v>
      </c>
      <c r="E16" s="50" t="n">
        <f aca="false">C16-152000</f>
        <v>204272</v>
      </c>
      <c r="F16" s="49" t="n">
        <f aca="false">D16/$D$2</f>
        <v>-325.182757751449</v>
      </c>
      <c r="G16" s="49" t="n">
        <v>298</v>
      </c>
      <c r="H16" s="80" t="n">
        <v>0</v>
      </c>
      <c r="I16" s="49" t="n">
        <f aca="false">G16+H16</f>
        <v>298</v>
      </c>
      <c r="J16" s="76" t="n">
        <f aca="false">IF(L16&gt;0,L16,0)</f>
        <v>0</v>
      </c>
      <c r="K16" s="49" t="n">
        <f aca="false">I16+J16</f>
        <v>298</v>
      </c>
      <c r="L16" s="49" t="n">
        <f aca="false">F16-(I16-W16)</f>
        <v>-101.182757751449</v>
      </c>
      <c r="M16" s="49" t="n">
        <v>186</v>
      </c>
      <c r="N16" s="49" t="n">
        <v>0</v>
      </c>
      <c r="O16" s="49" t="n">
        <v>0</v>
      </c>
      <c r="P16" s="6" t="n">
        <f aca="false">M16-(N16+O16)</f>
        <v>186</v>
      </c>
      <c r="Q16" s="49" t="n">
        <v>135</v>
      </c>
      <c r="R16" s="49" t="n">
        <v>86</v>
      </c>
      <c r="S16" s="49" t="n">
        <f aca="false">SUM(P16:R16)</f>
        <v>407</v>
      </c>
      <c r="T16" s="50" t="n">
        <f aca="false">(I16-S16)+T15</f>
        <v>7781</v>
      </c>
      <c r="U16" s="49" t="n">
        <v>38</v>
      </c>
      <c r="V16" s="49" t="n">
        <v>77</v>
      </c>
      <c r="W16" s="6" t="n">
        <f aca="false">N16+O16+S16+U16+V16</f>
        <v>522</v>
      </c>
      <c r="X16" s="49" t="n">
        <f aca="false">IF(L16&lt;0,L16*-1,0)</f>
        <v>101.182757751449</v>
      </c>
      <c r="Y16" s="49" t="n">
        <f aca="false">W16+X16</f>
        <v>623.18275775145</v>
      </c>
      <c r="Z16" s="51" t="n">
        <v>0.65</v>
      </c>
      <c r="AA16" s="54" t="n">
        <v>81</v>
      </c>
      <c r="AB16" s="54" t="n">
        <v>49</v>
      </c>
      <c r="AC16" s="55" t="n">
        <f aca="false">AC15+1</f>
        <v>7</v>
      </c>
      <c r="AD16" s="83"/>
      <c r="AE16" s="85"/>
      <c r="AF16" s="85"/>
    </row>
    <row r="17" customFormat="false" ht="11.1" hidden="false" customHeight="true" outlineLevel="0" collapsed="false">
      <c r="A17" s="55" t="n">
        <f aca="false">A16+1</f>
        <v>8</v>
      </c>
      <c r="B17" s="69" t="n">
        <v>6918.13</v>
      </c>
      <c r="C17" s="50" t="n">
        <v>355549</v>
      </c>
      <c r="D17" s="54" t="n">
        <f aca="false">C17-C16</f>
        <v>-723</v>
      </c>
      <c r="E17" s="50" t="n">
        <f aca="false">C17-152000</f>
        <v>203549</v>
      </c>
      <c r="F17" s="49" t="n">
        <f aca="false">D17/$D$2</f>
        <v>-364.507184270229</v>
      </c>
      <c r="G17" s="49" t="n">
        <v>302</v>
      </c>
      <c r="H17" s="80" t="n">
        <v>0</v>
      </c>
      <c r="I17" s="49" t="n">
        <f aca="false">G17+H17</f>
        <v>302</v>
      </c>
      <c r="J17" s="76" t="n">
        <f aca="false">IF(L17&gt;0,L17,0)</f>
        <v>0</v>
      </c>
      <c r="K17" s="49" t="n">
        <f aca="false">I17+J17</f>
        <v>302</v>
      </c>
      <c r="L17" s="49" t="n">
        <f aca="false">F17-(I17-W17)</f>
        <v>-167.507184270229</v>
      </c>
      <c r="M17" s="49" t="n">
        <v>175</v>
      </c>
      <c r="N17" s="49" t="n">
        <v>0</v>
      </c>
      <c r="O17" s="49" t="n">
        <v>0</v>
      </c>
      <c r="P17" s="6" t="n">
        <f aca="false">M17-(N17+O17)</f>
        <v>175</v>
      </c>
      <c r="Q17" s="49" t="n">
        <v>135</v>
      </c>
      <c r="R17" s="49" t="n">
        <v>83</v>
      </c>
      <c r="S17" s="49" t="n">
        <f aca="false">SUM(P17:R17)</f>
        <v>393</v>
      </c>
      <c r="T17" s="50" t="n">
        <f aca="false">(I17-S17)+T16</f>
        <v>7690</v>
      </c>
      <c r="U17" s="49" t="n">
        <v>29</v>
      </c>
      <c r="V17" s="49" t="n">
        <v>77</v>
      </c>
      <c r="W17" s="6" t="n">
        <f aca="false">N17+O17+S17+U17+V17</f>
        <v>499</v>
      </c>
      <c r="X17" s="49" t="n">
        <f aca="false">IF(L17&lt;0,L17*-1,0)</f>
        <v>167.507184270229</v>
      </c>
      <c r="Y17" s="49" t="n">
        <f aca="false">W17+X17</f>
        <v>666.507184270229</v>
      </c>
      <c r="Z17" s="51" t="n">
        <v>0.1</v>
      </c>
      <c r="AA17" s="54" t="n">
        <v>84</v>
      </c>
      <c r="AB17" s="54" t="n">
        <v>51</v>
      </c>
      <c r="AC17" s="55" t="n">
        <f aca="false">AC16+1</f>
        <v>8</v>
      </c>
      <c r="AD17" s="83"/>
      <c r="AE17" s="85"/>
      <c r="AF17" s="85"/>
    </row>
    <row r="18" customFormat="false" ht="11.1" hidden="false" customHeight="true" outlineLevel="0" collapsed="false">
      <c r="A18" s="55" t="n">
        <f aca="false">A17+1</f>
        <v>9</v>
      </c>
      <c r="B18" s="69" t="n">
        <v>6917.99</v>
      </c>
      <c r="C18" s="50" t="n">
        <v>354951</v>
      </c>
      <c r="D18" s="54" t="n">
        <f aca="false">C18-C17</f>
        <v>-598</v>
      </c>
      <c r="E18" s="50" t="n">
        <f aca="false">C18-152000</f>
        <v>202951</v>
      </c>
      <c r="F18" s="49" t="n">
        <f aca="false">D18/$D$2</f>
        <v>-301.487269977313</v>
      </c>
      <c r="G18" s="49" t="n">
        <v>230</v>
      </c>
      <c r="H18" s="80" t="n">
        <v>0</v>
      </c>
      <c r="I18" s="49" t="n">
        <f aca="false">G18+H18</f>
        <v>230</v>
      </c>
      <c r="J18" s="76" t="n">
        <f aca="false">IF(L18&gt;0,L18,0)</f>
        <v>0</v>
      </c>
      <c r="K18" s="49" t="n">
        <f aca="false">I18+J18</f>
        <v>230</v>
      </c>
      <c r="L18" s="49" t="n">
        <f aca="false">F18-(I18-W18)</f>
        <v>-40.4872699773128</v>
      </c>
      <c r="M18" s="49" t="n">
        <v>169</v>
      </c>
      <c r="N18" s="49" t="n">
        <v>0</v>
      </c>
      <c r="O18" s="49" t="n">
        <v>0</v>
      </c>
      <c r="P18" s="6" t="n">
        <f aca="false">M18-(N18+O18)</f>
        <v>169</v>
      </c>
      <c r="Q18" s="49" t="n">
        <v>135</v>
      </c>
      <c r="R18" s="49" t="n">
        <v>82</v>
      </c>
      <c r="S18" s="49" t="n">
        <f aca="false">SUM(P18:R18)</f>
        <v>386</v>
      </c>
      <c r="T18" s="50" t="n">
        <f aca="false">(I18-S18)+T17</f>
        <v>7534</v>
      </c>
      <c r="U18" s="49" t="n">
        <v>28</v>
      </c>
      <c r="V18" s="49" t="n">
        <v>77</v>
      </c>
      <c r="W18" s="6" t="n">
        <f aca="false">N18+O18+S18+U18+V18</f>
        <v>491</v>
      </c>
      <c r="X18" s="49" t="n">
        <f aca="false">IF(L18&lt;0,L18*-1,0)</f>
        <v>40.4872699773128</v>
      </c>
      <c r="Y18" s="49" t="n">
        <f aca="false">W18+X18</f>
        <v>531.487269977313</v>
      </c>
      <c r="Z18" s="51" t="n">
        <v>0</v>
      </c>
      <c r="AA18" s="77" t="n">
        <v>84</v>
      </c>
      <c r="AB18" s="54" t="n">
        <v>49</v>
      </c>
      <c r="AC18" s="55" t="n">
        <f aca="false">AC17+1</f>
        <v>9</v>
      </c>
      <c r="AD18" s="83"/>
      <c r="AE18" s="85"/>
      <c r="AF18" s="85"/>
    </row>
    <row r="19" customFormat="false" ht="11.1" hidden="false" customHeight="true" outlineLevel="0" collapsed="false">
      <c r="A19" s="55" t="n">
        <f aca="false">A18+1</f>
        <v>10</v>
      </c>
      <c r="B19" s="69" t="n">
        <v>6917.84</v>
      </c>
      <c r="C19" s="50" t="n">
        <v>354315</v>
      </c>
      <c r="D19" s="54" t="n">
        <f aca="false">C19-C18</f>
        <v>-636</v>
      </c>
      <c r="E19" s="50" t="n">
        <f aca="false">C19-152000</f>
        <v>202315</v>
      </c>
      <c r="F19" s="49" t="n">
        <f aca="false">D19/$D$2</f>
        <v>-320.645323922359</v>
      </c>
      <c r="G19" s="49" t="n">
        <v>203</v>
      </c>
      <c r="H19" s="80" t="n">
        <v>0</v>
      </c>
      <c r="I19" s="49" t="n">
        <f aca="false">G19+H19</f>
        <v>203</v>
      </c>
      <c r="J19" s="76" t="n">
        <f aca="false">IF(L19&gt;0,L19,0)</f>
        <v>0</v>
      </c>
      <c r="K19" s="49" t="n">
        <f aca="false">I19+J19</f>
        <v>203</v>
      </c>
      <c r="L19" s="49" t="n">
        <f aca="false">F19-(I19-W19)</f>
        <v>-32.6453239223595</v>
      </c>
      <c r="M19" s="49" t="n">
        <v>169</v>
      </c>
      <c r="N19" s="49" t="n">
        <v>0</v>
      </c>
      <c r="O19" s="49" t="n">
        <v>0</v>
      </c>
      <c r="P19" s="6" t="n">
        <f aca="false">M19-(N19+O19)</f>
        <v>169</v>
      </c>
      <c r="Q19" s="49" t="n">
        <v>135</v>
      </c>
      <c r="R19" s="49" t="n">
        <v>82</v>
      </c>
      <c r="S19" s="49" t="n">
        <f aca="false">SUM(P19:R19)</f>
        <v>386</v>
      </c>
      <c r="T19" s="50" t="n">
        <f aca="false">(I19-S19)+T18</f>
        <v>7351</v>
      </c>
      <c r="U19" s="49" t="n">
        <v>28</v>
      </c>
      <c r="V19" s="49" t="n">
        <v>77</v>
      </c>
      <c r="W19" s="6" t="n">
        <f aca="false">N19+O19+S19+U19+V19</f>
        <v>491</v>
      </c>
      <c r="X19" s="49" t="n">
        <f aca="false">IF(L19&lt;0,L19*-1,0)</f>
        <v>32.6453239223595</v>
      </c>
      <c r="Y19" s="49" t="n">
        <f aca="false">W19+X19</f>
        <v>523.64532392236</v>
      </c>
      <c r="Z19" s="51" t="n">
        <v>0.01</v>
      </c>
      <c r="AA19" s="54" t="n">
        <v>83</v>
      </c>
      <c r="AB19" s="54" t="n">
        <v>48</v>
      </c>
      <c r="AC19" s="55" t="n">
        <f aca="false">AC18+1</f>
        <v>10</v>
      </c>
      <c r="AD19" s="83"/>
      <c r="AE19" s="85"/>
      <c r="AF19" s="85"/>
    </row>
    <row r="20" customFormat="false" ht="11.1" hidden="false" customHeight="true" outlineLevel="0" collapsed="false">
      <c r="A20" s="55" t="n">
        <v>11</v>
      </c>
      <c r="B20" s="69" t="n">
        <v>6917.67</v>
      </c>
      <c r="C20" s="50" t="n">
        <v>353595</v>
      </c>
      <c r="D20" s="54" t="n">
        <f aca="false">C20-C19</f>
        <v>-720</v>
      </c>
      <c r="E20" s="50" t="n">
        <f aca="false">C20-152000</f>
        <v>201595</v>
      </c>
      <c r="F20" s="49" t="n">
        <f aca="false">D20/$D$2</f>
        <v>-362.994706327199</v>
      </c>
      <c r="G20" s="49" t="n">
        <v>188</v>
      </c>
      <c r="H20" s="80" t="n">
        <v>0</v>
      </c>
      <c r="I20" s="49" t="n">
        <f aca="false">G20+H20</f>
        <v>188</v>
      </c>
      <c r="J20" s="76" t="n">
        <f aca="false">IF(L20&gt;0,L20,0)</f>
        <v>0</v>
      </c>
      <c r="K20" s="49" t="n">
        <f aca="false">I20+J20</f>
        <v>188</v>
      </c>
      <c r="L20" s="49" t="n">
        <f aca="false">F20-(I20-W20)</f>
        <v>-62.9947063271994</v>
      </c>
      <c r="M20" s="49" t="n">
        <v>169</v>
      </c>
      <c r="N20" s="49" t="n">
        <v>0</v>
      </c>
      <c r="O20" s="49" t="n">
        <v>0</v>
      </c>
      <c r="P20" s="6" t="n">
        <f aca="false">M20-(N20+O20)</f>
        <v>169</v>
      </c>
      <c r="Q20" s="49" t="n">
        <v>135</v>
      </c>
      <c r="R20" s="49" t="n">
        <v>81</v>
      </c>
      <c r="S20" s="49" t="n">
        <f aca="false">SUM(P20:R20)</f>
        <v>385</v>
      </c>
      <c r="T20" s="50" t="n">
        <f aca="false">(I20-S20)+T19</f>
        <v>7154</v>
      </c>
      <c r="U20" s="49" t="n">
        <v>26</v>
      </c>
      <c r="V20" s="49" t="n">
        <v>77</v>
      </c>
      <c r="W20" s="6" t="n">
        <f aca="false">N20+O20+S20+U20+V20</f>
        <v>488</v>
      </c>
      <c r="X20" s="49" t="n">
        <f aca="false">IF(L20&lt;0,L20*-1,0)</f>
        <v>62.9947063271994</v>
      </c>
      <c r="Y20" s="49" t="n">
        <f aca="false">W20+X20</f>
        <v>550.994706327199</v>
      </c>
      <c r="Z20" s="51" t="n">
        <v>0.07</v>
      </c>
      <c r="AA20" s="54" t="n">
        <v>82</v>
      </c>
      <c r="AB20" s="54" t="n">
        <v>48</v>
      </c>
      <c r="AC20" s="55" t="n">
        <v>11</v>
      </c>
      <c r="AD20" s="83"/>
      <c r="AE20" s="85"/>
      <c r="AF20" s="85"/>
    </row>
    <row r="21" customFormat="false" ht="11.1" hidden="false" customHeight="true" outlineLevel="0" collapsed="false">
      <c r="A21" s="55" t="n">
        <v>12</v>
      </c>
      <c r="B21" s="69" t="n">
        <v>6917.52</v>
      </c>
      <c r="C21" s="50" t="n">
        <v>352959</v>
      </c>
      <c r="D21" s="54" t="n">
        <f aca="false">C21-C20</f>
        <v>-636</v>
      </c>
      <c r="E21" s="50" t="n">
        <f aca="false">C21-152000</f>
        <v>200959</v>
      </c>
      <c r="F21" s="49" t="n">
        <f aca="false">D21/$D$2</f>
        <v>-320.645323922359</v>
      </c>
      <c r="G21" s="49" t="n">
        <v>181</v>
      </c>
      <c r="H21" s="80" t="n">
        <v>0</v>
      </c>
      <c r="I21" s="49" t="n">
        <f aca="false">G21+H21</f>
        <v>181</v>
      </c>
      <c r="J21" s="76" t="n">
        <f aca="false">IF(L21&gt;0,L21,0)</f>
        <v>0</v>
      </c>
      <c r="K21" s="49" t="n">
        <f aca="false">I21+J21</f>
        <v>181</v>
      </c>
      <c r="L21" s="49" t="n">
        <f aca="false">F21-(I21-W21)</f>
        <v>-13.6453239223595</v>
      </c>
      <c r="M21" s="49" t="n">
        <v>169</v>
      </c>
      <c r="N21" s="49" t="n">
        <v>0</v>
      </c>
      <c r="O21" s="49" t="n">
        <v>0</v>
      </c>
      <c r="P21" s="6" t="n">
        <f aca="false">M21-(N21+O21)</f>
        <v>169</v>
      </c>
      <c r="Q21" s="49" t="n">
        <v>135</v>
      </c>
      <c r="R21" s="49" t="n">
        <v>80</v>
      </c>
      <c r="S21" s="49" t="n">
        <f aca="false">SUM(P21:R21)</f>
        <v>384</v>
      </c>
      <c r="T21" s="50" t="n">
        <f aca="false">(I21-S21)+T20</f>
        <v>6951</v>
      </c>
      <c r="U21" s="49" t="n">
        <v>26</v>
      </c>
      <c r="V21" s="49" t="n">
        <v>78</v>
      </c>
      <c r="W21" s="6" t="n">
        <f aca="false">N21+O21+S21+U21+V21</f>
        <v>488</v>
      </c>
      <c r="X21" s="49" t="n">
        <f aca="false">IF(L21&lt;0,L21*-1,0)</f>
        <v>13.6453239223595</v>
      </c>
      <c r="Y21" s="49" t="n">
        <f aca="false">W21+X21</f>
        <v>501.64532392236</v>
      </c>
      <c r="Z21" s="51" t="n">
        <v>0</v>
      </c>
      <c r="AA21" s="54" t="n">
        <v>83</v>
      </c>
      <c r="AB21" s="54" t="n">
        <v>45</v>
      </c>
      <c r="AC21" s="55" t="n">
        <v>12</v>
      </c>
      <c r="AD21" s="83"/>
      <c r="AE21" s="85"/>
      <c r="AF21" s="85"/>
    </row>
    <row r="22" customFormat="false" ht="11.1" hidden="false" customHeight="true" outlineLevel="0" collapsed="false">
      <c r="A22" s="55" t="n">
        <v>13</v>
      </c>
      <c r="B22" s="69" t="n">
        <v>6917.37</v>
      </c>
      <c r="C22" s="50" t="n">
        <v>352323</v>
      </c>
      <c r="D22" s="54" t="n">
        <f aca="false">C22-C21</f>
        <v>-636</v>
      </c>
      <c r="E22" s="50" t="n">
        <f aca="false">C22-152000</f>
        <v>200323</v>
      </c>
      <c r="F22" s="49" t="n">
        <f aca="false">D22/$D$2</f>
        <v>-320.645323922359</v>
      </c>
      <c r="G22" s="49" t="n">
        <v>184</v>
      </c>
      <c r="H22" s="80" t="n">
        <v>0</v>
      </c>
      <c r="I22" s="49" t="n">
        <f aca="false">G22+H22</f>
        <v>184</v>
      </c>
      <c r="J22" s="76" t="n">
        <f aca="false">IF(L22&gt;0,L22,0)</f>
        <v>0</v>
      </c>
      <c r="K22" s="49" t="n">
        <f aca="false">I22+J22</f>
        <v>184</v>
      </c>
      <c r="L22" s="49" t="n">
        <f aca="false">F22-(I22-W22)</f>
        <v>-17.6453239223595</v>
      </c>
      <c r="M22" s="49" t="n">
        <v>168</v>
      </c>
      <c r="N22" s="49" t="n">
        <v>0</v>
      </c>
      <c r="O22" s="49" t="n">
        <v>0</v>
      </c>
      <c r="P22" s="6" t="n">
        <f aca="false">M22-(N22+O22)</f>
        <v>168</v>
      </c>
      <c r="Q22" s="49" t="n">
        <v>134</v>
      </c>
      <c r="R22" s="49" t="n">
        <v>79</v>
      </c>
      <c r="S22" s="49" t="n">
        <f aca="false">SUM(P22:R22)</f>
        <v>381</v>
      </c>
      <c r="T22" s="50" t="n">
        <f aca="false">(I22-S22)+T21</f>
        <v>6754</v>
      </c>
      <c r="U22" s="49" t="n">
        <v>28</v>
      </c>
      <c r="V22" s="49" t="n">
        <v>78</v>
      </c>
      <c r="W22" s="6" t="n">
        <f aca="false">N22+O22+S22+U22+V22</f>
        <v>487</v>
      </c>
      <c r="X22" s="49" t="n">
        <f aca="false">IF(L22&lt;0,L22*-1,0)</f>
        <v>17.6453239223595</v>
      </c>
      <c r="Y22" s="49" t="n">
        <f aca="false">W22+X22</f>
        <v>504.645323922359</v>
      </c>
      <c r="Z22" s="51" t="n">
        <v>0</v>
      </c>
      <c r="AA22" s="54" t="n">
        <v>82</v>
      </c>
      <c r="AB22" s="54" t="n">
        <v>46</v>
      </c>
      <c r="AC22" s="55" t="n">
        <v>13</v>
      </c>
      <c r="AD22" s="83"/>
      <c r="AE22" s="85"/>
      <c r="AF22" s="85"/>
    </row>
    <row r="23" customFormat="false" ht="11.1" hidden="false" customHeight="true" outlineLevel="0" collapsed="false">
      <c r="A23" s="55" t="n">
        <v>14</v>
      </c>
      <c r="B23" s="69" t="n">
        <v>6917.22</v>
      </c>
      <c r="C23" s="50" t="n">
        <v>351687</v>
      </c>
      <c r="D23" s="54" t="n">
        <f aca="false">C23-C22</f>
        <v>-636</v>
      </c>
      <c r="E23" s="50" t="n">
        <f aca="false">C23-152000</f>
        <v>199687</v>
      </c>
      <c r="F23" s="49" t="n">
        <f aca="false">D23/$D$2</f>
        <v>-320.645323922359</v>
      </c>
      <c r="G23" s="49" t="n">
        <v>170</v>
      </c>
      <c r="H23" s="80" t="n">
        <v>0</v>
      </c>
      <c r="I23" s="49" t="n">
        <f aca="false">G23+H23</f>
        <v>170</v>
      </c>
      <c r="J23" s="76" t="n">
        <f aca="false">IF(L23&gt;0,L23,0)</f>
        <v>0</v>
      </c>
      <c r="K23" s="49" t="n">
        <f aca="false">I23+J23</f>
        <v>170</v>
      </c>
      <c r="L23" s="49" t="n">
        <f aca="false">F23-(I23-W23)</f>
        <v>-2.64532392235947</v>
      </c>
      <c r="M23" s="49" t="n">
        <v>168</v>
      </c>
      <c r="N23" s="49" t="n">
        <v>0</v>
      </c>
      <c r="O23" s="49" t="n">
        <v>0</v>
      </c>
      <c r="P23" s="6" t="n">
        <f aca="false">M23-(N23+O23)</f>
        <v>168</v>
      </c>
      <c r="Q23" s="49" t="n">
        <v>134</v>
      </c>
      <c r="R23" s="49" t="n">
        <v>79</v>
      </c>
      <c r="S23" s="49" t="n">
        <f aca="false">SUM(P23:R23)</f>
        <v>381</v>
      </c>
      <c r="T23" s="50" t="n">
        <f aca="false">(I23-S23)+T22</f>
        <v>6543</v>
      </c>
      <c r="U23" s="49" t="n">
        <v>30</v>
      </c>
      <c r="V23" s="49" t="n">
        <v>77</v>
      </c>
      <c r="W23" s="6" t="n">
        <f aca="false">N23+O23+S23+U23+V23</f>
        <v>488</v>
      </c>
      <c r="X23" s="49" t="n">
        <f aca="false">IF(L23&lt;0,L23*-1,0)</f>
        <v>2.64532392235947</v>
      </c>
      <c r="Y23" s="49" t="n">
        <f aca="false">W23+X23</f>
        <v>490.645323922359</v>
      </c>
      <c r="Z23" s="51" t="n">
        <v>0</v>
      </c>
      <c r="AA23" s="54" t="n">
        <v>87</v>
      </c>
      <c r="AB23" s="54" t="n">
        <v>43</v>
      </c>
      <c r="AC23" s="55" t="n">
        <v>14</v>
      </c>
      <c r="AD23" s="83"/>
      <c r="AE23" s="85"/>
      <c r="AF23" s="85"/>
    </row>
    <row r="24" customFormat="false" ht="11.1" hidden="false" customHeight="true" outlineLevel="0" collapsed="false">
      <c r="A24" s="55" t="n">
        <v>15</v>
      </c>
      <c r="B24" s="69" t="n">
        <v>6917.05</v>
      </c>
      <c r="C24" s="50" t="n">
        <v>350966</v>
      </c>
      <c r="D24" s="54" t="n">
        <f aca="false">C24-C23</f>
        <v>-721</v>
      </c>
      <c r="E24" s="50" t="n">
        <f aca="false">C24-152000</f>
        <v>198966</v>
      </c>
      <c r="F24" s="49" t="n">
        <f aca="false">D24/$D$2</f>
        <v>-363.498865641543</v>
      </c>
      <c r="G24" s="49" t="n">
        <v>164</v>
      </c>
      <c r="H24" s="80" t="n">
        <v>0</v>
      </c>
      <c r="I24" s="49" t="n">
        <f aca="false">G24+H24</f>
        <v>164</v>
      </c>
      <c r="J24" s="76" t="n">
        <f aca="false">IF(L24&gt;0,L24,0)</f>
        <v>0</v>
      </c>
      <c r="K24" s="49" t="n">
        <f aca="false">I24+J24</f>
        <v>164</v>
      </c>
      <c r="L24" s="49" t="n">
        <f aca="false">F24-(I24-W24)</f>
        <v>-33.4988656415427</v>
      </c>
      <c r="M24" s="49" t="n">
        <v>168</v>
      </c>
      <c r="N24" s="49" t="n">
        <v>0</v>
      </c>
      <c r="O24" s="49" t="n">
        <v>0</v>
      </c>
      <c r="P24" s="6" t="n">
        <f aca="false">M24-(N24+O24)</f>
        <v>168</v>
      </c>
      <c r="Q24" s="49" t="n">
        <v>134</v>
      </c>
      <c r="R24" s="49" t="n">
        <v>79</v>
      </c>
      <c r="S24" s="49" t="n">
        <f aca="false">SUM(P24:R24)</f>
        <v>381</v>
      </c>
      <c r="T24" s="50" t="n">
        <f aca="false">(I24-S24)+T23</f>
        <v>6326</v>
      </c>
      <c r="U24" s="49" t="n">
        <v>35</v>
      </c>
      <c r="V24" s="49" t="n">
        <v>78</v>
      </c>
      <c r="W24" s="6" t="n">
        <f aca="false">N24+O24+S24+U24+V24</f>
        <v>494</v>
      </c>
      <c r="X24" s="49" t="n">
        <f aca="false">IF(L24&lt;0,L24*-1,0)</f>
        <v>33.4988656415427</v>
      </c>
      <c r="Y24" s="49" t="n">
        <f aca="false">W24+X24</f>
        <v>527.498865641543</v>
      </c>
      <c r="Z24" s="51" t="n">
        <v>0.13</v>
      </c>
      <c r="AA24" s="54" t="n">
        <v>86</v>
      </c>
      <c r="AB24" s="54" t="n">
        <v>50</v>
      </c>
      <c r="AC24" s="55" t="n">
        <v>15</v>
      </c>
      <c r="AD24" s="83"/>
      <c r="AE24" s="85"/>
      <c r="AF24" s="85"/>
    </row>
    <row r="25" customFormat="false" ht="11.1" hidden="false" customHeight="true" outlineLevel="0" collapsed="false">
      <c r="A25" s="55" t="n">
        <v>16</v>
      </c>
      <c r="B25" s="69" t="n">
        <v>6916.88</v>
      </c>
      <c r="C25" s="50" t="n">
        <v>350249</v>
      </c>
      <c r="D25" s="54" t="n">
        <f aca="false">C25-C24</f>
        <v>-717</v>
      </c>
      <c r="E25" s="50" t="n">
        <f aca="false">C25-152000</f>
        <v>198249</v>
      </c>
      <c r="F25" s="49" t="n">
        <f aca="false">D25/$D$2</f>
        <v>-361.482228384169</v>
      </c>
      <c r="G25" s="49" t="n">
        <v>173</v>
      </c>
      <c r="H25" s="80" t="n">
        <v>0</v>
      </c>
      <c r="I25" s="49" t="n">
        <f aca="false">G25+H25</f>
        <v>173</v>
      </c>
      <c r="J25" s="76" t="n">
        <f aca="false">IF(L25&gt;0,L25,0)</f>
        <v>0</v>
      </c>
      <c r="K25" s="49" t="n">
        <f aca="false">I25+J25</f>
        <v>173</v>
      </c>
      <c r="L25" s="49" t="n">
        <f aca="false">F25-(I25-W25)</f>
        <v>-38.4822283841694</v>
      </c>
      <c r="M25" s="49" t="n">
        <v>168</v>
      </c>
      <c r="N25" s="49" t="n">
        <v>0</v>
      </c>
      <c r="O25" s="49" t="n">
        <v>0</v>
      </c>
      <c r="P25" s="6" t="n">
        <f aca="false">M25-(N25+O25)</f>
        <v>168</v>
      </c>
      <c r="Q25" s="49" t="n">
        <v>134</v>
      </c>
      <c r="R25" s="49" t="n">
        <v>79</v>
      </c>
      <c r="S25" s="49" t="n">
        <f aca="false">SUM(P25:R25)</f>
        <v>381</v>
      </c>
      <c r="T25" s="50" t="n">
        <f aca="false">(I25-S25)+T24</f>
        <v>6118</v>
      </c>
      <c r="U25" s="49" t="n">
        <v>36</v>
      </c>
      <c r="V25" s="49" t="n">
        <v>79</v>
      </c>
      <c r="W25" s="6" t="n">
        <f aca="false">N25+O25+S25+U25+V25</f>
        <v>496</v>
      </c>
      <c r="X25" s="49" t="n">
        <f aca="false">IF(L25&lt;0,L25*-1,0)</f>
        <v>38.4822283841694</v>
      </c>
      <c r="Y25" s="49" t="n">
        <f aca="false">W25+X25</f>
        <v>534.482228384169</v>
      </c>
      <c r="Z25" s="51" t="n">
        <v>0.03</v>
      </c>
      <c r="AA25" s="54" t="n">
        <v>84</v>
      </c>
      <c r="AB25" s="54" t="n">
        <v>49</v>
      </c>
      <c r="AC25" s="55" t="n">
        <v>16</v>
      </c>
      <c r="AD25" s="83"/>
      <c r="AE25" s="85"/>
      <c r="AF25" s="85"/>
    </row>
    <row r="26" customFormat="false" ht="11.1" hidden="false" customHeight="true" outlineLevel="0" collapsed="false">
      <c r="A26" s="55" t="n">
        <v>17</v>
      </c>
      <c r="B26" s="69" t="n">
        <v>6916.77</v>
      </c>
      <c r="C26" s="50" t="n">
        <v>349786</v>
      </c>
      <c r="D26" s="54" t="n">
        <f aca="false">C26-C25</f>
        <v>-463</v>
      </c>
      <c r="E26" s="50" t="n">
        <f aca="false">C26-152000</f>
        <v>197786</v>
      </c>
      <c r="F26" s="49" t="n">
        <f aca="false">D26/$D$2</f>
        <v>-233.425762540963</v>
      </c>
      <c r="G26" s="49" t="n">
        <v>223</v>
      </c>
      <c r="H26" s="80" t="n">
        <v>0</v>
      </c>
      <c r="I26" s="49" t="n">
        <f aca="false">G26+H26</f>
        <v>223</v>
      </c>
      <c r="J26" s="76" t="n">
        <f aca="false">IF(L26&gt;0,L26,0)</f>
        <v>39.574237459037</v>
      </c>
      <c r="K26" s="49" t="n">
        <f aca="false">I26+J26</f>
        <v>262.574237459037</v>
      </c>
      <c r="L26" s="49" t="n">
        <f aca="false">F26-(I26-W26)</f>
        <v>39.574237459037</v>
      </c>
      <c r="M26" s="49" t="n">
        <v>168</v>
      </c>
      <c r="N26" s="49" t="n">
        <v>0</v>
      </c>
      <c r="O26" s="49" t="n">
        <v>0</v>
      </c>
      <c r="P26" s="6" t="n">
        <f aca="false">M26-(N26+O26)</f>
        <v>168</v>
      </c>
      <c r="Q26" s="49" t="n">
        <v>133</v>
      </c>
      <c r="R26" s="49" t="n">
        <v>79</v>
      </c>
      <c r="S26" s="49" t="n">
        <f aca="false">SUM(P26:R26)</f>
        <v>380</v>
      </c>
      <c r="T26" s="50" t="n">
        <f aca="false">(I26-S26)+T25</f>
        <v>5961</v>
      </c>
      <c r="U26" s="49" t="n">
        <v>37</v>
      </c>
      <c r="V26" s="49" t="n">
        <v>79</v>
      </c>
      <c r="W26" s="6" t="n">
        <f aca="false">N26+O26+S26+U26+V26</f>
        <v>496</v>
      </c>
      <c r="X26" s="49" t="n">
        <f aca="false">IF(L26&lt;0,L26*-1,0)</f>
        <v>0</v>
      </c>
      <c r="Y26" s="49" t="n">
        <f aca="false">W26+X26</f>
        <v>496</v>
      </c>
      <c r="Z26" s="51" t="n">
        <v>0</v>
      </c>
      <c r="AA26" s="54" t="n">
        <v>83</v>
      </c>
      <c r="AB26" s="54" t="n">
        <v>48</v>
      </c>
      <c r="AC26" s="55" t="n">
        <v>17</v>
      </c>
      <c r="AD26" s="83"/>
      <c r="AE26" s="85"/>
      <c r="AF26" s="85"/>
    </row>
    <row r="27" customFormat="false" ht="11.1" hidden="false" customHeight="true" outlineLevel="0" collapsed="false">
      <c r="A27" s="55" t="n">
        <v>18</v>
      </c>
      <c r="B27" s="69" t="n">
        <v>6916.62</v>
      </c>
      <c r="C27" s="50" t="n">
        <v>349155</v>
      </c>
      <c r="D27" s="54" t="n">
        <f aca="false">C27-C26</f>
        <v>-631</v>
      </c>
      <c r="E27" s="50" t="n">
        <f aca="false">C27-152000</f>
        <v>197155</v>
      </c>
      <c r="F27" s="49" t="n">
        <f aca="false">D27/$D$2</f>
        <v>-318.124527350643</v>
      </c>
      <c r="G27" s="49" t="n">
        <v>203</v>
      </c>
      <c r="H27" s="80" t="n">
        <v>0</v>
      </c>
      <c r="I27" s="49" t="n">
        <f aca="false">G27+H27</f>
        <v>203</v>
      </c>
      <c r="J27" s="76" t="n">
        <f aca="false">IF(L27&gt;0,L27,0)</f>
        <v>0</v>
      </c>
      <c r="K27" s="49" t="n">
        <f aca="false">I27+J27</f>
        <v>203</v>
      </c>
      <c r="L27" s="49" t="n">
        <f aca="false">F27-(I27-W27)</f>
        <v>-26.1245273506428</v>
      </c>
      <c r="M27" s="49" t="n">
        <v>164</v>
      </c>
      <c r="N27" s="49" t="n">
        <v>0</v>
      </c>
      <c r="O27" s="49" t="n">
        <v>0</v>
      </c>
      <c r="P27" s="6" t="n">
        <f aca="false">M27-(N27+O27)</f>
        <v>164</v>
      </c>
      <c r="Q27" s="49" t="n">
        <v>133</v>
      </c>
      <c r="R27" s="49" t="n">
        <v>77</v>
      </c>
      <c r="S27" s="49" t="n">
        <f aca="false">SUM(P27:R27)</f>
        <v>374</v>
      </c>
      <c r="T27" s="50" t="n">
        <f aca="false">(I27-S27)+T26</f>
        <v>5790</v>
      </c>
      <c r="U27" s="49" t="n">
        <v>43</v>
      </c>
      <c r="V27" s="49" t="n">
        <v>78</v>
      </c>
      <c r="W27" s="6" t="n">
        <f aca="false">N27+O27+S27+U27+V27</f>
        <v>495</v>
      </c>
      <c r="X27" s="49" t="n">
        <f aca="false">IF(L27&lt;0,L27*-1,0)</f>
        <v>26.1245273506428</v>
      </c>
      <c r="Y27" s="49" t="n">
        <f aca="false">W27+X27</f>
        <v>521.124527350643</v>
      </c>
      <c r="Z27" s="51" t="n">
        <v>0</v>
      </c>
      <c r="AA27" s="54" t="n">
        <v>85</v>
      </c>
      <c r="AB27" s="54" t="n">
        <v>47</v>
      </c>
      <c r="AC27" s="55" t="n">
        <v>18</v>
      </c>
      <c r="AD27" s="83"/>
      <c r="AE27" s="85"/>
      <c r="AF27" s="85"/>
    </row>
    <row r="28" customFormat="false" ht="11.1" hidden="false" customHeight="true" outlineLevel="0" collapsed="false">
      <c r="A28" s="55" t="n">
        <v>19</v>
      </c>
      <c r="B28" s="69" t="n">
        <v>6916.46</v>
      </c>
      <c r="C28" s="50" t="n">
        <v>348482</v>
      </c>
      <c r="D28" s="54" t="n">
        <f aca="false">C28-C27</f>
        <v>-673</v>
      </c>
      <c r="E28" s="50" t="n">
        <f aca="false">C28-152000</f>
        <v>196482</v>
      </c>
      <c r="F28" s="49" t="n">
        <f aca="false">D28/$D$2</f>
        <v>-339.299218553063</v>
      </c>
      <c r="G28" s="49" t="n">
        <v>182</v>
      </c>
      <c r="H28" s="80" t="n">
        <v>0</v>
      </c>
      <c r="I28" s="49" t="n">
        <f aca="false">G28+H28</f>
        <v>182</v>
      </c>
      <c r="J28" s="76" t="n">
        <f aca="false">IF(L28&gt;0,L28,0)</f>
        <v>0</v>
      </c>
      <c r="K28" s="49" t="n">
        <f aca="false">I28+J28</f>
        <v>182</v>
      </c>
      <c r="L28" s="49" t="n">
        <f aca="false">F28-(I28-W28)</f>
        <v>-44.2992185530628</v>
      </c>
      <c r="M28" s="49" t="n">
        <v>157</v>
      </c>
      <c r="N28" s="49" t="n">
        <v>0</v>
      </c>
      <c r="O28" s="49" t="n">
        <v>0</v>
      </c>
      <c r="P28" s="6" t="n">
        <f aca="false">M28-(N28+O28)</f>
        <v>157</v>
      </c>
      <c r="Q28" s="49" t="n">
        <v>133</v>
      </c>
      <c r="R28" s="89" t="n">
        <v>77</v>
      </c>
      <c r="S28" s="49" t="n">
        <f aca="false">SUM(P28:R28)</f>
        <v>367</v>
      </c>
      <c r="T28" s="50" t="n">
        <f aca="false">(I28-S28)+T27</f>
        <v>5605</v>
      </c>
      <c r="U28" s="49" t="n">
        <v>31</v>
      </c>
      <c r="V28" s="49" t="n">
        <v>79</v>
      </c>
      <c r="W28" s="6" t="n">
        <f aca="false">N28+O28+S28+U28+V28</f>
        <v>477</v>
      </c>
      <c r="X28" s="49" t="n">
        <f aca="false">IF(L28&lt;0,L28*-1,0)</f>
        <v>44.2992185530628</v>
      </c>
      <c r="Y28" s="49" t="n">
        <f aca="false">W28+X28</f>
        <v>521.299218553063</v>
      </c>
      <c r="Z28" s="51" t="n">
        <v>0</v>
      </c>
      <c r="AA28" s="54" t="n">
        <v>84</v>
      </c>
      <c r="AB28" s="54" t="n">
        <v>49</v>
      </c>
      <c r="AC28" s="55" t="n">
        <v>19</v>
      </c>
      <c r="AD28" s="83"/>
      <c r="AE28" s="85"/>
      <c r="AF28" s="85"/>
    </row>
    <row r="29" customFormat="false" ht="11.1" hidden="false" customHeight="true" outlineLevel="0" collapsed="false">
      <c r="A29" s="55" t="n">
        <v>20</v>
      </c>
      <c r="B29" s="69" t="n">
        <v>6916.3</v>
      </c>
      <c r="C29" s="50" t="n">
        <v>347809</v>
      </c>
      <c r="D29" s="54" t="n">
        <f aca="false">C29-C28</f>
        <v>-673</v>
      </c>
      <c r="E29" s="50" t="n">
        <f aca="false">C29-152000</f>
        <v>195809</v>
      </c>
      <c r="F29" s="49" t="n">
        <f aca="false">D29/$D$2</f>
        <v>-339.299218553063</v>
      </c>
      <c r="G29" s="49" t="n">
        <v>175</v>
      </c>
      <c r="H29" s="80" t="n">
        <v>0</v>
      </c>
      <c r="I29" s="49" t="n">
        <f aca="false">G29+H29</f>
        <v>175</v>
      </c>
      <c r="J29" s="76" t="n">
        <f aca="false">IF(L29&gt;0,L29,0)</f>
        <v>0</v>
      </c>
      <c r="K29" s="49" t="n">
        <f aca="false">I29+J29</f>
        <v>175</v>
      </c>
      <c r="L29" s="49" t="n">
        <f aca="false">F29-(I29-W29)</f>
        <v>-35.2992185530628</v>
      </c>
      <c r="M29" s="49" t="n">
        <v>157</v>
      </c>
      <c r="N29" s="49" t="n">
        <v>0</v>
      </c>
      <c r="O29" s="49" t="n">
        <v>0</v>
      </c>
      <c r="P29" s="6" t="n">
        <f aca="false">M29-(N29+O29)</f>
        <v>157</v>
      </c>
      <c r="Q29" s="49" t="n">
        <v>133</v>
      </c>
      <c r="R29" s="89" t="n">
        <v>77</v>
      </c>
      <c r="S29" s="49" t="n">
        <f aca="false">SUM(P29:R29)</f>
        <v>367</v>
      </c>
      <c r="T29" s="50" t="n">
        <f aca="false">(I29-S29)+T28</f>
        <v>5413</v>
      </c>
      <c r="U29" s="49" t="n">
        <v>33</v>
      </c>
      <c r="V29" s="49" t="n">
        <v>79</v>
      </c>
      <c r="W29" s="6" t="n">
        <f aca="false">N29+O29+S29+U29+V29</f>
        <v>479</v>
      </c>
      <c r="X29" s="49" t="n">
        <f aca="false">IF(L29&lt;0,L29*-1,0)</f>
        <v>35.2992185530628</v>
      </c>
      <c r="Y29" s="49" t="n">
        <f aca="false">W29+X29</f>
        <v>514.299218553063</v>
      </c>
      <c r="Z29" s="51" t="n">
        <v>0</v>
      </c>
      <c r="AA29" s="54" t="n">
        <v>86</v>
      </c>
      <c r="AB29" s="54" t="n">
        <v>48</v>
      </c>
      <c r="AC29" s="55" t="n">
        <v>20</v>
      </c>
      <c r="AD29" s="83"/>
      <c r="AE29" s="85"/>
      <c r="AF29" s="85"/>
    </row>
    <row r="30" customFormat="false" ht="11.1" hidden="false" customHeight="true" outlineLevel="0" collapsed="false">
      <c r="A30" s="55" t="n">
        <v>21</v>
      </c>
      <c r="B30" s="69" t="n">
        <v>6916.15</v>
      </c>
      <c r="C30" s="50" t="n">
        <v>347178</v>
      </c>
      <c r="D30" s="54" t="n">
        <f aca="false">C30-C29</f>
        <v>-631</v>
      </c>
      <c r="E30" s="50" t="n">
        <f aca="false">C30-152000</f>
        <v>195178</v>
      </c>
      <c r="F30" s="49" t="n">
        <f aca="false">D30/$D$2</f>
        <v>-318.124527350643</v>
      </c>
      <c r="G30" s="49" t="n">
        <v>163</v>
      </c>
      <c r="H30" s="80" t="n">
        <v>0</v>
      </c>
      <c r="I30" s="49" t="n">
        <f aca="false">G30+H30</f>
        <v>163</v>
      </c>
      <c r="J30" s="76" t="n">
        <f aca="false">IF(L30&gt;0,L30,0)</f>
        <v>0</v>
      </c>
      <c r="K30" s="49" t="n">
        <f aca="false">I30+J30</f>
        <v>163</v>
      </c>
      <c r="L30" s="49" t="n">
        <f aca="false">F30-(I30-W30)</f>
        <v>-0.124527350642779</v>
      </c>
      <c r="M30" s="49" t="n">
        <v>157</v>
      </c>
      <c r="N30" s="49" t="n">
        <v>0</v>
      </c>
      <c r="O30" s="49" t="n">
        <v>0</v>
      </c>
      <c r="P30" s="6" t="n">
        <f aca="false">M30-(N30+O30)</f>
        <v>157</v>
      </c>
      <c r="Q30" s="49" t="n">
        <v>133</v>
      </c>
      <c r="R30" s="89" t="n">
        <v>76</v>
      </c>
      <c r="S30" s="49" t="n">
        <f aca="false">SUM(P30:R30)</f>
        <v>366</v>
      </c>
      <c r="T30" s="50" t="n">
        <f aca="false">(I30-S30)+T29</f>
        <v>5210</v>
      </c>
      <c r="U30" s="49" t="n">
        <v>35</v>
      </c>
      <c r="V30" s="49" t="n">
        <v>80</v>
      </c>
      <c r="W30" s="6" t="n">
        <f aca="false">N30+O30+S30+U30+V30</f>
        <v>481</v>
      </c>
      <c r="X30" s="49" t="n">
        <f aca="false">IF(L30&lt;0,L30*-1,0)</f>
        <v>0.124527350642779</v>
      </c>
      <c r="Y30" s="49" t="n">
        <f aca="false">W30+X30</f>
        <v>481.124527350643</v>
      </c>
      <c r="Z30" s="51" t="n">
        <v>0.1</v>
      </c>
      <c r="AA30" s="54" t="n">
        <v>86</v>
      </c>
      <c r="AB30" s="54" t="n">
        <v>50</v>
      </c>
      <c r="AC30" s="55" t="n">
        <v>21</v>
      </c>
      <c r="AD30" s="83"/>
      <c r="AE30" s="85"/>
      <c r="AF30" s="85"/>
    </row>
    <row r="31" customFormat="false" ht="11.1" hidden="false" customHeight="true" outlineLevel="0" collapsed="false">
      <c r="A31" s="55" t="n">
        <v>22</v>
      </c>
      <c r="B31" s="69" t="n">
        <v>6916.04</v>
      </c>
      <c r="C31" s="50" t="n">
        <v>346715</v>
      </c>
      <c r="D31" s="54" t="n">
        <f aca="false">C31-C30</f>
        <v>-463</v>
      </c>
      <c r="E31" s="50" t="n">
        <f aca="false">C31-152000</f>
        <v>194715</v>
      </c>
      <c r="F31" s="49" t="n">
        <f aca="false">D31/$D$2</f>
        <v>-233.425762540963</v>
      </c>
      <c r="G31" s="49" t="n">
        <v>192</v>
      </c>
      <c r="H31" s="80" t="n">
        <v>0</v>
      </c>
      <c r="I31" s="49" t="n">
        <f aca="false">G31+H31</f>
        <v>192</v>
      </c>
      <c r="J31" s="76" t="n">
        <f aca="false">IF(L31&gt;0,L31,0)</f>
        <v>53.5742374590371</v>
      </c>
      <c r="K31" s="49" t="n">
        <f aca="false">I31+J31</f>
        <v>245.574237459037</v>
      </c>
      <c r="L31" s="49" t="n">
        <f aca="false">F31-(I31-W31)</f>
        <v>53.5742374590371</v>
      </c>
      <c r="M31" s="49" t="n">
        <v>151</v>
      </c>
      <c r="N31" s="49" t="n">
        <v>0</v>
      </c>
      <c r="O31" s="49" t="n">
        <v>0</v>
      </c>
      <c r="P31" s="6" t="n">
        <f aca="false">M31-(N31+O31)</f>
        <v>151</v>
      </c>
      <c r="Q31" s="49" t="n">
        <v>133</v>
      </c>
      <c r="R31" s="49" t="n">
        <v>77</v>
      </c>
      <c r="S31" s="49" t="n">
        <f aca="false">SUM(P31:R31)</f>
        <v>361</v>
      </c>
      <c r="T31" s="50" t="n">
        <f aca="false">(I31-S31)+T30</f>
        <v>5041</v>
      </c>
      <c r="U31" s="49" t="n">
        <v>38</v>
      </c>
      <c r="V31" s="49" t="n">
        <v>80</v>
      </c>
      <c r="W31" s="6" t="n">
        <f aca="false">N31+O31+S31+U31+V31</f>
        <v>479</v>
      </c>
      <c r="X31" s="49" t="n">
        <f aca="false">IF(L31&lt;0,L31*-1,0)</f>
        <v>0</v>
      </c>
      <c r="Y31" s="49" t="n">
        <f aca="false">W31+X31</f>
        <v>479</v>
      </c>
      <c r="Z31" s="51" t="n">
        <v>0</v>
      </c>
      <c r="AA31" s="54" t="n">
        <v>85</v>
      </c>
      <c r="AB31" s="54" t="n">
        <v>49</v>
      </c>
      <c r="AC31" s="55" t="n">
        <v>22</v>
      </c>
      <c r="AD31" s="83"/>
      <c r="AE31" s="85"/>
      <c r="AF31" s="85"/>
    </row>
    <row r="32" customFormat="false" ht="11.1" hidden="false" customHeight="true" outlineLevel="0" collapsed="false">
      <c r="A32" s="55" t="n">
        <v>23</v>
      </c>
      <c r="B32" s="69" t="n">
        <v>6915.92</v>
      </c>
      <c r="C32" s="50" t="n">
        <v>346213</v>
      </c>
      <c r="D32" s="54" t="n">
        <f aca="false">C32-C31</f>
        <v>-502</v>
      </c>
      <c r="E32" s="50" t="n">
        <f aca="false">C32-152000</f>
        <v>194213</v>
      </c>
      <c r="F32" s="49" t="n">
        <f aca="false">D32/$D$2</f>
        <v>-253.087975800353</v>
      </c>
      <c r="G32" s="49" t="n">
        <v>194</v>
      </c>
      <c r="H32" s="80" t="n">
        <v>0</v>
      </c>
      <c r="I32" s="49" t="n">
        <f aca="false">G32+H32</f>
        <v>194</v>
      </c>
      <c r="J32" s="76" t="n">
        <f aca="false">IF(L32&gt;0,L32,0)</f>
        <v>21.9120241996471</v>
      </c>
      <c r="K32" s="49" t="n">
        <f aca="false">I32+J32</f>
        <v>215.912024199647</v>
      </c>
      <c r="L32" s="49" t="n">
        <f aca="false">F32-(I32-W32)</f>
        <v>21.9120241996471</v>
      </c>
      <c r="M32" s="49" t="n">
        <v>148</v>
      </c>
      <c r="N32" s="49" t="n">
        <v>0</v>
      </c>
      <c r="O32" s="49" t="n">
        <v>0</v>
      </c>
      <c r="P32" s="6" t="n">
        <f aca="false">M32-(N32+O32)</f>
        <v>148</v>
      </c>
      <c r="Q32" s="49" t="n">
        <v>133</v>
      </c>
      <c r="R32" s="49" t="n">
        <v>77</v>
      </c>
      <c r="S32" s="49" t="n">
        <f aca="false">SUM(P32:R32)</f>
        <v>358</v>
      </c>
      <c r="T32" s="50" t="n">
        <f aca="false">(I32-S32)+T31</f>
        <v>4877</v>
      </c>
      <c r="U32" s="49" t="n">
        <v>31</v>
      </c>
      <c r="V32" s="49" t="n">
        <v>80</v>
      </c>
      <c r="W32" s="6" t="n">
        <f aca="false">N32+O32+S32+U32+V32</f>
        <v>469</v>
      </c>
      <c r="X32" s="49" t="n">
        <f aca="false">IF(L32&lt;0,L32*-1,0)</f>
        <v>0</v>
      </c>
      <c r="Y32" s="49" t="n">
        <f aca="false">W32+X32</f>
        <v>469</v>
      </c>
      <c r="Z32" s="51" t="n">
        <v>0.49</v>
      </c>
      <c r="AA32" s="54" t="n">
        <v>87</v>
      </c>
      <c r="AB32" s="54" t="n">
        <v>51</v>
      </c>
      <c r="AC32" s="55" t="n">
        <v>23</v>
      </c>
      <c r="AD32" s="83"/>
      <c r="AE32" s="85"/>
      <c r="AF32" s="85"/>
    </row>
    <row r="33" customFormat="false" ht="11.1" hidden="false" customHeight="true" outlineLevel="0" collapsed="false">
      <c r="A33" s="55" t="n">
        <v>24</v>
      </c>
      <c r="B33" s="69" t="n">
        <v>6915.78</v>
      </c>
      <c r="C33" s="50" t="n">
        <v>345628</v>
      </c>
      <c r="D33" s="54" t="n">
        <f aca="false">C33-C32</f>
        <v>-585</v>
      </c>
      <c r="E33" s="50" t="n">
        <f aca="false">C33-152000</f>
        <v>193628</v>
      </c>
      <c r="F33" s="49" t="n">
        <f aca="false">D33/$D$2</f>
        <v>-294.933198890849</v>
      </c>
      <c r="G33" s="49" t="n">
        <v>183</v>
      </c>
      <c r="H33" s="80" t="n">
        <v>0</v>
      </c>
      <c r="I33" s="49" t="n">
        <f aca="false">G33+H33</f>
        <v>183</v>
      </c>
      <c r="J33" s="76" t="n">
        <f aca="false">IF(L33&gt;0,L33,0)</f>
        <v>0</v>
      </c>
      <c r="K33" s="49" t="n">
        <f aca="false">I33+J33</f>
        <v>183</v>
      </c>
      <c r="L33" s="49" t="n">
        <f aca="false">F33-(I33-W33)</f>
        <v>-14.9331988908495</v>
      </c>
      <c r="M33" s="49" t="n">
        <v>148</v>
      </c>
      <c r="N33" s="49" t="n">
        <v>0</v>
      </c>
      <c r="O33" s="49" t="n">
        <v>0</v>
      </c>
      <c r="P33" s="6" t="n">
        <f aca="false">M33-(N33+O33)</f>
        <v>148</v>
      </c>
      <c r="Q33" s="49" t="n">
        <v>132</v>
      </c>
      <c r="R33" s="49" t="n">
        <v>73</v>
      </c>
      <c r="S33" s="49" t="n">
        <f aca="false">SUM(P33:R33)</f>
        <v>353</v>
      </c>
      <c r="T33" s="50" t="n">
        <f aca="false">(I33-S33)+T32</f>
        <v>4707</v>
      </c>
      <c r="U33" s="49" t="n">
        <v>30</v>
      </c>
      <c r="V33" s="49" t="n">
        <v>80</v>
      </c>
      <c r="W33" s="6" t="n">
        <f aca="false">N33+O33+S33+U33+V33</f>
        <v>463</v>
      </c>
      <c r="X33" s="49" t="n">
        <f aca="false">IF(L33&lt;0,L33*-1,0)</f>
        <v>14.9331988908495</v>
      </c>
      <c r="Y33" s="49" t="n">
        <f aca="false">W33+X33</f>
        <v>477.933198890849</v>
      </c>
      <c r="Z33" s="51" t="n">
        <v>0</v>
      </c>
      <c r="AA33" s="54" t="n">
        <v>86</v>
      </c>
      <c r="AB33" s="54" t="n">
        <v>45</v>
      </c>
      <c r="AC33" s="55" t="n">
        <v>24</v>
      </c>
      <c r="AD33" s="83"/>
      <c r="AE33" s="85"/>
      <c r="AF33" s="85"/>
    </row>
    <row r="34" customFormat="false" ht="11.1" hidden="false" customHeight="true" outlineLevel="0" collapsed="false">
      <c r="A34" s="55" t="n">
        <v>25</v>
      </c>
      <c r="B34" s="69" t="n">
        <v>6915.68</v>
      </c>
      <c r="C34" s="50" t="n">
        <v>345211</v>
      </c>
      <c r="D34" s="54" t="n">
        <f aca="false">C34-C33</f>
        <v>-417</v>
      </c>
      <c r="E34" s="50" t="n">
        <f aca="false">C34-152000</f>
        <v>193211</v>
      </c>
      <c r="F34" s="49" t="n">
        <f aca="false">D34/$D$2</f>
        <v>-210.23443408117</v>
      </c>
      <c r="G34" s="49" t="n">
        <v>226</v>
      </c>
      <c r="H34" s="80" t="n">
        <v>0</v>
      </c>
      <c r="I34" s="49" t="n">
        <f aca="false">G34+H34</f>
        <v>226</v>
      </c>
      <c r="J34" s="76" t="n">
        <f aca="false">IF(L34&gt;0,L34,0)</f>
        <v>27.7655659188304</v>
      </c>
      <c r="K34" s="49" t="n">
        <f aca="false">I34+J34</f>
        <v>253.76556591883</v>
      </c>
      <c r="L34" s="49" t="n">
        <f aca="false">F34-(I34-W34)</f>
        <v>27.7655659188304</v>
      </c>
      <c r="M34" s="49" t="n">
        <v>147</v>
      </c>
      <c r="N34" s="49" t="n">
        <v>0</v>
      </c>
      <c r="O34" s="49" t="n">
        <v>0</v>
      </c>
      <c r="P34" s="6" t="n">
        <f aca="false">M34-(N34+O34)</f>
        <v>147</v>
      </c>
      <c r="Q34" s="49" t="n">
        <v>132</v>
      </c>
      <c r="R34" s="49" t="n">
        <v>68</v>
      </c>
      <c r="S34" s="49" t="n">
        <f aca="false">SUM(P34:R34)</f>
        <v>347</v>
      </c>
      <c r="T34" s="50" t="n">
        <f aca="false">(I34-S34)+T33</f>
        <v>4586</v>
      </c>
      <c r="U34" s="49" t="n">
        <v>37</v>
      </c>
      <c r="V34" s="49" t="n">
        <v>80</v>
      </c>
      <c r="W34" s="6" t="n">
        <f aca="false">N34+O34+S34+U34+V34</f>
        <v>464</v>
      </c>
      <c r="X34" s="49" t="n">
        <f aca="false">IF(L34&lt;0,L34*-1,0)</f>
        <v>0</v>
      </c>
      <c r="Y34" s="49" t="n">
        <f aca="false">W34+X34</f>
        <v>464</v>
      </c>
      <c r="Z34" s="51" t="n">
        <v>0.06</v>
      </c>
      <c r="AA34" s="54" t="n">
        <v>81</v>
      </c>
      <c r="AB34" s="54" t="n">
        <v>52</v>
      </c>
      <c r="AC34" s="55" t="n">
        <v>25</v>
      </c>
      <c r="AD34" s="83"/>
      <c r="AE34" s="85"/>
      <c r="AF34" s="85"/>
    </row>
    <row r="35" customFormat="false" ht="11.1" hidden="false" customHeight="true" outlineLevel="0" collapsed="false">
      <c r="A35" s="55" t="n">
        <v>26</v>
      </c>
      <c r="B35" s="69" t="n">
        <v>6915.63</v>
      </c>
      <c r="C35" s="50" t="n">
        <v>345002</v>
      </c>
      <c r="D35" s="54" t="n">
        <f aca="false">C35-C34</f>
        <v>-209</v>
      </c>
      <c r="E35" s="50" t="n">
        <f aca="false">C35-152000</f>
        <v>193002</v>
      </c>
      <c r="F35" s="49" t="n">
        <f aca="false">D35/$D$2</f>
        <v>-105.369296697756</v>
      </c>
      <c r="G35" s="49" t="n">
        <v>217</v>
      </c>
      <c r="H35" s="80" t="n">
        <v>0</v>
      </c>
      <c r="I35" s="49" t="n">
        <f aca="false">G35+H35</f>
        <v>217</v>
      </c>
      <c r="J35" s="76" t="n">
        <f aca="false">IF(L35&gt;0,L35,0)</f>
        <v>128.630703302244</v>
      </c>
      <c r="K35" s="49" t="n">
        <f aca="false">I35+J35</f>
        <v>345.630703302244</v>
      </c>
      <c r="L35" s="49" t="n">
        <f aca="false">F35-(I35-W35)</f>
        <v>128.630703302244</v>
      </c>
      <c r="M35" s="49" t="n">
        <v>151</v>
      </c>
      <c r="N35" s="49" t="n">
        <v>0</v>
      </c>
      <c r="O35" s="49" t="n">
        <v>0</v>
      </c>
      <c r="P35" s="6" t="n">
        <f aca="false">M35-(N35+O35)</f>
        <v>151</v>
      </c>
      <c r="Q35" s="49" t="n">
        <v>124</v>
      </c>
      <c r="R35" s="49" t="n">
        <v>67</v>
      </c>
      <c r="S35" s="49" t="n">
        <f aca="false">SUM(P35:R35)</f>
        <v>342</v>
      </c>
      <c r="T35" s="50" t="n">
        <f aca="false">(I35-S35)+T34</f>
        <v>4461</v>
      </c>
      <c r="U35" s="49" t="n">
        <v>29</v>
      </c>
      <c r="V35" s="49" t="n">
        <v>80</v>
      </c>
      <c r="W35" s="6" t="n">
        <f aca="false">N35+O35+S35+U35+V35</f>
        <v>451</v>
      </c>
      <c r="X35" s="49" t="n">
        <f aca="false">IF(L35&lt;0,L35*-1,0)</f>
        <v>0</v>
      </c>
      <c r="Y35" s="49" t="n">
        <f aca="false">W35+X35</f>
        <v>451</v>
      </c>
      <c r="Z35" s="51" t="n">
        <v>0</v>
      </c>
      <c r="AA35" s="54" t="n">
        <v>81</v>
      </c>
      <c r="AB35" s="54" t="n">
        <v>51</v>
      </c>
      <c r="AC35" s="55" t="n">
        <v>26</v>
      </c>
      <c r="AD35" s="83"/>
      <c r="AE35" s="85"/>
      <c r="AF35" s="85"/>
    </row>
    <row r="36" customFormat="false" ht="11.1" hidden="false" customHeight="true" outlineLevel="0" collapsed="false">
      <c r="A36" s="55" t="n">
        <v>27</v>
      </c>
      <c r="B36" s="69" t="n">
        <v>6915.61</v>
      </c>
      <c r="C36" s="50" t="n">
        <v>344919</v>
      </c>
      <c r="D36" s="54" t="n">
        <f aca="false">C36-C35</f>
        <v>-83</v>
      </c>
      <c r="E36" s="50" t="n">
        <f aca="false">C36-152000</f>
        <v>192919</v>
      </c>
      <c r="F36" s="49" t="n">
        <f aca="false">D36/$D$2</f>
        <v>-41.8452230904966</v>
      </c>
      <c r="G36" s="49" t="n">
        <v>433</v>
      </c>
      <c r="H36" s="80" t="n">
        <v>0</v>
      </c>
      <c r="I36" s="49" t="n">
        <f aca="false">G36+H36</f>
        <v>433</v>
      </c>
      <c r="J36" s="76" t="n">
        <f aca="false">IF(L36&gt;0,L36,0)</f>
        <v>0</v>
      </c>
      <c r="K36" s="49" t="n">
        <f aca="false">I36+J36</f>
        <v>433</v>
      </c>
      <c r="L36" s="49" t="n">
        <f aca="false">F36-(I36-W36)</f>
        <v>-15.8452230904966</v>
      </c>
      <c r="M36" s="49" t="n">
        <v>156</v>
      </c>
      <c r="N36" s="49" t="n">
        <v>0</v>
      </c>
      <c r="O36" s="49" t="n">
        <v>0</v>
      </c>
      <c r="P36" s="6" t="n">
        <f aca="false">M36-(N36+O36)</f>
        <v>156</v>
      </c>
      <c r="Q36" s="49" t="n">
        <v>119</v>
      </c>
      <c r="R36" s="49" t="n">
        <v>68</v>
      </c>
      <c r="S36" s="49" t="n">
        <f aca="false">SUM(P36:R36)</f>
        <v>343</v>
      </c>
      <c r="T36" s="50" t="n">
        <f aca="false">(I36-S36)+T35</f>
        <v>4551</v>
      </c>
      <c r="U36" s="49" t="n">
        <v>36</v>
      </c>
      <c r="V36" s="49" t="n">
        <v>80</v>
      </c>
      <c r="W36" s="6" t="n">
        <f aca="false">N36+O36+S36+U36+V36</f>
        <v>459</v>
      </c>
      <c r="X36" s="49" t="n">
        <f aca="false">IF(L36&lt;0,L36*-1,0)</f>
        <v>15.8452230904966</v>
      </c>
      <c r="Y36" s="49" t="n">
        <f aca="false">W36+X36</f>
        <v>474.845223090497</v>
      </c>
      <c r="Z36" s="51" t="n">
        <v>0.13</v>
      </c>
      <c r="AA36" s="54" t="n">
        <v>80</v>
      </c>
      <c r="AB36" s="54" t="n">
        <v>49</v>
      </c>
      <c r="AC36" s="55" t="n">
        <v>27</v>
      </c>
      <c r="AD36" s="83"/>
      <c r="AE36" s="85"/>
      <c r="AF36" s="85"/>
    </row>
    <row r="37" customFormat="false" ht="11.1" hidden="false" customHeight="true" outlineLevel="0" collapsed="false">
      <c r="A37" s="138" t="n">
        <v>28</v>
      </c>
      <c r="B37" s="103" t="n">
        <v>6915.55</v>
      </c>
      <c r="C37" s="104" t="n">
        <v>344668</v>
      </c>
      <c r="D37" s="130" t="n">
        <f aca="false">C37-C36</f>
        <v>-251</v>
      </c>
      <c r="E37" s="104" t="n">
        <f aca="false">C37-152000</f>
        <v>192668</v>
      </c>
      <c r="F37" s="89" t="n">
        <f aca="false">D37/$D$2</f>
        <v>-126.543987900176</v>
      </c>
      <c r="G37" s="89" t="n">
        <v>337</v>
      </c>
      <c r="H37" s="139" t="n">
        <v>0</v>
      </c>
      <c r="I37" s="89" t="n">
        <f aca="false">G37+H37</f>
        <v>337</v>
      </c>
      <c r="J37" s="140" t="n">
        <f aca="false">IF(L37&gt;0,L37,0)</f>
        <v>0</v>
      </c>
      <c r="K37" s="89" t="n">
        <f aca="false">I37+J37</f>
        <v>337</v>
      </c>
      <c r="L37" s="89" t="n">
        <f aca="false">F37-(I37-W37)</f>
        <v>-9.54398790017645</v>
      </c>
      <c r="M37" s="89" t="n">
        <v>156</v>
      </c>
      <c r="N37" s="89" t="n">
        <v>0</v>
      </c>
      <c r="O37" s="89" t="n">
        <v>0</v>
      </c>
      <c r="P37" s="6" t="n">
        <f aca="false">M37-(N37+O37)</f>
        <v>156</v>
      </c>
      <c r="Q37" s="89" t="n">
        <v>119</v>
      </c>
      <c r="R37" s="89" t="n">
        <v>68</v>
      </c>
      <c r="S37" s="89" t="n">
        <f aca="false">SUM(P37:R37)</f>
        <v>343</v>
      </c>
      <c r="T37" s="104" t="n">
        <f aca="false">(I37-S37)+T36</f>
        <v>4545</v>
      </c>
      <c r="U37" s="89" t="n">
        <v>31</v>
      </c>
      <c r="V37" s="49" t="n">
        <v>80</v>
      </c>
      <c r="W37" s="6" t="n">
        <f aca="false">N37+O37+S37+U37+V37</f>
        <v>454</v>
      </c>
      <c r="X37" s="89" t="n">
        <f aca="false">IF(L37&lt;0,L37*-1,0)</f>
        <v>9.54398790017645</v>
      </c>
      <c r="Y37" s="89" t="n">
        <f aca="false">W37+X37</f>
        <v>463.543987900176</v>
      </c>
      <c r="Z37" s="87" t="n">
        <v>0</v>
      </c>
      <c r="AA37" s="130" t="n">
        <v>80</v>
      </c>
      <c r="AB37" s="130" t="n">
        <v>48</v>
      </c>
      <c r="AC37" s="138" t="n">
        <v>28</v>
      </c>
      <c r="AD37" s="83"/>
      <c r="AE37" s="85"/>
      <c r="AF37" s="85"/>
    </row>
    <row r="38" customFormat="false" ht="11.1" hidden="false" customHeight="true" outlineLevel="0" collapsed="false">
      <c r="A38" s="138" t="n">
        <v>29</v>
      </c>
      <c r="B38" s="103" t="n">
        <v>6915.47</v>
      </c>
      <c r="C38" s="104" t="n">
        <v>344334</v>
      </c>
      <c r="D38" s="130" t="n">
        <f aca="false">C38-C37</f>
        <v>-334</v>
      </c>
      <c r="E38" s="104" t="n">
        <f aca="false">C38-152000</f>
        <v>192334</v>
      </c>
      <c r="F38" s="89" t="n">
        <f aca="false">D38/$D$2</f>
        <v>-168.389210990673</v>
      </c>
      <c r="G38" s="89" t="n">
        <v>340</v>
      </c>
      <c r="H38" s="139" t="n">
        <v>0</v>
      </c>
      <c r="I38" s="89" t="n">
        <f aca="false">G38+H38</f>
        <v>340</v>
      </c>
      <c r="J38" s="140" t="n">
        <f aca="false">IF(L38&gt;0,L38,0)</f>
        <v>0</v>
      </c>
      <c r="K38" s="89" t="n">
        <f aca="false">I38+J38</f>
        <v>340</v>
      </c>
      <c r="L38" s="89" t="n">
        <f aca="false">F38-(I38-W38)</f>
        <v>-54.389210990673</v>
      </c>
      <c r="M38" s="89" t="n">
        <v>156</v>
      </c>
      <c r="N38" s="89" t="n">
        <v>0</v>
      </c>
      <c r="O38" s="89" t="n">
        <v>0</v>
      </c>
      <c r="P38" s="6" t="n">
        <f aca="false">M38-(N38+O38)</f>
        <v>156</v>
      </c>
      <c r="Q38" s="89" t="n">
        <v>119</v>
      </c>
      <c r="R38" s="89" t="n">
        <v>68</v>
      </c>
      <c r="S38" s="89" t="n">
        <f aca="false">SUM(P38:R38)</f>
        <v>343</v>
      </c>
      <c r="T38" s="104" t="n">
        <f aca="false">(I38-S38)+T37</f>
        <v>4542</v>
      </c>
      <c r="U38" s="89" t="n">
        <v>31</v>
      </c>
      <c r="V38" s="49" t="n">
        <v>80</v>
      </c>
      <c r="W38" s="6" t="n">
        <f aca="false">N38+O38+S38+U38+V38</f>
        <v>454</v>
      </c>
      <c r="X38" s="89" t="n">
        <f aca="false">IF(L38&lt;0,L38*-1,0)</f>
        <v>54.389210990673</v>
      </c>
      <c r="Y38" s="89" t="n">
        <f aca="false">W38+X38</f>
        <v>508.389210990673</v>
      </c>
      <c r="Z38" s="87" t="n">
        <v>0.04</v>
      </c>
      <c r="AA38" s="130" t="n">
        <v>79</v>
      </c>
      <c r="AB38" s="130" t="n">
        <v>46</v>
      </c>
      <c r="AC38" s="138" t="n">
        <v>29</v>
      </c>
      <c r="AD38" s="83"/>
      <c r="AE38" s="85"/>
      <c r="AF38" s="85"/>
    </row>
    <row r="39" customFormat="false" ht="11.1" hidden="false" customHeight="true" outlineLevel="0" collapsed="false">
      <c r="A39" s="138" t="n">
        <v>30</v>
      </c>
      <c r="B39" s="103" t="n">
        <v>6915.43</v>
      </c>
      <c r="C39" s="104" t="n">
        <v>344167</v>
      </c>
      <c r="D39" s="130" t="n">
        <f aca="false">C39-C38</f>
        <v>-167</v>
      </c>
      <c r="E39" s="104" t="n">
        <f aca="false">C39-152000</f>
        <v>192167</v>
      </c>
      <c r="F39" s="89" t="n">
        <f aca="false">D39/$D$2</f>
        <v>-84.1946054953365</v>
      </c>
      <c r="G39" s="89" t="n">
        <v>339</v>
      </c>
      <c r="H39" s="139" t="n">
        <v>0</v>
      </c>
      <c r="I39" s="89" t="n">
        <f aca="false">G39+H39</f>
        <v>339</v>
      </c>
      <c r="J39" s="140" t="n">
        <f aca="false">IF(L39&gt;0,L39,0)</f>
        <v>26.8053945046635</v>
      </c>
      <c r="K39" s="89" t="n">
        <f aca="false">I39+J39</f>
        <v>365.805394504663</v>
      </c>
      <c r="L39" s="89" t="n">
        <f aca="false">F39-(I39-W39)</f>
        <v>26.8053945046635</v>
      </c>
      <c r="M39" s="89" t="n">
        <v>151</v>
      </c>
      <c r="N39" s="89" t="n">
        <v>0</v>
      </c>
      <c r="O39" s="89" t="n">
        <v>0</v>
      </c>
      <c r="P39" s="6" t="n">
        <f aca="false">M39-(N39+O39)</f>
        <v>151</v>
      </c>
      <c r="Q39" s="89" t="n">
        <v>119</v>
      </c>
      <c r="R39" s="89" t="n">
        <v>68</v>
      </c>
      <c r="S39" s="89" t="n">
        <f aca="false">SUM(P39:R39)</f>
        <v>338</v>
      </c>
      <c r="T39" s="104" t="n">
        <f aca="false">(I39-S39)+T38</f>
        <v>4543</v>
      </c>
      <c r="U39" s="89" t="n">
        <v>32</v>
      </c>
      <c r="V39" s="49" t="n">
        <v>80</v>
      </c>
      <c r="W39" s="6" t="n">
        <f aca="false">N39+O39+S39+U39+V39</f>
        <v>450</v>
      </c>
      <c r="X39" s="89" t="n">
        <f aca="false">IF(L39&lt;0,L39*-1,0)</f>
        <v>0</v>
      </c>
      <c r="Y39" s="89" t="n">
        <f aca="false">W39+X39</f>
        <v>450</v>
      </c>
      <c r="Z39" s="87" t="n">
        <v>0</v>
      </c>
      <c r="AA39" s="130" t="n">
        <v>86</v>
      </c>
      <c r="AB39" s="130" t="n">
        <v>47</v>
      </c>
      <c r="AC39" s="138" t="n">
        <v>30</v>
      </c>
      <c r="AD39" s="83"/>
      <c r="AE39" s="85"/>
      <c r="AF39" s="85"/>
    </row>
    <row r="40" customFormat="false" ht="11.1" hidden="false" customHeight="true" outlineLevel="0" collapsed="false">
      <c r="A40" s="138" t="n">
        <v>31</v>
      </c>
      <c r="B40" s="103" t="n">
        <v>6915.41</v>
      </c>
      <c r="C40" s="104" t="n">
        <v>344084</v>
      </c>
      <c r="D40" s="130" t="n">
        <f aca="false">C40-C39</f>
        <v>-83</v>
      </c>
      <c r="E40" s="104" t="n">
        <f aca="false">C40-152000</f>
        <v>192084</v>
      </c>
      <c r="F40" s="89" t="n">
        <f aca="false">D40/$D$2</f>
        <v>-41.8452230904966</v>
      </c>
      <c r="G40" s="89" t="n">
        <v>349</v>
      </c>
      <c r="H40" s="139" t="n">
        <v>0</v>
      </c>
      <c r="I40" s="89" t="n">
        <f aca="false">G40+H40</f>
        <v>349</v>
      </c>
      <c r="J40" s="140" t="n">
        <f aca="false">IF(L40&gt;0,L40,0)</f>
        <v>40.1547769095034</v>
      </c>
      <c r="K40" s="89" t="n">
        <f aca="false">I40+J40</f>
        <v>389.154776909503</v>
      </c>
      <c r="L40" s="89" t="n">
        <f aca="false">F40-(I40-W40)</f>
        <v>40.1547769095034</v>
      </c>
      <c r="M40" s="89" t="n">
        <v>143</v>
      </c>
      <c r="N40" s="89" t="n">
        <v>0</v>
      </c>
      <c r="O40" s="89" t="n">
        <v>0</v>
      </c>
      <c r="P40" s="6" t="n">
        <f aca="false">M40-(N40+O40)</f>
        <v>143</v>
      </c>
      <c r="Q40" s="89" t="n">
        <v>119</v>
      </c>
      <c r="R40" s="89" t="n">
        <v>68</v>
      </c>
      <c r="S40" s="89" t="n">
        <f aca="false">SUM(P40:R40)</f>
        <v>330</v>
      </c>
      <c r="T40" s="104" t="n">
        <f aca="false">(I40-S40)+T39</f>
        <v>4562</v>
      </c>
      <c r="U40" s="89" t="n">
        <v>21</v>
      </c>
      <c r="V40" s="49" t="n">
        <v>80</v>
      </c>
      <c r="W40" s="6" t="n">
        <f aca="false">N40+O40+S40+U40+V40</f>
        <v>431</v>
      </c>
      <c r="X40" s="89" t="n">
        <f aca="false">IF(L40&lt;0,L40*-1,0)</f>
        <v>0</v>
      </c>
      <c r="Y40" s="89" t="n">
        <f aca="false">W40+X40</f>
        <v>431</v>
      </c>
      <c r="Z40" s="87" t="n">
        <v>0.13</v>
      </c>
      <c r="AA40" s="130" t="n">
        <v>83</v>
      </c>
      <c r="AB40" s="130" t="n">
        <v>46</v>
      </c>
      <c r="AC40" s="138" t="n">
        <v>31</v>
      </c>
      <c r="AD40" s="83"/>
      <c r="AE40" s="85"/>
      <c r="AF40" s="85"/>
    </row>
    <row r="41" customFormat="false" ht="3" hidden="false" customHeight="true" outlineLevel="0" collapsed="false">
      <c r="A41" s="70"/>
      <c r="B41" s="70"/>
      <c r="C41" s="72"/>
      <c r="D41" s="70"/>
      <c r="E41" s="72"/>
      <c r="F41" s="70"/>
      <c r="G41" s="70"/>
      <c r="H41" s="137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2"/>
      <c r="U41" s="70"/>
      <c r="V41" s="70"/>
      <c r="W41" s="70"/>
      <c r="X41" s="70"/>
      <c r="Y41" s="70"/>
      <c r="Z41" s="73"/>
      <c r="AA41" s="74"/>
      <c r="AB41" s="74"/>
      <c r="AC41" s="75"/>
      <c r="AD41" s="83"/>
      <c r="AE41" s="83"/>
      <c r="AF41" s="84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-8197.12629190824</v>
      </c>
      <c r="G42" s="50" t="n">
        <f aca="false">SUM(G10:G40)</f>
        <v>7332</v>
      </c>
      <c r="H42" s="50" t="n">
        <f aca="false">SUM(H10:H40)</f>
        <v>0</v>
      </c>
      <c r="I42" s="50" t="n">
        <f aca="false">SUM(I10:I40)</f>
        <v>7332</v>
      </c>
      <c r="J42" s="50" t="n">
        <f aca="false">SUM(J10:J40)</f>
        <v>521.52407360726</v>
      </c>
      <c r="K42" s="50" t="n">
        <f aca="false">SUM(K10:K40)</f>
        <v>7853.52407360726</v>
      </c>
      <c r="L42" s="50" t="n">
        <f aca="false">SUM(L10:L40)</f>
        <v>-284.126291908243</v>
      </c>
      <c r="M42" s="50" t="n">
        <f aca="false">SUM(M10:M40)</f>
        <v>5282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5282</v>
      </c>
      <c r="Q42" s="50" t="n">
        <f aca="false">SUM(Q10:Q40)</f>
        <v>4070</v>
      </c>
      <c r="R42" s="50" t="n">
        <f aca="false">SUM(R10:R40)</f>
        <v>2414</v>
      </c>
      <c r="S42" s="50" t="n">
        <f aca="false">SUM(S10:S40)</f>
        <v>11766</v>
      </c>
      <c r="T42" s="50"/>
      <c r="U42" s="50" t="n">
        <f aca="false">SUM(U10:U40)</f>
        <v>1041</v>
      </c>
      <c r="V42" s="50" t="n">
        <f aca="false">SUM(V10:V40)</f>
        <v>2438</v>
      </c>
      <c r="W42" s="50" t="n">
        <f aca="false">SUM(W10:W40)</f>
        <v>15245</v>
      </c>
      <c r="X42" s="50" t="n">
        <f aca="false">SUM(X10:X40)</f>
        <v>805.650365515503</v>
      </c>
      <c r="Y42" s="50" t="n">
        <f aca="false">SUM(Y10:Y40)</f>
        <v>16050.6503655155</v>
      </c>
      <c r="Z42" s="51" t="n">
        <f aca="false">SUM(Z10:Z40)</f>
        <v>1.94</v>
      </c>
      <c r="AA42" s="54" t="n">
        <f aca="false">AVERAGE(AA10:AA40)</f>
        <v>83.1290322580645</v>
      </c>
      <c r="AB42" s="54" t="n">
        <f aca="false">AVERAGE(AB10:AB40)</f>
        <v>47.9677419354839</v>
      </c>
      <c r="AC42" s="55" t="s">
        <v>69</v>
      </c>
      <c r="AD42" s="83"/>
      <c r="AE42" s="83"/>
      <c r="AF42" s="84"/>
    </row>
    <row r="43" customFormat="false" ht="11.1" hidden="false" customHeight="true" outlineLevel="0" collapsed="false">
      <c r="A43" s="49" t="s">
        <v>46</v>
      </c>
      <c r="B43" s="49"/>
      <c r="C43" s="50"/>
      <c r="D43" s="50" t="n">
        <f aca="false">SUM(D10:D40)</f>
        <v>-16259</v>
      </c>
      <c r="E43" s="50"/>
      <c r="F43" s="50" t="n">
        <f aca="false">F42*$D$2</f>
        <v>-16259</v>
      </c>
      <c r="G43" s="50" t="n">
        <f aca="false">G42*$D$2</f>
        <v>14543.022</v>
      </c>
      <c r="H43" s="50" t="n">
        <f aca="false">H42*$D$2</f>
        <v>0</v>
      </c>
      <c r="I43" s="50" t="n">
        <f aca="false">I42*$D$2</f>
        <v>14543.022</v>
      </c>
      <c r="J43" s="50" t="n">
        <f aca="false">J42*$D$2</f>
        <v>1034.443</v>
      </c>
      <c r="K43" s="50" t="n">
        <f aca="false">K42*$D$2</f>
        <v>15577.465</v>
      </c>
      <c r="L43" s="50" t="n">
        <f aca="false">L42*$D$2</f>
        <v>-563.5645</v>
      </c>
      <c r="M43" s="50" t="n">
        <f aca="false">M42*$D$2</f>
        <v>10476.847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10476.847</v>
      </c>
      <c r="Q43" s="50" t="n">
        <f aca="false">Q42*$D$2</f>
        <v>8072.845</v>
      </c>
      <c r="R43" s="50" t="n">
        <f aca="false">R42*$D$2</f>
        <v>4788.169</v>
      </c>
      <c r="S43" s="50" t="n">
        <f aca="false">S42*$D$2</f>
        <v>23337.861</v>
      </c>
      <c r="T43" s="50"/>
      <c r="U43" s="50" t="n">
        <f aca="false">U42*$D$2</f>
        <v>2064.8235</v>
      </c>
      <c r="V43" s="50" t="n">
        <f aca="false">V42*$D$2</f>
        <v>4835.773</v>
      </c>
      <c r="W43" s="50" t="n">
        <f aca="false">W42*$D$2</f>
        <v>30238.4575</v>
      </c>
      <c r="X43" s="50" t="n">
        <f aca="false">X42*$D$2</f>
        <v>1598.0075</v>
      </c>
      <c r="Y43" s="50" t="n">
        <f aca="false">Y42*$D$2</f>
        <v>31836.465</v>
      </c>
      <c r="Z43" s="51"/>
      <c r="AA43" s="54" t="n">
        <f aca="false">MAX(AA10:AA40)</f>
        <v>87</v>
      </c>
      <c r="AB43" s="54" t="n">
        <f aca="false">MAX(AB10:AB40)</f>
        <v>52</v>
      </c>
      <c r="AC43" s="55" t="s">
        <v>47</v>
      </c>
      <c r="AD43" s="83"/>
      <c r="AE43" s="83"/>
      <c r="AF43" s="84"/>
    </row>
    <row r="44" customFormat="false" ht="3" hidden="false" customHeight="true" outlineLevel="0" collapsed="false">
      <c r="A44" s="70"/>
      <c r="B44" s="70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1"/>
      <c r="AA44" s="54"/>
      <c r="AB44" s="54"/>
      <c r="AC44" s="55"/>
      <c r="AD44" s="83"/>
      <c r="AE44" s="83"/>
      <c r="AF44" s="84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 t="n">
        <f aca="false">F7+F42</f>
        <v>6317.6203680363</v>
      </c>
      <c r="G45" s="50" t="n">
        <f aca="false">G7+G42</f>
        <v>91875</v>
      </c>
      <c r="H45" s="50" t="n">
        <f aca="false">H7+H42</f>
        <v>2414</v>
      </c>
      <c r="I45" s="50" t="n">
        <f aca="false">I7+I42</f>
        <v>94289</v>
      </c>
      <c r="J45" s="50" t="n">
        <f aca="false">J7+J42</f>
        <v>12988.061759516</v>
      </c>
      <c r="K45" s="50" t="n">
        <f aca="false">K7+K42</f>
        <v>107277.061759516</v>
      </c>
      <c r="L45" s="50" t="n">
        <f aca="false">L7+L42</f>
        <v>8084.6203680363</v>
      </c>
      <c r="M45" s="50" t="n">
        <f aca="false">M7+M42</f>
        <v>26431</v>
      </c>
      <c r="N45" s="50" t="n">
        <f aca="false">N7+N42</f>
        <v>0</v>
      </c>
      <c r="O45" s="50" t="n">
        <f aca="false">O7+O42</f>
        <v>0</v>
      </c>
      <c r="P45" s="50" t="n">
        <f aca="false">P7+P42</f>
        <v>26431</v>
      </c>
      <c r="Q45" s="50" t="n">
        <f aca="false">Q7+Q42</f>
        <v>19819</v>
      </c>
      <c r="R45" s="50" t="n">
        <f aca="false">R7+R42</f>
        <v>10163</v>
      </c>
      <c r="S45" s="50" t="n">
        <f aca="false">S7+S42</f>
        <v>56413</v>
      </c>
      <c r="T45" s="50" t="n">
        <f aca="false">T40</f>
        <v>4562</v>
      </c>
      <c r="U45" s="50" t="n">
        <f aca="false">U7+U42</f>
        <v>3551</v>
      </c>
      <c r="V45" s="50" t="n">
        <f aca="false">V7+V42</f>
        <v>36092</v>
      </c>
      <c r="W45" s="50" t="n">
        <f aca="false">W7+W42</f>
        <v>96056</v>
      </c>
      <c r="X45" s="50" t="n">
        <f aca="false">X7+X42</f>
        <v>4903.44139147971</v>
      </c>
      <c r="Y45" s="50" t="n">
        <f aca="false">Y7+Y42</f>
        <v>100959.44139148</v>
      </c>
      <c r="Z45" s="51"/>
      <c r="AA45" s="54" t="n">
        <f aca="false">MIN(AA10:AA40)</f>
        <v>79</v>
      </c>
      <c r="AB45" s="54" t="n">
        <f aca="false">MIN(AB10:AB40)</f>
        <v>43</v>
      </c>
      <c r="AC45" s="55" t="s">
        <v>49</v>
      </c>
      <c r="AD45" s="83"/>
      <c r="AE45" s="83"/>
      <c r="AF45" s="84"/>
    </row>
    <row r="46" customFormat="false" ht="11.1" hidden="false" customHeight="true" outlineLevel="0" collapsed="false">
      <c r="A46" s="49" t="s">
        <v>50</v>
      </c>
      <c r="B46" s="49"/>
      <c r="C46" s="50"/>
      <c r="D46" s="50"/>
      <c r="E46" s="50"/>
      <c r="F46" s="50" t="n">
        <f aca="false">F45*$D$2</f>
        <v>12531</v>
      </c>
      <c r="G46" s="50" t="n">
        <f aca="false">G45*$D$2</f>
        <v>182234.0625</v>
      </c>
      <c r="H46" s="50" t="n">
        <f aca="false">H45*$D$2</f>
        <v>4788.169</v>
      </c>
      <c r="I46" s="50" t="n">
        <f aca="false">I45*$D$2</f>
        <v>187022.2315</v>
      </c>
      <c r="J46" s="50" t="n">
        <f aca="false">J45*$D$2</f>
        <v>25761.8205</v>
      </c>
      <c r="K46" s="50" t="n">
        <f aca="false">K45*$D$2</f>
        <v>212784.052</v>
      </c>
      <c r="L46" s="50" t="n">
        <f aca="false">L45*$D$2</f>
        <v>16035.8445</v>
      </c>
      <c r="M46" s="50" t="n">
        <f aca="false">M45*$D$2</f>
        <v>52425.8885</v>
      </c>
      <c r="N46" s="50" t="n">
        <f aca="false">N45*$D$2</f>
        <v>0</v>
      </c>
      <c r="O46" s="50" t="n">
        <f aca="false">O45*$D$2</f>
        <v>0</v>
      </c>
      <c r="P46" s="50" t="n">
        <f aca="false">P45*$D$2</f>
        <v>52425.8885</v>
      </c>
      <c r="Q46" s="50" t="n">
        <f aca="false">Q45*$D$2</f>
        <v>39310.9865</v>
      </c>
      <c r="R46" s="50" t="n">
        <f aca="false">R45*$D$2</f>
        <v>20158.3105</v>
      </c>
      <c r="S46" s="50" t="n">
        <f aca="false">S45*$D$2</f>
        <v>111895.1855</v>
      </c>
      <c r="T46" s="50" t="n">
        <f aca="false">T45*$D$2</f>
        <v>9048.727</v>
      </c>
      <c r="U46" s="50" t="n">
        <f aca="false">U45*$D$2</f>
        <v>7043.4085</v>
      </c>
      <c r="V46" s="50" t="n">
        <f aca="false">V45*$D$2</f>
        <v>71588.482</v>
      </c>
      <c r="W46" s="50" t="n">
        <f aca="false">W45*$D$2</f>
        <v>190527.076</v>
      </c>
      <c r="X46" s="50" t="n">
        <f aca="false">X45*$D$2</f>
        <v>9725.976</v>
      </c>
      <c r="Y46" s="50" t="n">
        <f aca="false">Y45*$D$2</f>
        <v>200253.052</v>
      </c>
      <c r="Z46" s="51"/>
      <c r="AA46" s="54"/>
      <c r="AB46" s="54"/>
      <c r="AC46" s="55"/>
      <c r="AD46" s="83"/>
      <c r="AE46" s="83"/>
      <c r="AF46" s="84"/>
    </row>
    <row r="47" customFormat="false" ht="3" hidden="false" customHeight="true" outlineLevel="0" collapsed="false">
      <c r="A47" s="70"/>
      <c r="B47" s="70"/>
      <c r="C47" s="72"/>
      <c r="D47" s="72"/>
      <c r="E47" s="72"/>
      <c r="F47" s="72"/>
      <c r="G47" s="72"/>
      <c r="H47" s="74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3"/>
      <c r="AA47" s="54"/>
      <c r="AB47" s="54"/>
      <c r="AC47" s="55"/>
      <c r="AD47" s="83"/>
      <c r="AE47" s="83"/>
      <c r="AF47" s="84"/>
    </row>
    <row r="48" customFormat="false" ht="11.1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9056.21376354928</v>
      </c>
      <c r="G48" s="50" t="n">
        <f aca="false">G8+G42</f>
        <v>107200</v>
      </c>
      <c r="H48" s="54" t="n">
        <f aca="false">H8+H42</f>
        <v>2620</v>
      </c>
      <c r="I48" s="50" t="n">
        <f aca="false">I8+I42</f>
        <v>109820</v>
      </c>
      <c r="J48" s="50" t="n">
        <f aca="false">J8+J42</f>
        <v>16345.7953113184</v>
      </c>
      <c r="K48" s="50" t="n">
        <f aca="false">K8+K42</f>
        <v>126165.795311318</v>
      </c>
      <c r="L48" s="50" t="n">
        <f aca="false">L8+L42</f>
        <v>10426.2137635493</v>
      </c>
      <c r="M48" s="50" t="n">
        <f aca="false">M8+M42</f>
        <v>27750</v>
      </c>
      <c r="N48" s="50" t="n">
        <f aca="false">N8+N42</f>
        <v>0</v>
      </c>
      <c r="O48" s="50" t="n">
        <f aca="false">O8+O42</f>
        <v>0</v>
      </c>
      <c r="P48" s="50" t="n">
        <f aca="false">P8+P42</f>
        <v>27750</v>
      </c>
      <c r="Q48" s="50" t="n">
        <f aca="false">Q8+Q42</f>
        <v>21579</v>
      </c>
      <c r="R48" s="50" t="n">
        <f aca="false">R8+R42</f>
        <v>10359</v>
      </c>
      <c r="S48" s="50" t="n">
        <f aca="false">S8+S42</f>
        <v>59688</v>
      </c>
      <c r="T48" s="50" t="n">
        <f aca="false">T45</f>
        <v>4562</v>
      </c>
      <c r="U48" s="50" t="n">
        <f aca="false">U8+U42</f>
        <v>3551</v>
      </c>
      <c r="V48" s="50" t="n">
        <f aca="false">V8+V42</f>
        <v>47951</v>
      </c>
      <c r="W48" s="50" t="n">
        <f aca="false">W8+W42</f>
        <v>111190</v>
      </c>
      <c r="X48" s="50" t="n">
        <f aca="false">X8+X42</f>
        <v>5919.5815477691</v>
      </c>
      <c r="Y48" s="50" t="n">
        <f aca="false">Y8+Y42</f>
        <v>117109.581547769</v>
      </c>
      <c r="Z48" s="51" t="n">
        <f aca="false">Z8+Z42</f>
        <v>15.55</v>
      </c>
      <c r="AA48" s="54"/>
      <c r="AB48" s="54"/>
      <c r="AC48" s="55"/>
      <c r="AD48" s="83"/>
      <c r="AE48" s="83"/>
      <c r="AF48" s="84"/>
    </row>
    <row r="49" customFormat="false" ht="11.1" hidden="false" customHeight="true" outlineLevel="0" collapsed="false">
      <c r="A49" s="49" t="s">
        <v>52</v>
      </c>
      <c r="B49" s="49"/>
      <c r="C49" s="50"/>
      <c r="D49" s="50" t="n">
        <f aca="false">D8+D43</f>
        <v>17963</v>
      </c>
      <c r="E49" s="50" t="n">
        <f aca="false">E40</f>
        <v>192084</v>
      </c>
      <c r="F49" s="50" t="n">
        <f aca="false">F48*$D$2</f>
        <v>17963</v>
      </c>
      <c r="G49" s="50" t="n">
        <f aca="false">G48*$D$2</f>
        <v>212631.2</v>
      </c>
      <c r="H49" s="54" t="n">
        <f aca="false">H48*$D$2</f>
        <v>5196.77</v>
      </c>
      <c r="I49" s="50" t="n">
        <f aca="false">I48*$D$2</f>
        <v>217827.97</v>
      </c>
      <c r="J49" s="50" t="n">
        <f aca="false">J48*$D$2</f>
        <v>32421.885</v>
      </c>
      <c r="K49" s="50" t="n">
        <f aca="false">K48*$D$2</f>
        <v>250249.855</v>
      </c>
      <c r="L49" s="50" t="n">
        <f aca="false">L48*$D$2</f>
        <v>20680.395</v>
      </c>
      <c r="M49" s="50" t="n">
        <f aca="false">M48*$D$2</f>
        <v>55042.125</v>
      </c>
      <c r="N49" s="50" t="n">
        <f aca="false">N48*$D$2</f>
        <v>0</v>
      </c>
      <c r="O49" s="50" t="n">
        <f aca="false">O48*$D$2</f>
        <v>0</v>
      </c>
      <c r="P49" s="50" t="n">
        <f aca="false">P48*$D$2</f>
        <v>55042.125</v>
      </c>
      <c r="Q49" s="50" t="n">
        <f aca="false">Q48*$D$2</f>
        <v>42801.9465</v>
      </c>
      <c r="R49" s="50" t="n">
        <f aca="false">R48*$D$2</f>
        <v>20547.0765</v>
      </c>
      <c r="S49" s="50" t="n">
        <f aca="false">S48*$D$2</f>
        <v>118391.148</v>
      </c>
      <c r="T49" s="50" t="n">
        <f aca="false">T48*$D$2</f>
        <v>9048.727</v>
      </c>
      <c r="U49" s="50" t="n">
        <f aca="false">U48*$D$2</f>
        <v>7043.4085</v>
      </c>
      <c r="V49" s="50" t="n">
        <f aca="false">V48*$D$2</f>
        <v>95110.8085</v>
      </c>
      <c r="W49" s="50" t="n">
        <f aca="false">W48*$D$2</f>
        <v>220545.365</v>
      </c>
      <c r="X49" s="50" t="n">
        <f aca="false">X48*$D$2</f>
        <v>11741.49</v>
      </c>
      <c r="Y49" s="50" t="n">
        <f aca="false">Y48*$D$2</f>
        <v>232286.855</v>
      </c>
      <c r="Z49" s="51"/>
      <c r="AA49" s="54"/>
      <c r="AB49" s="54"/>
      <c r="AC49" s="55"/>
      <c r="AD49" s="83"/>
      <c r="AE49" s="83"/>
      <c r="AF49" s="84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137"/>
      <c r="I50" s="70"/>
      <c r="J50" s="70"/>
      <c r="K50" s="141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1"/>
      <c r="AA50" s="54"/>
      <c r="AB50" s="54"/>
      <c r="AC50" s="55"/>
      <c r="AD50" s="83"/>
      <c r="AE50" s="83"/>
      <c r="AF50" s="84"/>
    </row>
    <row r="51" customFormat="false" ht="11.1" hidden="false" customHeight="true" outlineLevel="0" collapsed="false">
      <c r="A51" s="142"/>
      <c r="B51" s="79"/>
      <c r="C51" s="50"/>
      <c r="D51" s="49"/>
      <c r="E51" s="50"/>
      <c r="F51" s="49"/>
      <c r="G51" s="49"/>
      <c r="H51" s="80"/>
      <c r="I51" s="49"/>
      <c r="J51" s="49"/>
      <c r="K51" s="143"/>
      <c r="L51" s="49"/>
      <c r="M51" s="49"/>
      <c r="N51" s="49"/>
      <c r="O51" s="49"/>
      <c r="P51" s="49"/>
      <c r="Q51" s="49"/>
      <c r="R51" s="49"/>
      <c r="S51" s="49"/>
      <c r="T51" s="50"/>
      <c r="U51" s="49"/>
      <c r="V51" s="49"/>
      <c r="W51" s="49"/>
      <c r="X51" s="49"/>
      <c r="Y51" s="49"/>
      <c r="Z51" s="51"/>
      <c r="AA51" s="54"/>
      <c r="AB51" s="54"/>
      <c r="AC51" s="55"/>
      <c r="AD51" s="82"/>
      <c r="AE51" s="82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49"/>
      <c r="H52" s="77"/>
      <c r="I52" s="80"/>
      <c r="J52" s="49"/>
      <c r="K52" s="50"/>
      <c r="L52" s="49"/>
      <c r="M52" s="49"/>
      <c r="N52" s="49"/>
      <c r="O52" s="49"/>
      <c r="P52" s="49"/>
      <c r="Q52" s="49"/>
      <c r="R52" s="49"/>
      <c r="S52" s="49"/>
      <c r="T52" s="50"/>
      <c r="U52" s="49"/>
      <c r="V52" s="42"/>
      <c r="W52" s="49"/>
      <c r="X52" s="49"/>
      <c r="Y52" s="49"/>
      <c r="Z52" s="51"/>
      <c r="AA52" s="54"/>
      <c r="AB52" s="54"/>
      <c r="AC52" s="55"/>
      <c r="AD52" s="82"/>
      <c r="AE52" s="82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80"/>
      <c r="I53" s="77"/>
      <c r="J53" s="77"/>
      <c r="K53" s="43"/>
      <c r="L53" s="77"/>
      <c r="M53" s="76"/>
      <c r="N53" s="76"/>
      <c r="O53" s="76"/>
      <c r="P53" s="144"/>
      <c r="Q53" s="77"/>
      <c r="R53" s="88"/>
      <c r="S53" s="50"/>
      <c r="T53" s="54"/>
      <c r="V53" s="50"/>
      <c r="W53" s="77"/>
      <c r="X53" s="77"/>
      <c r="Y53" s="53"/>
      <c r="Z53" s="51"/>
      <c r="AA53" s="54"/>
      <c r="AB53" s="55"/>
      <c r="AC53" s="86"/>
      <c r="AD53" s="86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80"/>
      <c r="I54" s="77"/>
      <c r="J54" s="77"/>
      <c r="K54" s="77"/>
      <c r="L54" s="77"/>
      <c r="M54" s="76"/>
      <c r="N54" s="76"/>
      <c r="O54" s="76"/>
      <c r="P54" s="77"/>
      <c r="Q54" s="77"/>
      <c r="R54" s="77"/>
      <c r="S54" s="50"/>
      <c r="T54" s="50"/>
      <c r="V54" s="50"/>
      <c r="W54" s="77"/>
      <c r="X54" s="77"/>
      <c r="Y54" s="53"/>
      <c r="Z54" s="51"/>
      <c r="AA54" s="54"/>
      <c r="AB54" s="55"/>
      <c r="AC54" s="86"/>
      <c r="AD54" s="86"/>
    </row>
    <row r="55" customFormat="false" ht="11.1" hidden="false" customHeight="true" outlineLevel="0" collapsed="false">
      <c r="A55" s="77"/>
      <c r="B55" s="77"/>
      <c r="C55" s="50"/>
      <c r="D55" s="77"/>
      <c r="E55" s="50"/>
      <c r="F55" s="77"/>
      <c r="G55" s="81"/>
      <c r="H55" s="80"/>
      <c r="I55" s="77"/>
      <c r="J55" s="77"/>
      <c r="K55" s="77"/>
      <c r="L55" s="77"/>
      <c r="M55" s="76"/>
      <c r="N55" s="76"/>
      <c r="O55" s="76"/>
      <c r="P55" s="77"/>
      <c r="Q55" s="77"/>
      <c r="R55" s="77"/>
      <c r="S55" s="0"/>
      <c r="T55" s="50"/>
      <c r="V55" s="50"/>
      <c r="W55" s="77"/>
      <c r="X55" s="77"/>
      <c r="Y55" s="53"/>
      <c r="Z55" s="51"/>
      <c r="AA55" s="54"/>
      <c r="AB55" s="55"/>
      <c r="AC55" s="86"/>
      <c r="AD55" s="86"/>
    </row>
    <row r="56" customFormat="false" ht="11.1" hidden="false" customHeight="true" outlineLevel="0" collapsed="false">
      <c r="Q56" s="145"/>
      <c r="S56" s="50"/>
      <c r="T56" s="50"/>
    </row>
    <row r="57" customFormat="false" ht="11.1" hidden="false" customHeight="true" outlineLevel="0" collapsed="false">
      <c r="Q57" s="145"/>
      <c r="S57" s="50"/>
      <c r="T57" s="50"/>
    </row>
    <row r="58" customFormat="false" ht="11.1" hidden="false" customHeight="true" outlineLevel="0" collapsed="false">
      <c r="S58" s="50"/>
      <c r="T58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20" activePane="bottomRight" state="frozen"/>
      <selection pane="topLeft" activeCell="A1" activeCellId="0" sqref="A1"/>
      <selection pane="topRight" activeCell="K1" activeCellId="0" sqref="K1"/>
      <selection pane="bottomLeft" activeCell="A20" activeCellId="0" sqref="A20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133" width="6.66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82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16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4" width="5.32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80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1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80"/>
      <c r="I2" s="49"/>
      <c r="J2" s="49"/>
      <c r="K2" s="57" t="s">
        <v>77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1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80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1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134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61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78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134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64"/>
      <c r="AA5" s="62" t="s">
        <v>41</v>
      </c>
      <c r="AB5" s="62" t="s">
        <v>41</v>
      </c>
      <c r="AC5" s="65" t="s">
        <v>78</v>
      </c>
      <c r="AD5" s="82"/>
      <c r="AE5" s="82"/>
      <c r="AG5" s="135"/>
      <c r="AH5" s="135"/>
    </row>
    <row r="6" customFormat="false" ht="11.1" hidden="false" customHeight="true" outlineLevel="0" collapsed="false">
      <c r="A6" s="66"/>
      <c r="B6" s="66"/>
      <c r="C6" s="146"/>
      <c r="D6" s="66"/>
      <c r="E6" s="67"/>
      <c r="F6" s="66"/>
      <c r="G6" s="66"/>
      <c r="H6" s="13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1"/>
      <c r="AA6" s="55"/>
      <c r="AB6" s="55"/>
      <c r="AC6" s="55"/>
      <c r="AD6" s="83"/>
      <c r="AE6" s="83"/>
      <c r="AF6" s="84"/>
      <c r="AG6" s="135"/>
      <c r="AH6" s="135"/>
    </row>
    <row r="7" customFormat="false" ht="11.1" hidden="false" customHeight="true" outlineLevel="0" collapsed="false">
      <c r="A7" s="49" t="s">
        <v>42</v>
      </c>
      <c r="B7" s="49"/>
      <c r="C7" s="147"/>
      <c r="D7" s="50"/>
      <c r="E7" s="50"/>
      <c r="F7" s="50" t="n">
        <f aca="false">AUG!F45</f>
        <v>6317.6203680363</v>
      </c>
      <c r="G7" s="50" t="n">
        <f aca="false">AUG!G45</f>
        <v>91875</v>
      </c>
      <c r="H7" s="50" t="n">
        <f aca="false">AUG!H45</f>
        <v>2414</v>
      </c>
      <c r="I7" s="50" t="n">
        <f aca="false">AUG!I45</f>
        <v>94289</v>
      </c>
      <c r="J7" s="50" t="n">
        <f aca="false">AUG!J45</f>
        <v>12988.061759516</v>
      </c>
      <c r="K7" s="50" t="n">
        <f aca="false">AUG!K45</f>
        <v>107277.061759516</v>
      </c>
      <c r="L7" s="50" t="n">
        <f aca="false">AUG!L45</f>
        <v>8084.6203680363</v>
      </c>
      <c r="M7" s="50" t="n">
        <f aca="false">AUG!M45</f>
        <v>26431</v>
      </c>
      <c r="N7" s="50" t="n">
        <f aca="false">AUG!N45</f>
        <v>0</v>
      </c>
      <c r="O7" s="50" t="n">
        <f aca="false">AUG!O45</f>
        <v>0</v>
      </c>
      <c r="P7" s="50" t="n">
        <f aca="false">AUG!P45</f>
        <v>26431</v>
      </c>
      <c r="Q7" s="50" t="n">
        <f aca="false">AUG!Q45</f>
        <v>19819</v>
      </c>
      <c r="R7" s="50" t="n">
        <f aca="false">AUG!R45</f>
        <v>10163</v>
      </c>
      <c r="S7" s="50" t="n">
        <f aca="false">AUG!S45</f>
        <v>56413</v>
      </c>
      <c r="T7" s="50" t="n">
        <f aca="false">AUG!T45</f>
        <v>4562</v>
      </c>
      <c r="U7" s="50" t="n">
        <f aca="false">AUG!U45</f>
        <v>3551</v>
      </c>
      <c r="V7" s="50" t="n">
        <f aca="false">AUG!V45</f>
        <v>36092</v>
      </c>
      <c r="W7" s="50" t="n">
        <f aca="false">AUG!W45</f>
        <v>96056</v>
      </c>
      <c r="X7" s="50" t="n">
        <f aca="false">AUG!X45</f>
        <v>4903.44139147971</v>
      </c>
      <c r="Y7" s="50" t="n">
        <f aca="false">AUG!Y45</f>
        <v>100959.44139148</v>
      </c>
      <c r="Z7" s="51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AUG!B40</f>
        <v>6915.41</v>
      </c>
      <c r="C8" s="50" t="n">
        <f aca="false">AUG!C40</f>
        <v>344084</v>
      </c>
      <c r="D8" s="50" t="n">
        <f aca="false">AUG!D49</f>
        <v>17963</v>
      </c>
      <c r="E8" s="50" t="n">
        <f aca="false">AUG!E49</f>
        <v>192084</v>
      </c>
      <c r="F8" s="50" t="n">
        <f aca="false">AUG!F48</f>
        <v>9056.21376354928</v>
      </c>
      <c r="G8" s="50" t="n">
        <f aca="false">AUG!G48</f>
        <v>107200</v>
      </c>
      <c r="H8" s="50" t="n">
        <f aca="false">AUG!H48</f>
        <v>2620</v>
      </c>
      <c r="I8" s="50" t="n">
        <f aca="false">AUG!I48</f>
        <v>109820</v>
      </c>
      <c r="J8" s="50" t="n">
        <f aca="false">AUG!J48</f>
        <v>16345.7953113184</v>
      </c>
      <c r="K8" s="50" t="n">
        <f aca="false">AUG!K48</f>
        <v>126165.795311318</v>
      </c>
      <c r="L8" s="50" t="n">
        <f aca="false">AUG!L48</f>
        <v>10426.2137635493</v>
      </c>
      <c r="M8" s="50" t="n">
        <f aca="false">AUG!M48</f>
        <v>27750</v>
      </c>
      <c r="N8" s="50" t="n">
        <f aca="false">AUG!N48</f>
        <v>0</v>
      </c>
      <c r="O8" s="50" t="n">
        <f aca="false">AUG!O48</f>
        <v>0</v>
      </c>
      <c r="P8" s="50" t="n">
        <f aca="false">AUG!P48</f>
        <v>27750</v>
      </c>
      <c r="Q8" s="50" t="n">
        <f aca="false">AUG!Q48</f>
        <v>21579</v>
      </c>
      <c r="R8" s="50" t="n">
        <f aca="false">AUG!R48</f>
        <v>10359</v>
      </c>
      <c r="S8" s="50" t="n">
        <f aca="false">AUG!S48</f>
        <v>59688</v>
      </c>
      <c r="T8" s="50" t="n">
        <f aca="false">AUG!T46</f>
        <v>9048.727</v>
      </c>
      <c r="U8" s="50" t="n">
        <f aca="false">AUG!U48</f>
        <v>3551</v>
      </c>
      <c r="V8" s="50" t="n">
        <f aca="false">AUG!V48</f>
        <v>47951</v>
      </c>
      <c r="W8" s="50" t="n">
        <f aca="false">AUG!W48</f>
        <v>111190</v>
      </c>
      <c r="X8" s="50" t="n">
        <f aca="false">AUG!X48</f>
        <v>5919.5815477691</v>
      </c>
      <c r="Y8" s="50" t="n">
        <f aca="false">AUG!Y48</f>
        <v>117109.581547769</v>
      </c>
      <c r="Z8" s="51" t="n">
        <f aca="false">AUG!Z48</f>
        <v>15.55</v>
      </c>
      <c r="AA8" s="54"/>
      <c r="AB8" s="54"/>
      <c r="AC8" s="55"/>
      <c r="AD8" s="83"/>
      <c r="AE8" s="83"/>
      <c r="AF8" s="85"/>
      <c r="AG8" s="42"/>
      <c r="AH8" s="42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137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73"/>
      <c r="AA9" s="74" t="n">
        <v>0</v>
      </c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6915.36</v>
      </c>
      <c r="C10" s="50" t="n">
        <v>343875</v>
      </c>
      <c r="D10" s="54" t="n">
        <f aca="false">C10-C8</f>
        <v>-209</v>
      </c>
      <c r="E10" s="50" t="n">
        <f aca="false">C10-151978</f>
        <v>191897</v>
      </c>
      <c r="F10" s="49" t="n">
        <f aca="false">D10/$D$2</f>
        <v>-105.369296697756</v>
      </c>
      <c r="G10" s="49" t="n">
        <v>359</v>
      </c>
      <c r="H10" s="80" t="n">
        <v>0</v>
      </c>
      <c r="I10" s="49" t="n">
        <f aca="false">G10+H10</f>
        <v>359</v>
      </c>
      <c r="J10" s="76" t="n">
        <f aca="false">IF(L10&gt;0,L10,0)</f>
        <v>0</v>
      </c>
      <c r="K10" s="49" t="n">
        <f aca="false">I10+J10</f>
        <v>359</v>
      </c>
      <c r="L10" s="49" t="n">
        <f aca="false">F10-(I10-W10)</f>
        <v>-29.3692966977565</v>
      </c>
      <c r="M10" s="49" t="n">
        <v>139</v>
      </c>
      <c r="N10" s="49" t="n">
        <v>0</v>
      </c>
      <c r="O10" s="49" t="n">
        <v>0</v>
      </c>
      <c r="P10" s="6" t="n">
        <f aca="false">M10-(N10+O10)</f>
        <v>139</v>
      </c>
      <c r="Q10" s="49" t="n">
        <v>119</v>
      </c>
      <c r="R10" s="49" t="n">
        <v>68</v>
      </c>
      <c r="S10" s="49" t="n">
        <f aca="false">SUM(P10:R10)</f>
        <v>326</v>
      </c>
      <c r="T10" s="50" t="n">
        <f aca="false">(I10-S10)+T7</f>
        <v>4595</v>
      </c>
      <c r="U10" s="49" t="n">
        <v>29</v>
      </c>
      <c r="V10" s="49" t="n">
        <v>80</v>
      </c>
      <c r="W10" s="6" t="n">
        <f aca="false">N10+O10+S10+U10+V10</f>
        <v>435</v>
      </c>
      <c r="X10" s="49" t="n">
        <f aca="false">IF(L10&lt;0,L10*-1,0)</f>
        <v>29.3692966977565</v>
      </c>
      <c r="Y10" s="49" t="n">
        <f aca="false">W10+X10</f>
        <v>464.369296697756</v>
      </c>
      <c r="Z10" s="51" t="n">
        <v>0</v>
      </c>
      <c r="AA10" s="54" t="n">
        <v>80</v>
      </c>
      <c r="AB10" s="54" t="n">
        <v>46</v>
      </c>
      <c r="AC10" s="55" t="n">
        <v>1</v>
      </c>
      <c r="AD10" s="84"/>
      <c r="AE10" s="85"/>
      <c r="AF10" s="85"/>
    </row>
    <row r="11" customFormat="false" ht="11.1" hidden="false" customHeight="true" outlineLevel="0" collapsed="false">
      <c r="A11" s="55" t="n">
        <v>2</v>
      </c>
      <c r="B11" s="69" t="n">
        <v>6915.29</v>
      </c>
      <c r="C11" s="50" t="n">
        <v>343583</v>
      </c>
      <c r="D11" s="54" t="n">
        <f aca="false">C11-C10</f>
        <v>-292</v>
      </c>
      <c r="E11" s="50" t="n">
        <f aca="false">C11-151978</f>
        <v>191605</v>
      </c>
      <c r="F11" s="49" t="n">
        <f aca="false">D11/$D$2</f>
        <v>-147.214519788253</v>
      </c>
      <c r="G11" s="49" t="n">
        <v>309</v>
      </c>
      <c r="H11" s="80" t="n">
        <v>0</v>
      </c>
      <c r="I11" s="49" t="n">
        <f aca="false">G11+H11</f>
        <v>309</v>
      </c>
      <c r="J11" s="76" t="n">
        <f aca="false">IF(L11&gt;0,L11,0)</f>
        <v>0</v>
      </c>
      <c r="K11" s="49" t="n">
        <f aca="false">I11+J11</f>
        <v>309</v>
      </c>
      <c r="L11" s="49" t="n">
        <f aca="false">F11-(I11-W11)</f>
        <v>-28.2145197882531</v>
      </c>
      <c r="M11" s="49" t="n">
        <v>131</v>
      </c>
      <c r="N11" s="49" t="n">
        <v>0</v>
      </c>
      <c r="O11" s="49" t="n">
        <v>0</v>
      </c>
      <c r="P11" s="6" t="n">
        <f aca="false">M11-(N11+O11)</f>
        <v>131</v>
      </c>
      <c r="Q11" s="49" t="n">
        <v>118</v>
      </c>
      <c r="R11" s="49" t="n">
        <v>70</v>
      </c>
      <c r="S11" s="49" t="n">
        <f aca="false">SUM(P11:R11)</f>
        <v>319</v>
      </c>
      <c r="T11" s="50" t="n">
        <f aca="false">(I11-S11)+T10</f>
        <v>4585</v>
      </c>
      <c r="U11" s="49" t="n">
        <v>29</v>
      </c>
      <c r="V11" s="49" t="n">
        <v>80</v>
      </c>
      <c r="W11" s="6" t="n">
        <f aca="false">N11+O11+S11+U11+V11</f>
        <v>428</v>
      </c>
      <c r="X11" s="49" t="n">
        <f aca="false">IF(L11&lt;0,L11*-1,0)</f>
        <v>28.2145197882531</v>
      </c>
      <c r="Y11" s="49" t="n">
        <f aca="false">W11+X11</f>
        <v>456.214519788253</v>
      </c>
      <c r="Z11" s="51" t="n">
        <v>0</v>
      </c>
      <c r="AA11" s="54" t="n">
        <v>80</v>
      </c>
      <c r="AB11" s="54" t="n">
        <v>45</v>
      </c>
      <c r="AC11" s="55" t="n">
        <v>2</v>
      </c>
      <c r="AD11" s="84"/>
      <c r="AE11" s="85"/>
      <c r="AF11" s="85"/>
    </row>
    <row r="12" customFormat="false" ht="11.1" hidden="false" customHeight="true" outlineLevel="0" collapsed="false">
      <c r="A12" s="55" t="n">
        <v>3</v>
      </c>
      <c r="B12" s="69" t="n">
        <v>6915.22</v>
      </c>
      <c r="C12" s="50" t="n">
        <v>343291</v>
      </c>
      <c r="D12" s="54" t="n">
        <f aca="false">C12-C11</f>
        <v>-292</v>
      </c>
      <c r="E12" s="50" t="n">
        <f aca="false">C12-151978</f>
        <v>191313</v>
      </c>
      <c r="F12" s="49" t="n">
        <f aca="false">D12/$D$2</f>
        <v>-147.214519788253</v>
      </c>
      <c r="G12" s="49" t="n">
        <v>264</v>
      </c>
      <c r="H12" s="80" t="n">
        <v>0</v>
      </c>
      <c r="I12" s="49" t="n">
        <f aca="false">G12+H12</f>
        <v>264</v>
      </c>
      <c r="J12" s="76" t="n">
        <f aca="false">IF(L12&gt;0,L12,0)</f>
        <v>14.7854802117469</v>
      </c>
      <c r="K12" s="49" t="n">
        <f aca="false">I12+J12</f>
        <v>278.785480211747</v>
      </c>
      <c r="L12" s="49" t="n">
        <f aca="false">F12-(I12-W12)</f>
        <v>14.7854802117469</v>
      </c>
      <c r="M12" s="49" t="n">
        <v>131</v>
      </c>
      <c r="N12" s="49" t="n">
        <v>0</v>
      </c>
      <c r="O12" s="49" t="n">
        <v>0</v>
      </c>
      <c r="P12" s="6" t="n">
        <f aca="false">M12-(N12+O12)</f>
        <v>131</v>
      </c>
      <c r="Q12" s="49" t="n">
        <v>118</v>
      </c>
      <c r="R12" s="49" t="n">
        <v>72</v>
      </c>
      <c r="S12" s="49" t="n">
        <f aca="false">SUM(P12:R12)</f>
        <v>321</v>
      </c>
      <c r="T12" s="50" t="n">
        <f aca="false">(I12-S12)+T11</f>
        <v>4528</v>
      </c>
      <c r="U12" s="49" t="n">
        <v>25</v>
      </c>
      <c r="V12" s="49" t="n">
        <v>80</v>
      </c>
      <c r="W12" s="6" t="n">
        <f aca="false">N12+O12+S12+U12+V12</f>
        <v>426</v>
      </c>
      <c r="X12" s="49" t="n">
        <f aca="false">IF(L12&lt;0,L12*-1,0)</f>
        <v>0</v>
      </c>
      <c r="Y12" s="49" t="n">
        <f aca="false">W12+X12</f>
        <v>426</v>
      </c>
      <c r="Z12" s="51" t="n">
        <v>0</v>
      </c>
      <c r="AA12" s="54" t="n">
        <v>79</v>
      </c>
      <c r="AB12" s="54" t="n">
        <v>44</v>
      </c>
      <c r="AC12" s="55" t="n">
        <v>3</v>
      </c>
      <c r="AD12" s="84"/>
      <c r="AE12" s="85"/>
      <c r="AF12" s="85"/>
    </row>
    <row r="13" customFormat="false" ht="11.1" hidden="false" customHeight="true" outlineLevel="0" collapsed="false">
      <c r="A13" s="55" t="n">
        <v>4</v>
      </c>
      <c r="B13" s="69" t="n">
        <v>6915.12</v>
      </c>
      <c r="C13" s="50" t="n">
        <v>342873</v>
      </c>
      <c r="D13" s="54" t="n">
        <f aca="false">C13-C12</f>
        <v>-418</v>
      </c>
      <c r="E13" s="50" t="n">
        <f aca="false">C13-151978</f>
        <v>190895</v>
      </c>
      <c r="F13" s="49" t="n">
        <f aca="false">D13/$D$2</f>
        <v>-210.738593395513</v>
      </c>
      <c r="G13" s="49" t="n">
        <v>240</v>
      </c>
      <c r="H13" s="80" t="n">
        <v>0</v>
      </c>
      <c r="I13" s="49" t="n">
        <f aca="false">G13+H13</f>
        <v>240</v>
      </c>
      <c r="J13" s="76" t="n">
        <f aca="false">IF(L13&gt;0,L13,0)</f>
        <v>0</v>
      </c>
      <c r="K13" s="49" t="n">
        <f aca="false">I13+J13</f>
        <v>240</v>
      </c>
      <c r="L13" s="49" t="n">
        <f aca="false">F13-(I13-W13)</f>
        <v>-27.738593395513</v>
      </c>
      <c r="M13" s="49" t="n">
        <v>131</v>
      </c>
      <c r="N13" s="49" t="n">
        <v>0</v>
      </c>
      <c r="O13" s="49" t="n">
        <v>0</v>
      </c>
      <c r="P13" s="6" t="n">
        <f aca="false">M13-(N13+O13)</f>
        <v>131</v>
      </c>
      <c r="Q13" s="49" t="n">
        <v>118</v>
      </c>
      <c r="R13" s="49" t="n">
        <v>71</v>
      </c>
      <c r="S13" s="49" t="n">
        <f aca="false">SUM(P13:R13)</f>
        <v>320</v>
      </c>
      <c r="T13" s="50" t="n">
        <f aca="false">(I13-S13)+T12</f>
        <v>4448</v>
      </c>
      <c r="U13" s="49" t="n">
        <v>23</v>
      </c>
      <c r="V13" s="49" t="n">
        <v>80</v>
      </c>
      <c r="W13" s="6" t="n">
        <f aca="false">N13+O13+S13+U13+V13</f>
        <v>423</v>
      </c>
      <c r="X13" s="49" t="n">
        <f aca="false">IF(L13&lt;0,L13*-1,0)</f>
        <v>27.738593395513</v>
      </c>
      <c r="Y13" s="49" t="n">
        <f aca="false">W13+X13</f>
        <v>450.738593395513</v>
      </c>
      <c r="Z13" s="51" t="n">
        <v>0</v>
      </c>
      <c r="AA13" s="54" t="n">
        <v>80</v>
      </c>
      <c r="AB13" s="54" t="n">
        <v>43</v>
      </c>
      <c r="AC13" s="55" t="n">
        <v>4</v>
      </c>
      <c r="AD13" s="84"/>
      <c r="AE13" s="85"/>
      <c r="AF13" s="85"/>
    </row>
    <row r="14" customFormat="false" ht="11.1" hidden="false" customHeight="true" outlineLevel="0" collapsed="false">
      <c r="A14" s="55" t="n">
        <v>5</v>
      </c>
      <c r="B14" s="69" t="n">
        <v>6915.02</v>
      </c>
      <c r="C14" s="50" t="n">
        <v>342456</v>
      </c>
      <c r="D14" s="54" t="n">
        <f aca="false">C14-C13</f>
        <v>-417</v>
      </c>
      <c r="E14" s="50" t="n">
        <f aca="false">C14-151978</f>
        <v>190478</v>
      </c>
      <c r="F14" s="49" t="n">
        <f aca="false">D14/$D$2</f>
        <v>-210.23443408117</v>
      </c>
      <c r="G14" s="49" t="n">
        <v>239</v>
      </c>
      <c r="H14" s="80" t="n">
        <v>0</v>
      </c>
      <c r="I14" s="49" t="n">
        <f aca="false">G14+H14</f>
        <v>239</v>
      </c>
      <c r="J14" s="76" t="n">
        <f aca="false">IF(L14&gt;0,L14,0)</f>
        <v>0</v>
      </c>
      <c r="K14" s="49" t="n">
        <f aca="false">I14+J14</f>
        <v>239</v>
      </c>
      <c r="L14" s="49" t="n">
        <f aca="false">F14-(I14-W14)</f>
        <v>-24.2344340811696</v>
      </c>
      <c r="M14" s="49" t="n">
        <v>130</v>
      </c>
      <c r="N14" s="49" t="n">
        <v>0</v>
      </c>
      <c r="O14" s="49" t="n">
        <v>0</v>
      </c>
      <c r="P14" s="6" t="n">
        <f aca="false">M14-(N14+O14)</f>
        <v>130</v>
      </c>
      <c r="Q14" s="49" t="n">
        <v>117</v>
      </c>
      <c r="R14" s="49" t="n">
        <v>72</v>
      </c>
      <c r="S14" s="49" t="n">
        <f aca="false">SUM(P14:R14)</f>
        <v>319</v>
      </c>
      <c r="T14" s="50" t="n">
        <f aca="false">(I14-S14)+T13</f>
        <v>4368</v>
      </c>
      <c r="U14" s="49" t="n">
        <v>26</v>
      </c>
      <c r="V14" s="49" t="n">
        <v>80</v>
      </c>
      <c r="W14" s="6" t="n">
        <f aca="false">N14+O14+S14+U14+V14</f>
        <v>425</v>
      </c>
      <c r="X14" s="49" t="n">
        <f aca="false">IF(L14&lt;0,L14*-1,0)</f>
        <v>24.2344340811696</v>
      </c>
      <c r="Y14" s="49" t="n">
        <f aca="false">W14+X14</f>
        <v>449.23443408117</v>
      </c>
      <c r="Z14" s="51" t="n">
        <v>0</v>
      </c>
      <c r="AA14" s="54" t="n">
        <v>81</v>
      </c>
      <c r="AB14" s="54" t="n">
        <v>43</v>
      </c>
      <c r="AC14" s="55" t="n">
        <v>5</v>
      </c>
      <c r="AD14" s="84"/>
      <c r="AE14" s="85"/>
      <c r="AF14" s="85"/>
    </row>
    <row r="15" customFormat="false" ht="11.1" hidden="false" customHeight="true" outlineLevel="0" collapsed="false">
      <c r="A15" s="55" t="n">
        <v>6</v>
      </c>
      <c r="B15" s="69" t="n">
        <v>6914.9</v>
      </c>
      <c r="C15" s="50" t="n">
        <v>341958</v>
      </c>
      <c r="D15" s="54" t="n">
        <f aca="false">C15-C14</f>
        <v>-498</v>
      </c>
      <c r="E15" s="50" t="n">
        <f aca="false">C15-151978</f>
        <v>189980</v>
      </c>
      <c r="F15" s="49" t="n">
        <f aca="false">D15/$D$2</f>
        <v>-251.07133854298</v>
      </c>
      <c r="G15" s="49" t="n">
        <v>217</v>
      </c>
      <c r="H15" s="80" t="n">
        <v>0</v>
      </c>
      <c r="I15" s="49" t="n">
        <f aca="false">G15+H15</f>
        <v>217</v>
      </c>
      <c r="J15" s="76" t="n">
        <f aca="false">IF(L15&gt;0,L15,0)</f>
        <v>0</v>
      </c>
      <c r="K15" s="49" t="n">
        <f aca="false">I15+J15</f>
        <v>217</v>
      </c>
      <c r="L15" s="49" t="n">
        <f aca="false">F15-(I15-W15)</f>
        <v>-50.0713385429796</v>
      </c>
      <c r="M15" s="49" t="n">
        <v>121</v>
      </c>
      <c r="N15" s="49" t="n">
        <v>0</v>
      </c>
      <c r="O15" s="49" t="n">
        <v>0</v>
      </c>
      <c r="P15" s="6" t="n">
        <f aca="false">M15-(N15+O15)</f>
        <v>121</v>
      </c>
      <c r="Q15" s="49" t="n">
        <v>118</v>
      </c>
      <c r="R15" s="49" t="n">
        <v>71</v>
      </c>
      <c r="S15" s="49" t="n">
        <f aca="false">SUM(P15:R15)</f>
        <v>310</v>
      </c>
      <c r="T15" s="50" t="n">
        <f aca="false">(I15-S15)+T14</f>
        <v>4275</v>
      </c>
      <c r="U15" s="49" t="n">
        <v>28</v>
      </c>
      <c r="V15" s="49" t="n">
        <v>80</v>
      </c>
      <c r="W15" s="6" t="n">
        <f aca="false">N15+O15+S15+U15+V15</f>
        <v>418</v>
      </c>
      <c r="X15" s="49" t="n">
        <f aca="false">IF(L15&lt;0,L15*-1,0)</f>
        <v>50.0713385429796</v>
      </c>
      <c r="Y15" s="49" t="n">
        <f aca="false">W15+X15</f>
        <v>468.07133854298</v>
      </c>
      <c r="Z15" s="51" t="n">
        <v>0</v>
      </c>
      <c r="AA15" s="54" t="n">
        <v>80</v>
      </c>
      <c r="AB15" s="54" t="n">
        <v>44</v>
      </c>
      <c r="AC15" s="55" t="n">
        <v>6</v>
      </c>
      <c r="AD15" s="84"/>
      <c r="AE15" s="85"/>
      <c r="AF15" s="85"/>
    </row>
    <row r="16" customFormat="false" ht="11.1" hidden="false" customHeight="true" outlineLevel="0" collapsed="false">
      <c r="A16" s="55" t="n">
        <v>7</v>
      </c>
      <c r="B16" s="69" t="n">
        <v>6914.79</v>
      </c>
      <c r="C16" s="50" t="n">
        <v>341503</v>
      </c>
      <c r="D16" s="54" t="n">
        <f aca="false">C16-C15</f>
        <v>-455</v>
      </c>
      <c r="E16" s="50" t="n">
        <f aca="false">C16-151978</f>
        <v>189525</v>
      </c>
      <c r="F16" s="49" t="n">
        <f aca="false">D16/$D$2</f>
        <v>-229.392488026216</v>
      </c>
      <c r="G16" s="49" t="n">
        <v>201</v>
      </c>
      <c r="H16" s="80" t="n">
        <v>0</v>
      </c>
      <c r="I16" s="49" t="n">
        <f aca="false">G16+H16</f>
        <v>201</v>
      </c>
      <c r="J16" s="76" t="n">
        <f aca="false">IF(L16&gt;0,L16,0)</f>
        <v>0</v>
      </c>
      <c r="K16" s="49" t="n">
        <f aca="false">I16+J16</f>
        <v>201</v>
      </c>
      <c r="L16" s="49" t="n">
        <f aca="false">F16-(I16-W16)</f>
        <v>-17.3924880262163</v>
      </c>
      <c r="M16" s="49" t="n">
        <v>118</v>
      </c>
      <c r="N16" s="49" t="n">
        <v>0</v>
      </c>
      <c r="O16" s="49" t="n">
        <v>0</v>
      </c>
      <c r="P16" s="6" t="n">
        <f aca="false">M16-(N16+O16)</f>
        <v>118</v>
      </c>
      <c r="Q16" s="49" t="n">
        <v>118</v>
      </c>
      <c r="R16" s="49" t="n">
        <v>72</v>
      </c>
      <c r="S16" s="49" t="n">
        <f aca="false">SUM(P16:R16)</f>
        <v>308</v>
      </c>
      <c r="T16" s="50" t="n">
        <f aca="false">(I16-S16)+T15</f>
        <v>4168</v>
      </c>
      <c r="U16" s="49" t="n">
        <v>25</v>
      </c>
      <c r="V16" s="49" t="n">
        <v>80</v>
      </c>
      <c r="W16" s="6" t="n">
        <f aca="false">N16+O16+S16+U16+V16</f>
        <v>413</v>
      </c>
      <c r="X16" s="49" t="n">
        <f aca="false">IF(L16&lt;0,L16*-1,0)</f>
        <v>17.3924880262163</v>
      </c>
      <c r="Y16" s="49" t="n">
        <f aca="false">W16+X16</f>
        <v>430.392488026216</v>
      </c>
      <c r="Z16" s="51" t="n">
        <v>0</v>
      </c>
      <c r="AA16" s="54" t="n">
        <v>79</v>
      </c>
      <c r="AB16" s="54" t="n">
        <v>44</v>
      </c>
      <c r="AC16" s="55" t="n">
        <v>7</v>
      </c>
      <c r="AD16" s="84"/>
      <c r="AE16" s="85"/>
      <c r="AF16" s="85"/>
    </row>
    <row r="17" customFormat="false" ht="11.1" hidden="false" customHeight="true" outlineLevel="0" collapsed="false">
      <c r="A17" s="55" t="n">
        <v>8</v>
      </c>
      <c r="B17" s="69" t="n">
        <v>6914.63</v>
      </c>
      <c r="C17" s="50" t="n">
        <v>340840</v>
      </c>
      <c r="D17" s="54" t="n">
        <f aca="false">C17-C16</f>
        <v>-663</v>
      </c>
      <c r="E17" s="50" t="n">
        <f aca="false">C17-151978</f>
        <v>188862</v>
      </c>
      <c r="F17" s="49" t="n">
        <f aca="false">D17/$D$2</f>
        <v>-334.257625409629</v>
      </c>
      <c r="G17" s="49" t="n">
        <v>190</v>
      </c>
      <c r="H17" s="80" t="n">
        <v>0</v>
      </c>
      <c r="I17" s="49" t="n">
        <f aca="false">G17+H17</f>
        <v>190</v>
      </c>
      <c r="J17" s="76" t="n">
        <f aca="false">IF(L17&gt;0,L17,0)</f>
        <v>0</v>
      </c>
      <c r="K17" s="49" t="n">
        <f aca="false">I17+J17</f>
        <v>190</v>
      </c>
      <c r="L17" s="49" t="n">
        <f aca="false">F17-(I17-W17)</f>
        <v>-103.257625409629</v>
      </c>
      <c r="M17" s="49" t="n">
        <v>118</v>
      </c>
      <c r="N17" s="49" t="n">
        <v>0</v>
      </c>
      <c r="O17" s="49" t="n">
        <v>0</v>
      </c>
      <c r="P17" s="6" t="n">
        <f aca="false">M17-(N17+O17)</f>
        <v>118</v>
      </c>
      <c r="Q17" s="49" t="n">
        <v>118</v>
      </c>
      <c r="R17" s="49" t="n">
        <v>70</v>
      </c>
      <c r="S17" s="49" t="n">
        <f aca="false">SUM(P17:R17)</f>
        <v>306</v>
      </c>
      <c r="T17" s="50" t="n">
        <f aca="false">(I17-S17)+T16</f>
        <v>4052</v>
      </c>
      <c r="U17" s="49" t="n">
        <v>35</v>
      </c>
      <c r="V17" s="49" t="n">
        <v>80</v>
      </c>
      <c r="W17" s="6" t="n">
        <f aca="false">N17+O17+S17+U17+V17</f>
        <v>421</v>
      </c>
      <c r="X17" s="49" t="n">
        <f aca="false">IF(L17&lt;0,L17*-1,0)</f>
        <v>103.257625409629</v>
      </c>
      <c r="Y17" s="49" t="n">
        <f aca="false">W17+X17</f>
        <v>524.25762540963</v>
      </c>
      <c r="Z17" s="51" t="n">
        <v>0</v>
      </c>
      <c r="AA17" s="54" t="n">
        <v>84</v>
      </c>
      <c r="AB17" s="54" t="n">
        <v>45</v>
      </c>
      <c r="AC17" s="55" t="n">
        <v>8</v>
      </c>
      <c r="AD17" s="84"/>
      <c r="AE17" s="85"/>
      <c r="AF17" s="85"/>
    </row>
    <row r="18" customFormat="false" ht="11.1" hidden="false" customHeight="true" outlineLevel="0" collapsed="false">
      <c r="A18" s="55" t="n">
        <v>9</v>
      </c>
      <c r="B18" s="69" t="n">
        <v>6914.55</v>
      </c>
      <c r="C18" s="50" t="n">
        <v>340509</v>
      </c>
      <c r="D18" s="54" t="n">
        <f aca="false">C18-C17</f>
        <v>-331</v>
      </c>
      <c r="E18" s="50" t="n">
        <f aca="false">C18-151978</f>
        <v>188531</v>
      </c>
      <c r="F18" s="49" t="n">
        <f aca="false">D18/$D$2</f>
        <v>-166.876733047643</v>
      </c>
      <c r="G18" s="49" t="n">
        <v>182</v>
      </c>
      <c r="H18" s="80" t="n">
        <v>0</v>
      </c>
      <c r="I18" s="49" t="n">
        <f aca="false">G18+H18</f>
        <v>182</v>
      </c>
      <c r="J18" s="76" t="n">
        <f aca="false">IF(L18&gt;0,L18,0)</f>
        <v>69.1232669523569</v>
      </c>
      <c r="K18" s="49" t="n">
        <f aca="false">I18+J18</f>
        <v>251.123266952357</v>
      </c>
      <c r="L18" s="49" t="n">
        <f aca="false">F18-(I18-W18)</f>
        <v>69.1232669523569</v>
      </c>
      <c r="M18" s="49" t="n">
        <v>118</v>
      </c>
      <c r="N18" s="49" t="n">
        <v>0</v>
      </c>
      <c r="O18" s="49" t="n">
        <v>0</v>
      </c>
      <c r="P18" s="6" t="n">
        <f aca="false">M18-(N18+O18)</f>
        <v>118</v>
      </c>
      <c r="Q18" s="49" t="n">
        <v>118</v>
      </c>
      <c r="R18" s="49" t="n">
        <v>71</v>
      </c>
      <c r="S18" s="49" t="n">
        <f aca="false">SUM(P18:R18)</f>
        <v>307</v>
      </c>
      <c r="T18" s="50" t="n">
        <f aca="false">(I18-S18)+T17</f>
        <v>3927</v>
      </c>
      <c r="U18" s="49" t="n">
        <v>31</v>
      </c>
      <c r="V18" s="49" t="n">
        <v>80</v>
      </c>
      <c r="W18" s="6" t="n">
        <f aca="false">N18+O18+S18+U18+V18</f>
        <v>418</v>
      </c>
      <c r="X18" s="49" t="n">
        <f aca="false">IF(L18&lt;0,L18*-1,0)</f>
        <v>0</v>
      </c>
      <c r="Y18" s="49" t="n">
        <f aca="false">W18+X18</f>
        <v>418</v>
      </c>
      <c r="Z18" s="51" t="n">
        <v>0</v>
      </c>
      <c r="AA18" s="54" t="n">
        <v>79</v>
      </c>
      <c r="AB18" s="54" t="n">
        <v>47</v>
      </c>
      <c r="AC18" s="55" t="n">
        <v>9</v>
      </c>
      <c r="AD18" s="84"/>
      <c r="AE18" s="85"/>
      <c r="AF18" s="85"/>
    </row>
    <row r="19" customFormat="false" ht="11.1" hidden="false" customHeight="true" outlineLevel="0" collapsed="false">
      <c r="A19" s="55" t="n">
        <v>10</v>
      </c>
      <c r="B19" s="69" t="n">
        <v>6914.5</v>
      </c>
      <c r="C19" s="50" t="n">
        <v>340301</v>
      </c>
      <c r="D19" s="54" t="n">
        <f aca="false">C19-C18</f>
        <v>-208</v>
      </c>
      <c r="E19" s="50" t="n">
        <f aca="false">C19-151978</f>
        <v>188323</v>
      </c>
      <c r="F19" s="49" t="n">
        <f aca="false">D19/$D$2</f>
        <v>-104.865137383413</v>
      </c>
      <c r="G19" s="49" t="n">
        <v>177</v>
      </c>
      <c r="H19" s="80" t="n">
        <v>0</v>
      </c>
      <c r="I19" s="49" t="n">
        <f aca="false">G19+H19</f>
        <v>177</v>
      </c>
      <c r="J19" s="76" t="n">
        <f aca="false">IF(L19&gt;0,L19,0)</f>
        <v>132.134862616587</v>
      </c>
      <c r="K19" s="49" t="n">
        <f aca="false">I19+J19</f>
        <v>309.134862616587</v>
      </c>
      <c r="L19" s="49" t="n">
        <f aca="false">F19-(I19-W19)</f>
        <v>132.134862616587</v>
      </c>
      <c r="M19" s="49" t="n">
        <v>118</v>
      </c>
      <c r="N19" s="49" t="n">
        <v>0</v>
      </c>
      <c r="O19" s="49" t="n">
        <v>0</v>
      </c>
      <c r="P19" s="6" t="n">
        <f aca="false">M19-(N19+O19)</f>
        <v>118</v>
      </c>
      <c r="Q19" s="49" t="n">
        <v>117</v>
      </c>
      <c r="R19" s="49" t="n">
        <v>70</v>
      </c>
      <c r="S19" s="49" t="n">
        <f aca="false">SUM(P19:R19)</f>
        <v>305</v>
      </c>
      <c r="T19" s="50" t="n">
        <f aca="false">(I19-S19)+T18</f>
        <v>3799</v>
      </c>
      <c r="U19" s="49" t="n">
        <v>29</v>
      </c>
      <c r="V19" s="49" t="n">
        <v>80</v>
      </c>
      <c r="W19" s="6" t="n">
        <f aca="false">N19+O19+S19+U19+V19</f>
        <v>414</v>
      </c>
      <c r="X19" s="49" t="n">
        <f aca="false">IF(L19&lt;0,L19*-1,0)</f>
        <v>0</v>
      </c>
      <c r="Y19" s="49" t="n">
        <f aca="false">W19+X19</f>
        <v>414</v>
      </c>
      <c r="Z19" s="51" t="n">
        <v>0.13</v>
      </c>
      <c r="AA19" s="54" t="n">
        <v>78</v>
      </c>
      <c r="AB19" s="54" t="n">
        <v>45</v>
      </c>
      <c r="AC19" s="55" t="n">
        <v>10</v>
      </c>
      <c r="AD19" s="84"/>
      <c r="AE19" s="85"/>
      <c r="AF19" s="85"/>
    </row>
    <row r="20" customFormat="false" ht="11.1" hidden="false" customHeight="true" outlineLevel="0" collapsed="false">
      <c r="A20" s="55" t="n">
        <v>11</v>
      </c>
      <c r="B20" s="69" t="n">
        <v>6914.47</v>
      </c>
      <c r="C20" s="50" t="n">
        <v>340177</v>
      </c>
      <c r="D20" s="54" t="n">
        <f aca="false">C20-C19</f>
        <v>-124</v>
      </c>
      <c r="E20" s="50" t="n">
        <f aca="false">C20-151978</f>
        <v>188199</v>
      </c>
      <c r="F20" s="49" t="n">
        <f aca="false">D20/$D$2</f>
        <v>-62.5157549785732</v>
      </c>
      <c r="G20" s="49" t="n">
        <v>211</v>
      </c>
      <c r="H20" s="80" t="n">
        <v>0</v>
      </c>
      <c r="I20" s="49" t="n">
        <f aca="false">G20+H20</f>
        <v>211</v>
      </c>
      <c r="J20" s="76" t="n">
        <f aca="false">IF(L20&gt;0,L20,0)</f>
        <v>153.484245021427</v>
      </c>
      <c r="K20" s="49" t="n">
        <f aca="false">I20+J20</f>
        <v>364.484245021427</v>
      </c>
      <c r="L20" s="49" t="n">
        <f aca="false">F20-(I20-W20)</f>
        <v>153.484245021427</v>
      </c>
      <c r="M20" s="49" t="n">
        <v>118</v>
      </c>
      <c r="N20" s="49" t="n">
        <v>0</v>
      </c>
      <c r="O20" s="49" t="n">
        <v>0</v>
      </c>
      <c r="P20" s="6" t="n">
        <f aca="false">M20-(N20+O20)</f>
        <v>118</v>
      </c>
      <c r="Q20" s="49" t="n">
        <v>117</v>
      </c>
      <c r="R20" s="49" t="n">
        <v>71</v>
      </c>
      <c r="S20" s="49" t="n">
        <f aca="false">SUM(P20:R20)</f>
        <v>306</v>
      </c>
      <c r="T20" s="50" t="n">
        <f aca="false">(I20-S20)+T19</f>
        <v>3704</v>
      </c>
      <c r="U20" s="49" t="n">
        <v>41</v>
      </c>
      <c r="V20" s="49" t="n">
        <v>80</v>
      </c>
      <c r="W20" s="6" t="n">
        <f aca="false">N20+O20+S20+U20+V20</f>
        <v>427</v>
      </c>
      <c r="X20" s="49" t="n">
        <f aca="false">IF(L20&lt;0,L20*-1,0)</f>
        <v>0</v>
      </c>
      <c r="Y20" s="49" t="n">
        <f aca="false">W20+X20</f>
        <v>427</v>
      </c>
      <c r="Z20" s="51" t="n">
        <v>0.74</v>
      </c>
      <c r="AA20" s="54" t="n">
        <v>79</v>
      </c>
      <c r="AB20" s="54" t="n">
        <v>42</v>
      </c>
      <c r="AC20" s="55" t="n">
        <v>11</v>
      </c>
      <c r="AD20" s="84"/>
      <c r="AE20" s="85"/>
      <c r="AF20" s="85"/>
    </row>
    <row r="21" customFormat="false" ht="11.1" hidden="false" customHeight="true" outlineLevel="0" collapsed="false">
      <c r="A21" s="55" t="n">
        <v>12</v>
      </c>
      <c r="B21" s="69" t="n">
        <v>6914.48</v>
      </c>
      <c r="C21" s="50" t="n">
        <v>340219</v>
      </c>
      <c r="D21" s="54" t="n">
        <f aca="false">C21-C20</f>
        <v>42</v>
      </c>
      <c r="E21" s="50" t="n">
        <f aca="false">C21-151978</f>
        <v>188241</v>
      </c>
      <c r="F21" s="49" t="n">
        <f aca="false">D21/$D$2</f>
        <v>21.17469120242</v>
      </c>
      <c r="G21" s="49" t="n">
        <v>352</v>
      </c>
      <c r="H21" s="80" t="n">
        <v>0</v>
      </c>
      <c r="I21" s="49" t="n">
        <f aca="false">G21+H21</f>
        <v>352</v>
      </c>
      <c r="J21" s="76" t="n">
        <f aca="false">IF(L21&gt;0,L21,0)</f>
        <v>67.17469120242</v>
      </c>
      <c r="K21" s="49" t="n">
        <f aca="false">I21+J21</f>
        <v>419.17469120242</v>
      </c>
      <c r="L21" s="49" t="n">
        <f aca="false">F21-(I21-W21)</f>
        <v>67.17469120242</v>
      </c>
      <c r="M21" s="49" t="n">
        <v>111</v>
      </c>
      <c r="N21" s="49" t="n">
        <v>0</v>
      </c>
      <c r="O21" s="49" t="n">
        <v>0</v>
      </c>
      <c r="P21" s="6" t="n">
        <f aca="false">M21-(N21+O21)</f>
        <v>111</v>
      </c>
      <c r="Q21" s="49" t="n">
        <v>117</v>
      </c>
      <c r="R21" s="49" t="n">
        <v>67</v>
      </c>
      <c r="S21" s="49" t="n">
        <f aca="false">SUM(P21:R21)</f>
        <v>295</v>
      </c>
      <c r="T21" s="50" t="n">
        <f aca="false">(I21-S21)+T20</f>
        <v>3761</v>
      </c>
      <c r="U21" s="49" t="n">
        <v>22</v>
      </c>
      <c r="V21" s="49" t="n">
        <v>81</v>
      </c>
      <c r="W21" s="6" t="n">
        <f aca="false">N21+O21+S21+U21+V21</f>
        <v>398</v>
      </c>
      <c r="X21" s="49" t="n">
        <f aca="false">IF(L21&lt;0,L21*-1,0)</f>
        <v>0</v>
      </c>
      <c r="Y21" s="49" t="n">
        <f aca="false">W21+X21</f>
        <v>398</v>
      </c>
      <c r="Z21" s="51" t="n">
        <v>0.53</v>
      </c>
      <c r="AA21" s="54" t="n">
        <v>65</v>
      </c>
      <c r="AB21" s="54" t="n">
        <v>46</v>
      </c>
      <c r="AC21" s="55" t="n">
        <v>12</v>
      </c>
      <c r="AD21" s="84"/>
      <c r="AE21" s="85"/>
      <c r="AF21" s="85"/>
    </row>
    <row r="22" customFormat="false" ht="11.1" hidden="false" customHeight="true" outlineLevel="0" collapsed="false">
      <c r="A22" s="55" t="n">
        <v>13</v>
      </c>
      <c r="B22" s="69" t="n">
        <v>6914.58</v>
      </c>
      <c r="C22" s="50" t="n">
        <v>340633</v>
      </c>
      <c r="D22" s="54" t="n">
        <f aca="false">C22-C21</f>
        <v>414</v>
      </c>
      <c r="E22" s="50" t="n">
        <f aca="false">C22-151978</f>
        <v>188655</v>
      </c>
      <c r="F22" s="49" t="n">
        <f aca="false">D22/$D$2</f>
        <v>208.72195613814</v>
      </c>
      <c r="G22" s="49" t="n">
        <v>587</v>
      </c>
      <c r="H22" s="80" t="n">
        <v>0</v>
      </c>
      <c r="I22" s="49" t="n">
        <f aca="false">G22+H22</f>
        <v>587</v>
      </c>
      <c r="J22" s="76" t="n">
        <f aca="false">IF(L22&gt;0,L22,0)</f>
        <v>1.72195613813966</v>
      </c>
      <c r="K22" s="49" t="n">
        <f aca="false">I22+J22</f>
        <v>588.72195613814</v>
      </c>
      <c r="L22" s="49" t="n">
        <f aca="false">F22-(I22-W22)</f>
        <v>1.72195613813966</v>
      </c>
      <c r="M22" s="49" t="n">
        <v>99</v>
      </c>
      <c r="N22" s="49" t="n">
        <v>0</v>
      </c>
      <c r="O22" s="49" t="n">
        <v>0</v>
      </c>
      <c r="P22" s="6" t="n">
        <f aca="false">M22-(N22+O22)</f>
        <v>99</v>
      </c>
      <c r="Q22" s="49" t="n">
        <v>117</v>
      </c>
      <c r="R22" s="49" t="n">
        <v>66</v>
      </c>
      <c r="S22" s="49" t="n">
        <f aca="false">SUM(P22:R22)</f>
        <v>282</v>
      </c>
      <c r="T22" s="50" t="n">
        <f aca="false">(I22-S22)+T21</f>
        <v>4066</v>
      </c>
      <c r="U22" s="49" t="n">
        <v>17</v>
      </c>
      <c r="V22" s="49" t="n">
        <v>81</v>
      </c>
      <c r="W22" s="6" t="n">
        <f aca="false">N22+O22+S22+U22+V22</f>
        <v>380</v>
      </c>
      <c r="X22" s="49" t="n">
        <f aca="false">IF(L22&lt;0,L22*-1,0)</f>
        <v>0</v>
      </c>
      <c r="Y22" s="49" t="n">
        <f aca="false">W22+X22</f>
        <v>380</v>
      </c>
      <c r="Z22" s="51" t="n">
        <v>0</v>
      </c>
      <c r="AA22" s="54" t="n">
        <v>62</v>
      </c>
      <c r="AB22" s="54" t="n">
        <v>39</v>
      </c>
      <c r="AC22" s="55" t="n">
        <v>13</v>
      </c>
      <c r="AD22" s="84"/>
      <c r="AE22" s="85"/>
      <c r="AF22" s="85"/>
    </row>
    <row r="23" customFormat="false" ht="11.1" hidden="false" customHeight="true" outlineLevel="0" collapsed="false">
      <c r="A23" s="55" t="n">
        <v>14</v>
      </c>
      <c r="B23" s="69" t="n">
        <v>6914.57</v>
      </c>
      <c r="C23" s="50" t="n">
        <v>340591</v>
      </c>
      <c r="D23" s="54" t="n">
        <f aca="false">C23-C22</f>
        <v>-42</v>
      </c>
      <c r="E23" s="50" t="n">
        <f aca="false">C23-151978</f>
        <v>188613</v>
      </c>
      <c r="F23" s="49" t="n">
        <f aca="false">D23/$D$2</f>
        <v>-21.17469120242</v>
      </c>
      <c r="G23" s="49" t="n">
        <v>402</v>
      </c>
      <c r="H23" s="80" t="n">
        <v>0</v>
      </c>
      <c r="I23" s="49" t="n">
        <f aca="false">G23+H23</f>
        <v>402</v>
      </c>
      <c r="J23" s="76" t="n">
        <f aca="false">IF(L23&gt;0,L23,0)</f>
        <v>0</v>
      </c>
      <c r="K23" s="49" t="n">
        <f aca="false">I23+J23</f>
        <v>402</v>
      </c>
      <c r="L23" s="49" t="n">
        <f aca="false">F23-(I23-W23)</f>
        <v>-42.17469120242</v>
      </c>
      <c r="M23" s="49" t="n">
        <v>92</v>
      </c>
      <c r="N23" s="49" t="n">
        <v>0</v>
      </c>
      <c r="O23" s="49" t="n">
        <v>0</v>
      </c>
      <c r="P23" s="6" t="n">
        <f aca="false">M23-(N23+O23)</f>
        <v>92</v>
      </c>
      <c r="Q23" s="49" t="n">
        <v>117</v>
      </c>
      <c r="R23" s="49" t="n">
        <v>67</v>
      </c>
      <c r="S23" s="49" t="n">
        <f aca="false">SUM(P23:R23)</f>
        <v>276</v>
      </c>
      <c r="T23" s="50" t="n">
        <f aca="false">(I23-S23)+T22</f>
        <v>4192</v>
      </c>
      <c r="U23" s="49" t="n">
        <v>26</v>
      </c>
      <c r="V23" s="49" t="n">
        <v>79</v>
      </c>
      <c r="W23" s="6" t="n">
        <f aca="false">N23+O23+S23+U23+V23</f>
        <v>381</v>
      </c>
      <c r="X23" s="49" t="n">
        <f aca="false">IF(L23&lt;0,L23*-1,0)</f>
        <v>42.17469120242</v>
      </c>
      <c r="Y23" s="49" t="n">
        <f aca="false">W23+X23</f>
        <v>423.17469120242</v>
      </c>
      <c r="Z23" s="51" t="n">
        <v>0</v>
      </c>
      <c r="AA23" s="54" t="n">
        <v>61</v>
      </c>
      <c r="AB23" s="54" t="n">
        <v>35</v>
      </c>
      <c r="AC23" s="55" t="n">
        <v>14</v>
      </c>
      <c r="AD23" s="84"/>
      <c r="AE23" s="85"/>
      <c r="AF23" s="85"/>
    </row>
    <row r="24" customFormat="false" ht="11.1" hidden="false" customHeight="true" outlineLevel="0" collapsed="false">
      <c r="A24" s="55" t="n">
        <v>15</v>
      </c>
      <c r="B24" s="69" t="n">
        <v>6914.54</v>
      </c>
      <c r="C24" s="50" t="n">
        <v>340467</v>
      </c>
      <c r="D24" s="54" t="n">
        <f aca="false">C24-C23</f>
        <v>-124</v>
      </c>
      <c r="E24" s="50" t="n">
        <f aca="false">C24-151978</f>
        <v>188489</v>
      </c>
      <c r="F24" s="49" t="n">
        <f aca="false">D24/$D$2</f>
        <v>-62.5157549785732</v>
      </c>
      <c r="G24" s="49" t="n">
        <v>331</v>
      </c>
      <c r="H24" s="80" t="n">
        <v>0</v>
      </c>
      <c r="I24" s="49" t="n">
        <f aca="false">G24+H24</f>
        <v>331</v>
      </c>
      <c r="J24" s="76" t="n">
        <f aca="false">IF(L24&gt;0,L24,0)</f>
        <v>0</v>
      </c>
      <c r="K24" s="49" t="n">
        <f aca="false">I24+J24</f>
        <v>331</v>
      </c>
      <c r="L24" s="49" t="n">
        <f aca="false">F24-(I24-W24)</f>
        <v>-10.5157549785732</v>
      </c>
      <c r="M24" s="49" t="n">
        <v>92</v>
      </c>
      <c r="N24" s="49" t="n">
        <v>0</v>
      </c>
      <c r="O24" s="49" t="n">
        <v>0</v>
      </c>
      <c r="P24" s="6" t="n">
        <f aca="false">M24-(N24+O24)</f>
        <v>92</v>
      </c>
      <c r="Q24" s="49" t="n">
        <v>117</v>
      </c>
      <c r="R24" s="49" t="n">
        <v>66</v>
      </c>
      <c r="S24" s="49" t="n">
        <f aca="false">SUM(P24:R24)</f>
        <v>275</v>
      </c>
      <c r="T24" s="50" t="n">
        <f aca="false">(I24-S24)+T23</f>
        <v>4248</v>
      </c>
      <c r="U24" s="49" t="n">
        <v>30</v>
      </c>
      <c r="V24" s="49" t="n">
        <v>78</v>
      </c>
      <c r="W24" s="6" t="n">
        <f aca="false">N24+O24+S24+U24+V24</f>
        <v>383</v>
      </c>
      <c r="X24" s="49" t="n">
        <f aca="false">IF(L24&lt;0,L24*-1,0)</f>
        <v>10.5157549785732</v>
      </c>
      <c r="Y24" s="49" t="n">
        <f aca="false">W24+X24</f>
        <v>393.515754978573</v>
      </c>
      <c r="Z24" s="51" t="n">
        <v>0</v>
      </c>
      <c r="AA24" s="54" t="n">
        <v>64</v>
      </c>
      <c r="AB24" s="54" t="n">
        <v>31</v>
      </c>
      <c r="AC24" s="55" t="n">
        <v>15</v>
      </c>
      <c r="AD24" s="84"/>
      <c r="AE24" s="85"/>
      <c r="AF24" s="85"/>
    </row>
    <row r="25" customFormat="false" ht="11.1" hidden="false" customHeight="true" outlineLevel="0" collapsed="false">
      <c r="A25" s="55" t="n">
        <v>16</v>
      </c>
      <c r="B25" s="69" t="n">
        <v>6914.47</v>
      </c>
      <c r="C25" s="50" t="n">
        <v>340177</v>
      </c>
      <c r="D25" s="54" t="n">
        <f aca="false">C25-C24</f>
        <v>-290</v>
      </c>
      <c r="E25" s="50" t="n">
        <f aca="false">C25-151978</f>
        <v>188199</v>
      </c>
      <c r="F25" s="49" t="n">
        <f aca="false">D25/$D$2</f>
        <v>-146.206201159566</v>
      </c>
      <c r="G25" s="49" t="n">
        <v>290</v>
      </c>
      <c r="H25" s="80" t="n">
        <v>0</v>
      </c>
      <c r="I25" s="49" t="n">
        <f aca="false">G25+H25</f>
        <v>290</v>
      </c>
      <c r="J25" s="76" t="n">
        <f aca="false">IF(L25&gt;0,L25,0)</f>
        <v>0</v>
      </c>
      <c r="K25" s="49" t="n">
        <f aca="false">I25+J25</f>
        <v>290</v>
      </c>
      <c r="L25" s="49" t="n">
        <f aca="false">F25-(I25-W25)</f>
        <v>-62.2062011595664</v>
      </c>
      <c r="M25" s="49" t="n">
        <v>86</v>
      </c>
      <c r="N25" s="49" t="n">
        <v>0</v>
      </c>
      <c r="O25" s="49" t="n">
        <v>0</v>
      </c>
      <c r="P25" s="6" t="n">
        <f aca="false">M25-(N25+O25)</f>
        <v>86</v>
      </c>
      <c r="Q25" s="49" t="n">
        <v>116</v>
      </c>
      <c r="R25" s="49" t="n">
        <v>63</v>
      </c>
      <c r="S25" s="49" t="n">
        <f aca="false">SUM(P25:R25)</f>
        <v>265</v>
      </c>
      <c r="T25" s="50" t="n">
        <f aca="false">(I25-S25)+T24</f>
        <v>4273</v>
      </c>
      <c r="U25" s="49" t="n">
        <v>32</v>
      </c>
      <c r="V25" s="49" t="n">
        <v>77</v>
      </c>
      <c r="W25" s="6" t="n">
        <f aca="false">N25+O25+S25+U25+V25</f>
        <v>374</v>
      </c>
      <c r="X25" s="49" t="n">
        <f aca="false">IF(L25&lt;0,L25*-1,0)</f>
        <v>62.2062011595664</v>
      </c>
      <c r="Y25" s="49" t="n">
        <f aca="false">W25+X25</f>
        <v>436.206201159567</v>
      </c>
      <c r="Z25" s="51" t="n">
        <v>0</v>
      </c>
      <c r="AA25" s="54" t="n">
        <v>60</v>
      </c>
      <c r="AB25" s="54" t="n">
        <v>39</v>
      </c>
      <c r="AC25" s="55" t="n">
        <v>16</v>
      </c>
      <c r="AD25" s="84"/>
      <c r="AE25" s="85"/>
      <c r="AF25" s="85"/>
    </row>
    <row r="26" customFormat="false" ht="11.1" hidden="false" customHeight="true" outlineLevel="0" collapsed="false">
      <c r="A26" s="55" t="n">
        <v>17</v>
      </c>
      <c r="B26" s="69" t="n">
        <v>6914.4</v>
      </c>
      <c r="C26" s="50" t="n">
        <v>339887</v>
      </c>
      <c r="D26" s="54" t="n">
        <f aca="false">C26-C25</f>
        <v>-290</v>
      </c>
      <c r="E26" s="50" t="n">
        <f aca="false">C26-151978</f>
        <v>187909</v>
      </c>
      <c r="F26" s="49" t="n">
        <f aca="false">D26/$D$2</f>
        <v>-146.206201159566</v>
      </c>
      <c r="G26" s="49" t="n">
        <v>262</v>
      </c>
      <c r="H26" s="80" t="n">
        <v>0</v>
      </c>
      <c r="I26" s="49" t="n">
        <f aca="false">G26+H26</f>
        <v>262</v>
      </c>
      <c r="J26" s="76" t="n">
        <f aca="false">IF(L26&gt;0,L26,0)</f>
        <v>0</v>
      </c>
      <c r="K26" s="49" t="n">
        <f aca="false">I26+J26</f>
        <v>262</v>
      </c>
      <c r="L26" s="49" t="n">
        <f aca="false">F26-(I26-W26)</f>
        <v>-55.2062011595664</v>
      </c>
      <c r="M26" s="49" t="n">
        <v>79</v>
      </c>
      <c r="N26" s="49" t="n">
        <v>0</v>
      </c>
      <c r="O26" s="49" t="n">
        <v>0</v>
      </c>
      <c r="P26" s="6" t="n">
        <f aca="false">M26-(N26+O26)</f>
        <v>79</v>
      </c>
      <c r="Q26" s="49" t="n">
        <v>116</v>
      </c>
      <c r="R26" s="49" t="n">
        <v>62</v>
      </c>
      <c r="S26" s="49" t="n">
        <f aca="false">SUM(P26:R26)</f>
        <v>257</v>
      </c>
      <c r="T26" s="50" t="n">
        <f aca="false">(I26-S26)+T25</f>
        <v>4278</v>
      </c>
      <c r="U26" s="49" t="n">
        <v>19</v>
      </c>
      <c r="V26" s="49" t="n">
        <v>77</v>
      </c>
      <c r="W26" s="6" t="n">
        <f aca="false">N26+O26+S26+U26+V26</f>
        <v>353</v>
      </c>
      <c r="X26" s="49" t="n">
        <f aca="false">IF(L26&lt;0,L26*-1,0)</f>
        <v>55.2062011595664</v>
      </c>
      <c r="Y26" s="49" t="n">
        <f aca="false">W26+X26</f>
        <v>408.206201159566</v>
      </c>
      <c r="Z26" s="51" t="n">
        <v>0</v>
      </c>
      <c r="AA26" s="54" t="n">
        <v>59</v>
      </c>
      <c r="AB26" s="54" t="n">
        <v>37</v>
      </c>
      <c r="AC26" s="55" t="n">
        <v>17</v>
      </c>
      <c r="AD26" s="84"/>
      <c r="AE26" s="85"/>
      <c r="AF26" s="85"/>
    </row>
    <row r="27" customFormat="false" ht="11.1" hidden="false" customHeight="true" outlineLevel="0" collapsed="false">
      <c r="A27" s="55" t="n">
        <v>18</v>
      </c>
      <c r="B27" s="69" t="n">
        <v>6914.23</v>
      </c>
      <c r="C27" s="50" t="n">
        <v>339597</v>
      </c>
      <c r="D27" s="54" t="n">
        <f aca="false">C27-C26</f>
        <v>-290</v>
      </c>
      <c r="E27" s="50" t="n">
        <f aca="false">C27-151978</f>
        <v>187619</v>
      </c>
      <c r="F27" s="49" t="n">
        <f aca="false">D27/$D$2</f>
        <v>-146.206201159566</v>
      </c>
      <c r="G27" s="49" t="n">
        <v>244</v>
      </c>
      <c r="H27" s="80" t="n">
        <v>0</v>
      </c>
      <c r="I27" s="49" t="n">
        <f aca="false">G27+H27</f>
        <v>244</v>
      </c>
      <c r="J27" s="76" t="n">
        <f aca="false">IF(L27&gt;0,L27,0)</f>
        <v>0</v>
      </c>
      <c r="K27" s="49" t="n">
        <f aca="false">I27+J27</f>
        <v>244</v>
      </c>
      <c r="L27" s="49" t="n">
        <f aca="false">F27-(I27-W27)</f>
        <v>-20.2062011595664</v>
      </c>
      <c r="M27" s="49" t="n">
        <v>79</v>
      </c>
      <c r="N27" s="49" t="n">
        <v>0</v>
      </c>
      <c r="O27" s="49" t="n">
        <v>0</v>
      </c>
      <c r="P27" s="6" t="n">
        <f aca="false">M27-(N27+O27)</f>
        <v>79</v>
      </c>
      <c r="Q27" s="49" t="n">
        <v>116</v>
      </c>
      <c r="R27" s="49" t="n">
        <v>62</v>
      </c>
      <c r="S27" s="49" t="n">
        <f aca="false">SUM(P27:R27)</f>
        <v>257</v>
      </c>
      <c r="T27" s="50" t="n">
        <f aca="false">(I27-S27)+T26</f>
        <v>4265</v>
      </c>
      <c r="U27" s="49" t="n">
        <v>36</v>
      </c>
      <c r="V27" s="49" t="n">
        <v>77</v>
      </c>
      <c r="W27" s="6" t="n">
        <f aca="false">N27+O27+S27+U27+V27</f>
        <v>370</v>
      </c>
      <c r="X27" s="49" t="n">
        <f aca="false">IF(L27&lt;0,L27*-1,0)</f>
        <v>20.2062011595664</v>
      </c>
      <c r="Y27" s="49" t="n">
        <f aca="false">W27+X27</f>
        <v>390.206201159566</v>
      </c>
      <c r="Z27" s="51" t="n">
        <v>0</v>
      </c>
      <c r="AA27" s="54" t="n">
        <v>60</v>
      </c>
      <c r="AB27" s="54" t="n">
        <v>34</v>
      </c>
      <c r="AC27" s="55" t="n">
        <v>18</v>
      </c>
      <c r="AD27" s="84"/>
      <c r="AE27" s="85"/>
      <c r="AF27" s="85"/>
    </row>
    <row r="28" customFormat="false" ht="11.1" hidden="false" customHeight="true" outlineLevel="0" collapsed="false">
      <c r="A28" s="55" t="n">
        <v>19</v>
      </c>
      <c r="B28" s="69" t="n">
        <v>6914.27</v>
      </c>
      <c r="C28" s="50" t="n">
        <v>339349</v>
      </c>
      <c r="D28" s="54" t="n">
        <f aca="false">C28-C27</f>
        <v>-248</v>
      </c>
      <c r="E28" s="50" t="n">
        <f aca="false">C28-151978</f>
        <v>187371</v>
      </c>
      <c r="F28" s="49" t="n">
        <f aca="false">D28/$D$2</f>
        <v>-125.031509957146</v>
      </c>
      <c r="G28" s="49" t="n">
        <v>227</v>
      </c>
      <c r="H28" s="80" t="n">
        <v>0</v>
      </c>
      <c r="I28" s="49" t="n">
        <f aca="false">G28+H28</f>
        <v>227</v>
      </c>
      <c r="J28" s="76" t="n">
        <f aca="false">IF(L28&gt;0,L28,0)</f>
        <v>0.968490042853546</v>
      </c>
      <c r="K28" s="49" t="n">
        <f aca="false">I28+J28</f>
        <v>227.968490042854</v>
      </c>
      <c r="L28" s="49" t="n">
        <f aca="false">F28-(I28-W28)</f>
        <v>0.968490042853546</v>
      </c>
      <c r="M28" s="49" t="n">
        <v>79</v>
      </c>
      <c r="N28" s="49" t="n">
        <v>0</v>
      </c>
      <c r="O28" s="49" t="n">
        <v>0</v>
      </c>
      <c r="P28" s="6" t="n">
        <f aca="false">M28-(N28+O28)</f>
        <v>79</v>
      </c>
      <c r="Q28" s="49" t="n">
        <v>116</v>
      </c>
      <c r="R28" s="49" t="n">
        <v>59</v>
      </c>
      <c r="S28" s="49" t="n">
        <f aca="false">SUM(P28:R28)</f>
        <v>254</v>
      </c>
      <c r="T28" s="50" t="n">
        <f aca="false">(I28-S28)+T27</f>
        <v>4238</v>
      </c>
      <c r="U28" s="49" t="n">
        <v>22</v>
      </c>
      <c r="V28" s="49" t="n">
        <v>77</v>
      </c>
      <c r="W28" s="6" t="n">
        <f aca="false">N28+O28+S28+U28+V28</f>
        <v>353</v>
      </c>
      <c r="X28" s="49" t="n">
        <f aca="false">IF(L28&lt;0,L28*-1,0)</f>
        <v>0</v>
      </c>
      <c r="Y28" s="49" t="n">
        <f aca="false">W28+X28</f>
        <v>353</v>
      </c>
      <c r="Z28" s="51" t="n">
        <v>0</v>
      </c>
      <c r="AA28" s="54" t="n">
        <v>67</v>
      </c>
      <c r="AB28" s="54" t="n">
        <v>31</v>
      </c>
      <c r="AC28" s="55" t="n">
        <v>19</v>
      </c>
      <c r="AD28" s="84"/>
      <c r="AE28" s="85"/>
      <c r="AF28" s="85"/>
    </row>
    <row r="29" customFormat="false" ht="11.1" hidden="false" customHeight="true" outlineLevel="0" collapsed="false">
      <c r="A29" s="55" t="n">
        <v>20</v>
      </c>
      <c r="B29" s="69" t="n">
        <v>6914.22</v>
      </c>
      <c r="C29" s="50" t="n">
        <v>339142</v>
      </c>
      <c r="D29" s="54" t="n">
        <f aca="false">C29-C28</f>
        <v>-207</v>
      </c>
      <c r="E29" s="50" t="n">
        <f aca="false">C29-151978</f>
        <v>187164</v>
      </c>
      <c r="F29" s="49" t="n">
        <f aca="false">D29/$D$2</f>
        <v>-104.36097806907</v>
      </c>
      <c r="G29" s="49" t="n">
        <v>216</v>
      </c>
      <c r="H29" s="80" t="n">
        <v>0</v>
      </c>
      <c r="I29" s="49" t="n">
        <f aca="false">G29+H29</f>
        <v>216</v>
      </c>
      <c r="J29" s="76" t="n">
        <f aca="false">IF(L29&gt;0,L29,0)</f>
        <v>26.6390219309302</v>
      </c>
      <c r="K29" s="49" t="n">
        <f aca="false">I29+J29</f>
        <v>242.63902193093</v>
      </c>
      <c r="L29" s="49" t="n">
        <f aca="false">F29-(I29-W29)</f>
        <v>26.6390219309302</v>
      </c>
      <c r="M29" s="49" t="n">
        <v>79</v>
      </c>
      <c r="N29" s="49" t="n">
        <v>0</v>
      </c>
      <c r="O29" s="49" t="n">
        <v>0</v>
      </c>
      <c r="P29" s="6" t="n">
        <f aca="false">M29-(N29+O29)</f>
        <v>79</v>
      </c>
      <c r="Q29" s="49" t="n">
        <v>115</v>
      </c>
      <c r="R29" s="49" t="n">
        <v>55</v>
      </c>
      <c r="S29" s="49" t="n">
        <f aca="false">SUM(P29:R29)</f>
        <v>249</v>
      </c>
      <c r="T29" s="50" t="n">
        <f aca="false">(I29-S29)+T28</f>
        <v>4205</v>
      </c>
      <c r="U29" s="49" t="n">
        <v>20</v>
      </c>
      <c r="V29" s="49" t="n">
        <v>78</v>
      </c>
      <c r="W29" s="6" t="n">
        <f aca="false">N29+O29+S29+U29+V29</f>
        <v>347</v>
      </c>
      <c r="X29" s="49" t="n">
        <f aca="false">IF(L29&lt;0,L29*-1,0)</f>
        <v>0</v>
      </c>
      <c r="Y29" s="49" t="n">
        <f aca="false">W29+X29</f>
        <v>347</v>
      </c>
      <c r="Z29" s="51" t="n">
        <v>0.07</v>
      </c>
      <c r="AA29" s="54" t="n">
        <v>75</v>
      </c>
      <c r="AB29" s="54" t="n">
        <v>37</v>
      </c>
      <c r="AC29" s="55" t="n">
        <v>20</v>
      </c>
      <c r="AD29" s="84"/>
      <c r="AE29" s="85"/>
      <c r="AF29" s="85"/>
    </row>
    <row r="30" customFormat="false" ht="11.1" hidden="false" customHeight="true" outlineLevel="0" collapsed="false">
      <c r="A30" s="55" t="n">
        <v>21</v>
      </c>
      <c r="B30" s="69" t="n">
        <v>6914.17</v>
      </c>
      <c r="C30" s="50" t="n">
        <v>338935</v>
      </c>
      <c r="D30" s="54" t="n">
        <f aca="false">C30-C29</f>
        <v>-207</v>
      </c>
      <c r="E30" s="50" t="n">
        <f aca="false">C30-151978</f>
        <v>186957</v>
      </c>
      <c r="F30" s="49" t="n">
        <f aca="false">D30/$D$2</f>
        <v>-104.36097806907</v>
      </c>
      <c r="G30" s="49" t="n">
        <v>268</v>
      </c>
      <c r="H30" s="80" t="n">
        <v>0</v>
      </c>
      <c r="I30" s="49" t="n">
        <f aca="false">G30+H30</f>
        <v>268</v>
      </c>
      <c r="J30" s="76" t="n">
        <f aca="false">IF(L30&gt;0,L30,0)</f>
        <v>0</v>
      </c>
      <c r="K30" s="49" t="n">
        <f aca="false">I30+J30</f>
        <v>268</v>
      </c>
      <c r="L30" s="49" t="n">
        <f aca="false">F30-(I30-W30)</f>
        <v>-26.3609780690698</v>
      </c>
      <c r="M30" s="49" t="n">
        <v>77</v>
      </c>
      <c r="N30" s="49" t="n">
        <v>0</v>
      </c>
      <c r="O30" s="49" t="n">
        <v>0</v>
      </c>
      <c r="P30" s="6" t="n">
        <f aca="false">M30-(N30+O30)</f>
        <v>77</v>
      </c>
      <c r="Q30" s="49" t="n">
        <v>115</v>
      </c>
      <c r="R30" s="49" t="n">
        <v>54</v>
      </c>
      <c r="S30" s="49" t="n">
        <f aca="false">SUM(P30:R30)</f>
        <v>246</v>
      </c>
      <c r="T30" s="50" t="n">
        <f aca="false">(I30-S30)+T29</f>
        <v>4227</v>
      </c>
      <c r="U30" s="49" t="n">
        <v>22</v>
      </c>
      <c r="V30" s="49" t="n">
        <v>78</v>
      </c>
      <c r="W30" s="6" t="n">
        <f aca="false">N30+O30+S30+U30+V30</f>
        <v>346</v>
      </c>
      <c r="X30" s="49" t="n">
        <f aca="false">IF(L30&lt;0,L30*-1,0)</f>
        <v>26.3609780690698</v>
      </c>
      <c r="Y30" s="49" t="n">
        <f aca="false">W30+X30</f>
        <v>372.36097806907</v>
      </c>
      <c r="Z30" s="51" t="n">
        <v>0</v>
      </c>
      <c r="AA30" s="54" t="n">
        <v>71</v>
      </c>
      <c r="AB30" s="54" t="n">
        <v>36</v>
      </c>
      <c r="AC30" s="55" t="n">
        <v>21</v>
      </c>
      <c r="AD30" s="84"/>
      <c r="AE30" s="85"/>
      <c r="AF30" s="85"/>
    </row>
    <row r="31" customFormat="false" ht="11.1" hidden="false" customHeight="true" outlineLevel="0" collapsed="false">
      <c r="A31" s="55" t="n">
        <v>22</v>
      </c>
      <c r="B31" s="69" t="n">
        <v>6914.12</v>
      </c>
      <c r="C31" s="50" t="n">
        <v>338728</v>
      </c>
      <c r="D31" s="54" t="n">
        <f aca="false">C31-C30</f>
        <v>-207</v>
      </c>
      <c r="E31" s="50" t="n">
        <f aca="false">C31-151978</f>
        <v>186750</v>
      </c>
      <c r="F31" s="49" t="n">
        <f aca="false">D31/$D$2</f>
        <v>-104.36097806907</v>
      </c>
      <c r="G31" s="49" t="n">
        <v>262</v>
      </c>
      <c r="H31" s="80" t="n">
        <v>0</v>
      </c>
      <c r="I31" s="49" t="n">
        <f aca="false">G31+H31</f>
        <v>262</v>
      </c>
      <c r="J31" s="76" t="n">
        <f aca="false">IF(L31&gt;0,L31,0)</f>
        <v>0</v>
      </c>
      <c r="K31" s="49" t="n">
        <f aca="false">I31+J31</f>
        <v>262</v>
      </c>
      <c r="L31" s="49" t="n">
        <f aca="false">F31-(I31-W31)</f>
        <v>-33.3609780690698</v>
      </c>
      <c r="M31" s="49" t="n">
        <v>74</v>
      </c>
      <c r="N31" s="49" t="n">
        <v>0</v>
      </c>
      <c r="O31" s="49" t="n">
        <v>0</v>
      </c>
      <c r="P31" s="6" t="n">
        <f aca="false">M31-(N31+O31)</f>
        <v>74</v>
      </c>
      <c r="Q31" s="49" t="n">
        <v>116</v>
      </c>
      <c r="R31" s="49" t="n">
        <v>51</v>
      </c>
      <c r="S31" s="49" t="n">
        <f aca="false">SUM(P31:R31)</f>
        <v>241</v>
      </c>
      <c r="T31" s="50" t="n">
        <f aca="false">(I31-S31)+T30</f>
        <v>4248</v>
      </c>
      <c r="U31" s="49" t="n">
        <v>14</v>
      </c>
      <c r="V31" s="49" t="n">
        <v>78</v>
      </c>
      <c r="W31" s="6" t="n">
        <f aca="false">N31+O31+S31+U31+V31</f>
        <v>333</v>
      </c>
      <c r="X31" s="49" t="n">
        <f aca="false">IF(L31&lt;0,L31*-1,0)</f>
        <v>33.3609780690698</v>
      </c>
      <c r="Y31" s="49" t="n">
        <f aca="false">W31+X31</f>
        <v>366.36097806907</v>
      </c>
      <c r="Z31" s="51" t="n">
        <v>0</v>
      </c>
      <c r="AA31" s="54" t="n">
        <v>72</v>
      </c>
      <c r="AB31" s="54" t="n">
        <v>38</v>
      </c>
      <c r="AC31" s="55" t="n">
        <v>22</v>
      </c>
      <c r="AD31" s="84"/>
      <c r="AE31" s="85"/>
      <c r="AF31" s="85"/>
    </row>
    <row r="32" customFormat="false" ht="11.1" hidden="false" customHeight="true" outlineLevel="0" collapsed="false">
      <c r="A32" s="55" t="n">
        <v>23</v>
      </c>
      <c r="B32" s="69" t="n">
        <v>6914.02</v>
      </c>
      <c r="C32" s="50" t="n">
        <v>338396</v>
      </c>
      <c r="D32" s="54" t="n">
        <f aca="false">C32-C31</f>
        <v>-332</v>
      </c>
      <c r="E32" s="50" t="n">
        <f aca="false">C32-151978</f>
        <v>186418</v>
      </c>
      <c r="F32" s="49" t="n">
        <f aca="false">D32/$D$2</f>
        <v>-167.380892361986</v>
      </c>
      <c r="G32" s="49" t="n">
        <v>214</v>
      </c>
      <c r="H32" s="80" t="n">
        <v>0</v>
      </c>
      <c r="I32" s="49" t="n">
        <f aca="false">G32+H32</f>
        <v>214</v>
      </c>
      <c r="J32" s="76" t="n">
        <f aca="false">IF(L32&gt;0,L32,0)</f>
        <v>0</v>
      </c>
      <c r="K32" s="49" t="n">
        <f aca="false">I32+J32</f>
        <v>214</v>
      </c>
      <c r="L32" s="49" t="n">
        <f aca="false">F32-(I32-W32)</f>
        <v>-49.3808923619864</v>
      </c>
      <c r="M32" s="49" t="n">
        <v>74</v>
      </c>
      <c r="N32" s="49" t="n">
        <v>0</v>
      </c>
      <c r="O32" s="49" t="n">
        <v>0</v>
      </c>
      <c r="P32" s="6" t="n">
        <f aca="false">M32-(N32+O32)</f>
        <v>74</v>
      </c>
      <c r="Q32" s="49" t="n">
        <v>115</v>
      </c>
      <c r="R32" s="49" t="n">
        <v>50</v>
      </c>
      <c r="S32" s="49" t="n">
        <f aca="false">SUM(P32:R32)</f>
        <v>239</v>
      </c>
      <c r="T32" s="50" t="n">
        <f aca="false">(I32-S32)+T31</f>
        <v>4223</v>
      </c>
      <c r="U32" s="49" t="n">
        <v>15</v>
      </c>
      <c r="V32" s="49" t="n">
        <v>78</v>
      </c>
      <c r="W32" s="6" t="n">
        <f aca="false">N32+O32+S32+U32+V32</f>
        <v>332</v>
      </c>
      <c r="X32" s="49" t="n">
        <f aca="false">IF(L32&lt;0,L32*-1,0)</f>
        <v>49.3808923619864</v>
      </c>
      <c r="Y32" s="49" t="n">
        <f aca="false">W32+X32</f>
        <v>381.380892361986</v>
      </c>
      <c r="Z32" s="51" t="n">
        <v>0</v>
      </c>
      <c r="AA32" s="54" t="n">
        <v>70</v>
      </c>
      <c r="AB32" s="54" t="n">
        <v>34</v>
      </c>
      <c r="AC32" s="55" t="n">
        <v>23</v>
      </c>
      <c r="AD32" s="84"/>
      <c r="AE32" s="85"/>
      <c r="AF32" s="85"/>
    </row>
    <row r="33" customFormat="false" ht="11.1" hidden="false" customHeight="true" outlineLevel="0" collapsed="false">
      <c r="A33" s="55" t="n">
        <v>24</v>
      </c>
      <c r="B33" s="69" t="n">
        <v>6913.95</v>
      </c>
      <c r="C33" s="50" t="n">
        <v>338066</v>
      </c>
      <c r="D33" s="54" t="n">
        <f aca="false">C33-C32</f>
        <v>-330</v>
      </c>
      <c r="E33" s="50" t="n">
        <f aca="false">C33-151978</f>
        <v>186088</v>
      </c>
      <c r="F33" s="49" t="n">
        <f aca="false">D33/$D$2</f>
        <v>-166.3725737333</v>
      </c>
      <c r="G33" s="49" t="n">
        <v>191</v>
      </c>
      <c r="H33" s="80" t="n">
        <v>0</v>
      </c>
      <c r="I33" s="49" t="n">
        <f aca="false">G33+H33</f>
        <v>191</v>
      </c>
      <c r="J33" s="76" t="n">
        <f aca="false">IF(L33&gt;0,L33,0)</f>
        <v>0</v>
      </c>
      <c r="K33" s="49" t="n">
        <f aca="false">I33+J33</f>
        <v>191</v>
      </c>
      <c r="L33" s="49" t="n">
        <f aca="false">F33-(I33-W33)</f>
        <v>-25.3725737332997</v>
      </c>
      <c r="M33" s="49" t="n">
        <v>74</v>
      </c>
      <c r="N33" s="49" t="n">
        <v>0</v>
      </c>
      <c r="O33" s="49" t="n">
        <v>0</v>
      </c>
      <c r="P33" s="6" t="n">
        <f aca="false">M33-(N33+O33)</f>
        <v>74</v>
      </c>
      <c r="Q33" s="49" t="n">
        <v>115</v>
      </c>
      <c r="R33" s="49" t="n">
        <v>50</v>
      </c>
      <c r="S33" s="49" t="n">
        <f aca="false">SUM(P33:R33)</f>
        <v>239</v>
      </c>
      <c r="T33" s="50" t="n">
        <f aca="false">(I33-S33)+T32</f>
        <v>4175</v>
      </c>
      <c r="U33" s="49" t="n">
        <v>15</v>
      </c>
      <c r="V33" s="49" t="n">
        <v>78</v>
      </c>
      <c r="W33" s="6" t="n">
        <f aca="false">N33+O33+S33+U33+V33</f>
        <v>332</v>
      </c>
      <c r="X33" s="49" t="n">
        <f aca="false">IF(L33&lt;0,L33*-1,0)</f>
        <v>25.3725737332997</v>
      </c>
      <c r="Y33" s="49" t="n">
        <f aca="false">W33+X33</f>
        <v>357.3725737333</v>
      </c>
      <c r="Z33" s="51" t="n">
        <v>0</v>
      </c>
      <c r="AA33" s="54" t="n">
        <v>69</v>
      </c>
      <c r="AB33" s="54" t="n">
        <v>42</v>
      </c>
      <c r="AC33" s="55" t="n">
        <v>24</v>
      </c>
      <c r="AD33" s="84"/>
      <c r="AE33" s="85"/>
      <c r="AF33" s="85"/>
    </row>
    <row r="34" customFormat="false" ht="11.1" hidden="false" customHeight="true" outlineLevel="0" collapsed="false">
      <c r="A34" s="55" t="n">
        <v>25</v>
      </c>
      <c r="B34" s="69" t="n">
        <v>6913.87</v>
      </c>
      <c r="C34" s="50" t="n">
        <v>337696</v>
      </c>
      <c r="D34" s="54" t="n">
        <f aca="false">C34-C33</f>
        <v>-370</v>
      </c>
      <c r="E34" s="50" t="n">
        <f aca="false">C34-151978</f>
        <v>185718</v>
      </c>
      <c r="F34" s="49" t="n">
        <f aca="false">D34/$D$2</f>
        <v>-186.538946307033</v>
      </c>
      <c r="G34" s="49" t="n">
        <v>176</v>
      </c>
      <c r="H34" s="80" t="n">
        <v>0</v>
      </c>
      <c r="I34" s="49" t="n">
        <f aca="false">G34+H34</f>
        <v>176</v>
      </c>
      <c r="J34" s="76" t="n">
        <f aca="false">IF(L34&gt;0,L34,0)</f>
        <v>0</v>
      </c>
      <c r="K34" s="49" t="n">
        <f aca="false">I34+J34</f>
        <v>176</v>
      </c>
      <c r="L34" s="49" t="n">
        <f aca="false">F34-(I34-W34)</f>
        <v>-31.538946307033</v>
      </c>
      <c r="M34" s="49" t="n">
        <v>74</v>
      </c>
      <c r="N34" s="49" t="n">
        <v>0</v>
      </c>
      <c r="O34" s="49" t="n">
        <v>0</v>
      </c>
      <c r="P34" s="6" t="n">
        <f aca="false">M34-(N34+O34)</f>
        <v>74</v>
      </c>
      <c r="Q34" s="49" t="n">
        <v>115</v>
      </c>
      <c r="R34" s="49" t="n">
        <v>50</v>
      </c>
      <c r="S34" s="49" t="n">
        <f aca="false">SUM(P34:R34)</f>
        <v>239</v>
      </c>
      <c r="T34" s="50" t="n">
        <f aca="false">(I34-S34)+T33</f>
        <v>4112</v>
      </c>
      <c r="U34" s="49" t="n">
        <v>14</v>
      </c>
      <c r="V34" s="49" t="n">
        <v>78</v>
      </c>
      <c r="W34" s="6" t="n">
        <f aca="false">N34+O34+S34+U34+V34</f>
        <v>331</v>
      </c>
      <c r="X34" s="49" t="n">
        <f aca="false">IF(L34&lt;0,L34*-1,0)</f>
        <v>31.538946307033</v>
      </c>
      <c r="Y34" s="49" t="n">
        <f aca="false">W34+X34</f>
        <v>362.538946307033</v>
      </c>
      <c r="Z34" s="51" t="n">
        <v>0</v>
      </c>
      <c r="AA34" s="54" t="n">
        <v>70</v>
      </c>
      <c r="AB34" s="54" t="n">
        <v>41</v>
      </c>
      <c r="AC34" s="55" t="n">
        <v>25</v>
      </c>
      <c r="AD34" s="84"/>
      <c r="AE34" s="85"/>
      <c r="AF34" s="85"/>
    </row>
    <row r="35" customFormat="false" ht="11.1" hidden="false" customHeight="true" outlineLevel="0" collapsed="false">
      <c r="A35" s="55" t="n">
        <v>26</v>
      </c>
      <c r="B35" s="69" t="n">
        <v>6913.8</v>
      </c>
      <c r="C35" s="50" t="n">
        <v>337409</v>
      </c>
      <c r="D35" s="54" t="n">
        <f aca="false">C35-C34</f>
        <v>-287</v>
      </c>
      <c r="E35" s="50" t="n">
        <f aca="false">C35-151978</f>
        <v>185431</v>
      </c>
      <c r="F35" s="49" t="n">
        <f aca="false">D35/$D$2</f>
        <v>-144.693723216536</v>
      </c>
      <c r="G35" s="49" t="n">
        <v>164</v>
      </c>
      <c r="H35" s="80" t="n">
        <v>0</v>
      </c>
      <c r="I35" s="49" t="n">
        <f aca="false">G35+H35</f>
        <v>164</v>
      </c>
      <c r="J35" s="76" t="n">
        <f aca="false">IF(L35&gt;0,L35,0)</f>
        <v>18.3062767834636</v>
      </c>
      <c r="K35" s="49" t="n">
        <f aca="false">I35+J35</f>
        <v>182.306276783464</v>
      </c>
      <c r="L35" s="49" t="n">
        <f aca="false">F35-(I35-W35)</f>
        <v>18.3062767834636</v>
      </c>
      <c r="M35" s="49" t="n">
        <v>74</v>
      </c>
      <c r="N35" s="49" t="n">
        <v>0</v>
      </c>
      <c r="O35" s="49" t="n">
        <v>0</v>
      </c>
      <c r="P35" s="6" t="n">
        <f aca="false">M35-(N35+O35)</f>
        <v>74</v>
      </c>
      <c r="Q35" s="49" t="n">
        <v>115</v>
      </c>
      <c r="R35" s="49" t="n">
        <v>47</v>
      </c>
      <c r="S35" s="49" t="n">
        <f aca="false">SUM(P35:R35)</f>
        <v>236</v>
      </c>
      <c r="T35" s="50" t="n">
        <f aca="false">(I35-S35)+T34</f>
        <v>4040</v>
      </c>
      <c r="U35" s="49" t="n">
        <v>13</v>
      </c>
      <c r="V35" s="49" t="n">
        <v>78</v>
      </c>
      <c r="W35" s="6" t="n">
        <f aca="false">N35+O35+S35+U35+V35</f>
        <v>327</v>
      </c>
      <c r="X35" s="49" t="n">
        <f aca="false">IF(L35&lt;0,L35*-1,0)</f>
        <v>0</v>
      </c>
      <c r="Y35" s="49" t="n">
        <f aca="false">W35+X35</f>
        <v>327</v>
      </c>
      <c r="Z35" s="51" t="n">
        <v>0.06</v>
      </c>
      <c r="AA35" s="54" t="n">
        <v>72</v>
      </c>
      <c r="AB35" s="54" t="n">
        <v>48</v>
      </c>
      <c r="AC35" s="55" t="n">
        <v>26</v>
      </c>
      <c r="AD35" s="84"/>
      <c r="AE35" s="85"/>
      <c r="AF35" s="85"/>
    </row>
    <row r="36" customFormat="false" ht="11.1" hidden="false" customHeight="true" outlineLevel="0" collapsed="false">
      <c r="A36" s="55" t="n">
        <v>27</v>
      </c>
      <c r="B36" s="69" t="n">
        <v>6913.69</v>
      </c>
      <c r="C36" s="50" t="n">
        <v>336957</v>
      </c>
      <c r="D36" s="54" t="n">
        <f aca="false">C36-C35</f>
        <v>-452</v>
      </c>
      <c r="E36" s="50" t="n">
        <f aca="false">C36-151978</f>
        <v>184979</v>
      </c>
      <c r="F36" s="49" t="n">
        <f aca="false">D36/$D$2</f>
        <v>-227.880010083186</v>
      </c>
      <c r="G36" s="49" t="n">
        <v>158</v>
      </c>
      <c r="H36" s="80" t="n">
        <v>0</v>
      </c>
      <c r="I36" s="49" t="n">
        <f aca="false">G36+H36</f>
        <v>158</v>
      </c>
      <c r="J36" s="76" t="n">
        <f aca="false">IF(L36&gt;0,L36,0)</f>
        <v>0</v>
      </c>
      <c r="K36" s="49" t="n">
        <f aca="false">I36+J36</f>
        <v>158</v>
      </c>
      <c r="L36" s="49" t="n">
        <f aca="false">F36-(I36-W36)</f>
        <v>-64.8800100831863</v>
      </c>
      <c r="M36" s="49" t="n">
        <v>74</v>
      </c>
      <c r="N36" s="49" t="n">
        <v>0</v>
      </c>
      <c r="O36" s="49" t="n">
        <v>0</v>
      </c>
      <c r="P36" s="6" t="n">
        <f aca="false">M36-(N36+O36)</f>
        <v>74</v>
      </c>
      <c r="Q36" s="49" t="n">
        <v>115</v>
      </c>
      <c r="R36" s="49" t="n">
        <v>43</v>
      </c>
      <c r="S36" s="49" t="n">
        <f aca="false">SUM(P36:R36)</f>
        <v>232</v>
      </c>
      <c r="T36" s="50" t="n">
        <f aca="false">(I36-S36)+T35</f>
        <v>3966</v>
      </c>
      <c r="U36" s="49" t="n">
        <v>11</v>
      </c>
      <c r="V36" s="49" t="n">
        <v>78</v>
      </c>
      <c r="W36" s="6" t="n">
        <f aca="false">N36+O36+S36+U36+V36</f>
        <v>321</v>
      </c>
      <c r="X36" s="49" t="n">
        <f aca="false">IF(L36&lt;0,L36*-1,0)</f>
        <v>64.8800100831863</v>
      </c>
      <c r="Y36" s="49" t="n">
        <f aca="false">W36+X36</f>
        <v>385.880010083186</v>
      </c>
      <c r="Z36" s="51" t="n">
        <v>0</v>
      </c>
      <c r="AA36" s="54" t="n">
        <v>67</v>
      </c>
      <c r="AB36" s="54" t="n">
        <v>43</v>
      </c>
      <c r="AC36" s="55" t="n">
        <v>27</v>
      </c>
      <c r="AD36" s="84"/>
      <c r="AE36" s="85"/>
      <c r="AF36" s="85"/>
    </row>
    <row r="37" customFormat="false" ht="11.1" hidden="false" customHeight="true" outlineLevel="0" collapsed="false">
      <c r="A37" s="55" t="n">
        <v>28</v>
      </c>
      <c r="B37" s="69" t="n">
        <v>6913.55</v>
      </c>
      <c r="C37" s="50" t="n">
        <v>336381</v>
      </c>
      <c r="D37" s="54" t="n">
        <f aca="false">C37-C36</f>
        <v>-576</v>
      </c>
      <c r="E37" s="50" t="n">
        <f aca="false">C37-151978</f>
        <v>184403</v>
      </c>
      <c r="F37" s="49" t="n">
        <f aca="false">D37/$D$2</f>
        <v>-290.395765061759</v>
      </c>
      <c r="G37" s="49" t="n">
        <v>160</v>
      </c>
      <c r="H37" s="80" t="n">
        <v>0</v>
      </c>
      <c r="I37" s="49" t="n">
        <f aca="false">G37+H37</f>
        <v>160</v>
      </c>
      <c r="J37" s="76" t="n">
        <f aca="false">IF(L37&gt;0,L37,0)</f>
        <v>0</v>
      </c>
      <c r="K37" s="49" t="n">
        <f aca="false">I37+J37</f>
        <v>160</v>
      </c>
      <c r="L37" s="49" t="n">
        <f aca="false">F37-(I37-W37)</f>
        <v>-130.39576506176</v>
      </c>
      <c r="M37" s="49" t="n">
        <v>74</v>
      </c>
      <c r="N37" s="49" t="n">
        <v>0</v>
      </c>
      <c r="O37" s="49" t="n">
        <v>0</v>
      </c>
      <c r="P37" s="6" t="n">
        <f aca="false">M37-(N37+O37)</f>
        <v>74</v>
      </c>
      <c r="Q37" s="49" t="n">
        <v>115</v>
      </c>
      <c r="R37" s="49" t="n">
        <v>42</v>
      </c>
      <c r="S37" s="49" t="n">
        <f aca="false">SUM(P37:R37)</f>
        <v>231</v>
      </c>
      <c r="T37" s="50" t="n">
        <f aca="false">(I37-S37)+T36</f>
        <v>3895</v>
      </c>
      <c r="U37" s="49" t="n">
        <v>11</v>
      </c>
      <c r="V37" s="49" t="n">
        <v>78</v>
      </c>
      <c r="W37" s="6" t="n">
        <f aca="false">N37+O37+S37+U37+V37</f>
        <v>320</v>
      </c>
      <c r="X37" s="49" t="n">
        <f aca="false">IF(L37&lt;0,L37*-1,0)</f>
        <v>130.39576506176</v>
      </c>
      <c r="Y37" s="49" t="n">
        <f aca="false">W37+X37</f>
        <v>450.39576506176</v>
      </c>
      <c r="Z37" s="51" t="n">
        <v>0</v>
      </c>
      <c r="AA37" s="54" t="n">
        <v>60</v>
      </c>
      <c r="AB37" s="54" t="n">
        <v>41</v>
      </c>
      <c r="AC37" s="55" t="n">
        <v>28</v>
      </c>
      <c r="AD37" s="84"/>
      <c r="AE37" s="85"/>
      <c r="AF37" s="85"/>
    </row>
    <row r="38" customFormat="false" ht="11.1" hidden="false" customHeight="true" outlineLevel="0" collapsed="false">
      <c r="A38" s="55" t="n">
        <v>29</v>
      </c>
      <c r="B38" s="69" t="n">
        <v>6913.47</v>
      </c>
      <c r="C38" s="50" t="n">
        <v>336053</v>
      </c>
      <c r="D38" s="54" t="n">
        <f aca="false">C38-C37</f>
        <v>-328</v>
      </c>
      <c r="E38" s="50" t="n">
        <f aca="false">C38-151978</f>
        <v>184075</v>
      </c>
      <c r="F38" s="49" t="n">
        <f aca="false">D38/$D$2</f>
        <v>-165.364255104613</v>
      </c>
      <c r="G38" s="49" t="n">
        <v>146</v>
      </c>
      <c r="H38" s="80" t="n">
        <v>0</v>
      </c>
      <c r="I38" s="49" t="n">
        <f aca="false">G38+H38</f>
        <v>146</v>
      </c>
      <c r="J38" s="76" t="n">
        <f aca="false">IF(L38&gt;0,L38,0)</f>
        <v>1.63574489538695</v>
      </c>
      <c r="K38" s="49" t="n">
        <f aca="false">I38+J38</f>
        <v>147.635744895387</v>
      </c>
      <c r="L38" s="49" t="n">
        <f aca="false">F38-(I38-W38)</f>
        <v>1.63574489538695</v>
      </c>
      <c r="M38" s="49" t="n">
        <v>74</v>
      </c>
      <c r="N38" s="49" t="n">
        <v>0</v>
      </c>
      <c r="O38" s="49" t="n">
        <v>0</v>
      </c>
      <c r="P38" s="6" t="n">
        <f aca="false">M38-(N38+O38)</f>
        <v>74</v>
      </c>
      <c r="Q38" s="49" t="n">
        <v>114</v>
      </c>
      <c r="R38" s="49" t="n">
        <v>41</v>
      </c>
      <c r="S38" s="49" t="n">
        <f aca="false">SUM(P38:R38)</f>
        <v>229</v>
      </c>
      <c r="T38" s="50" t="n">
        <f aca="false">(I38-S38)+T37</f>
        <v>3812</v>
      </c>
      <c r="U38" s="49" t="n">
        <v>6</v>
      </c>
      <c r="V38" s="49" t="n">
        <v>78</v>
      </c>
      <c r="W38" s="6" t="n">
        <f aca="false">N38+O38+S38+U38+V38</f>
        <v>313</v>
      </c>
      <c r="X38" s="49" t="n">
        <f aca="false">IF(L38&lt;0,L38*-1,0)</f>
        <v>0</v>
      </c>
      <c r="Y38" s="49" t="n">
        <f aca="false">W38+X38</f>
        <v>313</v>
      </c>
      <c r="Z38" s="51" t="n">
        <v>0</v>
      </c>
      <c r="AA38" s="54" t="n">
        <v>69</v>
      </c>
      <c r="AB38" s="54" t="n">
        <v>35</v>
      </c>
      <c r="AC38" s="55" t="n">
        <v>29</v>
      </c>
      <c r="AD38" s="84"/>
      <c r="AE38" s="85"/>
      <c r="AF38" s="85"/>
    </row>
    <row r="39" customFormat="false" ht="11.1" hidden="false" customHeight="true" outlineLevel="0" collapsed="false">
      <c r="A39" s="55" t="n">
        <v>30</v>
      </c>
      <c r="B39" s="69" t="n">
        <v>6913.37</v>
      </c>
      <c r="C39" s="50" t="n">
        <v>335642</v>
      </c>
      <c r="D39" s="54" t="n">
        <f aca="false">C39-C38</f>
        <v>-411</v>
      </c>
      <c r="E39" s="50" t="n">
        <f aca="false">C39-151978</f>
        <v>183664</v>
      </c>
      <c r="F39" s="49" t="n">
        <f aca="false">D39/$D$2</f>
        <v>-207.20947819511</v>
      </c>
      <c r="G39" s="49" t="n">
        <v>136</v>
      </c>
      <c r="H39" s="80" t="n">
        <v>0</v>
      </c>
      <c r="I39" s="49" t="n">
        <f aca="false">G39+H39</f>
        <v>136</v>
      </c>
      <c r="J39" s="76" t="n">
        <f aca="false">IF(L39&gt;0,L39,0)</f>
        <v>0</v>
      </c>
      <c r="K39" s="49" t="n">
        <f aca="false">I39+J39</f>
        <v>136</v>
      </c>
      <c r="L39" s="49" t="n">
        <f aca="false">F39-(I39-W39)</f>
        <v>-25.2094781951097</v>
      </c>
      <c r="M39" s="49" t="n">
        <v>74</v>
      </c>
      <c r="N39" s="49" t="n">
        <v>0</v>
      </c>
      <c r="O39" s="49" t="n">
        <v>0</v>
      </c>
      <c r="P39" s="6" t="n">
        <f aca="false">M39-(N39+O39)</f>
        <v>74</v>
      </c>
      <c r="Q39" s="49" t="n">
        <v>114</v>
      </c>
      <c r="R39" s="49" t="n">
        <v>39</v>
      </c>
      <c r="S39" s="49" t="n">
        <f aca="false">SUM(P39:R39)</f>
        <v>227</v>
      </c>
      <c r="T39" s="50" t="n">
        <f aca="false">(I39-S39)+T38</f>
        <v>3721</v>
      </c>
      <c r="U39" s="49" t="n">
        <v>13</v>
      </c>
      <c r="V39" s="49" t="n">
        <v>78</v>
      </c>
      <c r="W39" s="6" t="n">
        <f aca="false">N39+O39+S39+U39+V39</f>
        <v>318</v>
      </c>
      <c r="X39" s="49" t="n">
        <f aca="false">IF(L39&lt;0,L39*-1,0)</f>
        <v>25.2094781951097</v>
      </c>
      <c r="Y39" s="49" t="n">
        <f aca="false">W39+X39</f>
        <v>343.20947819511</v>
      </c>
      <c r="Z39" s="51" t="n">
        <v>0</v>
      </c>
      <c r="AA39" s="130" t="n">
        <v>70</v>
      </c>
      <c r="AB39" s="54" t="n">
        <v>39</v>
      </c>
      <c r="AC39" s="55" t="n">
        <v>30</v>
      </c>
      <c r="AD39" s="84"/>
      <c r="AE39" s="85"/>
      <c r="AF39" s="85"/>
    </row>
    <row r="40" customFormat="false" ht="3" hidden="false" customHeight="true" outlineLevel="0" collapsed="false">
      <c r="A40" s="70"/>
      <c r="B40" s="70"/>
      <c r="C40" s="72"/>
      <c r="D40" s="70"/>
      <c r="E40" s="72"/>
      <c r="F40" s="70"/>
      <c r="G40" s="70"/>
      <c r="H40" s="137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2"/>
      <c r="U40" s="70"/>
      <c r="V40" s="70"/>
      <c r="W40" s="70"/>
      <c r="X40" s="70"/>
      <c r="Y40" s="70"/>
      <c r="Z40" s="73"/>
      <c r="AA40" s="74"/>
      <c r="AB40" s="74"/>
      <c r="AC40" s="75"/>
      <c r="AD40" s="83"/>
      <c r="AE40" s="83"/>
      <c r="AF40" s="84"/>
    </row>
    <row r="41" customFormat="false" ht="11.1" hidden="false" customHeight="true" outlineLevel="0" collapsed="false">
      <c r="A41" s="49" t="s">
        <v>44</v>
      </c>
      <c r="B41" s="49"/>
      <c r="C41" s="50"/>
      <c r="D41" s="50"/>
      <c r="E41" s="50"/>
      <c r="F41" s="50" t="n">
        <f aca="false">SUM(F10:F39)</f>
        <v>-4256.11293168641</v>
      </c>
      <c r="G41" s="50" t="n">
        <f aca="false">SUM(G10:G39)</f>
        <v>7375</v>
      </c>
      <c r="H41" s="50" t="n">
        <f aca="false">SUM(H10:H39)</f>
        <v>0</v>
      </c>
      <c r="I41" s="50" t="n">
        <f aca="false">SUM(I10:I39)</f>
        <v>7375</v>
      </c>
      <c r="J41" s="50" t="n">
        <f aca="false">SUM(J10:J39)</f>
        <v>485.974035795311</v>
      </c>
      <c r="K41" s="50" t="n">
        <f aca="false">SUM(K10:K39)</f>
        <v>7860.97403579531</v>
      </c>
      <c r="L41" s="50" t="n">
        <f aca="false">SUM(L10:L39)</f>
        <v>-371.112931686413</v>
      </c>
      <c r="M41" s="50" t="n">
        <f aca="false">SUM(M10:M39)</f>
        <v>2912</v>
      </c>
      <c r="N41" s="50" t="n">
        <f aca="false">SUM(N10:N39)</f>
        <v>0</v>
      </c>
      <c r="O41" s="50" t="n">
        <f aca="false">SUM(O10:O39)</f>
        <v>0</v>
      </c>
      <c r="P41" s="50" t="n">
        <f aca="false">SUM(P10:P39)</f>
        <v>2912</v>
      </c>
      <c r="Q41" s="50" t="n">
        <f aca="false">SUM(Q10:Q39)</f>
        <v>3492</v>
      </c>
      <c r="R41" s="50" t="n">
        <f aca="false">SUM(R10:R39)</f>
        <v>1812</v>
      </c>
      <c r="S41" s="50" t="n">
        <f aca="false">SUM(S10:S39)</f>
        <v>8216</v>
      </c>
      <c r="T41" s="50"/>
      <c r="U41" s="50" t="n">
        <f aca="false">SUM(U10:U39)</f>
        <v>679</v>
      </c>
      <c r="V41" s="50" t="n">
        <f aca="false">SUM(V10:V40)</f>
        <v>2365</v>
      </c>
      <c r="W41" s="50" t="n">
        <f aca="false">SUM(W10:W39)</f>
        <v>11260</v>
      </c>
      <c r="X41" s="50" t="n">
        <f aca="false">SUM(X10:X39)</f>
        <v>857.086967481724</v>
      </c>
      <c r="Y41" s="50" t="n">
        <f aca="false">SUM(Y10:Y39)</f>
        <v>12117.0869674817</v>
      </c>
      <c r="Z41" s="51" t="n">
        <f aca="false">SUM(Z10:Z39)</f>
        <v>1.53</v>
      </c>
      <c r="AA41" s="54" t="n">
        <f aca="false">AVERAGE(AA10:AA39)</f>
        <v>71.4</v>
      </c>
      <c r="AB41" s="54" t="n">
        <f aca="false">AVERAGE(AB10:AB39)</f>
        <v>40.4666666666667</v>
      </c>
      <c r="AC41" s="55" t="s">
        <v>69</v>
      </c>
      <c r="AD41" s="83"/>
      <c r="AE41" s="83"/>
      <c r="AF41" s="84"/>
    </row>
    <row r="42" customFormat="false" ht="11.1" hidden="false" customHeight="true" outlineLevel="0" collapsed="false">
      <c r="A42" s="49" t="s">
        <v>46</v>
      </c>
      <c r="B42" s="49"/>
      <c r="C42" s="50"/>
      <c r="D42" s="50" t="n">
        <f aca="false">SUM(D10:D40)</f>
        <v>-8442</v>
      </c>
      <c r="E42" s="50"/>
      <c r="F42" s="50" t="n">
        <f aca="false">F41*$D$2</f>
        <v>-8442</v>
      </c>
      <c r="G42" s="50" t="n">
        <f aca="false">G41*$D$2</f>
        <v>14628.3125</v>
      </c>
      <c r="H42" s="50" t="n">
        <f aca="false">H41*$D$2</f>
        <v>0</v>
      </c>
      <c r="I42" s="50" t="n">
        <f aca="false">I41*$D$2</f>
        <v>14628.3125</v>
      </c>
      <c r="J42" s="50" t="n">
        <f aca="false">J41*$D$2</f>
        <v>963.9295</v>
      </c>
      <c r="K42" s="50" t="n">
        <f aca="false">K41*$D$2</f>
        <v>15592.242</v>
      </c>
      <c r="L42" s="50" t="n">
        <f aca="false">L41*$D$2</f>
        <v>-736.1025</v>
      </c>
      <c r="M42" s="50" t="n">
        <f aca="false">M41*$D$2</f>
        <v>5775.952</v>
      </c>
      <c r="N42" s="50" t="n">
        <f aca="false">N41*$D$2</f>
        <v>0</v>
      </c>
      <c r="O42" s="50" t="n">
        <f aca="false">O41*$D$2</f>
        <v>0</v>
      </c>
      <c r="P42" s="50" t="n">
        <f aca="false">P41*$D$2</f>
        <v>5775.952</v>
      </c>
      <c r="Q42" s="50" t="n">
        <f aca="false">Q41*$D$2</f>
        <v>6926.382</v>
      </c>
      <c r="R42" s="50" t="n">
        <f aca="false">R41*$D$2</f>
        <v>3594.102</v>
      </c>
      <c r="S42" s="50" t="n">
        <f aca="false">S41*$D$2</f>
        <v>16296.436</v>
      </c>
      <c r="T42" s="50"/>
      <c r="U42" s="50" t="n">
        <f aca="false">U41*$D$2</f>
        <v>1346.7965</v>
      </c>
      <c r="V42" s="50" t="n">
        <f aca="false">V41*$D$2</f>
        <v>4690.9775</v>
      </c>
      <c r="W42" s="50" t="n">
        <f aca="false">W41*$D$2</f>
        <v>22334.21</v>
      </c>
      <c r="X42" s="50" t="n">
        <f aca="false">X41*$D$2</f>
        <v>1700.032</v>
      </c>
      <c r="Y42" s="50" t="n">
        <f aca="false">Y41*$D$2</f>
        <v>24034.242</v>
      </c>
      <c r="Z42" s="51"/>
      <c r="AA42" s="54" t="n">
        <f aca="false">MAX(AA10:AA39)</f>
        <v>84</v>
      </c>
      <c r="AB42" s="54" t="n">
        <f aca="false">MAX(AB10:AB39)</f>
        <v>48</v>
      </c>
      <c r="AC42" s="55" t="s">
        <v>47</v>
      </c>
      <c r="AD42" s="83"/>
      <c r="AE42" s="83"/>
      <c r="AF42" s="84"/>
    </row>
    <row r="43" customFormat="false" ht="3" hidden="false" customHeight="true" outlineLevel="0" collapsed="false">
      <c r="A43" s="70"/>
      <c r="B43" s="70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51"/>
      <c r="AA43" s="54"/>
      <c r="AB43" s="54"/>
      <c r="AC43" s="55"/>
      <c r="AD43" s="83"/>
      <c r="AE43" s="83"/>
      <c r="AF43" s="84"/>
    </row>
    <row r="44" customFormat="false" ht="11.1" hidden="false" customHeight="true" outlineLevel="0" collapsed="false">
      <c r="A44" s="49" t="s">
        <v>48</v>
      </c>
      <c r="B44" s="49"/>
      <c r="C44" s="50"/>
      <c r="D44" s="50"/>
      <c r="E44" s="50"/>
      <c r="F44" s="50" t="n">
        <f aca="false">F7+F41</f>
        <v>2061.50743634989</v>
      </c>
      <c r="G44" s="50" t="n">
        <f aca="false">G7+G41</f>
        <v>99250</v>
      </c>
      <c r="H44" s="50" t="n">
        <f aca="false">H7+H41</f>
        <v>2414</v>
      </c>
      <c r="I44" s="50" t="n">
        <f aca="false">I7+I41</f>
        <v>101664</v>
      </c>
      <c r="J44" s="50" t="n">
        <f aca="false">J7+J41</f>
        <v>13474.0357953113</v>
      </c>
      <c r="K44" s="50" t="n">
        <f aca="false">K7+K41</f>
        <v>115138.035795311</v>
      </c>
      <c r="L44" s="50" t="n">
        <f aca="false">L7+L41</f>
        <v>7713.50743634989</v>
      </c>
      <c r="M44" s="50" t="n">
        <f aca="false">M7+M41</f>
        <v>29343</v>
      </c>
      <c r="N44" s="50" t="n">
        <f aca="false">N7+N41</f>
        <v>0</v>
      </c>
      <c r="O44" s="50" t="n">
        <f aca="false">O7+O41</f>
        <v>0</v>
      </c>
      <c r="P44" s="50" t="n">
        <f aca="false">P7+P41</f>
        <v>29343</v>
      </c>
      <c r="Q44" s="50" t="n">
        <f aca="false">Q7+Q41</f>
        <v>23311</v>
      </c>
      <c r="R44" s="50" t="n">
        <f aca="false">R7+R41</f>
        <v>11975</v>
      </c>
      <c r="S44" s="50" t="n">
        <f aca="false">S7+S41</f>
        <v>64629</v>
      </c>
      <c r="T44" s="50" t="n">
        <f aca="false">T39</f>
        <v>3721</v>
      </c>
      <c r="U44" s="50" t="n">
        <f aca="false">U7+U41</f>
        <v>4230</v>
      </c>
      <c r="V44" s="50" t="n">
        <f aca="false">V7+V41</f>
        <v>38457</v>
      </c>
      <c r="W44" s="50" t="n">
        <f aca="false">W7+W41</f>
        <v>107316</v>
      </c>
      <c r="X44" s="50" t="n">
        <f aca="false">X7+X41</f>
        <v>5760.52835896143</v>
      </c>
      <c r="Y44" s="50" t="n">
        <f aca="false">Y7+Y41</f>
        <v>113076.528358961</v>
      </c>
      <c r="Z44" s="51"/>
      <c r="AA44" s="54" t="n">
        <f aca="false">MIN(AA10:AA39)</f>
        <v>59</v>
      </c>
      <c r="AB44" s="54" t="n">
        <f aca="false">MIN(AB10:AB39)</f>
        <v>31</v>
      </c>
      <c r="AC44" s="55" t="s">
        <v>49</v>
      </c>
      <c r="AD44" s="83"/>
      <c r="AE44" s="83"/>
      <c r="AF44" s="84"/>
    </row>
    <row r="45" customFormat="false" ht="11.1" hidden="false" customHeight="true" outlineLevel="0" collapsed="false">
      <c r="A45" s="49" t="s">
        <v>50</v>
      </c>
      <c r="B45" s="49"/>
      <c r="C45" s="50"/>
      <c r="D45" s="50"/>
      <c r="E45" s="50"/>
      <c r="F45" s="50" t="n">
        <f aca="false">F44*$D$2</f>
        <v>4089</v>
      </c>
      <c r="G45" s="50" t="n">
        <f aca="false">G44*$D$2</f>
        <v>196862.375</v>
      </c>
      <c r="H45" s="50" t="n">
        <f aca="false">H44*$D$2</f>
        <v>4788.169</v>
      </c>
      <c r="I45" s="50" t="n">
        <f aca="false">I44*$D$2</f>
        <v>201650.544</v>
      </c>
      <c r="J45" s="50" t="n">
        <f aca="false">J44*$D$2</f>
        <v>26725.75</v>
      </c>
      <c r="K45" s="50" t="n">
        <f aca="false">K44*$D$2</f>
        <v>228376.294</v>
      </c>
      <c r="L45" s="50" t="n">
        <f aca="false">L44*$D$2</f>
        <v>15299.742</v>
      </c>
      <c r="M45" s="50" t="n">
        <f aca="false">M44*$D$2</f>
        <v>58201.8405</v>
      </c>
      <c r="N45" s="50" t="n">
        <f aca="false">N44*$D$2</f>
        <v>0</v>
      </c>
      <c r="O45" s="50" t="n">
        <f aca="false">O44*$D$2</f>
        <v>0</v>
      </c>
      <c r="P45" s="50" t="n">
        <f aca="false">P44*$D$2</f>
        <v>58201.8405</v>
      </c>
      <c r="Q45" s="50" t="n">
        <f aca="false">Q44*$D$2</f>
        <v>46237.3685</v>
      </c>
      <c r="R45" s="50" t="n">
        <f aca="false">R44*$D$2</f>
        <v>23752.4125</v>
      </c>
      <c r="S45" s="50" t="n">
        <f aca="false">S44*$D$2</f>
        <v>128191.6215</v>
      </c>
      <c r="T45" s="50" t="n">
        <f aca="false">T44*$D$2</f>
        <v>7380.6035</v>
      </c>
      <c r="U45" s="50" t="n">
        <f aca="false">U44*$D$2</f>
        <v>8390.205</v>
      </c>
      <c r="V45" s="50" t="n">
        <f aca="false">V44*$D$2</f>
        <v>76279.4595</v>
      </c>
      <c r="W45" s="50" t="n">
        <f aca="false">W44*$D$2</f>
        <v>212861.286</v>
      </c>
      <c r="X45" s="50" t="n">
        <f aca="false">X44*$D$2</f>
        <v>11426.008</v>
      </c>
      <c r="Y45" s="50" t="n">
        <f aca="false">Y44*$D$2</f>
        <v>224287.294</v>
      </c>
      <c r="Z45" s="51"/>
      <c r="AA45" s="54"/>
      <c r="AB45" s="54"/>
      <c r="AC45" s="55"/>
      <c r="AD45" s="83"/>
      <c r="AE45" s="83"/>
      <c r="AF45" s="84"/>
    </row>
    <row r="46" customFormat="false" ht="3" hidden="false" customHeight="true" outlineLevel="0" collapsed="false">
      <c r="A46" s="70"/>
      <c r="B46" s="70"/>
      <c r="C46" s="72"/>
      <c r="D46" s="72"/>
      <c r="E46" s="72"/>
      <c r="F46" s="72"/>
      <c r="G46" s="72"/>
      <c r="H46" s="74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3"/>
      <c r="AA46" s="54"/>
      <c r="AB46" s="54"/>
      <c r="AC46" s="55"/>
      <c r="AD46" s="83"/>
      <c r="AE46" s="83"/>
      <c r="AF46" s="84"/>
    </row>
    <row r="47" customFormat="false" ht="11.1" hidden="false" customHeight="true" outlineLevel="0" collapsed="false">
      <c r="A47" s="49" t="s">
        <v>51</v>
      </c>
      <c r="B47" s="49"/>
      <c r="C47" s="50"/>
      <c r="D47" s="50"/>
      <c r="E47" s="50"/>
      <c r="F47" s="50" t="n">
        <f aca="false">F8+F41</f>
        <v>4800.10083186287</v>
      </c>
      <c r="G47" s="50" t="n">
        <f aca="false">G8+G41</f>
        <v>114575</v>
      </c>
      <c r="H47" s="54" t="n">
        <f aca="false">H8+H41</f>
        <v>2620</v>
      </c>
      <c r="I47" s="50" t="n">
        <f aca="false">I8+I41</f>
        <v>117195</v>
      </c>
      <c r="J47" s="50" t="n">
        <f aca="false">J8+J41</f>
        <v>16831.7693471137</v>
      </c>
      <c r="K47" s="50" t="n">
        <f aca="false">K8+K41</f>
        <v>134026.769347114</v>
      </c>
      <c r="L47" s="50" t="n">
        <f aca="false">L8+L41</f>
        <v>10055.1008318629</v>
      </c>
      <c r="M47" s="50" t="n">
        <f aca="false">M8+M41</f>
        <v>30662</v>
      </c>
      <c r="N47" s="50" t="n">
        <f aca="false">N8+N41</f>
        <v>0</v>
      </c>
      <c r="O47" s="50" t="n">
        <f aca="false">O8+O41</f>
        <v>0</v>
      </c>
      <c r="P47" s="50" t="n">
        <f aca="false">P8+P41</f>
        <v>30662</v>
      </c>
      <c r="Q47" s="50" t="n">
        <f aca="false">Q8+Q41</f>
        <v>25071</v>
      </c>
      <c r="R47" s="50" t="n">
        <f aca="false">R8+R41</f>
        <v>12171</v>
      </c>
      <c r="S47" s="50" t="n">
        <f aca="false">S8+S41</f>
        <v>67904</v>
      </c>
      <c r="T47" s="50" t="n">
        <f aca="false">T44</f>
        <v>3721</v>
      </c>
      <c r="U47" s="50" t="n">
        <f aca="false">U8+U41</f>
        <v>4230</v>
      </c>
      <c r="V47" s="50" t="n">
        <f aca="false">V8+V41</f>
        <v>50316</v>
      </c>
      <c r="W47" s="50" t="n">
        <f aca="false">W8+W41</f>
        <v>122450</v>
      </c>
      <c r="X47" s="50" t="n">
        <f aca="false">X8+X41</f>
        <v>6776.66851525082</v>
      </c>
      <c r="Y47" s="50" t="n">
        <f aca="false">Y8+Y41</f>
        <v>129226.668515251</v>
      </c>
      <c r="Z47" s="51" t="n">
        <f aca="false">Z8+Z41</f>
        <v>17.08</v>
      </c>
      <c r="AA47" s="54"/>
      <c r="AB47" s="54"/>
      <c r="AC47" s="55"/>
      <c r="AD47" s="83"/>
      <c r="AE47" s="83"/>
      <c r="AF47" s="84"/>
    </row>
    <row r="48" customFormat="false" ht="11.1" hidden="false" customHeight="true" outlineLevel="0" collapsed="false">
      <c r="A48" s="49" t="s">
        <v>52</v>
      </c>
      <c r="B48" s="49"/>
      <c r="C48" s="50"/>
      <c r="D48" s="50" t="n">
        <f aca="false">D8+D42</f>
        <v>9521</v>
      </c>
      <c r="E48" s="50" t="n">
        <f aca="false">E39</f>
        <v>183664</v>
      </c>
      <c r="F48" s="50" t="n">
        <f aca="false">F47*$D$2</f>
        <v>9520.99999999999</v>
      </c>
      <c r="G48" s="50" t="n">
        <f aca="false">G47*$D$2</f>
        <v>227259.5125</v>
      </c>
      <c r="H48" s="54" t="n">
        <f aca="false">H47*$D$2</f>
        <v>5196.77</v>
      </c>
      <c r="I48" s="50" t="n">
        <f aca="false">I47*$D$2</f>
        <v>232456.2825</v>
      </c>
      <c r="J48" s="50" t="n">
        <f aca="false">J47*$D$2</f>
        <v>33385.8145</v>
      </c>
      <c r="K48" s="50" t="n">
        <f aca="false">K47*$D$2</f>
        <v>265842.097</v>
      </c>
      <c r="L48" s="50" t="n">
        <f aca="false">L47*$D$2</f>
        <v>19944.2925</v>
      </c>
      <c r="M48" s="50" t="n">
        <f aca="false">M47*$D$2</f>
        <v>60818.077</v>
      </c>
      <c r="N48" s="50" t="n">
        <f aca="false">N47*$D$2</f>
        <v>0</v>
      </c>
      <c r="O48" s="50" t="n">
        <f aca="false">O47*$D$2</f>
        <v>0</v>
      </c>
      <c r="P48" s="50" t="n">
        <f aca="false">P47*$D$2</f>
        <v>60818.077</v>
      </c>
      <c r="Q48" s="50" t="n">
        <f aca="false">Q47*$D$2</f>
        <v>49728.3285</v>
      </c>
      <c r="R48" s="50" t="n">
        <f aca="false">R47*$D$2</f>
        <v>24141.1785</v>
      </c>
      <c r="S48" s="50" t="n">
        <f aca="false">S47*$D$2</f>
        <v>134687.584</v>
      </c>
      <c r="T48" s="50" t="n">
        <f aca="false">T47*$D$2</f>
        <v>7380.6035</v>
      </c>
      <c r="U48" s="50" t="n">
        <f aca="false">U47*$D$2</f>
        <v>8390.205</v>
      </c>
      <c r="V48" s="50" t="n">
        <f aca="false">V47*$D$2</f>
        <v>99801.786</v>
      </c>
      <c r="W48" s="50" t="n">
        <f aca="false">W47*$D$2</f>
        <v>242879.575</v>
      </c>
      <c r="X48" s="50" t="n">
        <f aca="false">X47*$D$2</f>
        <v>13441.522</v>
      </c>
      <c r="Y48" s="50" t="n">
        <f aca="false">Y47*$D$2</f>
        <v>256321.097</v>
      </c>
      <c r="Z48" s="51"/>
      <c r="AA48" s="54"/>
      <c r="AB48" s="54"/>
      <c r="AC48" s="55"/>
      <c r="AD48" s="83"/>
      <c r="AE48" s="83"/>
      <c r="AF48" s="84"/>
    </row>
    <row r="49" customFormat="false" ht="3" hidden="false" customHeight="true" outlineLevel="0" collapsed="false">
      <c r="A49" s="70"/>
      <c r="B49" s="70"/>
      <c r="C49" s="72"/>
      <c r="D49" s="70"/>
      <c r="E49" s="72"/>
      <c r="F49" s="70"/>
      <c r="G49" s="70"/>
      <c r="H49" s="137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2"/>
      <c r="U49" s="70"/>
      <c r="V49" s="70"/>
      <c r="W49" s="70"/>
      <c r="X49" s="70"/>
      <c r="Y49" s="70"/>
      <c r="Z49" s="51"/>
      <c r="AA49" s="54"/>
      <c r="AB49" s="54"/>
      <c r="AC49" s="55"/>
      <c r="AD49" s="83"/>
      <c r="AE49" s="83"/>
      <c r="AF49" s="84"/>
    </row>
    <row r="50" customFormat="false" ht="11.1" hidden="false" customHeight="true" outlineLevel="0" collapsed="false">
      <c r="A50" s="142"/>
      <c r="B50" s="79"/>
      <c r="C50" s="50"/>
      <c r="D50" s="49"/>
      <c r="E50" s="50"/>
      <c r="F50" s="49"/>
      <c r="G50" s="148"/>
      <c r="H50" s="80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50"/>
      <c r="U50" s="49"/>
      <c r="V50" s="149"/>
      <c r="W50" s="49"/>
      <c r="X50" s="49"/>
      <c r="Y50" s="49"/>
      <c r="Z50" s="51"/>
      <c r="AA50" s="54"/>
      <c r="AB50" s="54"/>
      <c r="AC50" s="55"/>
      <c r="AD50" s="82"/>
      <c r="AE50" s="82"/>
    </row>
    <row r="51" customFormat="false" ht="11.1" hidden="false" customHeight="true" outlineLevel="0" collapsed="false">
      <c r="A51" s="49"/>
      <c r="B51" s="69"/>
      <c r="C51" s="50"/>
      <c r="D51" s="77"/>
      <c r="E51" s="50"/>
      <c r="F51" s="49"/>
      <c r="G51" s="77"/>
      <c r="I51" s="80"/>
      <c r="J51" s="49"/>
      <c r="K51" s="39"/>
      <c r="L51" s="49"/>
      <c r="M51" s="49"/>
      <c r="N51" s="49"/>
      <c r="O51" s="49"/>
      <c r="P51" s="49"/>
      <c r="Q51" s="49"/>
      <c r="R51" s="49"/>
      <c r="S51" s="50"/>
      <c r="T51" s="49"/>
      <c r="U51" s="43"/>
      <c r="V51" s="50"/>
      <c r="W51" s="49"/>
      <c r="X51" s="49"/>
      <c r="Y51" s="53"/>
      <c r="Z51" s="51"/>
      <c r="AA51" s="54"/>
      <c r="AB51" s="55"/>
      <c r="AC51" s="82"/>
      <c r="AD51" s="82"/>
    </row>
    <row r="52" customFormat="false" ht="11.1" hidden="false" customHeight="true" outlineLevel="0" collapsed="false">
      <c r="A52" s="77"/>
      <c r="B52" s="77"/>
      <c r="C52" s="50"/>
      <c r="D52" s="50"/>
      <c r="E52" s="50"/>
      <c r="F52" s="77"/>
      <c r="G52" s="80"/>
      <c r="I52" s="49"/>
      <c r="J52" s="77"/>
      <c r="K52" s="77"/>
      <c r="L52" s="77"/>
      <c r="M52" s="76"/>
      <c r="N52" s="76"/>
      <c r="O52" s="76"/>
      <c r="P52" s="77"/>
      <c r="Q52" s="77"/>
      <c r="R52" s="88"/>
      <c r="S52" s="50"/>
      <c r="T52" s="54"/>
      <c r="V52" s="50"/>
      <c r="W52" s="77"/>
      <c r="X52" s="77"/>
      <c r="Y52" s="53"/>
      <c r="Z52" s="51"/>
      <c r="AA52" s="54"/>
      <c r="AB52" s="55"/>
      <c r="AC52" s="86"/>
      <c r="AD52" s="86"/>
    </row>
    <row r="53" customFormat="false" ht="11.1" hidden="false" customHeight="true" outlineLevel="0" collapsed="false">
      <c r="A53" s="77"/>
      <c r="B53" s="53"/>
      <c r="C53" s="50"/>
      <c r="D53" s="50"/>
      <c r="E53" s="50"/>
      <c r="F53" s="77"/>
      <c r="G53" s="80"/>
      <c r="I53" s="49"/>
      <c r="J53" s="77"/>
      <c r="K53" s="77"/>
      <c r="L53" s="77"/>
      <c r="M53" s="76"/>
      <c r="N53" s="76"/>
      <c r="O53" s="76"/>
      <c r="P53" s="77"/>
      <c r="Q53" s="77"/>
      <c r="R53" s="77"/>
      <c r="S53" s="50"/>
      <c r="T53" s="50"/>
      <c r="U53" s="43"/>
      <c r="V53" s="50"/>
      <c r="W53" s="77"/>
      <c r="X53" s="77"/>
      <c r="Y53" s="53"/>
      <c r="Z53" s="51"/>
      <c r="AA53" s="54"/>
      <c r="AB53" s="55"/>
      <c r="AC53" s="86"/>
      <c r="AD53" s="86"/>
    </row>
    <row r="54" customFormat="false" ht="11.1" hidden="false" customHeight="true" outlineLevel="0" collapsed="false">
      <c r="A54" s="77"/>
      <c r="B54" s="77"/>
      <c r="C54" s="50"/>
      <c r="D54" s="77"/>
      <c r="E54" s="50"/>
      <c r="F54" s="77"/>
      <c r="G54" s="80"/>
      <c r="I54" s="39"/>
      <c r="J54" s="77"/>
      <c r="K54" s="77"/>
      <c r="L54" s="77"/>
      <c r="M54" s="76"/>
      <c r="N54" s="7"/>
      <c r="O54" s="76"/>
      <c r="P54" s="77"/>
      <c r="Q54" s="77"/>
      <c r="R54" s="77"/>
      <c r="S54" s="0"/>
      <c r="T54" s="50"/>
      <c r="U54" s="45"/>
      <c r="V54" s="50"/>
      <c r="W54" s="77"/>
      <c r="X54" s="77"/>
      <c r="Y54" s="53"/>
      <c r="Z54" s="51"/>
      <c r="AA54" s="54"/>
      <c r="AB54" s="55"/>
      <c r="AC54" s="86"/>
      <c r="AD54" s="86"/>
    </row>
    <row r="55" customFormat="false" ht="11.1" hidden="false" customHeight="true" outlineLevel="0" collapsed="false">
      <c r="Q55" s="145"/>
      <c r="S55" s="50"/>
      <c r="T55" s="49"/>
      <c r="U55" s="45"/>
    </row>
    <row r="56" customFormat="false" ht="11.1" hidden="false" customHeight="true" outlineLevel="0" collapsed="false">
      <c r="Q56" s="145"/>
      <c r="S56" s="50"/>
      <c r="T56" s="49"/>
      <c r="U56" s="45"/>
    </row>
    <row r="57" customFormat="false" ht="11.1" hidden="false" customHeight="true" outlineLevel="0" collapsed="false">
      <c r="Q57" s="145"/>
    </row>
    <row r="58" customFormat="false" ht="11.1" hidden="false" customHeight="true" outlineLevel="0" collapsed="false">
      <c r="Q58" s="145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27" activePane="bottomRight" state="frozen"/>
      <selection pane="topLeft" activeCell="A1" activeCellId="0" sqref="A1"/>
      <selection pane="topRight" activeCell="J1" activeCellId="0" sqref="J1"/>
      <selection pane="bottomLeft" activeCell="A27" activeCellId="0" sqref="A27"/>
      <selection pane="bottomRight" activeCell="K3" activeCellId="0" sqref="K3"/>
    </sheetView>
  </sheetViews>
  <sheetFormatPr defaultColWidth="9.328125" defaultRowHeight="11.1" zeroHeight="false" outlineLevelRow="0" outlineLevelCol="0"/>
  <cols>
    <col collapsed="false" customWidth="true" hidden="false" outlineLevel="0" max="1" min="1" style="42" width="5.66"/>
    <col collapsed="false" customWidth="true" hidden="false" outlineLevel="0" max="2" min="2" style="42" width="7.82"/>
    <col collapsed="false" customWidth="true" hidden="false" outlineLevel="0" max="3" min="3" style="43" width="7.66"/>
    <col collapsed="false" customWidth="true" hidden="false" outlineLevel="0" max="4" min="4" style="42" width="6.99"/>
    <col collapsed="false" customWidth="true" hidden="false" outlineLevel="0" max="5" min="5" style="43" width="7.66"/>
    <col collapsed="false" customWidth="true" hidden="false" outlineLevel="0" max="6" min="6" style="42" width="7.66"/>
    <col collapsed="false" customWidth="true" hidden="false" outlineLevel="0" max="7" min="7" style="42" width="7.16"/>
    <col collapsed="false" customWidth="true" hidden="false" outlineLevel="0" max="8" min="8" style="150" width="6.82"/>
    <col collapsed="false" customWidth="true" hidden="false" outlineLevel="0" max="9" min="9" style="42" width="7.99"/>
    <col collapsed="false" customWidth="true" hidden="false" outlineLevel="0" max="10" min="10" style="42" width="6.66"/>
    <col collapsed="false" customWidth="true" hidden="false" outlineLevel="0" max="12" min="11" style="42" width="7.16"/>
    <col collapsed="false" customWidth="true" hidden="false" outlineLevel="0" max="13" min="13" style="45" width="6.32"/>
    <col collapsed="false" customWidth="true" hidden="true" outlineLevel="0" max="14" min="14" style="45" width="7.32"/>
    <col collapsed="false" customWidth="true" hidden="true" outlineLevel="0" max="15" min="15" style="45" width="6.49"/>
    <col collapsed="false" customWidth="true" hidden="true" outlineLevel="0" max="16" min="16" style="42" width="7.99"/>
    <col collapsed="false" customWidth="true" hidden="false" outlineLevel="0" max="17" min="17" style="42" width="6.32"/>
    <col collapsed="false" customWidth="true" hidden="false" outlineLevel="0" max="18" min="18" style="42" width="5.82"/>
    <col collapsed="false" customWidth="true" hidden="false" outlineLevel="0" max="19" min="19" style="43" width="6.82"/>
    <col collapsed="false" customWidth="true" hidden="false" outlineLevel="0" max="20" min="20" style="42" width="7.66"/>
    <col collapsed="false" customWidth="true" hidden="false" outlineLevel="0" max="21" min="21" style="42" width="5.99"/>
    <col collapsed="false" customWidth="true" hidden="false" outlineLevel="0" max="22" min="22" style="43" width="6.66"/>
    <col collapsed="false" customWidth="true" hidden="false" outlineLevel="0" max="24" min="23" style="42" width="7.82"/>
    <col collapsed="false" customWidth="true" hidden="false" outlineLevel="0" max="25" min="25" style="46" width="8.16"/>
    <col collapsed="false" customWidth="true" hidden="false" outlineLevel="0" max="26" min="26" style="46" width="4.66"/>
    <col collapsed="false" customWidth="true" hidden="false" outlineLevel="0" max="27" min="27" style="47" width="4.66"/>
    <col collapsed="false" customWidth="true" hidden="false" outlineLevel="0" max="28" min="28" style="48" width="4.66"/>
    <col collapsed="false" customWidth="true" hidden="false" outlineLevel="0" max="29" min="29" style="42" width="5.66"/>
    <col collapsed="false" customWidth="false" hidden="false" outlineLevel="0" max="257" min="30" style="42" width="9.32"/>
  </cols>
  <sheetData>
    <row r="1" customFormat="false" ht="14.1" hidden="false" customHeight="true" outlineLevel="0" collapsed="false">
      <c r="A1" s="49"/>
      <c r="B1" s="49"/>
      <c r="C1" s="50"/>
      <c r="D1" s="49"/>
      <c r="E1" s="50"/>
      <c r="F1" s="49"/>
      <c r="G1" s="49"/>
      <c r="H1" s="151"/>
      <c r="I1" s="49"/>
      <c r="J1" s="49"/>
      <c r="K1" s="52" t="s">
        <v>0</v>
      </c>
      <c r="L1" s="49"/>
      <c r="M1" s="49"/>
      <c r="N1" s="49"/>
      <c r="O1" s="49"/>
      <c r="P1" s="49"/>
      <c r="Q1" s="49"/>
      <c r="R1" s="49"/>
      <c r="S1" s="50"/>
      <c r="T1" s="49"/>
      <c r="U1" s="49"/>
      <c r="V1" s="50"/>
      <c r="W1" s="49"/>
      <c r="X1" s="49"/>
      <c r="Y1" s="53"/>
      <c r="Z1" s="53"/>
      <c r="AA1" s="54"/>
      <c r="AB1" s="55"/>
      <c r="AC1" s="82"/>
      <c r="AD1" s="82"/>
    </row>
    <row r="2" customFormat="false" ht="14.1" hidden="false" customHeight="true" outlineLevel="0" collapsed="false">
      <c r="A2" s="49" t="s">
        <v>1</v>
      </c>
      <c r="B2" s="49"/>
      <c r="C2" s="50"/>
      <c r="D2" s="56" t="n">
        <v>1.9835</v>
      </c>
      <c r="E2" s="50"/>
      <c r="F2" s="49"/>
      <c r="G2" s="49"/>
      <c r="H2" s="151"/>
      <c r="I2" s="49"/>
      <c r="J2" s="49"/>
      <c r="K2" s="57" t="s">
        <v>79</v>
      </c>
      <c r="L2" s="57"/>
      <c r="M2" s="57"/>
      <c r="N2" s="57"/>
      <c r="O2" s="57"/>
      <c r="P2" s="57"/>
      <c r="Q2" s="57"/>
      <c r="R2" s="57"/>
      <c r="S2" s="57"/>
      <c r="T2" s="57"/>
      <c r="U2" s="49"/>
      <c r="V2" s="50"/>
      <c r="W2" s="49"/>
      <c r="X2" s="49"/>
      <c r="Y2" s="53"/>
      <c r="Z2" s="53"/>
      <c r="AA2" s="54"/>
      <c r="AB2" s="55"/>
      <c r="AC2" s="82"/>
      <c r="AD2" s="82"/>
    </row>
    <row r="3" customFormat="false" ht="11.1" hidden="false" customHeight="true" outlineLevel="0" collapsed="false">
      <c r="A3" s="49"/>
      <c r="B3" s="49"/>
      <c r="C3" s="50"/>
      <c r="D3" s="58"/>
      <c r="E3" s="50"/>
      <c r="F3" s="49"/>
      <c r="G3" s="49"/>
      <c r="H3" s="151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49"/>
      <c r="U3" s="49"/>
      <c r="V3" s="50"/>
      <c r="W3" s="49"/>
      <c r="X3" s="49"/>
      <c r="Y3" s="53"/>
      <c r="Z3" s="53"/>
      <c r="AA3" s="54"/>
      <c r="AB3" s="55"/>
      <c r="AC3" s="82"/>
      <c r="AD3" s="82"/>
    </row>
    <row r="4" customFormat="false" ht="11.1" hidden="false" customHeight="true" outlineLevel="0" collapsed="false">
      <c r="A4" s="59" t="s">
        <v>3</v>
      </c>
      <c r="B4" s="59" t="s">
        <v>4</v>
      </c>
      <c r="C4" s="60" t="s">
        <v>4</v>
      </c>
      <c r="D4" s="59" t="s">
        <v>5</v>
      </c>
      <c r="E4" s="60" t="s">
        <v>6</v>
      </c>
      <c r="F4" s="59" t="s">
        <v>7</v>
      </c>
      <c r="G4" s="59" t="s">
        <v>8</v>
      </c>
      <c r="H4" s="152" t="s">
        <v>9</v>
      </c>
      <c r="I4" s="59" t="s">
        <v>10</v>
      </c>
      <c r="J4" s="59" t="s">
        <v>11</v>
      </c>
      <c r="K4" s="59" t="s">
        <v>12</v>
      </c>
      <c r="L4" s="59" t="s">
        <v>11</v>
      </c>
      <c r="M4" s="59" t="s">
        <v>13</v>
      </c>
      <c r="N4" s="59"/>
      <c r="O4" s="59"/>
      <c r="P4" s="59"/>
      <c r="Q4" s="59" t="s">
        <v>14</v>
      </c>
      <c r="R4" s="59" t="s">
        <v>15</v>
      </c>
      <c r="S4" s="59" t="s">
        <v>12</v>
      </c>
      <c r="T4" s="60" t="s">
        <v>16</v>
      </c>
      <c r="U4" s="59" t="s">
        <v>17</v>
      </c>
      <c r="V4" s="59" t="s">
        <v>18</v>
      </c>
      <c r="W4" s="59" t="s">
        <v>10</v>
      </c>
      <c r="X4" s="59" t="s">
        <v>11</v>
      </c>
      <c r="Y4" s="59" t="s">
        <v>12</v>
      </c>
      <c r="Z4" s="100" t="s">
        <v>19</v>
      </c>
      <c r="AA4" s="62" t="s">
        <v>20</v>
      </c>
      <c r="AB4" s="62" t="s">
        <v>21</v>
      </c>
      <c r="AC4" s="62" t="s">
        <v>3</v>
      </c>
      <c r="AD4" s="82"/>
      <c r="AE4" s="82"/>
    </row>
    <row r="5" customFormat="false" ht="11.1" hidden="false" customHeight="true" outlineLevel="0" collapsed="false">
      <c r="A5" s="63" t="s">
        <v>80</v>
      </c>
      <c r="B5" s="59" t="s">
        <v>23</v>
      </c>
      <c r="C5" s="60" t="s">
        <v>5</v>
      </c>
      <c r="D5" s="59" t="s">
        <v>24</v>
      </c>
      <c r="E5" s="60" t="s">
        <v>25</v>
      </c>
      <c r="F5" s="59" t="s">
        <v>26</v>
      </c>
      <c r="G5" s="59" t="s">
        <v>27</v>
      </c>
      <c r="H5" s="152" t="s">
        <v>28</v>
      </c>
      <c r="I5" s="59" t="s">
        <v>29</v>
      </c>
      <c r="J5" s="59" t="s">
        <v>29</v>
      </c>
      <c r="K5" s="59" t="s">
        <v>29</v>
      </c>
      <c r="L5" s="59" t="s">
        <v>30</v>
      </c>
      <c r="M5" s="59" t="s">
        <v>31</v>
      </c>
      <c r="N5" s="59" t="s">
        <v>32</v>
      </c>
      <c r="O5" s="59" t="s">
        <v>33</v>
      </c>
      <c r="P5" s="59" t="s">
        <v>34</v>
      </c>
      <c r="Q5" s="59" t="s">
        <v>35</v>
      </c>
      <c r="R5" s="59" t="s">
        <v>36</v>
      </c>
      <c r="S5" s="59" t="s">
        <v>16</v>
      </c>
      <c r="T5" s="60" t="s">
        <v>37</v>
      </c>
      <c r="U5" s="59" t="s">
        <v>38</v>
      </c>
      <c r="V5" s="59" t="s">
        <v>39</v>
      </c>
      <c r="W5" s="59" t="s">
        <v>40</v>
      </c>
      <c r="X5" s="59" t="s">
        <v>40</v>
      </c>
      <c r="Y5" s="59" t="s">
        <v>40</v>
      </c>
      <c r="Z5" s="125"/>
      <c r="AA5" s="62" t="s">
        <v>41</v>
      </c>
      <c r="AB5" s="62" t="s">
        <v>41</v>
      </c>
      <c r="AC5" s="65" t="s">
        <v>80</v>
      </c>
      <c r="AD5" s="82"/>
      <c r="AE5" s="82"/>
      <c r="AG5" s="135"/>
      <c r="AH5" s="135"/>
    </row>
    <row r="6" customFormat="false" ht="11.1" hidden="false" customHeight="true" outlineLevel="0" collapsed="false">
      <c r="A6" s="66"/>
      <c r="B6" s="66"/>
      <c r="C6" s="67"/>
      <c r="D6" s="66"/>
      <c r="E6" s="67"/>
      <c r="F6" s="66"/>
      <c r="G6" s="66"/>
      <c r="H6" s="151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6"/>
      <c r="V6" s="66"/>
      <c r="W6" s="66"/>
      <c r="X6" s="66"/>
      <c r="Y6" s="66"/>
      <c r="Z6" s="53"/>
      <c r="AA6" s="55"/>
      <c r="AB6" s="55"/>
      <c r="AC6" s="55"/>
      <c r="AD6" s="83"/>
      <c r="AE6" s="83"/>
      <c r="AF6" s="84"/>
      <c r="AG6" s="135"/>
      <c r="AH6" s="135"/>
    </row>
    <row r="7" customFormat="false" ht="11.1" hidden="false" customHeight="true" outlineLevel="0" collapsed="false">
      <c r="A7" s="49" t="s">
        <v>42</v>
      </c>
      <c r="B7" s="49"/>
      <c r="C7" s="50"/>
      <c r="D7" s="50"/>
      <c r="E7" s="50"/>
      <c r="F7" s="50" t="n">
        <f aca="false">SEP!F44</f>
        <v>2061.50743634989</v>
      </c>
      <c r="G7" s="50" t="n">
        <f aca="false">SEP!G44</f>
        <v>99250</v>
      </c>
      <c r="H7" s="153" t="n">
        <f aca="false">SEP!H44</f>
        <v>2414</v>
      </c>
      <c r="I7" s="50" t="n">
        <f aca="false">SEP!I44</f>
        <v>101664</v>
      </c>
      <c r="J7" s="50" t="n">
        <f aca="false">SEP!J44</f>
        <v>13474.0357953113</v>
      </c>
      <c r="K7" s="50" t="n">
        <f aca="false">SEP!K44</f>
        <v>115138.035795311</v>
      </c>
      <c r="L7" s="50" t="n">
        <f aca="false">SEP!L44</f>
        <v>7713.50743634989</v>
      </c>
      <c r="M7" s="50" t="n">
        <f aca="false">SEP!M44</f>
        <v>29343</v>
      </c>
      <c r="N7" s="50" t="n">
        <f aca="false">[1]SEP!N44</f>
        <v>204.87</v>
      </c>
      <c r="O7" s="50" t="n">
        <f aca="false">[1]SEP!O44</f>
        <v>11053.4015</v>
      </c>
      <c r="P7" s="50" t="n">
        <f aca="false">[1]SEP!P44</f>
        <v>37513.0285</v>
      </c>
      <c r="Q7" s="50" t="n">
        <f aca="false">SEP!Q44</f>
        <v>23311</v>
      </c>
      <c r="R7" s="50" t="n">
        <f aca="false">SEP!R44</f>
        <v>11975</v>
      </c>
      <c r="S7" s="50" t="n">
        <f aca="false">SEP!S44</f>
        <v>64629</v>
      </c>
      <c r="T7" s="50" t="n">
        <f aca="false">SEP!T44</f>
        <v>3721</v>
      </c>
      <c r="U7" s="50" t="n">
        <f aca="false">SEP!U44</f>
        <v>4230</v>
      </c>
      <c r="V7" s="50" t="n">
        <f aca="false">SEP!V44</f>
        <v>38457</v>
      </c>
      <c r="W7" s="50" t="n">
        <f aca="false">SEP!W44</f>
        <v>107316</v>
      </c>
      <c r="X7" s="50" t="n">
        <f aca="false">SEP!X44</f>
        <v>5760.52835896143</v>
      </c>
      <c r="Y7" s="50" t="n">
        <f aca="false">SEP!Y44</f>
        <v>113076.528358961</v>
      </c>
      <c r="Z7" s="53"/>
      <c r="AA7" s="54"/>
      <c r="AB7" s="54"/>
      <c r="AC7" s="55"/>
      <c r="AD7" s="83"/>
      <c r="AE7" s="84"/>
      <c r="AF7" s="84"/>
    </row>
    <row r="8" s="43" customFormat="true" ht="11.1" hidden="false" customHeight="true" outlineLevel="0" collapsed="false">
      <c r="A8" s="50" t="s">
        <v>43</v>
      </c>
      <c r="B8" s="69" t="n">
        <f aca="false">SEP!B39</f>
        <v>6913.37</v>
      </c>
      <c r="C8" s="50" t="n">
        <f aca="false">SEP!C39</f>
        <v>335642</v>
      </c>
      <c r="D8" s="50" t="n">
        <f aca="false">SEP!D48</f>
        <v>9521</v>
      </c>
      <c r="E8" s="50" t="n">
        <f aca="false">SEP!E48</f>
        <v>183664</v>
      </c>
      <c r="F8" s="50" t="n">
        <f aca="false">SEP!F47</f>
        <v>4800.10083186287</v>
      </c>
      <c r="G8" s="50" t="n">
        <f aca="false">SEP!G47</f>
        <v>114575</v>
      </c>
      <c r="H8" s="151" t="n">
        <f aca="false">SEP!H47</f>
        <v>2620</v>
      </c>
      <c r="I8" s="50" t="n">
        <f aca="false">SEP!I47</f>
        <v>117195</v>
      </c>
      <c r="J8" s="50" t="n">
        <f aca="false">SEP!J47</f>
        <v>16831.7693471137</v>
      </c>
      <c r="K8" s="50" t="n">
        <f aca="false">SEP!K47</f>
        <v>134026.769347114</v>
      </c>
      <c r="L8" s="50" t="n">
        <f aca="false">SEP!L47</f>
        <v>10055.1008318629</v>
      </c>
      <c r="M8" s="50" t="n">
        <f aca="false">SEP!M47</f>
        <v>30662</v>
      </c>
      <c r="N8" s="50" t="n">
        <f aca="false">[1]SEP!N47</f>
        <v>271.25</v>
      </c>
      <c r="O8" s="50" t="n">
        <f aca="false">[1]SEP!O47</f>
        <v>11494.742</v>
      </c>
      <c r="P8" s="50" t="n">
        <f aca="false">[1]SEP!P47</f>
        <v>39444.068</v>
      </c>
      <c r="Q8" s="50" t="n">
        <f aca="false">SEP!Q47</f>
        <v>25071</v>
      </c>
      <c r="R8" s="50" t="n">
        <f aca="false">SEP!R47</f>
        <v>12171</v>
      </c>
      <c r="S8" s="50" t="n">
        <f aca="false">SEP!S47</f>
        <v>67904</v>
      </c>
      <c r="T8" s="50" t="n">
        <f aca="false">SEP!T45</f>
        <v>7380.6035</v>
      </c>
      <c r="U8" s="50" t="n">
        <f aca="false">SEP!U47</f>
        <v>4230</v>
      </c>
      <c r="V8" s="50" t="n">
        <f aca="false">SEP!V47</f>
        <v>50316</v>
      </c>
      <c r="W8" s="50" t="n">
        <f aca="false">SEP!W47</f>
        <v>122450</v>
      </c>
      <c r="X8" s="50" t="n">
        <f aca="false">SEP!X47</f>
        <v>6776.66851525082</v>
      </c>
      <c r="Y8" s="50" t="n">
        <f aca="false">SEP!Y47</f>
        <v>129226.668515251</v>
      </c>
      <c r="Z8" s="53" t="n">
        <f aca="false">SEP!Z47</f>
        <v>17.08</v>
      </c>
      <c r="AA8" s="54"/>
      <c r="AB8" s="54"/>
      <c r="AC8" s="55"/>
      <c r="AD8" s="83"/>
      <c r="AE8" s="83"/>
      <c r="AF8" s="84"/>
      <c r="AG8" s="42"/>
      <c r="AH8" s="42"/>
    </row>
    <row r="9" customFormat="false" ht="3" hidden="false" customHeight="true" outlineLevel="0" collapsed="false">
      <c r="A9" s="70"/>
      <c r="B9" s="71"/>
      <c r="C9" s="72"/>
      <c r="D9" s="70"/>
      <c r="E9" s="72"/>
      <c r="F9" s="70"/>
      <c r="G9" s="70"/>
      <c r="H9" s="154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2"/>
      <c r="U9" s="70"/>
      <c r="V9" s="70"/>
      <c r="W9" s="70"/>
      <c r="X9" s="70"/>
      <c r="Y9" s="70"/>
      <c r="Z9" s="102"/>
      <c r="AA9" s="74"/>
      <c r="AB9" s="74"/>
      <c r="AC9" s="75"/>
      <c r="AD9" s="83"/>
      <c r="AE9" s="83"/>
      <c r="AF9" s="84"/>
    </row>
    <row r="10" customFormat="false" ht="11.1" hidden="false" customHeight="true" outlineLevel="0" collapsed="false">
      <c r="A10" s="55" t="n">
        <v>1</v>
      </c>
      <c r="B10" s="69" t="n">
        <v>6913.27</v>
      </c>
      <c r="C10" s="50" t="n">
        <v>335231</v>
      </c>
      <c r="D10" s="54" t="n">
        <f aca="false">C10-C8</f>
        <v>-411</v>
      </c>
      <c r="E10" s="50" t="n">
        <f aca="false">C10-152000</f>
        <v>183231</v>
      </c>
      <c r="F10" s="49" t="n">
        <f aca="false">D10/$D$2</f>
        <v>-207.20947819511</v>
      </c>
      <c r="G10" s="49" t="n">
        <v>130</v>
      </c>
      <c r="H10" s="151" t="n">
        <v>0</v>
      </c>
      <c r="I10" s="49" t="n">
        <f aca="false">G10+H10</f>
        <v>130</v>
      </c>
      <c r="J10" s="76" t="n">
        <f aca="false">IF(L10&gt;0,L10,0)</f>
        <v>0</v>
      </c>
      <c r="K10" s="49" t="n">
        <f aca="false">I10+J10</f>
        <v>130</v>
      </c>
      <c r="L10" s="49" t="n">
        <f aca="false">F10-(I10-W10)</f>
        <v>-33.2094781951097</v>
      </c>
      <c r="M10" s="49" t="n">
        <v>73</v>
      </c>
      <c r="N10" s="49" t="n">
        <v>0</v>
      </c>
      <c r="O10" s="49" t="n">
        <v>0</v>
      </c>
      <c r="P10" s="6" t="n">
        <f aca="false">M10-(N10+O10)</f>
        <v>73</v>
      </c>
      <c r="Q10" s="49" t="n">
        <v>114</v>
      </c>
      <c r="R10" s="49" t="n">
        <v>39</v>
      </c>
      <c r="S10" s="49" t="n">
        <f aca="false">SUM(P10:R10)</f>
        <v>226</v>
      </c>
      <c r="T10" s="50" t="n">
        <f aca="false">(I10-S10)+T7</f>
        <v>3625</v>
      </c>
      <c r="U10" s="49" t="n">
        <v>0</v>
      </c>
      <c r="V10" s="49" t="n">
        <v>78</v>
      </c>
      <c r="W10" s="6" t="n">
        <f aca="false">N10+O10+S10+U10+V10</f>
        <v>304</v>
      </c>
      <c r="X10" s="49" t="n">
        <f aca="false">IF(L10&lt;0,L10*-1,0)</f>
        <v>33.2094781951097</v>
      </c>
      <c r="Y10" s="49" t="n">
        <f aca="false">W10+X10</f>
        <v>337.20947819511</v>
      </c>
      <c r="Z10" s="53" t="n">
        <v>0</v>
      </c>
      <c r="AA10" s="54" t="n">
        <v>73</v>
      </c>
      <c r="AB10" s="54" t="n">
        <v>38</v>
      </c>
      <c r="AC10" s="55" t="n">
        <v>1</v>
      </c>
      <c r="AD10" s="83"/>
      <c r="AE10" s="85"/>
      <c r="AF10" s="85"/>
    </row>
    <row r="11" customFormat="false" ht="11.1" hidden="false" customHeight="true" outlineLevel="0" collapsed="false">
      <c r="A11" s="55" t="n">
        <f aca="false">A10+1</f>
        <v>2</v>
      </c>
      <c r="B11" s="69" t="n">
        <v>6913.17</v>
      </c>
      <c r="C11" s="50" t="n">
        <v>334820</v>
      </c>
      <c r="D11" s="54" t="n">
        <f aca="false">C11-C10</f>
        <v>-411</v>
      </c>
      <c r="E11" s="50" t="n">
        <f aca="false">C11-152000</f>
        <v>182820</v>
      </c>
      <c r="F11" s="49" t="n">
        <f aca="false">D11/$D$2</f>
        <v>-207.20947819511</v>
      </c>
      <c r="G11" s="49" t="n">
        <v>125</v>
      </c>
      <c r="H11" s="151" t="n">
        <v>0</v>
      </c>
      <c r="I11" s="49" t="n">
        <f aca="false">G11+H11</f>
        <v>125</v>
      </c>
      <c r="J11" s="76" t="n">
        <f aca="false">IF(L11&gt;0,L11,0)</f>
        <v>0</v>
      </c>
      <c r="K11" s="49" t="n">
        <f aca="false">I11+J11</f>
        <v>125</v>
      </c>
      <c r="L11" s="49" t="n">
        <f aca="false">F11-(I11-W11)</f>
        <v>-28.2094781951096</v>
      </c>
      <c r="M11" s="49" t="n">
        <v>73</v>
      </c>
      <c r="N11" s="49" t="n">
        <v>0</v>
      </c>
      <c r="O11" s="49" t="n">
        <v>0</v>
      </c>
      <c r="P11" s="6" t="n">
        <f aca="false">M11-(N11+O11)</f>
        <v>73</v>
      </c>
      <c r="Q11" s="49" t="n">
        <v>114</v>
      </c>
      <c r="R11" s="49" t="n">
        <v>39</v>
      </c>
      <c r="S11" s="49" t="n">
        <f aca="false">SUM(P11:R11)</f>
        <v>226</v>
      </c>
      <c r="T11" s="50" t="n">
        <f aca="false">(I11-S11)+T10</f>
        <v>3524</v>
      </c>
      <c r="U11" s="49" t="n">
        <v>0</v>
      </c>
      <c r="V11" s="49" t="n">
        <v>78</v>
      </c>
      <c r="W11" s="6" t="n">
        <f aca="false">N11+O11+S11+U11+V11</f>
        <v>304</v>
      </c>
      <c r="X11" s="49" t="n">
        <f aca="false">IF(L11&lt;0,L11*-1,0)</f>
        <v>28.2094781951096</v>
      </c>
      <c r="Y11" s="49" t="n">
        <f aca="false">W11+X11</f>
        <v>332.20947819511</v>
      </c>
      <c r="Z11" s="53" t="n">
        <v>0</v>
      </c>
      <c r="AA11" s="54" t="n">
        <v>73</v>
      </c>
      <c r="AB11" s="54" t="n">
        <v>40</v>
      </c>
      <c r="AC11" s="55" t="n">
        <f aca="false">AC10+1</f>
        <v>2</v>
      </c>
      <c r="AD11" s="83"/>
      <c r="AE11" s="85"/>
      <c r="AF11" s="85"/>
    </row>
    <row r="12" customFormat="false" ht="11.1" hidden="false" customHeight="true" outlineLevel="0" collapsed="false">
      <c r="A12" s="55" t="n">
        <f aca="false">A11+1</f>
        <v>3</v>
      </c>
      <c r="B12" s="69" t="n">
        <v>6913.09</v>
      </c>
      <c r="C12" s="50" t="n">
        <v>334491</v>
      </c>
      <c r="D12" s="54" t="n">
        <f aca="false">C12-C11</f>
        <v>-329</v>
      </c>
      <c r="E12" s="50" t="n">
        <f aca="false">C12-152000</f>
        <v>182491</v>
      </c>
      <c r="F12" s="49" t="n">
        <f aca="false">D12/$D$2</f>
        <v>-165.868414418956</v>
      </c>
      <c r="G12" s="49" t="n">
        <v>118</v>
      </c>
      <c r="H12" s="151" t="n">
        <v>0</v>
      </c>
      <c r="I12" s="49" t="n">
        <f aca="false">G12+H12</f>
        <v>118</v>
      </c>
      <c r="J12" s="76" t="n">
        <f aca="false">IF(L12&gt;0,L12,0)</f>
        <v>0</v>
      </c>
      <c r="K12" s="49" t="n">
        <f aca="false">I12+J12</f>
        <v>118</v>
      </c>
      <c r="L12" s="49" t="n">
        <f aca="false">F12-(I12-W12)</f>
        <v>-5.86841441895638</v>
      </c>
      <c r="M12" s="49" t="n">
        <v>73</v>
      </c>
      <c r="N12" s="49" t="n">
        <v>0</v>
      </c>
      <c r="O12" s="49" t="n">
        <v>0</v>
      </c>
      <c r="P12" s="6" t="n">
        <f aca="false">M12-(N12+O12)</f>
        <v>73</v>
      </c>
      <c r="Q12" s="49" t="n">
        <v>88</v>
      </c>
      <c r="R12" s="49" t="n">
        <v>39</v>
      </c>
      <c r="S12" s="49" t="n">
        <f aca="false">SUM(P12:R12)</f>
        <v>200</v>
      </c>
      <c r="T12" s="50" t="n">
        <f aca="false">(I12-S12)+T11</f>
        <v>3442</v>
      </c>
      <c r="U12" s="49" t="n">
        <v>0</v>
      </c>
      <c r="V12" s="49" t="n">
        <v>78</v>
      </c>
      <c r="W12" s="6" t="n">
        <f aca="false">N12+O12+S12+U12+V12</f>
        <v>278</v>
      </c>
      <c r="X12" s="49" t="n">
        <f aca="false">IF(L12&lt;0,L12*-1,0)</f>
        <v>5.86841441895638</v>
      </c>
      <c r="Y12" s="49" t="n">
        <f aca="false">W12+X12</f>
        <v>283.868414418956</v>
      </c>
      <c r="Z12" s="53" t="n">
        <v>0</v>
      </c>
      <c r="AA12" s="54" t="n">
        <v>74</v>
      </c>
      <c r="AB12" s="54" t="n">
        <v>40</v>
      </c>
      <c r="AC12" s="55" t="n">
        <f aca="false">AC11+1</f>
        <v>3</v>
      </c>
      <c r="AD12" s="83"/>
      <c r="AE12" s="85"/>
      <c r="AF12" s="85"/>
    </row>
    <row r="13" customFormat="false" ht="11.1" hidden="false" customHeight="true" outlineLevel="0" collapsed="false">
      <c r="A13" s="55" t="n">
        <f aca="false">A12+1</f>
        <v>4</v>
      </c>
      <c r="B13" s="69" t="n">
        <v>6913.041</v>
      </c>
      <c r="C13" s="50" t="n">
        <v>334162</v>
      </c>
      <c r="D13" s="54" t="n">
        <f aca="false">C13-C12</f>
        <v>-329</v>
      </c>
      <c r="E13" s="50" t="n">
        <f aca="false">C13-152000</f>
        <v>182162</v>
      </c>
      <c r="F13" s="49" t="n">
        <f aca="false">D13/$D$2</f>
        <v>-165.868414418956</v>
      </c>
      <c r="G13" s="49" t="n">
        <v>115</v>
      </c>
      <c r="H13" s="151" t="n">
        <v>0</v>
      </c>
      <c r="I13" s="49" t="n">
        <f aca="false">G13+H13</f>
        <v>115</v>
      </c>
      <c r="J13" s="76" t="n">
        <f aca="false">IF(L13&gt;0,L13,0)</f>
        <v>0</v>
      </c>
      <c r="K13" s="49" t="n">
        <f aca="false">I13+J13</f>
        <v>115</v>
      </c>
      <c r="L13" s="49" t="n">
        <f aca="false">F13-(I13-W13)</f>
        <v>-41.8684144189564</v>
      </c>
      <c r="M13" s="49" t="n">
        <v>73</v>
      </c>
      <c r="N13" s="49" t="n">
        <v>0</v>
      </c>
      <c r="O13" s="49" t="n">
        <v>0</v>
      </c>
      <c r="P13" s="6" t="n">
        <f aca="false">M13-(N13+O13)</f>
        <v>73</v>
      </c>
      <c r="Q13" s="49" t="n">
        <v>66</v>
      </c>
      <c r="R13" s="49" t="n">
        <v>39</v>
      </c>
      <c r="S13" s="49" t="n">
        <f aca="false">SUM(P13:R13)</f>
        <v>178</v>
      </c>
      <c r="T13" s="50" t="n">
        <f aca="false">(I13-S13)+T12</f>
        <v>3379</v>
      </c>
      <c r="U13" s="49" t="n">
        <v>0</v>
      </c>
      <c r="V13" s="49" t="n">
        <v>61</v>
      </c>
      <c r="W13" s="6" t="n">
        <f aca="false">N13+O13+S13+U13+V13</f>
        <v>239</v>
      </c>
      <c r="X13" s="49" t="n">
        <f aca="false">IF(L13&lt;0,L13*-1,0)</f>
        <v>41.8684144189564</v>
      </c>
      <c r="Y13" s="49" t="n">
        <f aca="false">W13+X13</f>
        <v>280.868414418956</v>
      </c>
      <c r="Z13" s="53" t="n">
        <v>0</v>
      </c>
      <c r="AA13" s="54" t="n">
        <v>68</v>
      </c>
      <c r="AB13" s="54" t="n">
        <v>44</v>
      </c>
      <c r="AC13" s="55" t="n">
        <f aca="false">AC12+1</f>
        <v>4</v>
      </c>
      <c r="AD13" s="83"/>
      <c r="AE13" s="85"/>
      <c r="AF13" s="85"/>
    </row>
    <row r="14" customFormat="false" ht="11.1" hidden="false" customHeight="true" outlineLevel="0" collapsed="false">
      <c r="A14" s="55" t="n">
        <f aca="false">A13+1</f>
        <v>5</v>
      </c>
      <c r="B14" s="69" t="n">
        <v>6912.94</v>
      </c>
      <c r="C14" s="50" t="n">
        <v>333877</v>
      </c>
      <c r="D14" s="54" t="n">
        <f aca="false">C14-C13</f>
        <v>-285</v>
      </c>
      <c r="E14" s="50" t="n">
        <f aca="false">C14-152000</f>
        <v>181877</v>
      </c>
      <c r="F14" s="49" t="n">
        <f aca="false">D14/$D$2</f>
        <v>-143.68540458785</v>
      </c>
      <c r="G14" s="49" t="n">
        <v>114</v>
      </c>
      <c r="H14" s="151" t="n">
        <v>0</v>
      </c>
      <c r="I14" s="49" t="n">
        <f aca="false">G14+H14</f>
        <v>114</v>
      </c>
      <c r="J14" s="76" t="n">
        <f aca="false">IF(L14&gt;0,L14,0)</f>
        <v>0</v>
      </c>
      <c r="K14" s="49" t="n">
        <f aca="false">I14+J14</f>
        <v>114</v>
      </c>
      <c r="L14" s="49" t="n">
        <f aca="false">F14-(I14-W14)</f>
        <v>-29.6854045878497</v>
      </c>
      <c r="M14" s="49" t="n">
        <v>73</v>
      </c>
      <c r="N14" s="49" t="n">
        <v>0</v>
      </c>
      <c r="O14" s="49" t="n">
        <v>0</v>
      </c>
      <c r="P14" s="6" t="n">
        <f aca="false">M14-(N14+O14)</f>
        <v>73</v>
      </c>
      <c r="Q14" s="49" t="n">
        <v>67</v>
      </c>
      <c r="R14" s="49" t="n">
        <v>39</v>
      </c>
      <c r="S14" s="49" t="n">
        <f aca="false">SUM(P14:R14)</f>
        <v>179</v>
      </c>
      <c r="T14" s="50" t="n">
        <f aca="false">(I14-S14)+T13</f>
        <v>3314</v>
      </c>
      <c r="U14" s="49" t="n">
        <v>0</v>
      </c>
      <c r="V14" s="49" t="n">
        <v>49</v>
      </c>
      <c r="W14" s="6" t="n">
        <f aca="false">N14+O14+S14+U14+V14</f>
        <v>228</v>
      </c>
      <c r="X14" s="49" t="n">
        <f aca="false">IF(L14&lt;0,L14*-1,0)</f>
        <v>29.6854045878497</v>
      </c>
      <c r="Y14" s="49" t="n">
        <f aca="false">W14+X14</f>
        <v>257.68540458785</v>
      </c>
      <c r="Z14" s="53" t="n">
        <v>0.05</v>
      </c>
      <c r="AA14" s="54" t="n">
        <v>68</v>
      </c>
      <c r="AB14" s="54" t="n">
        <v>40</v>
      </c>
      <c r="AC14" s="55" t="n">
        <f aca="false">AC13+1</f>
        <v>5</v>
      </c>
      <c r="AD14" s="83"/>
      <c r="AE14" s="85"/>
      <c r="AF14" s="85"/>
    </row>
    <row r="15" customFormat="false" ht="11.1" hidden="false" customHeight="true" outlineLevel="0" collapsed="false">
      <c r="A15" s="55" t="n">
        <f aca="false">A14+1</f>
        <v>6</v>
      </c>
      <c r="B15" s="69" t="n">
        <v>6912.89</v>
      </c>
      <c r="C15" s="50" t="n">
        <v>333673</v>
      </c>
      <c r="D15" s="54" t="n">
        <f aca="false">C15-C14</f>
        <v>-204</v>
      </c>
      <c r="E15" s="50" t="n">
        <f aca="false">C15-152000</f>
        <v>181673</v>
      </c>
      <c r="F15" s="49" t="n">
        <f aca="false">D15/$D$2</f>
        <v>-102.84850012604</v>
      </c>
      <c r="G15" s="49" t="n">
        <v>119</v>
      </c>
      <c r="H15" s="151" t="n">
        <v>0</v>
      </c>
      <c r="I15" s="49" t="n">
        <f aca="false">G15+H15</f>
        <v>119</v>
      </c>
      <c r="J15" s="76" t="n">
        <f aca="false">IF(L15&gt;0,L15,0)</f>
        <v>7.15149987396018</v>
      </c>
      <c r="K15" s="49" t="n">
        <f aca="false">I15+J15</f>
        <v>126.15149987396</v>
      </c>
      <c r="L15" s="49" t="n">
        <f aca="false">F15-(I15-W15)</f>
        <v>7.15149987396018</v>
      </c>
      <c r="M15" s="49" t="n">
        <v>73</v>
      </c>
      <c r="N15" s="49" t="n">
        <v>0</v>
      </c>
      <c r="O15" s="49" t="n">
        <v>0</v>
      </c>
      <c r="P15" s="6" t="n">
        <f aca="false">M15-(N15+O15)</f>
        <v>73</v>
      </c>
      <c r="Q15" s="49" t="n">
        <v>67</v>
      </c>
      <c r="R15" s="49" t="n">
        <v>39</v>
      </c>
      <c r="S15" s="49" t="n">
        <f aca="false">SUM(P15:R15)</f>
        <v>179</v>
      </c>
      <c r="T15" s="50" t="n">
        <f aca="false">(I15-S15)+T14</f>
        <v>3254</v>
      </c>
      <c r="U15" s="49" t="n">
        <v>0</v>
      </c>
      <c r="V15" s="49" t="n">
        <v>50</v>
      </c>
      <c r="W15" s="6" t="n">
        <f aca="false">N15+O15+S15+U15+V15</f>
        <v>229</v>
      </c>
      <c r="X15" s="49" t="n">
        <f aca="false">IF(L15&lt;0,L15*-1,0)</f>
        <v>0</v>
      </c>
      <c r="Y15" s="49" t="n">
        <f aca="false">W15+X15</f>
        <v>229</v>
      </c>
      <c r="Z15" s="53" t="n">
        <v>0</v>
      </c>
      <c r="AA15" s="54" t="n">
        <v>66</v>
      </c>
      <c r="AB15" s="54" t="n">
        <v>42</v>
      </c>
      <c r="AC15" s="55" t="n">
        <f aca="false">AC14+1</f>
        <v>6</v>
      </c>
      <c r="AD15" s="83"/>
      <c r="AE15" s="85"/>
      <c r="AF15" s="85"/>
    </row>
    <row r="16" customFormat="false" ht="11.1" hidden="false" customHeight="true" outlineLevel="0" collapsed="false">
      <c r="A16" s="55" t="n">
        <f aca="false">A15+1</f>
        <v>7</v>
      </c>
      <c r="B16" s="69" t="n">
        <v>6912.82</v>
      </c>
      <c r="C16" s="50" t="n">
        <v>333387</v>
      </c>
      <c r="D16" s="54" t="n">
        <f aca="false">C16-C15</f>
        <v>-286</v>
      </c>
      <c r="E16" s="50" t="n">
        <f aca="false">C16-152000</f>
        <v>181387</v>
      </c>
      <c r="F16" s="49" t="n">
        <f aca="false">D16/$D$2</f>
        <v>-144.189563902193</v>
      </c>
      <c r="G16" s="49" t="n">
        <v>141</v>
      </c>
      <c r="H16" s="151" t="n">
        <v>0</v>
      </c>
      <c r="I16" s="49" t="n">
        <f aca="false">G16+H16</f>
        <v>141</v>
      </c>
      <c r="J16" s="76" t="n">
        <f aca="false">IF(L16&gt;0,L16,0)</f>
        <v>0</v>
      </c>
      <c r="K16" s="49" t="n">
        <f aca="false">I16+J16</f>
        <v>141</v>
      </c>
      <c r="L16" s="49" t="n">
        <f aca="false">F16-(I16-W16)</f>
        <v>-33.1895639021931</v>
      </c>
      <c r="M16" s="49" t="n">
        <v>73</v>
      </c>
      <c r="N16" s="49" t="n">
        <v>0</v>
      </c>
      <c r="O16" s="49" t="n">
        <v>0</v>
      </c>
      <c r="P16" s="6" t="n">
        <f aca="false">M16-(N16+O16)</f>
        <v>73</v>
      </c>
      <c r="Q16" s="49" t="n">
        <v>67</v>
      </c>
      <c r="R16" s="49" t="n">
        <v>39</v>
      </c>
      <c r="S16" s="49" t="n">
        <f aca="false">SUM(P16:R16)</f>
        <v>179</v>
      </c>
      <c r="T16" s="50" t="n">
        <f aca="false">(I16-S16)+T15</f>
        <v>3216</v>
      </c>
      <c r="U16" s="49" t="n">
        <v>10</v>
      </c>
      <c r="V16" s="49" t="n">
        <v>63</v>
      </c>
      <c r="W16" s="6" t="n">
        <f aca="false">N16+O16+S16+U16+V16</f>
        <v>252</v>
      </c>
      <c r="X16" s="49" t="n">
        <f aca="false">IF(L16&lt;0,L16*-1,0)</f>
        <v>33.1895639021931</v>
      </c>
      <c r="Y16" s="49" t="n">
        <f aca="false">W16+X16</f>
        <v>285.189563902193</v>
      </c>
      <c r="Z16" s="53" t="n">
        <v>0</v>
      </c>
      <c r="AA16" s="54" t="n">
        <v>65</v>
      </c>
      <c r="AB16" s="54" t="n">
        <v>39</v>
      </c>
      <c r="AC16" s="55" t="n">
        <f aca="false">AC15+1</f>
        <v>7</v>
      </c>
      <c r="AD16" s="83"/>
      <c r="AE16" s="85"/>
      <c r="AF16" s="85"/>
    </row>
    <row r="17" customFormat="false" ht="11.1" hidden="false" customHeight="true" outlineLevel="0" collapsed="false">
      <c r="A17" s="55" t="n">
        <f aca="false">A16+1</f>
        <v>8</v>
      </c>
      <c r="B17" s="69" t="n">
        <v>6912.75</v>
      </c>
      <c r="C17" s="50" t="n">
        <v>333102</v>
      </c>
      <c r="D17" s="54" t="n">
        <f aca="false">C17-C16</f>
        <v>-285</v>
      </c>
      <c r="E17" s="50" t="n">
        <f aca="false">C17-152000</f>
        <v>181102</v>
      </c>
      <c r="F17" s="49" t="n">
        <f aca="false">D17/$D$2</f>
        <v>-143.68540458785</v>
      </c>
      <c r="G17" s="49" t="n">
        <v>150</v>
      </c>
      <c r="H17" s="151" t="n">
        <v>0</v>
      </c>
      <c r="I17" s="49" t="n">
        <f aca="false">G17+H17</f>
        <v>150</v>
      </c>
      <c r="J17" s="76" t="n">
        <f aca="false">IF(L17&gt;0,L17,0)</f>
        <v>0</v>
      </c>
      <c r="K17" s="49" t="n">
        <f aca="false">I17+J17</f>
        <v>150</v>
      </c>
      <c r="L17" s="49" t="n">
        <f aca="false">F17-(I17-W17)</f>
        <v>-37.6854045878497</v>
      </c>
      <c r="M17" s="49" t="n">
        <v>73</v>
      </c>
      <c r="N17" s="49" t="n">
        <v>0</v>
      </c>
      <c r="O17" s="49" t="n">
        <v>0</v>
      </c>
      <c r="P17" s="6" t="n">
        <f aca="false">M17-(N17+O17)</f>
        <v>73</v>
      </c>
      <c r="Q17" s="49" t="n">
        <v>67</v>
      </c>
      <c r="R17" s="49" t="n">
        <v>39</v>
      </c>
      <c r="S17" s="49" t="n">
        <f aca="false">SUM(P17:R17)</f>
        <v>179</v>
      </c>
      <c r="T17" s="50" t="n">
        <f aca="false">(I17-S17)+T16</f>
        <v>3187</v>
      </c>
      <c r="U17" s="49" t="n">
        <v>0</v>
      </c>
      <c r="V17" s="49" t="n">
        <v>77</v>
      </c>
      <c r="W17" s="6" t="n">
        <f aca="false">N17+O17+S17+U17+V17</f>
        <v>256</v>
      </c>
      <c r="X17" s="49" t="n">
        <f aca="false">IF(L17&lt;0,L17*-1,0)</f>
        <v>37.6854045878497</v>
      </c>
      <c r="Y17" s="49" t="n">
        <f aca="false">W17+X17</f>
        <v>293.68540458785</v>
      </c>
      <c r="Z17" s="53" t="n">
        <v>0</v>
      </c>
      <c r="AA17" s="54" t="n">
        <v>60</v>
      </c>
      <c r="AB17" s="54" t="n">
        <v>35</v>
      </c>
      <c r="AC17" s="55" t="n">
        <f aca="false">AC16+1</f>
        <v>8</v>
      </c>
      <c r="AD17" s="83"/>
      <c r="AE17" s="85"/>
      <c r="AF17" s="85"/>
    </row>
    <row r="18" customFormat="false" ht="11.1" hidden="false" customHeight="true" outlineLevel="0" collapsed="false">
      <c r="A18" s="55" t="n">
        <f aca="false">A17+1</f>
        <v>9</v>
      </c>
      <c r="B18" s="69" t="n">
        <v>6912.69</v>
      </c>
      <c r="C18" s="50" t="n">
        <v>332857</v>
      </c>
      <c r="D18" s="54" t="n">
        <f aca="false">C18-C17</f>
        <v>-245</v>
      </c>
      <c r="E18" s="50" t="n">
        <f aca="false">C18-152000</f>
        <v>180857</v>
      </c>
      <c r="F18" s="49" t="n">
        <f aca="false">D18/$D$2</f>
        <v>-123.519032014116</v>
      </c>
      <c r="G18" s="49" t="n">
        <v>139</v>
      </c>
      <c r="H18" s="151" t="n">
        <v>0</v>
      </c>
      <c r="I18" s="49" t="n">
        <f aca="false">G18+H18</f>
        <v>139</v>
      </c>
      <c r="J18" s="76" t="n">
        <f aca="false">IF(L18&gt;0,L18,0)</f>
        <v>0</v>
      </c>
      <c r="K18" s="49" t="n">
        <f aca="false">I18+J18</f>
        <v>139</v>
      </c>
      <c r="L18" s="49" t="n">
        <f aca="false">F18-(I18-W18)</f>
        <v>-5.51903201411646</v>
      </c>
      <c r="M18" s="49" t="n">
        <v>73</v>
      </c>
      <c r="N18" s="49" t="n">
        <v>0</v>
      </c>
      <c r="O18" s="49" t="n">
        <v>0</v>
      </c>
      <c r="P18" s="6" t="n">
        <f aca="false">M18-(N18+O18)</f>
        <v>73</v>
      </c>
      <c r="Q18" s="49" t="n">
        <v>67</v>
      </c>
      <c r="R18" s="49" t="n">
        <v>39</v>
      </c>
      <c r="S18" s="49" t="n">
        <f aca="false">SUM(P18:R18)</f>
        <v>179</v>
      </c>
      <c r="T18" s="50" t="n">
        <f aca="false">(I18-S18)+T17</f>
        <v>3147</v>
      </c>
      <c r="U18" s="49" t="n">
        <v>0</v>
      </c>
      <c r="V18" s="49" t="n">
        <v>78</v>
      </c>
      <c r="W18" s="6" t="n">
        <f aca="false">N18+O18+S18+U18+V18</f>
        <v>257</v>
      </c>
      <c r="X18" s="49" t="n">
        <f aca="false">IF(L18&lt;0,L18*-1,0)</f>
        <v>5.51903201411646</v>
      </c>
      <c r="Y18" s="49" t="n">
        <f aca="false">W18+X18</f>
        <v>262.519032014116</v>
      </c>
      <c r="Z18" s="53" t="n">
        <v>0.1</v>
      </c>
      <c r="AA18" s="77" t="n">
        <v>66</v>
      </c>
      <c r="AB18" s="54" t="n">
        <v>32</v>
      </c>
      <c r="AC18" s="55" t="n">
        <f aca="false">AC17+1</f>
        <v>9</v>
      </c>
      <c r="AD18" s="83"/>
      <c r="AE18" s="85"/>
      <c r="AF18" s="85"/>
    </row>
    <row r="19" customFormat="false" ht="11.1" hidden="false" customHeight="true" outlineLevel="0" collapsed="false">
      <c r="A19" s="55" t="n">
        <f aca="false">A18+1</f>
        <v>10</v>
      </c>
      <c r="B19" s="69" t="n">
        <v>6912.62</v>
      </c>
      <c r="C19" s="50" t="n">
        <v>332572</v>
      </c>
      <c r="D19" s="54" t="n">
        <f aca="false">C19-C18</f>
        <v>-285</v>
      </c>
      <c r="E19" s="50" t="n">
        <f aca="false">C19-152000</f>
        <v>180572</v>
      </c>
      <c r="F19" s="49" t="n">
        <f aca="false">D19/$D$2</f>
        <v>-143.68540458785</v>
      </c>
      <c r="G19" s="49" t="n">
        <v>132</v>
      </c>
      <c r="H19" s="151" t="n">
        <v>0</v>
      </c>
      <c r="I19" s="49" t="n">
        <f aca="false">G19+H19</f>
        <v>132</v>
      </c>
      <c r="J19" s="76" t="n">
        <f aca="false">IF(L19&gt;0,L19,0)</f>
        <v>0</v>
      </c>
      <c r="K19" s="49" t="n">
        <f aca="false">I19+J19</f>
        <v>132</v>
      </c>
      <c r="L19" s="49" t="n">
        <f aca="false">F19-(I19-W19)</f>
        <v>-4.68540458784975</v>
      </c>
      <c r="M19" s="49" t="n">
        <v>73</v>
      </c>
      <c r="N19" s="49" t="n">
        <v>0</v>
      </c>
      <c r="O19" s="49" t="n">
        <v>0</v>
      </c>
      <c r="P19" s="6" t="n">
        <f aca="false">M19-(N19+O19)</f>
        <v>73</v>
      </c>
      <c r="Q19" s="49" t="n">
        <v>67</v>
      </c>
      <c r="R19" s="49" t="n">
        <v>39</v>
      </c>
      <c r="S19" s="49" t="n">
        <f aca="false">SUM(P19:R19)</f>
        <v>179</v>
      </c>
      <c r="T19" s="50" t="n">
        <f aca="false">(I19-S19)+T18</f>
        <v>3100</v>
      </c>
      <c r="U19" s="49" t="n">
        <v>14</v>
      </c>
      <c r="V19" s="49" t="n">
        <v>78</v>
      </c>
      <c r="W19" s="6" t="n">
        <f aca="false">N19+O19+S19+U19+V19</f>
        <v>271</v>
      </c>
      <c r="X19" s="49" t="n">
        <f aca="false">IF(L19&lt;0,L19*-1,0)</f>
        <v>4.68540458784975</v>
      </c>
      <c r="Y19" s="49" t="n">
        <f aca="false">W19+X19</f>
        <v>275.68540458785</v>
      </c>
      <c r="Z19" s="53" t="n">
        <v>0</v>
      </c>
      <c r="AA19" s="54" t="n">
        <v>65</v>
      </c>
      <c r="AB19" s="54" t="n">
        <v>32</v>
      </c>
      <c r="AC19" s="55" t="n">
        <f aca="false">AC18+1</f>
        <v>10</v>
      </c>
      <c r="AD19" s="83"/>
      <c r="AE19" s="85"/>
      <c r="AF19" s="85"/>
    </row>
    <row r="20" customFormat="false" ht="11.1" hidden="false" customHeight="true" outlineLevel="0" collapsed="false">
      <c r="A20" s="55" t="n">
        <f aca="false">A19+1</f>
        <v>11</v>
      </c>
      <c r="B20" s="69" t="n">
        <v>6912.54</v>
      </c>
      <c r="C20" s="50" t="n">
        <v>332246</v>
      </c>
      <c r="D20" s="54" t="n">
        <f aca="false">C20-C19</f>
        <v>-326</v>
      </c>
      <c r="E20" s="50" t="n">
        <f aca="false">C20-152000</f>
        <v>180246</v>
      </c>
      <c r="F20" s="49" t="n">
        <f aca="false">D20/$D$2</f>
        <v>-164.355936475926</v>
      </c>
      <c r="G20" s="49" t="n">
        <v>120</v>
      </c>
      <c r="H20" s="151" t="n">
        <v>0</v>
      </c>
      <c r="I20" s="49" t="n">
        <f aca="false">G20+H20</f>
        <v>120</v>
      </c>
      <c r="J20" s="76" t="n">
        <f aca="false">IF(L20&gt;0,L20,0)</f>
        <v>0</v>
      </c>
      <c r="K20" s="49" t="n">
        <f aca="false">I20+J20</f>
        <v>120</v>
      </c>
      <c r="L20" s="49" t="n">
        <f aca="false">F20-(I20-W20)</f>
        <v>-27.3559364759264</v>
      </c>
      <c r="M20" s="49" t="n">
        <v>73</v>
      </c>
      <c r="N20" s="49" t="n">
        <v>0</v>
      </c>
      <c r="O20" s="49" t="n">
        <v>0</v>
      </c>
      <c r="P20" s="6" t="n">
        <f aca="false">M20-(N20+O20)</f>
        <v>73</v>
      </c>
      <c r="Q20" s="49" t="n">
        <v>67</v>
      </c>
      <c r="R20" s="49" t="n">
        <v>39</v>
      </c>
      <c r="S20" s="49" t="n">
        <f aca="false">SUM(P20:R20)</f>
        <v>179</v>
      </c>
      <c r="T20" s="50" t="n">
        <f aca="false">(I20-S20)+T19</f>
        <v>3041</v>
      </c>
      <c r="U20" s="49" t="n">
        <v>0</v>
      </c>
      <c r="V20" s="49" t="n">
        <v>78</v>
      </c>
      <c r="W20" s="6" t="n">
        <f aca="false">N20+O20+S20+U20+V20</f>
        <v>257</v>
      </c>
      <c r="X20" s="49" t="n">
        <f aca="false">IF(L20&lt;0,L20*-1,0)</f>
        <v>27.3559364759264</v>
      </c>
      <c r="Y20" s="49" t="n">
        <f aca="false">W20+X20</f>
        <v>284.355936475926</v>
      </c>
      <c r="Z20" s="53" t="n">
        <v>0</v>
      </c>
      <c r="AA20" s="54" t="n">
        <v>65</v>
      </c>
      <c r="AB20" s="54" t="n">
        <v>32</v>
      </c>
      <c r="AC20" s="55" t="n">
        <f aca="false">AC19+1</f>
        <v>11</v>
      </c>
      <c r="AD20" s="83"/>
      <c r="AE20" s="85"/>
      <c r="AF20" s="85"/>
      <c r="AG20" s="131"/>
      <c r="AH20" s="131"/>
      <c r="AI20" s="131"/>
    </row>
    <row r="21" customFormat="false" ht="11.1" hidden="false" customHeight="true" outlineLevel="0" collapsed="false">
      <c r="A21" s="55" t="n">
        <f aca="false">A20+1</f>
        <v>12</v>
      </c>
      <c r="B21" s="69" t="n">
        <v>6912.41</v>
      </c>
      <c r="C21" s="50" t="n">
        <v>331716</v>
      </c>
      <c r="D21" s="54" t="n">
        <f aca="false">C21-C20</f>
        <v>-530</v>
      </c>
      <c r="E21" s="50" t="n">
        <f aca="false">C21-152000</f>
        <v>179716</v>
      </c>
      <c r="F21" s="49" t="n">
        <f aca="false">D21/$D$2</f>
        <v>-267.204436601966</v>
      </c>
      <c r="G21" s="49" t="n">
        <v>114</v>
      </c>
      <c r="H21" s="151" t="n">
        <v>0</v>
      </c>
      <c r="I21" s="49" t="n">
        <f aca="false">G21+H21</f>
        <v>114</v>
      </c>
      <c r="J21" s="76" t="n">
        <f aca="false">IF(L21&gt;0,L21,0)</f>
        <v>0</v>
      </c>
      <c r="K21" s="49" t="n">
        <f aca="false">I21+J21</f>
        <v>114</v>
      </c>
      <c r="L21" s="49" t="n">
        <f aca="false">F21-(I21-W21)</f>
        <v>-92.2044366019662</v>
      </c>
      <c r="M21" s="49" t="n">
        <v>73</v>
      </c>
      <c r="N21" s="49" t="n">
        <v>0</v>
      </c>
      <c r="O21" s="49" t="n">
        <v>0</v>
      </c>
      <c r="P21" s="6" t="n">
        <f aca="false">M21-(N21+O21)</f>
        <v>73</v>
      </c>
      <c r="Q21" s="49" t="n">
        <v>67</v>
      </c>
      <c r="R21" s="49" t="n">
        <v>39</v>
      </c>
      <c r="S21" s="49" t="n">
        <f aca="false">SUM(P21:R21)</f>
        <v>179</v>
      </c>
      <c r="T21" s="50" t="n">
        <f aca="false">(I21-S21)+T20</f>
        <v>2976</v>
      </c>
      <c r="U21" s="49" t="n">
        <v>32</v>
      </c>
      <c r="V21" s="49" t="n">
        <v>78</v>
      </c>
      <c r="W21" s="6" t="n">
        <f aca="false">N21+O21+S21+U21+V21</f>
        <v>289</v>
      </c>
      <c r="X21" s="49" t="n">
        <f aca="false">IF(L21&lt;0,L21*-1,0)</f>
        <v>92.2044366019662</v>
      </c>
      <c r="Y21" s="49" t="n">
        <f aca="false">W21+X21</f>
        <v>381.204436601966</v>
      </c>
      <c r="Z21" s="53" t="n">
        <v>0</v>
      </c>
      <c r="AA21" s="54" t="n">
        <v>65</v>
      </c>
      <c r="AB21" s="54" t="n">
        <v>33</v>
      </c>
      <c r="AC21" s="55" t="n">
        <f aca="false">AC20+1</f>
        <v>12</v>
      </c>
      <c r="AD21" s="83"/>
      <c r="AE21" s="83"/>
      <c r="AF21" s="85"/>
    </row>
    <row r="22" customFormat="false" ht="11.1" hidden="false" customHeight="true" outlineLevel="0" collapsed="false">
      <c r="A22" s="55" t="n">
        <f aca="false">A21+1</f>
        <v>13</v>
      </c>
      <c r="B22" s="69" t="n">
        <v>6912.24</v>
      </c>
      <c r="C22" s="50" t="n">
        <v>331023</v>
      </c>
      <c r="D22" s="54" t="n">
        <f aca="false">C22-C21</f>
        <v>-693</v>
      </c>
      <c r="E22" s="50" t="n">
        <f aca="false">C22-152000</f>
        <v>179023</v>
      </c>
      <c r="F22" s="49" t="n">
        <f aca="false">D22/$D$2</f>
        <v>-349.382404839929</v>
      </c>
      <c r="G22" s="49" t="n">
        <v>110</v>
      </c>
      <c r="H22" s="151" t="n">
        <v>0</v>
      </c>
      <c r="I22" s="49" t="n">
        <f aca="false">G22+H22</f>
        <v>110</v>
      </c>
      <c r="J22" s="76" t="n">
        <f aca="false">IF(L22&gt;0,L22,0)</f>
        <v>0</v>
      </c>
      <c r="K22" s="49" t="n">
        <f aca="false">I22+J22</f>
        <v>110</v>
      </c>
      <c r="L22" s="49" t="n">
        <f aca="false">F22-(I22-W22)</f>
        <v>-41.3824048399294</v>
      </c>
      <c r="M22" s="49" t="n">
        <v>73</v>
      </c>
      <c r="N22" s="49" t="n">
        <v>0</v>
      </c>
      <c r="O22" s="49" t="n">
        <v>0</v>
      </c>
      <c r="P22" s="6" t="n">
        <f aca="false">M22-(N22+O22)</f>
        <v>73</v>
      </c>
      <c r="Q22" s="49" t="n">
        <v>193</v>
      </c>
      <c r="R22" s="49" t="n">
        <v>39</v>
      </c>
      <c r="S22" s="49" t="n">
        <f aca="false">SUM(P22:R22)</f>
        <v>305</v>
      </c>
      <c r="T22" s="50" t="n">
        <f aca="false">(I22-S22)+T21</f>
        <v>2781</v>
      </c>
      <c r="U22" s="49" t="n">
        <v>35</v>
      </c>
      <c r="V22" s="49" t="n">
        <v>78</v>
      </c>
      <c r="W22" s="6" t="n">
        <f aca="false">N22+O22+S22+U22+V22</f>
        <v>418</v>
      </c>
      <c r="X22" s="49" t="n">
        <f aca="false">IF(L22&lt;0,L22*-1,0)</f>
        <v>41.3824048399294</v>
      </c>
      <c r="Y22" s="49" t="n">
        <f aca="false">W22+X22</f>
        <v>459.382404839929</v>
      </c>
      <c r="Z22" s="53" t="n">
        <v>0</v>
      </c>
      <c r="AA22" s="54" t="n">
        <v>70</v>
      </c>
      <c r="AB22" s="54" t="n">
        <v>37</v>
      </c>
      <c r="AC22" s="55" t="n">
        <f aca="false">AC21+1</f>
        <v>13</v>
      </c>
      <c r="AD22" s="83"/>
      <c r="AE22" s="83"/>
      <c r="AF22" s="85"/>
    </row>
    <row r="23" customFormat="false" ht="11.1" hidden="false" customHeight="true" outlineLevel="0" collapsed="false">
      <c r="A23" s="55" t="n">
        <f aca="false">A22+1</f>
        <v>14</v>
      </c>
      <c r="B23" s="69" t="n">
        <v>6912.05</v>
      </c>
      <c r="C23" s="50" t="n">
        <v>330248</v>
      </c>
      <c r="D23" s="54" t="n">
        <f aca="false">C23-C22</f>
        <v>-775</v>
      </c>
      <c r="E23" s="50" t="n">
        <f aca="false">C23-152000</f>
        <v>178248</v>
      </c>
      <c r="F23" s="49" t="n">
        <f aca="false">D23/$D$2</f>
        <v>-390.723468616083</v>
      </c>
      <c r="G23" s="49" t="n">
        <v>106</v>
      </c>
      <c r="H23" s="151" t="n">
        <v>0</v>
      </c>
      <c r="I23" s="49" t="n">
        <f aca="false">G23+H23</f>
        <v>106</v>
      </c>
      <c r="J23" s="76" t="n">
        <f aca="false">IF(L23&gt;0,L23,0)</f>
        <v>29.2765313839173</v>
      </c>
      <c r="K23" s="49" t="n">
        <f aca="false">I23+J23</f>
        <v>135.276531383917</v>
      </c>
      <c r="L23" s="49" t="n">
        <f aca="false">F23-(I23-W23)</f>
        <v>29.2765313839173</v>
      </c>
      <c r="M23" s="49" t="n">
        <v>73</v>
      </c>
      <c r="N23" s="49" t="n">
        <v>0</v>
      </c>
      <c r="O23" s="49" t="n">
        <v>0</v>
      </c>
      <c r="P23" s="6" t="n">
        <f aca="false">M23-(N23+O23)</f>
        <v>73</v>
      </c>
      <c r="Q23" s="49" t="n">
        <v>301</v>
      </c>
      <c r="R23" s="49" t="n">
        <v>39</v>
      </c>
      <c r="S23" s="49" t="n">
        <f aca="false">SUM(P23:R23)</f>
        <v>413</v>
      </c>
      <c r="T23" s="50" t="n">
        <f aca="false">(I23-S23)+T22</f>
        <v>2474</v>
      </c>
      <c r="U23" s="49" t="n">
        <v>35</v>
      </c>
      <c r="V23" s="49" t="n">
        <v>78</v>
      </c>
      <c r="W23" s="6" t="n">
        <f aca="false">N23+O23+S23+U23+V23</f>
        <v>526</v>
      </c>
      <c r="X23" s="49" t="n">
        <f aca="false">IF(L23&lt;0,L23*-1,0)</f>
        <v>0</v>
      </c>
      <c r="Y23" s="49" t="n">
        <f aca="false">W23+X23</f>
        <v>526</v>
      </c>
      <c r="Z23" s="53" t="n">
        <v>0</v>
      </c>
      <c r="AA23" s="77" t="n">
        <v>67</v>
      </c>
      <c r="AB23" s="54" t="n">
        <v>36</v>
      </c>
      <c r="AC23" s="55" t="n">
        <f aca="false">AC22+1</f>
        <v>14</v>
      </c>
      <c r="AD23" s="83"/>
      <c r="AE23" s="83"/>
      <c r="AF23" s="85"/>
    </row>
    <row r="24" customFormat="false" ht="11.1" hidden="false" customHeight="true" outlineLevel="0" collapsed="false">
      <c r="A24" s="55" t="n">
        <f aca="false">A23+1</f>
        <v>15</v>
      </c>
      <c r="B24" s="69" t="n">
        <v>6911.75</v>
      </c>
      <c r="C24" s="50" t="n">
        <v>329033</v>
      </c>
      <c r="D24" s="54" t="n">
        <f aca="false">C24-C23</f>
        <v>-1215</v>
      </c>
      <c r="E24" s="50" t="n">
        <f aca="false">C24-152000</f>
        <v>177033</v>
      </c>
      <c r="F24" s="49" t="n">
        <f aca="false">D24/$D$2</f>
        <v>-612.553566927149</v>
      </c>
      <c r="G24" s="49" t="n">
        <v>102</v>
      </c>
      <c r="H24" s="151" t="n">
        <v>0</v>
      </c>
      <c r="I24" s="49" t="n">
        <f aca="false">G24+H24</f>
        <v>102</v>
      </c>
      <c r="J24" s="76" t="n">
        <f aca="false">IF(L24&gt;0,L24,0)</f>
        <v>0</v>
      </c>
      <c r="K24" s="49" t="n">
        <f aca="false">I24+J24</f>
        <v>102</v>
      </c>
      <c r="L24" s="49" t="n">
        <f aca="false">F24-(I24-W24)</f>
        <v>-223.553566927149</v>
      </c>
      <c r="M24" s="49" t="n">
        <v>73</v>
      </c>
      <c r="N24" s="49" t="n">
        <v>0</v>
      </c>
      <c r="O24" s="49" t="n">
        <v>0</v>
      </c>
      <c r="P24" s="6" t="n">
        <f aca="false">M24-(N24+O24)</f>
        <v>73</v>
      </c>
      <c r="Q24" s="49" t="n">
        <v>301</v>
      </c>
      <c r="R24" s="49" t="n">
        <v>39</v>
      </c>
      <c r="S24" s="49" t="n">
        <f aca="false">SUM(P24:R24)</f>
        <v>413</v>
      </c>
      <c r="T24" s="50" t="n">
        <f aca="false">(I24-S24)+T23</f>
        <v>2163</v>
      </c>
      <c r="U24" s="49" t="n">
        <v>0</v>
      </c>
      <c r="V24" s="49" t="n">
        <v>78</v>
      </c>
      <c r="W24" s="6" t="n">
        <f aca="false">N24+O24+S24+U24+V24</f>
        <v>491</v>
      </c>
      <c r="X24" s="49" t="n">
        <f aca="false">IF(L24&lt;0,L24*-1,0)</f>
        <v>223.553566927149</v>
      </c>
      <c r="Y24" s="49" t="n">
        <f aca="false">W24+X24</f>
        <v>714.553566927149</v>
      </c>
      <c r="Z24" s="53" t="n">
        <v>0</v>
      </c>
      <c r="AA24" s="77" t="n">
        <v>66</v>
      </c>
      <c r="AB24" s="54" t="n">
        <v>35</v>
      </c>
      <c r="AC24" s="55" t="n">
        <f aca="false">AC23+1</f>
        <v>15</v>
      </c>
      <c r="AD24" s="83"/>
      <c r="AE24" s="83"/>
      <c r="AF24" s="85"/>
    </row>
    <row r="25" customFormat="false" ht="11.1" hidden="false" customHeight="true" outlineLevel="0" collapsed="false">
      <c r="A25" s="55" t="n">
        <f aca="false">A24+1</f>
        <v>16</v>
      </c>
      <c r="B25" s="69" t="n">
        <v>6911.58</v>
      </c>
      <c r="C25" s="50" t="n">
        <v>328345</v>
      </c>
      <c r="D25" s="54" t="n">
        <f aca="false">C25-C24</f>
        <v>-688</v>
      </c>
      <c r="E25" s="50" t="n">
        <f aca="false">C25-152000</f>
        <v>176345</v>
      </c>
      <c r="F25" s="49" t="n">
        <f aca="false">D25/$D$2</f>
        <v>-346.861608268213</v>
      </c>
      <c r="G25" s="49" t="n">
        <v>98</v>
      </c>
      <c r="H25" s="151" t="n">
        <v>0</v>
      </c>
      <c r="I25" s="49" t="n">
        <f aca="false">G25+H25</f>
        <v>98</v>
      </c>
      <c r="J25" s="76" t="n">
        <f aca="false">IF(L25&gt;0,L25,0)</f>
        <v>46.1383917317872</v>
      </c>
      <c r="K25" s="49" t="n">
        <f aca="false">I25+J25</f>
        <v>144.138391731787</v>
      </c>
      <c r="L25" s="49" t="n">
        <f aca="false">F25-(I25-W25)</f>
        <v>46.1383917317872</v>
      </c>
      <c r="M25" s="49" t="n">
        <v>73</v>
      </c>
      <c r="N25" s="49" t="n">
        <v>0</v>
      </c>
      <c r="O25" s="49" t="n">
        <v>0</v>
      </c>
      <c r="P25" s="6" t="n">
        <f aca="false">M25-(N25+O25)</f>
        <v>73</v>
      </c>
      <c r="Q25" s="49" t="n">
        <v>301</v>
      </c>
      <c r="R25" s="49" t="n">
        <v>39</v>
      </c>
      <c r="S25" s="49" t="n">
        <f aca="false">SUM(P25:R25)</f>
        <v>413</v>
      </c>
      <c r="T25" s="50" t="n">
        <f aca="false">(I25-S25)+T24</f>
        <v>1848</v>
      </c>
      <c r="U25" s="49" t="n">
        <v>0</v>
      </c>
      <c r="V25" s="49" t="n">
        <v>78</v>
      </c>
      <c r="W25" s="6" t="n">
        <f aca="false">N25+O25+S25+U25+V25</f>
        <v>491</v>
      </c>
      <c r="X25" s="49" t="n">
        <f aca="false">IF(L25&lt;0,L25*-1,0)</f>
        <v>0</v>
      </c>
      <c r="Y25" s="49" t="n">
        <f aca="false">W25+X25</f>
        <v>491</v>
      </c>
      <c r="Z25" s="53" t="n">
        <v>0</v>
      </c>
      <c r="AA25" s="77" t="n">
        <v>68</v>
      </c>
      <c r="AB25" s="54" t="n">
        <v>36</v>
      </c>
      <c r="AC25" s="55" t="n">
        <f aca="false">AC24+1</f>
        <v>16</v>
      </c>
      <c r="AD25" s="83"/>
      <c r="AE25" s="83"/>
      <c r="AF25" s="85"/>
    </row>
    <row r="26" customFormat="false" ht="11.1" hidden="false" customHeight="true" outlineLevel="0" collapsed="false">
      <c r="A26" s="55" t="n">
        <f aca="false">A25+1</f>
        <v>17</v>
      </c>
      <c r="B26" s="69" t="n">
        <v>6911.54</v>
      </c>
      <c r="C26" s="50" t="n">
        <v>328184</v>
      </c>
      <c r="D26" s="54" t="n">
        <f aca="false">C26-C25</f>
        <v>-161</v>
      </c>
      <c r="E26" s="50" t="n">
        <f aca="false">C26-152000</f>
        <v>176184</v>
      </c>
      <c r="F26" s="49" t="n">
        <f aca="false">D26/$D$2</f>
        <v>-81.1696496092765</v>
      </c>
      <c r="G26" s="49" t="n">
        <v>96</v>
      </c>
      <c r="H26" s="151" t="n">
        <v>0</v>
      </c>
      <c r="I26" s="49" t="n">
        <f aca="false">G26+H26</f>
        <v>96</v>
      </c>
      <c r="J26" s="76" t="n">
        <f aca="false">IF(L26&gt;0,L26,0)</f>
        <v>114.830350390723</v>
      </c>
      <c r="K26" s="49" t="n">
        <f aca="false">I26+J26</f>
        <v>210.830350390723</v>
      </c>
      <c r="L26" s="49" t="n">
        <f aca="false">F26-(I26-W26)</f>
        <v>114.830350390723</v>
      </c>
      <c r="M26" s="49" t="n">
        <v>72</v>
      </c>
      <c r="N26" s="49" t="n">
        <v>0</v>
      </c>
      <c r="O26" s="49" t="n">
        <v>0</v>
      </c>
      <c r="P26" s="6" t="n">
        <f aca="false">M26-(N26+O26)</f>
        <v>72</v>
      </c>
      <c r="Q26" s="49" t="n">
        <v>104</v>
      </c>
      <c r="R26" s="49" t="n">
        <v>38</v>
      </c>
      <c r="S26" s="49" t="n">
        <f aca="false">SUM(P26:R26)</f>
        <v>214</v>
      </c>
      <c r="T26" s="50" t="n">
        <f aca="false">(I26-S26)+T25</f>
        <v>1730</v>
      </c>
      <c r="U26" s="49" t="n">
        <v>0</v>
      </c>
      <c r="V26" s="49" t="n">
        <v>78</v>
      </c>
      <c r="W26" s="6" t="n">
        <f aca="false">N26+O26+S26+U26+V26</f>
        <v>292</v>
      </c>
      <c r="X26" s="49" t="n">
        <f aca="false">IF(L26&lt;0,L26*-1,0)</f>
        <v>0</v>
      </c>
      <c r="Y26" s="49" t="n">
        <f aca="false">W26+X26</f>
        <v>292</v>
      </c>
      <c r="Z26" s="53" t="n">
        <v>0</v>
      </c>
      <c r="AA26" s="77" t="n">
        <v>70</v>
      </c>
      <c r="AB26" s="54" t="n">
        <v>38</v>
      </c>
      <c r="AC26" s="55" t="n">
        <f aca="false">AC25+1</f>
        <v>17</v>
      </c>
      <c r="AD26" s="83"/>
      <c r="AE26" s="83"/>
      <c r="AF26" s="85"/>
    </row>
    <row r="27" customFormat="false" ht="11.1" hidden="false" customHeight="true" outlineLevel="0" collapsed="false">
      <c r="A27" s="55" t="n">
        <f aca="false">A26+1</f>
        <v>18</v>
      </c>
      <c r="B27" s="69" t="n">
        <v>6911.49</v>
      </c>
      <c r="C27" s="50" t="n">
        <v>327981</v>
      </c>
      <c r="D27" s="54" t="n">
        <f aca="false">C27-C26</f>
        <v>-203</v>
      </c>
      <c r="E27" s="50" t="n">
        <f aca="false">C27-152000</f>
        <v>175981</v>
      </c>
      <c r="F27" s="49" t="n">
        <f aca="false">D27/$D$2</f>
        <v>-102.344340811697</v>
      </c>
      <c r="G27" s="49" t="n">
        <v>91</v>
      </c>
      <c r="H27" s="151" t="n">
        <v>0</v>
      </c>
      <c r="I27" s="49" t="n">
        <f aca="false">G27+H27</f>
        <v>91</v>
      </c>
      <c r="J27" s="76" t="n">
        <f aca="false">IF(L27&gt;0,L27,0)</f>
        <v>1.6556591883035</v>
      </c>
      <c r="K27" s="49" t="n">
        <f aca="false">I27+J27</f>
        <v>92.6556591883035</v>
      </c>
      <c r="L27" s="49" t="n">
        <f aca="false">F27-(I27-W27)</f>
        <v>1.6556591883035</v>
      </c>
      <c r="M27" s="49" t="n">
        <v>59</v>
      </c>
      <c r="N27" s="49" t="n">
        <v>0</v>
      </c>
      <c r="O27" s="49" t="n">
        <v>0</v>
      </c>
      <c r="P27" s="6" t="n">
        <f aca="false">M27-(N27+O27)</f>
        <v>59</v>
      </c>
      <c r="Q27" s="49" t="n">
        <v>0</v>
      </c>
      <c r="R27" s="49" t="n">
        <v>36</v>
      </c>
      <c r="S27" s="49" t="n">
        <f aca="false">SUM(P27:R27)</f>
        <v>95</v>
      </c>
      <c r="T27" s="50" t="n">
        <f aca="false">(I27-S27)+T26</f>
        <v>1726</v>
      </c>
      <c r="U27" s="49" t="n">
        <v>24</v>
      </c>
      <c r="V27" s="49" t="n">
        <v>76</v>
      </c>
      <c r="W27" s="6" t="n">
        <f aca="false">N27+O27+S27+U27+V27</f>
        <v>195</v>
      </c>
      <c r="X27" s="49" t="n">
        <f aca="false">IF(L27&lt;0,L27*-1,0)</f>
        <v>0</v>
      </c>
      <c r="Y27" s="49" t="n">
        <f aca="false">W27+X27</f>
        <v>195</v>
      </c>
      <c r="Z27" s="53" t="n">
        <v>0</v>
      </c>
      <c r="AA27" s="77" t="n">
        <v>69</v>
      </c>
      <c r="AB27" s="54" t="n">
        <v>40</v>
      </c>
      <c r="AC27" s="55" t="n">
        <f aca="false">AC26+1</f>
        <v>18</v>
      </c>
      <c r="AD27" s="83"/>
      <c r="AE27" s="83"/>
      <c r="AF27" s="85"/>
    </row>
    <row r="28" customFormat="false" ht="11.1" hidden="false" customHeight="true" outlineLevel="0" collapsed="false">
      <c r="A28" s="55" t="n">
        <f aca="false">A27+1</f>
        <v>19</v>
      </c>
      <c r="B28" s="69" t="n">
        <v>6911.41</v>
      </c>
      <c r="C28" s="88" t="n">
        <v>327658</v>
      </c>
      <c r="D28" s="54" t="n">
        <f aca="false">C28-C27</f>
        <v>-323</v>
      </c>
      <c r="E28" s="50" t="n">
        <f aca="false">C28-152000</f>
        <v>175658</v>
      </c>
      <c r="F28" s="49" t="n">
        <f aca="false">D28/$D$2</f>
        <v>-162.843458532896</v>
      </c>
      <c r="G28" s="49" t="n">
        <v>87</v>
      </c>
      <c r="H28" s="151" t="n">
        <v>0</v>
      </c>
      <c r="I28" s="49" t="n">
        <f aca="false">G28+H28</f>
        <v>87</v>
      </c>
      <c r="J28" s="76" t="n">
        <f aca="false">IF(L28&gt;0,L28,0)</f>
        <v>0</v>
      </c>
      <c r="K28" s="49" t="n">
        <f aca="false">I28+J28</f>
        <v>87</v>
      </c>
      <c r="L28" s="49" t="n">
        <f aca="false">F28-(I28-W28)</f>
        <v>-62.8434585328964</v>
      </c>
      <c r="M28" s="49" t="n">
        <v>59</v>
      </c>
      <c r="N28" s="49" t="n">
        <v>0</v>
      </c>
      <c r="O28" s="49" t="n">
        <v>0</v>
      </c>
      <c r="P28" s="6" t="n">
        <f aca="false">M28-(N28+O28)</f>
        <v>59</v>
      </c>
      <c r="Q28" s="49" t="n">
        <v>0</v>
      </c>
      <c r="R28" s="49" t="n">
        <v>36</v>
      </c>
      <c r="S28" s="49" t="n">
        <f aca="false">SUM(P28:R28)</f>
        <v>95</v>
      </c>
      <c r="T28" s="50" t="n">
        <f aca="false">(I28-S28)+T27</f>
        <v>1718</v>
      </c>
      <c r="U28" s="49" t="n">
        <v>14</v>
      </c>
      <c r="V28" s="49" t="n">
        <v>78</v>
      </c>
      <c r="W28" s="6" t="n">
        <f aca="false">N28+O28+S28+U28+V28</f>
        <v>187</v>
      </c>
      <c r="X28" s="49" t="n">
        <f aca="false">IF(L28&lt;0,L28*-1,0)</f>
        <v>62.8434585328964</v>
      </c>
      <c r="Y28" s="49" t="n">
        <f aca="false">W28+X28</f>
        <v>249.843458532896</v>
      </c>
      <c r="Z28" s="53" t="n">
        <v>0</v>
      </c>
      <c r="AA28" s="77" t="n">
        <v>67</v>
      </c>
      <c r="AB28" s="54" t="n">
        <v>37</v>
      </c>
      <c r="AC28" s="55" t="n">
        <f aca="false">AC27+1</f>
        <v>19</v>
      </c>
      <c r="AD28" s="83"/>
      <c r="AE28" s="83"/>
      <c r="AF28" s="85"/>
    </row>
    <row r="29" customFormat="false" ht="11.1" hidden="false" customHeight="true" outlineLevel="0" collapsed="false">
      <c r="A29" s="55" t="n">
        <f aca="false">A28+1</f>
        <v>20</v>
      </c>
      <c r="B29" s="69" t="n">
        <v>6911.37</v>
      </c>
      <c r="C29" s="50" t="n">
        <v>327496</v>
      </c>
      <c r="D29" s="54" t="n">
        <f aca="false">C29-C28</f>
        <v>-162</v>
      </c>
      <c r="E29" s="50" t="n">
        <f aca="false">C29-152000</f>
        <v>175496</v>
      </c>
      <c r="F29" s="49" t="n">
        <f aca="false">D29/$D$2</f>
        <v>-81.6738089236199</v>
      </c>
      <c r="G29" s="49" t="n">
        <v>85</v>
      </c>
      <c r="H29" s="151" t="n">
        <v>0</v>
      </c>
      <c r="I29" s="49" t="n">
        <f aca="false">G29+H29</f>
        <v>85</v>
      </c>
      <c r="J29" s="76" t="n">
        <f aca="false">IF(L29&gt;0,L29,0)</f>
        <v>6.32619107638014</v>
      </c>
      <c r="K29" s="49" t="n">
        <f aca="false">I29+J29</f>
        <v>91.3261910763801</v>
      </c>
      <c r="L29" s="49" t="n">
        <f aca="false">F29-(I29-W29)</f>
        <v>6.32619107638014</v>
      </c>
      <c r="M29" s="49" t="n">
        <v>59</v>
      </c>
      <c r="N29" s="49" t="n">
        <v>0</v>
      </c>
      <c r="O29" s="49" t="n">
        <v>0</v>
      </c>
      <c r="P29" s="6" t="n">
        <f aca="false">M29-(N29+O29)</f>
        <v>59</v>
      </c>
      <c r="Q29" s="49" t="n">
        <v>0</v>
      </c>
      <c r="R29" s="49" t="n">
        <v>36</v>
      </c>
      <c r="S29" s="49" t="n">
        <f aca="false">SUM(P29:R29)</f>
        <v>95</v>
      </c>
      <c r="T29" s="50" t="n">
        <f aca="false">(I29-S29)+T28</f>
        <v>1708</v>
      </c>
      <c r="U29" s="49" t="n">
        <v>0</v>
      </c>
      <c r="V29" s="49" t="n">
        <v>78</v>
      </c>
      <c r="W29" s="6" t="n">
        <f aca="false">N29+O29+S29+U29+V29</f>
        <v>173</v>
      </c>
      <c r="X29" s="49" t="n">
        <f aca="false">IF(L29&lt;0,L29*-1,0)</f>
        <v>0</v>
      </c>
      <c r="Y29" s="49" t="n">
        <f aca="false">W29+X29</f>
        <v>173</v>
      </c>
      <c r="Z29" s="53" t="n">
        <v>0</v>
      </c>
      <c r="AA29" s="77" t="n">
        <v>56</v>
      </c>
      <c r="AB29" s="54" t="n">
        <v>35</v>
      </c>
      <c r="AC29" s="55" t="n">
        <f aca="false">AC28+1</f>
        <v>20</v>
      </c>
      <c r="AD29" s="83"/>
      <c r="AE29" s="83"/>
      <c r="AF29" s="85"/>
    </row>
    <row r="30" customFormat="false" ht="11.1" hidden="false" customHeight="true" outlineLevel="0" collapsed="false">
      <c r="A30" s="55" t="n">
        <f aca="false">A29+1</f>
        <v>21</v>
      </c>
      <c r="B30" s="69" t="n">
        <v>6911.29</v>
      </c>
      <c r="C30" s="50" t="n">
        <v>327172</v>
      </c>
      <c r="D30" s="54" t="n">
        <f aca="false">C30-C29</f>
        <v>-324</v>
      </c>
      <c r="E30" s="50" t="n">
        <f aca="false">C30-152000</f>
        <v>175172</v>
      </c>
      <c r="F30" s="49" t="n">
        <f aca="false">D30/$D$2</f>
        <v>-163.34761784724</v>
      </c>
      <c r="G30" s="49" t="n">
        <v>85</v>
      </c>
      <c r="H30" s="151" t="n">
        <v>0</v>
      </c>
      <c r="I30" s="49" t="n">
        <f aca="false">G30+H30</f>
        <v>85</v>
      </c>
      <c r="J30" s="76" t="n">
        <f aca="false">IF(L30&gt;0,L30,0)</f>
        <v>0</v>
      </c>
      <c r="K30" s="49" t="n">
        <f aca="false">I30+J30</f>
        <v>85</v>
      </c>
      <c r="L30" s="49" t="n">
        <f aca="false">F30-(I30-W30)</f>
        <v>-75.3476178472397</v>
      </c>
      <c r="M30" s="49" t="n">
        <v>59</v>
      </c>
      <c r="N30" s="49" t="n">
        <v>0</v>
      </c>
      <c r="O30" s="49" t="n">
        <v>0</v>
      </c>
      <c r="P30" s="6" t="n">
        <f aca="false">M30-(N30+O30)</f>
        <v>59</v>
      </c>
      <c r="Q30" s="49" t="n">
        <v>0</v>
      </c>
      <c r="R30" s="49" t="n">
        <v>36</v>
      </c>
      <c r="S30" s="49" t="n">
        <f aca="false">SUM(P30:R30)</f>
        <v>95</v>
      </c>
      <c r="T30" s="50" t="n">
        <f aca="false">(I30-S30)+T29</f>
        <v>1698</v>
      </c>
      <c r="U30" s="49" t="n">
        <v>0</v>
      </c>
      <c r="V30" s="49" t="n">
        <v>78</v>
      </c>
      <c r="W30" s="6" t="n">
        <f aca="false">N30+O30+S30+U30+V30</f>
        <v>173</v>
      </c>
      <c r="X30" s="49" t="n">
        <f aca="false">IF(L30&lt;0,L30*-1,0)</f>
        <v>75.3476178472397</v>
      </c>
      <c r="Y30" s="49" t="n">
        <f aca="false">W30+X30</f>
        <v>248.34761784724</v>
      </c>
      <c r="Z30" s="53" t="n">
        <v>0</v>
      </c>
      <c r="AA30" s="54" t="n">
        <v>63</v>
      </c>
      <c r="AB30" s="54" t="n">
        <v>36</v>
      </c>
      <c r="AC30" s="55" t="n">
        <f aca="false">AC29+1</f>
        <v>21</v>
      </c>
      <c r="AD30" s="83"/>
      <c r="AE30" s="83"/>
      <c r="AF30" s="85"/>
    </row>
    <row r="31" customFormat="false" ht="11.1" hidden="false" customHeight="true" outlineLevel="0" collapsed="false">
      <c r="A31" s="55" t="n">
        <f aca="false">A30+1</f>
        <v>22</v>
      </c>
      <c r="B31" s="69" t="n">
        <v>6911.23</v>
      </c>
      <c r="C31" s="50" t="n">
        <v>326930</v>
      </c>
      <c r="D31" s="54" t="n">
        <f aca="false">C31-C30</f>
        <v>-242</v>
      </c>
      <c r="E31" s="50" t="n">
        <f aca="false">C31-152000</f>
        <v>174930</v>
      </c>
      <c r="F31" s="49" t="n">
        <f aca="false">D31/$D$2</f>
        <v>-122.006554071086</v>
      </c>
      <c r="G31" s="49" t="n">
        <v>85</v>
      </c>
      <c r="H31" s="151" t="n">
        <v>0</v>
      </c>
      <c r="I31" s="49" t="n">
        <f aca="false">G31+H31</f>
        <v>85</v>
      </c>
      <c r="J31" s="76" t="n">
        <f aca="false">IF(L31&gt;0,L31,0)</f>
        <v>0</v>
      </c>
      <c r="K31" s="49" t="n">
        <f aca="false">I31+J31</f>
        <v>85</v>
      </c>
      <c r="L31" s="49" t="n">
        <f aca="false">F31-(I31-W31)</f>
        <v>-34.0065540710865</v>
      </c>
      <c r="M31" s="49" t="n">
        <v>59</v>
      </c>
      <c r="N31" s="49" t="n">
        <v>0</v>
      </c>
      <c r="O31" s="49" t="n">
        <v>0</v>
      </c>
      <c r="P31" s="6" t="n">
        <f aca="false">M31-(N31+O31)</f>
        <v>59</v>
      </c>
      <c r="Q31" s="49" t="n">
        <v>0</v>
      </c>
      <c r="R31" s="49" t="n">
        <v>36</v>
      </c>
      <c r="S31" s="49" t="n">
        <f aca="false">SUM(P31:R31)</f>
        <v>95</v>
      </c>
      <c r="T31" s="50" t="n">
        <f aca="false">(I31-S31)+T30</f>
        <v>1688</v>
      </c>
      <c r="U31" s="49" t="n">
        <v>0</v>
      </c>
      <c r="V31" s="49" t="n">
        <v>78</v>
      </c>
      <c r="W31" s="6" t="n">
        <f aca="false">N31+O31+S31+U31+V31</f>
        <v>173</v>
      </c>
      <c r="X31" s="49" t="n">
        <f aca="false">IF(L31&lt;0,L31*-1,0)</f>
        <v>34.0065540710865</v>
      </c>
      <c r="Y31" s="49" t="n">
        <f aca="false">W31+X31</f>
        <v>207.006554071086</v>
      </c>
      <c r="Z31" s="53" t="n">
        <v>0</v>
      </c>
      <c r="AA31" s="54" t="n">
        <v>68</v>
      </c>
      <c r="AB31" s="54" t="n">
        <v>36</v>
      </c>
      <c r="AC31" s="55" t="n">
        <f aca="false">AC30+1</f>
        <v>22</v>
      </c>
      <c r="AD31" s="83"/>
      <c r="AE31" s="83"/>
      <c r="AF31" s="85"/>
      <c r="AG31" s="131"/>
      <c r="AH31" s="131"/>
      <c r="AI31" s="131"/>
    </row>
    <row r="32" customFormat="false" ht="11.1" hidden="false" customHeight="true" outlineLevel="0" collapsed="false">
      <c r="A32" s="55" t="n">
        <f aca="false">A31+1</f>
        <v>23</v>
      </c>
      <c r="B32" s="69" t="n">
        <v>6911.16</v>
      </c>
      <c r="C32" s="50" t="n">
        <v>326647</v>
      </c>
      <c r="D32" s="54" t="n">
        <f aca="false">C32-C31</f>
        <v>-283</v>
      </c>
      <c r="E32" s="50" t="n">
        <f aca="false">C32-152000</f>
        <v>174647</v>
      </c>
      <c r="F32" s="49" t="n">
        <f aca="false">D32/$D$2</f>
        <v>-142.677085959163</v>
      </c>
      <c r="G32" s="49" t="n">
        <v>83</v>
      </c>
      <c r="H32" s="151" t="n">
        <v>0.02</v>
      </c>
      <c r="I32" s="49" t="n">
        <f aca="false">G32+H32</f>
        <v>83.02</v>
      </c>
      <c r="J32" s="76" t="n">
        <f aca="false">IF(L32&gt;0,L32,0)</f>
        <v>0</v>
      </c>
      <c r="K32" s="49" t="n">
        <f aca="false">I32+J32</f>
        <v>83.02</v>
      </c>
      <c r="L32" s="49" t="n">
        <f aca="false">F32-(I32-W32)</f>
        <v>-52.6970859591631</v>
      </c>
      <c r="M32" s="49" t="n">
        <v>59</v>
      </c>
      <c r="N32" s="49" t="n">
        <v>0</v>
      </c>
      <c r="O32" s="49" t="n">
        <v>0</v>
      </c>
      <c r="P32" s="6" t="n">
        <f aca="false">M32-(N32+O32)</f>
        <v>59</v>
      </c>
      <c r="Q32" s="49" t="n">
        <v>0</v>
      </c>
      <c r="R32" s="49" t="n">
        <v>36</v>
      </c>
      <c r="S32" s="49" t="n">
        <f aca="false">SUM(P32:R32)</f>
        <v>95</v>
      </c>
      <c r="T32" s="50" t="n">
        <f aca="false">(I32-S32)+T31</f>
        <v>1676.02</v>
      </c>
      <c r="U32" s="49" t="n">
        <v>0</v>
      </c>
      <c r="V32" s="49" t="n">
        <v>78</v>
      </c>
      <c r="W32" s="6" t="n">
        <f aca="false">N32+O32+S32+U32+V32</f>
        <v>173</v>
      </c>
      <c r="X32" s="49" t="n">
        <f aca="false">IF(L32&lt;0,L32*-1,0)</f>
        <v>52.6970859591631</v>
      </c>
      <c r="Y32" s="49" t="n">
        <f aca="false">W32+X32</f>
        <v>225.697085959163</v>
      </c>
      <c r="Z32" s="53" t="n">
        <v>0</v>
      </c>
      <c r="AA32" s="54" t="n">
        <v>73</v>
      </c>
      <c r="AB32" s="77" t="n">
        <v>37</v>
      </c>
      <c r="AC32" s="55" t="n">
        <f aca="false">AC31+1</f>
        <v>23</v>
      </c>
      <c r="AD32" s="83"/>
      <c r="AE32" s="83"/>
      <c r="AF32" s="85"/>
    </row>
    <row r="33" customFormat="false" ht="11.1" hidden="false" customHeight="true" outlineLevel="0" collapsed="false">
      <c r="A33" s="55" t="n">
        <f aca="false">A32+1</f>
        <v>24</v>
      </c>
      <c r="B33" s="69" t="n">
        <v>6911.09</v>
      </c>
      <c r="C33" s="50" t="n">
        <v>326363</v>
      </c>
      <c r="D33" s="54" t="n">
        <f aca="false">C33-C32</f>
        <v>-284</v>
      </c>
      <c r="E33" s="50" t="n">
        <f aca="false">C33-152000</f>
        <v>174363</v>
      </c>
      <c r="F33" s="49" t="n">
        <f aca="false">D33/$D$2</f>
        <v>-143.181245273506</v>
      </c>
      <c r="G33" s="49" t="n">
        <v>78</v>
      </c>
      <c r="H33" s="151" t="n">
        <v>0</v>
      </c>
      <c r="I33" s="49" t="n">
        <f aca="false">G33+H33</f>
        <v>78</v>
      </c>
      <c r="J33" s="76" t="n">
        <f aca="false">IF(L33&gt;0,L33,0)</f>
        <v>0</v>
      </c>
      <c r="K33" s="49" t="n">
        <f aca="false">I33+J33</f>
        <v>78</v>
      </c>
      <c r="L33" s="49" t="n">
        <f aca="false">F33-(I33-W33)</f>
        <v>-28.1812452735064</v>
      </c>
      <c r="M33" s="49" t="n">
        <v>59</v>
      </c>
      <c r="N33" s="49" t="n">
        <v>0</v>
      </c>
      <c r="O33" s="49" t="n">
        <v>0</v>
      </c>
      <c r="P33" s="6" t="n">
        <f aca="false">M33-(N33+O33)</f>
        <v>59</v>
      </c>
      <c r="Q33" s="49" t="n">
        <v>0</v>
      </c>
      <c r="R33" s="49" t="n">
        <v>36</v>
      </c>
      <c r="S33" s="49" t="n">
        <f aca="false">SUM(P33:R33)</f>
        <v>95</v>
      </c>
      <c r="T33" s="50" t="n">
        <f aca="false">(I33-S33)+T32</f>
        <v>1659.02</v>
      </c>
      <c r="U33" s="49" t="n">
        <v>20</v>
      </c>
      <c r="V33" s="49" t="n">
        <v>78</v>
      </c>
      <c r="W33" s="6" t="n">
        <f aca="false">N33+O33+S33+U33+V33</f>
        <v>193</v>
      </c>
      <c r="X33" s="49" t="n">
        <f aca="false">IF(L33&lt;0,L33*-1,0)</f>
        <v>28.1812452735064</v>
      </c>
      <c r="Y33" s="49" t="n">
        <f aca="false">W33+X33</f>
        <v>221.181245273506</v>
      </c>
      <c r="Z33" s="53" t="n">
        <v>0</v>
      </c>
      <c r="AA33" s="54" t="n">
        <v>72</v>
      </c>
      <c r="AB33" s="77" t="n">
        <v>35</v>
      </c>
      <c r="AC33" s="55" t="n">
        <f aca="false">AC32+1</f>
        <v>24</v>
      </c>
      <c r="AD33" s="83"/>
      <c r="AE33" s="83"/>
      <c r="AF33" s="85"/>
    </row>
    <row r="34" customFormat="false" ht="11.1" hidden="false" customHeight="true" outlineLevel="0" collapsed="false">
      <c r="A34" s="55" t="n">
        <v>25</v>
      </c>
      <c r="B34" s="69" t="n">
        <v>6911.04</v>
      </c>
      <c r="C34" s="50" t="n">
        <v>326161</v>
      </c>
      <c r="D34" s="54" t="n">
        <f aca="false">C34-C33</f>
        <v>-202</v>
      </c>
      <c r="E34" s="50" t="n">
        <f aca="false">C34-152000</f>
        <v>174161</v>
      </c>
      <c r="F34" s="49" t="n">
        <f aca="false">D34/$D$2</f>
        <v>-101.840181497353</v>
      </c>
      <c r="G34" s="49" t="n">
        <v>77</v>
      </c>
      <c r="H34" s="151" t="n">
        <v>0</v>
      </c>
      <c r="I34" s="49" t="n">
        <f aca="false">G34+H34</f>
        <v>77</v>
      </c>
      <c r="J34" s="76" t="n">
        <f aca="false">IF(L34&gt;0,L34,0)</f>
        <v>18.1598185026468</v>
      </c>
      <c r="K34" s="49" t="n">
        <f aca="false">I34+J34</f>
        <v>95.1598185026468</v>
      </c>
      <c r="L34" s="49" t="n">
        <f aca="false">F34-(I34-W34)</f>
        <v>18.1598185026468</v>
      </c>
      <c r="M34" s="49" t="n">
        <v>59</v>
      </c>
      <c r="N34" s="49" t="n">
        <v>0</v>
      </c>
      <c r="O34" s="49" t="n">
        <v>0</v>
      </c>
      <c r="P34" s="6" t="n">
        <f aca="false">M34-(N34+O34)</f>
        <v>59</v>
      </c>
      <c r="Q34" s="49" t="n">
        <v>0</v>
      </c>
      <c r="R34" s="49" t="n">
        <v>36</v>
      </c>
      <c r="S34" s="49" t="n">
        <f aca="false">SUM(P34:R34)</f>
        <v>95</v>
      </c>
      <c r="T34" s="50" t="n">
        <f aca="false">(I34-S34)+T33</f>
        <v>1641.02</v>
      </c>
      <c r="U34" s="49" t="n">
        <v>24</v>
      </c>
      <c r="V34" s="49" t="n">
        <v>78</v>
      </c>
      <c r="W34" s="6" t="n">
        <f aca="false">N34+O34+S34+U34+V34</f>
        <v>197</v>
      </c>
      <c r="X34" s="49" t="n">
        <f aca="false">IF(L34&lt;0,L34*-1,0)</f>
        <v>0</v>
      </c>
      <c r="Y34" s="49" t="n">
        <f aca="false">W34+X34</f>
        <v>197</v>
      </c>
      <c r="Z34" s="53" t="n">
        <v>0</v>
      </c>
      <c r="AA34" s="54" t="n">
        <v>70</v>
      </c>
      <c r="AB34" s="77" t="n">
        <v>35</v>
      </c>
      <c r="AC34" s="55" t="n">
        <v>25</v>
      </c>
      <c r="AD34" s="83"/>
      <c r="AE34" s="83"/>
      <c r="AF34" s="85"/>
    </row>
    <row r="35" customFormat="false" ht="11.1" hidden="false" customHeight="true" outlineLevel="0" collapsed="false">
      <c r="A35" s="55" t="n">
        <v>26</v>
      </c>
      <c r="B35" s="69" t="n">
        <v>6910.99</v>
      </c>
      <c r="C35" s="50" t="n">
        <v>325959</v>
      </c>
      <c r="D35" s="54" t="n">
        <f aca="false">C35-C34</f>
        <v>-202</v>
      </c>
      <c r="E35" s="50" t="n">
        <f aca="false">C35-152000</f>
        <v>173959</v>
      </c>
      <c r="F35" s="49" t="n">
        <f aca="false">D35/$D$2</f>
        <v>-101.840181497353</v>
      </c>
      <c r="G35" s="49" t="n">
        <v>75</v>
      </c>
      <c r="H35" s="151" t="n">
        <v>0</v>
      </c>
      <c r="I35" s="49" t="n">
        <f aca="false">G35+H35</f>
        <v>75</v>
      </c>
      <c r="J35" s="76" t="n">
        <f aca="false">IF(L35&gt;0,L35,0)</f>
        <v>0</v>
      </c>
      <c r="K35" s="49" t="n">
        <f aca="false">I35+J35</f>
        <v>75</v>
      </c>
      <c r="L35" s="49" t="n">
        <f aca="false">F35-(I35-W35)</f>
        <v>-5.84018149735316</v>
      </c>
      <c r="M35" s="49" t="n">
        <v>59</v>
      </c>
      <c r="N35" s="49" t="n">
        <v>0</v>
      </c>
      <c r="O35" s="49" t="n">
        <v>0</v>
      </c>
      <c r="P35" s="6" t="n">
        <f aca="false">M35-(N35+O35)</f>
        <v>59</v>
      </c>
      <c r="Q35" s="49" t="n">
        <v>0</v>
      </c>
      <c r="R35" s="49" t="n">
        <v>34</v>
      </c>
      <c r="S35" s="49" t="n">
        <f aca="false">SUM(P35:R35)</f>
        <v>93</v>
      </c>
      <c r="T35" s="50" t="n">
        <f aca="false">(I35-S35)+T34</f>
        <v>1623.02</v>
      </c>
      <c r="U35" s="49" t="n">
        <v>0</v>
      </c>
      <c r="V35" s="49" t="n">
        <v>78</v>
      </c>
      <c r="W35" s="6" t="n">
        <f aca="false">N35+O35+S35+U35+V35</f>
        <v>171</v>
      </c>
      <c r="X35" s="49" t="n">
        <f aca="false">IF(L35&lt;0,L35*-1,0)</f>
        <v>5.84018149735316</v>
      </c>
      <c r="Y35" s="49" t="n">
        <f aca="false">W35+X35</f>
        <v>176.840181497353</v>
      </c>
      <c r="Z35" s="53" t="n">
        <v>0</v>
      </c>
      <c r="AA35" s="54" t="n">
        <v>66</v>
      </c>
      <c r="AB35" s="77" t="n">
        <v>34</v>
      </c>
      <c r="AC35" s="55" t="n">
        <v>26</v>
      </c>
      <c r="AD35" s="83"/>
      <c r="AE35" s="83"/>
      <c r="AF35" s="85"/>
    </row>
    <row r="36" customFormat="false" ht="11.1" hidden="false" customHeight="true" outlineLevel="0" collapsed="false">
      <c r="A36" s="55" t="n">
        <v>27</v>
      </c>
      <c r="B36" s="69" t="n">
        <v>6910.94</v>
      </c>
      <c r="C36" s="50" t="n">
        <v>325759</v>
      </c>
      <c r="D36" s="54" t="n">
        <f aca="false">C36-C35</f>
        <v>-200</v>
      </c>
      <c r="E36" s="50" t="n">
        <f aca="false">C36-152000</f>
        <v>173759</v>
      </c>
      <c r="F36" s="49" t="n">
        <f aca="false">D36/$D$2</f>
        <v>-100.831862868667</v>
      </c>
      <c r="G36" s="49" t="n">
        <v>74</v>
      </c>
      <c r="H36" s="151" t="n">
        <v>0</v>
      </c>
      <c r="I36" s="49" t="n">
        <f aca="false">G36+H36</f>
        <v>74</v>
      </c>
      <c r="J36" s="76" t="n">
        <f aca="false">IF(L36&gt;0,L36,0)</f>
        <v>0</v>
      </c>
      <c r="K36" s="49" t="n">
        <f aca="false">I36+J36</f>
        <v>74</v>
      </c>
      <c r="L36" s="49" t="n">
        <f aca="false">F36-(I36-W36)</f>
        <v>-5.83186286866649</v>
      </c>
      <c r="M36" s="49" t="n">
        <v>59</v>
      </c>
      <c r="N36" s="49" t="n">
        <v>0</v>
      </c>
      <c r="O36" s="49" t="n">
        <v>0</v>
      </c>
      <c r="P36" s="6" t="n">
        <f aca="false">M36-(N36+O36)</f>
        <v>59</v>
      </c>
      <c r="Q36" s="49" t="n">
        <v>0</v>
      </c>
      <c r="R36" s="49" t="n">
        <v>32</v>
      </c>
      <c r="S36" s="49" t="n">
        <f aca="false">SUM(P36:R36)</f>
        <v>91</v>
      </c>
      <c r="T36" s="50" t="n">
        <f aca="false">(I36-S36)+T35</f>
        <v>1606.02</v>
      </c>
      <c r="U36" s="49" t="n">
        <v>0</v>
      </c>
      <c r="V36" s="49" t="n">
        <v>78</v>
      </c>
      <c r="W36" s="6" t="n">
        <f aca="false">N36+O36+S36+U36+V36</f>
        <v>169</v>
      </c>
      <c r="X36" s="49" t="n">
        <f aca="false">IF(L36&lt;0,L36*-1,0)</f>
        <v>5.83186286866649</v>
      </c>
      <c r="Y36" s="49" t="n">
        <f aca="false">W36+X36</f>
        <v>174.831862868667</v>
      </c>
      <c r="Z36" s="53" t="n">
        <v>0</v>
      </c>
      <c r="AA36" s="54" t="n">
        <v>63</v>
      </c>
      <c r="AB36" s="77" t="n">
        <v>32</v>
      </c>
      <c r="AC36" s="55" t="n">
        <v>27</v>
      </c>
      <c r="AD36" s="83"/>
      <c r="AE36" s="83"/>
      <c r="AF36" s="85"/>
    </row>
    <row r="37" customFormat="false" ht="11.1" hidden="false" customHeight="true" outlineLevel="0" collapsed="false">
      <c r="A37" s="55" t="n">
        <v>28</v>
      </c>
      <c r="B37" s="69" t="n">
        <v>6910.89</v>
      </c>
      <c r="C37" s="50" t="n">
        <v>325558</v>
      </c>
      <c r="D37" s="54" t="n">
        <f aca="false">C37-C36</f>
        <v>-201</v>
      </c>
      <c r="E37" s="50" t="n">
        <f aca="false">C37-152000</f>
        <v>173558</v>
      </c>
      <c r="F37" s="49" t="n">
        <f aca="false">D37/$D$2</f>
        <v>-101.33602218301</v>
      </c>
      <c r="G37" s="49" t="n">
        <v>73</v>
      </c>
      <c r="H37" s="151" t="n">
        <v>0</v>
      </c>
      <c r="I37" s="49" t="n">
        <f aca="false">G37+H37</f>
        <v>73</v>
      </c>
      <c r="J37" s="76" t="n">
        <f aca="false">IF(L37&gt;0,L37,0)</f>
        <v>0</v>
      </c>
      <c r="K37" s="49" t="n">
        <f aca="false">I37+J37</f>
        <v>73</v>
      </c>
      <c r="L37" s="49" t="n">
        <f aca="false">F37-(I37-W37)</f>
        <v>-6.33602218300983</v>
      </c>
      <c r="M37" s="49" t="n">
        <v>59</v>
      </c>
      <c r="N37" s="49" t="n">
        <v>0</v>
      </c>
      <c r="O37" s="49" t="n">
        <v>0</v>
      </c>
      <c r="P37" s="6" t="n">
        <f aca="false">M37-(N37+O37)</f>
        <v>59</v>
      </c>
      <c r="Q37" s="49" t="n">
        <v>0</v>
      </c>
      <c r="R37" s="49" t="n">
        <v>31</v>
      </c>
      <c r="S37" s="49" t="n">
        <f aca="false">SUM(P37:R37)</f>
        <v>90</v>
      </c>
      <c r="T37" s="50" t="n">
        <f aca="false">(I37-S37)+T36</f>
        <v>1589.02</v>
      </c>
      <c r="U37" s="49" t="n">
        <v>0</v>
      </c>
      <c r="V37" s="49" t="n">
        <v>78</v>
      </c>
      <c r="W37" s="6" t="n">
        <f aca="false">N37+O37+S37+U37+V37</f>
        <v>168</v>
      </c>
      <c r="X37" s="49" t="n">
        <f aca="false">IF(L37&lt;0,L37*-1,0)</f>
        <v>6.33602218300983</v>
      </c>
      <c r="Y37" s="49" t="n">
        <f aca="false">W37+X37</f>
        <v>174.33602218301</v>
      </c>
      <c r="Z37" s="53" t="n">
        <v>0</v>
      </c>
      <c r="AA37" s="54" t="n">
        <v>61</v>
      </c>
      <c r="AB37" s="77" t="n">
        <v>33</v>
      </c>
      <c r="AC37" s="55" t="n">
        <v>28</v>
      </c>
      <c r="AD37" s="83"/>
      <c r="AE37" s="83"/>
      <c r="AF37" s="85"/>
    </row>
    <row r="38" customFormat="false" ht="11.1" hidden="false" customHeight="true" outlineLevel="0" collapsed="false">
      <c r="A38" s="55" t="n">
        <v>29</v>
      </c>
      <c r="B38" s="69" t="n">
        <v>6910.84</v>
      </c>
      <c r="C38" s="50" t="n">
        <v>325357</v>
      </c>
      <c r="D38" s="54" t="n">
        <f aca="false">C38-C37</f>
        <v>-201</v>
      </c>
      <c r="E38" s="50" t="n">
        <f aca="false">C38-152000</f>
        <v>173357</v>
      </c>
      <c r="F38" s="49" t="n">
        <f aca="false">D38/$D$2</f>
        <v>-101.33602218301</v>
      </c>
      <c r="G38" s="49" t="n">
        <v>72</v>
      </c>
      <c r="H38" s="151" t="n">
        <v>0</v>
      </c>
      <c r="I38" s="49" t="n">
        <f aca="false">G38+H38</f>
        <v>72</v>
      </c>
      <c r="J38" s="76" t="n">
        <f aca="false">IF(L38&gt;0,L38,0)</f>
        <v>0</v>
      </c>
      <c r="K38" s="49" t="n">
        <f aca="false">I38+J38</f>
        <v>72</v>
      </c>
      <c r="L38" s="49" t="n">
        <f aca="false">F38-(I38-W38)</f>
        <v>-6.33602218300983</v>
      </c>
      <c r="M38" s="49" t="n">
        <v>59</v>
      </c>
      <c r="N38" s="49" t="n">
        <v>0</v>
      </c>
      <c r="O38" s="49" t="n">
        <v>0</v>
      </c>
      <c r="P38" s="6" t="n">
        <f aca="false">M38-(N38+O38)</f>
        <v>59</v>
      </c>
      <c r="Q38" s="49" t="n">
        <v>0</v>
      </c>
      <c r="R38" s="49" t="n">
        <v>30</v>
      </c>
      <c r="S38" s="49" t="n">
        <f aca="false">SUM(P38:R38)</f>
        <v>89</v>
      </c>
      <c r="T38" s="50" t="n">
        <f aca="false">(I38-S38)+T37</f>
        <v>1572.02</v>
      </c>
      <c r="U38" s="49" t="n">
        <v>0</v>
      </c>
      <c r="V38" s="49" t="n">
        <v>78</v>
      </c>
      <c r="W38" s="6" t="n">
        <f aca="false">N38+O38+S38+U38+V38</f>
        <v>167</v>
      </c>
      <c r="X38" s="49" t="n">
        <f aca="false">IF(L38&lt;0,L38*-1,0)</f>
        <v>6.33602218300983</v>
      </c>
      <c r="Y38" s="49" t="n">
        <f aca="false">W38+X38</f>
        <v>173.33602218301</v>
      </c>
      <c r="Z38" s="53" t="n">
        <v>0.26</v>
      </c>
      <c r="AA38" s="54" t="n">
        <v>62</v>
      </c>
      <c r="AB38" s="77" t="n">
        <v>35</v>
      </c>
      <c r="AC38" s="55" t="n">
        <v>29</v>
      </c>
      <c r="AD38" s="83"/>
      <c r="AE38" s="83"/>
      <c r="AF38" s="85"/>
    </row>
    <row r="39" customFormat="false" ht="11.1" hidden="false" customHeight="true" outlineLevel="0" collapsed="false">
      <c r="A39" s="55" t="n">
        <v>30</v>
      </c>
      <c r="B39" s="69" t="n">
        <v>6910.8</v>
      </c>
      <c r="C39" s="50" t="n">
        <v>325197</v>
      </c>
      <c r="D39" s="54" t="n">
        <f aca="false">C39-C38</f>
        <v>-160</v>
      </c>
      <c r="E39" s="50" t="n">
        <f aca="false">C39-152000</f>
        <v>173197</v>
      </c>
      <c r="F39" s="49" t="n">
        <f aca="false">D39/$D$2</f>
        <v>-80.6654902949332</v>
      </c>
      <c r="G39" s="49" t="n">
        <v>81</v>
      </c>
      <c r="H39" s="151" t="n">
        <v>0</v>
      </c>
      <c r="I39" s="49" t="n">
        <f aca="false">G39+H39</f>
        <v>81</v>
      </c>
      <c r="J39" s="76" t="n">
        <f aca="false">IF(L39&gt;0,L39,0)</f>
        <v>5.33450970506681</v>
      </c>
      <c r="K39" s="49" t="n">
        <f aca="false">I39+J39</f>
        <v>86.3345097050668</v>
      </c>
      <c r="L39" s="49" t="n">
        <f aca="false">F39-(I39-W39)</f>
        <v>5.33450970506681</v>
      </c>
      <c r="M39" s="49" t="n">
        <v>59</v>
      </c>
      <c r="N39" s="49" t="n">
        <v>0</v>
      </c>
      <c r="O39" s="49" t="n">
        <v>0</v>
      </c>
      <c r="P39" s="6" t="n">
        <f aca="false">M39-(N39+O39)</f>
        <v>59</v>
      </c>
      <c r="Q39" s="49" t="n">
        <v>0</v>
      </c>
      <c r="R39" s="49" t="n">
        <v>30</v>
      </c>
      <c r="S39" s="49" t="n">
        <f aca="false">SUM(P39:R39)</f>
        <v>89</v>
      </c>
      <c r="T39" s="50" t="n">
        <f aca="false">(I39-S39)+T38</f>
        <v>1564.02</v>
      </c>
      <c r="U39" s="49" t="n">
        <v>0</v>
      </c>
      <c r="V39" s="49" t="n">
        <v>78</v>
      </c>
      <c r="W39" s="6" t="n">
        <f aca="false">N39+O39+S39+U39+V39</f>
        <v>167</v>
      </c>
      <c r="X39" s="49" t="n">
        <f aca="false">IF(L39&lt;0,L39*-1,0)</f>
        <v>0</v>
      </c>
      <c r="Y39" s="49" t="n">
        <f aca="false">W39+X39</f>
        <v>167</v>
      </c>
      <c r="Z39" s="53" t="n">
        <v>0</v>
      </c>
      <c r="AA39" s="54" t="n">
        <v>62</v>
      </c>
      <c r="AB39" s="77" t="n">
        <v>37</v>
      </c>
      <c r="AC39" s="55" t="n">
        <v>30</v>
      </c>
      <c r="AD39" s="83"/>
      <c r="AE39" s="83"/>
      <c r="AF39" s="85"/>
    </row>
    <row r="40" customFormat="false" ht="10.5" hidden="false" customHeight="true" outlineLevel="0" collapsed="false">
      <c r="A40" s="55" t="n">
        <v>31</v>
      </c>
      <c r="B40" s="69" t="n">
        <v>6910.74</v>
      </c>
      <c r="C40" s="50" t="n">
        <v>324956</v>
      </c>
      <c r="D40" s="54" t="n">
        <f aca="false">C40-C39</f>
        <v>-241</v>
      </c>
      <c r="E40" s="50" t="n">
        <f aca="false">C40-152000</f>
        <v>172956</v>
      </c>
      <c r="F40" s="49" t="n">
        <f aca="false">D40/$D$2</f>
        <v>-121.502394756743</v>
      </c>
      <c r="G40" s="49" t="n">
        <v>80</v>
      </c>
      <c r="H40" s="151" t="n">
        <v>0</v>
      </c>
      <c r="I40" s="49" t="n">
        <f aca="false">G40+H40</f>
        <v>80</v>
      </c>
      <c r="J40" s="76" t="n">
        <f aca="false">IF(L40&gt;0,L40,0)</f>
        <v>0</v>
      </c>
      <c r="K40" s="49" t="n">
        <f aca="false">I40+J40</f>
        <v>80</v>
      </c>
      <c r="L40" s="49" t="n">
        <f aca="false">F40-(I40-W40)</f>
        <v>-34.5023947567431</v>
      </c>
      <c r="M40" s="49" t="n">
        <v>59</v>
      </c>
      <c r="N40" s="49" t="n">
        <v>0</v>
      </c>
      <c r="O40" s="49" t="n">
        <v>0</v>
      </c>
      <c r="P40" s="6" t="n">
        <f aca="false">M40-(N40+O40)</f>
        <v>59</v>
      </c>
      <c r="Q40" s="49" t="n">
        <v>0</v>
      </c>
      <c r="R40" s="49" t="n">
        <v>30</v>
      </c>
      <c r="S40" s="49" t="n">
        <f aca="false">SUM(P40:R40)</f>
        <v>89</v>
      </c>
      <c r="T40" s="50" t="n">
        <f aca="false">(I40-S40)+T39</f>
        <v>1555.02</v>
      </c>
      <c r="U40" s="49" t="n">
        <v>0</v>
      </c>
      <c r="V40" s="49" t="n">
        <v>78</v>
      </c>
      <c r="W40" s="6" t="n">
        <f aca="false">N40+O40+S40+U40+V40</f>
        <v>167</v>
      </c>
      <c r="X40" s="49" t="n">
        <f aca="false">IF(L40&lt;0,L40*-1,0)</f>
        <v>34.5023947567431</v>
      </c>
      <c r="Y40" s="49" t="n">
        <f aca="false">W40+X40</f>
        <v>201.502394756743</v>
      </c>
      <c r="Z40" s="53" t="n">
        <v>0</v>
      </c>
      <c r="AA40" s="54" t="n">
        <v>63</v>
      </c>
      <c r="AB40" s="77" t="n">
        <v>34</v>
      </c>
      <c r="AC40" s="55" t="n">
        <v>31</v>
      </c>
      <c r="AD40" s="83"/>
      <c r="AE40" s="83"/>
      <c r="AF40" s="85"/>
    </row>
    <row r="41" customFormat="false" ht="2.25" hidden="false" customHeight="true" outlineLevel="0" collapsed="false">
      <c r="A41" s="70"/>
      <c r="B41" s="70"/>
      <c r="C41" s="72"/>
      <c r="D41" s="70"/>
      <c r="E41" s="72"/>
      <c r="F41" s="70"/>
      <c r="G41" s="70"/>
      <c r="H41" s="154" t="n">
        <v>0</v>
      </c>
      <c r="I41" s="70"/>
      <c r="J41" s="70"/>
      <c r="K41" s="70"/>
      <c r="L41" s="70"/>
      <c r="M41" s="70" t="n">
        <v>0</v>
      </c>
      <c r="N41" s="70"/>
      <c r="O41" s="70"/>
      <c r="P41" s="70"/>
      <c r="Q41" s="70"/>
      <c r="R41" s="70" t="n">
        <v>0</v>
      </c>
      <c r="S41" s="70"/>
      <c r="T41" s="72"/>
      <c r="U41" s="70"/>
      <c r="V41" s="70" t="n">
        <v>0</v>
      </c>
      <c r="W41" s="70"/>
      <c r="X41" s="70"/>
      <c r="Y41" s="70"/>
      <c r="Z41" s="102"/>
      <c r="AA41" s="74"/>
      <c r="AB41" s="74"/>
      <c r="AC41" s="75"/>
      <c r="AD41" s="83"/>
      <c r="AE41" s="83"/>
      <c r="AF41" s="84"/>
    </row>
    <row r="42" customFormat="false" ht="11.1" hidden="false" customHeight="true" outlineLevel="0" collapsed="false">
      <c r="A42" s="49" t="s">
        <v>44</v>
      </c>
      <c r="B42" s="49"/>
      <c r="C42" s="50"/>
      <c r="D42" s="50"/>
      <c r="E42" s="50"/>
      <c r="F42" s="50" t="n">
        <f aca="false">SUM(F10:F40)</f>
        <v>-5387.44643307285</v>
      </c>
      <c r="G42" s="50" t="n">
        <f aca="false">SUM(G10:G40)</f>
        <v>3155</v>
      </c>
      <c r="H42" s="151" t="n">
        <f aca="false">SUM(H10:H40)</f>
        <v>0.02</v>
      </c>
      <c r="I42" s="50" t="n">
        <f aca="false">SUM(I10:I40)</f>
        <v>3155.02</v>
      </c>
      <c r="J42" s="50" t="n">
        <f aca="false">SUM(J10:J40)</f>
        <v>228.872951852785</v>
      </c>
      <c r="K42" s="50" t="n">
        <f aca="false">SUM(K10:K40)</f>
        <v>3383.89295185279</v>
      </c>
      <c r="L42" s="50" t="n">
        <f aca="false">SUM(L10:L40)</f>
        <v>-687.466433072851</v>
      </c>
      <c r="M42" s="50" t="n">
        <f aca="false">SUM(M10:M40)</f>
        <v>2066</v>
      </c>
      <c r="N42" s="50" t="n">
        <f aca="false">SUM(N10:N40)</f>
        <v>0</v>
      </c>
      <c r="O42" s="50" t="n">
        <f aca="false">SUM(O10:O40)</f>
        <v>0</v>
      </c>
      <c r="P42" s="50" t="n">
        <f aca="false">SUM(P10:P40)</f>
        <v>2066</v>
      </c>
      <c r="Q42" s="50" t="n">
        <f aca="false">SUM(Q10:Q40)</f>
        <v>2118</v>
      </c>
      <c r="R42" s="50" t="n">
        <f aca="false">SUM(R10:R40)</f>
        <v>1137</v>
      </c>
      <c r="S42" s="50" t="n">
        <f aca="false">SUM(S10:S40)</f>
        <v>5321</v>
      </c>
      <c r="T42" s="50"/>
      <c r="U42" s="50" t="n">
        <f aca="false">SUM(U10:U40)</f>
        <v>208</v>
      </c>
      <c r="V42" s="50" t="n">
        <f aca="false">SUM(V10:V40)</f>
        <v>2326</v>
      </c>
      <c r="W42" s="50" t="n">
        <f aca="false">SUM(W10:W40)</f>
        <v>7855</v>
      </c>
      <c r="X42" s="50" t="n">
        <f aca="false">SUM(X10:X40)</f>
        <v>916.339384925636</v>
      </c>
      <c r="Y42" s="50" t="n">
        <f aca="false">SUM(Y10:Y40)</f>
        <v>8771.33938492564</v>
      </c>
      <c r="Z42" s="53" t="n">
        <f aca="false">SUM(Z10:Z40)</f>
        <v>0.41</v>
      </c>
      <c r="AA42" s="54" t="n">
        <f aca="false">AVERAGE(AA10:AA40)</f>
        <v>66.5806451612903</v>
      </c>
      <c r="AB42" s="54" t="n">
        <f aca="false">AVERAGE(AB10:AB40)</f>
        <v>36.2903225806452</v>
      </c>
      <c r="AC42" s="55" t="s">
        <v>69</v>
      </c>
      <c r="AD42" s="83"/>
      <c r="AE42" s="83"/>
      <c r="AF42" s="84"/>
    </row>
    <row r="43" customFormat="false" ht="12" hidden="false" customHeight="true" outlineLevel="0" collapsed="false">
      <c r="A43" s="49" t="s">
        <v>46</v>
      </c>
      <c r="B43" s="49"/>
      <c r="C43" s="50"/>
      <c r="D43" s="50" t="n">
        <f aca="false">SUM(D10:D40)</f>
        <v>-10686</v>
      </c>
      <c r="E43" s="50"/>
      <c r="F43" s="50" t="n">
        <f aca="false">F42*$D$2</f>
        <v>-10686</v>
      </c>
      <c r="G43" s="50" t="n">
        <f aca="false">G42*$D$2</f>
        <v>6257.9425</v>
      </c>
      <c r="H43" s="151" t="n">
        <f aca="false">H42*$D$2</f>
        <v>0.03967</v>
      </c>
      <c r="I43" s="50" t="n">
        <f aca="false">I42*$D$2</f>
        <v>6257.98217</v>
      </c>
      <c r="J43" s="50" t="n">
        <f aca="false">J42*$D$2</f>
        <v>453.9695</v>
      </c>
      <c r="K43" s="50" t="n">
        <f aca="false">K42*$D$2</f>
        <v>6711.95167</v>
      </c>
      <c r="L43" s="50" t="n">
        <f aca="false">L42*$D$2</f>
        <v>-1363.58967</v>
      </c>
      <c r="M43" s="50" t="n">
        <f aca="false">M42*$D$2</f>
        <v>4097.911</v>
      </c>
      <c r="N43" s="50" t="n">
        <f aca="false">N42*$D$2</f>
        <v>0</v>
      </c>
      <c r="O43" s="50" t="n">
        <f aca="false">O42*$D$2</f>
        <v>0</v>
      </c>
      <c r="P43" s="50" t="n">
        <f aca="false">P42*$D$2</f>
        <v>4097.911</v>
      </c>
      <c r="Q43" s="50" t="n">
        <f aca="false">Q42*$D$2</f>
        <v>4201.053</v>
      </c>
      <c r="R43" s="50" t="n">
        <f aca="false">R42*$D$2</f>
        <v>2255.2395</v>
      </c>
      <c r="S43" s="50" t="n">
        <f aca="false">S42*$D$2</f>
        <v>10554.2035</v>
      </c>
      <c r="T43" s="50"/>
      <c r="U43" s="50" t="n">
        <f aca="false">U42*$D$2</f>
        <v>412.568</v>
      </c>
      <c r="V43" s="50" t="n">
        <f aca="false">V42*$D$2</f>
        <v>4613.621</v>
      </c>
      <c r="W43" s="50" t="n">
        <f aca="false">W42*$D$2</f>
        <v>15580.3925</v>
      </c>
      <c r="X43" s="50" t="n">
        <f aca="false">X42*$D$2</f>
        <v>1817.55917</v>
      </c>
      <c r="Y43" s="50" t="n">
        <f aca="false">Y42*$D$2</f>
        <v>17397.95167</v>
      </c>
      <c r="Z43" s="53"/>
      <c r="AA43" s="54" t="n">
        <f aca="false">MAX(AA10:AA40)</f>
        <v>74</v>
      </c>
      <c r="AB43" s="54" t="n">
        <f aca="false">MAX(AB10:AB40)</f>
        <v>44</v>
      </c>
      <c r="AC43" s="55" t="s">
        <v>47</v>
      </c>
      <c r="AD43" s="83"/>
      <c r="AE43" s="83"/>
      <c r="AF43" s="84"/>
    </row>
    <row r="44" customFormat="false" ht="2.25" hidden="false" customHeight="true" outlineLevel="0" collapsed="false">
      <c r="A44" s="70"/>
      <c r="B44" s="70"/>
      <c r="C44" s="72"/>
      <c r="D44" s="72"/>
      <c r="E44" s="72"/>
      <c r="F44" s="72"/>
      <c r="G44" s="72"/>
      <c r="H44" s="154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3"/>
      <c r="AA44" s="54"/>
      <c r="AB44" s="54"/>
      <c r="AC44" s="55"/>
      <c r="AD44" s="83"/>
      <c r="AE44" s="83"/>
      <c r="AF44" s="84"/>
    </row>
    <row r="45" customFormat="false" ht="11.1" hidden="false" customHeight="true" outlineLevel="0" collapsed="false">
      <c r="A45" s="49" t="s">
        <v>48</v>
      </c>
      <c r="B45" s="49"/>
      <c r="C45" s="50"/>
      <c r="D45" s="50"/>
      <c r="E45" s="50"/>
      <c r="F45" s="50" t="n">
        <f aca="false">F7+F42</f>
        <v>-3325.93899672297</v>
      </c>
      <c r="G45" s="50" t="n">
        <f aca="false">G7+G42</f>
        <v>102405</v>
      </c>
      <c r="H45" s="151" t="n">
        <f aca="false">H7+H42</f>
        <v>2414.02</v>
      </c>
      <c r="I45" s="50" t="n">
        <f aca="false">I7+I42</f>
        <v>104819.02</v>
      </c>
      <c r="J45" s="50" t="n">
        <f aca="false">J7+J42</f>
        <v>13702.9087471641</v>
      </c>
      <c r="K45" s="50" t="n">
        <f aca="false">K7+K42</f>
        <v>118521.928747164</v>
      </c>
      <c r="L45" s="50" t="n">
        <f aca="false">L7+L42</f>
        <v>7026.04100327704</v>
      </c>
      <c r="M45" s="50" t="n">
        <f aca="false">M7+M42</f>
        <v>31409</v>
      </c>
      <c r="N45" s="50" t="n">
        <f aca="false">N7+N42</f>
        <v>204.87</v>
      </c>
      <c r="O45" s="50" t="n">
        <f aca="false">O7+O42</f>
        <v>11053.4015</v>
      </c>
      <c r="P45" s="50" t="n">
        <f aca="false">P7+P42</f>
        <v>39579.0285</v>
      </c>
      <c r="Q45" s="50" t="n">
        <f aca="false">Q7+Q42</f>
        <v>25429</v>
      </c>
      <c r="R45" s="50" t="n">
        <f aca="false">R7+R42</f>
        <v>13112</v>
      </c>
      <c r="S45" s="50" t="n">
        <f aca="false">S7+S42</f>
        <v>69950</v>
      </c>
      <c r="T45" s="50" t="n">
        <f aca="false">T40</f>
        <v>1555.02</v>
      </c>
      <c r="U45" s="50" t="n">
        <f aca="false">U7+U42</f>
        <v>4438</v>
      </c>
      <c r="V45" s="50" t="n">
        <f aca="false">V7+V42</f>
        <v>40783</v>
      </c>
      <c r="W45" s="50" t="n">
        <f aca="false">W7+W42</f>
        <v>115171</v>
      </c>
      <c r="X45" s="50" t="n">
        <f aca="false">X7+X42</f>
        <v>6676.86774388707</v>
      </c>
      <c r="Y45" s="50" t="n">
        <f aca="false">Y7+Y42</f>
        <v>121847.867743887</v>
      </c>
      <c r="Z45" s="53"/>
      <c r="AA45" s="54" t="n">
        <f aca="false">MIN(AA10:AA40)</f>
        <v>56</v>
      </c>
      <c r="AB45" s="54" t="n">
        <f aca="false">MIN(AB10:AB40)</f>
        <v>32</v>
      </c>
      <c r="AC45" s="55" t="s">
        <v>49</v>
      </c>
      <c r="AD45" s="83"/>
      <c r="AE45" s="83"/>
      <c r="AF45" s="84"/>
    </row>
    <row r="46" customFormat="false" ht="10.5" hidden="false" customHeight="true" outlineLevel="0" collapsed="false">
      <c r="A46" s="49" t="s">
        <v>50</v>
      </c>
      <c r="B46" s="49"/>
      <c r="C46" s="50"/>
      <c r="D46" s="50"/>
      <c r="E46" s="50"/>
      <c r="F46" s="50" t="n">
        <f aca="false">F45*$D$2</f>
        <v>-6597</v>
      </c>
      <c r="G46" s="50" t="n">
        <f aca="false">G45*$D$2</f>
        <v>203120.3175</v>
      </c>
      <c r="H46" s="151" t="n">
        <f aca="false">H45*$D$2</f>
        <v>4788.20867</v>
      </c>
      <c r="I46" s="50" t="n">
        <f aca="false">I45*$D$2</f>
        <v>207908.52617</v>
      </c>
      <c r="J46" s="50" t="n">
        <f aca="false">J45*$D$2</f>
        <v>27179.7195</v>
      </c>
      <c r="K46" s="50" t="n">
        <f aca="false">K45*$D$2</f>
        <v>235088.24567</v>
      </c>
      <c r="L46" s="50" t="n">
        <f aca="false">L45*$D$2</f>
        <v>13936.15233</v>
      </c>
      <c r="M46" s="50" t="n">
        <f aca="false">M45*$D$2</f>
        <v>62299.7515</v>
      </c>
      <c r="N46" s="50" t="n">
        <f aca="false">N45*$D$2</f>
        <v>406.359645</v>
      </c>
      <c r="O46" s="50" t="n">
        <f aca="false">O45*$D$2</f>
        <v>21924.42187525</v>
      </c>
      <c r="P46" s="50" t="n">
        <f aca="false">P45*$D$2</f>
        <v>78505.00302975</v>
      </c>
      <c r="Q46" s="50" t="n">
        <f aca="false">Q45*$D$2</f>
        <v>50438.4215</v>
      </c>
      <c r="R46" s="50" t="n">
        <f aca="false">R45*$D$2</f>
        <v>26007.652</v>
      </c>
      <c r="S46" s="50" t="n">
        <f aca="false">S45*$D$2</f>
        <v>138745.825</v>
      </c>
      <c r="T46" s="50" t="n">
        <f aca="false">T45*$D$2</f>
        <v>3084.38217</v>
      </c>
      <c r="U46" s="50" t="n">
        <f aca="false">U45*$D$2</f>
        <v>8802.773</v>
      </c>
      <c r="V46" s="50" t="n">
        <f aca="false">V45*$D$2</f>
        <v>80893.0805</v>
      </c>
      <c r="W46" s="50" t="n">
        <f aca="false">W45*$D$2</f>
        <v>228441.6785</v>
      </c>
      <c r="X46" s="50" t="n">
        <f aca="false">X45*$D$2</f>
        <v>13243.56717</v>
      </c>
      <c r="Y46" s="50" t="n">
        <f aca="false">Y45*$D$2</f>
        <v>241685.24567</v>
      </c>
      <c r="Z46" s="53"/>
      <c r="AA46" s="54"/>
      <c r="AB46" s="54"/>
      <c r="AC46" s="55"/>
      <c r="AD46" s="83"/>
      <c r="AE46" s="83"/>
      <c r="AF46" s="84"/>
    </row>
    <row r="47" customFormat="false" ht="1.5" hidden="false" customHeight="true" outlineLevel="0" collapsed="false">
      <c r="A47" s="70"/>
      <c r="B47" s="70"/>
      <c r="C47" s="72"/>
      <c r="D47" s="72"/>
      <c r="E47" s="72"/>
      <c r="F47" s="72"/>
      <c r="G47" s="72"/>
      <c r="H47" s="154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102"/>
      <c r="AA47" s="54"/>
      <c r="AB47" s="54"/>
      <c r="AC47" s="55"/>
      <c r="AD47" s="83"/>
      <c r="AE47" s="83"/>
      <c r="AF47" s="84"/>
    </row>
    <row r="48" customFormat="false" ht="12.75" hidden="false" customHeight="true" outlineLevel="0" collapsed="false">
      <c r="A48" s="49" t="s">
        <v>51</v>
      </c>
      <c r="B48" s="49"/>
      <c r="C48" s="50"/>
      <c r="D48" s="50"/>
      <c r="E48" s="50"/>
      <c r="F48" s="50" t="n">
        <f aca="false">F8+F42</f>
        <v>-587.345601209985</v>
      </c>
      <c r="G48" s="50" t="n">
        <f aca="false">G8+G42</f>
        <v>117730</v>
      </c>
      <c r="H48" s="151" t="n">
        <f aca="false">H8+H42</f>
        <v>2620.02</v>
      </c>
      <c r="I48" s="50" t="n">
        <f aca="false">I8+I42</f>
        <v>120350.02</v>
      </c>
      <c r="J48" s="50" t="n">
        <f aca="false">J8+J42</f>
        <v>17060.6422989665</v>
      </c>
      <c r="K48" s="50" t="n">
        <f aca="false">K8+K42</f>
        <v>137410.662298966</v>
      </c>
      <c r="L48" s="50" t="n">
        <f aca="false">L8+L42</f>
        <v>9367.63439879002</v>
      </c>
      <c r="M48" s="50" t="n">
        <f aca="false">M8+M42</f>
        <v>32728</v>
      </c>
      <c r="N48" s="50" t="n">
        <f aca="false">N8+N42</f>
        <v>271.25</v>
      </c>
      <c r="O48" s="50" t="n">
        <f aca="false">O8+O42</f>
        <v>11494.742</v>
      </c>
      <c r="P48" s="50" t="n">
        <f aca="false">P8+P42</f>
        <v>41510.068</v>
      </c>
      <c r="Q48" s="50" t="n">
        <f aca="false">Q8+Q42</f>
        <v>27189</v>
      </c>
      <c r="R48" s="50" t="n">
        <f aca="false">R8+R42</f>
        <v>13308</v>
      </c>
      <c r="S48" s="50" t="n">
        <f aca="false">S8+S42</f>
        <v>73225</v>
      </c>
      <c r="T48" s="50" t="n">
        <f aca="false">T45</f>
        <v>1555.02</v>
      </c>
      <c r="U48" s="50" t="n">
        <f aca="false">U8+U42</f>
        <v>4438</v>
      </c>
      <c r="V48" s="50" t="n">
        <f aca="false">V8+V42</f>
        <v>52642</v>
      </c>
      <c r="W48" s="50" t="n">
        <f aca="false">W8+W42</f>
        <v>130305</v>
      </c>
      <c r="X48" s="50" t="n">
        <f aca="false">X8+X42</f>
        <v>7693.00790017646</v>
      </c>
      <c r="Y48" s="50" t="n">
        <f aca="false">Y8+Y42</f>
        <v>137998.007900176</v>
      </c>
      <c r="Z48" s="53" t="n">
        <f aca="false">Z8+Z42</f>
        <v>17.49</v>
      </c>
      <c r="AA48" s="54"/>
      <c r="AB48" s="54"/>
      <c r="AC48" s="55"/>
      <c r="AD48" s="83"/>
      <c r="AE48" s="83"/>
      <c r="AF48" s="84"/>
    </row>
    <row r="49" customFormat="false" ht="10.5" hidden="false" customHeight="true" outlineLevel="0" collapsed="false">
      <c r="A49" s="49" t="s">
        <v>52</v>
      </c>
      <c r="B49" s="49"/>
      <c r="C49" s="50"/>
      <c r="D49" s="50" t="n">
        <f aca="false">D8+D43</f>
        <v>-1165</v>
      </c>
      <c r="E49" s="50" t="n">
        <f aca="false">E40</f>
        <v>172956</v>
      </c>
      <c r="F49" s="50" t="n">
        <f aca="false">F48*$D$2</f>
        <v>-1165.00000000001</v>
      </c>
      <c r="G49" s="50" t="n">
        <f aca="false">G48*$D$2</f>
        <v>233517.455</v>
      </c>
      <c r="H49" s="151" t="n">
        <f aca="false">H48*$D$2</f>
        <v>5196.80967</v>
      </c>
      <c r="I49" s="50" t="n">
        <f aca="false">I48*$D$2</f>
        <v>238714.26467</v>
      </c>
      <c r="J49" s="50" t="n">
        <f aca="false">J48*$D$2</f>
        <v>33839.784</v>
      </c>
      <c r="K49" s="50" t="n">
        <f aca="false">K48*$D$2</f>
        <v>272554.04867</v>
      </c>
      <c r="L49" s="50" t="n">
        <f aca="false">L48*$D$2</f>
        <v>18580.70283</v>
      </c>
      <c r="M49" s="50" t="n">
        <f aca="false">M48*$D$2</f>
        <v>64915.988</v>
      </c>
      <c r="N49" s="50" t="n">
        <f aca="false">N48*$D$2</f>
        <v>538.024375</v>
      </c>
      <c r="O49" s="50" t="n">
        <f aca="false">O48*$D$2</f>
        <v>22799.820757</v>
      </c>
      <c r="P49" s="50" t="n">
        <f aca="false">P48*$D$2</f>
        <v>82335.219878</v>
      </c>
      <c r="Q49" s="50" t="n">
        <f aca="false">Q48*$D$2</f>
        <v>53929.3815</v>
      </c>
      <c r="R49" s="50" t="n">
        <f aca="false">R48*$D$2</f>
        <v>26396.418</v>
      </c>
      <c r="S49" s="50" t="n">
        <f aca="false">S48*$D$2</f>
        <v>145241.7875</v>
      </c>
      <c r="T49" s="50" t="n">
        <f aca="false">T48*$D$2</f>
        <v>3084.38217</v>
      </c>
      <c r="U49" s="50" t="n">
        <f aca="false">U48*$D$2</f>
        <v>8802.773</v>
      </c>
      <c r="V49" s="50" t="n">
        <f aca="false">V48*$D$2</f>
        <v>104415.407</v>
      </c>
      <c r="W49" s="50" t="n">
        <f aca="false">W48*$D$2</f>
        <v>258459.9675</v>
      </c>
      <c r="X49" s="50" t="n">
        <f aca="false">X48*$D$2</f>
        <v>15259.08117</v>
      </c>
      <c r="Y49" s="50" t="n">
        <f aca="false">Y48*$D$2</f>
        <v>273719.04867</v>
      </c>
      <c r="Z49" s="53"/>
      <c r="AA49" s="54"/>
      <c r="AB49" s="54"/>
      <c r="AC49" s="55"/>
      <c r="AD49" s="83"/>
      <c r="AE49" s="83"/>
      <c r="AF49" s="84"/>
    </row>
    <row r="50" customFormat="false" ht="3" hidden="false" customHeight="true" outlineLevel="0" collapsed="false">
      <c r="A50" s="70"/>
      <c r="B50" s="70"/>
      <c r="C50" s="72"/>
      <c r="D50" s="70"/>
      <c r="E50" s="72"/>
      <c r="F50" s="70"/>
      <c r="G50" s="70"/>
      <c r="H50" s="154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2"/>
      <c r="U50" s="70"/>
      <c r="V50" s="70"/>
      <c r="W50" s="70"/>
      <c r="X50" s="70"/>
      <c r="Y50" s="70"/>
      <c r="Z50" s="53"/>
      <c r="AA50" s="54"/>
      <c r="AB50" s="54"/>
      <c r="AC50" s="55"/>
      <c r="AD50" s="83"/>
      <c r="AE50" s="83"/>
      <c r="AF50" s="84"/>
    </row>
    <row r="51" customFormat="false" ht="10.5" hidden="true" customHeight="true" outlineLevel="0" collapsed="false">
      <c r="A51" s="142"/>
      <c r="B51" s="79"/>
      <c r="C51" s="50"/>
      <c r="D51" s="49"/>
      <c r="E51" s="50"/>
      <c r="F51" s="49"/>
      <c r="G51" s="49"/>
      <c r="H51" s="151"/>
      <c r="I51" s="49"/>
      <c r="J51" s="49"/>
      <c r="K51" s="49" t="n">
        <f aca="false">SUM(K10:K24)</f>
        <v>1871.42803125788</v>
      </c>
      <c r="L51" s="49" t="n">
        <f aca="false">K51*$D$2</f>
        <v>3711.9775</v>
      </c>
      <c r="M51" s="49"/>
      <c r="N51" s="49"/>
      <c r="O51" s="49"/>
      <c r="P51" s="155" t="n">
        <f aca="false">N49+O49+P49</f>
        <v>105673.06501</v>
      </c>
      <c r="Q51" s="49"/>
      <c r="R51" s="49" t="s">
        <v>81</v>
      </c>
      <c r="S51" s="50" t="n">
        <v>3588</v>
      </c>
      <c r="T51" s="50"/>
      <c r="U51" s="49" t="str">
        <f aca="false">"spill ="</f>
        <v>spill =</v>
      </c>
      <c r="V51" s="50" t="e">
        <f aca="false">V49-#REF!</f>
        <v>#REF!</v>
      </c>
      <c r="W51" s="49" t="str">
        <f aca="false">"= total pool"</f>
        <v>= total pool</v>
      </c>
      <c r="X51" s="49"/>
      <c r="Y51" s="49"/>
      <c r="Z51" s="53"/>
      <c r="AA51" s="54"/>
      <c r="AB51" s="54"/>
      <c r="AC51" s="55"/>
      <c r="AD51" s="82"/>
      <c r="AE51" s="82"/>
    </row>
    <row r="52" customFormat="false" ht="11.1" hidden="false" customHeight="true" outlineLevel="0" collapsed="false">
      <c r="A52" s="49"/>
      <c r="B52" s="69"/>
      <c r="C52" s="50"/>
      <c r="D52" s="77"/>
      <c r="E52" s="50"/>
      <c r="F52" s="49"/>
      <c r="G52" s="49"/>
      <c r="H52" s="151"/>
      <c r="I52" s="80"/>
      <c r="J52" s="49"/>
      <c r="K52" s="49"/>
      <c r="L52" s="49"/>
      <c r="M52" s="49"/>
      <c r="N52" s="49"/>
      <c r="O52" s="42"/>
      <c r="P52" s="156"/>
      <c r="R52" s="145" t="s">
        <v>82</v>
      </c>
      <c r="S52" s="50"/>
      <c r="T52" s="50"/>
      <c r="V52" s="50"/>
      <c r="W52" s="49"/>
      <c r="X52" s="49"/>
      <c r="Y52" s="53"/>
      <c r="Z52" s="53"/>
      <c r="AA52" s="54"/>
      <c r="AB52" s="55"/>
      <c r="AC52" s="82"/>
      <c r="AD52" s="82"/>
    </row>
    <row r="53" customFormat="false" ht="11.1" hidden="false" customHeight="true" outlineLevel="0" collapsed="false">
      <c r="A53" s="77"/>
      <c r="B53" s="77"/>
      <c r="C53" s="50"/>
      <c r="D53" s="50"/>
      <c r="E53" s="50"/>
      <c r="F53" s="77"/>
      <c r="G53" s="77"/>
      <c r="H53" s="151"/>
      <c r="I53" s="77"/>
      <c r="J53" s="77"/>
      <c r="K53" s="77"/>
      <c r="L53" s="49"/>
      <c r="M53" s="76"/>
      <c r="N53" s="76"/>
      <c r="O53" s="76"/>
      <c r="P53" s="49"/>
      <c r="Q53" s="49"/>
      <c r="R53" s="50" t="s">
        <v>83</v>
      </c>
      <c r="S53" s="157"/>
      <c r="T53" s="158"/>
      <c r="V53" s="50"/>
      <c r="W53" s="77"/>
      <c r="X53" s="77"/>
      <c r="Y53" s="53"/>
      <c r="Z53" s="53"/>
      <c r="AA53" s="54"/>
      <c r="AB53" s="55"/>
      <c r="AC53" s="86"/>
      <c r="AD53" s="86"/>
    </row>
    <row r="54" customFormat="false" ht="11.1" hidden="false" customHeight="true" outlineLevel="0" collapsed="false">
      <c r="A54" s="77"/>
      <c r="B54" s="53"/>
      <c r="C54" s="50"/>
      <c r="D54" s="50"/>
      <c r="E54" s="50"/>
      <c r="F54" s="77"/>
      <c r="G54" s="77"/>
      <c r="H54" s="151"/>
      <c r="I54" s="77"/>
      <c r="J54" s="77"/>
      <c r="K54" s="77"/>
      <c r="L54" s="77"/>
      <c r="M54" s="76"/>
      <c r="N54" s="76"/>
      <c r="O54" s="76"/>
      <c r="P54" s="77"/>
      <c r="Q54" s="77" t="s">
        <v>84</v>
      </c>
      <c r="R54" s="50"/>
      <c r="S54" s="50"/>
      <c r="T54" s="77"/>
      <c r="V54" s="50"/>
      <c r="W54" s="77"/>
      <c r="X54" s="77"/>
      <c r="Y54" s="53"/>
      <c r="Z54" s="53"/>
      <c r="AA54" s="54"/>
      <c r="AB54" s="55"/>
      <c r="AC54" s="86"/>
      <c r="AD54" s="86"/>
    </row>
    <row r="55" customFormat="false" ht="11.1" hidden="false" customHeight="true" outlineLevel="0" collapsed="false">
      <c r="A55" s="77"/>
      <c r="B55" s="77"/>
      <c r="C55" s="50"/>
      <c r="D55" s="77"/>
      <c r="E55" s="50"/>
      <c r="F55" s="77"/>
      <c r="G55" s="81"/>
      <c r="H55" s="151"/>
      <c r="I55" s="77"/>
      <c r="J55" s="77"/>
      <c r="K55" s="77"/>
      <c r="L55" s="77"/>
      <c r="M55" s="76"/>
      <c r="N55" s="76"/>
      <c r="O55" s="76"/>
      <c r="P55" s="77"/>
      <c r="Q55" s="77"/>
      <c r="R55" s="50"/>
      <c r="S55" s="50"/>
      <c r="T55" s="77"/>
      <c r="V55" s="50"/>
      <c r="W55" s="77"/>
      <c r="X55" s="77"/>
      <c r="Y55" s="53"/>
      <c r="Z55" s="53"/>
      <c r="AA55" s="54"/>
      <c r="AB55" s="55"/>
      <c r="AC55" s="86"/>
      <c r="AD55" s="86"/>
    </row>
    <row r="61" customFormat="false" ht="11.1" hidden="false" customHeight="true" outlineLevel="0" collapsed="false">
      <c r="S61" s="15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 A Birk</cp:lastModifiedBy>
  <cp:lastPrinted>2004-11-23T07:35:14Z</cp:lastPrinted>
  <dcterms:modified xsi:type="dcterms:W3CDTF">2004-11-23T07:37:09Z</dcterms:modified>
  <cp:revision>0</cp:revision>
  <dc:subject>MCPHEE IN/OUT FLOW</dc:subject>
  <dc:title>RIVER</dc:title>
</cp:coreProperties>
</file>