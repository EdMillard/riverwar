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9.xml" ContentType="application/vnd.openxmlformats-officedocument.spreadsheetml.comments+xml"/>
  <Override PartName="/xl/comments12.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xl/comments1.xml" ContentType="application/vnd.openxmlformats-officedocument.spreadsheetml.comments+xml"/>
  <Override PartName="/xl/comments1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9.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drawings/drawing3.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APR!$A$1:$AQ$50</definedName>
    <definedName function="false" hidden="false" localSheetId="9" name="_xlnm.Print_Area" vbProcedure="false">AUG!$A$1:$AR$52</definedName>
    <definedName function="false" hidden="false" localSheetId="1" name="_xlnm.Print_Area" vbProcedure="false">DEC!$A$1:$AQ$52</definedName>
    <definedName function="false" hidden="false" localSheetId="3" name="_xlnm.Print_Area" vbProcedure="false">FEB!$A$1:$AQ$49</definedName>
    <definedName function="false" hidden="false" localSheetId="2" name="_xlnm.Print_Area" vbProcedure="false">JAN!$A$1:$AQ$52</definedName>
    <definedName function="false" hidden="false" localSheetId="8" name="_xlnm.Print_Area" vbProcedure="false">JUL!$A$1:$AQ$52</definedName>
    <definedName function="false" hidden="false" localSheetId="7" name="_xlnm.Print_Area" vbProcedure="false">JUN!$A$1:$AQ$51</definedName>
    <definedName function="false" hidden="false" localSheetId="4" name="_xlnm.Print_Area" vbProcedure="false">MAR!$A$1:$AQ$52</definedName>
    <definedName function="false" hidden="false" localSheetId="6" name="_xlnm.Print_Area" vbProcedure="false">MAY!$A$1:$AQ$52</definedName>
    <definedName function="false" hidden="false" localSheetId="0" name="_xlnm.Print_Area" vbProcedure="false">NOV!$A$1:$AQ$50</definedName>
    <definedName function="false" hidden="false" localSheetId="11" name="_xlnm.Print_Area" vbProcedure="false">OCT!$A$1:$AR$57</definedName>
    <definedName function="false" hidden="false" localSheetId="10" name="_xlnm.Print_Area" vbProcedure="false">SEP!$A$1:$AR$57</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G39" authorId="0">
      <text>
        <r>
          <rPr>
            <b val="true"/>
            <sz val="8"/>
            <color rgb="FF000000"/>
            <rFont val="Tahoma"/>
            <family val="0"/>
          </rPr>
          <t xml:space="preserve">E. A. Birk:
</t>
        </r>
        <r>
          <rPr>
            <sz val="8"/>
            <color rgb="FF000000"/>
            <rFont val="Tahoma"/>
            <family val="0"/>
          </rPr>
          <t xml:space="preserve">River Froze.</t>
        </r>
      </text>
    </comment>
    <comment ref="T6" authorId="0">
      <text>
        <r>
          <rPr>
            <b val="true"/>
            <sz val="8"/>
            <color rgb="FF000000"/>
            <rFont val="Tahoma"/>
            <family val="0"/>
          </rPr>
          <t xml:space="preserve">E. A. Birk:
</t>
        </r>
        <r>
          <rPr>
            <sz val="8"/>
            <color rgb="FF000000"/>
            <rFont val="Tahoma"/>
            <family val="0"/>
          </rPr>
          <t xml:space="preserve">Spill is calibrated only when MWC &amp; City is pulling water only.</t>
        </r>
      </text>
    </comment>
    <comment ref="AE5" authorId="0">
      <text>
        <r>
          <rPr>
            <b val="true"/>
            <sz val="8"/>
            <color rgb="FF000000"/>
            <rFont val="Tahoma"/>
            <family val="0"/>
          </rPr>
          <t xml:space="preserve">E. A. Birk:
</t>
        </r>
        <r>
          <rPr>
            <sz val="8"/>
            <color rgb="FF000000"/>
            <rFont val="Tahoma"/>
            <family val="0"/>
          </rPr>
          <t xml:space="preserve">This column runs from Apr 1st to Mar 31st according to contract.</t>
        </r>
      </text>
    </comment>
    <comment ref="AM5" authorId="0">
      <text>
        <r>
          <rPr>
            <b val="true"/>
            <sz val="8"/>
            <color rgb="FF000000"/>
            <rFont val="Tahoma"/>
            <family val="0"/>
          </rPr>
          <t xml:space="preserve">E. A. Birk:
</t>
        </r>
        <r>
          <rPr>
            <sz val="8"/>
            <color rgb="FF000000"/>
            <rFont val="Tahoma"/>
            <family val="0"/>
          </rPr>
          <t xml:space="preserve">This column runs from Jan 1st to Dec 31st according to contract.</t>
        </r>
      </text>
    </comment>
  </commentList>
</comments>
</file>

<file path=xl/comments3.xml><?xml version="1.0" encoding="utf-8"?>
<comments xmlns="http://schemas.openxmlformats.org/spreadsheetml/2006/main" xmlns:xdr="http://schemas.openxmlformats.org/drawingml/2006/spreadsheetDrawing">
  <authors>
    <author> </author>
  </authors>
  <commentList>
    <comment ref="AM5" authorId="0">
      <text>
        <r>
          <rPr>
            <b val="true"/>
            <sz val="8"/>
            <color rgb="FF000000"/>
            <rFont val="Tahoma"/>
            <family val="0"/>
          </rPr>
          <t xml:space="preserve">E. A. Birk:
</t>
        </r>
        <r>
          <rPr>
            <sz val="8"/>
            <color rgb="FF000000"/>
            <rFont val="Tahoma"/>
            <family val="0"/>
          </rPr>
          <t xml:space="preserve">This column runs from Jan 1st to Dec 31st according to contract.</t>
        </r>
      </text>
    </comment>
  </commentList>
</comments>
</file>

<file path=xl/comments5.xml><?xml version="1.0" encoding="utf-8"?>
<comments xmlns="http://schemas.openxmlformats.org/spreadsheetml/2006/main" xmlns:xdr="http://schemas.openxmlformats.org/drawingml/2006/spreadsheetDrawing">
  <authors>
    <author> </author>
  </authors>
  <commentList>
    <comment ref="G25" authorId="0">
      <text>
        <r>
          <rPr>
            <b val="true"/>
            <sz val="8"/>
            <color rgb="FF000000"/>
            <rFont val="Tahoma"/>
            <family val="0"/>
          </rPr>
          <t xml:space="preserve">E. A. Birk:
</t>
        </r>
        <r>
          <rPr>
            <sz val="8"/>
            <color rgb="FF000000"/>
            <rFont val="Tahoma"/>
            <family val="0"/>
          </rPr>
          <t xml:space="preserve">River unthawed</t>
        </r>
      </text>
    </comment>
    <comment ref="AL34" authorId="0">
      <text>
        <r>
          <rPr>
            <b val="true"/>
            <sz val="8"/>
            <color rgb="FF000000"/>
            <rFont val="Tahoma"/>
            <family val="0"/>
          </rPr>
          <t xml:space="preserve">E. A. Birk:
</t>
        </r>
        <r>
          <rPr>
            <sz val="8"/>
            <color rgb="FF000000"/>
            <rFont val="Tahoma"/>
            <family val="0"/>
          </rPr>
          <t xml:space="preserve">Brad Reed says that Narr. Is at elevation 71.1 and 71.5 is full will fill it up later before July.</t>
        </r>
      </text>
    </comment>
    <comment ref="AM35" authorId="0">
      <text>
        <r>
          <rPr>
            <b val="true"/>
            <sz val="8"/>
            <color rgb="FF000000"/>
            <rFont val="Tahoma"/>
            <family val="0"/>
          </rPr>
          <t xml:space="preserve">E. A. Birk:
</t>
        </r>
        <r>
          <rPr>
            <sz val="8"/>
            <color rgb="FF000000"/>
            <rFont val="Tahoma"/>
            <family val="0"/>
          </rPr>
          <t xml:space="preserve">MVIC started 17.2 cfs @ 11:15 am out of Narr. for stock water, this amount is substracted from the Narr. Call water column</t>
        </r>
      </text>
    </comment>
    <comment ref="AM37" authorId="0">
      <text>
        <r>
          <rPr>
            <b val="true"/>
            <sz val="8"/>
            <color rgb="FF000000"/>
            <rFont val="Tahoma"/>
            <family val="0"/>
          </rPr>
          <t xml:space="preserve">E. A. Birk:
</t>
        </r>
        <r>
          <rPr>
            <sz val="8"/>
            <color rgb="FF000000"/>
            <rFont val="Tahoma"/>
            <family val="0"/>
          </rPr>
          <t xml:space="preserve">MVIC started stock water in their other canals</t>
        </r>
      </text>
    </comment>
    <comment ref="AM41" authorId="0">
      <text>
        <r>
          <rPr>
            <b val="true"/>
            <sz val="8"/>
            <color rgb="FF000000"/>
            <rFont val="Tahoma"/>
            <family val="0"/>
          </rPr>
          <t xml:space="preserve">E. A. Birk:
</t>
        </r>
        <r>
          <rPr>
            <sz val="8"/>
            <color rgb="FF000000"/>
            <rFont val="Tahoma"/>
            <family val="0"/>
          </rPr>
          <t xml:space="preserve">Brad Reed turned the stock water off at 11:00am.</t>
        </r>
      </text>
    </comment>
  </commentList>
</comments>
</file>

<file path=xl/comments6.xml><?xml version="1.0" encoding="utf-8"?>
<comments xmlns="http://schemas.openxmlformats.org/spreadsheetml/2006/main" xmlns:xdr="http://schemas.openxmlformats.org/drawingml/2006/spreadsheetDrawing">
  <authors>
    <author> </author>
  </authors>
  <commentList>
    <comment ref="W46" authorId="0">
      <text>
        <r>
          <rPr>
            <b val="true"/>
            <sz val="8"/>
            <color rgb="FF000000"/>
            <rFont val="Tahoma"/>
            <family val="0"/>
          </rPr>
          <t xml:space="preserve">E. A. Birk:
</t>
        </r>
        <r>
          <rPr>
            <sz val="8"/>
            <color rgb="FF000000"/>
            <rFont val="Tahoma"/>
            <family val="0"/>
          </rPr>
          <t xml:space="preserve">Beginning on 4/19/07, MVIC started to completed their frist fill of Narr. (520 Ac. Ft. or 262.16 cfs). This was completed A 10:00 AM on the 23 rd. This 262.16 cfs is substracted from their total season amount so to keep tract of their 72,000 ac.ft. for the months of Apr-Jun.</t>
        </r>
      </text>
    </comment>
    <comment ref="Y12" authorId="0">
      <text>
        <r>
          <rPr>
            <b val="true"/>
            <sz val="8"/>
            <color rgb="FF000000"/>
            <rFont val="Tahoma"/>
            <family val="0"/>
          </rPr>
          <t xml:space="preserve">E. A. Birk:
</t>
        </r>
        <r>
          <rPr>
            <sz val="8"/>
            <color rgb="FF000000"/>
            <rFont val="Tahoma"/>
            <family val="0"/>
          </rPr>
          <t xml:space="preserve">3400 Ac. Ft. Totten Exchange-3400/1.9835=1714.15 cfs</t>
        </r>
      </text>
    </comment>
    <comment ref="AE5" authorId="0">
      <text>
        <r>
          <rPr>
            <b val="true"/>
            <sz val="8"/>
            <color rgb="FF000000"/>
            <rFont val="Tahoma"/>
            <family val="0"/>
          </rPr>
          <t xml:space="preserve">E. A. Birk:
</t>
        </r>
        <r>
          <rPr>
            <sz val="8"/>
            <color rgb="FF000000"/>
            <rFont val="Tahoma"/>
            <family val="0"/>
          </rPr>
          <t xml:space="preserve">This column runs from Apr 1st to Mar 31st according to contract.</t>
        </r>
      </text>
    </comment>
  </commentList>
</comments>
</file>

<file path=xl/comments7.xml><?xml version="1.0" encoding="utf-8"?>
<comments xmlns="http://schemas.openxmlformats.org/spreadsheetml/2006/main" xmlns:xdr="http://schemas.openxmlformats.org/drawingml/2006/spreadsheetDrawing">
  <authors>
    <author> </author>
  </authors>
  <commentList>
    <comment ref="O29" authorId="0">
      <text>
        <r>
          <rPr>
            <b val="true"/>
            <sz val="8"/>
            <color rgb="FF000000"/>
            <rFont val="Tahoma"/>
            <family val="0"/>
          </rPr>
          <t xml:space="preserve">E. A. Birk:
</t>
        </r>
        <r>
          <rPr>
            <sz val="8"/>
            <color rgb="FF000000"/>
            <rFont val="Tahoma"/>
            <family val="0"/>
          </rPr>
          <t xml:space="preserve">37.5 cfs of this is leased form MVIC (Totten Exchanged)</t>
        </r>
      </text>
    </comment>
    <comment ref="P18" authorId="0">
      <text>
        <r>
          <rPr>
            <b val="true"/>
            <sz val="8"/>
            <color rgb="FF000000"/>
            <rFont val="Tahoma"/>
            <family val="0"/>
          </rPr>
          <t xml:space="preserve">E. A. Birk:
</t>
        </r>
        <r>
          <rPr>
            <sz val="8"/>
            <color rgb="FF000000"/>
            <rFont val="Tahoma"/>
            <family val="0"/>
          </rPr>
          <t xml:space="preserve">Beginning the 4.5 AcFt from Dove Creek and the 10 AcFt from the District for a total of 14.5 Ac.ft. for Queststar.</t>
        </r>
      </text>
    </comment>
    <comment ref="P20" authorId="0">
      <text>
        <r>
          <rPr>
            <b val="true"/>
            <sz val="8"/>
            <color rgb="FF000000"/>
            <rFont val="Tahoma"/>
            <family val="0"/>
          </rPr>
          <t xml:space="preserve">E. A. Birk:
</t>
        </r>
        <r>
          <rPr>
            <sz val="8"/>
            <color rgb="FF000000"/>
            <rFont val="Tahoma"/>
            <family val="0"/>
          </rPr>
          <t xml:space="preserve">All of Questar water has been delivered.</t>
        </r>
      </text>
    </comment>
    <comment ref="W29" authorId="0">
      <text>
        <r>
          <rPr>
            <b val="true"/>
            <sz val="8"/>
            <color rgb="FF000000"/>
            <rFont val="Tahoma"/>
            <family val="0"/>
          </rPr>
          <t xml:space="preserve">E. A. Birk:
</t>
        </r>
        <r>
          <rPr>
            <sz val="8"/>
            <color rgb="FF000000"/>
            <rFont val="Tahoma"/>
            <family val="0"/>
          </rPr>
          <t xml:space="preserve">MVIC leased 37.5
 cfs to the Utes from their Totten Exchange water, so this is added to MVIC use</t>
        </r>
      </text>
    </comment>
    <comment ref="X23" authorId="0">
      <text>
        <r>
          <rPr>
            <b val="true"/>
            <sz val="8"/>
            <color rgb="FF000000"/>
            <rFont val="Tahoma"/>
            <family val="0"/>
          </rPr>
          <t xml:space="preserve">E. A. Birk:
</t>
        </r>
        <r>
          <rPr>
            <sz val="8"/>
            <color rgb="FF000000"/>
            <rFont val="Tahoma"/>
            <family val="0"/>
          </rPr>
          <t xml:space="preserve">Spill in process.</t>
        </r>
      </text>
    </comment>
    <comment ref="X24" authorId="0">
      <text>
        <r>
          <rPr>
            <b val="true"/>
            <sz val="8"/>
            <color rgb="FF000000"/>
            <rFont val="Tahoma"/>
            <family val="0"/>
          </rPr>
          <t xml:space="preserve">E. A. Birk:
</t>
        </r>
        <r>
          <rPr>
            <sz val="8"/>
            <color rgb="FF000000"/>
            <rFont val="Tahoma"/>
            <family val="0"/>
          </rPr>
          <t xml:space="preserve">Spill in process.</t>
        </r>
      </text>
    </comment>
    <comment ref="X25" authorId="0">
      <text>
        <r>
          <rPr>
            <b val="true"/>
            <sz val="8"/>
            <color rgb="FF000000"/>
            <rFont val="Tahoma"/>
            <family val="0"/>
          </rPr>
          <t xml:space="preserve">E. A. Birk:
</t>
        </r>
        <r>
          <rPr>
            <sz val="8"/>
            <color rgb="FF000000"/>
            <rFont val="Tahoma"/>
            <family val="0"/>
          </rPr>
          <t xml:space="preserve">Spill in process.</t>
        </r>
      </text>
    </comment>
    <comment ref="X26" authorId="0">
      <text>
        <r>
          <rPr>
            <b val="true"/>
            <sz val="8"/>
            <color rgb="FF000000"/>
            <rFont val="Tahoma"/>
            <family val="0"/>
          </rPr>
          <t xml:space="preserve">E. A. Birk:
</t>
        </r>
        <r>
          <rPr>
            <sz val="8"/>
            <color rgb="FF000000"/>
            <rFont val="Tahoma"/>
            <family val="0"/>
          </rPr>
          <t xml:space="preserve">Spill in process.</t>
        </r>
      </text>
    </comment>
    <comment ref="X27" authorId="0">
      <text>
        <r>
          <rPr>
            <b val="true"/>
            <sz val="8"/>
            <color rgb="FF000000"/>
            <rFont val="Tahoma"/>
            <family val="0"/>
          </rPr>
          <t xml:space="preserve">E. A. Birk:
</t>
        </r>
        <r>
          <rPr>
            <sz val="8"/>
            <color rgb="FF000000"/>
            <rFont val="Tahoma"/>
            <family val="0"/>
          </rPr>
          <t xml:space="preserve">Spill in process.</t>
        </r>
      </text>
    </comment>
    <comment ref="X28" authorId="0">
      <text>
        <r>
          <rPr>
            <b val="true"/>
            <sz val="8"/>
            <color rgb="FF000000"/>
            <rFont val="Tahoma"/>
            <family val="0"/>
          </rPr>
          <t xml:space="preserve">E. A. Birk:
</t>
        </r>
        <r>
          <rPr>
            <sz val="8"/>
            <color rgb="FF000000"/>
            <rFont val="Tahoma"/>
            <family val="0"/>
          </rPr>
          <t xml:space="preserve">Spill in process.</t>
        </r>
      </text>
    </comment>
    <comment ref="X29" authorId="0">
      <text>
        <r>
          <rPr>
            <b val="true"/>
            <sz val="8"/>
            <color rgb="FF000000"/>
            <rFont val="Tahoma"/>
            <family val="0"/>
          </rPr>
          <t xml:space="preserve">E. A. Birk:
</t>
        </r>
        <r>
          <rPr>
            <sz val="8"/>
            <color rgb="FF000000"/>
            <rFont val="Tahoma"/>
            <family val="0"/>
          </rPr>
          <t xml:space="preserve">Spill in process.</t>
        </r>
      </text>
    </comment>
    <comment ref="X30" authorId="0">
      <text>
        <r>
          <rPr>
            <b val="true"/>
            <sz val="8"/>
            <color rgb="FF000000"/>
            <rFont val="Tahoma"/>
            <family val="0"/>
          </rPr>
          <t xml:space="preserve">E. A. Birk:
</t>
        </r>
        <r>
          <rPr>
            <sz val="8"/>
            <color rgb="FF000000"/>
            <rFont val="Tahoma"/>
            <family val="0"/>
          </rPr>
          <t xml:space="preserve">Spill in process.</t>
        </r>
      </text>
    </comment>
    <comment ref="X31" authorId="0">
      <text>
        <r>
          <rPr>
            <b val="true"/>
            <sz val="8"/>
            <color rgb="FF000000"/>
            <rFont val="Tahoma"/>
            <family val="0"/>
          </rPr>
          <t xml:space="preserve">E. A. Birk:
</t>
        </r>
        <r>
          <rPr>
            <sz val="8"/>
            <color rgb="FF000000"/>
            <rFont val="Tahoma"/>
            <family val="0"/>
          </rPr>
          <t xml:space="preserve">Spill in process.</t>
        </r>
      </text>
    </comment>
    <comment ref="X32" authorId="0">
      <text>
        <r>
          <rPr>
            <b val="true"/>
            <sz val="8"/>
            <color rgb="FF000000"/>
            <rFont val="Tahoma"/>
            <family val="0"/>
          </rPr>
          <t xml:space="preserve">E. A. Birk:
</t>
        </r>
        <r>
          <rPr>
            <sz val="8"/>
            <color rgb="FF000000"/>
            <rFont val="Tahoma"/>
            <family val="0"/>
          </rPr>
          <t xml:space="preserve">Spill in process.</t>
        </r>
      </text>
    </comment>
    <comment ref="X33" authorId="0">
      <text>
        <r>
          <rPr>
            <b val="true"/>
            <sz val="8"/>
            <color rgb="FF000000"/>
            <rFont val="Tahoma"/>
            <family val="0"/>
          </rPr>
          <t xml:space="preserve">E. A. Birk:
</t>
        </r>
        <r>
          <rPr>
            <sz val="8"/>
            <color rgb="FF000000"/>
            <rFont val="Tahoma"/>
            <family val="0"/>
          </rPr>
          <t xml:space="preserve">Spill in process.</t>
        </r>
      </text>
    </comment>
    <comment ref="X34" authorId="0">
      <text>
        <r>
          <rPr>
            <b val="true"/>
            <sz val="8"/>
            <color rgb="FF000000"/>
            <rFont val="Tahoma"/>
            <family val="0"/>
          </rPr>
          <t xml:space="preserve">E. A. Birk:
</t>
        </r>
        <r>
          <rPr>
            <sz val="8"/>
            <color rgb="FF000000"/>
            <rFont val="Tahoma"/>
            <family val="0"/>
          </rPr>
          <t xml:space="preserve">Spill in process.</t>
        </r>
      </text>
    </comment>
    <comment ref="X35" authorId="0">
      <text>
        <r>
          <rPr>
            <b val="true"/>
            <sz val="8"/>
            <color rgb="FF000000"/>
            <rFont val="Tahoma"/>
            <family val="0"/>
          </rPr>
          <t xml:space="preserve">E. A. Birk:
</t>
        </r>
        <r>
          <rPr>
            <sz val="8"/>
            <color rgb="FF000000"/>
            <rFont val="Tahoma"/>
            <family val="0"/>
          </rPr>
          <t xml:space="preserve">Spill in process.</t>
        </r>
      </text>
    </comment>
    <comment ref="X36" authorId="0">
      <text>
        <r>
          <rPr>
            <b val="true"/>
            <sz val="8"/>
            <color rgb="FF000000"/>
            <rFont val="Tahoma"/>
            <family val="0"/>
          </rPr>
          <t xml:space="preserve">E. A. Birk:
</t>
        </r>
        <r>
          <rPr>
            <sz val="8"/>
            <color rgb="FF000000"/>
            <rFont val="Tahoma"/>
            <family val="0"/>
          </rPr>
          <t xml:space="preserve">Spill in process.</t>
        </r>
      </text>
    </comment>
    <comment ref="X37" authorId="0">
      <text>
        <r>
          <rPr>
            <b val="true"/>
            <sz val="8"/>
            <color rgb="FF000000"/>
            <rFont val="Tahoma"/>
            <family val="0"/>
          </rPr>
          <t xml:space="preserve">E. A. Birk:
</t>
        </r>
        <r>
          <rPr>
            <sz val="8"/>
            <color rgb="FF000000"/>
            <rFont val="Tahoma"/>
            <family val="0"/>
          </rPr>
          <t xml:space="preserve">Spill in process.</t>
        </r>
      </text>
    </comment>
    <comment ref="X38" authorId="0">
      <text>
        <r>
          <rPr>
            <b val="true"/>
            <sz val="8"/>
            <color rgb="FF000000"/>
            <rFont val="Tahoma"/>
            <family val="0"/>
          </rPr>
          <t xml:space="preserve">E. A. Birk:
</t>
        </r>
        <r>
          <rPr>
            <sz val="8"/>
            <color rgb="FF000000"/>
            <rFont val="Tahoma"/>
            <family val="0"/>
          </rPr>
          <t xml:space="preserve">Spill in process.</t>
        </r>
      </text>
    </comment>
    <comment ref="X39" authorId="0">
      <text>
        <r>
          <rPr>
            <b val="true"/>
            <sz val="8"/>
            <color rgb="FF000000"/>
            <rFont val="Tahoma"/>
            <family val="0"/>
          </rPr>
          <t xml:space="preserve">E. A. Birk:
</t>
        </r>
        <r>
          <rPr>
            <sz val="8"/>
            <color rgb="FF000000"/>
            <rFont val="Tahoma"/>
            <family val="0"/>
          </rPr>
          <t xml:space="preserve">Spill in process.</t>
        </r>
      </text>
    </comment>
    <comment ref="X40" authorId="0">
      <text>
        <r>
          <rPr>
            <b val="true"/>
            <sz val="8"/>
            <color rgb="FF000000"/>
            <rFont val="Tahoma"/>
            <family val="0"/>
          </rPr>
          <t xml:space="preserve">E. A. Birk:
</t>
        </r>
        <r>
          <rPr>
            <sz val="8"/>
            <color rgb="FF000000"/>
            <rFont val="Tahoma"/>
            <family val="0"/>
          </rPr>
          <t xml:space="preserve">Spill in process.</t>
        </r>
      </text>
    </comment>
    <comment ref="X41" authorId="0">
      <text>
        <r>
          <rPr>
            <b val="true"/>
            <sz val="8"/>
            <color rgb="FF000000"/>
            <rFont val="Tahoma"/>
            <family val="0"/>
          </rPr>
          <t xml:space="preserve">E. A. Birk:
</t>
        </r>
        <r>
          <rPr>
            <sz val="8"/>
            <color rgb="FF000000"/>
            <rFont val="Tahoma"/>
            <family val="0"/>
          </rPr>
          <t xml:space="preserve">Spill in process.</t>
        </r>
      </text>
    </comment>
    <comment ref="X42" authorId="0">
      <text>
        <r>
          <rPr>
            <b val="true"/>
            <sz val="8"/>
            <color rgb="FF000000"/>
            <rFont val="Tahoma"/>
            <family val="0"/>
          </rPr>
          <t xml:space="preserve">E. A. Birk:
</t>
        </r>
        <r>
          <rPr>
            <sz val="8"/>
            <color rgb="FF000000"/>
            <rFont val="Tahoma"/>
            <family val="0"/>
          </rPr>
          <t xml:space="preserve">Spill in process.</t>
        </r>
      </text>
    </comment>
    <comment ref="Y29" authorId="0">
      <text>
        <r>
          <rPr>
            <b val="true"/>
            <sz val="8"/>
            <color rgb="FF000000"/>
            <rFont val="Tahoma"/>
            <family val="0"/>
          </rPr>
          <t xml:space="preserve">E. A. Birk:
</t>
        </r>
        <r>
          <rPr>
            <sz val="8"/>
            <color rgb="FF000000"/>
            <rFont val="Tahoma"/>
            <family val="0"/>
          </rPr>
          <t xml:space="preserve">63.9 cfs was leased to the Utes, so 63.9 substracted from the Totten Exchanged</t>
        </r>
      </text>
    </comment>
    <comment ref="AF29" authorId="0">
      <text>
        <r>
          <rPr>
            <b val="true"/>
            <sz val="8"/>
            <color rgb="FF000000"/>
            <rFont val="Tahoma"/>
            <family val="0"/>
          </rPr>
          <t xml:space="preserve">E. A. Birk:
</t>
        </r>
        <r>
          <rPr>
            <sz val="8"/>
            <color rgb="FF000000"/>
            <rFont val="Tahoma"/>
            <family val="0"/>
          </rPr>
          <t xml:space="preserve">65.4 cfs substracted  as it is added in cell W29.</t>
        </r>
      </text>
    </comment>
  </commentList>
</comments>
</file>

<file path=xl/comments8.xml><?xml version="1.0" encoding="utf-8"?>
<comments xmlns="http://schemas.openxmlformats.org/spreadsheetml/2006/main" xmlns:xdr="http://schemas.openxmlformats.org/drawingml/2006/spreadsheetDrawing">
  <authors>
    <author> </author>
  </authors>
  <commentList>
    <comment ref="X12" authorId="0">
      <text>
        <r>
          <rPr>
            <b val="true"/>
            <sz val="8"/>
            <color rgb="FF000000"/>
            <rFont val="Tahoma"/>
            <family val="0"/>
          </rPr>
          <t xml:space="preserve">E. A. Birk:
</t>
        </r>
        <r>
          <rPr>
            <sz val="8"/>
            <color rgb="FF000000"/>
            <rFont val="Tahoma"/>
            <family val="0"/>
          </rPr>
          <t xml:space="preserve">Spill in process.</t>
        </r>
      </text>
    </comment>
    <comment ref="X13" authorId="0">
      <text>
        <r>
          <rPr>
            <b val="true"/>
            <sz val="8"/>
            <color rgb="FF000000"/>
            <rFont val="Tahoma"/>
            <family val="0"/>
          </rPr>
          <t xml:space="preserve">E. A. Birk:
</t>
        </r>
        <r>
          <rPr>
            <sz val="8"/>
            <color rgb="FF000000"/>
            <rFont val="Tahoma"/>
            <family val="0"/>
          </rPr>
          <t xml:space="preserve">Spill in process.</t>
        </r>
      </text>
    </comment>
    <comment ref="X14" authorId="0">
      <text>
        <r>
          <rPr>
            <b val="true"/>
            <sz val="8"/>
            <color rgb="FF000000"/>
            <rFont val="Tahoma"/>
            <family val="0"/>
          </rPr>
          <t xml:space="preserve">E. A. Birk:
</t>
        </r>
        <r>
          <rPr>
            <sz val="8"/>
            <color rgb="FF000000"/>
            <rFont val="Tahoma"/>
            <family val="0"/>
          </rPr>
          <t xml:space="preserve">Spill in process.</t>
        </r>
      </text>
    </comment>
    <comment ref="X15" authorId="0">
      <text>
        <r>
          <rPr>
            <b val="true"/>
            <sz val="8"/>
            <color rgb="FF000000"/>
            <rFont val="Tahoma"/>
            <family val="0"/>
          </rPr>
          <t xml:space="preserve">E. A. Birk:
</t>
        </r>
        <r>
          <rPr>
            <sz val="8"/>
            <color rgb="FF000000"/>
            <rFont val="Tahoma"/>
            <family val="0"/>
          </rPr>
          <t xml:space="preserve">Spill in process.</t>
        </r>
      </text>
    </comment>
    <comment ref="X16" authorId="0">
      <text>
        <r>
          <rPr>
            <b val="true"/>
            <sz val="8"/>
            <color rgb="FF000000"/>
            <rFont val="Tahoma"/>
            <family val="0"/>
          </rPr>
          <t xml:space="preserve">E. A. Birk:
</t>
        </r>
        <r>
          <rPr>
            <sz val="8"/>
            <color rgb="FF000000"/>
            <rFont val="Tahoma"/>
            <family val="0"/>
          </rPr>
          <t xml:space="preserve">Spill in process.</t>
        </r>
      </text>
    </comment>
    <comment ref="X17" authorId="0">
      <text>
        <r>
          <rPr>
            <b val="true"/>
            <sz val="8"/>
            <color rgb="FF000000"/>
            <rFont val="Tahoma"/>
            <family val="0"/>
          </rPr>
          <t xml:space="preserve">E. A. Birk:
</t>
        </r>
        <r>
          <rPr>
            <sz val="8"/>
            <color rgb="FF000000"/>
            <rFont val="Tahoma"/>
            <family val="0"/>
          </rPr>
          <t xml:space="preserve">Spill in process.</t>
        </r>
      </text>
    </comment>
    <comment ref="X18" authorId="0">
      <text>
        <r>
          <rPr>
            <b val="true"/>
            <sz val="8"/>
            <color rgb="FF000000"/>
            <rFont val="Tahoma"/>
            <family val="0"/>
          </rPr>
          <t xml:space="preserve">E. A. Birk:
</t>
        </r>
        <r>
          <rPr>
            <sz val="8"/>
            <color rgb="FF000000"/>
            <rFont val="Tahoma"/>
            <family val="0"/>
          </rPr>
          <t xml:space="preserve">Spill in process.</t>
        </r>
      </text>
    </comment>
    <comment ref="X19" authorId="0">
      <text>
        <r>
          <rPr>
            <b val="true"/>
            <sz val="8"/>
            <color rgb="FF000000"/>
            <rFont val="Tahoma"/>
            <family val="0"/>
          </rPr>
          <t xml:space="preserve">E. A. Birk:
</t>
        </r>
        <r>
          <rPr>
            <sz val="8"/>
            <color rgb="FF000000"/>
            <rFont val="Tahoma"/>
            <family val="0"/>
          </rPr>
          <t xml:space="preserve">Spill in process.</t>
        </r>
      </text>
    </comment>
    <comment ref="X20" authorId="0">
      <text>
        <r>
          <rPr>
            <b val="true"/>
            <sz val="8"/>
            <color rgb="FF000000"/>
            <rFont val="Tahoma"/>
            <family val="0"/>
          </rPr>
          <t xml:space="preserve">E. A. Birk:
</t>
        </r>
        <r>
          <rPr>
            <sz val="8"/>
            <color rgb="FF000000"/>
            <rFont val="Tahoma"/>
            <family val="0"/>
          </rPr>
          <t xml:space="preserve">Spill in process.</t>
        </r>
      </text>
    </comment>
    <comment ref="X21" authorId="0">
      <text>
        <r>
          <rPr>
            <b val="true"/>
            <sz val="8"/>
            <color rgb="FF000000"/>
            <rFont val="Tahoma"/>
            <family val="0"/>
          </rPr>
          <t xml:space="preserve">E. A. Birk:
</t>
        </r>
        <r>
          <rPr>
            <sz val="8"/>
            <color rgb="FF000000"/>
            <rFont val="Tahoma"/>
            <family val="0"/>
          </rPr>
          <t xml:space="preserve">Spill in process.</t>
        </r>
      </text>
    </comment>
    <comment ref="X22" authorId="0">
      <text>
        <r>
          <rPr>
            <b val="true"/>
            <sz val="8"/>
            <color rgb="FF000000"/>
            <rFont val="Tahoma"/>
            <family val="0"/>
          </rPr>
          <t xml:space="preserve">E. A. Birk:
</t>
        </r>
        <r>
          <rPr>
            <sz val="8"/>
            <color rgb="FF000000"/>
            <rFont val="Tahoma"/>
            <family val="0"/>
          </rPr>
          <t xml:space="preserve">Last day of spill.</t>
        </r>
      </text>
    </comment>
    <comment ref="X24" authorId="0">
      <text>
        <r>
          <rPr>
            <b val="true"/>
            <sz val="8"/>
            <color rgb="FF000000"/>
            <rFont val="Tahoma"/>
            <family val="0"/>
          </rPr>
          <t xml:space="preserve">E. A. Birk:
</t>
        </r>
        <r>
          <rPr>
            <sz val="8"/>
            <color rgb="FF000000"/>
            <rFont val="Tahoma"/>
            <family val="0"/>
          </rPr>
          <t xml:space="preserve">Didn't charge MVIC for release overage.</t>
        </r>
      </text>
    </comment>
    <comment ref="X25" authorId="0">
      <text>
        <r>
          <rPr>
            <b val="true"/>
            <sz val="8"/>
            <color rgb="FF000000"/>
            <rFont val="Tahoma"/>
            <family val="0"/>
          </rPr>
          <t xml:space="preserve">E. A. Birk:
</t>
        </r>
        <r>
          <rPr>
            <sz val="8"/>
            <color rgb="FF000000"/>
            <rFont val="Tahoma"/>
            <family val="0"/>
          </rPr>
          <t xml:space="preserve">Didn't charge MVIC for release overage. Also MVIC reached their 72,000 ac. Ft. for Apr-Jun.</t>
        </r>
      </text>
    </comment>
    <comment ref="AE22" authorId="0">
      <text>
        <r>
          <rPr>
            <b val="true"/>
            <sz val="8"/>
            <color rgb="FF000000"/>
            <rFont val="Tahoma"/>
            <family val="0"/>
          </rPr>
          <t xml:space="preserve">E. A. Birk:
</t>
        </r>
        <r>
          <rPr>
            <sz val="8"/>
            <color rgb="FF000000"/>
            <rFont val="Tahoma"/>
            <family val="0"/>
          </rPr>
          <t xml:space="preserve">Last day of spill.</t>
        </r>
      </text>
    </comment>
  </commentList>
</comments>
</file>

<file path=xl/comments9.xml><?xml version="1.0" encoding="utf-8"?>
<comments xmlns="http://schemas.openxmlformats.org/spreadsheetml/2006/main" xmlns:xdr="http://schemas.openxmlformats.org/drawingml/2006/spreadsheetDrawing">
  <authors>
    <author> </author>
  </authors>
  <commentList>
    <comment ref="X33" authorId="0">
      <text>
        <r>
          <rPr>
            <b val="true"/>
            <sz val="8"/>
            <color rgb="FF000000"/>
            <rFont val="Tahoma"/>
            <family val="0"/>
          </rPr>
          <t xml:space="preserve">E. A. Birk:
</t>
        </r>
        <r>
          <rPr>
            <sz val="8"/>
            <color rgb="FF000000"/>
            <rFont val="Tahoma"/>
            <family val="0"/>
          </rPr>
          <t xml:space="preserve">The 38.6 cfs is the amount of Groundhog water that wasn't used due to the increase in river flow due to rains. This amount was added to the call water as this is MVIC water.</t>
        </r>
      </text>
    </comment>
    <comment ref="X34" authorId="0">
      <text>
        <r>
          <rPr>
            <b val="true"/>
            <sz val="8"/>
            <color rgb="FF000000"/>
            <rFont val="Tahoma"/>
            <family val="0"/>
          </rPr>
          <t xml:space="preserve">E. A. Birk:
</t>
        </r>
        <r>
          <rPr>
            <sz val="8"/>
            <color rgb="FF000000"/>
            <rFont val="Tahoma"/>
            <family val="0"/>
          </rPr>
          <t xml:space="preserve">The 23.2 cfs is the amount of Groundhog water that wasn't used due to the increase in river flow due to rains. This amount was added to the call water as this is MVIC water.</t>
        </r>
      </text>
    </comment>
    <comment ref="X35" authorId="0">
      <text>
        <r>
          <rPr>
            <b val="true"/>
            <sz val="8"/>
            <color rgb="FF000000"/>
            <rFont val="Tahoma"/>
            <family val="0"/>
          </rPr>
          <t xml:space="preserve">E. A. Birk:
</t>
        </r>
        <r>
          <rPr>
            <sz val="8"/>
            <color rgb="FF000000"/>
            <rFont val="Tahoma"/>
            <family val="0"/>
          </rPr>
          <t xml:space="preserve">The 19.0  cfs is the amount of Groundhog water that wasn't used due to the increase in river flow due to rains. This amount was added to the call water as this is MVIC water.</t>
        </r>
      </text>
    </comment>
    <comment ref="X36" authorId="0">
      <text>
        <r>
          <rPr>
            <b val="true"/>
            <sz val="8"/>
            <color rgb="FF000000"/>
            <rFont val="Tahoma"/>
            <family val="0"/>
          </rPr>
          <t xml:space="preserve">E. A. Birk:
</t>
        </r>
        <r>
          <rPr>
            <sz val="8"/>
            <color rgb="FF000000"/>
            <rFont val="Tahoma"/>
            <family val="0"/>
          </rPr>
          <t xml:space="preserve">The 38.7  cfs is the amount of Groundhog water that wasn't used due to the increase in river flow due to rains. This amount was added to the call water as this is MVIC water.</t>
        </r>
      </text>
    </comment>
    <comment ref="X39" authorId="0">
      <text>
        <r>
          <rPr>
            <b val="true"/>
            <sz val="8"/>
            <color rgb="FF000000"/>
            <rFont val="Tahoma"/>
            <family val="0"/>
          </rPr>
          <t xml:space="preserve">E. A. Birk:
</t>
        </r>
        <r>
          <rPr>
            <sz val="8"/>
            <color rgb="FF000000"/>
            <rFont val="Tahoma"/>
            <family val="0"/>
          </rPr>
          <t xml:space="preserve">The 87.4  cfs (92*.95) is the amount of Groundhog water that wasn't used due to the increase in river flow due to rains. This amount was added to the call water as this is MVIC water.</t>
        </r>
      </text>
    </comment>
    <comment ref="X40" authorId="0">
      <text>
        <r>
          <rPr>
            <b val="true"/>
            <sz val="8"/>
            <color rgb="FF000000"/>
            <rFont val="Tahoma"/>
            <family val="0"/>
          </rPr>
          <t xml:space="preserve">E. A. Birk:
</t>
        </r>
        <r>
          <rPr>
            <sz val="8"/>
            <color rgb="FF000000"/>
            <rFont val="Tahoma"/>
            <family val="0"/>
          </rPr>
          <t xml:space="preserve">The 87.4  cfs (92*.95) is the amount of Groundhog water that wasn't used due to the increase in river flow due to rains. This amount was added to the call water as this is MVIC water.</t>
        </r>
      </text>
    </comment>
    <comment ref="X41" authorId="0">
      <text>
        <r>
          <rPr>
            <b val="true"/>
            <sz val="8"/>
            <color rgb="FF000000"/>
            <rFont val="Tahoma"/>
            <family val="0"/>
          </rPr>
          <t xml:space="preserve">E. A. Birk:
</t>
        </r>
        <r>
          <rPr>
            <sz val="8"/>
            <color rgb="FF000000"/>
            <rFont val="Tahoma"/>
            <family val="0"/>
          </rPr>
          <t xml:space="preserve">The 36.42  cfs (38.34*.95) is the amount of Groundhog water that wasn't used due to the increase in river flow due to rains. This amount was added to the call water as this is MVIC water.</t>
        </r>
      </text>
    </comment>
    <comment ref="Z8" authorId="0">
      <text>
        <r>
          <rPr>
            <b val="true"/>
            <sz val="8"/>
            <color rgb="FF000000"/>
            <rFont val="Tahoma"/>
            <family val="0"/>
          </rPr>
          <t xml:space="preserve">E. A. Birk:
</t>
        </r>
        <r>
          <rPr>
            <sz val="8"/>
            <color rgb="FF000000"/>
            <rFont val="Tahoma"/>
            <family val="0"/>
          </rPr>
          <t xml:space="preserve">This number is a forecasted number but changes as more real data becomes available. As of Sept 1st this number was 1923 Ac. Ft. But Bruce Harrison had agreed with Jim Siscoe that this number should be 10,500 Ac. Ft for this year. MVIC wanted this much so that they could sell up yo 6000 Ac.Ft. to the Utes. But this number came out to be 3063 Ac. Ft. at end of irrigation season.</t>
        </r>
      </text>
    </comment>
    <comment ref="AN39" authorId="0">
      <text>
        <r>
          <rPr>
            <b val="true"/>
            <sz val="8"/>
            <color rgb="FF000000"/>
            <rFont val="Tahoma"/>
            <family val="0"/>
          </rPr>
          <t xml:space="preserve">E. A. Birk:
</t>
        </r>
        <r>
          <rPr>
            <sz val="8"/>
            <color rgb="FF000000"/>
            <rFont val="Tahoma"/>
            <family val="0"/>
          </rPr>
          <t xml:space="preserve">River water that could have been used, but MVIC was releasing this amount out of Narraquinnep storage. This number is the lesser of [=I39-(W39+Groundhog water not used)-Q39-R39-AB39 or the amount drew out of storage in Narraquennep]</t>
        </r>
      </text>
    </comment>
    <comment ref="AP36" authorId="0">
      <text>
        <r>
          <rPr>
            <b val="true"/>
            <sz val="8"/>
            <color rgb="FF000000"/>
            <rFont val="Tahoma"/>
            <family val="0"/>
          </rPr>
          <t xml:space="preserve">E. A. Birk:
</t>
        </r>
        <r>
          <rPr>
            <sz val="8"/>
            <color rgb="FF000000"/>
            <rFont val="Tahoma"/>
            <family val="0"/>
          </rPr>
          <t xml:space="preserve">This completes the u/s water exchange for the year.</t>
        </r>
      </text>
    </comment>
  </commentList>
</comments>
</file>

<file path=xl/comments11.xml><?xml version="1.0" encoding="utf-8"?>
<comments xmlns="http://schemas.openxmlformats.org/spreadsheetml/2006/main" xmlns:xdr="http://schemas.openxmlformats.org/drawingml/2006/spreadsheetDrawing">
  <authors>
    <author> </author>
  </authors>
  <commentList>
    <comment ref="N53" authorId="0">
      <text>
        <r>
          <rPr>
            <b val="true"/>
            <sz val="8"/>
            <color rgb="FF000000"/>
            <rFont val="Tahoma"/>
            <family val="0"/>
          </rPr>
          <t xml:space="preserve">E. A. Birk:
</t>
        </r>
        <r>
          <rPr>
            <sz val="8"/>
            <color rgb="FF000000"/>
            <rFont val="Tahoma"/>
            <family val="0"/>
          </rPr>
          <t xml:space="preserve">On 9/13 Farm &amp; Ranch started using leased MVIC Project water leaving 1571 Ac. Ft. of their project water to be used after 10/02/07.  </t>
        </r>
      </text>
    </comment>
    <comment ref="O24" authorId="0">
      <text>
        <r>
          <rPr>
            <b val="true"/>
            <sz val="8"/>
            <color rgb="FF000000"/>
            <rFont val="Tahoma"/>
            <family val="0"/>
          </rPr>
          <t xml:space="preserve">E. A. Birk:
</t>
        </r>
        <r>
          <rPr>
            <sz val="8"/>
            <color rgb="FF000000"/>
            <rFont val="Tahoma"/>
            <family val="0"/>
          </rPr>
          <t xml:space="preserve">Ute Farm &amp; Ranch started using leased project water from MVIC</t>
        </r>
      </text>
    </comment>
    <comment ref="W24" authorId="0">
      <text>
        <r>
          <rPr>
            <b val="true"/>
            <sz val="8"/>
            <color rgb="FF000000"/>
            <rFont val="Tahoma"/>
            <family val="0"/>
          </rPr>
          <t xml:space="preserve">E. A. Birk:
</t>
        </r>
        <r>
          <rPr>
            <sz val="8"/>
            <color rgb="FF000000"/>
            <rFont val="Tahoma"/>
            <family val="0"/>
          </rPr>
          <t xml:space="preserve">This Total MVIC water includes the water leased to Farm &amp; Ranch</t>
        </r>
      </text>
    </comment>
    <comment ref="Z34" authorId="0">
      <text>
        <r>
          <rPr>
            <b val="true"/>
            <sz val="8"/>
            <color rgb="FF000000"/>
            <rFont val="Tahoma"/>
            <family val="0"/>
          </rPr>
          <t xml:space="preserve">E. A. Birk:
</t>
        </r>
        <r>
          <rPr>
            <sz val="8"/>
            <color rgb="FF000000"/>
            <rFont val="Tahoma"/>
            <family val="0"/>
          </rPr>
          <t xml:space="preserve">Only the water leased by the Farm &amp; Ranch and evaporation is substracted from Project water this day.</t>
        </r>
      </text>
    </comment>
    <comment ref="Z35" authorId="0">
      <text>
        <r>
          <rPr>
            <b val="true"/>
            <sz val="8"/>
            <color rgb="FF000000"/>
            <rFont val="Tahoma"/>
            <family val="0"/>
          </rPr>
          <t xml:space="preserve">E. A. Birk:
</t>
        </r>
        <r>
          <rPr>
            <sz val="8"/>
            <color rgb="FF000000"/>
            <rFont val="Tahoma"/>
            <family val="0"/>
          </rPr>
          <t xml:space="preserve">Only the water leased by the Farm &amp; Ranch and evaporation is substracted from Project water this day.</t>
        </r>
      </text>
    </comment>
    <comment ref="Z36" authorId="0">
      <text>
        <r>
          <rPr>
            <b val="true"/>
            <sz val="8"/>
            <color rgb="FF000000"/>
            <rFont val="Tahoma"/>
            <family val="0"/>
          </rPr>
          <t xml:space="preserve">E. A. Birk:
</t>
        </r>
        <r>
          <rPr>
            <sz val="8"/>
            <color rgb="FF000000"/>
            <rFont val="Tahoma"/>
            <family val="0"/>
          </rPr>
          <t xml:space="preserve">Only the water leased by the Farm &amp; Ranch and evaporation is substracted from Project water this day.</t>
        </r>
      </text>
    </comment>
    <comment ref="Z37" authorId="0">
      <text>
        <r>
          <rPr>
            <b val="true"/>
            <sz val="8"/>
            <color rgb="FF000000"/>
            <rFont val="Tahoma"/>
            <family val="0"/>
          </rPr>
          <t xml:space="preserve">E. A. Birk:
</t>
        </r>
        <r>
          <rPr>
            <sz val="8"/>
            <color rgb="FF000000"/>
            <rFont val="Tahoma"/>
            <family val="0"/>
          </rPr>
          <t xml:space="preserve">Only the water leased by the Farm &amp; Ranch and evaporation is substracted from Project water this day.</t>
        </r>
      </text>
    </comment>
    <comment ref="Z38" authorId="0">
      <text>
        <r>
          <rPr>
            <b val="true"/>
            <sz val="8"/>
            <color rgb="FF000000"/>
            <rFont val="Tahoma"/>
            <family val="0"/>
          </rPr>
          <t xml:space="preserve">E. A. Birk:
</t>
        </r>
        <r>
          <rPr>
            <sz val="8"/>
            <color rgb="FF000000"/>
            <rFont val="Tahoma"/>
            <family val="0"/>
          </rPr>
          <t xml:space="preserve">Only the water leased by the Farm &amp; Ranch and evaporation is substracted from Project water this day.</t>
        </r>
      </text>
    </comment>
    <comment ref="Z39" authorId="0">
      <text>
        <r>
          <rPr>
            <b val="true"/>
            <sz val="8"/>
            <color rgb="FF000000"/>
            <rFont val="Tahoma"/>
            <family val="0"/>
          </rPr>
          <t xml:space="preserve">E. A. Birk:
</t>
        </r>
        <r>
          <rPr>
            <sz val="8"/>
            <color rgb="FF000000"/>
            <rFont val="Tahoma"/>
            <family val="0"/>
          </rPr>
          <t xml:space="preserve">Only the water leased by the Farm &amp; Ranch and evaporation is substracted from Project water this day.</t>
        </r>
      </text>
    </comment>
    <comment ref="Z40" authorId="0">
      <text>
        <r>
          <rPr>
            <b val="true"/>
            <sz val="8"/>
            <color rgb="FF000000"/>
            <rFont val="Tahoma"/>
            <family val="0"/>
          </rPr>
          <t xml:space="preserve">E. A. Birk:
</t>
        </r>
        <r>
          <rPr>
            <sz val="8"/>
            <color rgb="FF000000"/>
            <rFont val="Tahoma"/>
            <family val="0"/>
          </rPr>
          <t xml:space="preserve">Only the water leased by the Farm &amp; Ranch and evaporation is substracted from Project water this day.</t>
        </r>
      </text>
    </comment>
    <comment ref="Z41" authorId="0">
      <text>
        <r>
          <rPr>
            <b val="true"/>
            <sz val="8"/>
            <color rgb="FF000000"/>
            <rFont val="Tahoma"/>
            <family val="0"/>
          </rPr>
          <t xml:space="preserve">E. A. Birk:
</t>
        </r>
        <r>
          <rPr>
            <sz val="8"/>
            <color rgb="FF000000"/>
            <rFont val="Tahoma"/>
            <family val="0"/>
          </rPr>
          <t xml:space="preserve">Only the water leased by the Farm &amp; Ranch and evaporation is substracted from Project water this day.Plus 20.4 cfs that was not storaged in Mcphee.</t>
        </r>
      </text>
    </comment>
    <comment ref="AF24" authorId="0">
      <text>
        <r>
          <rPr>
            <b val="true"/>
            <sz val="8"/>
            <color rgb="FF000000"/>
            <rFont val="Tahoma"/>
            <family val="0"/>
          </rPr>
          <t xml:space="preserve">E. A. Birk:
</t>
        </r>
        <r>
          <rPr>
            <sz val="8"/>
            <color rgb="FF000000"/>
            <rFont val="Tahoma"/>
            <family val="0"/>
          </rPr>
          <t xml:space="preserve">Had to substract the Farm &amp; Ranch water as it is leased MVIC water and is all ready accounted for.</t>
        </r>
      </text>
    </comment>
    <comment ref="AR24" authorId="0">
      <text>
        <r>
          <rPr>
            <b val="true"/>
            <sz val="8"/>
            <color rgb="FF000000"/>
            <rFont val="Tahoma"/>
            <family val="0"/>
          </rPr>
          <t xml:space="preserve">E. A. Birk:
</t>
        </r>
        <r>
          <rPr>
            <sz val="8"/>
            <color rgb="FF000000"/>
            <rFont val="Tahoma"/>
            <family val="0"/>
          </rPr>
          <t xml:space="preserve">Added to the amount used on 9/13/07 is the amount used on 5/18/07
37.5
 cfs</t>
        </r>
      </text>
    </comment>
  </commentList>
</comments>
</file>

<file path=xl/comments12.xml><?xml version="1.0" encoding="utf-8"?>
<comments xmlns="http://schemas.openxmlformats.org/spreadsheetml/2006/main" xmlns:xdr="http://schemas.openxmlformats.org/drawingml/2006/spreadsheetDrawing">
  <authors>
    <author> </author>
  </authors>
  <commentList>
    <comment ref="N54" authorId="0">
      <text>
        <r>
          <rPr>
            <b val="true"/>
            <sz val="8"/>
            <color rgb="FF000000"/>
            <rFont val="Tahoma"/>
            <family val="0"/>
          </rPr>
          <t xml:space="preserve">E. A. Birk:
</t>
        </r>
        <r>
          <rPr>
            <sz val="8"/>
            <color rgb="FF000000"/>
            <rFont val="Tahoma"/>
            <family val="0"/>
          </rPr>
          <t xml:space="preserve">On 9/13 Farm &amp; Ranch started using leased MVIC Project water leaving 1301 Ac. Ft. of their project water to be used after 10/15/07 to 10/31/07. </t>
        </r>
      </text>
    </comment>
    <comment ref="O14" authorId="0">
      <text>
        <r>
          <rPr>
            <b val="true"/>
            <sz val="8"/>
            <color rgb="FF000000"/>
            <rFont val="Tahoma"/>
            <family val="0"/>
          </rPr>
          <t xml:space="preserve">E. A. Birk:
</t>
        </r>
        <r>
          <rPr>
            <sz val="8"/>
            <color rgb="FF000000"/>
            <rFont val="Tahoma"/>
            <family val="0"/>
          </rPr>
          <t xml:space="preserve">Farm &amp; Ranch started using their own water again.</t>
        </r>
      </text>
    </comment>
    <comment ref="O34" authorId="0">
      <text>
        <r>
          <rPr>
            <b val="true"/>
            <sz val="8"/>
            <color rgb="FF000000"/>
            <rFont val="Tahoma"/>
            <family val="0"/>
          </rPr>
          <t xml:space="preserve">E. A. Birk:
</t>
        </r>
        <r>
          <rPr>
            <sz val="8"/>
            <color rgb="FF000000"/>
            <rFont val="Tahoma"/>
            <family val="0"/>
          </rPr>
          <t xml:space="preserve">Farm &amp; Ranch ran out of Project water ans started using MVI water again-74.1 cfs of this water is MVI water.</t>
        </r>
      </text>
    </comment>
    <comment ref="Z9" authorId="0">
      <text>
        <r>
          <rPr>
            <b val="true"/>
            <sz val="8"/>
            <color rgb="FF000000"/>
            <rFont val="Tahoma"/>
            <family val="0"/>
          </rPr>
          <t xml:space="preserve">E. A. Birk:
</t>
        </r>
        <r>
          <rPr>
            <sz val="8"/>
            <color rgb="FF000000"/>
            <rFont val="Tahoma"/>
            <family val="0"/>
          </rPr>
          <t xml:space="preserve">The calculated project water to make MVI hole is 1991 Ac. Ft on the 1st of Oct.</t>
        </r>
      </text>
    </comment>
    <comment ref="AR34" authorId="0">
      <text>
        <r>
          <rPr>
            <b val="true"/>
            <sz val="8"/>
            <color rgb="FF000000"/>
            <rFont val="Tahoma"/>
            <family val="0"/>
          </rPr>
          <t xml:space="preserve">E. A. Birk:
</t>
        </r>
        <r>
          <rPr>
            <sz val="8"/>
            <color rgb="FF000000"/>
            <rFont val="Tahoma"/>
            <family val="0"/>
          </rPr>
          <t xml:space="preserve">Ute Farm &amp; Ranch started leaseing water from MVIC again (river water)</t>
        </r>
      </text>
    </comment>
  </commentList>
</comments>
</file>

<file path=xl/sharedStrings.xml><?xml version="1.0" encoding="utf-8"?>
<sst xmlns="http://schemas.openxmlformats.org/spreadsheetml/2006/main" count="1306" uniqueCount="136">
  <si>
    <t xml:space="preserve">MCPHEE  RESERVOIR  INFLOW/OUTFLOW  TABULATION</t>
  </si>
  <si>
    <t xml:space="preserve">AF/cfs  CONVERT FACTOR</t>
  </si>
  <si>
    <t xml:space="preserve">                     NOVEMBER  "2006"</t>
  </si>
  <si>
    <t xml:space="preserve">RESERVOIR</t>
  </si>
  <si>
    <t xml:space="preserve">INFLOW/OUTFLOW (CFS)</t>
  </si>
  <si>
    <t xml:space="preserve">WEATHER</t>
  </si>
  <si>
    <t xml:space="preserve">ADJUSTMENTS</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</si>
  <si>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</si>
  <si>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</si>
  <si>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</si>
  <si>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</si>
  <si>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</si>
  <si>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</si>
  <si>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</si>
  <si>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</si>
  <si>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</si>
  <si>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</si>
  <si>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</si>
  <si>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</si>
  <si>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</si>
  <si>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</si>
  <si>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</si>
  <si>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</si>
  <si>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       D/S SENIOR </t>
  </si>
  <si>
    <t xml:space="preserve">BELOW</t>
  </si>
  <si>
    <t xml:space="preserve">FISH</t>
  </si>
  <si>
    <t xml:space="preserve">RAIN</t>
  </si>
  <si>
    <t xml:space="preserve">MAX</t>
  </si>
  <si>
    <t xml:space="preserve">MIN</t>
  </si>
  <si>
    <t xml:space="preserve">NAR.</t>
  </si>
  <si>
    <t xml:space="preserve">U/S</t>
  </si>
  <si>
    <t xml:space="preserve">TOTTEN</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</si>
  <si>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</si>
  <si>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</si>
  <si>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</si>
  <si>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</si>
  <si>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</si>
  <si>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</si>
  <si>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</si>
  <si>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</si>
  <si>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</si>
  <si>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</si>
  <si>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</si>
  <si>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</si>
  <si>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</si>
  <si>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</si>
  <si>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CTZ</t>
  </si>
  <si>
    <t xml:space="preserve">CTZ &amp;</t>
  </si>
  <si>
    <t xml:space="preserve">F-BAY</t>
  </si>
  <si>
    <t xml:space="preserve">PINE</t>
  </si>
  <si>
    <t xml:space="preserve">LAT</t>
  </si>
  <si>
    <t xml:space="preserve">CALL  </t>
  </si>
  <si>
    <t xml:space="preserve">U/S EX</t>
  </si>
  <si>
    <t xml:space="preserve">PROJ</t>
  </si>
  <si>
    <t xml:space="preserve">CANAL</t>
  </si>
  <si>
    <t xml:space="preserve">MVIC</t>
  </si>
  <si>
    <t xml:space="preserve">MCP</t>
  </si>
  <si>
    <t xml:space="preserve">LEFT</t>
  </si>
  <si>
    <t xml:space="preserve">OTF</t>
  </si>
  <si>
    <t xml:space="preserve">TMP</t>
  </si>
  <si>
    <t xml:space="preserve">CALL</t>
  </si>
  <si>
    <t xml:space="preserve">STOCK</t>
  </si>
  <si>
    <t xml:space="preserve">STORED</t>
  </si>
  <si>
    <t xml:space="preserve">USERS</t>
  </si>
  <si>
    <t xml:space="preserve">(FRESH</t>
  </si>
  <si>
    <t xml:space="preserve">AC FT</t>
  </si>
  <si>
    <t xml:space="preserve">LAND</t>
  </si>
  <si>
    <t xml:space="preserve">F&amp;R</t>
  </si>
  <si>
    <t xml:space="preserve">SPILL</t>
  </si>
  <si>
    <t xml:space="preserve">AC.FT.</t>
  </si>
  <si>
    <t xml:space="preserve">Apr-Jun</t>
  </si>
  <si>
    <t xml:space="preserve">EVAP </t>
  </si>
  <si>
    <t xml:space="preserve">EXCH</t>
  </si>
  <si>
    <t xml:space="preserve">WATER)</t>
  </si>
  <si>
    <t xml:space="preserve">AC.FT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</si>
  <si>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</si>
  <si>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</si>
  <si>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</si>
  <si>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</si>
  <si>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</si>
  <si>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</si>
  <si>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</si>
  <si>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</si>
  <si>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</si>
  <si>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</si>
  <si>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</si>
  <si>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"2006"</t>
  </si>
  <si>
    <t xml:space="preserve"> D/S SENIOR</t>
  </si>
  <si>
    <t xml:space="preserve">NAR</t>
  </si>
  <si>
    <t xml:space="preserve">MVI </t>
  </si>
  <si>
    <t xml:space="preserve">DEC</t>
  </si>
  <si>
    <t xml:space="preserve">UTE </t>
  </si>
  <si>
    <t xml:space="preserve">CALL </t>
  </si>
  <si>
    <t xml:space="preserve">EVAP</t>
  </si>
  <si>
    <t xml:space="preserve"> </t>
  </si>
  <si>
    <t xml:space="preserve">JANUARY  "2007"</t>
  </si>
  <si>
    <t xml:space="preserve">       D/S SENIOR</t>
  </si>
  <si>
    <t xml:space="preserve">JAN</t>
  </si>
  <si>
    <t xml:space="preserve">PROJ </t>
  </si>
  <si>
    <t xml:space="preserve">AVE</t>
  </si>
  <si>
    <t xml:space="preserve">FEBRUARY  "2007"</t>
  </si>
  <si>
    <t xml:space="preserve">FEB</t>
  </si>
  <si>
    <t xml:space="preserve">MARCH  "2007"</t>
  </si>
  <si>
    <t xml:space="preserve">MAR</t>
  </si>
  <si>
    <t xml:space="preserve">MCPHEE  RESERVOIR  INFLOW/OUTFLOW TABULATION</t>
  </si>
  <si>
    <t xml:space="preserve">                               APRIL "2007"</t>
  </si>
  <si>
    <t xml:space="preserve">APR</t>
  </si>
  <si>
    <t xml:space="preserve">Apr - Jun</t>
  </si>
  <si>
    <t xml:space="preserve">AVG</t>
  </si>
  <si>
    <t xml:space="preserve">MAY  "2007"</t>
  </si>
  <si>
    <t xml:space="preserve">FISH </t>
  </si>
  <si>
    <t xml:space="preserve">MAY</t>
  </si>
  <si>
    <t xml:space="preserve">JUNE  "2007"</t>
  </si>
  <si>
    <t xml:space="preserve">JUN</t>
  </si>
  <si>
    <t xml:space="preserve">July-Oct</t>
  </si>
  <si>
    <t xml:space="preserve">JULY  "2007"</t>
  </si>
  <si>
    <t xml:space="preserve">JUL</t>
  </si>
  <si>
    <t xml:space="preserve">F&amp;W</t>
  </si>
  <si>
    <t xml:space="preserve">(FRESH </t>
  </si>
  <si>
    <t xml:space="preserve">AUGUST  "2007"</t>
  </si>
  <si>
    <t xml:space="preserve">UTES</t>
  </si>
  <si>
    <t xml:space="preserve">AUG</t>
  </si>
  <si>
    <t xml:space="preserve">FROM</t>
  </si>
  <si>
    <t xml:space="preserve">SEPTEMBER  "2007"</t>
  </si>
  <si>
    <t xml:space="preserve">D/S SENIOR </t>
  </si>
  <si>
    <t xml:space="preserve">"SEP"</t>
  </si>
  <si>
    <t xml:space="preserve">c</t>
  </si>
  <si>
    <t xml:space="preserve">Utes </t>
  </si>
  <si>
    <t xml:space="preserve">Total Farm &amp; Ranch Project Water</t>
  </si>
  <si>
    <t xml:space="preserve">Amount of Farm &amp; Ranch water used thru 9/12/07</t>
  </si>
  <si>
    <t xml:space="preserve">Amount of Farm &amp; Ranch water to be used after 10/15/07</t>
  </si>
  <si>
    <t xml:space="preserve">OCTOBER  "2007"</t>
  </si>
  <si>
    <t xml:space="preserve">PRECIP</t>
  </si>
  <si>
    <t xml:space="preserve">OCT</t>
  </si>
  <si>
    <t xml:space="preserve">Total amount of water Farm &amp; Ranch used. </t>
  </si>
  <si>
    <t xml:space="preserve">Amount of water leased by Farm &amp; Ranch.</t>
  </si>
</sst>
</file>

<file path=xl/styles.xml><?xml version="1.0" encoding="utf-8"?>
<styleSheet xmlns="http://schemas.openxmlformats.org/spreadsheetml/2006/main">
  <numFmts count="19">
    <numFmt numFmtId="164" formatCode="General"/>
    <numFmt numFmtId="165" formatCode="#,##0"/>
    <numFmt numFmtId="166" formatCode="0.00_);\(0.00\)"/>
    <numFmt numFmtId="167" formatCode="0.0"/>
    <numFmt numFmtId="168" formatCode="0.00"/>
    <numFmt numFmtId="169" formatCode="0"/>
    <numFmt numFmtId="170" formatCode="#,##0.0"/>
    <numFmt numFmtId="171" formatCode="##0.0"/>
    <numFmt numFmtId="172" formatCode="0.0000"/>
    <numFmt numFmtId="173" formatCode="0.000"/>
    <numFmt numFmtId="174" formatCode="#,##0.00"/>
    <numFmt numFmtId="175" formatCode="[$-409]d\-mmm"/>
    <numFmt numFmtId="176" formatCode="0%"/>
    <numFmt numFmtId="177" formatCode="0.0_);\(0.0\)"/>
    <numFmt numFmtId="178" formatCode="0_);\(0\)"/>
    <numFmt numFmtId="179" formatCode="[$-409]mmm\-yy"/>
    <numFmt numFmtId="180" formatCode="#,##0.0000"/>
    <numFmt numFmtId="181" formatCode="0.00_);[RED]\(0.00\)"/>
    <numFmt numFmtId="182" formatCode="0_);[RED]\(0\)"/>
  </numFmts>
  <fonts count="40">
    <font>
      <sz val="8"/>
      <name val="LinePrinter"/>
      <family val="0"/>
    </font>
    <font>
      <sz val="10"/>
      <name val="Arial"/>
      <family val="0"/>
    </font>
    <font>
      <sz val="10"/>
      <name val="Arial"/>
      <family val="0"/>
    </font>
    <font>
      <sz val="10"/>
      <name val="Arial"/>
      <family val="0"/>
    </font>
    <font>
      <sz val="11"/>
      <color rgb="FF000000"/>
      <name val="Calibri"/>
      <family val="2"/>
    </font>
    <font>
      <sz val="11"/>
      <color rgb="FFFFFFFF"/>
      <name val="Calibri"/>
      <family val="2"/>
    </font>
    <font>
      <sz val="11"/>
      <color rgb="FF800080"/>
      <name val="Calibri"/>
      <family val="2"/>
    </font>
    <font>
      <b val="true"/>
      <sz val="11"/>
      <color rgb="FFFF0000"/>
      <name val="Calibri"/>
      <family val="2"/>
    </font>
    <font>
      <b val="true"/>
      <sz val="11"/>
      <color rgb="FFFFFFFF"/>
      <name val="Calibri"/>
      <family val="2"/>
    </font>
    <font>
      <i val="true"/>
      <sz val="11"/>
      <color rgb="FF808080"/>
      <name val="Calibri"/>
      <family val="2"/>
    </font>
    <font>
      <sz val="11"/>
      <color rgb="FF008000"/>
      <name val="Calibri"/>
      <family val="2"/>
    </font>
    <font>
      <b val="true"/>
      <sz val="15"/>
      <color rgb="FF333399"/>
      <name val="Calibri"/>
      <family val="2"/>
    </font>
    <font>
      <b val="true"/>
      <sz val="13"/>
      <color rgb="FF333399"/>
      <name val="Calibri"/>
      <family val="2"/>
    </font>
    <font>
      <b val="true"/>
      <sz val="11"/>
      <color rgb="FF333399"/>
      <name val="Calibri"/>
      <family val="2"/>
    </font>
    <font>
      <sz val="11"/>
      <color rgb="FF333399"/>
      <name val="Calibri"/>
      <family val="2"/>
    </font>
    <font>
      <sz val="11"/>
      <color rgb="FFFF0000"/>
      <name val="Calibri"/>
      <family val="2"/>
    </font>
    <font>
      <sz val="11"/>
      <color rgb="FF808000"/>
      <name val="Calibri"/>
      <family val="2"/>
    </font>
    <font>
      <b val="true"/>
      <sz val="11"/>
      <color rgb="FF424242"/>
      <name val="Calibri"/>
      <family val="2"/>
    </font>
    <font>
      <b val="true"/>
      <sz val="18"/>
      <color rgb="FF333399"/>
      <name val="Cambria"/>
      <family val="2"/>
    </font>
    <font>
      <b val="true"/>
      <sz val="11"/>
      <color rgb="FF000000"/>
      <name val="Calibri"/>
      <family val="2"/>
    </font>
    <font>
      <sz val="8"/>
      <name val="Arial Narrow"/>
      <family val="2"/>
    </font>
    <font>
      <sz val="8"/>
      <name val="Arial Narrow"/>
      <family val="0"/>
    </font>
    <font>
      <b val="true"/>
      <i val="true"/>
      <sz val="12"/>
      <name val="Arial Narrow"/>
      <family val="0"/>
    </font>
    <font>
      <sz val="6"/>
      <name val="Arial Narrow"/>
      <family val="2"/>
    </font>
    <font>
      <b val="true"/>
      <sz val="8"/>
      <name val="Arial Narrow"/>
      <family val="2"/>
    </font>
    <font>
      <sz val="6"/>
      <name val="Arial Narrow"/>
      <family val="0"/>
    </font>
    <font>
      <b val="true"/>
      <sz val="6"/>
      <name val="Arial Narrow"/>
      <family val="2"/>
    </font>
    <font>
      <b val="true"/>
      <sz val="6"/>
      <name val="Arial Narrow"/>
      <family val="0"/>
    </font>
    <font>
      <b val="true"/>
      <sz val="9"/>
      <name val="Arial Narrow"/>
      <family val="0"/>
    </font>
    <font>
      <b val="true"/>
      <sz val="8"/>
      <color rgb="FF000000"/>
      <name val="Tahoma"/>
      <family val="0"/>
    </font>
    <font>
      <sz val="8"/>
      <color rgb="FF000000"/>
      <name val="Tahoma"/>
      <family val="0"/>
    </font>
    <font>
      <sz val="6"/>
      <name val="LinePrinter"/>
      <family val="3"/>
    </font>
    <font>
      <sz val="6"/>
      <name val="LinePrinter"/>
      <family val="0"/>
    </font>
    <font>
      <sz val="6"/>
      <name val="Arial"/>
      <family val="0"/>
    </font>
    <font>
      <sz val="6"/>
      <name val="Arial"/>
      <family val="2"/>
    </font>
    <font>
      <sz val="8"/>
      <name val="Arial"/>
      <family val="0"/>
    </font>
    <font>
      <sz val="8"/>
      <color rgb="FF000000"/>
      <name val="LinePrinter"/>
      <family val="0"/>
    </font>
    <font>
      <b val="true"/>
      <sz val="12"/>
      <name val="Arial Narrow"/>
      <family val="0"/>
    </font>
    <font>
      <sz val="4"/>
      <color rgb="FF000000"/>
      <name val="LinePrinter"/>
      <family val="0"/>
    </font>
    <font>
      <b val="true"/>
      <sz val="8"/>
      <name val="Arial Narrow"/>
      <family val="0"/>
    </font>
  </fonts>
  <fills count="20">
    <fill>
      <patternFill patternType="none"/>
    </fill>
    <fill>
      <patternFill patternType="gray125"/>
    </fill>
    <fill>
      <patternFill patternType="solid">
        <fgColor rgb="FFA6CAF0"/>
        <bgColor rgb="FFA0E0E0"/>
      </patternFill>
    </fill>
    <fill>
      <patternFill patternType="solid">
        <fgColor rgb="FFFF8080"/>
        <bgColor rgb="FFCC9CCC"/>
      </patternFill>
    </fill>
    <fill>
      <patternFill patternType="solid">
        <fgColor rgb="FFFFFFC0"/>
        <bgColor rgb="FFFFFF99"/>
      </patternFill>
    </fill>
    <fill>
      <patternFill patternType="solid">
        <fgColor rgb="FFE3E3E3"/>
        <bgColor rgb="FFEEEEEC"/>
      </patternFill>
    </fill>
    <fill>
      <patternFill patternType="solid">
        <fgColor rgb="FFA0E0E0"/>
        <bgColor rgb="FFA6CAF0"/>
      </patternFill>
    </fill>
    <fill>
      <patternFill patternType="solid">
        <fgColor rgb="FFFFFF99"/>
        <bgColor rgb="FFFFFFC0"/>
      </patternFill>
    </fill>
    <fill>
      <patternFill patternType="solid">
        <fgColor rgb="FFCC9CCC"/>
        <bgColor rgb="FFCC99FF"/>
      </patternFill>
    </fill>
    <fill>
      <patternFill patternType="solid">
        <fgColor rgb="FF996666"/>
        <bgColor rgb="FF808080"/>
      </patternFill>
    </fill>
    <fill>
      <patternFill patternType="solid">
        <fgColor rgb="FF999933"/>
        <bgColor rgb="FF808000"/>
      </patternFill>
    </fill>
    <fill>
      <patternFill patternType="solid">
        <fgColor rgb="FF3333CC"/>
        <bgColor rgb="FF333399"/>
      </patternFill>
    </fill>
    <fill>
      <patternFill patternType="solid">
        <fgColor rgb="FF666699"/>
        <bgColor rgb="FF808080"/>
      </patternFill>
    </fill>
    <fill>
      <patternFill patternType="solid">
        <fgColor rgb="FF33CCCC"/>
        <bgColor rgb="FF00CCFF"/>
      </patternFill>
    </fill>
    <fill>
      <patternFill patternType="solid">
        <fgColor rgb="FFFF0000"/>
        <bgColor rgb="FF993300"/>
      </patternFill>
    </fill>
    <fill>
      <patternFill patternType="solid">
        <fgColor rgb="FFCC99FF"/>
        <bgColor rgb="FFCC9CCC"/>
      </patternFill>
    </fill>
    <fill>
      <patternFill patternType="solid">
        <fgColor rgb="FFFFFFFF"/>
        <bgColor rgb="FFEEEEEC"/>
      </patternFill>
    </fill>
    <fill>
      <patternFill patternType="solid">
        <fgColor rgb="FF969696"/>
        <bgColor rgb="FF808080"/>
      </patternFill>
    </fill>
    <fill>
      <patternFill patternType="solid">
        <fgColor rgb="FF464648"/>
        <bgColor rgb="FF424242"/>
      </patternFill>
    </fill>
    <fill>
      <patternFill patternType="solid">
        <fgColor rgb="FFCCFFCC"/>
        <bgColor rgb="FFEEEEEC"/>
      </patternFill>
    </fill>
  </fills>
  <borders count="3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424242"/>
      </left>
      <right style="double">
        <color rgb="FF424242"/>
      </right>
      <top style="double">
        <color rgb="FF424242"/>
      </top>
      <bottom style="double">
        <color rgb="FF424242"/>
      </bottom>
      <diagonal/>
    </border>
    <border diagonalUp="false" diagonalDown="false">
      <left/>
      <right/>
      <top/>
      <bottom style="thick">
        <color rgb="FF3333CC"/>
      </bottom>
      <diagonal/>
    </border>
    <border diagonalUp="false" diagonalDown="false">
      <left/>
      <right/>
      <top/>
      <bottom style="thick">
        <color rgb="FFA0E0E0"/>
      </bottom>
      <diagonal/>
    </border>
    <border diagonalUp="false" diagonalDown="false">
      <left/>
      <right/>
      <top/>
      <bottom style="medium">
        <color rgb="FFA0E0E0"/>
      </bottom>
      <diagonal/>
    </border>
    <border diagonalUp="false" diagonalDown="false">
      <left/>
      <right/>
      <top/>
      <bottom style="double">
        <color rgb="FFFF00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424242"/>
      </left>
      <right style="thin">
        <color rgb="FF424242"/>
      </right>
      <top style="thin">
        <color rgb="FF424242"/>
      </top>
      <bottom style="thin">
        <color rgb="FF424242"/>
      </bottom>
      <diagonal/>
    </border>
    <border diagonalUp="false" diagonalDown="false">
      <left/>
      <right/>
      <top style="thin">
        <color rgb="FF3333CC"/>
      </top>
      <bottom style="double">
        <color rgb="FF3333CC"/>
      </bottom>
      <diagonal/>
    </border>
    <border diagonalUp="false" diagonalDown="false">
      <left/>
      <right/>
      <top/>
      <bottom style="thick">
        <color rgb="FFEEEEEC"/>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top style="medium">
        <color rgb="FFEEEEEC"/>
      </top>
      <bottom/>
      <diagonal/>
    </border>
    <border diagonalUp="false" diagonalDown="false">
      <left/>
      <right style="medium">
        <color rgb="FFEEEEEC"/>
      </right>
      <top style="medium">
        <color rgb="FFEEEEEC"/>
      </top>
      <bottom/>
      <diagonal/>
    </border>
    <border diagonalUp="false" diagonalDown="false">
      <left style="medium">
        <color rgb="FFEEEEEC"/>
      </left>
      <right style="medium">
        <color rgb="FFEEEEEC"/>
      </right>
      <top style="medium">
        <color rgb="FFEEEEEC"/>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right style="thick">
        <color rgb="FFEEEEEC"/>
      </right>
      <top/>
      <bottom style="thin">
        <color rgb="FFEEEEEC"/>
      </bottom>
      <diagonal/>
    </border>
    <border diagonalUp="false" diagonalDown="false">
      <left/>
      <right/>
      <top/>
      <bottom style="thin">
        <color rgb="FFEEEEEC"/>
      </bottom>
      <diagonal/>
    </border>
    <border diagonalUp="false" diagonalDown="false">
      <left/>
      <right style="medium">
        <color rgb="FFEEEEEC"/>
      </right>
      <top/>
      <bottom style="thin">
        <color rgb="FFEEEEEC"/>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style="thick">
        <color rgb="FFEEEEEC"/>
      </left>
      <right/>
      <top/>
      <bottom style="thin">
        <color rgb="FFEEEEEC"/>
      </bottom>
      <diagonal/>
    </border>
    <border diagonalUp="false" diagonalDown="false">
      <left/>
      <right style="thin">
        <color rgb="FFEEEEEC"/>
      </right>
      <top style="thin">
        <color rgb="FFEEEEEC"/>
      </top>
      <bottom style="thin">
        <color rgb="FFEEEEEC"/>
      </bottom>
      <diagonal/>
    </border>
    <border diagonalUp="false" diagonalDown="false">
      <left style="thick">
        <color rgb="FFEEEEEC"/>
      </left>
      <right/>
      <top style="thin">
        <color rgb="FFEEEEEC"/>
      </top>
      <bottom/>
      <diagonal/>
    </border>
    <border diagonalUp="false" diagonalDown="false">
      <left/>
      <right/>
      <top style="hair">
        <color rgb="FFEEEEEC"/>
      </top>
      <bottom style="hair">
        <color rgb="FFEEEEEC"/>
      </bottom>
      <diagonal/>
    </border>
    <border diagonalUp="false" diagonalDown="false">
      <left/>
      <right/>
      <top style="medium">
        <color rgb="FFEEEEEC"/>
      </top>
      <bottom/>
      <diagonal/>
    </border>
  </borders>
  <cellStyleXfs count="6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6" borderId="0" applyFont="true" applyBorder="false" applyAlignment="false" applyProtection="false"/>
    <xf numFmtId="164" fontId="4" fillId="4" borderId="0" applyFont="true" applyBorder="false" applyAlignment="false" applyProtection="false"/>
    <xf numFmtId="164" fontId="4" fillId="6" borderId="0" applyFont="true" applyBorder="false" applyAlignment="false" applyProtection="false"/>
    <xf numFmtId="164" fontId="4" fillId="3" borderId="0" applyFont="true" applyBorder="false" applyAlignment="false" applyProtection="false"/>
    <xf numFmtId="164" fontId="4" fillId="7" borderId="0" applyFont="true" applyBorder="false" applyAlignment="false" applyProtection="false"/>
    <xf numFmtId="164" fontId="4" fillId="8" borderId="0" applyFont="true" applyBorder="false" applyAlignment="false" applyProtection="false"/>
    <xf numFmtId="164" fontId="4" fillId="6" borderId="0" applyFont="true" applyBorder="false" applyAlignment="false" applyProtection="false"/>
    <xf numFmtId="164" fontId="4" fillId="4" borderId="0" applyFont="true" applyBorder="false" applyAlignment="false" applyProtection="false"/>
    <xf numFmtId="164" fontId="5" fillId="6" borderId="0" applyFont="true" applyBorder="false" applyAlignment="false" applyProtection="false"/>
    <xf numFmtId="164" fontId="5" fillId="9" borderId="0" applyFont="true" applyBorder="false" applyAlignment="false" applyProtection="false"/>
    <xf numFmtId="164" fontId="5" fillId="10" borderId="0" applyFont="true" applyBorder="false" applyAlignment="false" applyProtection="false"/>
    <xf numFmtId="164" fontId="5" fillId="8" borderId="0" applyFont="true" applyBorder="false" applyAlignment="false" applyProtection="false"/>
    <xf numFmtId="164" fontId="5" fillId="6" borderId="0" applyFont="true" applyBorder="false" applyAlignment="false" applyProtection="false"/>
    <xf numFmtId="164" fontId="5" fillId="3" borderId="0" applyFont="true" applyBorder="false" applyAlignment="false" applyProtection="false"/>
    <xf numFmtId="164" fontId="5" fillId="11" borderId="0" applyFont="true" applyBorder="false" applyAlignment="false" applyProtection="false"/>
    <xf numFmtId="164" fontId="5" fillId="9" borderId="0" applyFont="true" applyBorder="false" applyAlignment="false" applyProtection="false"/>
    <xf numFmtId="164" fontId="5" fillId="10" borderId="0" applyFont="true" applyBorder="false" applyAlignment="false" applyProtection="false"/>
    <xf numFmtId="164" fontId="5" fillId="12" borderId="0" applyFont="true" applyBorder="false" applyAlignment="false" applyProtection="false"/>
    <xf numFmtId="164" fontId="5" fillId="13" borderId="0" applyFont="true" applyBorder="false" applyAlignment="false" applyProtection="false"/>
    <xf numFmtId="164" fontId="5" fillId="14" borderId="0" applyFont="true" applyBorder="false" applyAlignment="false" applyProtection="false"/>
    <xf numFmtId="164" fontId="6" fillId="15" borderId="0" applyFont="true" applyBorder="false" applyAlignment="false" applyProtection="false"/>
    <xf numFmtId="164" fontId="7" fillId="16" borderId="1" applyFont="true" applyBorder="true" applyAlignment="false" applyProtection="false"/>
    <xf numFmtId="164" fontId="8" fillId="17" borderId="2" applyFont="true" applyBorder="true" applyAlignment="false" applyProtection="false"/>
    <xf numFmtId="164" fontId="9" fillId="0" borderId="0" applyFont="true" applyBorder="false" applyAlignment="false" applyProtection="false"/>
    <xf numFmtId="164" fontId="10" fillId="6" borderId="0" applyFont="true" applyBorder="false" applyAlignment="false" applyProtection="false"/>
    <xf numFmtId="164" fontId="11" fillId="0" borderId="3" applyFont="true" applyBorder="true" applyAlignment="false" applyProtection="false"/>
    <xf numFmtId="164" fontId="12" fillId="0" borderId="4" applyFont="true" applyBorder="true" applyAlignment="false" applyProtection="false"/>
    <xf numFmtId="164" fontId="13" fillId="0" borderId="5" applyFont="true" applyBorder="true" applyAlignment="false" applyProtection="false"/>
    <xf numFmtId="164" fontId="13" fillId="0" borderId="0" applyFont="true" applyBorder="false" applyAlignment="false" applyProtection="false"/>
    <xf numFmtId="164" fontId="14" fillId="7" borderId="1" applyFont="true" applyBorder="true" applyAlignment="false" applyProtection="false"/>
    <xf numFmtId="164" fontId="15" fillId="0" borderId="6" applyFont="true" applyBorder="true" applyAlignment="false" applyProtection="false"/>
    <xf numFmtId="164" fontId="16" fillId="7" borderId="0" applyFont="true" applyBorder="false" applyAlignment="false" applyProtection="false"/>
    <xf numFmtId="164" fontId="0" fillId="0" borderId="0" applyFont="true" applyBorder="false" applyAlignment="true" applyProtection="true">
      <alignment horizontal="general" vertical="bottom" textRotation="0" wrapText="false" indent="0" shrinkToFit="false"/>
      <protection locked="true" hidden="false"/>
    </xf>
    <xf numFmtId="164" fontId="0" fillId="4" borderId="7" applyFont="true" applyBorder="true" applyAlignment="false" applyProtection="false"/>
    <xf numFmtId="164" fontId="17" fillId="16" borderId="8" applyFont="true" applyBorder="true" applyAlignment="false" applyProtection="false"/>
    <xf numFmtId="164" fontId="18" fillId="0" borderId="0" applyFont="true" applyBorder="false" applyAlignment="false" applyProtection="false"/>
    <xf numFmtId="164" fontId="19" fillId="0" borderId="9" applyFont="true" applyBorder="true" applyAlignment="false" applyProtection="false"/>
    <xf numFmtId="164" fontId="15" fillId="0" borderId="0" applyFont="true" applyBorder="false" applyAlignment="false" applyProtection="false"/>
  </cellStyleXfs>
  <cellXfs count="68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70" fontId="22" fillId="0"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true" applyProtection="false">
      <alignment horizontal="center"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9" fontId="21" fillId="0" borderId="0" xfId="0" applyFont="true" applyBorder="false" applyAlignment="false" applyProtection="false">
      <alignment horizontal="general" vertical="bottom" textRotation="0" wrapText="false" indent="0" shrinkToFit="false"/>
      <protection locked="true" hidden="false"/>
    </xf>
    <xf numFmtId="169" fontId="21" fillId="0" borderId="0" xfId="0" applyFont="true" applyBorder="false" applyAlignment="true" applyProtection="false">
      <alignment horizontal="center"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70" fontId="21" fillId="0" borderId="10" xfId="0" applyFont="true" applyBorder="true" applyAlignment="false" applyProtection="false">
      <alignment horizontal="general" vertical="bottom" textRotation="0" wrapText="false" indent="0" shrinkToFit="false"/>
      <protection locked="true" hidden="false"/>
    </xf>
    <xf numFmtId="165" fontId="21" fillId="0" borderId="10" xfId="0" applyFont="true" applyBorder="true" applyAlignment="false" applyProtection="false">
      <alignment horizontal="general" vertical="bottom" textRotation="0" wrapText="false" indent="0" shrinkToFit="false"/>
      <protection locked="true" hidden="false"/>
    </xf>
    <xf numFmtId="173" fontId="21" fillId="0" borderId="10" xfId="0" applyFont="true" applyBorder="true" applyAlignment="false" applyProtection="false">
      <alignment horizontal="general" vertical="bottom" textRotation="0" wrapText="false" indent="0" shrinkToFit="false"/>
      <protection locked="true" hidden="false"/>
    </xf>
    <xf numFmtId="171" fontId="21" fillId="0" borderId="10" xfId="0" applyFont="true" applyBorder="true" applyAlignment="false" applyProtection="false">
      <alignment horizontal="general" vertical="bottom" textRotation="0" wrapText="false" indent="0" shrinkToFit="false"/>
      <protection locked="true" hidden="false"/>
    </xf>
    <xf numFmtId="168" fontId="21" fillId="0" borderId="10" xfId="0" applyFont="true" applyBorder="true" applyAlignment="false" applyProtection="false">
      <alignment horizontal="general" vertical="bottom" textRotation="0" wrapText="false" indent="0" shrinkToFit="false"/>
      <protection locked="true" hidden="false"/>
    </xf>
    <xf numFmtId="168" fontId="21" fillId="0" borderId="10" xfId="0" applyFont="true" applyBorder="true" applyAlignment="true" applyProtection="false">
      <alignment horizontal="center" vertical="bottom" textRotation="0" wrapText="false" indent="0" shrinkToFit="false"/>
      <protection locked="true" hidden="false"/>
    </xf>
    <xf numFmtId="166" fontId="21" fillId="0" borderId="10" xfId="0" applyFont="true" applyBorder="true" applyAlignment="false" applyProtection="false">
      <alignment horizontal="general" vertical="bottom" textRotation="0" wrapText="false" indent="0" shrinkToFit="false"/>
      <protection locked="true" hidden="false"/>
    </xf>
    <xf numFmtId="169" fontId="21" fillId="0" borderId="10" xfId="0" applyFont="true" applyBorder="true" applyAlignment="false" applyProtection="false">
      <alignment horizontal="general" vertical="bottom" textRotation="0" wrapText="false" indent="0" shrinkToFit="false"/>
      <protection locked="true" hidden="false"/>
    </xf>
    <xf numFmtId="169" fontId="21" fillId="0" borderId="10" xfId="0" applyFont="true" applyBorder="true" applyAlignment="true" applyProtection="false">
      <alignment horizontal="center" vertical="bottom" textRotation="0" wrapText="false" indent="0" shrinkToFit="false"/>
      <protection locked="true" hidden="false"/>
    </xf>
    <xf numFmtId="167" fontId="0" fillId="0" borderId="10"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0" fontId="20" fillId="0" borderId="0" xfId="0" applyFont="true" applyBorder="false" applyAlignment="false" applyProtection="false">
      <alignment horizontal="general" vertical="bottom" textRotation="0" wrapText="false" indent="0" shrinkToFit="false"/>
      <protection locked="true" hidden="false"/>
    </xf>
    <xf numFmtId="170" fontId="20" fillId="0" borderId="11" xfId="0" applyFont="true" applyBorder="true" applyAlignment="false" applyProtection="false">
      <alignment horizontal="general" vertical="bottom" textRotation="0" wrapText="false" indent="0" shrinkToFit="false"/>
      <protection locked="true" hidden="false"/>
    </xf>
    <xf numFmtId="165" fontId="20" fillId="0" borderId="12" xfId="0" applyFont="true" applyBorder="true" applyAlignment="false" applyProtection="false">
      <alignment horizontal="general" vertical="bottom" textRotation="0" wrapText="false" indent="0" shrinkToFit="false"/>
      <protection locked="true" hidden="false"/>
    </xf>
    <xf numFmtId="173" fontId="24" fillId="0" borderId="12" xfId="0" applyFont="true" applyBorder="true" applyAlignment="false" applyProtection="false">
      <alignment horizontal="general" vertical="bottom" textRotation="0" wrapText="false" indent="0" shrinkToFit="false"/>
      <protection locked="true" hidden="false"/>
    </xf>
    <xf numFmtId="170" fontId="20" fillId="0" borderId="13" xfId="0" applyFont="true" applyBorder="true" applyAlignment="false" applyProtection="false">
      <alignment horizontal="general"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68" fontId="20" fillId="0" borderId="0" xfId="0" applyFont="true" applyBorder="false" applyAlignment="fals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center" vertical="bottom" textRotation="0" wrapText="false" indent="0" shrinkToFit="false"/>
      <protection locked="true" hidden="false"/>
    </xf>
    <xf numFmtId="170" fontId="24" fillId="0" borderId="0" xfId="0" applyFont="true" applyBorder="false" applyAlignment="true" applyProtection="false">
      <alignment horizontal="center"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6" fontId="20" fillId="0" borderId="11" xfId="0" applyFont="true" applyBorder="true" applyAlignment="false" applyProtection="false">
      <alignment horizontal="general" vertical="bottom" textRotation="0" wrapText="false" indent="0" shrinkToFit="false"/>
      <protection locked="true" hidden="false"/>
    </xf>
    <xf numFmtId="169" fontId="24" fillId="0" borderId="12" xfId="0" applyFont="true" applyBorder="true" applyAlignment="true" applyProtection="false">
      <alignment horizontal="center" vertical="bottom" textRotation="0" wrapText="false" indent="0" shrinkToFit="false"/>
      <protection locked="true" hidden="false"/>
    </xf>
    <xf numFmtId="169" fontId="20" fillId="0" borderId="13" xfId="0" applyFont="true" applyBorder="true" applyAlignment="true" applyProtection="false">
      <alignment horizontal="center"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4" fontId="20" fillId="0" borderId="12" xfId="0" applyFont="true" applyBorder="true" applyAlignment="false" applyProtection="false">
      <alignment horizontal="general" vertical="bottom" textRotation="0" wrapText="false" indent="0" shrinkToFit="false"/>
      <protection locked="true" hidden="false"/>
    </xf>
    <xf numFmtId="170" fontId="25" fillId="0" borderId="0" xfId="0" applyFont="true" applyBorder="false" applyAlignment="true" applyProtection="false">
      <alignment horizontal="center" vertical="bottom" textRotation="0" wrapText="false" indent="0" shrinkToFit="false"/>
      <protection locked="true" hidden="false"/>
    </xf>
    <xf numFmtId="170" fontId="25" fillId="0" borderId="14" xfId="0" applyFont="true" applyBorder="true" applyAlignment="true" applyProtection="false">
      <alignment horizontal="center" vertical="bottom" textRotation="0" wrapText="false" indent="0" shrinkToFit="false"/>
      <protection locked="true" hidden="false"/>
    </xf>
    <xf numFmtId="165" fontId="25" fillId="0" borderId="0" xfId="0" applyFont="true" applyBorder="true" applyAlignment="true" applyProtection="false">
      <alignment horizontal="center" vertical="bottom" textRotation="0" wrapText="false" indent="0" shrinkToFit="false"/>
      <protection locked="true" hidden="false"/>
    </xf>
    <xf numFmtId="170" fontId="25" fillId="0" borderId="0" xfId="0" applyFont="true" applyBorder="true" applyAlignment="true" applyProtection="false">
      <alignment horizontal="center" vertical="bottom" textRotation="0" wrapText="false" indent="0" shrinkToFit="false"/>
      <protection locked="true" hidden="false"/>
    </xf>
    <xf numFmtId="170" fontId="25" fillId="0" borderId="15" xfId="0" applyFont="true" applyBorder="true" applyAlignment="true" applyProtection="false">
      <alignment horizontal="center" vertical="bottom" textRotation="0" wrapText="false" indent="0" shrinkToFit="false"/>
      <protection locked="true" hidden="false"/>
    </xf>
    <xf numFmtId="171" fontId="25" fillId="0" borderId="0" xfId="0" applyFont="true" applyBorder="false" applyAlignment="true" applyProtection="false">
      <alignment horizontal="center" vertical="bottom" textRotation="0" wrapText="false" indent="0" shrinkToFit="false"/>
      <protection locked="true" hidden="false"/>
    </xf>
    <xf numFmtId="170" fontId="26" fillId="0" borderId="16" xfId="0" applyFont="true" applyBorder="true" applyAlignment="true" applyProtection="false">
      <alignment horizontal="center" vertical="bottom" textRotation="0" wrapText="false" indent="0" shrinkToFit="false"/>
      <protection locked="true" hidden="false"/>
    </xf>
    <xf numFmtId="168" fontId="25" fillId="0" borderId="17" xfId="0" applyFont="true" applyBorder="true" applyAlignment="true" applyProtection="false">
      <alignment horizontal="center" vertical="bottom" textRotation="0" wrapText="false" indent="0" shrinkToFit="false"/>
      <protection locked="true" hidden="false"/>
    </xf>
    <xf numFmtId="165" fontId="25" fillId="0" borderId="0" xfId="0" applyFont="true" applyBorder="false" applyAlignment="true" applyProtection="false">
      <alignment horizontal="center" vertical="bottom" textRotation="0" wrapText="false" indent="0" shrinkToFit="false"/>
      <protection locked="true" hidden="false"/>
    </xf>
    <xf numFmtId="170" fontId="26" fillId="0" borderId="18" xfId="0" applyFont="true" applyBorder="true" applyAlignment="true" applyProtection="false">
      <alignment horizontal="left" vertical="bottom" textRotation="0" wrapText="false" indent="0" shrinkToFit="false"/>
      <protection locked="true" hidden="false"/>
    </xf>
    <xf numFmtId="170" fontId="26" fillId="0" borderId="18" xfId="0" applyFont="true" applyBorder="true" applyAlignment="true" applyProtection="false">
      <alignment horizontal="right" vertical="bottom" textRotation="0" wrapText="false" indent="0" shrinkToFit="false"/>
      <protection locked="true" hidden="false"/>
    </xf>
    <xf numFmtId="166" fontId="25" fillId="0" borderId="14" xfId="0" applyFont="true" applyBorder="true" applyAlignment="true" applyProtection="false">
      <alignment horizontal="center" vertical="bottom" textRotation="0" wrapText="false" indent="0" shrinkToFit="false"/>
      <protection locked="true" hidden="false"/>
    </xf>
    <xf numFmtId="169" fontId="25" fillId="0" borderId="0" xfId="0" applyFont="true" applyBorder="true" applyAlignment="true" applyProtection="false">
      <alignment horizontal="center" vertical="bottom" textRotation="0" wrapText="false" indent="0" shrinkToFit="false"/>
      <protection locked="true" hidden="false"/>
    </xf>
    <xf numFmtId="169" fontId="25" fillId="0" borderId="15"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false" applyAlignment="true" applyProtection="false">
      <alignment horizontal="center" vertical="bottom" textRotation="0" wrapText="false" indent="0" shrinkToFit="false"/>
      <protection locked="true" hidden="false"/>
    </xf>
    <xf numFmtId="169" fontId="25" fillId="0" borderId="0" xfId="0" applyFont="true" applyBorder="false" applyAlignment="true" applyProtection="false">
      <alignment horizontal="center" vertical="bottom" textRotation="0" wrapText="false" indent="0" shrinkToFit="false"/>
      <protection locked="true" hidden="false"/>
    </xf>
    <xf numFmtId="169" fontId="25" fillId="0" borderId="0"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70" fontId="27" fillId="0" borderId="0" xfId="0" applyFont="true" applyBorder="false" applyAlignment="true" applyProtection="false">
      <alignment horizontal="center" vertical="bottom" textRotation="0" wrapText="false" indent="0" shrinkToFit="false"/>
      <protection locked="true" hidden="false"/>
    </xf>
    <xf numFmtId="170" fontId="25" fillId="0" borderId="19" xfId="0" applyFont="true" applyBorder="true" applyAlignment="true" applyProtection="false">
      <alignment horizontal="center" vertical="bottom" textRotation="0" wrapText="false" indent="0" shrinkToFit="false"/>
      <protection locked="true" hidden="false"/>
    </xf>
    <xf numFmtId="168" fontId="25" fillId="0" borderId="0" xfId="0" applyFont="true" applyBorder="true" applyAlignment="true" applyProtection="false">
      <alignment horizontal="center" vertical="bottom" textRotation="0" wrapText="false" indent="0" shrinkToFit="false"/>
      <protection locked="true" hidden="false"/>
    </xf>
    <xf numFmtId="170" fontId="23" fillId="0" borderId="0" xfId="0" applyFont="true" applyBorder="true" applyAlignment="true" applyProtection="false">
      <alignment horizontal="center" vertical="bottom" textRotation="0" wrapText="false" indent="0" shrinkToFit="false"/>
      <protection locked="true" hidden="false"/>
    </xf>
    <xf numFmtId="168" fontId="23" fillId="0" borderId="20" xfId="0" applyFont="true" applyBorder="true" applyAlignment="true" applyProtection="false">
      <alignment horizontal="center" vertical="bottom" textRotation="0" wrapText="false" indent="0" shrinkToFit="false"/>
      <protection locked="true" hidden="false"/>
    </xf>
    <xf numFmtId="170" fontId="25" fillId="0" borderId="20" xfId="0" applyFont="true" applyBorder="true" applyAlignment="true" applyProtection="false">
      <alignment horizontal="center" vertical="bottom" textRotation="0" wrapText="false" indent="0" shrinkToFit="false"/>
      <protection locked="true" hidden="false"/>
    </xf>
    <xf numFmtId="166" fontId="25" fillId="0" borderId="14" xfId="0" applyFont="true" applyBorder="true" applyAlignment="fals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center" vertical="bottom" textRotation="0" wrapText="false" indent="0" shrinkToFit="false"/>
      <protection locked="true" hidden="false"/>
    </xf>
    <xf numFmtId="169" fontId="23" fillId="0" borderId="0" xfId="0" applyFont="true" applyBorder="false" applyAlignment="true" applyProtection="false">
      <alignment horizontal="center" vertical="bottom" textRotation="0" wrapText="false" indent="0" shrinkToFit="false"/>
      <protection locked="true" hidden="false"/>
    </xf>
    <xf numFmtId="169" fontId="23" fillId="0" borderId="0" xfId="0" applyFont="true" applyBorder="true" applyAlignment="true" applyProtection="false">
      <alignment horizontal="center" vertical="bottom" textRotation="0" wrapText="false" indent="0" shrinkToFit="false"/>
      <protection locked="true" hidden="false"/>
    </xf>
    <xf numFmtId="170" fontId="21" fillId="0" borderId="0" xfId="0" applyFont="true" applyBorder="false" applyAlignment="true" applyProtection="false">
      <alignment horizontal="center" vertical="bottom" textRotation="0" wrapText="false" indent="0" shrinkToFit="false"/>
      <protection locked="true" hidden="false"/>
    </xf>
    <xf numFmtId="170" fontId="21" fillId="0" borderId="14" xfId="0" applyFont="true" applyBorder="true" applyAlignment="true" applyProtection="false">
      <alignment horizontal="center" vertical="bottom" textRotation="0" wrapText="false" indent="0" shrinkToFit="false"/>
      <protection locked="true" hidden="false"/>
    </xf>
    <xf numFmtId="165" fontId="21" fillId="0" borderId="0" xfId="0" applyFont="true" applyBorder="true" applyAlignment="true" applyProtection="false">
      <alignment horizontal="center" vertical="bottom" textRotation="0" wrapText="false" indent="0" shrinkToFit="false"/>
      <protection locked="true" hidden="false"/>
    </xf>
    <xf numFmtId="170" fontId="21" fillId="0" borderId="0" xfId="0" applyFont="true" applyBorder="true" applyAlignment="true" applyProtection="false">
      <alignment horizontal="center" vertical="bottom" textRotation="0" wrapText="false" indent="0" shrinkToFit="false"/>
      <protection locked="true" hidden="false"/>
    </xf>
    <xf numFmtId="165" fontId="23" fillId="0" borderId="0" xfId="0" applyFont="true" applyBorder="true" applyAlignment="true" applyProtection="false">
      <alignment horizontal="center" vertical="bottom" textRotation="0" wrapText="false" indent="0" shrinkToFit="false"/>
      <protection locked="true" hidden="false"/>
    </xf>
    <xf numFmtId="170" fontId="21" fillId="0" borderId="15" xfId="0" applyFont="true" applyBorder="true" applyAlignment="true" applyProtection="false">
      <alignment horizontal="center" vertical="bottom" textRotation="0" wrapText="false" indent="0" shrinkToFit="false"/>
      <protection locked="true" hidden="false"/>
    </xf>
    <xf numFmtId="171" fontId="21" fillId="0" borderId="0" xfId="0" applyFont="true" applyBorder="false" applyAlignment="true" applyProtection="false">
      <alignment horizontal="center" vertical="bottom" textRotation="0" wrapText="false" indent="0" shrinkToFit="false"/>
      <protection locked="true" hidden="false"/>
    </xf>
    <xf numFmtId="170" fontId="21" fillId="0" borderId="19" xfId="0" applyFont="true" applyBorder="true" applyAlignment="true" applyProtection="false">
      <alignment horizontal="center" vertical="bottom" textRotation="0" wrapText="false" indent="0" shrinkToFit="false"/>
      <protection locked="true" hidden="false"/>
    </xf>
    <xf numFmtId="168" fontId="23" fillId="0" borderId="0" xfId="0" applyFont="true" applyBorder="true" applyAlignment="true" applyProtection="false">
      <alignment horizontal="center" vertical="bottom" textRotation="0" wrapText="false" indent="0" shrinkToFit="false"/>
      <protection locked="true" hidden="false"/>
    </xf>
    <xf numFmtId="165" fontId="23" fillId="0" borderId="0" xfId="0" applyFont="true" applyBorder="false" applyAlignment="true" applyProtection="false">
      <alignment horizontal="center" vertical="bottom" textRotation="0" wrapText="false" indent="0" shrinkToFit="false"/>
      <protection locked="true" hidden="false"/>
    </xf>
    <xf numFmtId="170" fontId="21" fillId="0" borderId="20" xfId="0" applyFont="true" applyBorder="true" applyAlignment="true" applyProtection="false">
      <alignment horizontal="center" vertical="bottom" textRotation="0" wrapText="false" indent="0" shrinkToFit="false"/>
      <protection locked="true" hidden="false"/>
    </xf>
    <xf numFmtId="165" fontId="23" fillId="0" borderId="0" xfId="0" applyFont="true" applyBorder="false" applyAlignment="true" applyProtection="false">
      <alignment horizontal="right" vertical="bottom" textRotation="0" wrapText="false" indent="0" shrinkToFit="false"/>
      <protection locked="true" hidden="false"/>
    </xf>
    <xf numFmtId="166" fontId="21" fillId="0" borderId="14" xfId="0" applyFont="true" applyBorder="true" applyAlignment="false" applyProtection="false">
      <alignment horizontal="general" vertical="bottom" textRotation="0" wrapText="false" indent="0" shrinkToFit="false"/>
      <protection locked="true" hidden="false"/>
    </xf>
    <xf numFmtId="169" fontId="23" fillId="0" borderId="0" xfId="0" applyFont="true" applyBorder="true" applyAlignment="true" applyProtection="false">
      <alignment horizontal="center" vertical="bottom" textRotation="0" wrapText="false" indent="0" shrinkToFit="false"/>
      <protection locked="true" hidden="false"/>
    </xf>
    <xf numFmtId="169" fontId="21" fillId="0" borderId="15" xfId="0" applyFont="true" applyBorder="true" applyAlignment="true" applyProtection="false">
      <alignment horizontal="center" vertical="bottom" textRotation="0" wrapText="false" indent="0" shrinkToFit="false"/>
      <protection locked="true" hidden="false"/>
    </xf>
    <xf numFmtId="168" fontId="21" fillId="0" borderId="0" xfId="0" applyFont="true" applyBorder="true" applyAlignment="true" applyProtection="false">
      <alignment horizontal="center" vertical="bottom" textRotation="0" wrapText="false" indent="0" shrinkToFit="false"/>
      <protection locked="true" hidden="false"/>
    </xf>
    <xf numFmtId="165" fontId="21" fillId="0" borderId="0" xfId="0" applyFont="true" applyBorder="false" applyAlignment="true" applyProtection="false">
      <alignment horizontal="center" vertical="bottom" textRotation="0" wrapText="false" indent="0" shrinkToFit="false"/>
      <protection locked="true" hidden="false"/>
    </xf>
    <xf numFmtId="165" fontId="23" fillId="0" borderId="0" xfId="0" applyFont="true" applyBorder="false" applyAlignment="true" applyProtection="false">
      <alignment horizontal="left" vertical="bottom" textRotation="0" wrapText="false" indent="0" shrinkToFit="false"/>
      <protection locked="true" hidden="false"/>
    </xf>
    <xf numFmtId="169" fontId="21" fillId="0" borderId="0" xfId="0" applyFont="true" applyBorder="true" applyAlignment="true" applyProtection="false">
      <alignment horizontal="center" vertical="bottom" textRotation="0" wrapText="false" indent="0" shrinkToFit="false"/>
      <protection locked="true" hidden="false"/>
    </xf>
    <xf numFmtId="167" fontId="21" fillId="0" borderId="0" xfId="0" applyFont="true" applyBorder="false" applyAlignment="true" applyProtection="false">
      <alignment horizontal="center" vertical="bottom" textRotation="0" wrapText="false" indent="0" shrinkToFit="false"/>
      <protection locked="true" hidden="false"/>
    </xf>
    <xf numFmtId="170" fontId="21" fillId="0" borderId="14" xfId="0" applyFont="true" applyBorder="true" applyAlignment="false" applyProtection="false">
      <alignment horizontal="general" vertical="bottom" textRotation="0" wrapText="false" indent="0" shrinkToFit="false"/>
      <protection locked="true" hidden="false"/>
    </xf>
    <xf numFmtId="165" fontId="21" fillId="0" borderId="0" xfId="0" applyFont="true" applyBorder="true" applyAlignment="false" applyProtection="false">
      <alignment horizontal="general" vertical="bottom" textRotation="0" wrapText="false" indent="0" shrinkToFit="false"/>
      <protection locked="true" hidden="false"/>
    </xf>
    <xf numFmtId="165" fontId="21" fillId="0" borderId="15" xfId="0" applyFont="true" applyBorder="true" applyAlignment="false" applyProtection="false">
      <alignment horizontal="general" vertical="bottom" textRotation="0" wrapText="false" indent="0" shrinkToFit="false"/>
      <protection locked="true" hidden="false"/>
    </xf>
    <xf numFmtId="165" fontId="21" fillId="0" borderId="19" xfId="0" applyFont="true" applyBorder="true" applyAlignment="false" applyProtection="false">
      <alignment horizontal="general" vertical="bottom" textRotation="0" wrapText="false" indent="0" shrinkToFit="false"/>
      <protection locked="true" hidden="false"/>
    </xf>
    <xf numFmtId="168" fontId="21" fillId="0" borderId="0" xfId="0" applyFont="true" applyBorder="true" applyAlignment="false" applyProtection="false">
      <alignment horizontal="general" vertical="bottom" textRotation="0" wrapText="false" indent="0" shrinkToFit="false"/>
      <protection locked="true" hidden="false"/>
    </xf>
    <xf numFmtId="165" fontId="20" fillId="0" borderId="0" xfId="0" applyFont="true" applyBorder="true" applyAlignment="true" applyProtection="false">
      <alignment horizontal="right" vertical="bottom" textRotation="0" wrapText="false" indent="0" shrinkToFit="false"/>
      <protection locked="true" hidden="false"/>
    </xf>
    <xf numFmtId="168" fontId="20" fillId="0" borderId="20" xfId="0" applyFont="true" applyBorder="true" applyAlignment="true" applyProtection="false">
      <alignment horizontal="center" vertical="bottom" textRotation="0" wrapText="false" indent="0" shrinkToFit="false"/>
      <protection locked="true" hidden="false"/>
    </xf>
    <xf numFmtId="165" fontId="20" fillId="0" borderId="0" xfId="0" applyFont="true" applyBorder="false" applyAlignment="true" applyProtection="false">
      <alignment horizontal="right" vertical="bottom" textRotation="0" wrapText="false" indent="0" shrinkToFit="false"/>
      <protection locked="true" hidden="false"/>
    </xf>
    <xf numFmtId="165" fontId="20" fillId="0" borderId="19" xfId="0" applyFont="true" applyBorder="true" applyAlignment="true" applyProtection="false">
      <alignment horizontal="right" vertical="bottom" textRotation="0" wrapText="false" indent="0" shrinkToFit="false"/>
      <protection locked="true" hidden="false"/>
    </xf>
    <xf numFmtId="165" fontId="20" fillId="0" borderId="20" xfId="0" applyFont="true" applyBorder="true" applyAlignment="true" applyProtection="false">
      <alignment horizontal="right" vertical="bottom" textRotation="0" wrapText="false" indent="0" shrinkToFit="false"/>
      <protection locked="true" hidden="false"/>
    </xf>
    <xf numFmtId="166" fontId="20" fillId="0" borderId="14" xfId="0" applyFont="true" applyBorder="true" applyAlignment="true" applyProtection="false">
      <alignment horizontal="right" vertical="bottom" textRotation="0" wrapText="false" indent="0" shrinkToFit="false"/>
      <protection locked="true" hidden="false"/>
    </xf>
    <xf numFmtId="169" fontId="20" fillId="0" borderId="0" xfId="0" applyFont="true" applyBorder="true" applyAlignment="true" applyProtection="false">
      <alignment horizontal="right" vertical="bottom" textRotation="0" wrapText="false" indent="0" shrinkToFit="false"/>
      <protection locked="true" hidden="false"/>
    </xf>
    <xf numFmtId="169" fontId="20" fillId="0" borderId="15" xfId="0" applyFont="true" applyBorder="true" applyAlignment="true" applyProtection="false">
      <alignment horizontal="right" vertical="bottom" textRotation="0" wrapText="false" indent="0" shrinkToFit="false"/>
      <protection locked="true" hidden="false"/>
    </xf>
    <xf numFmtId="167" fontId="20"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74" fontId="20" fillId="0" borderId="14" xfId="56" applyFont="true" applyBorder="true" applyAlignment="true" applyProtection="false">
      <alignment horizontal="right" vertical="bottom" textRotation="0" wrapText="false" indent="0" shrinkToFit="false"/>
      <protection locked="true" hidden="false"/>
    </xf>
    <xf numFmtId="165" fontId="20" fillId="0" borderId="0" xfId="56" applyFont="true" applyBorder="true" applyAlignment="true" applyProtection="false">
      <alignment horizontal="right" vertical="bottom" textRotation="0" wrapText="false" indent="0" shrinkToFit="false"/>
      <protection locked="true" hidden="false"/>
    </xf>
    <xf numFmtId="170" fontId="21" fillId="18" borderId="21" xfId="0" applyFont="true" applyBorder="true" applyAlignment="false" applyProtection="false">
      <alignment horizontal="general" vertical="bottom" textRotation="0" wrapText="false" indent="0" shrinkToFit="false"/>
      <protection locked="true" hidden="false"/>
    </xf>
    <xf numFmtId="174" fontId="21" fillId="18" borderId="22" xfId="0" applyFont="true" applyBorder="true" applyAlignment="false" applyProtection="false">
      <alignment horizontal="general" vertical="bottom" textRotation="0" wrapText="false" indent="0" shrinkToFit="false"/>
      <protection locked="true" hidden="false"/>
    </xf>
    <xf numFmtId="165" fontId="21" fillId="18" borderId="21" xfId="0" applyFont="true" applyBorder="true" applyAlignment="false" applyProtection="false">
      <alignment horizontal="general" vertical="bottom" textRotation="0" wrapText="false" indent="0" shrinkToFit="false"/>
      <protection locked="true" hidden="false"/>
    </xf>
    <xf numFmtId="170" fontId="21" fillId="18" borderId="23" xfId="0" applyFont="true" applyBorder="true" applyAlignment="false" applyProtection="false">
      <alignment horizontal="general" vertical="bottom" textRotation="0" wrapText="false" indent="0" shrinkToFit="false"/>
      <protection locked="true" hidden="false"/>
    </xf>
    <xf numFmtId="171" fontId="21" fillId="18" borderId="21" xfId="0" applyFont="true" applyBorder="true" applyAlignment="false" applyProtection="false">
      <alignment horizontal="general" vertical="bottom" textRotation="0" wrapText="false" indent="0" shrinkToFit="false"/>
      <protection locked="true" hidden="false"/>
    </xf>
    <xf numFmtId="170" fontId="21" fillId="18" borderId="24" xfId="0" applyFont="true" applyBorder="true" applyAlignment="false" applyProtection="false">
      <alignment horizontal="general" vertical="bottom" textRotation="0" wrapText="false" indent="0" shrinkToFit="false"/>
      <protection locked="true" hidden="false"/>
    </xf>
    <xf numFmtId="168" fontId="21" fillId="18" borderId="21" xfId="0" applyFont="true" applyBorder="true" applyAlignment="false" applyProtection="false">
      <alignment horizontal="general" vertical="bottom" textRotation="0" wrapText="false" indent="0" shrinkToFit="false"/>
      <protection locked="true" hidden="false"/>
    </xf>
    <xf numFmtId="170" fontId="20" fillId="18" borderId="21" xfId="0" applyFont="true" applyBorder="true" applyAlignment="true" applyProtection="false">
      <alignment horizontal="right" vertical="bottom" textRotation="0" wrapText="false" indent="0" shrinkToFit="false"/>
      <protection locked="true" hidden="false"/>
    </xf>
    <xf numFmtId="168" fontId="20" fillId="18" borderId="25" xfId="0" applyFont="true" applyBorder="true" applyAlignment="true" applyProtection="false">
      <alignment horizontal="center" vertical="bottom" textRotation="0" wrapText="false" indent="0" shrinkToFit="false"/>
      <protection locked="true" hidden="false"/>
    </xf>
    <xf numFmtId="165" fontId="20" fillId="18" borderId="21" xfId="0" applyFont="true" applyBorder="true" applyAlignment="true" applyProtection="false">
      <alignment horizontal="right" vertical="bottom" textRotation="0" wrapText="false" indent="0" shrinkToFit="false"/>
      <protection locked="true" hidden="false"/>
    </xf>
    <xf numFmtId="170" fontId="20" fillId="18" borderId="24" xfId="0" applyFont="true" applyBorder="true" applyAlignment="true" applyProtection="false">
      <alignment horizontal="right" vertical="bottom" textRotation="0" wrapText="false" indent="0" shrinkToFit="false"/>
      <protection locked="true" hidden="false"/>
    </xf>
    <xf numFmtId="170" fontId="20" fillId="18" borderId="25" xfId="0" applyFont="true" applyBorder="true" applyAlignment="true" applyProtection="false">
      <alignment horizontal="right" vertical="bottom" textRotation="0" wrapText="false" indent="0" shrinkToFit="false"/>
      <protection locked="true" hidden="false"/>
    </xf>
    <xf numFmtId="166" fontId="20" fillId="18" borderId="22" xfId="0" applyFont="true" applyBorder="true" applyAlignment="true" applyProtection="false">
      <alignment horizontal="right" vertical="bottom" textRotation="0" wrapText="false" indent="0" shrinkToFit="false"/>
      <protection locked="true" hidden="false"/>
    </xf>
    <xf numFmtId="169" fontId="20" fillId="18" borderId="21" xfId="0" applyFont="true" applyBorder="true" applyAlignment="true" applyProtection="false">
      <alignment horizontal="right" vertical="bottom" textRotation="0" wrapText="false" indent="0" shrinkToFit="false"/>
      <protection locked="true" hidden="false"/>
    </xf>
    <xf numFmtId="169" fontId="20" fillId="18" borderId="23" xfId="0" applyFont="true" applyBorder="true" applyAlignment="true" applyProtection="false">
      <alignment horizontal="right" vertical="bottom" textRotation="0" wrapText="false" indent="0" shrinkToFit="false"/>
      <protection locked="true" hidden="false"/>
    </xf>
    <xf numFmtId="167" fontId="20" fillId="18" borderId="21" xfId="0" applyFont="true" applyBorder="true" applyAlignment="true" applyProtection="false">
      <alignment horizontal="right" vertical="bottom" textRotation="0" wrapText="false" indent="0" shrinkToFit="false"/>
      <protection locked="true" hidden="false"/>
    </xf>
    <xf numFmtId="174" fontId="21" fillId="0" borderId="14" xfId="0" applyFont="true" applyBorder="true" applyAlignment="false" applyProtection="false">
      <alignment horizontal="general" vertical="bottom" textRotation="0" wrapText="false" indent="0" shrinkToFit="false"/>
      <protection locked="true" hidden="false"/>
    </xf>
    <xf numFmtId="169" fontId="21" fillId="0" borderId="0" xfId="0" applyFont="true" applyBorder="true" applyAlignment="false" applyProtection="false">
      <alignment horizontal="general" vertical="bottom" textRotation="0" wrapText="false" indent="0" shrinkToFit="false"/>
      <protection locked="true" hidden="false"/>
    </xf>
    <xf numFmtId="170" fontId="21" fillId="0" borderId="15" xfId="0" applyFont="true" applyBorder="tru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70" fontId="21" fillId="0" borderId="19" xfId="0" applyFont="true" applyBorder="true" applyAlignment="false" applyProtection="false">
      <alignment horizontal="general" vertical="bottom" textRotation="0" wrapText="false" indent="0" shrinkToFit="false"/>
      <protection locked="true" hidden="false"/>
    </xf>
    <xf numFmtId="170" fontId="21" fillId="0" borderId="0" xfId="0" applyFont="true" applyBorder="true" applyAlignment="false" applyProtection="false">
      <alignment horizontal="general" vertical="bottom" textRotation="0" wrapText="false" indent="0" shrinkToFit="false"/>
      <protection locked="true" hidden="false"/>
    </xf>
    <xf numFmtId="174" fontId="20" fillId="0" borderId="0" xfId="0" applyFont="true" applyBorder="true" applyAlignment="true" applyProtection="false">
      <alignment horizontal="right" vertical="bottom" textRotation="0" wrapText="false" indent="0" shrinkToFit="false"/>
      <protection locked="true" hidden="false"/>
    </xf>
    <xf numFmtId="170" fontId="21" fillId="0" borderId="26" xfId="0" applyFont="true" applyBorder="true" applyAlignment="false" applyProtection="false">
      <alignment horizontal="general" vertical="bottom" textRotation="0" wrapText="false" indent="0" shrinkToFit="false"/>
      <protection locked="true" hidden="false"/>
    </xf>
    <xf numFmtId="170" fontId="20" fillId="0" borderId="0" xfId="0" applyFont="true" applyBorder="false" applyAlignment="true" applyProtection="false">
      <alignment horizontal="right" vertical="bottom" textRotation="0" wrapText="false" indent="0" shrinkToFit="false"/>
      <protection locked="true" hidden="false"/>
    </xf>
    <xf numFmtId="170" fontId="20" fillId="0" borderId="0" xfId="56" applyFont="true" applyBorder="true" applyAlignment="true" applyProtection="false">
      <alignment horizontal="right" vertical="bottom" textRotation="0" wrapText="false" indent="0" shrinkToFit="false"/>
      <protection locked="true" hidden="false"/>
    </xf>
    <xf numFmtId="170" fontId="20" fillId="0" borderId="19" xfId="0" applyFont="true" applyBorder="true" applyAlignment="true" applyProtection="false">
      <alignment horizontal="right" vertical="bottom" textRotation="0" wrapText="false" indent="0" shrinkToFit="false"/>
      <protection locked="true" hidden="false"/>
    </xf>
    <xf numFmtId="170" fontId="20" fillId="0" borderId="20" xfId="0" applyFont="true" applyBorder="true" applyAlignment="true" applyProtection="false">
      <alignment horizontal="right" vertical="bottom" textRotation="0" wrapText="false" indent="0" shrinkToFit="false"/>
      <protection locked="true" hidden="false"/>
    </xf>
    <xf numFmtId="174" fontId="21" fillId="0" borderId="14" xfId="15" applyFont="true" applyBorder="true" applyAlignment="true" applyProtection="true">
      <alignment horizontal="general" vertical="bottom" textRotation="0" wrapText="false" indent="0" shrinkToFit="false"/>
      <protection locked="true" hidden="false"/>
    </xf>
    <xf numFmtId="170" fontId="21" fillId="0" borderId="0" xfId="0" applyFont="true" applyBorder="true" applyAlignment="false" applyProtection="false">
      <alignment horizontal="general" vertical="bottom" textRotation="0" wrapText="false" indent="0" shrinkToFit="false"/>
      <protection locked="true" hidden="false"/>
    </xf>
    <xf numFmtId="168" fontId="21" fillId="0" borderId="2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right" vertical="bottom" textRotation="0" wrapText="false" indent="0" shrinkToFit="false"/>
      <protection locked="true" hidden="false"/>
    </xf>
    <xf numFmtId="164" fontId="20" fillId="0" borderId="15" xfId="0" applyFont="true" applyBorder="true" applyAlignment="true" applyProtection="false">
      <alignment horizontal="right" vertical="bottom" textRotation="0" wrapText="false" indent="0" shrinkToFit="false"/>
      <protection locked="true" hidden="false"/>
    </xf>
    <xf numFmtId="170" fontId="21" fillId="18" borderId="22" xfId="0" applyFont="true" applyBorder="true" applyAlignment="false" applyProtection="false">
      <alignment horizontal="general" vertical="bottom" textRotation="0" wrapText="false" indent="0" shrinkToFit="false"/>
      <protection locked="true" hidden="false"/>
    </xf>
    <xf numFmtId="165" fontId="20" fillId="0" borderId="15" xfId="0" applyFont="true" applyBorder="true" applyAlignment="true" applyProtection="false">
      <alignment horizontal="right" vertical="bottom" textRotation="0" wrapText="false" indent="0" shrinkToFit="false"/>
      <protection locked="true" hidden="false"/>
    </xf>
    <xf numFmtId="166" fontId="20" fillId="0" borderId="0" xfId="0" applyFont="true" applyBorder="true" applyAlignment="true" applyProtection="false">
      <alignment horizontal="right" vertical="bottom" textRotation="0" wrapText="false" indent="0" shrinkToFit="false"/>
      <protection locked="true" hidden="false"/>
    </xf>
    <xf numFmtId="170" fontId="23" fillId="18" borderId="21" xfId="0" applyFont="true" applyBorder="true" applyAlignment="false" applyProtection="false">
      <alignment horizontal="general" vertical="bottom" textRotation="0" wrapText="false" indent="0" shrinkToFit="false"/>
      <protection locked="true" hidden="false"/>
    </xf>
    <xf numFmtId="165" fontId="21" fillId="18" borderId="23" xfId="0" applyFont="true" applyBorder="true" applyAlignment="false" applyProtection="false">
      <alignment horizontal="general" vertical="bottom" textRotation="0" wrapText="false" indent="0" shrinkToFit="false"/>
      <protection locked="true" hidden="false"/>
    </xf>
    <xf numFmtId="165" fontId="21" fillId="18" borderId="24" xfId="0" applyFont="true" applyBorder="true" applyAlignment="false" applyProtection="false">
      <alignment horizontal="general" vertical="bottom" textRotation="0" wrapText="false" indent="0" shrinkToFit="false"/>
      <protection locked="true" hidden="false"/>
    </xf>
    <xf numFmtId="165" fontId="20" fillId="18" borderId="24" xfId="0" applyFont="true" applyBorder="true" applyAlignment="true" applyProtection="false">
      <alignment horizontal="right" vertical="bottom" textRotation="0" wrapText="false" indent="0" shrinkToFit="false"/>
      <protection locked="true" hidden="false"/>
    </xf>
    <xf numFmtId="165" fontId="20" fillId="18" borderId="25" xfId="0" applyFont="true" applyBorder="true" applyAlignment="true" applyProtection="false">
      <alignment horizontal="right" vertical="bottom" textRotation="0" wrapText="false" indent="0" shrinkToFit="false"/>
      <protection locked="true" hidden="false"/>
    </xf>
    <xf numFmtId="165" fontId="20" fillId="18" borderId="23" xfId="0" applyFont="true" applyBorder="true" applyAlignment="true" applyProtection="false">
      <alignment horizontal="right" vertical="bottom" textRotation="0" wrapText="false" indent="0" shrinkToFit="false"/>
      <protection locked="true" hidden="false"/>
    </xf>
    <xf numFmtId="169" fontId="21" fillId="18" borderId="21" xfId="0" applyFont="true" applyBorder="true" applyAlignment="false" applyProtection="false">
      <alignment horizontal="general" vertical="bottom" textRotation="0" wrapText="false" indent="0" shrinkToFit="false"/>
      <protection locked="true" hidden="false"/>
    </xf>
    <xf numFmtId="169" fontId="20" fillId="0" borderId="27" xfId="0" applyFont="true" applyBorder="true" applyAlignment="true" applyProtection="false">
      <alignment horizontal="right" vertical="bottom" textRotation="0" wrapText="false" indent="0" shrinkToFit="false"/>
      <protection locked="true" hidden="false"/>
    </xf>
    <xf numFmtId="170" fontId="21" fillId="18" borderId="25" xfId="0" applyFont="true" applyBorder="true" applyAlignment="false" applyProtection="false">
      <alignment horizontal="general" vertical="bottom" textRotation="0" wrapText="false" indent="0" shrinkToFit="false"/>
      <protection locked="true" hidden="false"/>
    </xf>
    <xf numFmtId="168" fontId="21" fillId="18" borderId="25" xfId="0" applyFont="true" applyBorder="true" applyAlignment="true" applyProtection="false">
      <alignment horizontal="center" vertical="bottom" textRotation="0" wrapText="false" indent="0" shrinkToFit="false"/>
      <protection locked="true" hidden="false"/>
    </xf>
    <xf numFmtId="167" fontId="21" fillId="18" borderId="21" xfId="0" applyFont="true" applyBorder="true" applyAlignment="false" applyProtection="false">
      <alignment horizontal="general" vertical="bottom" textRotation="0" wrapText="false" indent="0" shrinkToFit="false"/>
      <protection locked="true" hidden="false"/>
    </xf>
    <xf numFmtId="170" fontId="21" fillId="18" borderId="21" xfId="0" applyFont="true" applyBorder="true" applyAlignment="true" applyProtection="false">
      <alignment horizontal="center" vertical="bottom" textRotation="0" wrapText="false" indent="0" shrinkToFit="false"/>
      <protection locked="true" hidden="false"/>
    </xf>
    <xf numFmtId="165" fontId="21" fillId="18" borderId="21"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5" fontId="21"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6" fontId="21" fillId="0" borderId="0" xfId="19" applyFont="true" applyBorder="true" applyAlignment="true" applyProtection="true">
      <alignment horizontal="general" vertical="bottom" textRotation="0" wrapText="false" indent="0" shrinkToFit="false"/>
      <protection locked="true" hidden="false"/>
    </xf>
    <xf numFmtId="176" fontId="21" fillId="0" borderId="0" xfId="0" applyFont="true" applyBorder="false" applyAlignment="false" applyProtection="false">
      <alignment horizontal="general" vertical="bottom" textRotation="0" wrapText="false" indent="0" shrinkToFit="false"/>
      <protection locked="true" hidden="false"/>
    </xf>
    <xf numFmtId="164" fontId="0" fillId="0" borderId="0" xfId="56" applyFont="false" applyBorder="true" applyAlignment="false" applyProtection="false">
      <alignment horizontal="general" vertical="bottom" textRotation="0" wrapText="false" indent="0" shrinkToFit="false"/>
      <protection locked="true" hidden="false"/>
    </xf>
    <xf numFmtId="165" fontId="0" fillId="0" borderId="0" xfId="56" applyFont="false" applyBorder="true" applyAlignment="false" applyProtection="false">
      <alignment horizontal="general" vertical="bottom" textRotation="0" wrapText="false" indent="0" shrinkToFit="false"/>
      <protection locked="true" hidden="false"/>
    </xf>
    <xf numFmtId="168" fontId="0" fillId="0" borderId="0" xfId="56" applyFont="false" applyBorder="true" applyAlignment="false" applyProtection="false">
      <alignment horizontal="general" vertical="bottom" textRotation="0" wrapText="false" indent="0" shrinkToFit="false"/>
      <protection locked="true" hidden="false"/>
    </xf>
    <xf numFmtId="167" fontId="0" fillId="0" borderId="0" xfId="56" applyFont="false" applyBorder="true" applyAlignment="false" applyProtection="false">
      <alignment horizontal="general" vertical="bottom" textRotation="0" wrapText="false" indent="0" shrinkToFit="false"/>
      <protection locked="true" hidden="false"/>
    </xf>
    <xf numFmtId="166" fontId="0" fillId="0" borderId="0" xfId="56" applyFont="false" applyBorder="true" applyAlignment="false" applyProtection="false">
      <alignment horizontal="general" vertical="bottom" textRotation="0" wrapText="false" indent="0" shrinkToFit="false"/>
      <protection locked="true" hidden="false"/>
    </xf>
    <xf numFmtId="169" fontId="0" fillId="0" borderId="0" xfId="56" applyFont="false" applyBorder="true" applyAlignment="false" applyProtection="false">
      <alignment horizontal="general" vertical="bottom" textRotation="0" wrapText="false" indent="0" shrinkToFit="false"/>
      <protection locked="true" hidden="false"/>
    </xf>
    <xf numFmtId="169" fontId="0" fillId="0" borderId="0" xfId="56" applyFont="false" applyBorder="true" applyAlignment="true" applyProtection="false">
      <alignment horizontal="center" vertical="bottom" textRotation="0" wrapText="false" indent="0" shrinkToFit="false"/>
      <protection locked="true" hidden="false"/>
    </xf>
    <xf numFmtId="164" fontId="0" fillId="0" borderId="0" xfId="56" applyFont="false" applyBorder="true" applyAlignment="true" applyProtection="false">
      <alignment horizontal="center" vertical="bottom" textRotation="0" wrapText="false" indent="0" shrinkToFit="false"/>
      <protection locked="true" hidden="false"/>
    </xf>
    <xf numFmtId="170" fontId="21" fillId="0" borderId="0" xfId="56" applyFont="true" applyBorder="true" applyAlignment="false" applyProtection="false">
      <alignment horizontal="general" vertical="bottom" textRotation="0" wrapText="false" indent="0" shrinkToFit="false"/>
      <protection locked="true" hidden="false"/>
    </xf>
    <xf numFmtId="165" fontId="21" fillId="0" borderId="0" xfId="56" applyFont="true" applyBorder="true" applyAlignment="false" applyProtection="false">
      <alignment horizontal="general" vertical="bottom" textRotation="0" wrapText="false" indent="0" shrinkToFit="false"/>
      <protection locked="true" hidden="false"/>
    </xf>
    <xf numFmtId="168" fontId="21" fillId="0" borderId="0" xfId="56" applyFont="true" applyBorder="true" applyAlignment="false" applyProtection="false">
      <alignment horizontal="general" vertical="bottom" textRotation="0" wrapText="false" indent="0" shrinkToFit="false"/>
      <protection locked="true" hidden="false"/>
    </xf>
    <xf numFmtId="170" fontId="22" fillId="0" borderId="0" xfId="56" applyFont="true" applyBorder="true" applyAlignment="false" applyProtection="false">
      <alignment horizontal="general" vertical="bottom" textRotation="0" wrapText="false" indent="0" shrinkToFit="false"/>
      <protection locked="true" hidden="false"/>
    </xf>
    <xf numFmtId="167" fontId="21" fillId="0" borderId="0" xfId="56" applyFont="true" applyBorder="true" applyAlignment="false" applyProtection="false">
      <alignment horizontal="general" vertical="bottom" textRotation="0" wrapText="false" indent="0" shrinkToFit="false"/>
      <protection locked="true" hidden="false"/>
    </xf>
    <xf numFmtId="166" fontId="21" fillId="0" borderId="0" xfId="56" applyFont="true" applyBorder="true" applyAlignment="false" applyProtection="false">
      <alignment horizontal="general" vertical="bottom" textRotation="0" wrapText="false" indent="0" shrinkToFit="false"/>
      <protection locked="true" hidden="false"/>
    </xf>
    <xf numFmtId="169" fontId="21" fillId="0" borderId="0" xfId="56" applyFont="true" applyBorder="true" applyAlignment="false" applyProtection="false">
      <alignment horizontal="general" vertical="bottom" textRotation="0" wrapText="false" indent="0" shrinkToFit="false"/>
      <protection locked="true" hidden="false"/>
    </xf>
    <xf numFmtId="169" fontId="21" fillId="0" borderId="0" xfId="56" applyFont="true" applyBorder="true" applyAlignment="true" applyProtection="false">
      <alignment horizontal="center" vertical="bottom" textRotation="0" wrapText="false" indent="0" shrinkToFit="false"/>
      <protection locked="true" hidden="false"/>
    </xf>
    <xf numFmtId="170" fontId="23" fillId="0" borderId="0" xfId="56" applyFont="true" applyBorder="true" applyAlignment="false" applyProtection="false">
      <alignment horizontal="general" vertical="bottom" textRotation="0" wrapText="false" indent="0" shrinkToFit="false"/>
      <protection locked="true" hidden="false"/>
    </xf>
    <xf numFmtId="172" fontId="21" fillId="0" borderId="0" xfId="56" applyFont="true" applyBorder="true" applyAlignment="false" applyProtection="false">
      <alignment horizontal="general" vertical="bottom" textRotation="0" wrapText="false" indent="0" shrinkToFit="false"/>
      <protection locked="true" hidden="false"/>
    </xf>
    <xf numFmtId="170" fontId="22" fillId="0" borderId="0" xfId="56" applyFont="true" applyBorder="true" applyAlignment="true" applyProtection="false">
      <alignment horizontal="center" vertical="bottom" textRotation="0" wrapText="false" indent="0" shrinkToFit="false"/>
      <protection locked="true" hidden="false"/>
    </xf>
    <xf numFmtId="170" fontId="21" fillId="0" borderId="10" xfId="56" applyFont="true" applyBorder="true" applyAlignment="false" applyProtection="false">
      <alignment horizontal="general" vertical="bottom" textRotation="0" wrapText="false" indent="0" shrinkToFit="false"/>
      <protection locked="true" hidden="false"/>
    </xf>
    <xf numFmtId="165" fontId="21" fillId="0" borderId="10" xfId="56" applyFont="true" applyBorder="true" applyAlignment="false" applyProtection="false">
      <alignment horizontal="general" vertical="bottom" textRotation="0" wrapText="false" indent="0" shrinkToFit="false"/>
      <protection locked="true" hidden="false"/>
    </xf>
    <xf numFmtId="173" fontId="21" fillId="0" borderId="10" xfId="56" applyFont="true" applyBorder="true" applyAlignment="false" applyProtection="false">
      <alignment horizontal="general" vertical="bottom" textRotation="0" wrapText="false" indent="0" shrinkToFit="false"/>
      <protection locked="true" hidden="false"/>
    </xf>
    <xf numFmtId="168" fontId="21" fillId="0" borderId="10" xfId="56" applyFont="true" applyBorder="true" applyAlignment="false" applyProtection="false">
      <alignment horizontal="general" vertical="bottom" textRotation="0" wrapText="false" indent="0" shrinkToFit="false"/>
      <protection locked="true" hidden="false"/>
    </xf>
    <xf numFmtId="167" fontId="21" fillId="0" borderId="10" xfId="56" applyFont="true" applyBorder="true" applyAlignment="false" applyProtection="false">
      <alignment horizontal="general" vertical="bottom" textRotation="0" wrapText="false" indent="0" shrinkToFit="false"/>
      <protection locked="true" hidden="false"/>
    </xf>
    <xf numFmtId="166" fontId="21" fillId="0" borderId="10" xfId="56" applyFont="true" applyBorder="true" applyAlignment="false" applyProtection="false">
      <alignment horizontal="general" vertical="bottom" textRotation="0" wrapText="false" indent="0" shrinkToFit="false"/>
      <protection locked="true" hidden="false"/>
    </xf>
    <xf numFmtId="169" fontId="21" fillId="0" borderId="10" xfId="56" applyFont="true" applyBorder="true" applyAlignment="false" applyProtection="false">
      <alignment horizontal="general" vertical="bottom" textRotation="0" wrapText="false" indent="0" shrinkToFit="false"/>
      <protection locked="true" hidden="false"/>
    </xf>
    <xf numFmtId="169" fontId="21" fillId="0" borderId="10" xfId="56" applyFont="true" applyBorder="true" applyAlignment="true" applyProtection="false">
      <alignment horizontal="center" vertical="bottom" textRotation="0" wrapText="false" indent="0" shrinkToFit="false"/>
      <protection locked="true" hidden="false"/>
    </xf>
    <xf numFmtId="164" fontId="0" fillId="0" borderId="10" xfId="56" applyFont="false" applyBorder="true" applyAlignment="false" applyProtection="false">
      <alignment horizontal="general" vertical="bottom" textRotation="0" wrapText="false" indent="0" shrinkToFit="false"/>
      <protection locked="true" hidden="false"/>
    </xf>
    <xf numFmtId="167" fontId="0" fillId="0" borderId="10" xfId="56" applyFont="false" applyBorder="true" applyAlignment="false" applyProtection="false">
      <alignment horizontal="general" vertical="bottom" textRotation="0" wrapText="false" indent="0" shrinkToFit="false"/>
      <protection locked="true" hidden="false"/>
    </xf>
    <xf numFmtId="164" fontId="0" fillId="0" borderId="10" xfId="56" applyFont="false" applyBorder="true" applyAlignment="true" applyProtection="false">
      <alignment horizontal="center" vertical="bottom" textRotation="0" wrapText="false" indent="0" shrinkToFit="false"/>
      <protection locked="true" hidden="false"/>
    </xf>
    <xf numFmtId="170" fontId="20" fillId="0" borderId="0" xfId="56" applyFont="true" applyBorder="true" applyAlignment="false" applyProtection="false">
      <alignment horizontal="general" vertical="bottom" textRotation="0" wrapText="false" indent="0" shrinkToFit="false"/>
      <protection locked="true" hidden="false"/>
    </xf>
    <xf numFmtId="170" fontId="20" fillId="0" borderId="11" xfId="56" applyFont="true" applyBorder="true" applyAlignment="false" applyProtection="false">
      <alignment horizontal="general" vertical="bottom" textRotation="0" wrapText="false" indent="0" shrinkToFit="false"/>
      <protection locked="true" hidden="false"/>
    </xf>
    <xf numFmtId="165" fontId="20" fillId="0" borderId="12" xfId="56" applyFont="true" applyBorder="true" applyAlignment="false" applyProtection="false">
      <alignment horizontal="general" vertical="bottom" textRotation="0" wrapText="false" indent="0" shrinkToFit="false"/>
      <protection locked="true" hidden="false"/>
    </xf>
    <xf numFmtId="173" fontId="24" fillId="0" borderId="12" xfId="56" applyFont="true" applyBorder="true" applyAlignment="false" applyProtection="false">
      <alignment horizontal="general" vertical="bottom" textRotation="0" wrapText="false" indent="0" shrinkToFit="false"/>
      <protection locked="true" hidden="false"/>
    </xf>
    <xf numFmtId="170" fontId="20" fillId="0" borderId="13" xfId="56" applyFont="true" applyBorder="true" applyAlignment="false" applyProtection="false">
      <alignment horizontal="general" vertical="bottom" textRotation="0" wrapText="false" indent="0" shrinkToFit="false"/>
      <protection locked="true" hidden="false"/>
    </xf>
    <xf numFmtId="168" fontId="20" fillId="0" borderId="0" xfId="56" applyFont="true" applyBorder="true" applyAlignment="false" applyProtection="false">
      <alignment horizontal="general" vertical="bottom" textRotation="0" wrapText="false" indent="0" shrinkToFit="false"/>
      <protection locked="true" hidden="false"/>
    </xf>
    <xf numFmtId="170" fontId="24" fillId="0" borderId="0" xfId="56" applyFont="true" applyBorder="true" applyAlignment="true" applyProtection="false">
      <alignment horizontal="center" vertical="bottom" textRotation="0" wrapText="false" indent="0" shrinkToFit="false"/>
      <protection locked="true" hidden="false"/>
    </xf>
    <xf numFmtId="165" fontId="20" fillId="0" borderId="0" xfId="56" applyFont="true" applyBorder="true" applyAlignment="false" applyProtection="false">
      <alignment horizontal="general" vertical="bottom" textRotation="0" wrapText="false" indent="0" shrinkToFit="false"/>
      <protection locked="true" hidden="false"/>
    </xf>
    <xf numFmtId="167" fontId="20" fillId="0" borderId="0" xfId="56" applyFont="true" applyBorder="true" applyAlignment="false" applyProtection="false">
      <alignment horizontal="general" vertical="bottom" textRotation="0" wrapText="false" indent="0" shrinkToFit="false"/>
      <protection locked="true" hidden="false"/>
    </xf>
    <xf numFmtId="166" fontId="20" fillId="0" borderId="11" xfId="56" applyFont="true" applyBorder="true" applyAlignment="false" applyProtection="false">
      <alignment horizontal="general" vertical="bottom" textRotation="0" wrapText="false" indent="0" shrinkToFit="false"/>
      <protection locked="true" hidden="false"/>
    </xf>
    <xf numFmtId="169" fontId="24" fillId="0" borderId="12" xfId="56" applyFont="true" applyBorder="true" applyAlignment="true" applyProtection="false">
      <alignment horizontal="center" vertical="bottom" textRotation="0" wrapText="false" indent="0" shrinkToFit="false"/>
      <protection locked="true" hidden="false"/>
    </xf>
    <xf numFmtId="169" fontId="20" fillId="0" borderId="13" xfId="56" applyFont="true" applyBorder="true" applyAlignment="true" applyProtection="false">
      <alignment horizontal="center" vertical="bottom" textRotation="0" wrapText="false" indent="0" shrinkToFit="false"/>
      <protection locked="true" hidden="false"/>
    </xf>
    <xf numFmtId="164" fontId="20" fillId="0" borderId="0" xfId="56" applyFont="true" applyBorder="true" applyAlignment="false" applyProtection="false">
      <alignment horizontal="general" vertical="bottom" textRotation="0" wrapText="false" indent="0" shrinkToFit="false"/>
      <protection locked="true" hidden="false"/>
    </xf>
    <xf numFmtId="164" fontId="24" fillId="0" borderId="0" xfId="56" applyFont="true" applyBorder="true" applyAlignment="true" applyProtection="false">
      <alignment horizontal="center" vertical="bottom" textRotation="0" wrapText="false" indent="0" shrinkToFit="false"/>
      <protection locked="true" hidden="false"/>
    </xf>
    <xf numFmtId="164" fontId="20" fillId="0" borderId="0" xfId="56" applyFont="true" applyBorder="true" applyAlignment="true" applyProtection="false">
      <alignment horizontal="center" vertical="bottom" textRotation="0" wrapText="false" indent="0" shrinkToFit="false"/>
      <protection locked="true" hidden="false"/>
    </xf>
    <xf numFmtId="164" fontId="20" fillId="0" borderId="12" xfId="56" applyFont="true" applyBorder="true" applyAlignment="true" applyProtection="false">
      <alignment horizontal="center" vertical="bottom" textRotation="0" wrapText="false" indent="0" shrinkToFit="false"/>
      <protection locked="true" hidden="false"/>
    </xf>
    <xf numFmtId="164" fontId="20" fillId="0" borderId="12" xfId="56" applyFont="true" applyBorder="true" applyAlignment="false" applyProtection="false">
      <alignment horizontal="general" vertical="bottom" textRotation="0" wrapText="false" indent="0" shrinkToFit="false"/>
      <protection locked="true" hidden="false"/>
    </xf>
    <xf numFmtId="170" fontId="25" fillId="0" borderId="0" xfId="56" applyFont="true" applyBorder="true" applyAlignment="true" applyProtection="false">
      <alignment horizontal="center" vertical="bottom" textRotation="0" wrapText="false" indent="0" shrinkToFit="false"/>
      <protection locked="true" hidden="false"/>
    </xf>
    <xf numFmtId="170" fontId="25" fillId="0" borderId="14" xfId="56" applyFont="true" applyBorder="true" applyAlignment="true" applyProtection="false">
      <alignment horizontal="center" vertical="bottom" textRotation="0" wrapText="false" indent="0" shrinkToFit="false"/>
      <protection locked="true" hidden="false"/>
    </xf>
    <xf numFmtId="165" fontId="25" fillId="0" borderId="0" xfId="56" applyFont="true" applyBorder="true" applyAlignment="true" applyProtection="false">
      <alignment horizontal="center" vertical="bottom" textRotation="0" wrapText="false" indent="0" shrinkToFit="false"/>
      <protection locked="true" hidden="false"/>
    </xf>
    <xf numFmtId="170" fontId="25" fillId="0" borderId="15" xfId="56" applyFont="true" applyBorder="true" applyAlignment="true" applyProtection="false">
      <alignment horizontal="center" vertical="bottom" textRotation="0" wrapText="false" indent="0" shrinkToFit="false"/>
      <protection locked="true" hidden="false"/>
    </xf>
    <xf numFmtId="168" fontId="25" fillId="0" borderId="0" xfId="56" applyFont="true" applyBorder="true" applyAlignment="true" applyProtection="false">
      <alignment horizontal="center" vertical="bottom" textRotation="0" wrapText="false" indent="0" shrinkToFit="false"/>
      <protection locked="true" hidden="false"/>
    </xf>
    <xf numFmtId="170" fontId="26" fillId="0" borderId="18" xfId="56" applyFont="true" applyBorder="true" applyAlignment="true" applyProtection="false">
      <alignment horizontal="center" vertical="bottom" textRotation="0" wrapText="false" indent="0" shrinkToFit="false"/>
      <protection locked="true" hidden="false"/>
    </xf>
    <xf numFmtId="167" fontId="25" fillId="0" borderId="0" xfId="56" applyFont="true" applyBorder="true" applyAlignment="true" applyProtection="false">
      <alignment horizontal="center" vertical="bottom" textRotation="0" wrapText="false" indent="0" shrinkToFit="false"/>
      <protection locked="true" hidden="false"/>
    </xf>
    <xf numFmtId="170" fontId="26" fillId="0" borderId="18" xfId="56" applyFont="true" applyBorder="true" applyAlignment="true" applyProtection="false">
      <alignment horizontal="left" vertical="bottom" textRotation="0" wrapText="false" indent="0" shrinkToFit="false"/>
      <protection locked="true" hidden="false"/>
    </xf>
    <xf numFmtId="170" fontId="26" fillId="0" borderId="18" xfId="56" applyFont="true" applyBorder="true" applyAlignment="true" applyProtection="false">
      <alignment horizontal="right" vertical="bottom" textRotation="0" wrapText="false" indent="0" shrinkToFit="false"/>
      <protection locked="true" hidden="false"/>
    </xf>
    <xf numFmtId="166" fontId="25" fillId="0" borderId="14" xfId="56" applyFont="true" applyBorder="true" applyAlignment="true" applyProtection="false">
      <alignment horizontal="center" vertical="bottom" textRotation="0" wrapText="false" indent="0" shrinkToFit="false"/>
      <protection locked="true" hidden="false"/>
    </xf>
    <xf numFmtId="169" fontId="25" fillId="0" borderId="0" xfId="56" applyFont="true" applyBorder="true" applyAlignment="true" applyProtection="false">
      <alignment horizontal="center" vertical="bottom" textRotation="0" wrapText="false" indent="0" shrinkToFit="false"/>
      <protection locked="true" hidden="false"/>
    </xf>
    <xf numFmtId="169" fontId="25" fillId="0" borderId="15" xfId="56" applyFont="true" applyBorder="true" applyAlignment="true" applyProtection="false">
      <alignment horizontal="center" vertical="bottom" textRotation="0" wrapText="false" indent="0" shrinkToFit="false"/>
      <protection locked="true" hidden="false"/>
    </xf>
    <xf numFmtId="164" fontId="31" fillId="0" borderId="0" xfId="56" applyFont="true" applyBorder="true" applyAlignment="true" applyProtection="false">
      <alignment horizontal="center" vertical="bottom" textRotation="0" wrapText="false" indent="0" shrinkToFit="false"/>
      <protection locked="true" hidden="false"/>
    </xf>
    <xf numFmtId="164" fontId="23" fillId="0" borderId="0" xfId="56" applyFont="true" applyBorder="true" applyAlignment="true" applyProtection="false">
      <alignment horizontal="center" vertical="bottom" textRotation="0" wrapText="false" indent="0" shrinkToFit="false"/>
      <protection locked="true" hidden="false"/>
    </xf>
    <xf numFmtId="164" fontId="32" fillId="0" borderId="0" xfId="56" applyFont="true" applyBorder="true" applyAlignment="true" applyProtection="false">
      <alignment horizontal="general" vertical="bottom" textRotation="0" wrapText="false" indent="0" shrinkToFit="false"/>
      <protection locked="true" hidden="false"/>
    </xf>
    <xf numFmtId="170" fontId="27" fillId="0" borderId="0" xfId="56" applyFont="true" applyBorder="true" applyAlignment="true" applyProtection="false">
      <alignment horizontal="center" vertical="bottom" textRotation="0" wrapText="false" indent="0" shrinkToFit="false"/>
      <protection locked="true" hidden="false"/>
    </xf>
    <xf numFmtId="170" fontId="25" fillId="0" borderId="19" xfId="56" applyFont="true" applyBorder="true" applyAlignment="true" applyProtection="false">
      <alignment horizontal="center" vertical="bottom" textRotation="0" wrapText="false" indent="0" shrinkToFit="false"/>
      <protection locked="true" hidden="false"/>
    </xf>
    <xf numFmtId="168" fontId="25" fillId="0" borderId="20" xfId="56" applyFont="true" applyBorder="true" applyAlignment="true" applyProtection="false">
      <alignment horizontal="center" vertical="bottom" textRotation="0" wrapText="false" indent="0" shrinkToFit="false"/>
      <protection locked="true" hidden="false"/>
    </xf>
    <xf numFmtId="170" fontId="25" fillId="0" borderId="20" xfId="56" applyFont="true" applyBorder="true" applyAlignment="true" applyProtection="false">
      <alignment horizontal="center" vertical="bottom" textRotation="0" wrapText="false" indent="0" shrinkToFit="false"/>
      <protection locked="true" hidden="false"/>
    </xf>
    <xf numFmtId="166" fontId="25" fillId="0" borderId="14" xfId="56" applyFont="true" applyBorder="true" applyAlignment="false" applyProtection="false">
      <alignment horizontal="general" vertical="bottom" textRotation="0" wrapText="false" indent="0" shrinkToFit="false"/>
      <protection locked="true" hidden="false"/>
    </xf>
    <xf numFmtId="169" fontId="23" fillId="0" borderId="0" xfId="56" applyFont="true" applyBorder="true" applyAlignment="true" applyProtection="false">
      <alignment horizontal="center" vertical="bottom" textRotation="0" wrapText="false" indent="0" shrinkToFit="false"/>
      <protection locked="true" hidden="false"/>
    </xf>
    <xf numFmtId="167" fontId="23" fillId="0" borderId="0" xfId="56" applyFont="true" applyBorder="true" applyAlignment="true" applyProtection="false">
      <alignment horizontal="center" vertical="bottom" textRotation="0" wrapText="false" indent="0" shrinkToFit="false"/>
      <protection locked="true" hidden="false"/>
    </xf>
    <xf numFmtId="164" fontId="32" fillId="0" borderId="0" xfId="56" applyFont="true" applyBorder="true" applyAlignment="true" applyProtection="false">
      <alignment horizontal="center" vertical="bottom" textRotation="0" wrapText="false" indent="0" shrinkToFit="false"/>
      <protection locked="true" hidden="false"/>
    </xf>
    <xf numFmtId="170" fontId="21" fillId="0" borderId="0" xfId="56" applyFont="true" applyBorder="true" applyAlignment="true" applyProtection="false">
      <alignment horizontal="center" vertical="bottom" textRotation="0" wrapText="false" indent="0" shrinkToFit="false"/>
      <protection locked="true" hidden="false"/>
    </xf>
    <xf numFmtId="170" fontId="21" fillId="0" borderId="14" xfId="56" applyFont="true" applyBorder="true" applyAlignment="true" applyProtection="false">
      <alignment horizontal="center" vertical="bottom" textRotation="0" wrapText="false" indent="0" shrinkToFit="false"/>
      <protection locked="true" hidden="false"/>
    </xf>
    <xf numFmtId="165" fontId="21" fillId="0" borderId="0" xfId="56" applyFont="true" applyBorder="true" applyAlignment="true" applyProtection="false">
      <alignment horizontal="center" vertical="bottom" textRotation="0" wrapText="false" indent="0" shrinkToFit="false"/>
      <protection locked="true" hidden="false"/>
    </xf>
    <xf numFmtId="165" fontId="23" fillId="0" borderId="0" xfId="56" applyFont="true" applyBorder="true" applyAlignment="true" applyProtection="false">
      <alignment horizontal="center" vertical="bottom" textRotation="0" wrapText="false" indent="0" shrinkToFit="false"/>
      <protection locked="true" hidden="false"/>
    </xf>
    <xf numFmtId="170" fontId="21" fillId="0" borderId="15" xfId="56" applyFont="true" applyBorder="true" applyAlignment="true" applyProtection="false">
      <alignment horizontal="center" vertical="bottom" textRotation="0" wrapText="false" indent="0" shrinkToFit="false"/>
      <protection locked="true" hidden="false"/>
    </xf>
    <xf numFmtId="168" fontId="21" fillId="0" borderId="0" xfId="56" applyFont="true" applyBorder="true" applyAlignment="true" applyProtection="false">
      <alignment horizontal="center" vertical="bottom" textRotation="0" wrapText="false" indent="0" shrinkToFit="false"/>
      <protection locked="true" hidden="false"/>
    </xf>
    <xf numFmtId="170" fontId="21" fillId="0" borderId="19" xfId="56" applyFont="true" applyBorder="true" applyAlignment="true" applyProtection="false">
      <alignment horizontal="center" vertical="bottom" textRotation="0" wrapText="false" indent="0" shrinkToFit="false"/>
      <protection locked="true" hidden="false"/>
    </xf>
    <xf numFmtId="170" fontId="23" fillId="0" borderId="0" xfId="56" applyFont="true" applyBorder="true" applyAlignment="true" applyProtection="false">
      <alignment horizontal="center" vertical="bottom" textRotation="0" wrapText="false" indent="0" shrinkToFit="false"/>
      <protection locked="true" hidden="false"/>
    </xf>
    <xf numFmtId="168" fontId="23" fillId="0" borderId="0" xfId="56" applyFont="true" applyBorder="true" applyAlignment="true" applyProtection="false">
      <alignment horizontal="center" vertical="bottom" textRotation="0" wrapText="false" indent="0" shrinkToFit="false"/>
      <protection locked="true" hidden="false"/>
    </xf>
    <xf numFmtId="168" fontId="23" fillId="0" borderId="20" xfId="56" applyFont="true" applyBorder="true" applyAlignment="true" applyProtection="false">
      <alignment horizontal="center" vertical="bottom" textRotation="0" wrapText="false" indent="0" shrinkToFit="false"/>
      <protection locked="true" hidden="false"/>
    </xf>
    <xf numFmtId="170" fontId="21" fillId="0" borderId="20" xfId="56" applyFont="true" applyBorder="true" applyAlignment="true" applyProtection="false">
      <alignment horizontal="center" vertical="bottom" textRotation="0" wrapText="false" indent="0" shrinkToFit="false"/>
      <protection locked="true" hidden="false"/>
    </xf>
    <xf numFmtId="166" fontId="21" fillId="0" borderId="14" xfId="56" applyFont="true" applyBorder="true" applyAlignment="false" applyProtection="false">
      <alignment horizontal="general" vertical="bottom" textRotation="0" wrapText="false" indent="0" shrinkToFit="false"/>
      <protection locked="true" hidden="false"/>
    </xf>
    <xf numFmtId="169" fontId="21" fillId="0" borderId="15" xfId="56" applyFont="true" applyBorder="true" applyAlignment="true" applyProtection="false">
      <alignment horizontal="center" vertical="bottom" textRotation="0" wrapText="false" indent="0" shrinkToFit="false"/>
      <protection locked="true" hidden="false"/>
    </xf>
    <xf numFmtId="174" fontId="23" fillId="0" borderId="0" xfId="56" applyFont="true" applyBorder="true" applyAlignment="true" applyProtection="false">
      <alignment horizontal="center" vertical="bottom" textRotation="0" wrapText="false" indent="0" shrinkToFit="false"/>
      <protection locked="true" hidden="false"/>
    </xf>
    <xf numFmtId="167" fontId="21" fillId="0" borderId="0" xfId="56" applyFont="true" applyBorder="true" applyAlignment="true" applyProtection="false">
      <alignment horizontal="center" vertical="bottom" textRotation="0" wrapText="false" indent="0" shrinkToFit="false"/>
      <protection locked="true" hidden="false"/>
    </xf>
    <xf numFmtId="170" fontId="20" fillId="0" borderId="14" xfId="56" applyFont="true" applyBorder="true" applyAlignment="true" applyProtection="false">
      <alignment horizontal="right" vertical="bottom" textRotation="0" wrapText="false" indent="0" shrinkToFit="false"/>
      <protection locked="true" hidden="false"/>
    </xf>
    <xf numFmtId="165" fontId="20" fillId="0" borderId="15" xfId="56" applyFont="true" applyBorder="true" applyAlignment="true" applyProtection="false">
      <alignment horizontal="right" vertical="bottom" textRotation="0" wrapText="false" indent="0" shrinkToFit="false"/>
      <protection locked="true" hidden="false"/>
    </xf>
    <xf numFmtId="168" fontId="20" fillId="0" borderId="0" xfId="56" applyFont="true" applyBorder="true" applyAlignment="true" applyProtection="false">
      <alignment horizontal="right" vertical="bottom" textRotation="0" wrapText="false" indent="0" shrinkToFit="false"/>
      <protection locked="true" hidden="false"/>
    </xf>
    <xf numFmtId="165" fontId="20" fillId="0" borderId="19" xfId="56" applyFont="true" applyBorder="true" applyAlignment="true" applyProtection="false">
      <alignment horizontal="right" vertical="bottom" textRotation="0" wrapText="false" indent="0" shrinkToFit="false"/>
      <protection locked="true" hidden="false"/>
    </xf>
    <xf numFmtId="168" fontId="20" fillId="0" borderId="20" xfId="56" applyFont="true" applyBorder="true" applyAlignment="true" applyProtection="false">
      <alignment horizontal="right" vertical="bottom" textRotation="0" wrapText="false" indent="0" shrinkToFit="false"/>
      <protection locked="true" hidden="false"/>
    </xf>
    <xf numFmtId="167" fontId="20" fillId="0" borderId="0" xfId="56" applyFont="true" applyBorder="true" applyAlignment="true" applyProtection="false">
      <alignment horizontal="right" vertical="bottom" textRotation="0" wrapText="false" indent="0" shrinkToFit="false"/>
      <protection locked="true" hidden="false"/>
    </xf>
    <xf numFmtId="165" fontId="20" fillId="0" borderId="20" xfId="56" applyFont="true" applyBorder="true" applyAlignment="true" applyProtection="false">
      <alignment horizontal="right" vertical="bottom" textRotation="0" wrapText="false" indent="0" shrinkToFit="false"/>
      <protection locked="true" hidden="false"/>
    </xf>
    <xf numFmtId="166" fontId="20" fillId="0" borderId="14" xfId="56" applyFont="true" applyBorder="true" applyAlignment="true" applyProtection="false">
      <alignment horizontal="right" vertical="bottom" textRotation="0" wrapText="false" indent="0" shrinkToFit="false"/>
      <protection locked="true" hidden="false"/>
    </xf>
    <xf numFmtId="169" fontId="20" fillId="0" borderId="0" xfId="56" applyFont="true" applyBorder="true" applyAlignment="true" applyProtection="false">
      <alignment horizontal="right" vertical="bottom" textRotation="0" wrapText="false" indent="0" shrinkToFit="false"/>
      <protection locked="true" hidden="false"/>
    </xf>
    <xf numFmtId="169" fontId="20" fillId="0" borderId="15" xfId="56" applyFont="true" applyBorder="true" applyAlignment="true" applyProtection="false">
      <alignment horizontal="right" vertical="bottom" textRotation="0" wrapText="false" indent="0" shrinkToFit="false"/>
      <protection locked="true" hidden="false"/>
    </xf>
    <xf numFmtId="164" fontId="20" fillId="0" borderId="0" xfId="56" applyFont="true" applyBorder="true" applyAlignment="true" applyProtection="false">
      <alignment horizontal="right" vertical="bottom" textRotation="0" wrapText="false" indent="0" shrinkToFit="false"/>
      <protection locked="true" hidden="false"/>
    </xf>
    <xf numFmtId="165" fontId="23" fillId="0" borderId="0" xfId="56" applyFont="true" applyBorder="true" applyAlignment="false" applyProtection="false">
      <alignment horizontal="general" vertical="bottom" textRotation="0" wrapText="false" indent="0" shrinkToFit="false"/>
      <protection locked="true" hidden="false"/>
    </xf>
    <xf numFmtId="165" fontId="20" fillId="0" borderId="28" xfId="56" applyFont="true" applyBorder="true" applyAlignment="true" applyProtection="false">
      <alignment horizontal="right" vertical="bottom" textRotation="0" wrapText="false" indent="0" shrinkToFit="false"/>
      <protection locked="true" hidden="false"/>
    </xf>
    <xf numFmtId="168" fontId="20" fillId="0" borderId="29" xfId="56" applyFont="true" applyBorder="true" applyAlignment="true" applyProtection="false">
      <alignment horizontal="right" vertical="bottom" textRotation="0" wrapText="false" indent="0" shrinkToFit="false"/>
      <protection locked="true" hidden="false"/>
    </xf>
    <xf numFmtId="170" fontId="21" fillId="18" borderId="21" xfId="56" applyFont="true" applyBorder="true" applyAlignment="false" applyProtection="false">
      <alignment horizontal="general" vertical="bottom" textRotation="0" wrapText="false" indent="0" shrinkToFit="false"/>
      <protection locked="true" hidden="false"/>
    </xf>
    <xf numFmtId="174" fontId="20" fillId="18" borderId="22" xfId="56" applyFont="true" applyBorder="true" applyAlignment="true" applyProtection="false">
      <alignment horizontal="right" vertical="bottom" textRotation="0" wrapText="false" indent="0" shrinkToFit="false"/>
      <protection locked="true" hidden="false"/>
    </xf>
    <xf numFmtId="165" fontId="20" fillId="18" borderId="21" xfId="56" applyFont="true" applyBorder="true" applyAlignment="true" applyProtection="false">
      <alignment horizontal="right" vertical="bottom" textRotation="0" wrapText="false" indent="0" shrinkToFit="false"/>
      <protection locked="true" hidden="false"/>
    </xf>
    <xf numFmtId="170" fontId="20" fillId="18" borderId="21" xfId="56" applyFont="true" applyBorder="true" applyAlignment="true" applyProtection="false">
      <alignment horizontal="right" vertical="bottom" textRotation="0" wrapText="false" indent="0" shrinkToFit="false"/>
      <protection locked="true" hidden="false"/>
    </xf>
    <xf numFmtId="170" fontId="20" fillId="18" borderId="23" xfId="56" applyFont="true" applyBorder="true" applyAlignment="true" applyProtection="false">
      <alignment horizontal="right" vertical="bottom" textRotation="0" wrapText="false" indent="0" shrinkToFit="false"/>
      <protection locked="true" hidden="false"/>
    </xf>
    <xf numFmtId="168" fontId="20" fillId="18" borderId="21" xfId="56" applyFont="true" applyBorder="true" applyAlignment="true" applyProtection="false">
      <alignment horizontal="right" vertical="bottom" textRotation="0" wrapText="false" indent="0" shrinkToFit="false"/>
      <protection locked="true" hidden="false"/>
    </xf>
    <xf numFmtId="170" fontId="20" fillId="18" borderId="24" xfId="56" applyFont="true" applyBorder="true" applyAlignment="true" applyProtection="false">
      <alignment horizontal="right" vertical="bottom" textRotation="0" wrapText="false" indent="0" shrinkToFit="false"/>
      <protection locked="true" hidden="false"/>
    </xf>
    <xf numFmtId="168" fontId="20" fillId="18" borderId="25" xfId="56" applyFont="true" applyBorder="true" applyAlignment="true" applyProtection="false">
      <alignment horizontal="right" vertical="bottom" textRotation="0" wrapText="false" indent="0" shrinkToFit="false"/>
      <protection locked="true" hidden="false"/>
    </xf>
    <xf numFmtId="167" fontId="20" fillId="18" borderId="21" xfId="56" applyFont="true" applyBorder="true" applyAlignment="true" applyProtection="false">
      <alignment horizontal="right" vertical="bottom" textRotation="0" wrapText="false" indent="0" shrinkToFit="false"/>
      <protection locked="true" hidden="false"/>
    </xf>
    <xf numFmtId="170" fontId="20" fillId="18" borderId="25" xfId="56" applyFont="true" applyBorder="true" applyAlignment="true" applyProtection="false">
      <alignment horizontal="right" vertical="bottom" textRotation="0" wrapText="false" indent="0" shrinkToFit="false"/>
      <protection locked="true" hidden="false"/>
    </xf>
    <xf numFmtId="166" fontId="20" fillId="18" borderId="22" xfId="56" applyFont="true" applyBorder="true" applyAlignment="true" applyProtection="false">
      <alignment horizontal="right" vertical="bottom" textRotation="0" wrapText="false" indent="0" shrinkToFit="false"/>
      <protection locked="true" hidden="false"/>
    </xf>
    <xf numFmtId="169" fontId="20" fillId="18" borderId="21" xfId="56" applyFont="true" applyBorder="true" applyAlignment="true" applyProtection="false">
      <alignment horizontal="right" vertical="bottom" textRotation="0" wrapText="false" indent="0" shrinkToFit="false"/>
      <protection locked="true" hidden="false"/>
    </xf>
    <xf numFmtId="169" fontId="20" fillId="18" borderId="23" xfId="56" applyFont="true" applyBorder="true" applyAlignment="true" applyProtection="false">
      <alignment horizontal="right" vertical="bottom" textRotation="0" wrapText="false" indent="0" shrinkToFit="false"/>
      <protection locked="true" hidden="false"/>
    </xf>
    <xf numFmtId="170" fontId="20" fillId="0" borderId="15" xfId="56" applyFont="true" applyBorder="true" applyAlignment="true" applyProtection="false">
      <alignment horizontal="right" vertical="bottom" textRotation="0" wrapText="false" indent="0" shrinkToFit="false"/>
      <protection locked="true" hidden="false"/>
    </xf>
    <xf numFmtId="170" fontId="20" fillId="0" borderId="19" xfId="56" applyFont="true" applyBorder="true" applyAlignment="true" applyProtection="false">
      <alignment horizontal="right" vertical="bottom" textRotation="0" wrapText="false" indent="0" shrinkToFit="false"/>
      <protection locked="true" hidden="false"/>
    </xf>
    <xf numFmtId="170" fontId="20" fillId="0" borderId="20" xfId="56" applyFont="true" applyBorder="true" applyAlignment="true" applyProtection="false">
      <alignment horizontal="right" vertical="bottom" textRotation="0" wrapText="false" indent="0" shrinkToFit="false"/>
      <protection locked="true" hidden="false"/>
    </xf>
    <xf numFmtId="164" fontId="20" fillId="0" borderId="15" xfId="56" applyFont="true" applyBorder="true" applyAlignment="true" applyProtection="false">
      <alignment horizontal="right" vertical="bottom" textRotation="0" wrapText="false" indent="0" shrinkToFit="false"/>
      <protection locked="true" hidden="false"/>
    </xf>
    <xf numFmtId="170" fontId="20" fillId="18" borderId="22" xfId="56" applyFont="true" applyBorder="true" applyAlignment="true" applyProtection="false">
      <alignment horizontal="right" vertical="bottom" textRotation="0" wrapText="false" indent="0" shrinkToFit="false"/>
      <protection locked="true" hidden="false"/>
    </xf>
    <xf numFmtId="170" fontId="20" fillId="0" borderId="21" xfId="56" applyFont="true" applyBorder="true" applyAlignment="true" applyProtection="false">
      <alignment horizontal="right" vertical="bottom" textRotation="0" wrapText="false" indent="0" shrinkToFit="false"/>
      <protection locked="true" hidden="false"/>
    </xf>
    <xf numFmtId="170" fontId="20" fillId="0" borderId="24" xfId="56" applyFont="true" applyBorder="true" applyAlignment="true" applyProtection="false">
      <alignment horizontal="right" vertical="bottom" textRotation="0" wrapText="false" indent="0" shrinkToFit="false"/>
      <protection locked="true" hidden="false"/>
    </xf>
    <xf numFmtId="170" fontId="23" fillId="18" borderId="21" xfId="56" applyFont="true" applyBorder="true" applyAlignment="false" applyProtection="false">
      <alignment horizontal="general" vertical="bottom" textRotation="0" wrapText="false" indent="0" shrinkToFit="false"/>
      <protection locked="true" hidden="false"/>
    </xf>
    <xf numFmtId="165" fontId="20" fillId="18" borderId="23" xfId="56" applyFont="true" applyBorder="true" applyAlignment="true" applyProtection="false">
      <alignment horizontal="right" vertical="bottom" textRotation="0" wrapText="false" indent="0" shrinkToFit="false"/>
      <protection locked="true" hidden="false"/>
    </xf>
    <xf numFmtId="165" fontId="20" fillId="18" borderId="24" xfId="56" applyFont="true" applyBorder="true" applyAlignment="true" applyProtection="false">
      <alignment horizontal="right" vertical="bottom" textRotation="0" wrapText="false" indent="0" shrinkToFit="false"/>
      <protection locked="true" hidden="false"/>
    </xf>
    <xf numFmtId="165" fontId="20" fillId="18" borderId="25" xfId="56" applyFont="true" applyBorder="true" applyAlignment="true" applyProtection="false">
      <alignment horizontal="right" vertical="bottom" textRotation="0" wrapText="false" indent="0" shrinkToFit="false"/>
      <protection locked="true" hidden="false"/>
    </xf>
    <xf numFmtId="165" fontId="20" fillId="18" borderId="22" xfId="56" applyFont="true" applyBorder="true" applyAlignment="true" applyProtection="false">
      <alignment horizontal="right" vertical="bottom" textRotation="0" wrapText="false" indent="0" shrinkToFit="false"/>
      <protection locked="true" hidden="false"/>
    </xf>
    <xf numFmtId="166" fontId="20" fillId="18" borderId="21" xfId="56" applyFont="true" applyBorder="true" applyAlignment="true" applyProtection="false">
      <alignment horizontal="right" vertical="bottom" textRotation="0" wrapText="false" indent="0" shrinkToFit="false"/>
      <protection locked="true" hidden="false"/>
    </xf>
    <xf numFmtId="166" fontId="20" fillId="18" borderId="23" xfId="56" applyFont="true" applyBorder="true" applyAlignment="true" applyProtection="false">
      <alignment horizontal="right" vertical="bottom" textRotation="0" wrapText="false" indent="0" shrinkToFit="false"/>
      <protection locked="true" hidden="false"/>
    </xf>
    <xf numFmtId="165" fontId="20" fillId="0" borderId="30" xfId="56" applyFont="true" applyBorder="true" applyAlignment="true" applyProtection="false">
      <alignment horizontal="right" vertical="bottom" textRotation="0" wrapText="false" indent="0" shrinkToFit="false"/>
      <protection locked="true" hidden="false"/>
    </xf>
    <xf numFmtId="165" fontId="20" fillId="0" borderId="29" xfId="56" applyFont="true" applyBorder="true" applyAlignment="true" applyProtection="false">
      <alignment horizontal="right" vertical="bottom" textRotation="0" wrapText="false" indent="0" shrinkToFit="false"/>
      <protection locked="true" hidden="false"/>
    </xf>
    <xf numFmtId="175" fontId="21" fillId="0" borderId="0" xfId="56" applyFont="true" applyBorder="true" applyAlignment="false" applyProtection="false">
      <alignment horizontal="general" vertical="bottom" textRotation="0" wrapText="false" indent="0" shrinkToFit="false"/>
      <protection locked="true" hidden="false"/>
    </xf>
    <xf numFmtId="174" fontId="21" fillId="0" borderId="0" xfId="56" applyFont="true" applyBorder="true" applyAlignment="false" applyProtection="false">
      <alignment horizontal="general" vertical="bottom" textRotation="0" wrapText="false" indent="0" shrinkToFit="false"/>
      <protection locked="true" hidden="false"/>
    </xf>
    <xf numFmtId="164" fontId="21" fillId="0" borderId="0" xfId="56" applyFont="true" applyBorder="true" applyAlignment="false" applyProtection="false">
      <alignment horizontal="general" vertical="bottom" textRotation="0" wrapText="false" indent="0" shrinkToFit="false"/>
      <protection locked="true" hidden="false"/>
    </xf>
    <xf numFmtId="171" fontId="21" fillId="0" borderId="0" xfId="56" applyFont="true" applyBorder="true" applyAlignment="false" applyProtection="false">
      <alignment horizontal="general" vertical="bottom" textRotation="0" wrapText="false" indent="0" shrinkToFit="false"/>
      <protection locked="true" hidden="false"/>
    </xf>
    <xf numFmtId="176" fontId="21" fillId="0" borderId="0" xfId="56" applyFont="true" applyBorder="true" applyAlignment="false" applyProtection="false">
      <alignment horizontal="general" vertical="bottom" textRotation="0" wrapText="false" indent="0" shrinkToFit="false"/>
      <protection locked="true" hidden="false"/>
    </xf>
    <xf numFmtId="177" fontId="0" fillId="0" borderId="0" xfId="56" applyFont="false" applyBorder="true" applyAlignment="false" applyProtection="false">
      <alignment horizontal="general" vertical="bottom" textRotation="0" wrapText="false" indent="0" shrinkToFit="false"/>
      <protection locked="true" hidden="false"/>
    </xf>
    <xf numFmtId="177" fontId="21" fillId="0" borderId="0" xfId="56" applyFont="true" applyBorder="true" applyAlignment="false" applyProtection="false">
      <alignment horizontal="general" vertical="bottom" textRotation="0" wrapText="false" indent="0" shrinkToFit="false"/>
      <protection locked="true" hidden="false"/>
    </xf>
    <xf numFmtId="170" fontId="33" fillId="0" borderId="0" xfId="56" applyFont="true" applyBorder="true" applyAlignment="false" applyProtection="false">
      <alignment horizontal="general" vertical="bottom" textRotation="0" wrapText="false" indent="0" shrinkToFit="false"/>
      <protection locked="true" hidden="false"/>
    </xf>
    <xf numFmtId="170" fontId="33" fillId="0" borderId="0" xfId="56" applyFont="true" applyBorder="true" applyAlignment="true" applyProtection="false">
      <alignment horizontal="center" vertical="bottom" textRotation="0" wrapText="false" indent="0" shrinkToFit="false"/>
      <protection locked="true" hidden="false"/>
    </xf>
    <xf numFmtId="177" fontId="21" fillId="0" borderId="10" xfId="56" applyFont="true" applyBorder="true" applyAlignment="false" applyProtection="false">
      <alignment horizontal="general" vertical="bottom" textRotation="0" wrapText="false" indent="0" shrinkToFit="false"/>
      <protection locked="true" hidden="false"/>
    </xf>
    <xf numFmtId="170" fontId="33" fillId="0" borderId="10" xfId="56" applyFont="true" applyBorder="true" applyAlignment="false" applyProtection="false">
      <alignment horizontal="general" vertical="bottom" textRotation="0" wrapText="false" indent="0" shrinkToFit="false"/>
      <protection locked="true" hidden="false"/>
    </xf>
    <xf numFmtId="170" fontId="33" fillId="0" borderId="10" xfId="56" applyFont="true" applyBorder="true" applyAlignment="true" applyProtection="false">
      <alignment horizontal="center" vertical="bottom" textRotation="0" wrapText="false" indent="0" shrinkToFit="false"/>
      <protection locked="true" hidden="false"/>
    </xf>
    <xf numFmtId="173" fontId="24" fillId="0" borderId="12" xfId="56" applyFont="true" applyBorder="true" applyAlignment="true" applyProtection="false">
      <alignment horizontal="center" vertical="bottom" textRotation="0" wrapText="false" indent="0" shrinkToFit="false"/>
      <protection locked="true" hidden="false"/>
    </xf>
    <xf numFmtId="166" fontId="20" fillId="0" borderId="0" xfId="56" applyFont="true" applyBorder="true" applyAlignment="false" applyProtection="false">
      <alignment horizontal="general" vertical="bottom" textRotation="0" wrapText="false" indent="0" shrinkToFit="false"/>
      <protection locked="true" hidden="false"/>
    </xf>
    <xf numFmtId="177" fontId="20" fillId="0" borderId="0" xfId="56" applyFont="true" applyBorder="true" applyAlignment="false" applyProtection="false">
      <alignment horizontal="general" vertical="bottom" textRotation="0" wrapText="false" indent="0" shrinkToFit="false"/>
      <protection locked="true" hidden="false"/>
    </xf>
    <xf numFmtId="170" fontId="20" fillId="0" borderId="0" xfId="56" applyFont="true" applyBorder="true" applyAlignment="true" applyProtection="false">
      <alignment horizontal="center" vertical="bottom" textRotation="0" wrapText="false" indent="0" shrinkToFit="false"/>
      <protection locked="true" hidden="false"/>
    </xf>
    <xf numFmtId="166" fontId="25" fillId="0" borderId="0" xfId="56" applyFont="true" applyBorder="true" applyAlignment="true" applyProtection="false">
      <alignment horizontal="center" vertical="bottom" textRotation="0" wrapText="false" indent="0" shrinkToFit="false"/>
      <protection locked="true" hidden="false"/>
    </xf>
    <xf numFmtId="177" fontId="26" fillId="0" borderId="18" xfId="56" applyFont="true" applyBorder="true" applyAlignment="true" applyProtection="false">
      <alignment horizontal="center" vertical="bottom" textRotation="0" wrapText="false" indent="0" shrinkToFit="false"/>
      <protection locked="true" hidden="false"/>
    </xf>
    <xf numFmtId="177" fontId="25" fillId="0" borderId="19" xfId="56" applyFont="true" applyBorder="true" applyAlignment="true" applyProtection="false">
      <alignment horizontal="center" vertical="bottom" textRotation="0" wrapText="false" indent="0" shrinkToFit="false"/>
      <protection locked="true" hidden="false"/>
    </xf>
    <xf numFmtId="166" fontId="21" fillId="0" borderId="0" xfId="56" applyFont="true" applyBorder="true" applyAlignment="true" applyProtection="false">
      <alignment horizontal="center" vertical="bottom" textRotation="0" wrapText="false" indent="0" shrinkToFit="false"/>
      <protection locked="true" hidden="false"/>
    </xf>
    <xf numFmtId="177" fontId="21" fillId="0" borderId="19" xfId="56" applyFont="true" applyBorder="true" applyAlignment="true" applyProtection="false">
      <alignment horizontal="center" vertical="bottom" textRotation="0" wrapText="false" indent="0" shrinkToFit="false"/>
      <protection locked="true" hidden="false"/>
    </xf>
    <xf numFmtId="170" fontId="34" fillId="0" borderId="0" xfId="56" applyFont="true" applyBorder="true" applyAlignment="true" applyProtection="false">
      <alignment horizontal="center" vertical="bottom" textRotation="0" wrapText="false" indent="0" shrinkToFit="false"/>
      <protection locked="true" hidden="false"/>
    </xf>
    <xf numFmtId="174" fontId="21" fillId="0" borderId="0" xfId="56" applyFont="true" applyBorder="true" applyAlignment="true" applyProtection="false">
      <alignment horizontal="center" vertical="bottom" textRotation="0" wrapText="false" indent="0" shrinkToFit="false"/>
      <protection locked="true" hidden="false"/>
    </xf>
    <xf numFmtId="170" fontId="35" fillId="0" borderId="0" xfId="56" applyFont="true" applyBorder="true" applyAlignment="false" applyProtection="false">
      <alignment horizontal="general" vertical="bottom" textRotation="0" wrapText="false" indent="0" shrinkToFit="false"/>
      <protection locked="true" hidden="false"/>
    </xf>
    <xf numFmtId="164" fontId="35" fillId="0" borderId="0" xfId="56" applyFont="true" applyBorder="true" applyAlignment="true" applyProtection="false">
      <alignment horizontal="center" vertical="bottom" textRotation="0" wrapText="false" indent="0" shrinkToFit="false"/>
      <protection locked="true" hidden="false"/>
    </xf>
    <xf numFmtId="170" fontId="21" fillId="0" borderId="14" xfId="56" applyFont="true" applyBorder="true" applyAlignment="false" applyProtection="false">
      <alignment horizontal="general" vertical="bottom" textRotation="0" wrapText="false" indent="0" shrinkToFit="false"/>
      <protection locked="true" hidden="false"/>
    </xf>
    <xf numFmtId="165" fontId="21" fillId="0" borderId="15" xfId="56" applyFont="true" applyBorder="true" applyAlignment="false" applyProtection="false">
      <alignment horizontal="general" vertical="bottom" textRotation="0" wrapText="false" indent="0" shrinkToFit="false"/>
      <protection locked="true" hidden="false"/>
    </xf>
    <xf numFmtId="177" fontId="21" fillId="0" borderId="19" xfId="56" applyFont="true" applyBorder="true" applyAlignment="false" applyProtection="false">
      <alignment horizontal="general" vertical="bottom" textRotation="0" wrapText="false" indent="0" shrinkToFit="false"/>
      <protection locked="true" hidden="false"/>
    </xf>
    <xf numFmtId="168" fontId="21" fillId="0" borderId="20" xfId="56" applyFont="true" applyBorder="true" applyAlignment="false" applyProtection="false">
      <alignment horizontal="general" vertical="bottom" textRotation="0" wrapText="false" indent="0" shrinkToFit="false"/>
      <protection locked="true" hidden="false"/>
    </xf>
    <xf numFmtId="169" fontId="21" fillId="0" borderId="15" xfId="56" applyFont="true" applyBorder="true" applyAlignment="false" applyProtection="false">
      <alignment horizontal="general" vertical="bottom" textRotation="0" wrapText="false" indent="0" shrinkToFit="false"/>
      <protection locked="true" hidden="false"/>
    </xf>
    <xf numFmtId="174" fontId="21" fillId="0" borderId="14" xfId="56" applyFont="true" applyBorder="true" applyAlignment="false" applyProtection="false">
      <alignment horizontal="general" vertical="bottom" textRotation="0" wrapText="false" indent="0" shrinkToFit="false"/>
      <protection locked="true" hidden="false"/>
    </xf>
    <xf numFmtId="178" fontId="21" fillId="0" borderId="0" xfId="56" applyFont="true" applyBorder="true" applyAlignment="false" applyProtection="false">
      <alignment horizontal="general" vertical="bottom" textRotation="0" wrapText="false" indent="0" shrinkToFit="false"/>
      <protection locked="true" hidden="false"/>
    </xf>
    <xf numFmtId="178" fontId="21" fillId="0" borderId="19" xfId="56" applyFont="true" applyBorder="true" applyAlignment="false" applyProtection="false">
      <alignment horizontal="general" vertical="bottom" textRotation="0" wrapText="false" indent="0" shrinkToFit="false"/>
      <protection locked="true" hidden="false"/>
    </xf>
    <xf numFmtId="165" fontId="21" fillId="0" borderId="28" xfId="56" applyFont="true" applyBorder="true" applyAlignment="false" applyProtection="false">
      <alignment horizontal="general" vertical="bottom" textRotation="0" wrapText="false" indent="0" shrinkToFit="false"/>
      <protection locked="true" hidden="false"/>
    </xf>
    <xf numFmtId="168" fontId="21" fillId="0" borderId="29" xfId="56" applyFont="true" applyBorder="true" applyAlignment="false" applyProtection="false">
      <alignment horizontal="general" vertical="bottom" textRotation="0" wrapText="false" indent="0" shrinkToFit="false"/>
      <protection locked="true" hidden="false"/>
    </xf>
    <xf numFmtId="165" fontId="35" fillId="0" borderId="0" xfId="56" applyFont="true" applyBorder="true" applyAlignment="false" applyProtection="false">
      <alignment horizontal="general" vertical="bottom" textRotation="0" wrapText="false" indent="0" shrinkToFit="false"/>
      <protection locked="true" hidden="false"/>
    </xf>
    <xf numFmtId="170" fontId="35" fillId="0" borderId="0" xfId="56" applyFont="true" applyBorder="true" applyAlignment="true" applyProtection="false">
      <alignment horizontal="center" vertical="bottom" textRotation="0" wrapText="false" indent="0" shrinkToFit="false"/>
      <protection locked="true" hidden="false"/>
    </xf>
    <xf numFmtId="165" fontId="35" fillId="0" borderId="0" xfId="56" applyFont="true" applyBorder="true" applyAlignment="true" applyProtection="false">
      <alignment horizontal="center" vertical="bottom" textRotation="0" wrapText="false" indent="0" shrinkToFit="false"/>
      <protection locked="true" hidden="false"/>
    </xf>
    <xf numFmtId="174" fontId="21" fillId="18" borderId="22" xfId="56" applyFont="true" applyBorder="true" applyAlignment="false" applyProtection="false">
      <alignment horizontal="general" vertical="bottom" textRotation="0" wrapText="false" indent="0" shrinkToFit="false"/>
      <protection locked="true" hidden="false"/>
    </xf>
    <xf numFmtId="165" fontId="21" fillId="18" borderId="21" xfId="56" applyFont="true" applyBorder="true" applyAlignment="false" applyProtection="false">
      <alignment horizontal="general" vertical="bottom" textRotation="0" wrapText="false" indent="0" shrinkToFit="false"/>
      <protection locked="true" hidden="false"/>
    </xf>
    <xf numFmtId="170" fontId="21" fillId="18" borderId="23" xfId="56" applyFont="true" applyBorder="true" applyAlignment="false" applyProtection="false">
      <alignment horizontal="general" vertical="bottom" textRotation="0" wrapText="false" indent="0" shrinkToFit="false"/>
      <protection locked="true" hidden="false"/>
    </xf>
    <xf numFmtId="166" fontId="21" fillId="18" borderId="21" xfId="56" applyFont="true" applyBorder="true" applyAlignment="false" applyProtection="false">
      <alignment horizontal="general" vertical="bottom" textRotation="0" wrapText="false" indent="0" shrinkToFit="false"/>
      <protection locked="true" hidden="false"/>
    </xf>
    <xf numFmtId="177" fontId="21" fillId="18" borderId="24" xfId="56" applyFont="true" applyBorder="true" applyAlignment="false" applyProtection="false">
      <alignment horizontal="general" vertical="bottom" textRotation="0" wrapText="false" indent="0" shrinkToFit="false"/>
      <protection locked="true" hidden="false"/>
    </xf>
    <xf numFmtId="168" fontId="21" fillId="18" borderId="21" xfId="56" applyFont="true" applyBorder="true" applyAlignment="false" applyProtection="false">
      <alignment horizontal="general" vertical="bottom" textRotation="0" wrapText="false" indent="0" shrinkToFit="false"/>
      <protection locked="true" hidden="false"/>
    </xf>
    <xf numFmtId="168" fontId="21" fillId="18" borderId="25" xfId="56" applyFont="true" applyBorder="true" applyAlignment="false" applyProtection="false">
      <alignment horizontal="general" vertical="bottom" textRotation="0" wrapText="false" indent="0" shrinkToFit="false"/>
      <protection locked="true" hidden="false"/>
    </xf>
    <xf numFmtId="166" fontId="21" fillId="18" borderId="22" xfId="56" applyFont="true" applyBorder="true" applyAlignment="false" applyProtection="false">
      <alignment horizontal="general" vertical="bottom" textRotation="0" wrapText="false" indent="0" shrinkToFit="false"/>
      <protection locked="true" hidden="false"/>
    </xf>
    <xf numFmtId="169" fontId="21" fillId="18" borderId="21" xfId="56" applyFont="true" applyBorder="true" applyAlignment="false" applyProtection="false">
      <alignment horizontal="general" vertical="bottom" textRotation="0" wrapText="false" indent="0" shrinkToFit="false"/>
      <protection locked="true" hidden="false"/>
    </xf>
    <xf numFmtId="169" fontId="21" fillId="18" borderId="23" xfId="56" applyFont="true" applyBorder="true" applyAlignment="false" applyProtection="false">
      <alignment horizontal="general" vertical="bottom" textRotation="0" wrapText="false" indent="0" shrinkToFit="false"/>
      <protection locked="true" hidden="false"/>
    </xf>
    <xf numFmtId="169" fontId="21" fillId="18" borderId="21" xfId="56" applyFont="true" applyBorder="true" applyAlignment="true" applyProtection="false">
      <alignment horizontal="center" vertical="bottom" textRotation="0" wrapText="false" indent="0" shrinkToFit="false"/>
      <protection locked="true" hidden="false"/>
    </xf>
    <xf numFmtId="170" fontId="21" fillId="0" borderId="15" xfId="56" applyFont="true" applyBorder="true" applyAlignment="false" applyProtection="false">
      <alignment horizontal="general" vertical="bottom" textRotation="0" wrapText="false" indent="0" shrinkToFit="false"/>
      <protection locked="true" hidden="false"/>
    </xf>
    <xf numFmtId="174" fontId="21" fillId="0" borderId="0" xfId="0" applyFont="true" applyBorder="true" applyAlignment="false" applyProtection="false">
      <alignment horizontal="general" vertical="bottom" textRotation="0" wrapText="false" indent="0" shrinkToFit="false"/>
      <protection locked="true" hidden="false"/>
    </xf>
    <xf numFmtId="164" fontId="35" fillId="0" borderId="0" xfId="56" applyFont="true" applyBorder="true" applyAlignment="false" applyProtection="false">
      <alignment horizontal="general" vertical="bottom" textRotation="0" wrapText="false" indent="0" shrinkToFit="false"/>
      <protection locked="true" hidden="false"/>
    </xf>
    <xf numFmtId="164" fontId="21" fillId="0" borderId="15" xfId="56" applyFont="true" applyBorder="true" applyAlignment="false" applyProtection="false">
      <alignment horizontal="general" vertical="bottom" textRotation="0" wrapText="false" indent="0" shrinkToFit="false"/>
      <protection locked="true" hidden="false"/>
    </xf>
    <xf numFmtId="170" fontId="21" fillId="18" borderId="22" xfId="56" applyFont="true" applyBorder="true" applyAlignment="false" applyProtection="false">
      <alignment horizontal="general" vertical="bottom" textRotation="0" wrapText="false" indent="0" shrinkToFit="false"/>
      <protection locked="true" hidden="false"/>
    </xf>
    <xf numFmtId="165" fontId="21" fillId="18" borderId="23" xfId="56" applyFont="true" applyBorder="true" applyAlignment="false" applyProtection="false">
      <alignment horizontal="general" vertical="bottom" textRotation="0" wrapText="false" indent="0" shrinkToFit="false"/>
      <protection locked="true" hidden="false"/>
    </xf>
    <xf numFmtId="178" fontId="21" fillId="18" borderId="21" xfId="56" applyFont="true" applyBorder="true" applyAlignment="false" applyProtection="false">
      <alignment horizontal="general" vertical="bottom" textRotation="0" wrapText="false" indent="0" shrinkToFit="false"/>
      <protection locked="true" hidden="false"/>
    </xf>
    <xf numFmtId="178" fontId="21" fillId="18" borderId="24" xfId="56" applyFont="true" applyBorder="true" applyAlignment="false" applyProtection="false">
      <alignment horizontal="general" vertical="bottom" textRotation="0" wrapText="false" indent="0" shrinkToFit="false"/>
      <protection locked="true" hidden="false"/>
    </xf>
    <xf numFmtId="165" fontId="21" fillId="18" borderId="22" xfId="56" applyFont="true" applyBorder="true" applyAlignment="false" applyProtection="false">
      <alignment horizontal="general" vertical="bottom" textRotation="0" wrapText="false" indent="0" shrinkToFit="false"/>
      <protection locked="true" hidden="false"/>
    </xf>
    <xf numFmtId="165" fontId="21" fillId="18" borderId="21" xfId="56" applyFont="true" applyBorder="true" applyAlignment="true" applyProtection="false">
      <alignment horizontal="center" vertical="bottom" textRotation="0" wrapText="false" indent="0" shrinkToFit="false"/>
      <protection locked="true" hidden="false"/>
    </xf>
    <xf numFmtId="166" fontId="21" fillId="18" borderId="23" xfId="56" applyFont="true" applyBorder="true" applyAlignment="false" applyProtection="false">
      <alignment horizontal="general" vertical="bottom" textRotation="0" wrapText="false" indent="0" shrinkToFit="false"/>
      <protection locked="true" hidden="false"/>
    </xf>
    <xf numFmtId="166" fontId="21" fillId="18" borderId="21" xfId="56" applyFont="true" applyBorder="true" applyAlignment="true" applyProtection="false">
      <alignment horizontal="center" vertical="bottom" textRotation="0" wrapText="false" indent="0" shrinkToFit="false"/>
      <protection locked="true" hidden="false"/>
    </xf>
    <xf numFmtId="170" fontId="21" fillId="18" borderId="21" xfId="56" applyFont="true" applyBorder="true" applyAlignment="true" applyProtection="false">
      <alignment horizontal="center" vertical="bottom" textRotation="0" wrapText="false" indent="0" shrinkToFit="false"/>
      <protection locked="true" hidden="false"/>
    </xf>
    <xf numFmtId="164" fontId="33" fillId="0" borderId="0" xfId="56" applyFont="true" applyBorder="true" applyAlignment="false" applyProtection="false">
      <alignment horizontal="general" vertical="bottom" textRotation="0" wrapText="false" indent="0" shrinkToFit="false"/>
      <protection locked="true" hidden="false"/>
    </xf>
    <xf numFmtId="164" fontId="33" fillId="0" borderId="0" xfId="56" applyFont="true" applyBorder="true" applyAlignment="true" applyProtection="false">
      <alignment horizontal="center" vertical="bottom" textRotation="0" wrapText="false" indent="0" shrinkToFit="false"/>
      <protection locked="true" hidden="false"/>
    </xf>
    <xf numFmtId="169" fontId="33" fillId="0" borderId="0" xfId="56" applyFont="true" applyBorder="true" applyAlignment="false" applyProtection="false">
      <alignment horizontal="general" vertical="bottom" textRotation="0" wrapText="false" indent="0" shrinkToFit="false"/>
      <protection locked="true" hidden="false"/>
    </xf>
    <xf numFmtId="169" fontId="33" fillId="0" borderId="10" xfId="56" applyFont="true" applyBorder="true" applyAlignment="false" applyProtection="false">
      <alignment horizontal="general" vertical="bottom" textRotation="0" wrapText="false" indent="0" shrinkToFit="false"/>
      <protection locked="true" hidden="false"/>
    </xf>
    <xf numFmtId="169" fontId="20" fillId="0" borderId="0" xfId="56" applyFont="true" applyBorder="true" applyAlignment="false" applyProtection="false">
      <alignment horizontal="general" vertical="bottom" textRotation="0" wrapText="false" indent="0" shrinkToFit="false"/>
      <protection locked="true" hidden="false"/>
    </xf>
    <xf numFmtId="177" fontId="25" fillId="0" borderId="0" xfId="56" applyFont="true" applyBorder="true" applyAlignment="true" applyProtection="false">
      <alignment horizontal="center" vertical="bottom" textRotation="0" wrapText="false" indent="0" shrinkToFit="false"/>
      <protection locked="true" hidden="false"/>
    </xf>
    <xf numFmtId="166" fontId="23" fillId="0" borderId="14" xfId="56" applyFont="true" applyBorder="true" applyAlignment="true" applyProtection="false">
      <alignment horizontal="center" vertical="bottom" textRotation="0" wrapText="false" indent="0" shrinkToFit="false"/>
      <protection locked="true" hidden="false"/>
    </xf>
    <xf numFmtId="169" fontId="23" fillId="0" borderId="15" xfId="56" applyFont="true" applyBorder="true" applyAlignment="true" applyProtection="false">
      <alignment horizontal="center" vertical="bottom" textRotation="0" wrapText="false" indent="0" shrinkToFit="false"/>
      <protection locked="true" hidden="false"/>
    </xf>
    <xf numFmtId="166" fontId="23" fillId="0" borderId="14" xfId="56" applyFont="true" applyBorder="true" applyAlignment="false" applyProtection="false">
      <alignment horizontal="general" vertical="bottom" textRotation="0" wrapText="false" indent="0" shrinkToFit="false"/>
      <protection locked="true" hidden="false"/>
    </xf>
    <xf numFmtId="177" fontId="21" fillId="0" borderId="0" xfId="56" applyFont="true" applyBorder="true" applyAlignment="true" applyProtection="false">
      <alignment horizontal="center" vertical="bottom" textRotation="0" wrapText="false" indent="0" shrinkToFit="false"/>
      <protection locked="true" hidden="false"/>
    </xf>
    <xf numFmtId="165" fontId="20" fillId="0" borderId="0" xfId="56" applyFont="true" applyBorder="true" applyAlignment="true" applyProtection="false">
      <alignment horizontal="center" vertical="bottom" textRotation="0" wrapText="false" indent="0" shrinkToFit="false"/>
      <protection locked="true" hidden="false"/>
    </xf>
    <xf numFmtId="166" fontId="20" fillId="0" borderId="14" xfId="56" applyFont="true" applyBorder="true" applyAlignment="false" applyProtection="false">
      <alignment horizontal="general" vertical="bottom" textRotation="0" wrapText="false" indent="0" shrinkToFit="false"/>
      <protection locked="true" hidden="false"/>
    </xf>
    <xf numFmtId="169" fontId="20" fillId="0" borderId="15" xfId="56" applyFont="true" applyBorder="true" applyAlignment="true" applyProtection="false">
      <alignment horizontal="center" vertical="bottom" textRotation="0" wrapText="false" indent="0" shrinkToFit="false"/>
      <protection locked="true" hidden="false"/>
    </xf>
    <xf numFmtId="169" fontId="20" fillId="0" borderId="0" xfId="56" applyFont="true" applyBorder="true" applyAlignment="true" applyProtection="false">
      <alignment horizontal="center" vertical="bottom" textRotation="0" wrapText="false" indent="0" shrinkToFit="false"/>
      <protection locked="true" hidden="false"/>
    </xf>
    <xf numFmtId="177" fontId="20" fillId="0" borderId="0" xfId="56" applyFont="true" applyBorder="true" applyAlignment="true" applyProtection="false">
      <alignment horizontal="right" vertical="bottom" textRotation="0" wrapText="false" indent="0" shrinkToFit="false"/>
      <protection locked="true" hidden="false"/>
    </xf>
    <xf numFmtId="164" fontId="23" fillId="0" borderId="0" xfId="56" applyFont="true" applyBorder="true" applyAlignment="true" applyProtection="false">
      <alignment horizontal="right" vertical="bottom" textRotation="0" wrapText="false" indent="0" shrinkToFit="false"/>
      <protection locked="true" hidden="false"/>
    </xf>
    <xf numFmtId="178" fontId="20" fillId="0" borderId="0" xfId="56" applyFont="true" applyBorder="true" applyAlignment="true" applyProtection="false">
      <alignment horizontal="right" vertical="bottom" textRotation="0" wrapText="false" indent="0" shrinkToFit="false"/>
      <protection locked="true" hidden="false"/>
    </xf>
    <xf numFmtId="165" fontId="23" fillId="0" borderId="0" xfId="56" applyFont="true" applyBorder="true" applyAlignment="true" applyProtection="false">
      <alignment horizontal="right" vertical="bottom" textRotation="0" wrapText="false" indent="0" shrinkToFit="false"/>
      <protection locked="true" hidden="false"/>
    </xf>
    <xf numFmtId="177" fontId="20" fillId="18" borderId="21" xfId="56" applyFont="true" applyBorder="true" applyAlignment="true" applyProtection="false">
      <alignment horizontal="right" vertical="bottom" textRotation="0" wrapText="false" indent="0" shrinkToFit="false"/>
      <protection locked="true" hidden="false"/>
    </xf>
    <xf numFmtId="168" fontId="20" fillId="0" borderId="0" xfId="0" applyFont="true" applyBorder="true" applyAlignment="true" applyProtection="false">
      <alignment horizontal="right" vertical="bottom" textRotation="0" wrapText="false" indent="0" shrinkToFit="false"/>
      <protection locked="true" hidden="false"/>
    </xf>
    <xf numFmtId="166" fontId="20" fillId="0" borderId="14" xfId="56" applyFont="true" applyBorder="true" applyAlignment="true" applyProtection="false">
      <alignment horizontal="right" vertical="bottom" textRotation="0" wrapText="false" indent="0" shrinkToFit="false"/>
      <protection locked="true" hidden="false"/>
    </xf>
    <xf numFmtId="165" fontId="20" fillId="0" borderId="0" xfId="15" applyFont="true" applyBorder="true" applyAlignment="true" applyProtection="true">
      <alignment horizontal="right" vertical="bottom" textRotation="0" wrapText="false" indent="0" shrinkToFit="false"/>
      <protection locked="true" hidden="false"/>
    </xf>
    <xf numFmtId="169" fontId="20" fillId="0" borderId="14" xfId="56" applyFont="true" applyBorder="true" applyAlignment="true" applyProtection="false">
      <alignment horizontal="right" vertical="bottom" textRotation="0" wrapText="false" indent="0" shrinkToFit="false"/>
      <protection locked="true" hidden="false"/>
    </xf>
    <xf numFmtId="169" fontId="20" fillId="0" borderId="31" xfId="56" applyFont="true" applyBorder="true" applyAlignment="true" applyProtection="false">
      <alignment horizontal="right" vertical="bottom" textRotation="0" wrapText="false" indent="0" shrinkToFit="false"/>
      <protection locked="true" hidden="false"/>
    </xf>
    <xf numFmtId="169" fontId="20" fillId="0" borderId="26" xfId="56" applyFont="true" applyBorder="true" applyAlignment="true" applyProtection="false">
      <alignment horizontal="right" vertical="bottom" textRotation="0" wrapText="false" indent="0" shrinkToFit="false"/>
      <protection locked="true" hidden="false"/>
    </xf>
    <xf numFmtId="168" fontId="20" fillId="0" borderId="32" xfId="56" applyFont="true" applyBorder="true" applyAlignment="true" applyProtection="false">
      <alignment horizontal="right" vertical="bottom" textRotation="0" wrapText="false" indent="0" shrinkToFit="false"/>
      <protection locked="true" hidden="false"/>
    </xf>
    <xf numFmtId="169" fontId="20" fillId="0" borderId="19" xfId="56" applyFont="true" applyBorder="true" applyAlignment="true" applyProtection="false">
      <alignment horizontal="right" vertical="bottom" textRotation="0" wrapText="false" indent="0" shrinkToFit="false"/>
      <protection locked="true" hidden="false"/>
    </xf>
    <xf numFmtId="169" fontId="23" fillId="0" borderId="0" xfId="56" applyFont="true" applyBorder="true" applyAlignment="true" applyProtection="false">
      <alignment horizontal="right" vertical="bottom" textRotation="0" wrapText="false" indent="0" shrinkToFit="false"/>
      <protection locked="true" hidden="false"/>
    </xf>
    <xf numFmtId="169" fontId="20" fillId="18" borderId="22" xfId="56" applyFont="true" applyBorder="true" applyAlignment="true" applyProtection="false">
      <alignment horizontal="right" vertical="bottom" textRotation="0" wrapText="false" indent="0" shrinkToFit="false"/>
      <protection locked="true" hidden="false"/>
    </xf>
    <xf numFmtId="169" fontId="20" fillId="18" borderId="24" xfId="56" applyFont="true" applyBorder="true" applyAlignment="true" applyProtection="false">
      <alignment horizontal="right" vertical="bottom" textRotation="0" wrapText="false" indent="0" shrinkToFit="false"/>
      <protection locked="true" hidden="false"/>
    </xf>
    <xf numFmtId="169" fontId="20" fillId="18" borderId="25" xfId="56" applyFont="true" applyBorder="true" applyAlignment="true" applyProtection="false">
      <alignment horizontal="right" vertical="bottom" textRotation="0" wrapText="false" indent="0" shrinkToFit="false"/>
      <protection locked="true" hidden="false"/>
    </xf>
    <xf numFmtId="168" fontId="20" fillId="0" borderId="14" xfId="56" applyFont="true" applyBorder="true" applyAlignment="true" applyProtection="false">
      <alignment horizontal="right"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56" applyFont="false" applyBorder="true" applyAlignment="true" applyProtection="false">
      <alignment horizontal="center" vertical="bottom" textRotation="0" wrapText="false" indent="0" shrinkToFit="false"/>
      <protection locked="true" hidden="false"/>
    </xf>
    <xf numFmtId="167" fontId="33" fillId="0" borderId="0" xfId="56" applyFont="true" applyBorder="true" applyAlignment="false" applyProtection="false">
      <alignment horizontal="general" vertical="bottom" textRotation="0" wrapText="false" indent="0" shrinkToFit="false"/>
      <protection locked="true" hidden="false"/>
    </xf>
    <xf numFmtId="168" fontId="21" fillId="0" borderId="10" xfId="56" applyFont="true" applyBorder="true" applyAlignment="true" applyProtection="false">
      <alignment horizontal="center" vertical="bottom" textRotation="0" wrapText="false" indent="0" shrinkToFit="false"/>
      <protection locked="true" hidden="false"/>
    </xf>
    <xf numFmtId="167" fontId="33" fillId="0" borderId="10" xfId="56" applyFont="true" applyBorder="true" applyAlignment="false" applyProtection="false">
      <alignment horizontal="general" vertical="bottom" textRotation="0" wrapText="false" indent="0" shrinkToFit="false"/>
      <protection locked="true" hidden="false"/>
    </xf>
    <xf numFmtId="168" fontId="20" fillId="0" borderId="0" xfId="56" applyFont="true" applyBorder="true" applyAlignment="true" applyProtection="false">
      <alignment horizontal="center" vertical="bottom" textRotation="0" wrapText="false" indent="0" shrinkToFit="false"/>
      <protection locked="true" hidden="false"/>
    </xf>
    <xf numFmtId="170" fontId="26" fillId="0" borderId="16" xfId="56" applyFont="true" applyBorder="true" applyAlignment="true" applyProtection="false">
      <alignment horizontal="center" vertical="bottom" textRotation="0" wrapText="false" indent="0" shrinkToFit="false"/>
      <protection locked="true" hidden="false"/>
    </xf>
    <xf numFmtId="168" fontId="25" fillId="0" borderId="17" xfId="56" applyFont="true" applyBorder="true" applyAlignment="true" applyProtection="false">
      <alignment horizontal="center" vertical="bottom" textRotation="0" wrapText="false" indent="0" shrinkToFit="false"/>
      <protection locked="true" hidden="false"/>
    </xf>
    <xf numFmtId="167" fontId="20" fillId="0" borderId="0" xfId="56" applyFont="true" applyBorder="true" applyAlignment="true" applyProtection="false">
      <alignment horizontal="center" vertical="bottom" textRotation="0" wrapText="false" indent="0" shrinkToFit="false"/>
      <protection locked="true" hidden="false"/>
    </xf>
    <xf numFmtId="168" fontId="20" fillId="0" borderId="20" xfId="56" applyFont="true" applyBorder="true" applyAlignment="true" applyProtection="false">
      <alignment horizontal="center" vertical="bottom" textRotation="0" wrapText="false" indent="0" shrinkToFit="false"/>
      <protection locked="true" hidden="false"/>
    </xf>
    <xf numFmtId="165" fontId="0" fillId="0" borderId="0" xfId="56" applyFont="false" applyBorder="true" applyAlignment="true" applyProtection="false">
      <alignment horizontal="center" vertical="bottom" textRotation="0" wrapText="false" indent="0" shrinkToFit="false"/>
      <protection locked="true" hidden="false"/>
    </xf>
    <xf numFmtId="170" fontId="20" fillId="18" borderId="21" xfId="56" applyFont="true" applyBorder="true" applyAlignment="false" applyProtection="false">
      <alignment horizontal="general" vertical="bottom" textRotation="0" wrapText="false" indent="0" shrinkToFit="false"/>
      <protection locked="true" hidden="false"/>
    </xf>
    <xf numFmtId="168" fontId="20" fillId="18" borderId="25" xfId="56" applyFont="true" applyBorder="true" applyAlignment="true" applyProtection="false">
      <alignment horizontal="center" vertical="bottom" textRotation="0" wrapText="false" indent="0" shrinkToFit="false"/>
      <protection locked="true" hidden="false"/>
    </xf>
    <xf numFmtId="169" fontId="20" fillId="18" borderId="21" xfId="56" applyFont="true" applyBorder="true" applyAlignment="true" applyProtection="false">
      <alignment horizontal="center" vertical="bottom" textRotation="0" wrapText="false" indent="0" shrinkToFit="false"/>
      <protection locked="true" hidden="false"/>
    </xf>
    <xf numFmtId="167" fontId="20" fillId="0" borderId="0" xfId="56" applyFont="true" applyBorder="true" applyAlignment="true" applyProtection="false">
      <alignment horizontal="right" vertical="bottom" textRotation="0" wrapText="false" indent="0" shrinkToFit="false"/>
      <protection locked="true" hidden="false"/>
    </xf>
    <xf numFmtId="174" fontId="20" fillId="0" borderId="0" xfId="56" applyFont="true" applyBorder="true" applyAlignment="true" applyProtection="false">
      <alignment horizontal="right" vertical="bottom" textRotation="0" wrapText="false" indent="0" shrinkToFit="false"/>
      <protection locked="true" hidden="false"/>
    </xf>
    <xf numFmtId="170" fontId="20" fillId="0" borderId="0" xfId="56" applyFont="true" applyBorder="true" applyAlignment="true" applyProtection="false">
      <alignment horizontal="right" vertical="bottom" textRotation="0" wrapText="false" indent="0" shrinkToFit="false"/>
      <protection locked="true" hidden="false"/>
    </xf>
    <xf numFmtId="165" fontId="20" fillId="0" borderId="0" xfId="56" applyFont="true" applyBorder="true" applyAlignment="true" applyProtection="false">
      <alignment horizontal="right" vertical="bottom" textRotation="0" wrapText="false" indent="0" shrinkToFit="false"/>
      <protection locked="true" hidden="false"/>
    </xf>
    <xf numFmtId="165" fontId="20" fillId="18" borderId="21" xfId="56" applyFont="true" applyBorder="true" applyAlignment="true" applyProtection="false">
      <alignment horizontal="center" vertical="bottom" textRotation="0" wrapText="false" indent="0" shrinkToFit="false"/>
      <protection locked="true" hidden="false"/>
    </xf>
    <xf numFmtId="169" fontId="20" fillId="0" borderId="20" xfId="56" applyFont="true" applyBorder="true" applyAlignment="true" applyProtection="false">
      <alignment horizontal="right" vertical="bottom" textRotation="0" wrapText="false" indent="0" shrinkToFit="false"/>
      <protection locked="true" hidden="false"/>
    </xf>
    <xf numFmtId="170" fontId="20" fillId="18" borderId="21" xfId="56" applyFont="tru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6" fontId="21" fillId="0" borderId="0" xfId="0" applyFont="true" applyBorder="true" applyAlignment="false" applyProtection="false">
      <alignment horizontal="general" vertical="bottom" textRotation="0" wrapText="false" indent="0" shrinkToFit="false"/>
      <protection locked="true" hidden="false"/>
    </xf>
    <xf numFmtId="169" fontId="33" fillId="0" borderId="0" xfId="0" applyFont="true" applyBorder="false" applyAlignment="false" applyProtection="false">
      <alignment horizontal="general" vertical="bottom" textRotation="0" wrapText="false" indent="0" shrinkToFit="false"/>
      <protection locked="true" hidden="false"/>
    </xf>
    <xf numFmtId="170" fontId="37" fillId="0" borderId="0" xfId="0" applyFont="true" applyBorder="false" applyAlignment="true" applyProtection="false">
      <alignment horizontal="left" vertical="bottom" textRotation="0" wrapText="false" indent="0" shrinkToFit="false"/>
      <protection locked="true" hidden="false"/>
    </xf>
    <xf numFmtId="170" fontId="22" fillId="0" borderId="0" xfId="0" applyFont="true" applyBorder="false" applyAlignment="true" applyProtection="false">
      <alignment horizontal="center" vertical="bottom" textRotation="0" wrapText="false" indent="0" shrinkToFit="false"/>
      <protection locked="true" hidden="false"/>
    </xf>
    <xf numFmtId="170" fontId="21" fillId="0" borderId="0" xfId="0" applyFont="true" applyBorder="false" applyAlignment="true" applyProtection="false">
      <alignment horizontal="left" vertical="bottom" textRotation="0" wrapText="false" indent="0" shrinkToFit="false"/>
      <protection locked="true" hidden="false"/>
    </xf>
    <xf numFmtId="170" fontId="37" fillId="0" borderId="0" xfId="0" applyFont="true" applyBorder="false" applyAlignment="true" applyProtection="false">
      <alignment horizontal="center" vertical="bottom" textRotation="0" wrapText="false" indent="0" shrinkToFit="false"/>
      <protection locked="true" hidden="false"/>
    </xf>
    <xf numFmtId="165" fontId="24" fillId="0" borderId="0" xfId="0" applyFont="true" applyBorder="false" applyAlignment="true" applyProtection="false">
      <alignment horizontal="center" vertical="bottom" textRotation="0" wrapText="false" indent="0" shrinkToFit="false"/>
      <protection locked="true" hidden="false"/>
    </xf>
    <xf numFmtId="167" fontId="21" fillId="0" borderId="10" xfId="0" applyFont="true" applyBorder="true" applyAlignment="true" applyProtection="false">
      <alignment horizontal="center" vertical="bottom" textRotation="0" wrapText="false" indent="0" shrinkToFit="false"/>
      <protection locked="true" hidden="false"/>
    </xf>
    <xf numFmtId="169" fontId="33" fillId="0" borderId="10" xfId="0" applyFont="true" applyBorder="true" applyAlignment="false" applyProtection="false">
      <alignment horizontal="general"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73" fontId="24" fillId="0" borderId="12" xfId="0" applyFont="true" applyBorder="true" applyAlignment="true" applyProtection="false">
      <alignment horizontal="center" vertical="bottom" textRotation="0" wrapText="false" indent="0" shrinkToFit="false"/>
      <protection locked="true" hidden="false"/>
    </xf>
    <xf numFmtId="170" fontId="20" fillId="0" borderId="12" xfId="0" applyFont="true" applyBorder="true" applyAlignment="false" applyProtection="false">
      <alignment horizontal="general" vertical="bottom" textRotation="0" wrapText="false" indent="0" shrinkToFit="false"/>
      <protection locked="true" hidden="false"/>
    </xf>
    <xf numFmtId="168" fontId="20" fillId="0" borderId="12" xfId="0" applyFont="true" applyBorder="true" applyAlignment="false" applyProtection="false">
      <alignment horizontal="general" vertical="bottom" textRotation="0" wrapText="false" indent="0" shrinkToFit="false"/>
      <protection locked="true" hidden="false"/>
    </xf>
    <xf numFmtId="165" fontId="24" fillId="0" borderId="12" xfId="0" applyFont="true" applyBorder="true" applyAlignment="true" applyProtection="false">
      <alignment horizontal="right" vertical="bottom" textRotation="0" wrapText="false" indent="0" shrinkToFit="false"/>
      <protection locked="true" hidden="false"/>
    </xf>
    <xf numFmtId="169" fontId="20" fillId="0" borderId="12" xfId="0" applyFont="true" applyBorder="true" applyAlignment="false" applyProtection="false">
      <alignment horizontal="general" vertical="bottom" textRotation="0" wrapText="false" indent="0" shrinkToFit="false"/>
      <protection locked="true" hidden="false"/>
    </xf>
    <xf numFmtId="167" fontId="20" fillId="0" borderId="12" xfId="0" applyFont="true" applyBorder="true" applyAlignment="false" applyProtection="false">
      <alignment horizontal="general" vertical="bottom" textRotation="0" wrapText="false" indent="0" shrinkToFit="false"/>
      <protection locked="true" hidden="false"/>
    </xf>
    <xf numFmtId="165" fontId="20" fillId="0" borderId="12" xfId="0" applyFont="true" applyBorder="true" applyAlignment="true" applyProtection="false">
      <alignment horizontal="center" vertical="bottom" textRotation="0" wrapText="false" indent="0" shrinkToFit="false"/>
      <protection locked="true" hidden="false"/>
    </xf>
    <xf numFmtId="167" fontId="20" fillId="0" borderId="0" xfId="0" applyFont="true" applyBorder="true" applyAlignment="true" applyProtection="false">
      <alignment horizontal="center" vertical="bottom" textRotation="0" wrapText="false" indent="0" shrinkToFit="false"/>
      <protection locked="true" hidden="false"/>
    </xf>
    <xf numFmtId="169" fontId="24" fillId="0" borderId="0" xfId="56" applyFont="true" applyBorder="true" applyAlignment="true" applyProtection="false">
      <alignment horizontal="center" vertical="bottom" textRotation="0" wrapText="false" indent="0" shrinkToFit="false"/>
      <protection locked="true" hidden="false"/>
    </xf>
    <xf numFmtId="168" fontId="20" fillId="0" borderId="0" xfId="0" applyFont="true" applyBorder="true" applyAlignment="true" applyProtection="false">
      <alignment horizontal="center" vertical="bottom" textRotation="0" wrapText="false" indent="0" shrinkToFit="false"/>
      <protection locked="true" hidden="false"/>
    </xf>
    <xf numFmtId="170" fontId="23" fillId="0" borderId="0" xfId="0" applyFont="true" applyBorder="false" applyAlignment="true" applyProtection="false">
      <alignment horizontal="center" vertical="bottom" textRotation="0" wrapText="false" indent="0" shrinkToFit="false"/>
      <protection locked="true" hidden="false"/>
    </xf>
    <xf numFmtId="170" fontId="23" fillId="0" borderId="14" xfId="0" applyFont="true" applyBorder="true" applyAlignment="true" applyProtection="false">
      <alignment horizontal="center" vertical="bottom" textRotation="0" wrapText="false" indent="0" shrinkToFit="false"/>
      <protection locked="true" hidden="false"/>
    </xf>
    <xf numFmtId="170" fontId="23" fillId="0" borderId="15" xfId="0" applyFont="true" applyBorder="true" applyAlignment="true" applyProtection="false">
      <alignment horizontal="center" vertical="bottom" textRotation="0" wrapText="false" indent="0" shrinkToFit="false"/>
      <protection locked="true" hidden="false"/>
    </xf>
    <xf numFmtId="170" fontId="23" fillId="2" borderId="0" xfId="0" applyFont="true" applyBorder="false" applyAlignment="true" applyProtection="false">
      <alignment horizontal="center" vertical="bottom" textRotation="0" wrapText="false" indent="0" shrinkToFit="false"/>
      <protection locked="true" hidden="false"/>
    </xf>
    <xf numFmtId="170" fontId="26" fillId="0" borderId="18" xfId="0" applyFont="true" applyBorder="true" applyAlignment="true" applyProtection="false">
      <alignment horizontal="center" vertical="bottom" textRotation="0" wrapText="false" indent="0" shrinkToFit="false"/>
      <protection locked="true" hidden="false"/>
    </xf>
    <xf numFmtId="166" fontId="23" fillId="0" borderId="14" xfId="0" applyFont="true" applyBorder="true" applyAlignment="true" applyProtection="false">
      <alignment horizontal="center" vertical="bottom" textRotation="0" wrapText="false" indent="0" shrinkToFit="false"/>
      <protection locked="true" hidden="false"/>
    </xf>
    <xf numFmtId="169" fontId="23" fillId="0" borderId="15" xfId="0" applyFont="true" applyBorder="true" applyAlignment="true" applyProtection="false">
      <alignment horizontal="center" vertical="bottom" textRotation="0" wrapText="false" indent="0" shrinkToFit="false"/>
      <protection locked="true" hidden="false"/>
    </xf>
    <xf numFmtId="168" fontId="23" fillId="0" borderId="0" xfId="0" applyFont="true" applyBorder="false" applyAlignment="true" applyProtection="false">
      <alignment horizontal="center"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70" fontId="26" fillId="0" borderId="0" xfId="0" applyFont="true" applyBorder="false" applyAlignment="true" applyProtection="false">
      <alignment horizontal="center" vertical="bottom" textRotation="0" wrapText="false" indent="0" shrinkToFit="false"/>
      <protection locked="true" hidden="false"/>
    </xf>
    <xf numFmtId="170" fontId="23" fillId="0" borderId="19" xfId="0" applyFont="true" applyBorder="true" applyAlignment="true" applyProtection="false">
      <alignment horizontal="center" vertical="bottom" textRotation="0" wrapText="false" indent="0" shrinkToFit="false"/>
      <protection locked="true" hidden="false"/>
    </xf>
    <xf numFmtId="166" fontId="23" fillId="0" borderId="14" xfId="0" applyFont="true" applyBorder="true" applyAlignment="false" applyProtection="false">
      <alignment horizontal="general" vertical="bottom" textRotation="0" wrapText="false" indent="0" shrinkToFit="false"/>
      <protection locked="true" hidden="false"/>
    </xf>
    <xf numFmtId="174" fontId="23" fillId="0" borderId="0"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0" fontId="20" fillId="0" borderId="14" xfId="0" applyFont="true" applyBorder="true" applyAlignment="true" applyProtection="false">
      <alignment horizontal="right" vertical="bottom" textRotation="0" wrapText="false" indent="0" shrinkToFit="false"/>
      <protection locked="true" hidden="false"/>
    </xf>
    <xf numFmtId="168" fontId="20" fillId="0" borderId="20" xfId="0" applyFont="true" applyBorder="true" applyAlignment="true" applyProtection="false">
      <alignment horizontal="right" vertical="bottom" textRotation="0" wrapText="false" indent="0" shrinkToFit="false"/>
      <protection locked="true" hidden="false"/>
    </xf>
    <xf numFmtId="169" fontId="20" fillId="0" borderId="0" xfId="0" applyFont="true" applyBorder="false" applyAlignment="true" applyProtection="false">
      <alignment horizontal="right" vertical="bottom" textRotation="0" wrapText="false" indent="0" shrinkToFit="false"/>
      <protection locked="true" hidden="false"/>
    </xf>
    <xf numFmtId="168" fontId="20" fillId="0" borderId="0" xfId="0" applyFont="true" applyBorder="false" applyAlignment="true" applyProtection="false">
      <alignment horizontal="right" vertical="bottom" textRotation="0" wrapText="false" indent="0" shrinkToFit="false"/>
      <protection locked="true" hidden="false"/>
    </xf>
    <xf numFmtId="174" fontId="20" fillId="0" borderId="14" xfId="0" applyFont="true" applyBorder="true" applyAlignment="true" applyProtection="false">
      <alignment horizontal="right" vertical="bottom" textRotation="0" wrapText="false" indent="0" shrinkToFit="false"/>
      <protection locked="true" hidden="false"/>
    </xf>
    <xf numFmtId="174" fontId="20" fillId="18" borderId="22" xfId="0" applyFont="true" applyBorder="true" applyAlignment="true" applyProtection="false">
      <alignment horizontal="right" vertical="bottom" textRotation="0" wrapText="false" indent="0" shrinkToFit="false"/>
      <protection locked="true" hidden="false"/>
    </xf>
    <xf numFmtId="170" fontId="20" fillId="18" borderId="23" xfId="0" applyFont="true" applyBorder="true" applyAlignment="true" applyProtection="false">
      <alignment horizontal="right" vertical="bottom" textRotation="0" wrapText="false" indent="0" shrinkToFit="false"/>
      <protection locked="true" hidden="false"/>
    </xf>
    <xf numFmtId="168" fontId="20" fillId="18" borderId="21" xfId="0" applyFont="true" applyBorder="true" applyAlignment="true" applyProtection="false">
      <alignment horizontal="right" vertical="bottom" textRotation="0" wrapText="false" indent="0" shrinkToFit="false"/>
      <protection locked="true" hidden="false"/>
    </xf>
    <xf numFmtId="168" fontId="20" fillId="18" borderId="25" xfId="0" applyFont="true" applyBorder="true" applyAlignment="true" applyProtection="false">
      <alignment horizontal="right" vertical="bottom" textRotation="0" wrapText="false" indent="0" shrinkToFit="false"/>
      <protection locked="true" hidden="false"/>
    </xf>
    <xf numFmtId="170" fontId="20" fillId="0" borderId="15" xfId="0" applyFont="true" applyBorder="true" applyAlignment="true" applyProtection="false">
      <alignment horizontal="right" vertical="bottom" textRotation="0" wrapText="false" indent="0" shrinkToFit="false"/>
      <protection locked="true" hidden="false"/>
    </xf>
    <xf numFmtId="170" fontId="20" fillId="0" borderId="0" xfId="15" applyFont="true" applyBorder="true" applyAlignment="true" applyProtection="true">
      <alignment horizontal="right" vertical="bottom" textRotation="0" wrapText="false" indent="0" shrinkToFit="false"/>
      <protection locked="true" hidden="false"/>
    </xf>
    <xf numFmtId="170" fontId="20" fillId="0" borderId="0" xfId="0" applyFont="true" applyBorder="true" applyAlignment="true" applyProtection="false">
      <alignment horizontal="right" vertical="bottom" textRotation="0" wrapText="false" indent="0" shrinkToFit="false"/>
      <protection locked="true" hidden="false"/>
    </xf>
    <xf numFmtId="170" fontId="20" fillId="7" borderId="0" xfId="0" applyFont="true" applyBorder="false" applyAlignment="true" applyProtection="false">
      <alignment horizontal="right" vertical="bottom" textRotation="0" wrapText="false" indent="0" shrinkToFit="false"/>
      <protection locked="true" hidden="false"/>
    </xf>
    <xf numFmtId="165" fontId="20" fillId="7" borderId="0" xfId="0" applyFont="true" applyBorder="false" applyAlignment="true" applyProtection="false">
      <alignment horizontal="right" vertical="bottom" textRotation="0" wrapText="false" indent="0" shrinkToFit="false"/>
      <protection locked="true" hidden="false"/>
    </xf>
    <xf numFmtId="170" fontId="20" fillId="18" borderId="22" xfId="0" applyFont="true" applyBorder="true" applyAlignment="true" applyProtection="false">
      <alignment horizontal="right" vertical="bottom" textRotation="0" wrapText="false" indent="0" shrinkToFit="false"/>
      <protection locked="true" hidden="false"/>
    </xf>
    <xf numFmtId="167" fontId="20" fillId="0" borderId="0" xfId="0" applyFont="true" applyBorder="true" applyAlignment="true" applyProtection="false">
      <alignment horizontal="right" vertical="bottom" textRotation="0" wrapText="false" indent="0" shrinkToFit="false"/>
      <protection locked="true" hidden="false"/>
    </xf>
    <xf numFmtId="165" fontId="20" fillId="18" borderId="22" xfId="0" applyFont="true" applyBorder="true" applyAlignment="true" applyProtection="false">
      <alignment horizontal="right" vertical="bottom" textRotation="0" wrapText="false" indent="0" shrinkToFit="false"/>
      <protection locked="true" hidden="false"/>
    </xf>
    <xf numFmtId="166" fontId="20" fillId="18" borderId="21" xfId="0" applyFont="true" applyBorder="true" applyAlignment="true" applyProtection="false">
      <alignment horizontal="right" vertical="bottom" textRotation="0" wrapText="false" indent="0" shrinkToFit="false"/>
      <protection locked="true" hidden="false"/>
    </xf>
    <xf numFmtId="166" fontId="20" fillId="18" borderId="23" xfId="0" applyFont="true" applyBorder="true" applyAlignment="true" applyProtection="false">
      <alignment horizontal="right" vertical="bottom" textRotation="0" wrapText="false" indent="0" shrinkToFit="false"/>
      <protection locked="true" hidden="false"/>
    </xf>
    <xf numFmtId="169" fontId="20" fillId="0" borderId="20" xfId="0" applyFont="true" applyBorder="true" applyAlignment="true" applyProtection="false">
      <alignment horizontal="right" vertical="bottom" textRotation="0" wrapText="false" indent="0" shrinkToFit="false"/>
      <protection locked="true" hidden="false"/>
    </xf>
    <xf numFmtId="168" fontId="21" fillId="18" borderId="25" xfId="0" applyFont="true" applyBorder="true" applyAlignment="fals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73" fontId="21" fillId="0" borderId="0" xfId="56" applyFont="true" applyBorder="true" applyAlignment="false" applyProtection="false">
      <alignment horizontal="general" vertical="bottom" textRotation="0" wrapText="false" indent="0" shrinkToFit="false"/>
      <protection locked="true" hidden="false"/>
    </xf>
    <xf numFmtId="170" fontId="20" fillId="0" borderId="12" xfId="56" applyFont="true" applyBorder="true" applyAlignment="false" applyProtection="false">
      <alignment horizontal="general" vertical="bottom" textRotation="0" wrapText="false" indent="0" shrinkToFit="false"/>
      <protection locked="true" hidden="false"/>
    </xf>
    <xf numFmtId="167" fontId="20" fillId="0" borderId="12" xfId="56" applyFont="true" applyBorder="true" applyAlignment="false" applyProtection="false">
      <alignment horizontal="general" vertical="bottom" textRotation="0" wrapText="false" indent="0" shrinkToFit="false"/>
      <protection locked="true" hidden="false"/>
    </xf>
    <xf numFmtId="168" fontId="20" fillId="0" borderId="12" xfId="56" applyFont="true" applyBorder="true" applyAlignment="false" applyProtection="false">
      <alignment horizontal="general" vertical="bottom" textRotation="0" wrapText="false" indent="0" shrinkToFit="false"/>
      <protection locked="true" hidden="false"/>
    </xf>
    <xf numFmtId="170" fontId="24" fillId="0" borderId="12" xfId="56" applyFont="true" applyBorder="true" applyAlignment="false" applyProtection="false">
      <alignment horizontal="general" vertical="bottom" textRotation="0" wrapText="false" indent="0" shrinkToFit="false"/>
      <protection locked="true" hidden="false"/>
    </xf>
    <xf numFmtId="169" fontId="20" fillId="0" borderId="12" xfId="56" applyFont="true" applyBorder="true" applyAlignment="false" applyProtection="false">
      <alignment horizontal="general" vertical="bottom" textRotation="0" wrapText="false" indent="0" shrinkToFit="false"/>
      <protection locked="true" hidden="false"/>
    </xf>
    <xf numFmtId="169" fontId="20" fillId="0" borderId="12" xfId="0" applyFont="true" applyBorder="true" applyAlignment="true" applyProtection="false">
      <alignment horizontal="center" vertical="bottom" textRotation="0" wrapText="false" indent="0" shrinkToFit="false"/>
      <protection locked="true" hidden="false"/>
    </xf>
    <xf numFmtId="169" fontId="20" fillId="0" borderId="0" xfId="0" applyFont="true" applyBorder="true" applyAlignment="true" applyProtection="false">
      <alignment horizontal="center" vertical="bottom" textRotation="0" wrapText="false" indent="0" shrinkToFit="false"/>
      <protection locked="true" hidden="false"/>
    </xf>
    <xf numFmtId="168" fontId="20" fillId="0" borderId="12" xfId="0" applyFont="true" applyBorder="true" applyAlignment="true" applyProtection="false">
      <alignment horizontal="center" vertical="bottom" textRotation="0" wrapText="false" indent="0" shrinkToFit="false"/>
      <protection locked="true" hidden="false"/>
    </xf>
    <xf numFmtId="170" fontId="23" fillId="0" borderId="14" xfId="56" applyFont="true" applyBorder="true" applyAlignment="true" applyProtection="false">
      <alignment horizontal="center" vertical="bottom" textRotation="0" wrapText="false" indent="0" shrinkToFit="false"/>
      <protection locked="true" hidden="false"/>
    </xf>
    <xf numFmtId="170" fontId="23" fillId="2" borderId="14" xfId="56" applyFont="true" applyBorder="true" applyAlignment="true" applyProtection="false">
      <alignment horizontal="center" vertical="bottom" textRotation="0" wrapText="false" indent="0" shrinkToFit="false"/>
      <protection locked="true" hidden="false"/>
    </xf>
    <xf numFmtId="167" fontId="23" fillId="2" borderId="0" xfId="56" applyFont="true" applyBorder="true" applyAlignment="true" applyProtection="false">
      <alignment horizontal="center" vertical="bottom" textRotation="0" wrapText="false" indent="0" shrinkToFit="false"/>
      <protection locked="true" hidden="false"/>
    </xf>
    <xf numFmtId="170" fontId="23" fillId="2" borderId="0" xfId="56" applyFont="true" applyBorder="true" applyAlignment="true" applyProtection="false">
      <alignment horizontal="center" vertical="bottom" textRotation="0" wrapText="false" indent="0" shrinkToFit="false"/>
      <protection locked="true" hidden="false"/>
    </xf>
    <xf numFmtId="167" fontId="32" fillId="0" borderId="0" xfId="56" applyFont="true" applyBorder="true" applyAlignment="true" applyProtection="false">
      <alignment horizontal="center" vertical="bottom" textRotation="0" wrapText="false" indent="0" shrinkToFit="false"/>
      <protection locked="true" hidden="false"/>
    </xf>
    <xf numFmtId="170" fontId="26" fillId="0" borderId="0" xfId="56" applyFont="true" applyBorder="true" applyAlignment="true" applyProtection="false">
      <alignment horizontal="center" vertical="bottom" textRotation="0" wrapText="false" indent="0" shrinkToFit="false"/>
      <protection locked="true" hidden="false"/>
    </xf>
    <xf numFmtId="170" fontId="23" fillId="0" borderId="19" xfId="56" applyFont="true" applyBorder="true" applyAlignment="true" applyProtection="false">
      <alignment horizontal="center" vertical="bottom" textRotation="0" wrapText="false" indent="0" shrinkToFit="false"/>
      <protection locked="true" hidden="false"/>
    </xf>
    <xf numFmtId="165" fontId="20" fillId="0" borderId="14" xfId="56" applyFont="true" applyBorder="true" applyAlignment="true" applyProtection="false">
      <alignment horizontal="right" vertical="bottom" textRotation="0" wrapText="false" indent="0" shrinkToFit="false"/>
      <protection locked="true" hidden="false"/>
    </xf>
    <xf numFmtId="165" fontId="20" fillId="0" borderId="33" xfId="56" applyFont="true" applyBorder="true" applyAlignment="true" applyProtection="false">
      <alignment horizontal="right" vertical="bottom" textRotation="0" wrapText="false" indent="0" shrinkToFit="false"/>
      <protection locked="true" hidden="false"/>
    </xf>
    <xf numFmtId="167" fontId="20" fillId="7" borderId="0" xfId="56" applyFont="true" applyBorder="true" applyAlignment="true" applyProtection="false">
      <alignment horizontal="right" vertical="bottom" textRotation="0" wrapText="false" indent="0" shrinkToFit="false"/>
      <protection locked="true" hidden="false"/>
    </xf>
    <xf numFmtId="165" fontId="20" fillId="7" borderId="0" xfId="56" applyFont="true" applyBorder="true" applyAlignment="true" applyProtection="false">
      <alignment horizontal="right" vertical="bottom" textRotation="0" wrapText="false" indent="0" shrinkToFit="false"/>
      <protection locked="true" hidden="false"/>
    </xf>
    <xf numFmtId="167" fontId="20" fillId="19" borderId="0" xfId="56" applyFont="true" applyBorder="true" applyAlignment="true" applyProtection="false">
      <alignment horizontal="right" vertical="bottom" textRotation="0" wrapText="false" indent="0" shrinkToFit="false"/>
      <protection locked="true" hidden="false"/>
    </xf>
    <xf numFmtId="165" fontId="20" fillId="19" borderId="0" xfId="56" applyFont="true" applyBorder="true" applyAlignment="true" applyProtection="false">
      <alignment horizontal="right" vertical="bottom" textRotation="0" wrapText="false" indent="0" shrinkToFit="false"/>
      <protection locked="true" hidden="false"/>
    </xf>
    <xf numFmtId="174" fontId="20" fillId="0" borderId="14" xfId="56" applyFont="true" applyBorder="true" applyAlignment="true" applyProtection="false">
      <alignment horizontal="right" vertical="bottom" textRotation="0" wrapText="false" indent="0" shrinkToFit="false"/>
      <protection locked="true" hidden="false"/>
    </xf>
    <xf numFmtId="166" fontId="20" fillId="18" borderId="34" xfId="56" applyFont="true" applyBorder="true" applyAlignment="true" applyProtection="false">
      <alignment horizontal="right" vertical="bottom" textRotation="0" wrapText="false" indent="0" shrinkToFit="false"/>
      <protection locked="true" hidden="false"/>
    </xf>
    <xf numFmtId="170" fontId="20" fillId="18" borderId="26" xfId="56" applyFont="true" applyBorder="true" applyAlignment="true" applyProtection="false">
      <alignment horizontal="right" vertical="bottom" textRotation="0" wrapText="false" indent="0" shrinkToFit="false"/>
      <protection locked="true" hidden="false"/>
    </xf>
    <xf numFmtId="170" fontId="20" fillId="18" borderId="35" xfId="56" applyFont="true" applyBorder="true" applyAlignment="true" applyProtection="false">
      <alignment horizontal="right" vertical="bottom" textRotation="0" wrapText="false" indent="0" shrinkToFit="false"/>
      <protection locked="true" hidden="false"/>
    </xf>
    <xf numFmtId="167" fontId="20" fillId="18" borderId="26" xfId="56" applyFont="true" applyBorder="true" applyAlignment="true" applyProtection="false">
      <alignment horizontal="right" vertical="bottom" textRotation="0" wrapText="false" indent="0" shrinkToFit="false"/>
      <protection locked="true" hidden="false"/>
    </xf>
    <xf numFmtId="179" fontId="21" fillId="0" borderId="0" xfId="56" applyFont="true" applyBorder="true" applyAlignment="false" applyProtection="false">
      <alignment horizontal="general" vertical="bottom" textRotation="0" wrapText="false" indent="0" shrinkToFit="false"/>
      <protection locked="true" hidden="false"/>
    </xf>
    <xf numFmtId="168" fontId="21" fillId="0" borderId="26" xfId="56" applyFont="true" applyBorder="true" applyAlignment="false" applyProtection="false">
      <alignment horizontal="general" vertical="bottom" textRotation="0" wrapText="false" indent="0" shrinkToFit="false"/>
      <protection locked="true" hidden="false"/>
    </xf>
    <xf numFmtId="167" fontId="21" fillId="0" borderId="26" xfId="56" applyFont="true" applyBorder="true" applyAlignment="false" applyProtection="false">
      <alignment horizontal="general" vertical="bottom" textRotation="0" wrapText="false" indent="0" shrinkToFit="false"/>
      <protection locked="true" hidden="false"/>
    </xf>
    <xf numFmtId="168" fontId="33" fillId="0" borderId="0" xfId="56" applyFont="true" applyBorder="true" applyAlignment="true" applyProtection="false">
      <alignment horizontal="center" vertical="bottom" textRotation="0" wrapText="false" indent="0" shrinkToFit="false"/>
      <protection locked="true" hidden="false"/>
    </xf>
    <xf numFmtId="165" fontId="20" fillId="0" borderId="0" xfId="15" applyFont="true" applyBorder="true" applyAlignment="true" applyProtection="true">
      <alignment horizontal="general" vertical="bottom" textRotation="0" wrapText="false" indent="0" shrinkToFit="false"/>
      <protection locked="true" hidden="false"/>
    </xf>
    <xf numFmtId="165" fontId="25" fillId="0" borderId="0" xfId="56" applyFont="true" applyBorder="true" applyAlignment="false" applyProtection="false">
      <alignment horizontal="general" vertical="bottom" textRotation="0" wrapText="false" indent="0" shrinkToFit="false"/>
      <protection locked="true" hidden="false"/>
    </xf>
    <xf numFmtId="164" fontId="25" fillId="0" borderId="0" xfId="56" applyFont="true" applyBorder="true" applyAlignment="false" applyProtection="false">
      <alignment horizontal="general" vertical="bottom" textRotation="0" wrapText="false" indent="0" shrinkToFit="false"/>
      <protection locked="true" hidden="false"/>
    </xf>
    <xf numFmtId="165" fontId="21" fillId="0" borderId="0" xfId="15" applyFont="true" applyBorder="true" applyAlignment="true" applyProtection="true">
      <alignment horizontal="general" vertical="bottom" textRotation="0" wrapText="false" indent="0" shrinkToFit="false"/>
      <protection locked="true" hidden="false"/>
    </xf>
    <xf numFmtId="165" fontId="21" fillId="0" borderId="0" xfId="56" applyFont="true" applyBorder="true" applyAlignment="false" applyProtection="false">
      <alignment horizontal="general" vertical="bottom" textRotation="0" wrapText="false" indent="0" shrinkToFit="false"/>
      <protection locked="true" hidden="false"/>
    </xf>
    <xf numFmtId="168" fontId="23" fillId="0" borderId="0" xfId="56" applyFont="true" applyBorder="true" applyAlignment="false" applyProtection="false">
      <alignment horizontal="general" vertical="bottom" textRotation="0" wrapText="false" indent="0" shrinkToFit="false"/>
      <protection locked="true" hidden="false"/>
    </xf>
    <xf numFmtId="176" fontId="39" fillId="0" borderId="0" xfId="56" applyFont="true" applyBorder="true" applyAlignment="false" applyProtection="false">
      <alignment horizontal="general" vertical="bottom" textRotation="0" wrapText="false" indent="0" shrinkToFit="false"/>
      <protection locked="true" hidden="false"/>
    </xf>
    <xf numFmtId="167" fontId="39" fillId="0" borderId="0" xfId="56" applyFont="true" applyBorder="true" applyAlignment="false" applyProtection="false">
      <alignment horizontal="general" vertical="bottom" textRotation="0" wrapText="false" indent="0" shrinkToFit="false"/>
      <protection locked="true" hidden="false"/>
    </xf>
    <xf numFmtId="165" fontId="39" fillId="0" borderId="0" xfId="56" applyFont="true" applyBorder="true" applyAlignment="false" applyProtection="false">
      <alignment horizontal="general" vertical="bottom" textRotation="0" wrapText="false" indent="0" shrinkToFit="false"/>
      <protection locked="true" hidden="false"/>
    </xf>
    <xf numFmtId="170" fontId="33" fillId="0" borderId="0" xfId="0" applyFont="true" applyBorder="false" applyAlignment="false" applyProtection="false">
      <alignment horizontal="general" vertical="bottom" textRotation="0" wrapText="false" indent="0" shrinkToFit="false"/>
      <protection locked="true" hidden="false"/>
    </xf>
    <xf numFmtId="170" fontId="37" fillId="0" borderId="0" xfId="0" applyFont="true" applyBorder="true" applyAlignment="true" applyProtection="false">
      <alignment horizontal="center" vertical="bottom" textRotation="0" wrapText="false" indent="0" shrinkToFit="false"/>
      <protection locked="true" hidden="false"/>
    </xf>
    <xf numFmtId="167" fontId="21" fillId="0" borderId="10" xfId="0" applyFont="true" applyBorder="true" applyAlignment="false" applyProtection="false">
      <alignment horizontal="general" vertical="bottom" textRotation="0" wrapText="false" indent="0" shrinkToFit="false"/>
      <protection locked="true" hidden="false"/>
    </xf>
    <xf numFmtId="170" fontId="33" fillId="0" borderId="10" xfId="0" applyFont="true" applyBorder="true" applyAlignment="false" applyProtection="false">
      <alignment horizontal="general" vertical="bottom" textRotation="0" wrapText="false" indent="0" shrinkToFit="false"/>
      <protection locked="true" hidden="false"/>
    </xf>
    <xf numFmtId="167" fontId="23" fillId="2" borderId="0" xfId="0" applyFont="true" applyBorder="false" applyAlignment="true" applyProtection="false">
      <alignment horizontal="center" vertical="bottom" textRotation="0" wrapText="false" indent="0" shrinkToFit="false"/>
      <protection locked="true" hidden="false"/>
    </xf>
    <xf numFmtId="168" fontId="23" fillId="0" borderId="0" xfId="0" applyFont="true" applyBorder="false" applyAlignment="false" applyProtection="false">
      <alignment horizontal="general" vertical="bottom" textRotation="0" wrapText="false" indent="0" shrinkToFit="false"/>
      <protection locked="true" hidden="false"/>
    </xf>
    <xf numFmtId="170" fontId="20" fillId="19" borderId="0" xfId="0" applyFont="true" applyBorder="false" applyAlignment="true" applyProtection="false">
      <alignment horizontal="right" vertical="bottom" textRotation="0" wrapText="false" indent="0" shrinkToFit="false"/>
      <protection locked="true" hidden="false"/>
    </xf>
    <xf numFmtId="165" fontId="20" fillId="19" borderId="0" xfId="0" applyFont="true" applyBorder="false" applyAlignment="true" applyProtection="false">
      <alignment horizontal="right" vertical="bottom" textRotation="0" wrapText="false" indent="0" shrinkToFit="false"/>
      <protection locked="true" hidden="false"/>
    </xf>
    <xf numFmtId="170" fontId="20" fillId="0" borderId="0" xfId="0" applyFont="true" applyBorder="false" applyAlignment="true" applyProtection="false">
      <alignment horizontal="right" vertical="bottom" textRotation="0" wrapText="false" indent="0" shrinkToFit="false"/>
      <protection locked="true" hidden="false"/>
    </xf>
    <xf numFmtId="165" fontId="20" fillId="0" borderId="0" xfId="0" applyFont="true" applyBorder="false" applyAlignment="true" applyProtection="false">
      <alignment horizontal="right" vertical="bottom" textRotation="0" wrapText="false" indent="0" shrinkToFit="false"/>
      <protection locked="true" hidden="false"/>
    </xf>
    <xf numFmtId="170" fontId="20" fillId="18" borderId="26" xfId="0" applyFont="true" applyBorder="true" applyAlignment="true" applyProtection="false">
      <alignment horizontal="right"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5" fontId="23" fillId="0" borderId="26"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0" fontId="25" fillId="0" borderId="0" xfId="56"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21" fillId="0" borderId="0" xfId="0" applyFont="true" applyBorder="true" applyAlignment="false" applyProtection="false">
      <alignment horizontal="general" vertical="bottom" textRotation="0" wrapText="false" indent="0" shrinkToFit="false"/>
      <protection locked="true" hidden="false"/>
    </xf>
    <xf numFmtId="165" fontId="23" fillId="0" borderId="0" xfId="0" applyFont="true" applyBorder="true" applyAlignment="false" applyProtection="false">
      <alignment horizontal="general" vertical="bottom" textRotation="0" wrapText="false" indent="0" shrinkToFit="false"/>
      <protection locked="true" hidden="false"/>
    </xf>
    <xf numFmtId="167" fontId="21" fillId="0" borderId="0" xfId="0" applyFont="true" applyBorder="true" applyAlignment="false" applyProtection="false">
      <alignment horizontal="general" vertical="bottom" textRotation="0" wrapText="false" indent="0" shrinkToFit="false"/>
      <protection locked="true" hidden="false"/>
    </xf>
    <xf numFmtId="167" fontId="20" fillId="0" borderId="0" xfId="15" applyFont="true" applyBorder="true" applyAlignment="true" applyProtection="true">
      <alignment horizontal="general" vertical="bottom" textRotation="0" wrapText="false" indent="0" shrinkToFit="false"/>
      <protection locked="true" hidden="false"/>
    </xf>
    <xf numFmtId="168" fontId="20" fillId="0" borderId="0" xfId="15"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7" fontId="33" fillId="0" borderId="10" xfId="0" applyFont="true" applyBorder="true" applyAlignment="false" applyProtection="false">
      <alignment horizontal="general" vertical="bottom" textRotation="0" wrapText="false" indent="0" shrinkToFit="false"/>
      <protection locked="true" hidden="false"/>
    </xf>
    <xf numFmtId="170" fontId="23" fillId="0" borderId="15" xfId="56" applyFont="true" applyBorder="true" applyAlignment="true" applyProtection="false">
      <alignment horizontal="center" vertical="bottom" textRotation="0" wrapText="false" indent="0" shrinkToFit="false"/>
      <protection locked="true" hidden="false"/>
    </xf>
    <xf numFmtId="168" fontId="23" fillId="0" borderId="14" xfId="56" applyFont="true" applyBorder="true" applyAlignment="true" applyProtection="false">
      <alignment horizontal="center" vertical="bottom" textRotation="0" wrapText="false" indent="0" shrinkToFit="false"/>
      <protection locked="true" hidden="false"/>
    </xf>
    <xf numFmtId="164" fontId="23" fillId="0" borderId="0" xfId="56" applyFont="true" applyBorder="true" applyAlignment="false" applyProtection="false">
      <alignment horizontal="general" vertical="bottom" textRotation="0" wrapText="false" indent="0" shrinkToFit="false"/>
      <protection locked="true" hidden="false"/>
    </xf>
    <xf numFmtId="168" fontId="23" fillId="0" borderId="14" xfId="56" applyFont="true" applyBorder="true" applyAlignment="false" applyProtection="false">
      <alignment horizontal="general" vertical="bottom" textRotation="0" wrapText="false" indent="0" shrinkToFit="false"/>
      <protection locked="true" hidden="false"/>
    </xf>
    <xf numFmtId="167" fontId="20" fillId="0" borderId="14" xfId="56" applyFont="true" applyBorder="true" applyAlignment="true" applyProtection="false">
      <alignment horizontal="right" vertical="bottom" textRotation="0" wrapText="false" indent="0" shrinkToFit="false"/>
      <protection locked="true" hidden="false"/>
    </xf>
    <xf numFmtId="168" fontId="20" fillId="18" borderId="22" xfId="56" applyFont="true" applyBorder="true" applyAlignment="true" applyProtection="false">
      <alignment horizontal="right" vertical="bottom" textRotation="0" wrapText="false" indent="0" shrinkToFit="false"/>
      <protection locked="true" hidden="false"/>
    </xf>
    <xf numFmtId="170" fontId="20" fillId="7" borderId="0" xfId="56" applyFont="true" applyBorder="true" applyAlignment="true" applyProtection="false">
      <alignment horizontal="right" vertical="bottom" textRotation="0" wrapText="false" indent="0" shrinkToFit="false"/>
      <protection locked="true" hidden="false"/>
    </xf>
    <xf numFmtId="169" fontId="20" fillId="0" borderId="0" xfId="56" applyFont="true" applyBorder="true" applyAlignment="true" applyProtection="false">
      <alignment horizontal="right" vertical="bottom" textRotation="0" wrapText="false" indent="0" shrinkToFit="false"/>
      <protection locked="true" hidden="false"/>
    </xf>
    <xf numFmtId="169" fontId="20" fillId="0" borderId="15" xfId="56" applyFont="true" applyBorder="true" applyAlignment="true" applyProtection="false">
      <alignment horizontal="right" vertical="bottom" textRotation="0" wrapText="false" indent="0" shrinkToFit="false"/>
      <protection locked="true" hidden="false"/>
    </xf>
    <xf numFmtId="165" fontId="20" fillId="0" borderId="31" xfId="56" applyFont="true" applyBorder="true" applyAlignment="true" applyProtection="false">
      <alignment horizontal="right" vertical="bottom" textRotation="0" wrapText="false" indent="0" shrinkToFit="false"/>
      <protection locked="true" hidden="false"/>
    </xf>
    <xf numFmtId="165" fontId="20" fillId="0" borderId="32" xfId="56" applyFont="true" applyBorder="true" applyAlignment="true" applyProtection="false">
      <alignment horizontal="right" vertical="bottom" textRotation="0" wrapText="false" indent="0" shrinkToFit="false"/>
      <protection locked="true" hidden="false"/>
    </xf>
    <xf numFmtId="168" fontId="20" fillId="0" borderId="36" xfId="56" applyFont="true" applyBorder="true" applyAlignment="true" applyProtection="false">
      <alignment horizontal="right" vertical="bottom" textRotation="0" wrapText="false" indent="0" shrinkToFit="false"/>
      <protection locked="true" hidden="false"/>
    </xf>
    <xf numFmtId="169" fontId="20" fillId="0" borderId="29" xfId="56" applyFont="true" applyBorder="true" applyAlignment="true" applyProtection="false">
      <alignment horizontal="right" vertical="bottom" textRotation="0" wrapText="false" indent="0" shrinkToFit="false"/>
      <protection locked="true" hidden="false"/>
    </xf>
    <xf numFmtId="167" fontId="21" fillId="18" borderId="21" xfId="56" applyFont="true" applyBorder="true" applyAlignment="false" applyProtection="false">
      <alignment horizontal="general" vertical="bottom" textRotation="0" wrapText="false" indent="0" shrinkToFit="false"/>
      <protection locked="true" hidden="false"/>
    </xf>
    <xf numFmtId="170" fontId="21" fillId="18" borderId="24" xfId="56" applyFont="true" applyBorder="true" applyAlignment="false" applyProtection="false">
      <alignment horizontal="general" vertical="bottom" textRotation="0" wrapText="false" indent="0" shrinkToFit="false"/>
      <protection locked="true" hidden="false"/>
    </xf>
    <xf numFmtId="170" fontId="21" fillId="18" borderId="21" xfId="56" applyFont="true" applyBorder="true" applyAlignment="true" applyProtection="false">
      <alignment horizontal="right" vertical="bottom" textRotation="0" wrapText="false" indent="0" shrinkToFit="false"/>
      <protection locked="true" hidden="false"/>
    </xf>
    <xf numFmtId="167" fontId="21" fillId="18" borderId="21" xfId="56" applyFont="true" applyBorder="true" applyAlignment="true" applyProtection="false">
      <alignment horizontal="right" vertical="bottom" textRotation="0" wrapText="false" indent="0" shrinkToFit="false"/>
      <protection locked="true" hidden="false"/>
    </xf>
    <xf numFmtId="168" fontId="21" fillId="18" borderId="21" xfId="56" applyFont="true" applyBorder="true" applyAlignment="true" applyProtection="false">
      <alignment horizontal="right" vertical="bottom" textRotation="0" wrapText="false" indent="0" shrinkToFit="false"/>
      <protection locked="true" hidden="false"/>
    </xf>
    <xf numFmtId="171" fontId="0" fillId="0" borderId="0" xfId="56" applyFont="false" applyBorder="true" applyAlignment="false" applyProtection="false">
      <alignment horizontal="general" vertical="bottom" textRotation="0" wrapText="false" indent="0" shrinkToFit="false"/>
      <protection locked="true" hidden="false"/>
    </xf>
    <xf numFmtId="169" fontId="33" fillId="0" borderId="0" xfId="56" applyFont="true" applyBorder="true" applyAlignment="true" applyProtection="false">
      <alignment horizontal="center" vertical="bottom" textRotation="0" wrapText="false" indent="0" shrinkToFit="false"/>
      <protection locked="true" hidden="false"/>
    </xf>
    <xf numFmtId="171" fontId="21" fillId="0" borderId="10" xfId="56" applyFont="true" applyBorder="true" applyAlignment="false" applyProtection="false">
      <alignment horizontal="general" vertical="bottom" textRotation="0" wrapText="false" indent="0" shrinkToFit="false"/>
      <protection locked="true" hidden="false"/>
    </xf>
    <xf numFmtId="169" fontId="33" fillId="0" borderId="10" xfId="56" applyFont="true" applyBorder="true" applyAlignment="true" applyProtection="false">
      <alignment horizontal="center" vertical="bottom" textRotation="0" wrapText="false" indent="0" shrinkToFit="false"/>
      <protection locked="true" hidden="false"/>
    </xf>
    <xf numFmtId="168" fontId="0" fillId="0" borderId="10" xfId="56" applyFont="false" applyBorder="true" applyAlignment="false" applyProtection="false">
      <alignment horizontal="general" vertical="bottom" textRotation="0" wrapText="false" indent="0" shrinkToFit="false"/>
      <protection locked="true" hidden="false"/>
    </xf>
    <xf numFmtId="171" fontId="20" fillId="0" borderId="0" xfId="56" applyFont="true" applyBorder="true" applyAlignment="false" applyProtection="false">
      <alignment horizontal="general" vertical="bottom" textRotation="0" wrapText="false" indent="0" shrinkToFit="false"/>
      <protection locked="true" hidden="false"/>
    </xf>
    <xf numFmtId="168" fontId="24" fillId="0" borderId="0" xfId="56" applyFont="true" applyBorder="true" applyAlignment="true" applyProtection="false">
      <alignment horizontal="center" vertical="bottom" textRotation="0" wrapText="false" indent="0" shrinkToFit="false"/>
      <protection locked="true" hidden="false"/>
    </xf>
    <xf numFmtId="167" fontId="20" fillId="0" borderId="12" xfId="56" applyFont="true" applyBorder="true" applyAlignment="true" applyProtection="false">
      <alignment horizontal="center" vertical="bottom" textRotation="0" wrapText="false" indent="0" shrinkToFit="false"/>
      <protection locked="true" hidden="false"/>
    </xf>
    <xf numFmtId="169" fontId="23" fillId="0" borderId="0" xfId="0" applyFont="true" applyBorder="false" applyAlignment="false" applyProtection="false">
      <alignment horizontal="general" vertical="bottom" textRotation="0" wrapText="false" indent="0" shrinkToFit="false"/>
      <protection locked="true" hidden="false"/>
    </xf>
    <xf numFmtId="170" fontId="20" fillId="0" borderId="14" xfId="56" applyFont="true" applyBorder="true" applyAlignment="false" applyProtection="false">
      <alignment horizontal="general" vertical="bottom" textRotation="0" wrapText="false" indent="0" shrinkToFit="false"/>
      <protection locked="true" hidden="false"/>
    </xf>
    <xf numFmtId="165" fontId="20" fillId="0" borderId="15" xfId="56" applyFont="true" applyBorder="true" applyAlignment="false" applyProtection="false">
      <alignment horizontal="general" vertical="bottom" textRotation="0" wrapText="false" indent="0" shrinkToFit="false"/>
      <protection locked="true" hidden="false"/>
    </xf>
    <xf numFmtId="165" fontId="20" fillId="0" borderId="19" xfId="56" applyFont="true" applyBorder="true" applyAlignment="false" applyProtection="false">
      <alignment horizontal="general" vertical="bottom" textRotation="0" wrapText="false" indent="0" shrinkToFit="false"/>
      <protection locked="true" hidden="false"/>
    </xf>
    <xf numFmtId="168" fontId="20" fillId="0" borderId="20" xfId="56" applyFont="true" applyBorder="true" applyAlignment="false" applyProtection="false">
      <alignment horizontal="general" vertical="bottom" textRotation="0" wrapText="false" indent="0" shrinkToFit="false"/>
      <protection locked="true" hidden="false"/>
    </xf>
    <xf numFmtId="165" fontId="20" fillId="0" borderId="20" xfId="56" applyFont="true" applyBorder="true" applyAlignment="false" applyProtection="false">
      <alignment horizontal="general" vertical="bottom" textRotation="0" wrapText="false" indent="0" shrinkToFit="false"/>
      <protection locked="true" hidden="false"/>
    </xf>
    <xf numFmtId="169" fontId="20" fillId="0" borderId="15" xfId="56" applyFont="true" applyBorder="true" applyAlignment="false" applyProtection="false">
      <alignment horizontal="general" vertical="bottom" textRotation="0" wrapText="false" indent="0" shrinkToFit="false"/>
      <protection locked="true" hidden="false"/>
    </xf>
    <xf numFmtId="174" fontId="20" fillId="0" borderId="14" xfId="56" applyFont="true" applyBorder="true" applyAlignment="false" applyProtection="false">
      <alignment horizontal="general" vertical="bottom" textRotation="0" wrapText="false" indent="0" shrinkToFit="false"/>
      <protection locked="true" hidden="false"/>
    </xf>
    <xf numFmtId="165" fontId="20" fillId="0" borderId="28" xfId="56" applyFont="true" applyBorder="true" applyAlignment="false" applyProtection="false">
      <alignment horizontal="general" vertical="bottom" textRotation="0" wrapText="false" indent="0" shrinkToFit="false"/>
      <protection locked="true" hidden="false"/>
    </xf>
    <xf numFmtId="168" fontId="20" fillId="0" borderId="29" xfId="56" applyFont="true" applyBorder="true" applyAlignment="false" applyProtection="false">
      <alignment horizontal="general" vertical="bottom" textRotation="0" wrapText="false" indent="0" shrinkToFit="false"/>
      <protection locked="true" hidden="false"/>
    </xf>
    <xf numFmtId="174" fontId="20" fillId="18" borderId="22" xfId="56" applyFont="true" applyBorder="true" applyAlignment="false" applyProtection="false">
      <alignment horizontal="general" vertical="bottom" textRotation="0" wrapText="false" indent="0" shrinkToFit="false"/>
      <protection locked="true" hidden="false"/>
    </xf>
    <xf numFmtId="165" fontId="20" fillId="18" borderId="21" xfId="56" applyFont="true" applyBorder="true" applyAlignment="false" applyProtection="false">
      <alignment horizontal="general" vertical="bottom" textRotation="0" wrapText="false" indent="0" shrinkToFit="false"/>
      <protection locked="true" hidden="false"/>
    </xf>
    <xf numFmtId="170" fontId="20" fillId="18" borderId="23" xfId="56" applyFont="true" applyBorder="true" applyAlignment="false" applyProtection="false">
      <alignment horizontal="general" vertical="bottom" textRotation="0" wrapText="false" indent="0" shrinkToFit="false"/>
      <protection locked="true" hidden="false"/>
    </xf>
    <xf numFmtId="171" fontId="20" fillId="18" borderId="21" xfId="56" applyFont="true" applyBorder="true" applyAlignment="false" applyProtection="false">
      <alignment horizontal="general" vertical="bottom" textRotation="0" wrapText="false" indent="0" shrinkToFit="false"/>
      <protection locked="true" hidden="false"/>
    </xf>
    <xf numFmtId="170" fontId="20" fillId="18" borderId="24" xfId="56" applyFont="true" applyBorder="true" applyAlignment="false" applyProtection="false">
      <alignment horizontal="general" vertical="bottom" textRotation="0" wrapText="false" indent="0" shrinkToFit="false"/>
      <protection locked="true" hidden="false"/>
    </xf>
    <xf numFmtId="168" fontId="20" fillId="18" borderId="21" xfId="56" applyFont="true" applyBorder="true" applyAlignment="false" applyProtection="false">
      <alignment horizontal="general" vertical="bottom" textRotation="0" wrapText="false" indent="0" shrinkToFit="false"/>
      <protection locked="true" hidden="false"/>
    </xf>
    <xf numFmtId="168" fontId="20" fillId="18" borderId="25" xfId="56" applyFont="true" applyBorder="true" applyAlignment="false" applyProtection="false">
      <alignment horizontal="general" vertical="bottom" textRotation="0" wrapText="false" indent="0" shrinkToFit="false"/>
      <protection locked="true" hidden="false"/>
    </xf>
    <xf numFmtId="166" fontId="20" fillId="18" borderId="22" xfId="56" applyFont="true" applyBorder="true" applyAlignment="false" applyProtection="false">
      <alignment horizontal="general" vertical="bottom" textRotation="0" wrapText="false" indent="0" shrinkToFit="false"/>
      <protection locked="true" hidden="false"/>
    </xf>
    <xf numFmtId="169" fontId="20" fillId="18" borderId="21" xfId="56" applyFont="true" applyBorder="true" applyAlignment="false" applyProtection="false">
      <alignment horizontal="general" vertical="bottom" textRotation="0" wrapText="false" indent="0" shrinkToFit="false"/>
      <protection locked="true" hidden="false"/>
    </xf>
    <xf numFmtId="169" fontId="20" fillId="18" borderId="23" xfId="56" applyFont="true" applyBorder="true" applyAlignment="false" applyProtection="false">
      <alignment horizontal="general" vertical="bottom" textRotation="0" wrapText="false" indent="0" shrinkToFit="false"/>
      <protection locked="true" hidden="false"/>
    </xf>
    <xf numFmtId="168" fontId="20" fillId="18" borderId="21" xfId="56" applyFont="true" applyBorder="true" applyAlignment="true" applyProtection="false">
      <alignment horizontal="center" vertical="bottom" textRotation="0" wrapText="false" indent="0" shrinkToFit="false"/>
      <protection locked="true" hidden="false"/>
    </xf>
    <xf numFmtId="167" fontId="20" fillId="18" borderId="21" xfId="56" applyFont="true" applyBorder="true" applyAlignment="true" applyProtection="false">
      <alignment horizontal="center" vertical="bottom" textRotation="0" wrapText="false" indent="0" shrinkToFit="false"/>
      <protection locked="true" hidden="false"/>
    </xf>
    <xf numFmtId="170" fontId="20" fillId="0" borderId="15" xfId="56" applyFont="true" applyBorder="true" applyAlignment="false" applyProtection="false">
      <alignment horizontal="general" vertical="bottom" textRotation="0" wrapText="false" indent="0" shrinkToFit="false"/>
      <protection locked="true" hidden="false"/>
    </xf>
    <xf numFmtId="170" fontId="20" fillId="0" borderId="19" xfId="56" applyFont="true" applyBorder="true" applyAlignment="false" applyProtection="false">
      <alignment horizontal="general" vertical="bottom" textRotation="0" wrapText="false" indent="0" shrinkToFit="false"/>
      <protection locked="true" hidden="false"/>
    </xf>
    <xf numFmtId="170" fontId="20" fillId="7" borderId="0" xfId="56" applyFont="true" applyBorder="true" applyAlignment="false" applyProtection="false">
      <alignment horizontal="general" vertical="bottom" textRotation="0" wrapText="false" indent="0" shrinkToFit="false"/>
      <protection locked="true" hidden="false"/>
    </xf>
    <xf numFmtId="165" fontId="20" fillId="7" borderId="0" xfId="56" applyFont="true" applyBorder="true" applyAlignment="fals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center" vertical="bottom" textRotation="0" wrapText="false" indent="0" shrinkToFit="false"/>
      <protection locked="true" hidden="false"/>
    </xf>
    <xf numFmtId="170" fontId="20" fillId="0" borderId="0" xfId="56" applyFont="true" applyBorder="true" applyAlignment="false" applyProtection="false">
      <alignment horizontal="general" vertical="bottom" textRotation="0" wrapText="false" indent="0" shrinkToFit="false"/>
      <protection locked="true" hidden="false"/>
    </xf>
    <xf numFmtId="169" fontId="21" fillId="0" borderId="0" xfId="56" applyFont="true" applyBorder="true" applyAlignment="true" applyProtection="false">
      <alignment horizontal="center" vertical="bottom" textRotation="0" wrapText="false" indent="0" shrinkToFit="false"/>
      <protection locked="true" hidden="false"/>
    </xf>
    <xf numFmtId="174" fontId="20" fillId="0" borderId="14" xfId="56" applyFont="true" applyBorder="true" applyAlignment="false" applyProtection="false">
      <alignment horizontal="general" vertical="bottom" textRotation="0" wrapText="false" indent="0" shrinkToFit="false"/>
      <protection locked="true" hidden="false"/>
    </xf>
    <xf numFmtId="165" fontId="20" fillId="0" borderId="0" xfId="56" applyFont="true" applyBorder="true" applyAlignment="false" applyProtection="false">
      <alignment horizontal="general" vertical="bottom" textRotation="0" wrapText="false" indent="0" shrinkToFit="false"/>
      <protection locked="true" hidden="false"/>
    </xf>
    <xf numFmtId="169" fontId="20" fillId="0" borderId="0" xfId="56" applyFont="true" applyBorder="true" applyAlignment="false" applyProtection="false">
      <alignment horizontal="general" vertical="bottom" textRotation="0" wrapText="false" indent="0" shrinkToFit="false"/>
      <protection locked="true" hidden="false"/>
    </xf>
    <xf numFmtId="170" fontId="20" fillId="0" borderId="15" xfId="56" applyFont="true" applyBorder="true" applyAlignment="false" applyProtection="false">
      <alignment horizontal="general" vertical="bottom" textRotation="0" wrapText="false" indent="0" shrinkToFit="false"/>
      <protection locked="true" hidden="false"/>
    </xf>
    <xf numFmtId="167" fontId="20" fillId="0" borderId="0" xfId="56" applyFont="true" applyBorder="true" applyAlignment="false" applyProtection="false">
      <alignment horizontal="general" vertical="bottom" textRotation="0" wrapText="false" indent="0" shrinkToFit="false"/>
      <protection locked="true" hidden="false"/>
    </xf>
    <xf numFmtId="170" fontId="20" fillId="0" borderId="19" xfId="56" applyFont="true" applyBorder="true" applyAlignment="false" applyProtection="false">
      <alignment horizontal="general" vertical="bottom" textRotation="0" wrapText="false" indent="0" shrinkToFit="false"/>
      <protection locked="true" hidden="false"/>
    </xf>
    <xf numFmtId="166" fontId="20" fillId="0" borderId="14" xfId="56" applyFont="true" applyBorder="true" applyAlignment="false" applyProtection="false">
      <alignment horizontal="general" vertical="bottom" textRotation="0" wrapText="false" indent="0" shrinkToFit="false"/>
      <protection locked="true" hidden="false"/>
    </xf>
    <xf numFmtId="169" fontId="20" fillId="0" borderId="15" xfId="56" applyFont="true" applyBorder="true" applyAlignment="false" applyProtection="false">
      <alignment horizontal="general" vertical="bottom" textRotation="0" wrapText="false" indent="0" shrinkToFit="false"/>
      <protection locked="true" hidden="false"/>
    </xf>
    <xf numFmtId="171" fontId="20" fillId="0" borderId="0" xfId="56" applyFont="true" applyBorder="true" applyAlignment="false" applyProtection="false">
      <alignment horizontal="general" vertical="bottom" textRotation="0" wrapText="false" indent="0" shrinkToFit="false"/>
      <protection locked="true" hidden="false"/>
    </xf>
    <xf numFmtId="168" fontId="20" fillId="0" borderId="0" xfId="0" applyFont="true" applyBorder="true" applyAlignment="false" applyProtection="false">
      <alignment horizontal="general" vertical="bottom" textRotation="0" wrapText="false" indent="0" shrinkToFit="false"/>
      <protection locked="true" hidden="false"/>
    </xf>
    <xf numFmtId="170" fontId="20" fillId="18" borderId="22" xfId="56" applyFont="true" applyBorder="true" applyAlignment="false" applyProtection="false">
      <alignment horizontal="general" vertical="bottom" textRotation="0" wrapText="false" indent="0" shrinkToFit="false"/>
      <protection locked="true" hidden="false"/>
    </xf>
    <xf numFmtId="165" fontId="20" fillId="18" borderId="23" xfId="56" applyFont="true" applyBorder="true" applyAlignment="false" applyProtection="false">
      <alignment horizontal="general" vertical="bottom" textRotation="0" wrapText="false" indent="0" shrinkToFit="false"/>
      <protection locked="true" hidden="false"/>
    </xf>
    <xf numFmtId="165" fontId="20" fillId="18" borderId="24" xfId="56" applyFont="true" applyBorder="true" applyAlignment="false" applyProtection="false">
      <alignment horizontal="general" vertical="bottom" textRotation="0" wrapText="false" indent="0" shrinkToFit="false"/>
      <protection locked="true" hidden="false"/>
    </xf>
    <xf numFmtId="165" fontId="20" fillId="18" borderId="25" xfId="56" applyFont="true" applyBorder="true" applyAlignment="false" applyProtection="false">
      <alignment horizontal="general" vertical="bottom" textRotation="0" wrapText="false" indent="0" shrinkToFit="false"/>
      <protection locked="true" hidden="false"/>
    </xf>
    <xf numFmtId="165" fontId="20" fillId="18" borderId="22" xfId="56" applyFont="true" applyBorder="true" applyAlignment="false" applyProtection="false">
      <alignment horizontal="general" vertical="bottom" textRotation="0" wrapText="false" indent="0" shrinkToFit="false"/>
      <protection locked="true" hidden="false"/>
    </xf>
    <xf numFmtId="166" fontId="20" fillId="18" borderId="21" xfId="56" applyFont="true" applyBorder="true" applyAlignment="false" applyProtection="false">
      <alignment horizontal="general" vertical="bottom" textRotation="0" wrapText="false" indent="0" shrinkToFit="false"/>
      <protection locked="true" hidden="false"/>
    </xf>
    <xf numFmtId="166" fontId="20" fillId="18" borderId="23" xfId="56" applyFont="true" applyBorder="true" applyAlignment="false" applyProtection="false">
      <alignment horizontal="general" vertical="bottom" textRotation="0" wrapText="false" indent="0" shrinkToFit="false"/>
      <protection locked="true" hidden="false"/>
    </xf>
    <xf numFmtId="169" fontId="20" fillId="0" borderId="28" xfId="56" applyFont="true" applyBorder="true" applyAlignment="false" applyProtection="false">
      <alignment horizontal="general" vertical="bottom" textRotation="0" wrapText="false" indent="0" shrinkToFit="false"/>
      <protection locked="true" hidden="false"/>
    </xf>
    <xf numFmtId="169" fontId="20" fillId="0" borderId="29" xfId="56" applyFont="true" applyBorder="true" applyAlignment="false" applyProtection="false">
      <alignment horizontal="general" vertical="bottom" textRotation="0" wrapText="false" indent="0" shrinkToFit="false"/>
      <protection locked="true" hidden="false"/>
    </xf>
    <xf numFmtId="171" fontId="21" fillId="18" borderId="21" xfId="56" applyFont="true" applyBorder="true" applyAlignment="false" applyProtection="false">
      <alignment horizontal="general" vertical="bottom" textRotation="0" wrapText="false" indent="0" shrinkToFit="false"/>
      <protection locked="true" hidden="false"/>
    </xf>
    <xf numFmtId="170" fontId="21" fillId="18" borderId="26" xfId="56" applyFont="true" applyBorder="true" applyAlignment="false" applyProtection="false">
      <alignment horizontal="general" vertical="bottom" textRotation="0" wrapText="false" indent="0" shrinkToFit="false"/>
      <protection locked="true" hidden="false"/>
    </xf>
    <xf numFmtId="170" fontId="39" fillId="0" borderId="0" xfId="56" applyFont="true" applyBorder="true" applyAlignment="false" applyProtection="false">
      <alignment horizontal="general" vertical="bottom" textRotation="0" wrapText="false" indent="0" shrinkToFit="false"/>
      <protection locked="true" hidden="false"/>
    </xf>
    <xf numFmtId="168" fontId="33" fillId="0" borderId="0" xfId="56" applyFont="true" applyBorder="true" applyAlignment="false" applyProtection="false">
      <alignment horizontal="general" vertical="bottom" textRotation="0" wrapText="false" indent="0" shrinkToFit="false"/>
      <protection locked="true" hidden="false"/>
    </xf>
    <xf numFmtId="165" fontId="24" fillId="0" borderId="0" xfId="56" applyFont="true" applyBorder="true" applyAlignment="false" applyProtection="false">
      <alignment horizontal="general" vertical="bottom" textRotation="0" wrapText="false" indent="0" shrinkToFit="false"/>
      <protection locked="true" hidden="false"/>
    </xf>
    <xf numFmtId="169" fontId="21" fillId="0" borderId="0" xfId="56" applyFont="true" applyBorder="true" applyAlignment="true" applyProtection="false">
      <alignment horizontal="left" vertical="bottom" textRotation="0" wrapText="false" indent="0" shrinkToFit="false"/>
      <protection locked="true" hidden="false"/>
    </xf>
    <xf numFmtId="164" fontId="0" fillId="0" borderId="0" xfId="56" applyFont="true" applyBorder="true" applyAlignment="false" applyProtection="false">
      <alignment horizontal="general" vertical="bottom" textRotation="0" wrapText="false" indent="0" shrinkToFit="false"/>
      <protection locked="true" hidden="false"/>
    </xf>
    <xf numFmtId="164" fontId="31" fillId="0" borderId="0" xfId="56" applyFont="true" applyBorder="true" applyAlignment="false" applyProtection="false">
      <alignment horizontal="general" vertical="bottom" textRotation="0" wrapText="false" indent="0" shrinkToFit="false"/>
      <protection locked="true" hidden="false"/>
    </xf>
    <xf numFmtId="168" fontId="0" fillId="0" borderId="10" xfId="56" applyFont="false" applyBorder="true" applyAlignment="true" applyProtection="false">
      <alignment horizontal="center" vertical="bottom" textRotation="0" wrapText="false" indent="0" shrinkToFit="false"/>
      <protection locked="true" hidden="false"/>
    </xf>
    <xf numFmtId="170" fontId="21" fillId="0" borderId="14" xfId="56" applyFont="true" applyBorder="true" applyAlignment="true" applyProtection="false">
      <alignment horizontal="right" vertical="bottom" textRotation="0" wrapText="false" indent="0" shrinkToFit="false"/>
      <protection locked="true" hidden="false"/>
    </xf>
    <xf numFmtId="180" fontId="21" fillId="0" borderId="0" xfId="56" applyFont="true" applyBorder="true" applyAlignment="true" applyProtection="false">
      <alignment horizontal="right" vertical="bottom" textRotation="0" wrapText="false" indent="0" shrinkToFit="false"/>
      <protection locked="true" hidden="false"/>
    </xf>
    <xf numFmtId="165" fontId="21" fillId="0" borderId="0" xfId="56" applyFont="true" applyBorder="true" applyAlignment="true" applyProtection="false">
      <alignment horizontal="right" vertical="bottom" textRotation="0" wrapText="false" indent="0" shrinkToFit="false"/>
      <protection locked="true" hidden="false"/>
    </xf>
    <xf numFmtId="165" fontId="21" fillId="0" borderId="15" xfId="56" applyFont="true" applyBorder="true" applyAlignment="true" applyProtection="false">
      <alignment horizontal="right" vertical="bottom" textRotation="0" wrapText="false" indent="0" shrinkToFit="false"/>
      <protection locked="true" hidden="false"/>
    </xf>
    <xf numFmtId="165" fontId="21" fillId="0" borderId="19" xfId="56" applyFont="true" applyBorder="true" applyAlignment="true" applyProtection="false">
      <alignment horizontal="right" vertical="bottom" textRotation="0" wrapText="false" indent="0" shrinkToFit="false"/>
      <protection locked="true" hidden="false"/>
    </xf>
    <xf numFmtId="168" fontId="21" fillId="0" borderId="0" xfId="56" applyFont="true" applyBorder="true" applyAlignment="true" applyProtection="false">
      <alignment horizontal="right" vertical="bottom" textRotation="0" wrapText="false" indent="0" shrinkToFit="false"/>
      <protection locked="true" hidden="false"/>
    </xf>
    <xf numFmtId="168" fontId="21" fillId="0" borderId="20" xfId="56" applyFont="true" applyBorder="true" applyAlignment="true" applyProtection="false">
      <alignment horizontal="right" vertical="bottom" textRotation="0" wrapText="false" indent="0" shrinkToFit="false"/>
      <protection locked="true" hidden="false"/>
    </xf>
    <xf numFmtId="166" fontId="21" fillId="0" borderId="14" xfId="56" applyFont="true" applyBorder="true" applyAlignment="true" applyProtection="false">
      <alignment horizontal="right" vertical="bottom" textRotation="0" wrapText="false" indent="0" shrinkToFit="false"/>
      <protection locked="true" hidden="false"/>
    </xf>
    <xf numFmtId="169" fontId="21" fillId="0" borderId="0" xfId="56" applyFont="true" applyBorder="true" applyAlignment="true" applyProtection="false">
      <alignment horizontal="right" vertical="bottom" textRotation="0" wrapText="false" indent="0" shrinkToFit="false"/>
      <protection locked="true" hidden="false"/>
    </xf>
    <xf numFmtId="169" fontId="21" fillId="0" borderId="15" xfId="56" applyFont="true" applyBorder="true" applyAlignment="true" applyProtection="false">
      <alignment horizontal="right" vertical="bottom" textRotation="0" wrapText="false" indent="0" shrinkToFit="false"/>
      <protection locked="true" hidden="false"/>
    </xf>
    <xf numFmtId="174" fontId="21" fillId="0" borderId="14" xfId="56" applyFont="true" applyBorder="true" applyAlignment="true" applyProtection="false">
      <alignment horizontal="right" vertical="bottom" textRotation="0" wrapText="false" indent="0" shrinkToFit="false"/>
      <protection locked="true" hidden="false"/>
    </xf>
    <xf numFmtId="174" fontId="21" fillId="18" borderId="22" xfId="56" applyFont="true" applyBorder="true" applyAlignment="true" applyProtection="false">
      <alignment horizontal="right" vertical="bottom" textRotation="0" wrapText="false" indent="0" shrinkToFit="false"/>
      <protection locked="true" hidden="false"/>
    </xf>
    <xf numFmtId="165" fontId="21" fillId="18" borderId="21" xfId="56" applyFont="true" applyBorder="true" applyAlignment="true" applyProtection="false">
      <alignment horizontal="right" vertical="bottom" textRotation="0" wrapText="false" indent="0" shrinkToFit="false"/>
      <protection locked="true" hidden="false"/>
    </xf>
    <xf numFmtId="170" fontId="21" fillId="18" borderId="23" xfId="56" applyFont="true" applyBorder="true" applyAlignment="true" applyProtection="false">
      <alignment horizontal="right" vertical="bottom" textRotation="0" wrapText="false" indent="0" shrinkToFit="false"/>
      <protection locked="true" hidden="false"/>
    </xf>
    <xf numFmtId="171" fontId="21" fillId="18" borderId="21" xfId="56" applyFont="true" applyBorder="true" applyAlignment="true" applyProtection="false">
      <alignment horizontal="right" vertical="bottom" textRotation="0" wrapText="false" indent="0" shrinkToFit="false"/>
      <protection locked="true" hidden="false"/>
    </xf>
    <xf numFmtId="170" fontId="21" fillId="18" borderId="24" xfId="56" applyFont="true" applyBorder="true" applyAlignment="true" applyProtection="false">
      <alignment horizontal="right" vertical="bottom" textRotation="0" wrapText="false" indent="0" shrinkToFit="false"/>
      <protection locked="true" hidden="false"/>
    </xf>
    <xf numFmtId="168" fontId="21" fillId="18" borderId="25" xfId="56" applyFont="true" applyBorder="true" applyAlignment="true" applyProtection="false">
      <alignment horizontal="right" vertical="bottom" textRotation="0" wrapText="false" indent="0" shrinkToFit="false"/>
      <protection locked="true" hidden="false"/>
    </xf>
    <xf numFmtId="166" fontId="21" fillId="18" borderId="22" xfId="56" applyFont="true" applyBorder="true" applyAlignment="true" applyProtection="false">
      <alignment horizontal="right" vertical="bottom" textRotation="0" wrapText="false" indent="0" shrinkToFit="false"/>
      <protection locked="true" hidden="false"/>
    </xf>
    <xf numFmtId="169" fontId="21" fillId="18" borderId="21" xfId="56" applyFont="true" applyBorder="true" applyAlignment="true" applyProtection="false">
      <alignment horizontal="right" vertical="bottom" textRotation="0" wrapText="false" indent="0" shrinkToFit="false"/>
      <protection locked="true" hidden="false"/>
    </xf>
    <xf numFmtId="169" fontId="21" fillId="18" borderId="23" xfId="56" applyFont="true" applyBorder="true" applyAlignment="true" applyProtection="false">
      <alignment horizontal="right" vertical="bottom" textRotation="0" wrapText="false" indent="0" shrinkToFit="false"/>
      <protection locked="true" hidden="false"/>
    </xf>
    <xf numFmtId="170" fontId="21" fillId="0" borderId="15" xfId="56" applyFont="true" applyBorder="true" applyAlignment="true" applyProtection="false">
      <alignment horizontal="right" vertical="bottom" textRotation="0" wrapText="false" indent="0" shrinkToFit="false"/>
      <protection locked="true" hidden="false"/>
    </xf>
    <xf numFmtId="170" fontId="21" fillId="0" borderId="0" xfId="56" applyFont="true" applyBorder="true" applyAlignment="true" applyProtection="false">
      <alignment horizontal="right" vertical="bottom" textRotation="0" wrapText="false" indent="0" shrinkToFit="false"/>
      <protection locked="true" hidden="false"/>
    </xf>
    <xf numFmtId="171" fontId="21" fillId="0" borderId="0" xfId="56" applyFont="true" applyBorder="true" applyAlignment="true" applyProtection="false">
      <alignment horizontal="right" vertical="bottom" textRotation="0" wrapText="false" indent="0" shrinkToFit="false"/>
      <protection locked="true" hidden="false"/>
    </xf>
    <xf numFmtId="167" fontId="21" fillId="0" borderId="0" xfId="56" applyFont="true" applyBorder="true" applyAlignment="true" applyProtection="false">
      <alignment horizontal="right" vertical="bottom" textRotation="0" wrapText="false" indent="0" shrinkToFit="false"/>
      <protection locked="true" hidden="false"/>
    </xf>
    <xf numFmtId="170" fontId="21" fillId="0" borderId="19" xfId="56" applyFont="true" applyBorder="true" applyAlignment="true" applyProtection="false">
      <alignment horizontal="right" vertical="bottom" textRotation="0" wrapText="false" indent="0" shrinkToFit="false"/>
      <protection locked="true" hidden="false"/>
    </xf>
    <xf numFmtId="168" fontId="21" fillId="0" borderId="0" xfId="0" applyFont="true" applyBorder="true" applyAlignment="true" applyProtection="false">
      <alignment horizontal="right" vertical="bottom" textRotation="0" wrapText="false" indent="0" shrinkToFit="false"/>
      <protection locked="true" hidden="false"/>
    </xf>
    <xf numFmtId="168" fontId="21" fillId="0" borderId="20" xfId="0" applyFont="true" applyBorder="true" applyAlignment="true" applyProtection="false">
      <alignment horizontal="right" vertical="bottom" textRotation="0" wrapText="false" indent="0" shrinkToFit="false"/>
      <protection locked="true" hidden="false"/>
    </xf>
    <xf numFmtId="170" fontId="21" fillId="7" borderId="0" xfId="56" applyFont="true" applyBorder="true" applyAlignment="true" applyProtection="false">
      <alignment horizontal="right" vertical="bottom" textRotation="0" wrapText="false" indent="0" shrinkToFit="false"/>
      <protection locked="true" hidden="false"/>
    </xf>
    <xf numFmtId="165" fontId="21" fillId="7" borderId="0" xfId="56" applyFont="true" applyBorder="true" applyAlignment="true" applyProtection="false">
      <alignment horizontal="right" vertical="bottom" textRotation="0" wrapText="false" indent="0" shrinkToFit="false"/>
      <protection locked="true" hidden="false"/>
    </xf>
    <xf numFmtId="170" fontId="21" fillId="0" borderId="0" xfId="0" applyFont="true" applyBorder="false" applyAlignment="true" applyProtection="false">
      <alignment horizontal="right" vertical="bottom" textRotation="0" wrapText="false" indent="0" shrinkToFit="false"/>
      <protection locked="true" hidden="false"/>
    </xf>
    <xf numFmtId="169" fontId="21" fillId="0" borderId="0" xfId="56" applyFont="true" applyBorder="true" applyAlignment="true" applyProtection="false">
      <alignment horizontal="right" vertical="bottom" textRotation="0" wrapText="false" indent="0" shrinkToFit="false"/>
      <protection locked="true" hidden="false"/>
    </xf>
    <xf numFmtId="170" fontId="21" fillId="18" borderId="22" xfId="56" applyFont="true" applyBorder="true" applyAlignment="true" applyProtection="false">
      <alignment horizontal="right" vertical="bottom" textRotation="0" wrapText="false" indent="0" shrinkToFit="false"/>
      <protection locked="true" hidden="false"/>
    </xf>
    <xf numFmtId="165" fontId="21" fillId="18" borderId="23" xfId="56" applyFont="true" applyBorder="true" applyAlignment="true" applyProtection="false">
      <alignment horizontal="right" vertical="bottom" textRotation="0" wrapText="false" indent="0" shrinkToFit="false"/>
      <protection locked="true" hidden="false"/>
    </xf>
    <xf numFmtId="165" fontId="21" fillId="18" borderId="24" xfId="56" applyFont="true" applyBorder="true" applyAlignment="true" applyProtection="false">
      <alignment horizontal="right" vertical="bottom" textRotation="0" wrapText="false" indent="0" shrinkToFit="false"/>
      <protection locked="true" hidden="false"/>
    </xf>
    <xf numFmtId="165" fontId="21" fillId="18" borderId="22" xfId="56" applyFont="true" applyBorder="true" applyAlignment="true" applyProtection="false">
      <alignment horizontal="right" vertical="bottom" textRotation="0" wrapText="false" indent="0" shrinkToFit="false"/>
      <protection locked="true" hidden="false"/>
    </xf>
    <xf numFmtId="166" fontId="21" fillId="18" borderId="21" xfId="56" applyFont="true" applyBorder="true" applyAlignment="true" applyProtection="false">
      <alignment horizontal="right" vertical="bottom" textRotation="0" wrapText="false" indent="0" shrinkToFit="false"/>
      <protection locked="true" hidden="false"/>
    </xf>
    <xf numFmtId="166" fontId="21" fillId="18" borderId="23" xfId="56" applyFont="true" applyBorder="true" applyAlignment="true" applyProtection="false">
      <alignment horizontal="right" vertical="bottom" textRotation="0" wrapText="false" indent="0" shrinkToFit="false"/>
      <protection locked="true" hidden="false"/>
    </xf>
    <xf numFmtId="169" fontId="21" fillId="0" borderId="20" xfId="56" applyFont="true" applyBorder="true" applyAlignment="true" applyProtection="false">
      <alignment horizontal="right"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56" applyFont="false" applyBorder="true" applyAlignment="true" applyProtection="false">
      <alignment horizontal="center" vertical="bottom" textRotation="0" wrapText="false" indent="0" shrinkToFit="false"/>
      <protection locked="true" hidden="false"/>
    </xf>
    <xf numFmtId="169" fontId="21" fillId="0" borderId="37" xfId="56" applyFont="true" applyBorder="true" applyAlignment="false" applyProtection="false">
      <alignment horizontal="general" vertical="bottom" textRotation="0" wrapText="false" indent="0" shrinkToFit="false"/>
      <protection locked="true" hidden="false"/>
    </xf>
    <xf numFmtId="168" fontId="0" fillId="0" borderId="0" xfId="56" applyFont="true" applyBorder="true" applyAlignment="false" applyProtection="false">
      <alignment horizontal="general" vertical="bottom" textRotation="0" wrapText="false" indent="0" shrinkToFit="false"/>
      <protection locked="true" hidden="false"/>
    </xf>
    <xf numFmtId="181" fontId="0" fillId="0" borderId="0" xfId="56" applyFont="false" applyBorder="true" applyAlignment="true" applyProtection="false">
      <alignment horizontal="center" vertical="bottom" textRotation="0" wrapText="false" indent="0" shrinkToFit="false"/>
      <protection locked="true" hidden="false"/>
    </xf>
    <xf numFmtId="181" fontId="21" fillId="0" borderId="0" xfId="56" applyFont="true" applyBorder="true" applyAlignment="true" applyProtection="false">
      <alignment horizontal="center" vertical="bottom" textRotation="0" wrapText="false" indent="0" shrinkToFit="false"/>
      <protection locked="true" hidden="false"/>
    </xf>
    <xf numFmtId="181" fontId="21" fillId="0" borderId="10" xfId="56" applyFont="true" applyBorder="true" applyAlignment="true" applyProtection="false">
      <alignment horizontal="center" vertical="bottom" textRotation="0" wrapText="false" indent="0" shrinkToFit="false"/>
      <protection locked="true" hidden="false"/>
    </xf>
    <xf numFmtId="182" fontId="20" fillId="0" borderId="0" xfId="56" applyFont="true" applyBorder="true" applyAlignment="true" applyProtection="false">
      <alignment horizontal="right" vertical="bottom" textRotation="0" wrapText="false" indent="0" shrinkToFit="false"/>
      <protection locked="true" hidden="false"/>
    </xf>
    <xf numFmtId="181" fontId="20" fillId="18" borderId="21" xfId="56" applyFont="true" applyBorder="true" applyAlignment="true" applyProtection="false">
      <alignment horizontal="right" vertical="bottom" textRotation="0" wrapText="false" indent="0" shrinkToFit="false"/>
      <protection locked="true" hidden="false"/>
    </xf>
    <xf numFmtId="181" fontId="20" fillId="0" borderId="0" xfId="56" applyFont="true" applyBorder="true" applyAlignment="true" applyProtection="false">
      <alignment horizontal="right" vertical="bottom" textRotation="0" wrapText="false" indent="0" shrinkToFit="false"/>
      <protection locked="true" hidden="false"/>
    </xf>
    <xf numFmtId="168" fontId="20" fillId="18" borderId="23" xfId="56" applyFont="true" applyBorder="true" applyAlignment="true" applyProtection="false">
      <alignment horizontal="right" vertical="bottom" textRotation="0" wrapText="false" indent="0" shrinkToFit="false"/>
      <protection locked="true" hidden="false"/>
    </xf>
    <xf numFmtId="167" fontId="20" fillId="0" borderId="29" xfId="56" applyFont="true" applyBorder="true" applyAlignment="true" applyProtection="false">
      <alignment horizontal="right" vertical="bottom" textRotation="0" wrapText="false" indent="0" shrinkToFit="false"/>
      <protection locked="true" hidden="false"/>
    </xf>
    <xf numFmtId="181" fontId="21" fillId="18" borderId="21" xfId="56" applyFont="true" applyBorder="true" applyAlignment="true" applyProtection="false">
      <alignment horizontal="center" vertical="bottom" textRotation="0" wrapText="false" indent="0" shrinkToFit="false"/>
      <protection locked="true" hidden="false"/>
    </xf>
    <xf numFmtId="170" fontId="21" fillId="18" borderId="34" xfId="56" applyFont="true" applyBorder="true" applyAlignment="false" applyProtection="false">
      <alignment horizontal="general" vertical="bottom" textRotation="0" wrapText="false" indent="0" shrinkToFit="false"/>
      <protection locked="true" hidden="false"/>
    </xf>
    <xf numFmtId="171" fontId="0" fillId="0" borderId="0" xfId="56" applyFont="false" applyBorder="true" applyAlignment="true" applyProtection="false">
      <alignment horizontal="center" vertical="bottom" textRotation="0" wrapText="false" indent="0" shrinkToFit="false"/>
      <protection locked="true" hidden="false"/>
    </xf>
    <xf numFmtId="166" fontId="21" fillId="0" borderId="0" xfId="0" applyFont="true" applyBorder="false" applyAlignment="true" applyProtection="false">
      <alignment horizontal="center" vertical="bottom" textRotation="0" wrapText="false" indent="0" shrinkToFit="false"/>
      <protection locked="true" hidden="false"/>
    </xf>
    <xf numFmtId="171" fontId="21" fillId="0" borderId="0" xfId="56" applyFont="true" applyBorder="true" applyAlignment="true" applyProtection="false">
      <alignment horizontal="center" vertical="bottom" textRotation="0" wrapText="false" indent="0" shrinkToFit="false"/>
      <protection locked="true" hidden="false"/>
    </xf>
  </cellXfs>
  <cellStyles count="48">
    <cellStyle name="Normal" xfId="0" builtinId="0"/>
    <cellStyle name="Comma" xfId="15" builtinId="3"/>
    <cellStyle name="Comma [0]" xfId="16" builtinId="6"/>
    <cellStyle name="Currency" xfId="17" builtinId="4"/>
    <cellStyle name="Currency [0]" xfId="18" builtinId="7"/>
    <cellStyle name="Percent" xfId="19" builtinId="5"/>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1" xfId="44"/>
    <cellStyle name="Calculation" xfId="45"/>
    <cellStyle name="Check Cell" xfId="46"/>
    <cellStyle name="Explanatory Text" xfId="47"/>
    <cellStyle name="Good 1" xfId="48"/>
    <cellStyle name="Heading 1 1" xfId="49"/>
    <cellStyle name="Heading 2 1" xfId="50"/>
    <cellStyle name="Heading 3" xfId="51"/>
    <cellStyle name="Heading 4" xfId="52"/>
    <cellStyle name="Input" xfId="53"/>
    <cellStyle name="Linked Cell" xfId="54"/>
    <cellStyle name="Neutral 1" xfId="55"/>
    <cellStyle name="Normal_RIVER054" xfId="56"/>
    <cellStyle name="Note 1" xfId="57"/>
    <cellStyle name="Output" xfId="58"/>
    <cellStyle name="Title" xfId="59"/>
    <cellStyle name="Total" xfId="60"/>
    <cellStyle name="Warning Text" xfId="6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6666"/>
      <rgbColor rgb="FFFFFFC0"/>
      <rgbColor rgb="FFEEEEEC"/>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A0E0E0"/>
      <rgbColor rgb="FFCCFFCC"/>
      <rgbColor rgb="FFFFFF99"/>
      <rgbColor rgb="FFA6CAF0"/>
      <rgbColor rgb="FFCC9CCC"/>
      <rgbColor rgb="FFCC99FF"/>
      <rgbColor rgb="FFFFCC99"/>
      <rgbColor rgb="FF3333CC"/>
      <rgbColor rgb="FF33CCCC"/>
      <rgbColor rgb="FF999933"/>
      <rgbColor rgb="FFFFCC00"/>
      <rgbColor rgb="FFFF9900"/>
      <rgbColor rgb="FFFF6600"/>
      <rgbColor rgb="FF666699"/>
      <rgbColor rgb="FF969696"/>
      <rgbColor rgb="FF003366"/>
      <rgbColor rgb="FF339966"/>
      <rgbColor rgb="FF003300"/>
      <rgbColor rgb="FF464648"/>
      <rgbColor rgb="FF993300"/>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30</xdr:row>
      <xdr:rowOff>0</xdr:rowOff>
    </xdr:from>
    <xdr:to>
      <xdr:col>7</xdr:col>
      <xdr:colOff>21600</xdr:colOff>
      <xdr:row>31</xdr:row>
      <xdr:rowOff>28800</xdr:rowOff>
    </xdr:to>
    <xdr:sp>
      <xdr:nvSpPr>
        <xdr:cNvPr id="0" name="Text 1"/>
        <xdr:cNvSpPr/>
      </xdr:nvSpPr>
      <xdr:spPr>
        <a:xfrm>
          <a:off x="2543760" y="4866120"/>
          <a:ext cx="463680" cy="19332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txBody>
        <a:bodyPr lIns="27360" rIns="0" tIns="22680" bIns="0" anchor="t">
          <a:noAutofit/>
        </a:bodyPr>
        <a:p>
          <a:r>
            <a:rPr b="0" lang="en-US" sz="800" spc="-1" strike="noStrike">
              <a:solidFill>
                <a:srgbClr val="000000"/>
              </a:solidFill>
              <a:latin typeface="LinePrinter"/>
            </a:rPr>
            <a:t>thawed</a:t>
          </a:r>
          <a:endParaRPr b="0" lang="en-US" sz="800" spc="-1" strike="noStrike">
            <a:latin typeface="Times New Roman"/>
          </a:endParaRPr>
        </a:p>
        <a:p>
          <a:endParaRPr b="0" lang="en-US" sz="8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30</xdr:col>
      <xdr:colOff>128880</xdr:colOff>
      <xdr:row>11</xdr:row>
      <xdr:rowOff>56880</xdr:rowOff>
    </xdr:from>
    <xdr:to>
      <xdr:col>31</xdr:col>
      <xdr:colOff>216000</xdr:colOff>
      <xdr:row>13</xdr:row>
      <xdr:rowOff>19440</xdr:rowOff>
    </xdr:to>
    <xdr:sp>
      <xdr:nvSpPr>
        <xdr:cNvPr id="1" name="Text 2"/>
        <xdr:cNvSpPr/>
      </xdr:nvSpPr>
      <xdr:spPr>
        <a:xfrm>
          <a:off x="11379960" y="1798200"/>
          <a:ext cx="442440" cy="29124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txBody>
        <a:bodyPr lIns="18000" rIns="0" tIns="18000" bIns="0" anchor="t">
          <a:noAutofit/>
        </a:bodyPr>
        <a:p>
          <a:r>
            <a:rPr b="0" lang="en-US" sz="400" spc="-1" strike="noStrike">
              <a:solidFill>
                <a:srgbClr val="000000"/>
              </a:solidFill>
              <a:latin typeface="LinePrinter"/>
            </a:rPr>
            <a:t>SPILL STARTED</a:t>
          </a:r>
          <a:endParaRPr b="0" lang="en-US" sz="400" spc="-1" strike="noStrike">
            <a:latin typeface="Times New Roman"/>
          </a:endParaRPr>
        </a:p>
        <a:p>
          <a:r>
            <a:rPr b="0" lang="en-US" sz="400" spc="-1" strike="noStrike">
              <a:solidFill>
                <a:srgbClr val="000000"/>
              </a:solidFill>
              <a:latin typeface="LinePrinter"/>
            </a:rPr>
            <a:t>NO DEBIT</a:t>
          </a:r>
          <a:endParaRPr b="0" lang="en-US" sz="4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36</xdr:row>
      <xdr:rowOff>0</xdr:rowOff>
    </xdr:from>
    <xdr:to>
      <xdr:col>15</xdr:col>
      <xdr:colOff>360</xdr:colOff>
      <xdr:row>36</xdr:row>
      <xdr:rowOff>164520</xdr:rowOff>
    </xdr:to>
    <xdr:sp>
      <xdr:nvSpPr>
        <xdr:cNvPr id="2" name="Rectangle 1"/>
        <xdr:cNvSpPr/>
      </xdr:nvSpPr>
      <xdr:spPr>
        <a:xfrm>
          <a:off x="5712480" y="5852880"/>
          <a:ext cx="356040" cy="16452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3" name="Rectangle 3"/>
        <xdr:cNvSpPr/>
      </xdr:nvSpPr>
      <xdr:spPr>
        <a:xfrm>
          <a:off x="5712480" y="5852880"/>
          <a:ext cx="356040" cy="16452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4" name="Rectangle 4"/>
        <xdr:cNvSpPr/>
      </xdr:nvSpPr>
      <xdr:spPr>
        <a:xfrm>
          <a:off x="5712480" y="5852880"/>
          <a:ext cx="356040" cy="16452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5" name="Rectangle 6"/>
        <xdr:cNvSpPr/>
      </xdr:nvSpPr>
      <xdr:spPr>
        <a:xfrm>
          <a:off x="5712480" y="5852880"/>
          <a:ext cx="356040" cy="16452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6" name="Rectangle 8"/>
        <xdr:cNvSpPr/>
      </xdr:nvSpPr>
      <xdr:spPr>
        <a:xfrm>
          <a:off x="5712480" y="5852880"/>
          <a:ext cx="356040" cy="16452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14</xdr:col>
      <xdr:colOff>0</xdr:colOff>
      <xdr:row>36</xdr:row>
      <xdr:rowOff>123840</xdr:rowOff>
    </xdr:from>
    <xdr:to>
      <xdr:col>14</xdr:col>
      <xdr:colOff>11160</xdr:colOff>
      <xdr:row>36</xdr:row>
      <xdr:rowOff>164520</xdr:rowOff>
    </xdr:to>
    <xdr:sp>
      <xdr:nvSpPr>
        <xdr:cNvPr id="7" name="Rectangle 10"/>
        <xdr:cNvSpPr/>
      </xdr:nvSpPr>
      <xdr:spPr>
        <a:xfrm>
          <a:off x="5712480" y="5976720"/>
          <a:ext cx="11160" cy="4068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8" name="Rectangle 11"/>
        <xdr:cNvSpPr/>
      </xdr:nvSpPr>
      <xdr:spPr>
        <a:xfrm>
          <a:off x="5712480" y="5852880"/>
          <a:ext cx="356040" cy="164520"/>
        </a:xfrm>
        <a:prstGeom prst="rect">
          <a:avLst/>
        </a:prstGeom>
        <a:noFill/>
        <a:ln w="0">
          <a:noFill/>
        </a:ln>
      </xdr:spPr>
      <xdr:style>
        <a:lnRef idx="0"/>
        <a:fillRef idx="0"/>
        <a:effectRef idx="0"/>
        <a:fontRef idx="minor"/>
      </xdr:style>
    </xdr:sp>
    <xdr:clientData/>
  </xdr:twoCellAnchor>
  <xdr:twoCellAnchor editAs="oneCell">
    <xdr:from>
      <xdr:col>14</xdr:col>
      <xdr:colOff>0</xdr:colOff>
      <xdr:row>30</xdr:row>
      <xdr:rowOff>0</xdr:rowOff>
    </xdr:from>
    <xdr:to>
      <xdr:col>15</xdr:col>
      <xdr:colOff>360</xdr:colOff>
      <xdr:row>30</xdr:row>
      <xdr:rowOff>164520</xdr:rowOff>
    </xdr:to>
    <xdr:sp>
      <xdr:nvSpPr>
        <xdr:cNvPr id="9" name="Rectangle 12"/>
        <xdr:cNvSpPr/>
      </xdr:nvSpPr>
      <xdr:spPr>
        <a:xfrm>
          <a:off x="5712480" y="4866120"/>
          <a:ext cx="356040" cy="16452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14</xdr:col>
      <xdr:colOff>0</xdr:colOff>
      <xdr:row>30</xdr:row>
      <xdr:rowOff>0</xdr:rowOff>
    </xdr:from>
    <xdr:to>
      <xdr:col>15</xdr:col>
      <xdr:colOff>360</xdr:colOff>
      <xdr:row>30</xdr:row>
      <xdr:rowOff>164520</xdr:rowOff>
    </xdr:to>
    <xdr:sp>
      <xdr:nvSpPr>
        <xdr:cNvPr id="10" name="Rectangle 13"/>
        <xdr:cNvSpPr/>
      </xdr:nvSpPr>
      <xdr:spPr>
        <a:xfrm>
          <a:off x="5712480" y="4866120"/>
          <a:ext cx="356040" cy="16452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xml"/><Relationship Id="rId3"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7.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8.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39" activePane="bottomRight" state="frozen"/>
      <selection pane="topLeft" activeCell="A1" activeCellId="0" sqref="A1"/>
      <selection pane="topRight" activeCell="B1" activeCellId="0" sqref="B1"/>
      <selection pane="bottomLeft" activeCell="A39" activeCellId="0" sqref="A39"/>
      <selection pane="bottomRight" activeCell="AE5" activeCellId="0" sqref="AE5"/>
    </sheetView>
  </sheetViews>
  <sheetFormatPr defaultColWidth="9.2890625" defaultRowHeight="11.1" zeroHeight="false" outlineLevelRow="0" outlineLevelCol="0"/>
  <cols>
    <col collapsed="false" customWidth="true" hidden="false" outlineLevel="0" max="1" min="1" style="0" width="4.66"/>
    <col collapsed="false" customWidth="true" hidden="false" outlineLevel="0" max="2" min="2" style="0" width="6.99"/>
    <col collapsed="false" customWidth="true" hidden="false" outlineLevel="0" max="3" min="3" style="1" width="6.32"/>
    <col collapsed="false" customWidth="true" hidden="false" outlineLevel="0" max="4" min="4" style="0" width="6.99"/>
    <col collapsed="false" customWidth="true" hidden="false" outlineLevel="0" max="5" min="5" style="1" width="6.99"/>
    <col collapsed="false" customWidth="true" hidden="false" outlineLevel="0" max="6" min="6" style="0" width="7.32"/>
    <col collapsed="false" customWidth="true" hidden="false" outlineLevel="0" max="7" min="7" style="0" width="6.82"/>
    <col collapsed="false" customWidth="true" hidden="false" outlineLevel="0" max="8" min="8" style="2" width="5.66"/>
    <col collapsed="false" customWidth="true" hidden="false" outlineLevel="0" max="11" min="9" style="0" width="6.32"/>
    <col collapsed="false" customWidth="true" hidden="false" outlineLevel="0" max="12" min="12" style="0" width="7.16"/>
    <col collapsed="false" customWidth="true" hidden="false" outlineLevel="0" max="13" min="13" style="3" width="5.49"/>
    <col collapsed="false" customWidth="true" hidden="false" outlineLevel="0" max="14" min="14" style="3" width="4.49"/>
    <col collapsed="false" customWidth="true" hidden="false" outlineLevel="0" max="15" min="15" style="3" width="5.49"/>
    <col collapsed="false" customWidth="true" hidden="false" outlineLevel="0" max="16" min="16" style="4" width="4.82"/>
    <col collapsed="false" customWidth="true" hidden="false" outlineLevel="0" max="18" min="17" style="3" width="4.32"/>
    <col collapsed="false" customWidth="true" hidden="false" outlineLevel="0" max="19" min="19" style="0" width="4.32"/>
    <col collapsed="false" customWidth="true" hidden="false" outlineLevel="0" max="20" min="20" style="5" width="5.49"/>
    <col collapsed="false" customWidth="true" hidden="false" outlineLevel="0" max="22" min="21" style="0" width="5.49"/>
    <col collapsed="false" customWidth="true" hidden="false" outlineLevel="0" max="23" min="23" style="1" width="6.32"/>
    <col collapsed="false" customWidth="true" hidden="false" outlineLevel="0" max="24" min="24" style="0" width="5.49"/>
    <col collapsed="false" customWidth="true" hidden="false" outlineLevel="0" max="25" min="25" style="0" width="5.82"/>
    <col collapsed="false" customWidth="true" hidden="false" outlineLevel="0" max="27" min="26" style="0" width="5.49"/>
    <col collapsed="false" customWidth="true" hidden="false" outlineLevel="0" max="29" min="28" style="1" width="5.49"/>
    <col collapsed="false" customWidth="true" hidden="false" outlineLevel="0" max="30" min="30" style="1" width="6.49"/>
    <col collapsed="false" customWidth="true" hidden="false" outlineLevel="0" max="31" min="31" style="0" width="5.49"/>
    <col collapsed="false" customWidth="true" hidden="false" outlineLevel="0" max="32" min="32" style="0" width="6.32"/>
    <col collapsed="false" customWidth="true" hidden="false" outlineLevel="0" max="33" min="33" style="0" width="6.99"/>
    <col collapsed="false" customWidth="true" hidden="false" outlineLevel="0" max="34" min="34" style="2" width="6.99"/>
    <col collapsed="false" customWidth="true" hidden="false" outlineLevel="0" max="35" min="35" style="2" width="5.32"/>
    <col collapsed="false" customWidth="true" hidden="false" outlineLevel="0" max="36" min="36" style="6" width="3.82"/>
    <col collapsed="false" customWidth="true" hidden="false" outlineLevel="0" max="37" min="37" style="7" width="3.82"/>
    <col collapsed="false" customWidth="true" hidden="false" outlineLevel="0" max="39" min="38" style="3" width="5.49"/>
    <col collapsed="false" customWidth="true" hidden="false" outlineLevel="0" max="40" min="40" style="0" width="6.32"/>
    <col collapsed="false" customWidth="true" hidden="false" outlineLevel="0" max="41" min="41" style="8" width="6.32"/>
    <col collapsed="false" customWidth="true" hidden="false" outlineLevel="0" max="42" min="42" style="0" width="6.32"/>
    <col collapsed="false" customWidth="true" hidden="false" outlineLevel="0" max="43" min="43" style="9" width="6.49"/>
  </cols>
  <sheetData>
    <row r="1" customFormat="false" ht="14.1" hidden="false" customHeight="true" outlineLevel="0" collapsed="false">
      <c r="A1" s="10"/>
      <c r="B1" s="10"/>
      <c r="C1" s="11"/>
      <c r="D1" s="10"/>
      <c r="E1" s="11"/>
      <c r="F1" s="10"/>
      <c r="G1" s="10"/>
      <c r="H1" s="12"/>
      <c r="I1" s="10"/>
      <c r="J1" s="10"/>
      <c r="K1" s="13" t="s">
        <v>0</v>
      </c>
      <c r="L1" s="10"/>
      <c r="M1" s="10"/>
      <c r="N1" s="10"/>
      <c r="O1" s="10"/>
      <c r="P1" s="14"/>
      <c r="Q1" s="10"/>
      <c r="R1" s="10"/>
      <c r="S1" s="10"/>
      <c r="T1" s="15"/>
      <c r="U1" s="10"/>
      <c r="V1" s="10"/>
      <c r="W1" s="11"/>
      <c r="X1" s="10"/>
      <c r="Y1" s="10"/>
      <c r="Z1" s="10"/>
      <c r="AA1" s="10"/>
      <c r="AB1" s="11"/>
      <c r="AC1" s="11"/>
      <c r="AD1" s="11"/>
      <c r="AE1" s="10"/>
      <c r="AF1" s="10"/>
      <c r="AG1" s="10"/>
      <c r="AH1" s="14"/>
      <c r="AI1" s="16"/>
      <c r="AJ1" s="17"/>
      <c r="AK1" s="18"/>
    </row>
    <row r="2" customFormat="false" ht="14.1" hidden="false" customHeight="true" outlineLevel="0" collapsed="false">
      <c r="A2" s="19" t="s">
        <v>1</v>
      </c>
      <c r="B2" s="10"/>
      <c r="C2" s="11"/>
      <c r="D2" s="20" t="n">
        <v>1.9835</v>
      </c>
      <c r="E2" s="11"/>
      <c r="F2" s="10"/>
      <c r="G2" s="10"/>
      <c r="H2" s="12"/>
      <c r="I2" s="10"/>
      <c r="J2" s="10"/>
      <c r="K2" s="10"/>
      <c r="L2" s="13" t="s">
        <v>2</v>
      </c>
      <c r="M2" s="10"/>
      <c r="N2" s="10"/>
      <c r="O2" s="10"/>
      <c r="P2" s="14"/>
      <c r="Q2" s="10"/>
      <c r="R2" s="10"/>
      <c r="S2" s="10"/>
      <c r="T2" s="15"/>
      <c r="U2" s="10"/>
      <c r="V2" s="10"/>
      <c r="W2" s="11"/>
      <c r="X2" s="10"/>
      <c r="Y2" s="10"/>
      <c r="Z2" s="10"/>
      <c r="AA2" s="10"/>
      <c r="AB2" s="11"/>
      <c r="AC2" s="11"/>
      <c r="AD2" s="11"/>
      <c r="AE2" s="10"/>
      <c r="AF2" s="10"/>
      <c r="AG2" s="10"/>
      <c r="AH2" s="14"/>
      <c r="AI2" s="16"/>
      <c r="AJ2" s="17"/>
      <c r="AK2" s="18"/>
    </row>
    <row r="3" customFormat="false" ht="14.1" hidden="false" customHeight="true" outlineLevel="0" collapsed="false">
      <c r="A3" s="21"/>
      <c r="B3" s="21"/>
      <c r="C3" s="22"/>
      <c r="D3" s="23"/>
      <c r="E3" s="22"/>
      <c r="F3" s="21"/>
      <c r="G3" s="21"/>
      <c r="H3" s="24"/>
      <c r="I3" s="21"/>
      <c r="J3" s="21"/>
      <c r="K3" s="21"/>
      <c r="L3" s="21"/>
      <c r="M3" s="21"/>
      <c r="N3" s="21"/>
      <c r="O3" s="21"/>
      <c r="P3" s="25"/>
      <c r="Q3" s="21"/>
      <c r="R3" s="21"/>
      <c r="S3" s="21"/>
      <c r="T3" s="26"/>
      <c r="U3" s="21"/>
      <c r="V3" s="21"/>
      <c r="W3" s="22"/>
      <c r="X3" s="21"/>
      <c r="Y3" s="21"/>
      <c r="Z3" s="21"/>
      <c r="AA3" s="21"/>
      <c r="AB3" s="22"/>
      <c r="AC3" s="22"/>
      <c r="AD3" s="22"/>
      <c r="AE3" s="21"/>
      <c r="AF3" s="21"/>
      <c r="AG3" s="21"/>
      <c r="AH3" s="25"/>
      <c r="AI3" s="27"/>
      <c r="AJ3" s="28"/>
      <c r="AK3" s="29"/>
      <c r="AL3" s="30"/>
      <c r="AM3" s="30"/>
      <c r="AN3" s="31"/>
      <c r="AO3" s="32"/>
      <c r="AP3" s="33"/>
    </row>
    <row r="4" s="9" customFormat="true" ht="14.1" hidden="false" customHeight="true" outlineLevel="0" collapsed="false">
      <c r="A4" s="34"/>
      <c r="B4" s="35"/>
      <c r="C4" s="36"/>
      <c r="D4" s="37" t="s">
        <v>3</v>
      </c>
      <c r="E4" s="36"/>
      <c r="F4" s="38"/>
      <c r="G4" s="34"/>
      <c r="H4" s="39"/>
      <c r="I4" s="34"/>
      <c r="J4" s="34"/>
      <c r="K4" s="34"/>
      <c r="L4" s="34"/>
      <c r="M4" s="34"/>
      <c r="N4" s="34"/>
      <c r="O4" s="34"/>
      <c r="P4" s="40"/>
      <c r="Q4" s="34"/>
      <c r="R4" s="34"/>
      <c r="S4" s="34"/>
      <c r="T4" s="41"/>
      <c r="U4" s="42" t="s">
        <v>4</v>
      </c>
      <c r="V4" s="34"/>
      <c r="W4" s="43"/>
      <c r="X4" s="34"/>
      <c r="Y4" s="34"/>
      <c r="Z4" s="34"/>
      <c r="AA4" s="34"/>
      <c r="AB4" s="43"/>
      <c r="AC4" s="43"/>
      <c r="AD4" s="43"/>
      <c r="AE4" s="34"/>
      <c r="AF4" s="34"/>
      <c r="AG4" s="34"/>
      <c r="AH4" s="40"/>
      <c r="AI4" s="44"/>
      <c r="AJ4" s="45" t="s">
        <v>5</v>
      </c>
      <c r="AK4" s="46"/>
      <c r="AL4" s="47"/>
      <c r="AM4" s="47"/>
      <c r="AN4" s="48" t="s">
        <v>6</v>
      </c>
      <c r="AO4" s="48"/>
      <c r="AP4" s="49"/>
      <c r="AQ4" s="49"/>
    </row>
    <row r="5" customFormat="false" ht="12.95" hidden="false" customHeight="true" outlineLevel="0" collapsed="false">
      <c r="A5" s="50" t="s">
        <v>7</v>
      </c>
      <c r="B5" s="51" t="s">
        <v>8</v>
      </c>
      <c r="C5" s="52" t="s">
        <v>8</v>
      </c>
      <c r="D5" s="53" t="s">
        <v>9</v>
      </c>
      <c r="E5" s="52" t="s">
        <v>10</v>
      </c>
      <c r="F5" s="54" t="s">
        <v>11</v>
      </c>
      <c r="G5" s="50" t="s">
        <v>12</v>
      </c>
      <c r="H5" s="55" t="s">
        <v>13</v>
      </c>
      <c r="I5" s="50" t="s">
        <v>14</v>
      </c>
      <c r="J5" s="50" t="s">
        <v>15</v>
      </c>
      <c r="K5" s="50" t="s">
        <v>16</v>
      </c>
      <c r="L5" s="50" t="s">
        <v>15</v>
      </c>
      <c r="M5" s="56" t="s">
        <v>17</v>
      </c>
      <c r="N5" s="56"/>
      <c r="O5" s="56"/>
      <c r="P5" s="56"/>
      <c r="Q5" s="56"/>
      <c r="R5" s="56"/>
      <c r="S5" s="56"/>
      <c r="T5" s="57"/>
      <c r="U5" s="50" t="s">
        <v>18</v>
      </c>
      <c r="V5" s="50" t="s">
        <v>19</v>
      </c>
      <c r="W5" s="50" t="s">
        <v>16</v>
      </c>
      <c r="X5" s="58" t="s">
        <v>20</v>
      </c>
      <c r="Y5" s="58" t="s">
        <v>21</v>
      </c>
      <c r="Z5" s="58" t="s">
        <v>20</v>
      </c>
      <c r="AA5" s="50" t="s">
        <v>22</v>
      </c>
      <c r="AB5" s="59" t="s">
        <v>23</v>
      </c>
      <c r="AC5" s="60"/>
      <c r="AD5" s="50" t="s">
        <v>24</v>
      </c>
      <c r="AE5" s="58" t="s">
        <v>25</v>
      </c>
      <c r="AF5" s="50" t="s">
        <v>14</v>
      </c>
      <c r="AG5" s="50" t="s">
        <v>15</v>
      </c>
      <c r="AH5" s="50" t="s">
        <v>16</v>
      </c>
      <c r="AI5" s="61" t="s">
        <v>26</v>
      </c>
      <c r="AJ5" s="62" t="s">
        <v>27</v>
      </c>
      <c r="AK5" s="63" t="s">
        <v>28</v>
      </c>
      <c r="AL5" s="64" t="s">
        <v>29</v>
      </c>
      <c r="AM5" s="64" t="s">
        <v>20</v>
      </c>
      <c r="AN5" s="65" t="s">
        <v>20</v>
      </c>
      <c r="AO5" s="66" t="s">
        <v>20</v>
      </c>
      <c r="AP5" s="66" t="s">
        <v>30</v>
      </c>
      <c r="AQ5" s="67" t="s">
        <v>31</v>
      </c>
    </row>
    <row r="6" customFormat="false" ht="12.95" hidden="false" customHeight="true" outlineLevel="0" collapsed="false">
      <c r="A6" s="68" t="s">
        <v>32</v>
      </c>
      <c r="B6" s="51" t="s">
        <v>33</v>
      </c>
      <c r="C6" s="52" t="s">
        <v>9</v>
      </c>
      <c r="D6" s="53" t="s">
        <v>34</v>
      </c>
      <c r="E6" s="52" t="s">
        <v>35</v>
      </c>
      <c r="F6" s="54" t="s">
        <v>36</v>
      </c>
      <c r="G6" s="50" t="s">
        <v>37</v>
      </c>
      <c r="H6" s="55" t="s">
        <v>38</v>
      </c>
      <c r="I6" s="50" t="s">
        <v>39</v>
      </c>
      <c r="J6" s="50" t="s">
        <v>39</v>
      </c>
      <c r="K6" s="50" t="s">
        <v>39</v>
      </c>
      <c r="L6" s="50" t="s">
        <v>40</v>
      </c>
      <c r="M6" s="69" t="s">
        <v>41</v>
      </c>
      <c r="N6" s="53" t="s">
        <v>42</v>
      </c>
      <c r="O6" s="53" t="s">
        <v>43</v>
      </c>
      <c r="P6" s="70" t="s">
        <v>44</v>
      </c>
      <c r="Q6" s="53" t="s">
        <v>45</v>
      </c>
      <c r="R6" s="53" t="s">
        <v>46</v>
      </c>
      <c r="S6" s="71" t="s">
        <v>47</v>
      </c>
      <c r="T6" s="72" t="s">
        <v>48</v>
      </c>
      <c r="U6" s="50" t="s">
        <v>49</v>
      </c>
      <c r="V6" s="50" t="s">
        <v>50</v>
      </c>
      <c r="W6" s="50" t="s">
        <v>20</v>
      </c>
      <c r="X6" s="58" t="s">
        <v>51</v>
      </c>
      <c r="Y6" s="58" t="s">
        <v>52</v>
      </c>
      <c r="Z6" s="58" t="s">
        <v>53</v>
      </c>
      <c r="AA6" s="50" t="s">
        <v>54</v>
      </c>
      <c r="AB6" s="69" t="s">
        <v>55</v>
      </c>
      <c r="AC6" s="73" t="s">
        <v>53</v>
      </c>
      <c r="AD6" s="50" t="s">
        <v>56</v>
      </c>
      <c r="AE6" s="58" t="s">
        <v>57</v>
      </c>
      <c r="AF6" s="50" t="s">
        <v>58</v>
      </c>
      <c r="AG6" s="50" t="s">
        <v>58</v>
      </c>
      <c r="AH6" s="50" t="s">
        <v>58</v>
      </c>
      <c r="AI6" s="74"/>
      <c r="AJ6" s="62" t="s">
        <v>59</v>
      </c>
      <c r="AK6" s="63" t="s">
        <v>59</v>
      </c>
      <c r="AL6" s="75" t="s">
        <v>60</v>
      </c>
      <c r="AM6" s="75" t="s">
        <v>61</v>
      </c>
      <c r="AN6" s="76" t="s">
        <v>62</v>
      </c>
      <c r="AO6" s="77" t="s">
        <v>62</v>
      </c>
      <c r="AP6" s="77" t="s">
        <v>63</v>
      </c>
      <c r="AQ6" s="67" t="s">
        <v>64</v>
      </c>
    </row>
    <row r="7" customFormat="false" ht="12.95" hidden="false" customHeight="true" outlineLevel="0" collapsed="false">
      <c r="A7" s="78"/>
      <c r="B7" s="79"/>
      <c r="C7" s="80"/>
      <c r="D7" s="81"/>
      <c r="E7" s="82" t="s">
        <v>65</v>
      </c>
      <c r="F7" s="83"/>
      <c r="G7" s="78"/>
      <c r="H7" s="84"/>
      <c r="I7" s="78"/>
      <c r="J7" s="78"/>
      <c r="K7" s="78"/>
      <c r="L7" s="78"/>
      <c r="M7" s="85"/>
      <c r="N7" s="71" t="s">
        <v>66</v>
      </c>
      <c r="O7" s="71" t="s">
        <v>67</v>
      </c>
      <c r="P7" s="86"/>
      <c r="Q7" s="81"/>
      <c r="R7" s="81"/>
      <c r="S7" s="71" t="s">
        <v>43</v>
      </c>
      <c r="T7" s="72" t="s">
        <v>68</v>
      </c>
      <c r="U7" s="78"/>
      <c r="V7" s="78"/>
      <c r="W7" s="78"/>
      <c r="X7" s="87"/>
      <c r="Y7" s="87"/>
      <c r="Z7" s="87"/>
      <c r="AA7" s="78"/>
      <c r="AB7" s="85"/>
      <c r="AC7" s="88"/>
      <c r="AD7" s="78"/>
      <c r="AE7" s="89"/>
      <c r="AF7" s="78"/>
      <c r="AG7" s="78"/>
      <c r="AH7" s="78"/>
      <c r="AI7" s="90"/>
      <c r="AJ7" s="91"/>
      <c r="AK7" s="92"/>
      <c r="AL7" s="75" t="s">
        <v>69</v>
      </c>
      <c r="AM7" s="75" t="s">
        <v>36</v>
      </c>
      <c r="AN7" s="67" t="s">
        <v>70</v>
      </c>
      <c r="AO7" s="67" t="s">
        <v>71</v>
      </c>
      <c r="AP7" s="67" t="s">
        <v>72</v>
      </c>
      <c r="AQ7" s="67" t="s">
        <v>73</v>
      </c>
    </row>
    <row r="8" customFormat="false" ht="12.95" hidden="false" customHeight="true" outlineLevel="0" collapsed="false">
      <c r="A8" s="78"/>
      <c r="B8" s="79"/>
      <c r="C8" s="80"/>
      <c r="D8" s="81"/>
      <c r="E8" s="80"/>
      <c r="F8" s="83"/>
      <c r="G8" s="78"/>
      <c r="H8" s="84"/>
      <c r="I8" s="78"/>
      <c r="J8" s="78"/>
      <c r="K8" s="78"/>
      <c r="L8" s="78"/>
      <c r="M8" s="85"/>
      <c r="N8" s="93" t="n">
        <v>1.03</v>
      </c>
      <c r="O8" s="93" t="n">
        <v>1.05</v>
      </c>
      <c r="P8" s="93" t="n">
        <v>1.02</v>
      </c>
      <c r="Q8" s="93" t="n">
        <v>1.02</v>
      </c>
      <c r="R8" s="93" t="n">
        <v>1.04</v>
      </c>
      <c r="S8" s="71" t="s">
        <v>53</v>
      </c>
      <c r="T8" s="72"/>
      <c r="U8" s="78"/>
      <c r="V8" s="78"/>
      <c r="W8" s="78"/>
      <c r="X8" s="94"/>
      <c r="Y8" s="94"/>
      <c r="Z8" s="87"/>
      <c r="AA8" s="78"/>
      <c r="AB8" s="85"/>
      <c r="AC8" s="88"/>
      <c r="AD8" s="78"/>
      <c r="AE8" s="95"/>
      <c r="AF8" s="78"/>
      <c r="AG8" s="78"/>
      <c r="AH8" s="78"/>
      <c r="AI8" s="90"/>
      <c r="AJ8" s="96"/>
      <c r="AK8" s="92"/>
      <c r="AL8" s="75" t="s">
        <v>16</v>
      </c>
      <c r="AM8" s="97"/>
      <c r="AO8" s="67" t="s">
        <v>74</v>
      </c>
    </row>
    <row r="9" customFormat="false" ht="12.95" hidden="false" customHeight="true" outlineLevel="0" collapsed="false">
      <c r="A9" s="19" t="s">
        <v>75</v>
      </c>
      <c r="B9" s="98"/>
      <c r="C9" s="99"/>
      <c r="D9" s="99"/>
      <c r="E9" s="99"/>
      <c r="F9" s="100"/>
      <c r="G9" s="11"/>
      <c r="H9" s="17"/>
      <c r="I9" s="11"/>
      <c r="J9" s="11"/>
      <c r="K9" s="11"/>
      <c r="L9" s="11"/>
      <c r="M9" s="101"/>
      <c r="N9" s="99"/>
      <c r="O9" s="99"/>
      <c r="P9" s="102"/>
      <c r="Q9" s="103"/>
      <c r="R9" s="103"/>
      <c r="S9" s="103"/>
      <c r="T9" s="104"/>
      <c r="U9" s="105"/>
      <c r="V9" s="105"/>
      <c r="W9" s="105"/>
      <c r="X9" s="105"/>
      <c r="Y9" s="105"/>
      <c r="Z9" s="105"/>
      <c r="AA9" s="105"/>
      <c r="AB9" s="106"/>
      <c r="AC9" s="107"/>
      <c r="AD9" s="105"/>
      <c r="AE9" s="89"/>
      <c r="AF9" s="105"/>
      <c r="AG9" s="105"/>
      <c r="AH9" s="105"/>
      <c r="AI9" s="108"/>
      <c r="AJ9" s="109"/>
      <c r="AK9" s="110"/>
      <c r="AL9" s="111"/>
      <c r="AM9" s="111"/>
      <c r="AN9" s="112"/>
      <c r="AO9" s="112"/>
      <c r="AP9" s="112"/>
    </row>
    <row r="10" s="1" customFormat="true" ht="12.95" hidden="false" customHeight="true" outlineLevel="0" collapsed="false">
      <c r="A10" s="113" t="s">
        <v>76</v>
      </c>
      <c r="B10" s="114" t="n">
        <v>6896.52</v>
      </c>
      <c r="C10" s="115" t="n">
        <v>270921</v>
      </c>
      <c r="D10" s="99"/>
      <c r="E10" s="99"/>
      <c r="F10" s="100"/>
      <c r="G10" s="11"/>
      <c r="H10" s="17"/>
      <c r="I10" s="11"/>
      <c r="J10" s="11"/>
      <c r="K10" s="11"/>
      <c r="L10" s="11"/>
      <c r="M10" s="101"/>
      <c r="N10" s="99"/>
      <c r="O10" s="99"/>
      <c r="P10" s="102"/>
      <c r="Q10" s="103"/>
      <c r="R10" s="103"/>
      <c r="S10" s="103"/>
      <c r="T10" s="104"/>
      <c r="U10" s="105"/>
      <c r="V10" s="105"/>
      <c r="W10" s="105"/>
      <c r="X10" s="105"/>
      <c r="Y10" s="105"/>
      <c r="Z10" s="105"/>
      <c r="AA10" s="105"/>
      <c r="AB10" s="106"/>
      <c r="AC10" s="107"/>
      <c r="AD10" s="115"/>
      <c r="AE10" s="115" t="n">
        <v>3819</v>
      </c>
      <c r="AF10" s="105"/>
      <c r="AG10" s="105"/>
      <c r="AH10" s="105"/>
      <c r="AI10" s="108"/>
      <c r="AJ10" s="109"/>
      <c r="AK10" s="110"/>
      <c r="AL10" s="111"/>
      <c r="AM10" s="111" t="n">
        <v>321</v>
      </c>
      <c r="AN10" s="105"/>
      <c r="AO10" s="105"/>
      <c r="AP10" s="105"/>
      <c r="AQ10" s="43"/>
    </row>
    <row r="11" customFormat="false" ht="3" hidden="false" customHeight="true" outlineLevel="0" collapsed="false">
      <c r="A11" s="116"/>
      <c r="B11" s="117"/>
      <c r="C11" s="118"/>
      <c r="D11" s="116"/>
      <c r="E11" s="118"/>
      <c r="F11" s="119"/>
      <c r="G11" s="116"/>
      <c r="H11" s="120"/>
      <c r="I11" s="116"/>
      <c r="J11" s="116"/>
      <c r="K11" s="116"/>
      <c r="L11" s="116"/>
      <c r="M11" s="121"/>
      <c r="N11" s="116"/>
      <c r="O11" s="116"/>
      <c r="P11" s="122"/>
      <c r="Q11" s="123"/>
      <c r="R11" s="123"/>
      <c r="S11" s="123"/>
      <c r="T11" s="124"/>
      <c r="U11" s="123"/>
      <c r="V11" s="123"/>
      <c r="W11" s="123"/>
      <c r="X11" s="125"/>
      <c r="Y11" s="125"/>
      <c r="Z11" s="125"/>
      <c r="AA11" s="123"/>
      <c r="AB11" s="126"/>
      <c r="AC11" s="127"/>
      <c r="AD11" s="123"/>
      <c r="AE11" s="125"/>
      <c r="AF11" s="123"/>
      <c r="AG11" s="123"/>
      <c r="AH11" s="123"/>
      <c r="AI11" s="128"/>
      <c r="AJ11" s="129"/>
      <c r="AK11" s="130"/>
      <c r="AL11" s="131"/>
      <c r="AM11" s="131"/>
      <c r="AN11" s="129"/>
      <c r="AO11" s="129"/>
      <c r="AP11" s="129"/>
      <c r="AQ11" s="129"/>
    </row>
    <row r="12" customFormat="false" ht="12.95" hidden="false" customHeight="true" outlineLevel="0" collapsed="false">
      <c r="A12" s="18" t="n">
        <v>1</v>
      </c>
      <c r="B12" s="132" t="n">
        <v>6896.54</v>
      </c>
      <c r="C12" s="99" t="n">
        <v>270992</v>
      </c>
      <c r="D12" s="133" t="n">
        <f aca="false">C12-C10</f>
        <v>71</v>
      </c>
      <c r="E12" s="99" t="n">
        <f aca="false">C12-152000</f>
        <v>118992</v>
      </c>
      <c r="F12" s="134" t="n">
        <f aca="false">D12/$D$2</f>
        <v>35.7953113183766</v>
      </c>
      <c r="G12" s="10" t="n">
        <v>251</v>
      </c>
      <c r="H12" s="12" t="n">
        <v>5.2</v>
      </c>
      <c r="I12" s="10" t="n">
        <f aca="false">G12+H12</f>
        <v>256.2</v>
      </c>
      <c r="J12" s="135" t="n">
        <f aca="false">IF(L12&gt;0,L12,0)</f>
        <v>0</v>
      </c>
      <c r="K12" s="10" t="n">
        <f aca="false">I12+J12</f>
        <v>256.2</v>
      </c>
      <c r="L12" s="10" t="n">
        <f aca="false">F12-(I12-AF12)</f>
        <v>-7.10468868162337</v>
      </c>
      <c r="M12" s="136" t="n">
        <v>5.3</v>
      </c>
      <c r="N12" s="137" t="n">
        <v>0</v>
      </c>
      <c r="O12" s="137" t="n">
        <v>0</v>
      </c>
      <c r="P12" s="102" t="n">
        <v>0</v>
      </c>
      <c r="Q12" s="138" t="n">
        <f aca="false">1.57*1.02</f>
        <v>1.6014</v>
      </c>
      <c r="R12" s="138" t="n">
        <v>2.4</v>
      </c>
      <c r="S12" s="139" t="n">
        <v>0</v>
      </c>
      <c r="T12" s="104" t="n">
        <f aca="false">M12-(Q12+R12+S12)</f>
        <v>1.2986</v>
      </c>
      <c r="U12" s="140" t="n">
        <v>175</v>
      </c>
      <c r="V12" s="140" t="n">
        <v>0</v>
      </c>
      <c r="W12" s="141" t="n">
        <f aca="false">M12-N12-P12-O12-Q12-R12-S12-T12+U12+V12</f>
        <v>175</v>
      </c>
      <c r="X12" s="105"/>
      <c r="Y12" s="105"/>
      <c r="Z12" s="105"/>
      <c r="AA12" s="140" t="n">
        <v>0</v>
      </c>
      <c r="AB12" s="142"/>
      <c r="AC12" s="143"/>
      <c r="AD12" s="140" t="n">
        <v>33</v>
      </c>
      <c r="AE12" s="105" t="n">
        <f aca="false">AE10-AD12</f>
        <v>3786</v>
      </c>
      <c r="AF12" s="140" t="n">
        <f aca="false">N12+O12+P12+Q12+R12+S12+T12+W12+AA12+AD12</f>
        <v>213.3</v>
      </c>
      <c r="AG12" s="140" t="n">
        <f aca="false">IF(L12&lt;0,L12*-1,0)</f>
        <v>7.10468868162337</v>
      </c>
      <c r="AH12" s="140" t="n">
        <f aca="false">AF12+AG12</f>
        <v>220.404688681623</v>
      </c>
      <c r="AI12" s="108" t="n">
        <v>0</v>
      </c>
      <c r="AJ12" s="109" t="n">
        <v>54</v>
      </c>
      <c r="AK12" s="110" t="n">
        <v>30</v>
      </c>
      <c r="AL12" s="111" t="n">
        <f aca="false">(W12)*1.98353</f>
        <v>347.11775</v>
      </c>
      <c r="AM12" s="111"/>
      <c r="AN12" s="112"/>
      <c r="AO12" s="112"/>
      <c r="AP12" s="112"/>
    </row>
    <row r="13" customFormat="false" ht="12.95" hidden="false" customHeight="true" outlineLevel="0" collapsed="false">
      <c r="A13" s="18" t="n">
        <f aca="false">A12+1</f>
        <v>2</v>
      </c>
      <c r="B13" s="144" t="n">
        <v>6896.5</v>
      </c>
      <c r="C13" s="99" t="n">
        <v>270849</v>
      </c>
      <c r="D13" s="133" t="n">
        <f aca="false">C13-C12</f>
        <v>-143</v>
      </c>
      <c r="E13" s="99" t="n">
        <f aca="false">C13-152000</f>
        <v>118849</v>
      </c>
      <c r="F13" s="134" t="n">
        <f aca="false">D13/$D$2</f>
        <v>-72.0947819510966</v>
      </c>
      <c r="G13" s="10" t="n">
        <v>231</v>
      </c>
      <c r="H13" s="12" t="n">
        <v>4.6</v>
      </c>
      <c r="I13" s="10" t="n">
        <f aca="false">G13+H13</f>
        <v>235.6</v>
      </c>
      <c r="J13" s="135" t="n">
        <f aca="false">IF(L13&gt;0,L13,0)</f>
        <v>0</v>
      </c>
      <c r="K13" s="10" t="n">
        <f aca="false">I13+J13</f>
        <v>235.6</v>
      </c>
      <c r="L13" s="10" t="n">
        <f aca="false">F13-(I13-AF13)</f>
        <v>-21.4947819510966</v>
      </c>
      <c r="M13" s="136" t="n">
        <v>5.2</v>
      </c>
      <c r="N13" s="137" t="n">
        <v>0</v>
      </c>
      <c r="O13" s="137" t="n">
        <v>0</v>
      </c>
      <c r="P13" s="102" t="n">
        <v>0</v>
      </c>
      <c r="Q13" s="138" t="n">
        <f aca="false">1.57*1.02</f>
        <v>1.6014</v>
      </c>
      <c r="R13" s="138" t="n">
        <v>4.3</v>
      </c>
      <c r="S13" s="145" t="n">
        <v>0</v>
      </c>
      <c r="T13" s="104" t="n">
        <f aca="false">M13-(Q13+R13+S13)</f>
        <v>-0.7014</v>
      </c>
      <c r="U13" s="140" t="n">
        <v>258</v>
      </c>
      <c r="V13" s="140" t="n">
        <v>0</v>
      </c>
      <c r="W13" s="141" t="n">
        <f aca="false">M13-N13-P13-O13-Q13-R13-S13-T13+U13+V13</f>
        <v>258</v>
      </c>
      <c r="X13" s="105"/>
      <c r="Y13" s="105"/>
      <c r="Z13" s="105"/>
      <c r="AA13" s="140" t="n">
        <v>0</v>
      </c>
      <c r="AB13" s="142"/>
      <c r="AC13" s="143"/>
      <c r="AD13" s="140" t="n">
        <v>23</v>
      </c>
      <c r="AE13" s="105" t="n">
        <f aca="false">AE12-AD13</f>
        <v>3763</v>
      </c>
      <c r="AF13" s="140" t="n">
        <f aca="false">N13+O13+P13+Q13+R13+S13+T13+W13+AA13+AD13</f>
        <v>286.2</v>
      </c>
      <c r="AG13" s="140" t="n">
        <f aca="false">IF(L13&lt;0,L13*-1,0)</f>
        <v>21.4947819510966</v>
      </c>
      <c r="AH13" s="140" t="n">
        <f aca="false">AF13+AG13</f>
        <v>307.694781951097</v>
      </c>
      <c r="AI13" s="108" t="n">
        <v>0</v>
      </c>
      <c r="AJ13" s="109" t="n">
        <v>58</v>
      </c>
      <c r="AK13" s="110" t="n">
        <v>30</v>
      </c>
      <c r="AL13" s="111" t="n">
        <f aca="false">(W13)*1.9835+AL12</f>
        <v>858.86075</v>
      </c>
      <c r="AM13" s="111"/>
      <c r="AN13" s="112"/>
      <c r="AO13" s="112"/>
      <c r="AP13" s="112"/>
    </row>
    <row r="14" customFormat="false" ht="12.95" hidden="false" customHeight="true" outlineLevel="0" collapsed="false">
      <c r="A14" s="18" t="n">
        <f aca="false">A13+1</f>
        <v>3</v>
      </c>
      <c r="B14" s="132" t="n">
        <v>6896.46</v>
      </c>
      <c r="C14" s="99" t="n">
        <v>270705</v>
      </c>
      <c r="D14" s="133" t="n">
        <f aca="false">C14-C13</f>
        <v>-144</v>
      </c>
      <c r="E14" s="99" t="n">
        <f aca="false">C14-152000</f>
        <v>118705</v>
      </c>
      <c r="F14" s="134" t="n">
        <f aca="false">D14/$D$2</f>
        <v>-72.5989412654399</v>
      </c>
      <c r="G14" s="10" t="n">
        <v>236</v>
      </c>
      <c r="H14" s="12" t="n">
        <v>5.4</v>
      </c>
      <c r="I14" s="10" t="n">
        <f aca="false">G14+H14</f>
        <v>241.4</v>
      </c>
      <c r="J14" s="135" t="n">
        <f aca="false">IF(L14&gt;0,L14,0)</f>
        <v>0</v>
      </c>
      <c r="K14" s="10" t="n">
        <f aca="false">I14+J14</f>
        <v>241.4</v>
      </c>
      <c r="L14" s="10" t="n">
        <f aca="false">F14-(I14-AF14)</f>
        <v>-27.7989412654399</v>
      </c>
      <c r="M14" s="136" t="n">
        <v>5.2</v>
      </c>
      <c r="N14" s="137" t="n">
        <v>0</v>
      </c>
      <c r="O14" s="137" t="n">
        <v>0</v>
      </c>
      <c r="P14" s="102" t="n">
        <v>0</v>
      </c>
      <c r="Q14" s="138" t="n">
        <f aca="false">1.57*1.02</f>
        <v>1.6014</v>
      </c>
      <c r="R14" s="138" t="n">
        <v>2.95</v>
      </c>
      <c r="S14" s="145" t="n">
        <v>0</v>
      </c>
      <c r="T14" s="104" t="n">
        <f aca="false">M14-(Q14+R14+S14)</f>
        <v>0.6486</v>
      </c>
      <c r="U14" s="140" t="n">
        <v>258</v>
      </c>
      <c r="V14" s="140" t="n">
        <v>0</v>
      </c>
      <c r="W14" s="141" t="n">
        <f aca="false">M14-N14-P14-O14-Q14-R14-S14-T14+U14+V14</f>
        <v>258</v>
      </c>
      <c r="X14" s="105"/>
      <c r="Y14" s="105"/>
      <c r="Z14" s="105"/>
      <c r="AA14" s="140" t="n">
        <v>0</v>
      </c>
      <c r="AB14" s="142"/>
      <c r="AC14" s="143"/>
      <c r="AD14" s="140" t="n">
        <v>23</v>
      </c>
      <c r="AE14" s="105" t="n">
        <f aca="false">AE13-AD14</f>
        <v>3740</v>
      </c>
      <c r="AF14" s="140" t="n">
        <f aca="false">N14+O14+P14+Q14+R14+S14+T14+W14+AA14+AD14</f>
        <v>286.2</v>
      </c>
      <c r="AG14" s="140" t="n">
        <f aca="false">IF(L14&lt;0,L14*-1,0)</f>
        <v>27.7989412654399</v>
      </c>
      <c r="AH14" s="140" t="n">
        <f aca="false">AF14+AG14</f>
        <v>313.99894126544</v>
      </c>
      <c r="AI14" s="108" t="n">
        <v>0</v>
      </c>
      <c r="AJ14" s="109" t="n">
        <v>57</v>
      </c>
      <c r="AK14" s="110" t="n">
        <v>33</v>
      </c>
      <c r="AL14" s="111" t="n">
        <f aca="false">(W14)*1.9835+AL13</f>
        <v>1370.60375</v>
      </c>
      <c r="AM14" s="111"/>
      <c r="AN14" s="112"/>
      <c r="AO14" s="112"/>
      <c r="AP14" s="112"/>
    </row>
    <row r="15" customFormat="false" ht="12.95" hidden="false" customHeight="true" outlineLevel="0" collapsed="false">
      <c r="A15" s="18" t="n">
        <f aca="false">A14+1</f>
        <v>4</v>
      </c>
      <c r="B15" s="132" t="n">
        <v>6896.41</v>
      </c>
      <c r="C15" s="99" t="n">
        <v>270526</v>
      </c>
      <c r="D15" s="133" t="n">
        <f aca="false">C15-C14</f>
        <v>-179</v>
      </c>
      <c r="E15" s="99" t="n">
        <f aca="false">C15-152000</f>
        <v>118526</v>
      </c>
      <c r="F15" s="134" t="n">
        <f aca="false">D15/$D$2</f>
        <v>-90.2445172674565</v>
      </c>
      <c r="G15" s="10" t="n">
        <v>223</v>
      </c>
      <c r="H15" s="12" t="n">
        <v>4.9</v>
      </c>
      <c r="I15" s="10" t="n">
        <f aca="false">G15+H15</f>
        <v>227.9</v>
      </c>
      <c r="J15" s="135" t="n">
        <f aca="false">IF(L15&gt;0,L15,0)</f>
        <v>0</v>
      </c>
      <c r="K15" s="10" t="n">
        <f aca="false">I15+J15</f>
        <v>227.9</v>
      </c>
      <c r="L15" s="10" t="n">
        <f aca="false">F15-(I15-AF15)</f>
        <v>-32.9445172674565</v>
      </c>
      <c r="M15" s="136" t="n">
        <v>5.2</v>
      </c>
      <c r="N15" s="137" t="n">
        <v>0</v>
      </c>
      <c r="O15" s="137" t="n">
        <v>0</v>
      </c>
      <c r="P15" s="102" t="n">
        <v>0</v>
      </c>
      <c r="Q15" s="138" t="n">
        <f aca="false">1.57*1.02</f>
        <v>1.6014</v>
      </c>
      <c r="R15" s="138" t="n">
        <v>2.42</v>
      </c>
      <c r="S15" s="145" t="n">
        <v>0</v>
      </c>
      <c r="T15" s="104" t="n">
        <f aca="false">M15-(Q15+R15+S15)</f>
        <v>1.1786</v>
      </c>
      <c r="U15" s="140" t="n">
        <v>257</v>
      </c>
      <c r="V15" s="140" t="n">
        <v>0</v>
      </c>
      <c r="W15" s="141" t="n">
        <f aca="false">M15-N15-P15-O15-Q15-R15-S15-T15+U15+V15</f>
        <v>257</v>
      </c>
      <c r="X15" s="105"/>
      <c r="Y15" s="105"/>
      <c r="Z15" s="105"/>
      <c r="AA15" s="140" t="n">
        <v>0</v>
      </c>
      <c r="AB15" s="142"/>
      <c r="AC15" s="143"/>
      <c r="AD15" s="140" t="n">
        <v>23</v>
      </c>
      <c r="AE15" s="105" t="n">
        <f aca="false">AE14-AD15</f>
        <v>3717</v>
      </c>
      <c r="AF15" s="140" t="n">
        <f aca="false">N15+O15+P15+Q15+R15+S15+T15+W15+AA15+AD15</f>
        <v>285.2</v>
      </c>
      <c r="AG15" s="140" t="n">
        <f aca="false">IF(L15&lt;0,L15*-1,0)</f>
        <v>32.9445172674565</v>
      </c>
      <c r="AH15" s="140" t="n">
        <f aca="false">AF15+AG15</f>
        <v>318.144517267457</v>
      </c>
      <c r="AI15" s="108" t="n">
        <v>0</v>
      </c>
      <c r="AJ15" s="109" t="n">
        <v>58</v>
      </c>
      <c r="AK15" s="110" t="n">
        <v>35</v>
      </c>
      <c r="AL15" s="111" t="n">
        <f aca="false">(W15)*1.9835+AL14</f>
        <v>1880.36325</v>
      </c>
      <c r="AM15" s="111"/>
      <c r="AN15" s="112"/>
      <c r="AO15" s="112"/>
      <c r="AP15" s="112"/>
    </row>
    <row r="16" customFormat="false" ht="12.95" hidden="false" customHeight="true" outlineLevel="0" collapsed="false">
      <c r="A16" s="18" t="n">
        <f aca="false">A15+1</f>
        <v>5</v>
      </c>
      <c r="B16" s="132" t="n">
        <v>6896.36</v>
      </c>
      <c r="C16" s="99" t="n">
        <v>270347</v>
      </c>
      <c r="D16" s="133" t="n">
        <f aca="false">C16-C15</f>
        <v>-179</v>
      </c>
      <c r="E16" s="99" t="n">
        <f aca="false">C16-152000</f>
        <v>118347</v>
      </c>
      <c r="F16" s="134" t="n">
        <f aca="false">D16/$D$2</f>
        <v>-90.2445172674565</v>
      </c>
      <c r="G16" s="10" t="n">
        <v>211</v>
      </c>
      <c r="H16" s="12" t="n">
        <v>4.3</v>
      </c>
      <c r="I16" s="10" t="n">
        <f aca="false">G16+H16</f>
        <v>215.3</v>
      </c>
      <c r="J16" s="135" t="n">
        <f aca="false">IF(L16&gt;0,L16,0)</f>
        <v>0</v>
      </c>
      <c r="K16" s="10" t="n">
        <f aca="false">I16+J16</f>
        <v>215.3</v>
      </c>
      <c r="L16" s="10" t="n">
        <f aca="false">F16-(I16-AF16)</f>
        <v>-20.3445172674565</v>
      </c>
      <c r="M16" s="136" t="n">
        <v>5.2</v>
      </c>
      <c r="N16" s="137" t="n">
        <v>0</v>
      </c>
      <c r="O16" s="137" t="n">
        <v>0</v>
      </c>
      <c r="P16" s="102" t="n">
        <v>0</v>
      </c>
      <c r="Q16" s="138" t="n">
        <f aca="false">1.57*1.02</f>
        <v>1.6014</v>
      </c>
      <c r="R16" s="138" t="n">
        <v>2.19</v>
      </c>
      <c r="S16" s="145" t="n">
        <v>0</v>
      </c>
      <c r="T16" s="104" t="n">
        <f aca="false">M16-(Q16+R16+S16)</f>
        <v>1.4086</v>
      </c>
      <c r="U16" s="140" t="n">
        <v>257</v>
      </c>
      <c r="V16" s="140" t="n">
        <v>0</v>
      </c>
      <c r="W16" s="141" t="n">
        <f aca="false">M16-N16-P16-O16-Q16-R16-S16-T16+U16+V16</f>
        <v>257</v>
      </c>
      <c r="X16" s="105"/>
      <c r="Y16" s="105"/>
      <c r="Z16" s="105"/>
      <c r="AA16" s="140" t="n">
        <v>0</v>
      </c>
      <c r="AB16" s="142"/>
      <c r="AC16" s="143"/>
      <c r="AD16" s="140" t="n">
        <v>23</v>
      </c>
      <c r="AE16" s="105" t="n">
        <f aca="false">AE15-AD16</f>
        <v>3694</v>
      </c>
      <c r="AF16" s="140" t="n">
        <f aca="false">N16+O16+P16+Q16+R16+S16+T16+W16+AA16+AD16</f>
        <v>285.2</v>
      </c>
      <c r="AG16" s="140" t="n">
        <f aca="false">IF(L16&lt;0,L16*-1,0)</f>
        <v>20.3445172674565</v>
      </c>
      <c r="AH16" s="140" t="n">
        <f aca="false">AF16+AG16</f>
        <v>305.544517267456</v>
      </c>
      <c r="AI16" s="108" t="n">
        <v>0</v>
      </c>
      <c r="AJ16" s="109" t="n">
        <v>56</v>
      </c>
      <c r="AK16" s="110" t="n">
        <v>32</v>
      </c>
      <c r="AL16" s="111" t="n">
        <f aca="false">(W16)*1.9835+AL15</f>
        <v>2390.12275</v>
      </c>
      <c r="AM16" s="111"/>
      <c r="AN16" s="112"/>
      <c r="AO16" s="112"/>
      <c r="AP16" s="112"/>
    </row>
    <row r="17" customFormat="false" ht="12.95" hidden="false" customHeight="true" outlineLevel="0" collapsed="false">
      <c r="A17" s="18" t="n">
        <f aca="false">A16+1</f>
        <v>6</v>
      </c>
      <c r="B17" s="132" t="n">
        <v>6896.32</v>
      </c>
      <c r="C17" s="99" t="n">
        <v>270203</v>
      </c>
      <c r="D17" s="133" t="n">
        <f aca="false">C17-C16</f>
        <v>-144</v>
      </c>
      <c r="E17" s="99" t="n">
        <f aca="false">C17-152000</f>
        <v>118203</v>
      </c>
      <c r="F17" s="134" t="n">
        <f aca="false">D17/$D$2</f>
        <v>-72.5989412654399</v>
      </c>
      <c r="G17" s="10" t="n">
        <v>203</v>
      </c>
      <c r="H17" s="12" t="n">
        <v>3.7</v>
      </c>
      <c r="I17" s="10" t="n">
        <f aca="false">G17+H17</f>
        <v>206.7</v>
      </c>
      <c r="J17" s="135" t="n">
        <f aca="false">IF(L17&gt;0,L17,0)</f>
        <v>0</v>
      </c>
      <c r="K17" s="10" t="n">
        <f aca="false">I17+J17</f>
        <v>206.7</v>
      </c>
      <c r="L17" s="10" t="n">
        <f aca="false">F17-(I17-AF17)</f>
        <v>-18.1989412654398</v>
      </c>
      <c r="M17" s="136" t="n">
        <v>12</v>
      </c>
      <c r="N17" s="137" t="n">
        <v>0</v>
      </c>
      <c r="O17" s="137" t="n">
        <v>0</v>
      </c>
      <c r="P17" s="102" t="n">
        <v>0</v>
      </c>
      <c r="Q17" s="138" t="n">
        <f aca="false">1.57*1.02</f>
        <v>1.6014</v>
      </c>
      <c r="R17" s="138" t="n">
        <v>2.48</v>
      </c>
      <c r="S17" s="145" t="n">
        <v>0</v>
      </c>
      <c r="T17" s="146" t="n">
        <v>0</v>
      </c>
      <c r="U17" s="140" t="n">
        <v>220</v>
      </c>
      <c r="V17" s="140" t="n">
        <v>6.1</v>
      </c>
      <c r="W17" s="141" t="n">
        <f aca="false">M17-N17-P17-O17-Q17-R17-S17-T17+U17+V17</f>
        <v>234.0186</v>
      </c>
      <c r="X17" s="105"/>
      <c r="Y17" s="105"/>
      <c r="Z17" s="105"/>
      <c r="AA17" s="140" t="n">
        <v>0</v>
      </c>
      <c r="AB17" s="142"/>
      <c r="AC17" s="143"/>
      <c r="AD17" s="140" t="n">
        <v>23</v>
      </c>
      <c r="AE17" s="105" t="n">
        <f aca="false">AE16-AD17</f>
        <v>3671</v>
      </c>
      <c r="AF17" s="140" t="n">
        <f aca="false">N17+O17+P17+Q17+R17+S17+T17+W17+AA17+AD17</f>
        <v>261.1</v>
      </c>
      <c r="AG17" s="140" t="n">
        <f aca="false">IF(L17&lt;0,L17*-1,0)</f>
        <v>18.1989412654398</v>
      </c>
      <c r="AH17" s="140" t="n">
        <f aca="false">AF17+AG17</f>
        <v>279.29894126544</v>
      </c>
      <c r="AI17" s="108" t="n">
        <v>0</v>
      </c>
      <c r="AJ17" s="109" t="n">
        <v>61</v>
      </c>
      <c r="AK17" s="110" t="n">
        <v>30</v>
      </c>
      <c r="AL17" s="111" t="n">
        <f aca="false">(U17-9.92)*1.9835+AL16</f>
        <v>2806.81643</v>
      </c>
      <c r="AM17" s="111" t="n">
        <f aca="false">W17-(U17-9.92)</f>
        <v>23.9386</v>
      </c>
      <c r="AN17" s="112"/>
      <c r="AO17" s="112"/>
      <c r="AP17" s="112"/>
    </row>
    <row r="18" customFormat="false" ht="12.95" hidden="false" customHeight="true" outlineLevel="0" collapsed="false">
      <c r="A18" s="18" t="n">
        <f aca="false">A17+1</f>
        <v>7</v>
      </c>
      <c r="B18" s="132" t="n">
        <v>6896.28</v>
      </c>
      <c r="C18" s="99" t="n">
        <v>270059</v>
      </c>
      <c r="D18" s="133" t="n">
        <f aca="false">C18-C17</f>
        <v>-144</v>
      </c>
      <c r="E18" s="99" t="n">
        <f aca="false">C18-152000</f>
        <v>118059</v>
      </c>
      <c r="F18" s="134" t="n">
        <f aca="false">D18/$D$2</f>
        <v>-72.5989412654399</v>
      </c>
      <c r="G18" s="10" t="n">
        <v>199</v>
      </c>
      <c r="H18" s="12" t="n">
        <v>3.4</v>
      </c>
      <c r="I18" s="10" t="n">
        <f aca="false">G18+H18</f>
        <v>202.4</v>
      </c>
      <c r="J18" s="135" t="n">
        <f aca="false">IF(L18&gt;0,L18,0)</f>
        <v>0</v>
      </c>
      <c r="K18" s="10" t="n">
        <f aca="false">I18+J18</f>
        <v>202.4</v>
      </c>
      <c r="L18" s="10" t="n">
        <f aca="false">F18-(I18-AF18)</f>
        <v>-28.9989412654399</v>
      </c>
      <c r="M18" s="136" t="n">
        <v>27</v>
      </c>
      <c r="N18" s="137" t="n">
        <v>0</v>
      </c>
      <c r="O18" s="137" t="n">
        <v>0</v>
      </c>
      <c r="P18" s="102" t="n">
        <v>0</v>
      </c>
      <c r="Q18" s="138" t="n">
        <f aca="false">1.57*1.02</f>
        <v>1.6014</v>
      </c>
      <c r="R18" s="138" t="n">
        <v>2.36</v>
      </c>
      <c r="S18" s="145" t="n">
        <v>0</v>
      </c>
      <c r="T18" s="146" t="n">
        <v>0</v>
      </c>
      <c r="U18" s="140" t="n">
        <v>185</v>
      </c>
      <c r="V18" s="140" t="n">
        <v>11</v>
      </c>
      <c r="W18" s="141" t="n">
        <f aca="false">M18-N18-P18-O18-Q18-R18-S18-T18+U18+V18</f>
        <v>219.0386</v>
      </c>
      <c r="X18" s="105"/>
      <c r="Y18" s="105"/>
      <c r="Z18" s="105"/>
      <c r="AA18" s="140" t="n">
        <v>0</v>
      </c>
      <c r="AB18" s="142"/>
      <c r="AC18" s="143"/>
      <c r="AD18" s="140" t="n">
        <v>23</v>
      </c>
      <c r="AE18" s="105" t="n">
        <f aca="false">AE17-AD18</f>
        <v>3648</v>
      </c>
      <c r="AF18" s="140" t="n">
        <f aca="false">N18+O18+P18+Q18+R18+S18+T18+W18+AA18+AD18</f>
        <v>246</v>
      </c>
      <c r="AG18" s="140" t="n">
        <f aca="false">IF(L18&lt;0,L18*-1,0)</f>
        <v>28.9989412654399</v>
      </c>
      <c r="AH18" s="140" t="n">
        <f aca="false">AF18+AG18</f>
        <v>274.99894126544</v>
      </c>
      <c r="AI18" s="108" t="n">
        <v>0</v>
      </c>
      <c r="AJ18" s="109" t="n">
        <v>70</v>
      </c>
      <c r="AK18" s="110" t="n">
        <v>37</v>
      </c>
      <c r="AL18" s="111" t="n">
        <f aca="false">(U18-30.18)*1.9835+AL17</f>
        <v>3113.9019</v>
      </c>
      <c r="AM18" s="111" t="n">
        <f aca="false">W18-(U18-30.18)</f>
        <v>64.2186</v>
      </c>
      <c r="AN18" s="112"/>
      <c r="AO18" s="112"/>
      <c r="AP18" s="112"/>
    </row>
    <row r="19" customFormat="false" ht="12.95" hidden="false" customHeight="true" outlineLevel="0" collapsed="false">
      <c r="A19" s="18" t="n">
        <f aca="false">A18+1</f>
        <v>8</v>
      </c>
      <c r="B19" s="132" t="n">
        <v>6896.23</v>
      </c>
      <c r="C19" s="99" t="n">
        <v>269880</v>
      </c>
      <c r="D19" s="133" t="n">
        <f aca="false">C19-C18</f>
        <v>-179</v>
      </c>
      <c r="E19" s="99" t="n">
        <f aca="false">C19-152000</f>
        <v>117880</v>
      </c>
      <c r="F19" s="134" t="n">
        <f aca="false">D19/$D$2</f>
        <v>-90.2445172674565</v>
      </c>
      <c r="G19" s="10" t="n">
        <v>195</v>
      </c>
      <c r="H19" s="12" t="n">
        <v>3</v>
      </c>
      <c r="I19" s="10" t="n">
        <f aca="false">G19+H19</f>
        <v>198</v>
      </c>
      <c r="J19" s="135" t="n">
        <f aca="false">IF(L19&gt;0,L19,0)</f>
        <v>0</v>
      </c>
      <c r="K19" s="10" t="n">
        <f aca="false">I19+J19</f>
        <v>198</v>
      </c>
      <c r="L19" s="10" t="n">
        <f aca="false">F19-(I19-AF19)</f>
        <v>-46.2445172674565</v>
      </c>
      <c r="M19" s="136" t="n">
        <v>27</v>
      </c>
      <c r="N19" s="137" t="n">
        <v>0</v>
      </c>
      <c r="O19" s="137" t="n">
        <v>0</v>
      </c>
      <c r="P19" s="102" t="n">
        <v>0</v>
      </c>
      <c r="Q19" s="138" t="n">
        <f aca="false">1.57*1.02</f>
        <v>1.6014</v>
      </c>
      <c r="R19" s="138" t="n">
        <v>2.19</v>
      </c>
      <c r="S19" s="145" t="n">
        <v>0</v>
      </c>
      <c r="T19" s="146" t="n">
        <v>0</v>
      </c>
      <c r="U19" s="140" t="n">
        <v>181</v>
      </c>
      <c r="V19" s="140" t="n">
        <v>11</v>
      </c>
      <c r="W19" s="141" t="n">
        <f aca="false">M19-N19-P19-O19-Q19-R19-S19-T19+U19+V19</f>
        <v>215.2086</v>
      </c>
      <c r="X19" s="105"/>
      <c r="Y19" s="105"/>
      <c r="Z19" s="105"/>
      <c r="AA19" s="140" t="n">
        <v>0</v>
      </c>
      <c r="AB19" s="142"/>
      <c r="AC19" s="143"/>
      <c r="AD19" s="140" t="n">
        <v>23</v>
      </c>
      <c r="AE19" s="105" t="n">
        <f aca="false">AE18-AD19</f>
        <v>3625</v>
      </c>
      <c r="AF19" s="140" t="n">
        <f aca="false">N19+O19+P19+Q19+R19+S19+T19+W19+AA19+AD19</f>
        <v>242</v>
      </c>
      <c r="AG19" s="140" t="n">
        <f aca="false">IF(L19&lt;0,L19*-1,0)</f>
        <v>46.2445172674565</v>
      </c>
      <c r="AH19" s="140" t="n">
        <f aca="false">AF19+AG19</f>
        <v>288.244517267456</v>
      </c>
      <c r="AI19" s="108" t="n">
        <v>0</v>
      </c>
      <c r="AJ19" s="109" t="n">
        <v>67</v>
      </c>
      <c r="AK19" s="110" t="n">
        <v>36</v>
      </c>
      <c r="AL19" s="111" t="n">
        <f aca="false">(U19-30)*1.9835+AL18</f>
        <v>3413.4104</v>
      </c>
      <c r="AM19" s="111" t="n">
        <f aca="false">W19-(U19-30)</f>
        <v>64.2086</v>
      </c>
      <c r="AN19" s="112"/>
      <c r="AO19" s="112"/>
      <c r="AP19" s="112"/>
    </row>
    <row r="20" customFormat="false" ht="12.95" hidden="false" customHeight="true" outlineLevel="0" collapsed="false">
      <c r="A20" s="18" t="n">
        <f aca="false">A19+1</f>
        <v>9</v>
      </c>
      <c r="B20" s="132" t="n">
        <v>6896.2</v>
      </c>
      <c r="C20" s="99" t="n">
        <v>269772</v>
      </c>
      <c r="D20" s="133" t="n">
        <f aca="false">C20-C19</f>
        <v>-108</v>
      </c>
      <c r="E20" s="99" t="n">
        <f aca="false">C20-152000</f>
        <v>117772</v>
      </c>
      <c r="F20" s="134" t="n">
        <f aca="false">D20/$D$2</f>
        <v>-54.4492059490799</v>
      </c>
      <c r="G20" s="10" t="n">
        <v>194</v>
      </c>
      <c r="H20" s="12" t="n">
        <v>3</v>
      </c>
      <c r="I20" s="10" t="n">
        <f aca="false">G20+H20</f>
        <v>197</v>
      </c>
      <c r="J20" s="135" t="n">
        <f aca="false">IF(L20&gt;0,L20,0)</f>
        <v>0</v>
      </c>
      <c r="K20" s="10" t="n">
        <f aca="false">I20+J20</f>
        <v>197</v>
      </c>
      <c r="L20" s="10" t="n">
        <f aca="false">F20-(I20-AF20)</f>
        <v>-11.4492059490799</v>
      </c>
      <c r="M20" s="136" t="n">
        <v>26</v>
      </c>
      <c r="N20" s="137" t="n">
        <v>0</v>
      </c>
      <c r="O20" s="137" t="n">
        <v>0</v>
      </c>
      <c r="P20" s="102" t="n">
        <v>0</v>
      </c>
      <c r="Q20" s="138" t="n">
        <f aca="false">1.57*1.02</f>
        <v>1.6014</v>
      </c>
      <c r="R20" s="138" t="n">
        <v>2.29</v>
      </c>
      <c r="S20" s="145" t="n">
        <v>0</v>
      </c>
      <c r="T20" s="146" t="n">
        <v>0</v>
      </c>
      <c r="U20" s="140" t="n">
        <v>180</v>
      </c>
      <c r="V20" s="140" t="n">
        <v>11</v>
      </c>
      <c r="W20" s="141" t="n">
        <f aca="false">M20-N20-P20-O20-Q20-R20-S20-T20+U20+V20</f>
        <v>213.1086</v>
      </c>
      <c r="X20" s="105"/>
      <c r="Y20" s="105"/>
      <c r="Z20" s="105"/>
      <c r="AA20" s="140" t="n">
        <v>0</v>
      </c>
      <c r="AB20" s="142"/>
      <c r="AC20" s="143"/>
      <c r="AD20" s="140" t="n">
        <v>23</v>
      </c>
      <c r="AE20" s="105" t="n">
        <f aca="false">AE19-AD20</f>
        <v>3602</v>
      </c>
      <c r="AF20" s="140" t="n">
        <f aca="false">N20+O20+P20+Q20+R20+S20+T20+W20+AA20+AD20</f>
        <v>240</v>
      </c>
      <c r="AG20" s="140" t="n">
        <f aca="false">IF(L20&lt;0,L20*-1,0)</f>
        <v>11.4492059490799</v>
      </c>
      <c r="AH20" s="140" t="n">
        <f aca="false">AF20+AG20</f>
        <v>251.44920594908</v>
      </c>
      <c r="AI20" s="108" t="n">
        <v>0</v>
      </c>
      <c r="AJ20" s="147" t="n">
        <v>60</v>
      </c>
      <c r="AK20" s="110" t="n">
        <v>32</v>
      </c>
      <c r="AL20" s="111" t="n">
        <f aca="false">(U20-33.84)*1.9835+AL19</f>
        <v>3703.31876</v>
      </c>
      <c r="AM20" s="111" t="n">
        <f aca="false">W20-(U20-33.84)</f>
        <v>66.9486</v>
      </c>
      <c r="AN20" s="112"/>
      <c r="AO20" s="112"/>
      <c r="AP20" s="112"/>
    </row>
    <row r="21" customFormat="false" ht="12.95" hidden="false" customHeight="true" outlineLevel="0" collapsed="false">
      <c r="A21" s="18" t="n">
        <f aca="false">A20+1</f>
        <v>10</v>
      </c>
      <c r="B21" s="132" t="n">
        <v>6896.16</v>
      </c>
      <c r="C21" s="99" t="n">
        <v>269629</v>
      </c>
      <c r="D21" s="133" t="n">
        <f aca="false">C21-C20</f>
        <v>-143</v>
      </c>
      <c r="E21" s="99" t="n">
        <f aca="false">C21-152000</f>
        <v>117629</v>
      </c>
      <c r="F21" s="134" t="n">
        <f aca="false">D21/$D$2</f>
        <v>-72.0947819510966</v>
      </c>
      <c r="G21" s="10" t="n">
        <v>182</v>
      </c>
      <c r="H21" s="12" t="n">
        <v>2.6</v>
      </c>
      <c r="I21" s="10" t="n">
        <f aca="false">G21+H21</f>
        <v>184.6</v>
      </c>
      <c r="J21" s="135" t="n">
        <f aca="false">IF(L21&gt;0,L21,0)</f>
        <v>0</v>
      </c>
      <c r="K21" s="10" t="n">
        <f aca="false">I21+J21</f>
        <v>184.6</v>
      </c>
      <c r="L21" s="10" t="n">
        <f aca="false">F21-(I21-AF21)</f>
        <v>-14.6947819510965</v>
      </c>
      <c r="M21" s="136" t="n">
        <v>28</v>
      </c>
      <c r="N21" s="137" t="n">
        <v>0</v>
      </c>
      <c r="O21" s="137" t="n">
        <v>0</v>
      </c>
      <c r="P21" s="102" t="n">
        <v>0</v>
      </c>
      <c r="Q21" s="138" t="n">
        <f aca="false">1.57*1.02</f>
        <v>1.6014</v>
      </c>
      <c r="R21" s="138" t="n">
        <v>2.52</v>
      </c>
      <c r="S21" s="145" t="n">
        <v>0</v>
      </c>
      <c r="T21" s="146" t="n">
        <v>0</v>
      </c>
      <c r="U21" s="140" t="n">
        <v>180</v>
      </c>
      <c r="V21" s="140" t="n">
        <v>11</v>
      </c>
      <c r="W21" s="141" t="n">
        <f aca="false">M21-N21-P21-O21-Q21-R21-S21-T21+U21+V21</f>
        <v>214.8786</v>
      </c>
      <c r="X21" s="105"/>
      <c r="Y21" s="105"/>
      <c r="Z21" s="105"/>
      <c r="AA21" s="140" t="n">
        <v>0</v>
      </c>
      <c r="AB21" s="142"/>
      <c r="AC21" s="143"/>
      <c r="AD21" s="140" t="n">
        <v>23</v>
      </c>
      <c r="AE21" s="105" t="n">
        <f aca="false">AE20-AD21</f>
        <v>3579</v>
      </c>
      <c r="AF21" s="140" t="n">
        <f aca="false">N21+O21+P21+Q21+R21+S21+T21+W21+AA21+AD21</f>
        <v>242</v>
      </c>
      <c r="AG21" s="140" t="n">
        <f aca="false">IF(L21&lt;0,L21*-1,0)</f>
        <v>14.6947819510965</v>
      </c>
      <c r="AH21" s="140" t="n">
        <f aca="false">AF21+AG21</f>
        <v>256.694781951097</v>
      </c>
      <c r="AI21" s="108" t="n">
        <v>0</v>
      </c>
      <c r="AJ21" s="109" t="n">
        <v>48</v>
      </c>
      <c r="AK21" s="110" t="n">
        <v>25</v>
      </c>
      <c r="AL21" s="111" t="n">
        <f aca="false">(U21-41.5)*1.9835+AL20</f>
        <v>3978.03351</v>
      </c>
      <c r="AM21" s="111" t="n">
        <f aca="false">W21-(U21-41.5)</f>
        <v>76.3786</v>
      </c>
      <c r="AN21" s="112"/>
      <c r="AO21" s="112"/>
      <c r="AP21" s="112"/>
    </row>
    <row r="22" customFormat="false" ht="12.95" hidden="false" customHeight="true" outlineLevel="0" collapsed="false">
      <c r="A22" s="18" t="n">
        <f aca="false">A21+1</f>
        <v>11</v>
      </c>
      <c r="B22" s="132" t="n">
        <v>6896.11</v>
      </c>
      <c r="C22" s="99" t="n">
        <v>269449</v>
      </c>
      <c r="D22" s="133" t="n">
        <f aca="false">C22-C21</f>
        <v>-180</v>
      </c>
      <c r="E22" s="99" t="n">
        <f aca="false">C22-152000</f>
        <v>117449</v>
      </c>
      <c r="F22" s="134" t="n">
        <f aca="false">D22/$D$2</f>
        <v>-90.7486765817998</v>
      </c>
      <c r="G22" s="10" t="n">
        <v>146</v>
      </c>
      <c r="H22" s="12" t="n">
        <v>1.5</v>
      </c>
      <c r="I22" s="10" t="n">
        <f aca="false">G22+H22</f>
        <v>147.5</v>
      </c>
      <c r="J22" s="135" t="n">
        <f aca="false">IF(L22&gt;0,L22,0)</f>
        <v>3.75132341820016</v>
      </c>
      <c r="K22" s="10" t="n">
        <f aca="false">I22+J22</f>
        <v>151.2513234182</v>
      </c>
      <c r="L22" s="10" t="n">
        <f aca="false">F22-(I22-AF22)</f>
        <v>3.75132341820016</v>
      </c>
      <c r="M22" s="136" t="n">
        <v>28</v>
      </c>
      <c r="N22" s="137" t="n">
        <v>0</v>
      </c>
      <c r="O22" s="137" t="n">
        <v>0</v>
      </c>
      <c r="P22" s="102" t="n">
        <v>0</v>
      </c>
      <c r="Q22" s="138" t="n">
        <f aca="false">1.57*1.02</f>
        <v>1.6014</v>
      </c>
      <c r="R22" s="138" t="n">
        <v>2.19</v>
      </c>
      <c r="S22" s="145" t="n">
        <v>0</v>
      </c>
      <c r="T22" s="146" t="n">
        <v>0</v>
      </c>
      <c r="U22" s="140" t="n">
        <v>180</v>
      </c>
      <c r="V22" s="140" t="n">
        <v>11</v>
      </c>
      <c r="W22" s="141" t="n">
        <f aca="false">M22-N22-P22-O22-Q22-R22-S22-T22+U22+V22</f>
        <v>215.2086</v>
      </c>
      <c r="X22" s="105"/>
      <c r="Y22" s="105"/>
      <c r="Z22" s="105"/>
      <c r="AA22" s="140" t="n">
        <v>0</v>
      </c>
      <c r="AB22" s="142"/>
      <c r="AC22" s="143"/>
      <c r="AD22" s="140" t="n">
        <v>23</v>
      </c>
      <c r="AE22" s="105" t="n">
        <f aca="false">AE21-AD22</f>
        <v>3556</v>
      </c>
      <c r="AF22" s="140" t="n">
        <f aca="false">N22+O22+P22+Q22+R22+S22+T22+W22+AA22+AD22</f>
        <v>242</v>
      </c>
      <c r="AG22" s="140" t="n">
        <f aca="false">IF(L22&lt;0,L22*-1,0)</f>
        <v>0</v>
      </c>
      <c r="AH22" s="140" t="n">
        <f aca="false">AF22+AG22</f>
        <v>242</v>
      </c>
      <c r="AI22" s="108" t="n">
        <v>0.06</v>
      </c>
      <c r="AJ22" s="109" t="n">
        <v>54</v>
      </c>
      <c r="AK22" s="110" t="n">
        <v>21</v>
      </c>
      <c r="AL22" s="111" t="n">
        <f aca="false">(U22-41.5)*1.9835+AL21</f>
        <v>4252.74826</v>
      </c>
      <c r="AM22" s="111" t="n">
        <f aca="false">W22-(U22-41.5)</f>
        <v>76.7086</v>
      </c>
      <c r="AN22" s="112"/>
      <c r="AO22" s="112"/>
      <c r="AP22" s="112"/>
    </row>
    <row r="23" customFormat="false" ht="12.95" hidden="false" customHeight="true" outlineLevel="0" collapsed="false">
      <c r="A23" s="18" t="n">
        <f aca="false">A22+1</f>
        <v>12</v>
      </c>
      <c r="B23" s="132" t="n">
        <v>6896.09</v>
      </c>
      <c r="C23" s="99" t="n">
        <v>269378</v>
      </c>
      <c r="D23" s="133" t="n">
        <f aca="false">C23-C22</f>
        <v>-71</v>
      </c>
      <c r="E23" s="99" t="n">
        <f aca="false">C23-152000</f>
        <v>117378</v>
      </c>
      <c r="F23" s="134" t="n">
        <f aca="false">D23/$D$2</f>
        <v>-35.7953113183766</v>
      </c>
      <c r="G23" s="10" t="n">
        <v>173</v>
      </c>
      <c r="H23" s="12" t="n">
        <v>3.2</v>
      </c>
      <c r="I23" s="10" t="n">
        <f aca="false">G23+H23</f>
        <v>176.2</v>
      </c>
      <c r="J23" s="135" t="n">
        <f aca="false">IF(L23&gt;0,L23,0)</f>
        <v>30.0046886816234</v>
      </c>
      <c r="K23" s="10" t="n">
        <f aca="false">I23+J23</f>
        <v>206.204688681623</v>
      </c>
      <c r="L23" s="10" t="n">
        <f aca="false">F23-(I23-AF23)</f>
        <v>30.0046886816234</v>
      </c>
      <c r="M23" s="136" t="n">
        <v>28</v>
      </c>
      <c r="N23" s="137" t="n">
        <v>0</v>
      </c>
      <c r="O23" s="137" t="n">
        <v>0</v>
      </c>
      <c r="P23" s="102" t="n">
        <v>0</v>
      </c>
      <c r="Q23" s="138" t="n">
        <f aca="false">1.57*1.02</f>
        <v>1.6014</v>
      </c>
      <c r="R23" s="138" t="n">
        <v>2.3</v>
      </c>
      <c r="S23" s="145" t="n">
        <v>0</v>
      </c>
      <c r="T23" s="146" t="n">
        <v>0</v>
      </c>
      <c r="U23" s="140" t="n">
        <v>180</v>
      </c>
      <c r="V23" s="140" t="n">
        <v>11</v>
      </c>
      <c r="W23" s="141" t="n">
        <f aca="false">M23-N23-P23-O23-Q23-R23-S23-T23+U23+V23</f>
        <v>215.0986</v>
      </c>
      <c r="X23" s="105"/>
      <c r="Y23" s="105"/>
      <c r="Z23" s="105"/>
      <c r="AA23" s="140" t="n">
        <v>0</v>
      </c>
      <c r="AB23" s="142"/>
      <c r="AC23" s="143"/>
      <c r="AD23" s="140" t="n">
        <v>23</v>
      </c>
      <c r="AE23" s="105" t="n">
        <f aca="false">AE22-AD23</f>
        <v>3533</v>
      </c>
      <c r="AF23" s="140" t="n">
        <f aca="false">N23+O23+P23+Q23+R23+S23+T23+W23+AA23+AD23</f>
        <v>242</v>
      </c>
      <c r="AG23" s="140" t="n">
        <f aca="false">IF(L23&lt;0,L23*-1,0)</f>
        <v>0</v>
      </c>
      <c r="AH23" s="140" t="n">
        <f aca="false">AF23+AG23</f>
        <v>242</v>
      </c>
      <c r="AI23" s="108" t="n">
        <v>0.12</v>
      </c>
      <c r="AJ23" s="109" t="n">
        <v>41</v>
      </c>
      <c r="AK23" s="110" t="n">
        <v>23</v>
      </c>
      <c r="AL23" s="111" t="n">
        <f aca="false">(U23-44.5)*1.9835+AL22</f>
        <v>4521.51251</v>
      </c>
      <c r="AM23" s="111" t="n">
        <f aca="false">W23-(U23-44.5)</f>
        <v>79.5986</v>
      </c>
      <c r="AN23" s="112"/>
      <c r="AO23" s="112"/>
      <c r="AP23" s="112"/>
    </row>
    <row r="24" customFormat="false" ht="12.95" hidden="false" customHeight="true" outlineLevel="0" collapsed="false">
      <c r="A24" s="18" t="n">
        <f aca="false">A23+1</f>
        <v>13</v>
      </c>
      <c r="B24" s="132" t="n">
        <v>6896.06</v>
      </c>
      <c r="C24" s="99" t="n">
        <v>269270</v>
      </c>
      <c r="D24" s="133" t="n">
        <f aca="false">C24-C23</f>
        <v>-108</v>
      </c>
      <c r="E24" s="99" t="n">
        <f aca="false">C24-152000</f>
        <v>117270</v>
      </c>
      <c r="F24" s="134" t="n">
        <f aca="false">D24/$D$2</f>
        <v>-54.4492059490799</v>
      </c>
      <c r="G24" s="10" t="n">
        <v>144</v>
      </c>
      <c r="H24" s="12" t="n">
        <v>2.4</v>
      </c>
      <c r="I24" s="10" t="n">
        <f aca="false">G24+H24</f>
        <v>146.4</v>
      </c>
      <c r="J24" s="135" t="n">
        <f aca="false">IF(L24&gt;0,L24,0)</f>
        <v>0</v>
      </c>
      <c r="K24" s="10" t="n">
        <f aca="false">I24+J24</f>
        <v>146.4</v>
      </c>
      <c r="L24" s="10" t="n">
        <f aca="false">F24-(I24-AF24)</f>
        <v>-4.74920594907992</v>
      </c>
      <c r="M24" s="136" t="n">
        <v>12</v>
      </c>
      <c r="N24" s="137" t="n">
        <v>0</v>
      </c>
      <c r="O24" s="137" t="n">
        <v>0</v>
      </c>
      <c r="P24" s="102" t="n">
        <v>0</v>
      </c>
      <c r="Q24" s="138" t="n">
        <f aca="false">1.57*1.02</f>
        <v>1.6014</v>
      </c>
      <c r="R24" s="138" t="n">
        <v>2.38</v>
      </c>
      <c r="S24" s="145" t="n">
        <v>0</v>
      </c>
      <c r="T24" s="146" t="n">
        <v>0</v>
      </c>
      <c r="U24" s="140" t="n">
        <v>158</v>
      </c>
      <c r="V24" s="140" t="n">
        <v>4.1</v>
      </c>
      <c r="W24" s="141" t="n">
        <f aca="false">M24-N24-P24-O24-Q24-R24-S24-T24+U24+V24</f>
        <v>170.1186</v>
      </c>
      <c r="X24" s="105"/>
      <c r="Y24" s="105"/>
      <c r="Z24" s="105"/>
      <c r="AA24" s="140" t="n">
        <v>0</v>
      </c>
      <c r="AB24" s="142"/>
      <c r="AC24" s="143"/>
      <c r="AD24" s="140" t="n">
        <v>22</v>
      </c>
      <c r="AE24" s="105" t="n">
        <f aca="false">AE23-AD24</f>
        <v>3511</v>
      </c>
      <c r="AF24" s="140" t="n">
        <f aca="false">N24+O24+P24+Q24+R24+S24+T24+W24+AA24+AD24</f>
        <v>196.1</v>
      </c>
      <c r="AG24" s="140" t="n">
        <f aca="false">IF(L24&lt;0,L24*-1,0)</f>
        <v>4.74920594907992</v>
      </c>
      <c r="AH24" s="140" t="n">
        <f aca="false">AF24+AG24</f>
        <v>200.84920594908</v>
      </c>
      <c r="AI24" s="108" t="n">
        <v>0</v>
      </c>
      <c r="AJ24" s="109" t="n">
        <v>38</v>
      </c>
      <c r="AK24" s="110" t="n">
        <v>24</v>
      </c>
      <c r="AL24" s="111" t="n">
        <f aca="false">(U24-11.75)*1.9835+AL23</f>
        <v>4811.599385</v>
      </c>
      <c r="AM24" s="111" t="n">
        <f aca="false">W24-(U24-11.75)</f>
        <v>23.8686</v>
      </c>
      <c r="AN24" s="112"/>
      <c r="AO24" s="112"/>
      <c r="AP24" s="112"/>
    </row>
    <row r="25" customFormat="false" ht="12.95" hidden="false" customHeight="true" outlineLevel="0" collapsed="false">
      <c r="A25" s="18" t="n">
        <f aca="false">A24+1</f>
        <v>14</v>
      </c>
      <c r="B25" s="132" t="n">
        <v>6896.06</v>
      </c>
      <c r="C25" s="99" t="n">
        <v>269270</v>
      </c>
      <c r="D25" s="133" t="n">
        <f aca="false">C25-C24</f>
        <v>0</v>
      </c>
      <c r="E25" s="99" t="n">
        <f aca="false">C25-152000</f>
        <v>117270</v>
      </c>
      <c r="F25" s="134" t="n">
        <f aca="false">D25/$D$2</f>
        <v>0</v>
      </c>
      <c r="G25" s="10" t="n">
        <v>165</v>
      </c>
      <c r="H25" s="12" t="n">
        <v>2.3</v>
      </c>
      <c r="I25" s="10" t="n">
        <f aca="false">G25+H25</f>
        <v>167.3</v>
      </c>
      <c r="J25" s="135" t="n">
        <f aca="false">IF(L25&gt;0,L25,0)</f>
        <v>5.29999999999998</v>
      </c>
      <c r="K25" s="10" t="n">
        <f aca="false">I25+J25</f>
        <v>172.6</v>
      </c>
      <c r="L25" s="10" t="n">
        <f aca="false">F25-(I25-AF25)</f>
        <v>5.29999999999998</v>
      </c>
      <c r="M25" s="136" t="n">
        <v>4.6</v>
      </c>
      <c r="N25" s="137" t="n">
        <v>0</v>
      </c>
      <c r="O25" s="137" t="n">
        <v>0</v>
      </c>
      <c r="P25" s="102" t="n">
        <v>0</v>
      </c>
      <c r="Q25" s="138" t="n">
        <f aca="false">1.57*1.02</f>
        <v>1.6014</v>
      </c>
      <c r="R25" s="138" t="n">
        <v>2.19</v>
      </c>
      <c r="S25" s="145" t="n">
        <v>0</v>
      </c>
      <c r="T25" s="104" t="n">
        <f aca="false">M25-(Q25+R25+S25)</f>
        <v>0.808599999999999</v>
      </c>
      <c r="U25" s="140" t="n">
        <v>146</v>
      </c>
      <c r="V25" s="140" t="n">
        <v>0</v>
      </c>
      <c r="W25" s="141" t="n">
        <f aca="false">M25-N25-P25-O25-Q25-R25-S25-T25+U25+V25</f>
        <v>146</v>
      </c>
      <c r="X25" s="105"/>
      <c r="Y25" s="105"/>
      <c r="Z25" s="105"/>
      <c r="AA25" s="140" t="n">
        <v>0</v>
      </c>
      <c r="AB25" s="142"/>
      <c r="AC25" s="143"/>
      <c r="AD25" s="140" t="n">
        <v>22</v>
      </c>
      <c r="AE25" s="105" t="n">
        <f aca="false">AE24-AD25</f>
        <v>3489</v>
      </c>
      <c r="AF25" s="140" t="n">
        <f aca="false">N25+O25+P25+Q25+R25+S25+T25+W25+AA25+AD25</f>
        <v>172.6</v>
      </c>
      <c r="AG25" s="140" t="n">
        <f aca="false">IF(L25&lt;0,L25*-1,0)</f>
        <v>0</v>
      </c>
      <c r="AH25" s="140" t="n">
        <f aca="false">AF25+AG25</f>
        <v>172.6</v>
      </c>
      <c r="AI25" s="108" t="n">
        <v>0.04</v>
      </c>
      <c r="AJ25" s="147" t="n">
        <v>44</v>
      </c>
      <c r="AK25" s="110" t="n">
        <v>26</v>
      </c>
      <c r="AL25" s="111" t="n">
        <f aca="false">W25*1.9835+AL24</f>
        <v>5101.190385</v>
      </c>
      <c r="AM25" s="111"/>
      <c r="AN25" s="112"/>
      <c r="AO25" s="112"/>
      <c r="AP25" s="112"/>
    </row>
    <row r="26" customFormat="false" ht="12.95" hidden="false" customHeight="true" outlineLevel="0" collapsed="false">
      <c r="A26" s="18" t="n">
        <f aca="false">A25+1</f>
        <v>15</v>
      </c>
      <c r="B26" s="132" t="n">
        <v>6896.04</v>
      </c>
      <c r="C26" s="99" t="n">
        <v>269198</v>
      </c>
      <c r="D26" s="133" t="n">
        <f aca="false">C26-C25</f>
        <v>-72</v>
      </c>
      <c r="E26" s="99" t="n">
        <f aca="false">C26-152000</f>
        <v>117198</v>
      </c>
      <c r="F26" s="134" t="n">
        <f aca="false">D26/$D$2</f>
        <v>-36.2994706327199</v>
      </c>
      <c r="G26" s="10" t="n">
        <v>119</v>
      </c>
      <c r="H26" s="12" t="n">
        <v>2</v>
      </c>
      <c r="I26" s="10" t="n">
        <f aca="false">G26+H26</f>
        <v>121</v>
      </c>
      <c r="J26" s="135" t="n">
        <f aca="false">IF(L26&gt;0,L26,0)</f>
        <v>15.3005293672801</v>
      </c>
      <c r="K26" s="10" t="n">
        <f aca="false">I26+J26</f>
        <v>136.30052936728</v>
      </c>
      <c r="L26" s="10" t="n">
        <f aca="false">F26-(I26-AF26)</f>
        <v>15.3005293672801</v>
      </c>
      <c r="M26" s="136" t="n">
        <v>4.6</v>
      </c>
      <c r="N26" s="137" t="n">
        <v>0</v>
      </c>
      <c r="O26" s="137" t="n">
        <v>0</v>
      </c>
      <c r="P26" s="102" t="n">
        <v>0</v>
      </c>
      <c r="Q26" s="138" t="n">
        <f aca="false">1.57*1.02</f>
        <v>1.6014</v>
      </c>
      <c r="R26" s="138" t="n">
        <v>2.32</v>
      </c>
      <c r="S26" s="145" t="n">
        <v>0</v>
      </c>
      <c r="T26" s="104" t="n">
        <f aca="false">M26-(Q26+R26+S26)</f>
        <v>0.678599999999999</v>
      </c>
      <c r="U26" s="140" t="n">
        <v>146</v>
      </c>
      <c r="V26" s="140" t="n">
        <v>0</v>
      </c>
      <c r="W26" s="141" t="n">
        <f aca="false">M26-N26-P26-O26-Q26-R26-S26-T26+U26+V26</f>
        <v>146</v>
      </c>
      <c r="X26" s="105"/>
      <c r="Y26" s="105"/>
      <c r="Z26" s="105"/>
      <c r="AA26" s="140" t="n">
        <v>0</v>
      </c>
      <c r="AB26" s="142"/>
      <c r="AC26" s="143"/>
      <c r="AD26" s="140" t="n">
        <v>22</v>
      </c>
      <c r="AE26" s="105" t="n">
        <f aca="false">AE25-AD26</f>
        <v>3467</v>
      </c>
      <c r="AF26" s="140" t="n">
        <f aca="false">N26+O26+P26+Q26+R26+S26+T26+W26+AA26+AD26</f>
        <v>172.6</v>
      </c>
      <c r="AG26" s="140" t="n">
        <f aca="false">IF(L26&lt;0,L26*-1,0)</f>
        <v>0</v>
      </c>
      <c r="AH26" s="140" t="n">
        <f aca="false">AF26+AG26</f>
        <v>172.6</v>
      </c>
      <c r="AI26" s="108" t="n">
        <v>0</v>
      </c>
      <c r="AJ26" s="147" t="n">
        <v>48</v>
      </c>
      <c r="AK26" s="110" t="n">
        <v>22</v>
      </c>
      <c r="AL26" s="111" t="n">
        <f aca="false">W26*1.9835+AL25</f>
        <v>5390.781385</v>
      </c>
      <c r="AM26" s="111"/>
      <c r="AN26" s="112"/>
      <c r="AO26" s="112"/>
      <c r="AP26" s="112"/>
    </row>
    <row r="27" customFormat="false" ht="12.95" hidden="false" customHeight="true" outlineLevel="0" collapsed="false">
      <c r="A27" s="18" t="n">
        <f aca="false">A26+1</f>
        <v>16</v>
      </c>
      <c r="B27" s="132" t="n">
        <v>6896.02</v>
      </c>
      <c r="C27" s="99" t="n">
        <v>269126</v>
      </c>
      <c r="D27" s="133" t="n">
        <f aca="false">C27-C26</f>
        <v>-72</v>
      </c>
      <c r="E27" s="99" t="n">
        <f aca="false">C27-152000</f>
        <v>117126</v>
      </c>
      <c r="F27" s="134" t="n">
        <f aca="false">D27/$D$2</f>
        <v>-36.2994706327199</v>
      </c>
      <c r="G27" s="10" t="n">
        <v>129</v>
      </c>
      <c r="H27" s="12" t="n">
        <v>1.5</v>
      </c>
      <c r="I27" s="10" t="n">
        <f aca="false">G27+H27</f>
        <v>130.5</v>
      </c>
      <c r="J27" s="135" t="n">
        <f aca="false">IF(L27&gt;0,L27,0)</f>
        <v>6.80052936728006</v>
      </c>
      <c r="K27" s="10" t="n">
        <f aca="false">I27+J27</f>
        <v>137.30052936728</v>
      </c>
      <c r="L27" s="10" t="n">
        <f aca="false">F27-(I27-AF27)</f>
        <v>6.80052936728006</v>
      </c>
      <c r="M27" s="136" t="n">
        <v>4.6</v>
      </c>
      <c r="N27" s="137" t="n">
        <v>0</v>
      </c>
      <c r="O27" s="137" t="n">
        <v>0</v>
      </c>
      <c r="P27" s="102" t="n">
        <v>0</v>
      </c>
      <c r="Q27" s="138" t="n">
        <f aca="false">1.57*1.02</f>
        <v>1.6014</v>
      </c>
      <c r="R27" s="138" t="n">
        <v>2.34</v>
      </c>
      <c r="S27" s="145" t="n">
        <v>0</v>
      </c>
      <c r="T27" s="104" t="n">
        <f aca="false">M27-(Q27+R27+S27)</f>
        <v>0.6586</v>
      </c>
      <c r="U27" s="140" t="n">
        <v>146</v>
      </c>
      <c r="V27" s="140" t="n">
        <v>0</v>
      </c>
      <c r="W27" s="141" t="n">
        <f aca="false">M27-N27-P27-O27-Q27-R27-S27-T27+U27+V27</f>
        <v>146</v>
      </c>
      <c r="X27" s="105"/>
      <c r="Y27" s="105"/>
      <c r="Z27" s="105"/>
      <c r="AA27" s="140" t="n">
        <v>0</v>
      </c>
      <c r="AB27" s="142"/>
      <c r="AC27" s="143"/>
      <c r="AD27" s="140" t="n">
        <v>23</v>
      </c>
      <c r="AE27" s="105" t="n">
        <f aca="false">AE26-AD27</f>
        <v>3444</v>
      </c>
      <c r="AF27" s="140" t="n">
        <f aca="false">N27+O27+P27+Q27+R27+S27+T27+W27+AA27+AD27</f>
        <v>173.6</v>
      </c>
      <c r="AG27" s="140" t="n">
        <f aca="false">IF(L27&lt;0,L27*-1,0)</f>
        <v>0</v>
      </c>
      <c r="AH27" s="140" t="n">
        <f aca="false">AF27+AG27</f>
        <v>173.6</v>
      </c>
      <c r="AI27" s="108" t="n">
        <v>0</v>
      </c>
      <c r="AJ27" s="147" t="n">
        <v>53</v>
      </c>
      <c r="AK27" s="110" t="n">
        <v>25</v>
      </c>
      <c r="AL27" s="111" t="n">
        <f aca="false">W27*1.9835+AL26</f>
        <v>5680.372385</v>
      </c>
      <c r="AM27" s="111"/>
      <c r="AN27" s="112"/>
      <c r="AO27" s="112"/>
      <c r="AP27" s="112"/>
    </row>
    <row r="28" customFormat="false" ht="12.95" hidden="false" customHeight="true" outlineLevel="0" collapsed="false">
      <c r="A28" s="18" t="n">
        <f aca="false">A27+1</f>
        <v>17</v>
      </c>
      <c r="B28" s="132" t="n">
        <v>6896</v>
      </c>
      <c r="C28" s="99" t="n">
        <v>269055</v>
      </c>
      <c r="D28" s="133" t="n">
        <f aca="false">C28-C27</f>
        <v>-71</v>
      </c>
      <c r="E28" s="99" t="n">
        <f aca="false">C28-152000</f>
        <v>117055</v>
      </c>
      <c r="F28" s="134" t="n">
        <f aca="false">D28/$D$2</f>
        <v>-35.7953113183766</v>
      </c>
      <c r="G28" s="10" t="n">
        <v>165</v>
      </c>
      <c r="H28" s="12" t="n">
        <v>2.4</v>
      </c>
      <c r="I28" s="10" t="n">
        <f aca="false">G28+H28</f>
        <v>167.4</v>
      </c>
      <c r="J28" s="135" t="n">
        <f aca="false">IF(L28&gt;0,L28,0)</f>
        <v>0</v>
      </c>
      <c r="K28" s="10" t="n">
        <f aca="false">I28+J28</f>
        <v>167.4</v>
      </c>
      <c r="L28" s="10" t="n">
        <f aca="false">F28-(I28-AF28)</f>
        <v>-29.5953113183766</v>
      </c>
      <c r="M28" s="136" t="n">
        <v>4.6</v>
      </c>
      <c r="N28" s="137" t="n">
        <v>0</v>
      </c>
      <c r="O28" s="137" t="n">
        <v>0</v>
      </c>
      <c r="P28" s="102" t="n">
        <v>0</v>
      </c>
      <c r="Q28" s="138" t="n">
        <f aca="false">1.57*1.02</f>
        <v>1.6014</v>
      </c>
      <c r="R28" s="138" t="n">
        <v>2.23</v>
      </c>
      <c r="S28" s="145" t="n">
        <v>0</v>
      </c>
      <c r="T28" s="104" t="n">
        <f aca="false">M28-(Q28+R28+S28)</f>
        <v>0.768599999999999</v>
      </c>
      <c r="U28" s="140" t="n">
        <v>146</v>
      </c>
      <c r="V28" s="140" t="n">
        <v>0</v>
      </c>
      <c r="W28" s="141" t="n">
        <f aca="false">M28-N28-P28-O28-Q28-R28-S28-T28+U28+V28</f>
        <v>146</v>
      </c>
      <c r="X28" s="105"/>
      <c r="Y28" s="105"/>
      <c r="Z28" s="105"/>
      <c r="AA28" s="140" t="n">
        <v>0</v>
      </c>
      <c r="AB28" s="142"/>
      <c r="AC28" s="143"/>
      <c r="AD28" s="140" t="n">
        <v>23</v>
      </c>
      <c r="AE28" s="105" t="n">
        <f aca="false">AE27-AD28</f>
        <v>3421</v>
      </c>
      <c r="AF28" s="140" t="n">
        <f aca="false">N28+O28+P28+Q28+R28+S28+T28+W28+AA28+AD28</f>
        <v>173.6</v>
      </c>
      <c r="AG28" s="140" t="n">
        <f aca="false">IF(L28&lt;0,L28*-1,0)</f>
        <v>29.5953113183766</v>
      </c>
      <c r="AH28" s="140" t="n">
        <f aca="false">AF28+AG28</f>
        <v>203.195311318377</v>
      </c>
      <c r="AI28" s="108" t="n">
        <v>0</v>
      </c>
      <c r="AJ28" s="147" t="n">
        <v>58</v>
      </c>
      <c r="AK28" s="110" t="n">
        <v>27</v>
      </c>
      <c r="AL28" s="111" t="n">
        <f aca="false">W28*1.9835+AL27</f>
        <v>5969.963385</v>
      </c>
      <c r="AM28" s="111"/>
      <c r="AN28" s="112"/>
      <c r="AO28" s="112"/>
      <c r="AP28" s="112"/>
    </row>
    <row r="29" customFormat="false" ht="12.95" hidden="false" customHeight="true" outlineLevel="0" collapsed="false">
      <c r="A29" s="18" t="n">
        <f aca="false">A28+1</f>
        <v>18</v>
      </c>
      <c r="B29" s="132" t="n">
        <v>6895.98</v>
      </c>
      <c r="C29" s="99" t="n">
        <v>268983</v>
      </c>
      <c r="D29" s="133" t="n">
        <f aca="false">C29-C28</f>
        <v>-72</v>
      </c>
      <c r="E29" s="99" t="n">
        <f aca="false">C29-152000</f>
        <v>116983</v>
      </c>
      <c r="F29" s="134" t="n">
        <f aca="false">D29/$D$2</f>
        <v>-36.2994706327199</v>
      </c>
      <c r="G29" s="10" t="n">
        <v>152</v>
      </c>
      <c r="H29" s="12" t="n">
        <v>2.8</v>
      </c>
      <c r="I29" s="10" t="n">
        <f aca="false">G29+H29</f>
        <v>154.8</v>
      </c>
      <c r="J29" s="135" t="n">
        <f aca="false">IF(L29&gt;0,L29,0)</f>
        <v>0</v>
      </c>
      <c r="K29" s="10" t="n">
        <f aca="false">I29+J29</f>
        <v>154.8</v>
      </c>
      <c r="L29" s="10" t="n">
        <f aca="false">F29-(I29-AF29)</f>
        <v>-17.49947063272</v>
      </c>
      <c r="M29" s="136" t="n">
        <v>4.6</v>
      </c>
      <c r="N29" s="137" t="n">
        <v>0</v>
      </c>
      <c r="O29" s="137" t="n">
        <v>0</v>
      </c>
      <c r="P29" s="102" t="n">
        <v>0</v>
      </c>
      <c r="Q29" s="138" t="n">
        <f aca="false">1.57*1.02</f>
        <v>1.6014</v>
      </c>
      <c r="R29" s="138" t="n">
        <v>2.31</v>
      </c>
      <c r="S29" s="145" t="n">
        <v>0</v>
      </c>
      <c r="T29" s="104" t="n">
        <f aca="false">M29-(Q29+R29+S29)</f>
        <v>0.688599999999999</v>
      </c>
      <c r="U29" s="140" t="n">
        <v>146</v>
      </c>
      <c r="V29" s="140" t="n">
        <v>0</v>
      </c>
      <c r="W29" s="141" t="n">
        <f aca="false">M29-N29-P29-O29-Q29-R29-S29-T29+U29+V29</f>
        <v>146</v>
      </c>
      <c r="X29" s="105"/>
      <c r="Y29" s="105"/>
      <c r="Z29" s="105"/>
      <c r="AA29" s="140" t="n">
        <v>0</v>
      </c>
      <c r="AB29" s="142"/>
      <c r="AC29" s="143"/>
      <c r="AD29" s="140" t="n">
        <v>23</v>
      </c>
      <c r="AE29" s="105" t="n">
        <f aca="false">AE28-AD29</f>
        <v>3398</v>
      </c>
      <c r="AF29" s="140" t="n">
        <f aca="false">N29+O29+P29+Q29+R29+S29+T29+W29+AA29+AD29</f>
        <v>173.6</v>
      </c>
      <c r="AG29" s="140" t="n">
        <f aca="false">IF(L29&lt;0,L29*-1,0)</f>
        <v>17.49947063272</v>
      </c>
      <c r="AH29" s="140" t="n">
        <f aca="false">AF29+AG29</f>
        <v>191.09947063272</v>
      </c>
      <c r="AI29" s="108" t="n">
        <v>0</v>
      </c>
      <c r="AJ29" s="147" t="n">
        <v>59</v>
      </c>
      <c r="AK29" s="110" t="n">
        <v>30</v>
      </c>
      <c r="AL29" s="111" t="n">
        <f aca="false">W29*1.9835+AL28</f>
        <v>6259.554385</v>
      </c>
      <c r="AM29" s="111"/>
      <c r="AN29" s="112"/>
      <c r="AO29" s="112"/>
      <c r="AP29" s="112"/>
    </row>
    <row r="30" customFormat="false" ht="12.95" hidden="false" customHeight="true" outlineLevel="0" collapsed="false">
      <c r="A30" s="18" t="n">
        <f aca="false">A29+1</f>
        <v>19</v>
      </c>
      <c r="B30" s="132" t="n">
        <v>6895.95</v>
      </c>
      <c r="C30" s="99" t="n">
        <v>268877</v>
      </c>
      <c r="D30" s="133" t="n">
        <f aca="false">C30-C29</f>
        <v>-106</v>
      </c>
      <c r="E30" s="99" t="n">
        <f aca="false">C30-152000</f>
        <v>116877</v>
      </c>
      <c r="F30" s="134" t="n">
        <f aca="false">D30/$D$2</f>
        <v>-53.4408873203932</v>
      </c>
      <c r="G30" s="10" t="n">
        <v>139</v>
      </c>
      <c r="H30" s="12" t="n">
        <v>2.1</v>
      </c>
      <c r="I30" s="10" t="n">
        <f aca="false">G30+H30</f>
        <v>141.1</v>
      </c>
      <c r="J30" s="135" t="n">
        <f aca="false">IF(L30&gt;0,L30,0)</f>
        <v>0</v>
      </c>
      <c r="K30" s="10" t="n">
        <f aca="false">I30+J30</f>
        <v>141.1</v>
      </c>
      <c r="L30" s="10" t="n">
        <f aca="false">F30-(I30-AF30)</f>
        <v>-20.9408873203932</v>
      </c>
      <c r="M30" s="136" t="n">
        <v>4.6</v>
      </c>
      <c r="N30" s="137" t="n">
        <v>0</v>
      </c>
      <c r="O30" s="137" t="n">
        <v>0</v>
      </c>
      <c r="P30" s="102" t="n">
        <v>0</v>
      </c>
      <c r="Q30" s="138" t="n">
        <f aca="false">1.57*1.02</f>
        <v>1.6014</v>
      </c>
      <c r="R30" s="138" t="n">
        <v>2.3</v>
      </c>
      <c r="S30" s="145" t="n">
        <v>0</v>
      </c>
      <c r="T30" s="104" t="n">
        <f aca="false">M30-(Q30+R30+S30)</f>
        <v>0.6986</v>
      </c>
      <c r="U30" s="140" t="n">
        <v>146</v>
      </c>
      <c r="V30" s="140" t="n">
        <v>0</v>
      </c>
      <c r="W30" s="141" t="n">
        <f aca="false">M30-N30-P30-O30-Q30-R30-S30-T30+U30+V30</f>
        <v>146</v>
      </c>
      <c r="X30" s="105"/>
      <c r="Y30" s="105"/>
      <c r="Z30" s="105"/>
      <c r="AA30" s="140" t="n">
        <v>0</v>
      </c>
      <c r="AB30" s="142"/>
      <c r="AC30" s="143"/>
      <c r="AD30" s="140" t="n">
        <v>23</v>
      </c>
      <c r="AE30" s="105" t="n">
        <f aca="false">AE29-AD30</f>
        <v>3375</v>
      </c>
      <c r="AF30" s="140" t="n">
        <f aca="false">N30+O30+P30+Q30+R30+S30+T30+W30+AA30+AD30</f>
        <v>173.6</v>
      </c>
      <c r="AG30" s="140" t="n">
        <f aca="false">IF(L30&lt;0,L30*-1,0)</f>
        <v>20.9408873203932</v>
      </c>
      <c r="AH30" s="140" t="n">
        <f aca="false">AF30+AG30</f>
        <v>194.540887320393</v>
      </c>
      <c r="AI30" s="108" t="n">
        <v>0</v>
      </c>
      <c r="AJ30" s="147" t="n">
        <v>58</v>
      </c>
      <c r="AK30" s="110" t="n">
        <v>31</v>
      </c>
      <c r="AL30" s="111" t="n">
        <f aca="false">W30*1.9835+AL29</f>
        <v>6549.145385</v>
      </c>
      <c r="AM30" s="111"/>
      <c r="AN30" s="112"/>
      <c r="AO30" s="112"/>
      <c r="AP30" s="112"/>
    </row>
    <row r="31" customFormat="false" ht="12.95" hidden="false" customHeight="true" outlineLevel="0" collapsed="false">
      <c r="A31" s="18" t="n">
        <f aca="false">A30+1</f>
        <v>20</v>
      </c>
      <c r="B31" s="132" t="n">
        <v>6895.92</v>
      </c>
      <c r="C31" s="99" t="n">
        <v>268770</v>
      </c>
      <c r="D31" s="133" t="n">
        <f aca="false">C31-C30</f>
        <v>-107</v>
      </c>
      <c r="E31" s="99" t="n">
        <f aca="false">C31-152000</f>
        <v>116770</v>
      </c>
      <c r="F31" s="134" t="n">
        <f aca="false">D31/$D$2</f>
        <v>-53.9450466347366</v>
      </c>
      <c r="G31" s="10" t="n">
        <v>138</v>
      </c>
      <c r="H31" s="12" t="n">
        <v>1.8</v>
      </c>
      <c r="I31" s="10" t="n">
        <f aca="false">G31+H31</f>
        <v>139.8</v>
      </c>
      <c r="J31" s="135" t="n">
        <f aca="false">IF(L31&gt;0,L31,0)</f>
        <v>0</v>
      </c>
      <c r="K31" s="10" t="n">
        <f aca="false">I31+J31</f>
        <v>139.8</v>
      </c>
      <c r="L31" s="10" t="n">
        <f aca="false">F31-(I31-AF31)</f>
        <v>-21.1450466347366</v>
      </c>
      <c r="M31" s="136" t="n">
        <v>4.6</v>
      </c>
      <c r="N31" s="137" t="n">
        <v>0</v>
      </c>
      <c r="O31" s="137" t="n">
        <v>0</v>
      </c>
      <c r="P31" s="102" t="n">
        <v>0</v>
      </c>
      <c r="Q31" s="138" t="n">
        <f aca="false">1.57*1.02</f>
        <v>1.6014</v>
      </c>
      <c r="R31" s="138" t="n">
        <v>2.24</v>
      </c>
      <c r="S31" s="145" t="n">
        <v>0</v>
      </c>
      <c r="T31" s="104" t="n">
        <f aca="false">M31-(Q31+R31+S31)</f>
        <v>0.7586</v>
      </c>
      <c r="U31" s="140" t="n">
        <v>145</v>
      </c>
      <c r="V31" s="140" t="n">
        <v>0</v>
      </c>
      <c r="W31" s="141" t="n">
        <f aca="false">M31-N31-P31-O31-Q31-R31-S31-T31+U31+V31</f>
        <v>145</v>
      </c>
      <c r="X31" s="105"/>
      <c r="Y31" s="105"/>
      <c r="Z31" s="105"/>
      <c r="AA31" s="140" t="n">
        <v>0</v>
      </c>
      <c r="AB31" s="142"/>
      <c r="AC31" s="143"/>
      <c r="AD31" s="140" t="n">
        <v>23</v>
      </c>
      <c r="AE31" s="105" t="n">
        <f aca="false">AE30-AD31</f>
        <v>3352</v>
      </c>
      <c r="AF31" s="140" t="n">
        <f aca="false">N31+O31+P31+Q31+R31+S31+T31+W31+AA31+AD31</f>
        <v>172.6</v>
      </c>
      <c r="AG31" s="140" t="n">
        <f aca="false">IF(L31&lt;0,L31*-1,0)</f>
        <v>21.1450466347366</v>
      </c>
      <c r="AH31" s="140" t="n">
        <f aca="false">AF31+AG31</f>
        <v>193.745046634737</v>
      </c>
      <c r="AI31" s="108" t="n">
        <v>0</v>
      </c>
      <c r="AJ31" s="147" t="n">
        <v>59</v>
      </c>
      <c r="AK31" s="110" t="n">
        <v>31</v>
      </c>
      <c r="AL31" s="111" t="n">
        <f aca="false">W31*1.9835+AL30</f>
        <v>6836.752885</v>
      </c>
      <c r="AM31" s="111"/>
      <c r="AN31" s="112"/>
      <c r="AO31" s="112"/>
      <c r="AP31" s="112"/>
    </row>
    <row r="32" customFormat="false" ht="12.95" hidden="false" customHeight="true" outlineLevel="0" collapsed="false">
      <c r="A32" s="18" t="n">
        <f aca="false">A31+1</f>
        <v>21</v>
      </c>
      <c r="B32" s="132" t="n">
        <v>6895.89</v>
      </c>
      <c r="C32" s="99" t="n">
        <v>268663</v>
      </c>
      <c r="D32" s="133" t="n">
        <f aca="false">C32-C31</f>
        <v>-107</v>
      </c>
      <c r="E32" s="99" t="n">
        <f aca="false">C32-152000</f>
        <v>116663</v>
      </c>
      <c r="F32" s="134" t="n">
        <f aca="false">D32/$D$2</f>
        <v>-53.9450466347366</v>
      </c>
      <c r="G32" s="10" t="n">
        <v>131</v>
      </c>
      <c r="H32" s="12" t="n">
        <v>1.7</v>
      </c>
      <c r="I32" s="10" t="n">
        <f aca="false">G32+H32</f>
        <v>132.7</v>
      </c>
      <c r="J32" s="135" t="n">
        <f aca="false">IF(L32&gt;0,L32,0)</f>
        <v>0</v>
      </c>
      <c r="K32" s="10" t="n">
        <f aca="false">I32+J32</f>
        <v>132.7</v>
      </c>
      <c r="L32" s="10" t="n">
        <f aca="false">F32-(I32-AF32)</f>
        <v>-16.0450466347366</v>
      </c>
      <c r="M32" s="136" t="n">
        <v>4.6</v>
      </c>
      <c r="N32" s="137" t="n">
        <v>0</v>
      </c>
      <c r="O32" s="137" t="n">
        <v>0</v>
      </c>
      <c r="P32" s="102" t="n">
        <v>0</v>
      </c>
      <c r="Q32" s="138" t="n">
        <f aca="false">1.57*1.02</f>
        <v>1.6014</v>
      </c>
      <c r="R32" s="138" t="n">
        <v>2.31</v>
      </c>
      <c r="S32" s="145" t="n">
        <v>0</v>
      </c>
      <c r="T32" s="104" t="n">
        <f aca="false">M32-(Q32+R32+S32)</f>
        <v>0.688599999999999</v>
      </c>
      <c r="U32" s="140" t="n">
        <v>143</v>
      </c>
      <c r="V32" s="140" t="n">
        <v>0</v>
      </c>
      <c r="W32" s="141" t="n">
        <f aca="false">M32-N32-P32-O32-Q32-R32-S32-T32+U32+V32</f>
        <v>143</v>
      </c>
      <c r="X32" s="105"/>
      <c r="Y32" s="105"/>
      <c r="Z32" s="105"/>
      <c r="AA32" s="140" t="n">
        <v>0</v>
      </c>
      <c r="AB32" s="142"/>
      <c r="AC32" s="143"/>
      <c r="AD32" s="140" t="n">
        <v>23</v>
      </c>
      <c r="AE32" s="105" t="n">
        <f aca="false">AE31-AD32</f>
        <v>3329</v>
      </c>
      <c r="AF32" s="140" t="n">
        <f aca="false">N32+O32+P32+Q32+R32+S32+T32+W32+AA32+AD32</f>
        <v>170.6</v>
      </c>
      <c r="AG32" s="140" t="n">
        <f aca="false">IF(L32&lt;0,L32*-1,0)</f>
        <v>16.0450466347366</v>
      </c>
      <c r="AH32" s="140" t="n">
        <f aca="false">AF32+AG32</f>
        <v>186.645046634737</v>
      </c>
      <c r="AI32" s="108" t="n">
        <v>0</v>
      </c>
      <c r="AJ32" s="109" t="n">
        <v>60</v>
      </c>
      <c r="AK32" s="110" t="n">
        <v>32</v>
      </c>
      <c r="AL32" s="111" t="n">
        <f aca="false">W32*1.9835+AL31</f>
        <v>7120.393385</v>
      </c>
      <c r="AM32" s="111"/>
      <c r="AN32" s="112"/>
      <c r="AO32" s="112"/>
      <c r="AP32" s="112"/>
    </row>
    <row r="33" customFormat="false" ht="12.95" hidden="false" customHeight="true" outlineLevel="0" collapsed="false">
      <c r="A33" s="18" t="n">
        <f aca="false">A32+1</f>
        <v>22</v>
      </c>
      <c r="B33" s="132" t="n">
        <v>6895.85</v>
      </c>
      <c r="C33" s="99" t="n">
        <v>268521</v>
      </c>
      <c r="D33" s="133" t="n">
        <f aca="false">C33-C32</f>
        <v>-142</v>
      </c>
      <c r="E33" s="99" t="n">
        <f aca="false">C33-152000</f>
        <v>116521</v>
      </c>
      <c r="F33" s="134" t="n">
        <f aca="false">D33/$D$2</f>
        <v>-71.5906226367532</v>
      </c>
      <c r="G33" s="10" t="n">
        <v>132</v>
      </c>
      <c r="H33" s="12" t="n">
        <v>1.7</v>
      </c>
      <c r="I33" s="10" t="n">
        <f aca="false">G33+H33</f>
        <v>133.7</v>
      </c>
      <c r="J33" s="135" t="n">
        <f aca="false">IF(L33&gt;0,L33,0)</f>
        <v>0</v>
      </c>
      <c r="K33" s="10" t="n">
        <f aca="false">I33+J33</f>
        <v>133.7</v>
      </c>
      <c r="L33" s="10" t="n">
        <f aca="false">F33-(I33-AF33)</f>
        <v>-34.6906226367532</v>
      </c>
      <c r="M33" s="136" t="n">
        <v>4.6</v>
      </c>
      <c r="N33" s="137" t="n">
        <v>0</v>
      </c>
      <c r="O33" s="137" t="n">
        <v>0</v>
      </c>
      <c r="P33" s="102" t="n">
        <v>0</v>
      </c>
      <c r="Q33" s="138" t="n">
        <f aca="false">1.57*1.02</f>
        <v>1.6014</v>
      </c>
      <c r="R33" s="138" t="n">
        <v>2.24</v>
      </c>
      <c r="S33" s="145" t="n">
        <v>0</v>
      </c>
      <c r="T33" s="104" t="n">
        <f aca="false">M33-(Q33+R33+S33)</f>
        <v>0.7586</v>
      </c>
      <c r="U33" s="140" t="n">
        <v>143</v>
      </c>
      <c r="V33" s="140" t="n">
        <v>0</v>
      </c>
      <c r="W33" s="141" t="n">
        <f aca="false">M33-N33-P33-O33-Q33-R33-S33-T33+U33+V33</f>
        <v>143</v>
      </c>
      <c r="X33" s="105"/>
      <c r="Y33" s="105"/>
      <c r="Z33" s="105"/>
      <c r="AA33" s="140" t="n">
        <v>0</v>
      </c>
      <c r="AB33" s="142"/>
      <c r="AC33" s="143"/>
      <c r="AD33" s="140" t="n">
        <v>23</v>
      </c>
      <c r="AE33" s="105" t="n">
        <f aca="false">AE32-AD33</f>
        <v>3306</v>
      </c>
      <c r="AF33" s="140" t="n">
        <f aca="false">N33+O33+P33+Q33+R33+S33+T33+W33+AA33+AD33</f>
        <v>170.6</v>
      </c>
      <c r="AG33" s="140" t="n">
        <f aca="false">IF(L33&lt;0,L33*-1,0)</f>
        <v>34.6906226367532</v>
      </c>
      <c r="AH33" s="140" t="n">
        <f aca="false">AF33+AG33</f>
        <v>205.290622636753</v>
      </c>
      <c r="AI33" s="108" t="n">
        <v>0</v>
      </c>
      <c r="AJ33" s="109" t="n">
        <v>60</v>
      </c>
      <c r="AK33" s="110" t="n">
        <v>36</v>
      </c>
      <c r="AL33" s="111" t="n">
        <f aca="false">W33*1.9835+AL32</f>
        <v>7404.033885</v>
      </c>
      <c r="AM33" s="111"/>
      <c r="AN33" s="112"/>
      <c r="AO33" s="112"/>
      <c r="AP33" s="112"/>
    </row>
    <row r="34" customFormat="false" ht="12.95" hidden="false" customHeight="true" outlineLevel="0" collapsed="false">
      <c r="A34" s="18" t="n">
        <f aca="false">A33+1</f>
        <v>23</v>
      </c>
      <c r="B34" s="132" t="n">
        <v>6895.82</v>
      </c>
      <c r="C34" s="99" t="n">
        <v>268414</v>
      </c>
      <c r="D34" s="133" t="n">
        <f aca="false">C34-C33</f>
        <v>-107</v>
      </c>
      <c r="E34" s="99" t="n">
        <f aca="false">C34-152000</f>
        <v>116414</v>
      </c>
      <c r="F34" s="134" t="n">
        <f aca="false">D34/$D$2</f>
        <v>-53.9450466347366</v>
      </c>
      <c r="G34" s="10" t="n">
        <v>135</v>
      </c>
      <c r="H34" s="12" t="n">
        <v>1.9</v>
      </c>
      <c r="I34" s="10" t="n">
        <f aca="false">G34+H34</f>
        <v>136.9</v>
      </c>
      <c r="J34" s="135" t="n">
        <f aca="false">IF(L34&gt;0,L34,0)</f>
        <v>0</v>
      </c>
      <c r="K34" s="10" t="n">
        <f aca="false">I34+J34</f>
        <v>136.9</v>
      </c>
      <c r="L34" s="10" t="n">
        <f aca="false">F34-(I34-AF34)</f>
        <v>-20.2450466347366</v>
      </c>
      <c r="M34" s="136" t="n">
        <v>4.6</v>
      </c>
      <c r="N34" s="137" t="n">
        <v>0</v>
      </c>
      <c r="O34" s="137" t="n">
        <v>0</v>
      </c>
      <c r="P34" s="102" t="n">
        <v>0</v>
      </c>
      <c r="Q34" s="138" t="n">
        <f aca="false">1.57*1.02</f>
        <v>1.6014</v>
      </c>
      <c r="R34" s="138" t="n">
        <v>2.22</v>
      </c>
      <c r="S34" s="145" t="n">
        <v>0</v>
      </c>
      <c r="T34" s="104" t="n">
        <f aca="false">M34-(Q34+R34+S34)</f>
        <v>0.778599999999999</v>
      </c>
      <c r="U34" s="140" t="n">
        <v>143</v>
      </c>
      <c r="V34" s="140" t="n">
        <v>0</v>
      </c>
      <c r="W34" s="141" t="n">
        <f aca="false">M34-N34-P34-O34-Q34-R34-S34-T34+U34+V34</f>
        <v>143</v>
      </c>
      <c r="X34" s="105"/>
      <c r="Y34" s="105"/>
      <c r="Z34" s="105"/>
      <c r="AA34" s="140" t="n">
        <v>0</v>
      </c>
      <c r="AB34" s="142"/>
      <c r="AC34" s="143"/>
      <c r="AD34" s="140" t="n">
        <v>23</v>
      </c>
      <c r="AE34" s="105" t="n">
        <f aca="false">AE33-AD34</f>
        <v>3283</v>
      </c>
      <c r="AF34" s="140" t="n">
        <f aca="false">N34+O34+P34+Q34+R34+S34+T34+W34+AA34+AD34</f>
        <v>170.6</v>
      </c>
      <c r="AG34" s="140" t="n">
        <f aca="false">IF(L34&lt;0,L34*-1,0)</f>
        <v>20.2450466347366</v>
      </c>
      <c r="AH34" s="140" t="n">
        <f aca="false">AF34+AG34</f>
        <v>190.845046634737</v>
      </c>
      <c r="AI34" s="108" t="n">
        <v>0</v>
      </c>
      <c r="AJ34" s="109" t="n">
        <v>56</v>
      </c>
      <c r="AK34" s="148" t="n">
        <v>32</v>
      </c>
      <c r="AL34" s="111" t="n">
        <f aca="false">W34*1.9835+AL33</f>
        <v>7687.674385</v>
      </c>
      <c r="AM34" s="111"/>
      <c r="AN34" s="112"/>
      <c r="AO34" s="112"/>
      <c r="AP34" s="112"/>
    </row>
    <row r="35" customFormat="false" ht="12.95" hidden="false" customHeight="true" outlineLevel="0" collapsed="false">
      <c r="A35" s="18" t="n">
        <f aca="false">A34+1</f>
        <v>24</v>
      </c>
      <c r="B35" s="132" t="n">
        <v>6895.79</v>
      </c>
      <c r="C35" s="99" t="n">
        <v>268307</v>
      </c>
      <c r="D35" s="133" t="n">
        <f aca="false">C35-C34</f>
        <v>-107</v>
      </c>
      <c r="E35" s="99" t="n">
        <f aca="false">C35-152000</f>
        <v>116307</v>
      </c>
      <c r="F35" s="134" t="n">
        <f aca="false">D35/$D$2</f>
        <v>-53.9450466347366</v>
      </c>
      <c r="G35" s="10" t="n">
        <v>130</v>
      </c>
      <c r="H35" s="12" t="n">
        <v>2</v>
      </c>
      <c r="I35" s="10" t="n">
        <f aca="false">G35+H35</f>
        <v>132</v>
      </c>
      <c r="J35" s="135" t="n">
        <f aca="false">IF(L35&gt;0,L35,0)</f>
        <v>0</v>
      </c>
      <c r="K35" s="10" t="n">
        <f aca="false">I35+J35</f>
        <v>132</v>
      </c>
      <c r="L35" s="10" t="n">
        <f aca="false">F35-(I35-AF35)</f>
        <v>-15.3450466347366</v>
      </c>
      <c r="M35" s="136" t="n">
        <v>4.6</v>
      </c>
      <c r="N35" s="137" t="n">
        <v>0</v>
      </c>
      <c r="O35" s="137" t="n">
        <v>0</v>
      </c>
      <c r="P35" s="102" t="n">
        <v>0</v>
      </c>
      <c r="Q35" s="138" t="n">
        <f aca="false">1.57*1.02</f>
        <v>1.6014</v>
      </c>
      <c r="R35" s="138" t="n">
        <v>2.29</v>
      </c>
      <c r="S35" s="145" t="n">
        <v>0</v>
      </c>
      <c r="T35" s="104" t="n">
        <f aca="false">M35-(Q35+R35+S35)</f>
        <v>0.7086</v>
      </c>
      <c r="U35" s="140" t="n">
        <v>143</v>
      </c>
      <c r="V35" s="140" t="n">
        <v>0</v>
      </c>
      <c r="W35" s="141" t="n">
        <f aca="false">M35-N35-P35-O35-Q35-R35-S35-T35+U35+V35</f>
        <v>143</v>
      </c>
      <c r="X35" s="105"/>
      <c r="Y35" s="105"/>
      <c r="Z35" s="105"/>
      <c r="AA35" s="140" t="n">
        <v>0</v>
      </c>
      <c r="AB35" s="142"/>
      <c r="AC35" s="143"/>
      <c r="AD35" s="140" t="n">
        <v>23</v>
      </c>
      <c r="AE35" s="105" t="n">
        <f aca="false">AE34-AD35</f>
        <v>3260</v>
      </c>
      <c r="AF35" s="140" t="n">
        <f aca="false">N35+O35+P35+Q35+R35+S35+T35+W35+AA35+AD35</f>
        <v>170.6</v>
      </c>
      <c r="AG35" s="140" t="n">
        <f aca="false">IF(L35&lt;0,L35*-1,0)</f>
        <v>15.3450466347366</v>
      </c>
      <c r="AH35" s="140" t="n">
        <f aca="false">AF35+AG35</f>
        <v>185.945046634737</v>
      </c>
      <c r="AI35" s="108" t="n">
        <v>0</v>
      </c>
      <c r="AJ35" s="109" t="n">
        <v>54</v>
      </c>
      <c r="AK35" s="148" t="n">
        <v>31</v>
      </c>
      <c r="AL35" s="111" t="n">
        <f aca="false">W35*1.9835+AL34</f>
        <v>7971.314885</v>
      </c>
      <c r="AM35" s="111"/>
      <c r="AN35" s="112"/>
      <c r="AO35" s="112"/>
      <c r="AP35" s="112"/>
    </row>
    <row r="36" customFormat="false" ht="12.95" hidden="false" customHeight="true" outlineLevel="0" collapsed="false">
      <c r="A36" s="18" t="n">
        <f aca="false">A35+1</f>
        <v>25</v>
      </c>
      <c r="B36" s="132" t="n">
        <v>6895.77</v>
      </c>
      <c r="C36" s="99" t="n">
        <v>268236</v>
      </c>
      <c r="D36" s="133" t="n">
        <f aca="false">C36-C35</f>
        <v>-71</v>
      </c>
      <c r="E36" s="99" t="n">
        <f aca="false">C36-152000</f>
        <v>116236</v>
      </c>
      <c r="F36" s="134" t="n">
        <f aca="false">D36/$D$2</f>
        <v>-35.7953113183766</v>
      </c>
      <c r="G36" s="10" t="n">
        <v>133</v>
      </c>
      <c r="H36" s="12" t="n">
        <v>2.6</v>
      </c>
      <c r="I36" s="10" t="n">
        <f aca="false">G36+H36</f>
        <v>135.6</v>
      </c>
      <c r="J36" s="135" t="n">
        <f aca="false">IF(L36&gt;0,L36,0)</f>
        <v>0</v>
      </c>
      <c r="K36" s="10" t="n">
        <f aca="false">I36+J36</f>
        <v>135.6</v>
      </c>
      <c r="L36" s="10" t="n">
        <f aca="false">F36-(I36-AF36)</f>
        <v>-0.795311318376605</v>
      </c>
      <c r="M36" s="136" t="n">
        <v>4.6</v>
      </c>
      <c r="N36" s="137" t="n">
        <v>0</v>
      </c>
      <c r="O36" s="137" t="n">
        <v>0</v>
      </c>
      <c r="P36" s="102" t="n">
        <v>0</v>
      </c>
      <c r="Q36" s="138" t="n">
        <f aca="false">1.57*1.02</f>
        <v>1.6014</v>
      </c>
      <c r="R36" s="138" t="n">
        <v>2.18</v>
      </c>
      <c r="S36" s="145" t="n">
        <v>0</v>
      </c>
      <c r="T36" s="104" t="n">
        <f aca="false">M36-(Q36+R36+S36)</f>
        <v>0.818599999999999</v>
      </c>
      <c r="U36" s="140" t="n">
        <v>143</v>
      </c>
      <c r="V36" s="140" t="n">
        <v>0</v>
      </c>
      <c r="W36" s="141" t="n">
        <f aca="false">M36-N36-P36-O36-Q36-R36-S36-T36+U36+V36</f>
        <v>143</v>
      </c>
      <c r="X36" s="105"/>
      <c r="Y36" s="105"/>
      <c r="Z36" s="105"/>
      <c r="AA36" s="140" t="n">
        <v>0</v>
      </c>
      <c r="AB36" s="142"/>
      <c r="AC36" s="143"/>
      <c r="AD36" s="140" t="n">
        <v>23</v>
      </c>
      <c r="AE36" s="105" t="n">
        <f aca="false">AE35-AD36</f>
        <v>3237</v>
      </c>
      <c r="AF36" s="140" t="n">
        <f aca="false">N36+O36+P36+Q36+R36+S36+T36+W36+AA36+AD36</f>
        <v>170.6</v>
      </c>
      <c r="AG36" s="140" t="n">
        <f aca="false">IF(L36&lt;0,L36*-1,0)</f>
        <v>0.795311318376605</v>
      </c>
      <c r="AH36" s="140" t="n">
        <f aca="false">AF36+AG36</f>
        <v>171.395311318377</v>
      </c>
      <c r="AI36" s="108" t="n">
        <v>0.05</v>
      </c>
      <c r="AJ36" s="109" t="n">
        <v>52</v>
      </c>
      <c r="AK36" s="148" t="n">
        <v>30</v>
      </c>
      <c r="AL36" s="111" t="n">
        <f aca="false">W36*1.9835+AL35</f>
        <v>8254.955385</v>
      </c>
      <c r="AM36" s="111"/>
      <c r="AN36" s="112"/>
      <c r="AO36" s="112"/>
      <c r="AP36" s="112"/>
    </row>
    <row r="37" customFormat="false" ht="12.95" hidden="false" customHeight="true" outlineLevel="0" collapsed="false">
      <c r="A37" s="18" t="n">
        <f aca="false">A36+1</f>
        <v>26</v>
      </c>
      <c r="B37" s="132" t="n">
        <v>6895.74</v>
      </c>
      <c r="C37" s="99" t="n">
        <v>268129</v>
      </c>
      <c r="D37" s="133" t="n">
        <f aca="false">C37-C36</f>
        <v>-107</v>
      </c>
      <c r="E37" s="99" t="n">
        <f aca="false">C37-152000</f>
        <v>116129</v>
      </c>
      <c r="F37" s="134" t="n">
        <f aca="false">D37/$D$2</f>
        <v>-53.9450466347366</v>
      </c>
      <c r="G37" s="10" t="n">
        <v>123</v>
      </c>
      <c r="H37" s="12" t="n">
        <v>1.6</v>
      </c>
      <c r="I37" s="10" t="n">
        <f aca="false">G37+H37</f>
        <v>124.6</v>
      </c>
      <c r="J37" s="135" t="n">
        <f aca="false">IF(L37&gt;0,L37,0)</f>
        <v>0</v>
      </c>
      <c r="K37" s="10" t="n">
        <f aca="false">I37+J37</f>
        <v>124.6</v>
      </c>
      <c r="L37" s="10" t="n">
        <f aca="false">F37-(I37-AF37)</f>
        <v>-7.94504663473658</v>
      </c>
      <c r="M37" s="136" t="n">
        <v>4.6</v>
      </c>
      <c r="N37" s="137" t="n">
        <v>0</v>
      </c>
      <c r="O37" s="137" t="n">
        <v>0</v>
      </c>
      <c r="P37" s="102" t="n">
        <v>0</v>
      </c>
      <c r="Q37" s="138" t="n">
        <f aca="false">1.57*1.02</f>
        <v>1.6014</v>
      </c>
      <c r="R37" s="138" t="n">
        <v>3.22</v>
      </c>
      <c r="S37" s="145" t="n">
        <v>0</v>
      </c>
      <c r="T37" s="104" t="n">
        <f aca="false">M37-(Q37+R37+S37)</f>
        <v>-0.221400000000001</v>
      </c>
      <c r="U37" s="140" t="n">
        <v>143</v>
      </c>
      <c r="V37" s="140" t="n">
        <v>0</v>
      </c>
      <c r="W37" s="141" t="n">
        <f aca="false">M37-N37-P37-O37-Q37-R37-S37-T37+U37+V37</f>
        <v>143</v>
      </c>
      <c r="X37" s="105"/>
      <c r="Y37" s="105"/>
      <c r="Z37" s="105"/>
      <c r="AA37" s="140" t="n">
        <v>0</v>
      </c>
      <c r="AB37" s="142"/>
      <c r="AC37" s="143"/>
      <c r="AD37" s="140" t="n">
        <v>23</v>
      </c>
      <c r="AE37" s="105" t="n">
        <f aca="false">AE36-AD37</f>
        <v>3214</v>
      </c>
      <c r="AF37" s="140" t="n">
        <f aca="false">N37+O37+P37+Q37+R37+S37+T37+W37+AA37+AD37</f>
        <v>170.6</v>
      </c>
      <c r="AG37" s="140" t="n">
        <f aca="false">IF(L37&lt;0,L37*-1,0)</f>
        <v>7.94504663473658</v>
      </c>
      <c r="AH37" s="140" t="n">
        <f aca="false">AF37+AG37</f>
        <v>178.545046634737</v>
      </c>
      <c r="AI37" s="108" t="n">
        <v>0</v>
      </c>
      <c r="AJ37" s="109" t="n">
        <v>48</v>
      </c>
      <c r="AK37" s="110" t="n">
        <v>27</v>
      </c>
      <c r="AL37" s="111" t="n">
        <f aca="false">W37*1.9835+AL36</f>
        <v>8538.595885</v>
      </c>
      <c r="AM37" s="111"/>
      <c r="AN37" s="112"/>
      <c r="AO37" s="112"/>
      <c r="AP37" s="112"/>
    </row>
    <row r="38" customFormat="false" ht="12.95" hidden="false" customHeight="true" outlineLevel="0" collapsed="false">
      <c r="A38" s="18" t="n">
        <f aca="false">A37+1</f>
        <v>27</v>
      </c>
      <c r="B38" s="132" t="n">
        <v>6895.71</v>
      </c>
      <c r="C38" s="99" t="n">
        <v>268023</v>
      </c>
      <c r="D38" s="133" t="n">
        <f aca="false">C38-C37</f>
        <v>-106</v>
      </c>
      <c r="E38" s="99" t="n">
        <f aca="false">C38-152000</f>
        <v>116023</v>
      </c>
      <c r="F38" s="134" t="n">
        <f aca="false">D38/$D$2</f>
        <v>-53.4408873203932</v>
      </c>
      <c r="G38" s="10" t="n">
        <v>108</v>
      </c>
      <c r="H38" s="12" t="n">
        <v>1</v>
      </c>
      <c r="I38" s="10" t="n">
        <f aca="false">G38+H38</f>
        <v>109</v>
      </c>
      <c r="J38" s="135" t="n">
        <f aca="false">IF(L38&gt;0,L38,0)</f>
        <v>0</v>
      </c>
      <c r="K38" s="10" t="n">
        <f aca="false">I38+J38</f>
        <v>109</v>
      </c>
      <c r="L38" s="10" t="n">
        <f aca="false">F38-(I38-AF38)</f>
        <v>-22.5408873203932</v>
      </c>
      <c r="M38" s="136" t="n">
        <v>3.9</v>
      </c>
      <c r="N38" s="137" t="n">
        <v>0</v>
      </c>
      <c r="O38" s="137" t="n">
        <v>0</v>
      </c>
      <c r="P38" s="102" t="n">
        <v>0</v>
      </c>
      <c r="Q38" s="138" t="n">
        <f aca="false">1.57*1.02</f>
        <v>1.6014</v>
      </c>
      <c r="R38" s="138" t="n">
        <v>3.42</v>
      </c>
      <c r="S38" s="145" t="n">
        <v>0</v>
      </c>
      <c r="T38" s="104" t="n">
        <f aca="false">M38-(Q38+R38+S38)</f>
        <v>-1.1214</v>
      </c>
      <c r="U38" s="140" t="n">
        <v>113</v>
      </c>
      <c r="V38" s="140" t="n">
        <v>0</v>
      </c>
      <c r="W38" s="141" t="n">
        <f aca="false">M38-N38-P38-O38-Q38-R38-S38-T38+U38+V38</f>
        <v>113</v>
      </c>
      <c r="X38" s="105"/>
      <c r="Y38" s="105"/>
      <c r="Z38" s="105"/>
      <c r="AA38" s="140" t="n">
        <v>0</v>
      </c>
      <c r="AB38" s="142"/>
      <c r="AC38" s="143"/>
      <c r="AD38" s="140" t="n">
        <v>23</v>
      </c>
      <c r="AE38" s="105" t="n">
        <f aca="false">AE37-AD38</f>
        <v>3191</v>
      </c>
      <c r="AF38" s="140" t="n">
        <f aca="false">N38+O38+P38+Q38+R38+S38+T38+W38+AA38+AD38</f>
        <v>139.9</v>
      </c>
      <c r="AG38" s="140" t="n">
        <f aca="false">IF(L38&lt;0,L38*-1,0)</f>
        <v>22.5408873203932</v>
      </c>
      <c r="AH38" s="140" t="n">
        <f aca="false">AF38+AG38</f>
        <v>162.440887320393</v>
      </c>
      <c r="AI38" s="108" t="n">
        <v>0</v>
      </c>
      <c r="AJ38" s="109" t="n">
        <v>41</v>
      </c>
      <c r="AK38" s="110" t="n">
        <v>29</v>
      </c>
      <c r="AL38" s="111" t="n">
        <f aca="false">W38*1.9835+AL37</f>
        <v>8762.731385</v>
      </c>
      <c r="AM38" s="111"/>
      <c r="AN38" s="112"/>
      <c r="AO38" s="112"/>
      <c r="AP38" s="112"/>
    </row>
    <row r="39" customFormat="false" ht="12.95" hidden="false" customHeight="true" outlineLevel="0" collapsed="false">
      <c r="A39" s="18" t="n">
        <f aca="false">A38+1</f>
        <v>28</v>
      </c>
      <c r="B39" s="132" t="n">
        <v>6895.77</v>
      </c>
      <c r="C39" s="99" t="n">
        <v>268236</v>
      </c>
      <c r="D39" s="133" t="n">
        <f aca="false">C39-C38</f>
        <v>213</v>
      </c>
      <c r="E39" s="99" t="n">
        <f aca="false">C39-152000</f>
        <v>116236</v>
      </c>
      <c r="F39" s="134" t="n">
        <f aca="false">D39/$D$2</f>
        <v>107.38593395513</v>
      </c>
      <c r="G39" s="10" t="n">
        <v>108</v>
      </c>
      <c r="H39" s="12" t="n">
        <v>1.1</v>
      </c>
      <c r="I39" s="10" t="n">
        <f aca="false">G39+H39</f>
        <v>109.1</v>
      </c>
      <c r="J39" s="135" t="n">
        <f aca="false">IF(L39&gt;0,L39,0)</f>
        <v>54.6859339551298</v>
      </c>
      <c r="K39" s="10" t="n">
        <f aca="false">I39+J39</f>
        <v>163.78593395513</v>
      </c>
      <c r="L39" s="10" t="n">
        <f aca="false">F39-(I39-AF39)</f>
        <v>54.6859339551298</v>
      </c>
      <c r="M39" s="136" t="n">
        <v>3.4</v>
      </c>
      <c r="N39" s="137" t="n">
        <v>0</v>
      </c>
      <c r="O39" s="137" t="n">
        <v>0</v>
      </c>
      <c r="P39" s="102" t="n">
        <v>0</v>
      </c>
      <c r="Q39" s="138" t="n">
        <f aca="false">1.57*1.02</f>
        <v>1.6014</v>
      </c>
      <c r="R39" s="138" t="n">
        <v>3.35</v>
      </c>
      <c r="S39" s="145" t="n">
        <v>0</v>
      </c>
      <c r="T39" s="104" t="n">
        <f aca="false">M39-(Q39+R39+S39)</f>
        <v>-1.5514</v>
      </c>
      <c r="U39" s="140" t="n">
        <v>30</v>
      </c>
      <c r="V39" s="140" t="n">
        <v>0</v>
      </c>
      <c r="W39" s="141" t="n">
        <f aca="false">M39-N39-P39-O39-Q39-R39-S39-T39+U39+V39</f>
        <v>30</v>
      </c>
      <c r="X39" s="105"/>
      <c r="Y39" s="105"/>
      <c r="Z39" s="105"/>
      <c r="AA39" s="140" t="n">
        <v>0</v>
      </c>
      <c r="AB39" s="142"/>
      <c r="AC39" s="143"/>
      <c r="AD39" s="140" t="n">
        <v>23</v>
      </c>
      <c r="AE39" s="105" t="n">
        <f aca="false">AE38-AD39</f>
        <v>3168</v>
      </c>
      <c r="AF39" s="140" t="n">
        <f aca="false">N39+O39+P39+Q39+R39+S39+T39+W39+AA39+AD39</f>
        <v>56.4</v>
      </c>
      <c r="AG39" s="140" t="n">
        <f aca="false">IF(L39&lt;0,L39*-1,0)</f>
        <v>0</v>
      </c>
      <c r="AH39" s="140" t="n">
        <f aca="false">AF39+AG39</f>
        <v>56.4</v>
      </c>
      <c r="AI39" s="108" t="n">
        <v>0.16</v>
      </c>
      <c r="AJ39" s="109" t="n">
        <v>39</v>
      </c>
      <c r="AK39" s="110" t="n">
        <v>19</v>
      </c>
      <c r="AL39" s="111" t="n">
        <f aca="false">W39*1.9835+AL38</f>
        <v>8822.236385</v>
      </c>
      <c r="AM39" s="111"/>
      <c r="AN39" s="112"/>
      <c r="AO39" s="112"/>
      <c r="AP39" s="112"/>
    </row>
    <row r="40" customFormat="false" ht="12.95" hidden="false" customHeight="true" outlineLevel="0" collapsed="false">
      <c r="A40" s="18" t="n">
        <f aca="false">A39+1</f>
        <v>29</v>
      </c>
      <c r="B40" s="132" t="n">
        <v>6895.82</v>
      </c>
      <c r="C40" s="99" t="n">
        <v>268414</v>
      </c>
      <c r="D40" s="133" t="n">
        <f aca="false">C40-C39</f>
        <v>178</v>
      </c>
      <c r="E40" s="99" t="n">
        <f aca="false">C40-152000</f>
        <v>116414</v>
      </c>
      <c r="F40" s="134" t="n">
        <f aca="false">D40/$D$2</f>
        <v>89.7403579531132</v>
      </c>
      <c r="G40" s="10" t="n">
        <v>103</v>
      </c>
      <c r="H40" s="12" t="n">
        <v>1.2</v>
      </c>
      <c r="I40" s="10" t="n">
        <f aca="false">G40+H40</f>
        <v>104.2</v>
      </c>
      <c r="J40" s="135" t="n">
        <f aca="false">IF(L40&gt;0,L40,0)</f>
        <v>11.9403579531132</v>
      </c>
      <c r="K40" s="10" t="n">
        <f aca="false">I40+J40</f>
        <v>116.140357953113</v>
      </c>
      <c r="L40" s="10" t="n">
        <f aca="false">F40-(I40-AF40)</f>
        <v>11.9403579531132</v>
      </c>
      <c r="M40" s="136" t="n">
        <v>3.4</v>
      </c>
      <c r="N40" s="137" t="n">
        <v>0</v>
      </c>
      <c r="O40" s="137" t="n">
        <v>0</v>
      </c>
      <c r="P40" s="102" t="n">
        <v>0</v>
      </c>
      <c r="Q40" s="138" t="n">
        <f aca="false">1.57*1.02</f>
        <v>1.6014</v>
      </c>
      <c r="R40" s="138" t="n">
        <v>0.05</v>
      </c>
      <c r="S40" s="145" t="n">
        <v>0</v>
      </c>
      <c r="T40" s="104" t="n">
        <f aca="false">M40-(Q40+R40+S40)</f>
        <v>1.7486</v>
      </c>
      <c r="U40" s="140" t="n">
        <v>0</v>
      </c>
      <c r="V40" s="140" t="n">
        <v>0</v>
      </c>
      <c r="W40" s="141" t="n">
        <f aca="false">M40-N40-P40-O40-Q40-R40-S40-T40+U40+V40</f>
        <v>0</v>
      </c>
      <c r="X40" s="105"/>
      <c r="Y40" s="105"/>
      <c r="Z40" s="105"/>
      <c r="AA40" s="140" t="n">
        <v>0</v>
      </c>
      <c r="AB40" s="142"/>
      <c r="AC40" s="143"/>
      <c r="AD40" s="140" t="n">
        <v>23</v>
      </c>
      <c r="AE40" s="105" t="n">
        <f aca="false">AE39-AD40</f>
        <v>3145</v>
      </c>
      <c r="AF40" s="140" t="n">
        <f aca="false">N40+O40+P40+Q40+R40+S40+T40+W40+AA40+AD40</f>
        <v>26.4</v>
      </c>
      <c r="AG40" s="140" t="n">
        <f aca="false">IF(L40&lt;0,L40*-1,0)</f>
        <v>0</v>
      </c>
      <c r="AH40" s="140" t="n">
        <f aca="false">AF40+AG40</f>
        <v>26.4</v>
      </c>
      <c r="AI40" s="108" t="n">
        <v>0</v>
      </c>
      <c r="AJ40" s="147" t="n">
        <v>23</v>
      </c>
      <c r="AK40" s="110" t="n">
        <v>7</v>
      </c>
      <c r="AL40" s="111" t="n">
        <f aca="false">W40*1.9835+AL39</f>
        <v>8822.236385</v>
      </c>
      <c r="AM40" s="111"/>
      <c r="AN40" s="112"/>
      <c r="AO40" s="112"/>
      <c r="AP40" s="112"/>
    </row>
    <row r="41" customFormat="false" ht="12.95" hidden="false" customHeight="true" outlineLevel="0" collapsed="false">
      <c r="A41" s="18" t="n">
        <v>30</v>
      </c>
      <c r="B41" s="132" t="n">
        <v>6895.84</v>
      </c>
      <c r="C41" s="99" t="n">
        <v>268485</v>
      </c>
      <c r="D41" s="133" t="n">
        <f aca="false">C41-C40</f>
        <v>71</v>
      </c>
      <c r="E41" s="99" t="n">
        <f aca="false">C41-152000</f>
        <v>116485</v>
      </c>
      <c r="F41" s="134" t="n">
        <f aca="false">D41/$D$2</f>
        <v>35.7953113183766</v>
      </c>
      <c r="G41" s="10" t="n">
        <v>97</v>
      </c>
      <c r="H41" s="12" t="n">
        <v>1.2</v>
      </c>
      <c r="I41" s="10" t="n">
        <f aca="false">G41+H41</f>
        <v>98.2</v>
      </c>
      <c r="J41" s="135" t="n">
        <f aca="false">IF(L41&gt;0,L41,0)</f>
        <v>0</v>
      </c>
      <c r="K41" s="10" t="n">
        <f aca="false">I41+J41</f>
        <v>98.2</v>
      </c>
      <c r="L41" s="10" t="n">
        <f aca="false">F41-(I41-AF41)</f>
        <v>-36.0046886816234</v>
      </c>
      <c r="M41" s="136" t="n">
        <v>3.4</v>
      </c>
      <c r="N41" s="137" t="n">
        <v>0</v>
      </c>
      <c r="O41" s="137" t="n">
        <v>0</v>
      </c>
      <c r="P41" s="102" t="n">
        <v>0</v>
      </c>
      <c r="Q41" s="138" t="n">
        <f aca="false">1.57*1.02</f>
        <v>1.6014</v>
      </c>
      <c r="R41" s="138" t="n">
        <v>2.3</v>
      </c>
      <c r="S41" s="145" t="n">
        <v>0</v>
      </c>
      <c r="T41" s="104" t="n">
        <f aca="false">M41-(Q41+R41+S41)</f>
        <v>-0.5014</v>
      </c>
      <c r="U41" s="140" t="n">
        <v>0</v>
      </c>
      <c r="V41" s="140" t="n">
        <v>0</v>
      </c>
      <c r="W41" s="141" t="n">
        <f aca="false">M41-N41-P41-O41-Q41-R41-S41-T41+U41+V41</f>
        <v>0</v>
      </c>
      <c r="X41" s="105"/>
      <c r="Y41" s="105"/>
      <c r="Z41" s="105"/>
      <c r="AA41" s="140" t="n">
        <v>0</v>
      </c>
      <c r="AB41" s="142"/>
      <c r="AC41" s="143"/>
      <c r="AD41" s="140" t="n">
        <v>23</v>
      </c>
      <c r="AE41" s="105" t="n">
        <f aca="false">AE40-AD41</f>
        <v>3122</v>
      </c>
      <c r="AF41" s="140" t="n">
        <f aca="false">N41+O41+P41+Q41+R41+S41+T41+W41+AA41+AD41</f>
        <v>26.4</v>
      </c>
      <c r="AG41" s="140" t="n">
        <f aca="false">IF(L41&lt;0,L41*-1,0)</f>
        <v>36.0046886816234</v>
      </c>
      <c r="AH41" s="140" t="n">
        <f aca="false">AF41+AG41</f>
        <v>62.4046886816234</v>
      </c>
      <c r="AI41" s="108" t="n">
        <v>0</v>
      </c>
      <c r="AJ41" s="147" t="n">
        <v>30</v>
      </c>
      <c r="AK41" s="110" t="n">
        <v>0</v>
      </c>
      <c r="AL41" s="111" t="n">
        <f aca="false">W41*1.9835+AL40</f>
        <v>8822.236385</v>
      </c>
      <c r="AM41" s="111"/>
      <c r="AN41" s="112"/>
      <c r="AO41" s="112"/>
      <c r="AP41" s="112"/>
    </row>
    <row r="42" customFormat="false" ht="3" hidden="false" customHeight="true" outlineLevel="0" collapsed="false">
      <c r="A42" s="116"/>
      <c r="B42" s="149"/>
      <c r="C42" s="118"/>
      <c r="D42" s="116"/>
      <c r="E42" s="118"/>
      <c r="F42" s="119"/>
      <c r="G42" s="116"/>
      <c r="H42" s="120"/>
      <c r="I42" s="116"/>
      <c r="J42" s="116"/>
      <c r="K42" s="116"/>
      <c r="L42" s="116"/>
      <c r="M42" s="121"/>
      <c r="N42" s="116"/>
      <c r="O42" s="116"/>
      <c r="P42" s="122"/>
      <c r="Q42" s="123"/>
      <c r="R42" s="123"/>
      <c r="S42" s="123"/>
      <c r="T42" s="124"/>
      <c r="U42" s="123"/>
      <c r="V42" s="123"/>
      <c r="W42" s="123"/>
      <c r="X42" s="125"/>
      <c r="Y42" s="125"/>
      <c r="Z42" s="125"/>
      <c r="AA42" s="123"/>
      <c r="AB42" s="126"/>
      <c r="AC42" s="127"/>
      <c r="AD42" s="123"/>
      <c r="AE42" s="123"/>
      <c r="AF42" s="123"/>
      <c r="AG42" s="123"/>
      <c r="AH42" s="123"/>
      <c r="AI42" s="128"/>
      <c r="AJ42" s="129"/>
      <c r="AK42" s="130"/>
      <c r="AL42" s="131"/>
      <c r="AM42" s="131"/>
      <c r="AN42" s="129"/>
      <c r="AO42" s="129"/>
      <c r="AP42" s="129"/>
      <c r="AQ42" s="129"/>
    </row>
    <row r="43" customFormat="false" ht="12.95" hidden="false" customHeight="true" outlineLevel="0" collapsed="false">
      <c r="A43" s="19" t="s">
        <v>77</v>
      </c>
      <c r="B43" s="98"/>
      <c r="C43" s="99"/>
      <c r="D43" s="99"/>
      <c r="E43" s="99"/>
      <c r="F43" s="100" t="n">
        <f aca="false">SUM(F12:F41)</f>
        <v>-1228.13208974036</v>
      </c>
      <c r="G43" s="11" t="n">
        <f aca="false">SUM(G12:G41)</f>
        <v>4795</v>
      </c>
      <c r="H43" s="11" t="n">
        <f aca="false">SUM(H12:H41)</f>
        <v>78.1</v>
      </c>
      <c r="I43" s="11" t="n">
        <f aca="false">SUM(I12:I41)</f>
        <v>4873.1</v>
      </c>
      <c r="J43" s="11" t="n">
        <f aca="false">SUM(J12:J41)</f>
        <v>127.783362742627</v>
      </c>
      <c r="K43" s="11" t="n">
        <f aca="false">SUM(K12:K41)</f>
        <v>5000.88336274263</v>
      </c>
      <c r="L43" s="11" t="n">
        <f aca="false">SUM(L12:L41)</f>
        <v>-349.032089740358</v>
      </c>
      <c r="M43" s="101" t="n">
        <f aca="false">SUM(M12:M41)</f>
        <v>288</v>
      </c>
      <c r="N43" s="99" t="n">
        <f aca="false">SUM(N12:N41)</f>
        <v>0</v>
      </c>
      <c r="O43" s="99" t="n">
        <f aca="false">SUM(O12:O41)</f>
        <v>0</v>
      </c>
      <c r="P43" s="102"/>
      <c r="Q43" s="103" t="n">
        <f aca="false">SUM(Q12:Q41)</f>
        <v>48.042</v>
      </c>
      <c r="R43" s="103" t="n">
        <f aca="false">SUM(R12:R41)</f>
        <v>72.48</v>
      </c>
      <c r="S43" s="103" t="n">
        <f aca="false">SUM(S13:S41)</f>
        <v>0</v>
      </c>
      <c r="T43" s="104" t="n">
        <f aca="false">SUM(T13:T41)</f>
        <v>9.70059999999999</v>
      </c>
      <c r="U43" s="105" t="n">
        <f aca="false">SUM(U12:U41)</f>
        <v>4691</v>
      </c>
      <c r="V43" s="105" t="n">
        <f aca="false">SUM(V12:V41)</f>
        <v>76.2</v>
      </c>
      <c r="W43" s="105" t="n">
        <f aca="false">SUM(W12:W41)-AM43</f>
        <v>4447.81</v>
      </c>
      <c r="X43" s="105"/>
      <c r="Y43" s="105"/>
      <c r="Z43" s="105"/>
      <c r="AA43" s="105"/>
      <c r="AB43" s="106"/>
      <c r="AC43" s="107"/>
      <c r="AD43" s="105" t="n">
        <f aca="false">SUM(AD12:AD41)</f>
        <v>697</v>
      </c>
      <c r="AE43" s="105"/>
      <c r="AF43" s="105" t="n">
        <f aca="false">SUM(AF12:AF41)</f>
        <v>5752.2</v>
      </c>
      <c r="AG43" s="105" t="n">
        <f aca="false">SUM(AG12:AG41)</f>
        <v>476.815452482985</v>
      </c>
      <c r="AH43" s="105" t="n">
        <f aca="false">SUM(AH12:AH41)</f>
        <v>6229.01545248299</v>
      </c>
      <c r="AI43" s="108" t="n">
        <f aca="false">SUM(AI12:AI41)</f>
        <v>0.43</v>
      </c>
      <c r="AJ43" s="109" t="n">
        <f aca="false">AVERAGE(AJ12:AJ41)</f>
        <v>52.1333333333333</v>
      </c>
      <c r="AK43" s="110" t="n">
        <f aca="false">AVERAGE(AK12:AK42)</f>
        <v>27.4333333333333</v>
      </c>
      <c r="AL43" s="111" t="s">
        <v>78</v>
      </c>
      <c r="AM43" s="111" t="n">
        <f aca="false">SUM(AM12:AM41)</f>
        <v>475.8688</v>
      </c>
      <c r="AN43" s="112"/>
      <c r="AO43" s="112"/>
      <c r="AP43" s="112"/>
    </row>
    <row r="44" customFormat="false" ht="12.95" hidden="false" customHeight="true" outlineLevel="0" collapsed="false">
      <c r="A44" s="19" t="s">
        <v>79</v>
      </c>
      <c r="B44" s="98"/>
      <c r="C44" s="99"/>
      <c r="D44" s="99" t="n">
        <f aca="false">SUM(D12:D41)</f>
        <v>-2436</v>
      </c>
      <c r="E44" s="99"/>
      <c r="F44" s="100" t="n">
        <f aca="false">F43*$D$2</f>
        <v>-2436</v>
      </c>
      <c r="G44" s="11" t="n">
        <f aca="false">G43*$D$2</f>
        <v>9510.8825</v>
      </c>
      <c r="H44" s="11" t="n">
        <f aca="false">H43*$D$2</f>
        <v>154.91135</v>
      </c>
      <c r="I44" s="11" t="n">
        <f aca="false">I43*$D$2</f>
        <v>9665.79385</v>
      </c>
      <c r="J44" s="11" t="n">
        <f aca="false">J43*$D$2</f>
        <v>253.4583</v>
      </c>
      <c r="K44" s="11" t="n">
        <f aca="false">K43*$D$2</f>
        <v>9919.25215</v>
      </c>
      <c r="L44" s="11" t="n">
        <f aca="false">L43*$D$2</f>
        <v>-692.30515</v>
      </c>
      <c r="M44" s="101" t="n">
        <f aca="false">M43*$D$2</f>
        <v>571.248</v>
      </c>
      <c r="N44" s="99" t="n">
        <f aca="false">N43*$D$2</f>
        <v>0</v>
      </c>
      <c r="O44" s="99" t="n">
        <f aca="false">O43*$D$2</f>
        <v>0</v>
      </c>
      <c r="P44" s="102"/>
      <c r="Q44" s="103" t="n">
        <f aca="false">Q43*$D$2</f>
        <v>95.291307</v>
      </c>
      <c r="R44" s="103" t="n">
        <f aca="false">R43*$D$2</f>
        <v>143.76408</v>
      </c>
      <c r="S44" s="103" t="n">
        <f aca="false">S43*$D$2</f>
        <v>0</v>
      </c>
      <c r="T44" s="104" t="n">
        <f aca="false">T43*$D$2</f>
        <v>19.2411401</v>
      </c>
      <c r="U44" s="105" t="n">
        <f aca="false">U43*$D$2</f>
        <v>9304.5985</v>
      </c>
      <c r="V44" s="105" t="n">
        <f aca="false">V43*$D$2</f>
        <v>151.1427</v>
      </c>
      <c r="W44" s="105" t="n">
        <f aca="false">W43*$D$2</f>
        <v>8822.231135</v>
      </c>
      <c r="X44" s="105"/>
      <c r="Y44" s="105"/>
      <c r="Z44" s="105"/>
      <c r="AA44" s="105"/>
      <c r="AB44" s="106"/>
      <c r="AC44" s="107"/>
      <c r="AD44" s="105" t="n">
        <f aca="false">AD43*$D$2</f>
        <v>1382.4995</v>
      </c>
      <c r="AE44" s="105"/>
      <c r="AF44" s="105" t="n">
        <f aca="false">AF43*$D$2</f>
        <v>11409.4887</v>
      </c>
      <c r="AG44" s="105" t="n">
        <f aca="false">AG43*$D$2</f>
        <v>945.76345</v>
      </c>
      <c r="AH44" s="150" t="n">
        <f aca="false">AH43*$D$2</f>
        <v>12355.25215</v>
      </c>
      <c r="AI44" s="151"/>
      <c r="AJ44" s="109" t="n">
        <f aca="false">MAX(AJ12:AJ41)</f>
        <v>70</v>
      </c>
      <c r="AK44" s="110" t="n">
        <f aca="false">MAX(AK12:AK42)</f>
        <v>37</v>
      </c>
      <c r="AL44" s="111" t="s">
        <v>80</v>
      </c>
      <c r="AM44" s="111" t="n">
        <f aca="false">AM43*$D$2</f>
        <v>943.8857648</v>
      </c>
      <c r="AN44" s="112"/>
      <c r="AO44" s="112"/>
      <c r="AP44" s="112"/>
    </row>
    <row r="45" customFormat="false" ht="3" hidden="false" customHeight="true" outlineLevel="0" collapsed="false">
      <c r="A45" s="152"/>
      <c r="B45" s="149"/>
      <c r="C45" s="118"/>
      <c r="D45" s="118"/>
      <c r="E45" s="118"/>
      <c r="F45" s="153"/>
      <c r="G45" s="118"/>
      <c r="H45" s="118"/>
      <c r="I45" s="118"/>
      <c r="J45" s="118"/>
      <c r="K45" s="118"/>
      <c r="L45" s="118"/>
      <c r="M45" s="154"/>
      <c r="N45" s="118"/>
      <c r="O45" s="118"/>
      <c r="P45" s="122"/>
      <c r="Q45" s="125"/>
      <c r="R45" s="125"/>
      <c r="S45" s="125"/>
      <c r="T45" s="124"/>
      <c r="U45" s="125"/>
      <c r="V45" s="125"/>
      <c r="W45" s="125"/>
      <c r="X45" s="125"/>
      <c r="Y45" s="125"/>
      <c r="Z45" s="125"/>
      <c r="AA45" s="125"/>
      <c r="AB45" s="155"/>
      <c r="AC45" s="156"/>
      <c r="AD45" s="125"/>
      <c r="AE45" s="123"/>
      <c r="AF45" s="125"/>
      <c r="AG45" s="125"/>
      <c r="AH45" s="157"/>
      <c r="AI45" s="125"/>
      <c r="AJ45" s="125"/>
      <c r="AK45" s="157"/>
      <c r="AL45" s="131"/>
      <c r="AM45" s="131"/>
      <c r="AN45" s="125"/>
      <c r="AO45" s="125"/>
      <c r="AP45" s="125"/>
      <c r="AQ45" s="125"/>
    </row>
    <row r="46" customFormat="false" ht="12.95" hidden="false" customHeight="true" outlineLevel="0" collapsed="false">
      <c r="A46" s="19" t="s">
        <v>81</v>
      </c>
      <c r="B46" s="98"/>
      <c r="C46" s="99"/>
      <c r="D46" s="99"/>
      <c r="E46" s="99"/>
      <c r="F46" s="100"/>
      <c r="G46" s="11"/>
      <c r="H46" s="17"/>
      <c r="I46" s="11"/>
      <c r="J46" s="11"/>
      <c r="K46" s="11"/>
      <c r="L46" s="11"/>
      <c r="M46" s="101"/>
      <c r="N46" s="99"/>
      <c r="O46" s="99"/>
      <c r="P46" s="102"/>
      <c r="Q46" s="103"/>
      <c r="R46" s="103"/>
      <c r="S46" s="103"/>
      <c r="T46" s="104"/>
      <c r="U46" s="105"/>
      <c r="V46" s="105"/>
      <c r="W46" s="105"/>
      <c r="X46" s="105"/>
      <c r="Y46" s="105"/>
      <c r="Z46" s="105"/>
      <c r="AA46" s="105"/>
      <c r="AB46" s="106"/>
      <c r="AC46" s="107"/>
      <c r="AD46" s="105"/>
      <c r="AE46" s="105"/>
      <c r="AF46" s="105"/>
      <c r="AG46" s="105"/>
      <c r="AH46" s="150"/>
      <c r="AI46" s="151"/>
      <c r="AJ46" s="109" t="n">
        <f aca="false">MIN(AJ12:AJ41)</f>
        <v>23</v>
      </c>
      <c r="AK46" s="110" t="n">
        <f aca="false">MIN(AK12:AK42)</f>
        <v>0</v>
      </c>
      <c r="AL46" s="111" t="s">
        <v>82</v>
      </c>
      <c r="AM46" s="111"/>
      <c r="AN46" s="112"/>
      <c r="AO46" s="112"/>
      <c r="AP46" s="112"/>
    </row>
    <row r="47" customFormat="false" ht="12.95" hidden="false" customHeight="true" outlineLevel="0" collapsed="false">
      <c r="A47" s="19" t="s">
        <v>83</v>
      </c>
      <c r="B47" s="98"/>
      <c r="C47" s="99"/>
      <c r="D47" s="99"/>
      <c r="E47" s="99"/>
      <c r="F47" s="100"/>
      <c r="G47" s="11"/>
      <c r="H47" s="17"/>
      <c r="I47" s="11"/>
      <c r="J47" s="11"/>
      <c r="K47" s="11"/>
      <c r="L47" s="11"/>
      <c r="M47" s="101"/>
      <c r="N47" s="99"/>
      <c r="O47" s="99"/>
      <c r="P47" s="102"/>
      <c r="Q47" s="103"/>
      <c r="R47" s="103"/>
      <c r="S47" s="103"/>
      <c r="T47" s="104"/>
      <c r="U47" s="105"/>
      <c r="V47" s="105"/>
      <c r="W47" s="105"/>
      <c r="X47" s="105"/>
      <c r="Y47" s="105"/>
      <c r="Z47" s="105"/>
      <c r="AA47" s="105"/>
      <c r="AB47" s="106"/>
      <c r="AC47" s="107"/>
      <c r="AD47" s="105"/>
      <c r="AE47" s="105"/>
      <c r="AF47" s="105"/>
      <c r="AG47" s="105"/>
      <c r="AH47" s="105"/>
      <c r="AI47" s="108"/>
      <c r="AJ47" s="109"/>
      <c r="AK47" s="110"/>
      <c r="AL47" s="111"/>
      <c r="AM47" s="111"/>
      <c r="AN47" s="112"/>
      <c r="AO47" s="112"/>
      <c r="AP47" s="112"/>
    </row>
    <row r="48" customFormat="false" ht="3" hidden="false" customHeight="true" outlineLevel="0" collapsed="false">
      <c r="A48" s="152"/>
      <c r="B48" s="149"/>
      <c r="C48" s="118"/>
      <c r="D48" s="118"/>
      <c r="E48" s="118"/>
      <c r="F48" s="153"/>
      <c r="G48" s="118"/>
      <c r="H48" s="158"/>
      <c r="I48" s="118"/>
      <c r="J48" s="118"/>
      <c r="K48" s="118"/>
      <c r="L48" s="118"/>
      <c r="M48" s="154"/>
      <c r="N48" s="118"/>
      <c r="O48" s="118"/>
      <c r="P48" s="122"/>
      <c r="Q48" s="125"/>
      <c r="R48" s="125"/>
      <c r="S48" s="125"/>
      <c r="T48" s="124"/>
      <c r="U48" s="125"/>
      <c r="V48" s="125"/>
      <c r="W48" s="125"/>
      <c r="X48" s="125"/>
      <c r="Y48" s="125"/>
      <c r="Z48" s="125"/>
      <c r="AA48" s="125"/>
      <c r="AB48" s="155"/>
      <c r="AC48" s="156"/>
      <c r="AD48" s="125"/>
      <c r="AE48" s="125"/>
      <c r="AF48" s="125"/>
      <c r="AG48" s="125"/>
      <c r="AH48" s="125"/>
      <c r="AI48" s="128"/>
      <c r="AJ48" s="125"/>
      <c r="AK48" s="157"/>
      <c r="AL48" s="131"/>
      <c r="AM48" s="131"/>
      <c r="AN48" s="125"/>
      <c r="AO48" s="125"/>
      <c r="AP48" s="125"/>
      <c r="AQ48" s="125"/>
    </row>
    <row r="49" customFormat="false" ht="12.95" hidden="false" customHeight="true" outlineLevel="0" collapsed="false">
      <c r="A49" s="19" t="s">
        <v>84</v>
      </c>
      <c r="B49" s="98"/>
      <c r="C49" s="99"/>
      <c r="D49" s="99"/>
      <c r="E49" s="99"/>
      <c r="F49" s="100" t="n">
        <f aca="false">F10+F43</f>
        <v>-1228.13208974036</v>
      </c>
      <c r="G49" s="11" t="n">
        <f aca="false">G10+G43</f>
        <v>4795</v>
      </c>
      <c r="H49" s="17" t="n">
        <f aca="false">H10+H43</f>
        <v>78.1</v>
      </c>
      <c r="I49" s="11" t="n">
        <f aca="false">I10+I43</f>
        <v>4873.1</v>
      </c>
      <c r="J49" s="11" t="n">
        <f aca="false">J10+J43</f>
        <v>127.783362742627</v>
      </c>
      <c r="K49" s="11" t="n">
        <f aca="false">K10+K43</f>
        <v>5000.88336274263</v>
      </c>
      <c r="L49" s="11" t="n">
        <f aca="false">L10+L43</f>
        <v>-349.032089740358</v>
      </c>
      <c r="M49" s="101" t="n">
        <f aca="false">M10+M43</f>
        <v>288</v>
      </c>
      <c r="N49" s="99" t="n">
        <f aca="false">N10+N43</f>
        <v>0</v>
      </c>
      <c r="O49" s="99" t="n">
        <v>0</v>
      </c>
      <c r="P49" s="102"/>
      <c r="Q49" s="103" t="n">
        <f aca="false">Q10+Q43</f>
        <v>48.042</v>
      </c>
      <c r="R49" s="103" t="n">
        <f aca="false">R10+R43</f>
        <v>72.48</v>
      </c>
      <c r="S49" s="103" t="n">
        <f aca="false">S10+S43</f>
        <v>0</v>
      </c>
      <c r="T49" s="104" t="n">
        <f aca="false">T10+T43</f>
        <v>9.70059999999999</v>
      </c>
      <c r="U49" s="105" t="n">
        <f aca="false">U10+U43</f>
        <v>4691</v>
      </c>
      <c r="V49" s="105" t="n">
        <f aca="false">V10+V43</f>
        <v>76.2</v>
      </c>
      <c r="W49" s="105" t="n">
        <f aca="false">W10+W43</f>
        <v>4447.81</v>
      </c>
      <c r="X49" s="105"/>
      <c r="Y49" s="105"/>
      <c r="Z49" s="105"/>
      <c r="AA49" s="105"/>
      <c r="AB49" s="106"/>
      <c r="AC49" s="107"/>
      <c r="AD49" s="105" t="n">
        <f aca="false">AD10+AD43</f>
        <v>697</v>
      </c>
      <c r="AE49" s="105" t="n">
        <f aca="false">AE41</f>
        <v>3122</v>
      </c>
      <c r="AF49" s="105" t="n">
        <f aca="false">AF10+AF43</f>
        <v>5752.2</v>
      </c>
      <c r="AG49" s="105" t="n">
        <f aca="false">AG10+AG43</f>
        <v>476.815452482985</v>
      </c>
      <c r="AH49" s="105" t="n">
        <f aca="false">AH10+AH43</f>
        <v>6229.01545248299</v>
      </c>
      <c r="AI49" s="108" t="n">
        <f aca="false">AI10+AI43</f>
        <v>0.43</v>
      </c>
      <c r="AJ49" s="109"/>
      <c r="AK49" s="110"/>
      <c r="AL49" s="111"/>
      <c r="AM49" s="111" t="n">
        <f aca="false">AM10+AM43</f>
        <v>796.8688</v>
      </c>
      <c r="AN49" s="112"/>
      <c r="AO49" s="112"/>
      <c r="AP49" s="112"/>
    </row>
    <row r="50" customFormat="false" ht="12.95" hidden="false" customHeight="true" outlineLevel="0" collapsed="false">
      <c r="A50" s="19" t="s">
        <v>85</v>
      </c>
      <c r="B50" s="98"/>
      <c r="C50" s="99"/>
      <c r="D50" s="99" t="n">
        <f aca="false">D10+D44</f>
        <v>-2436</v>
      </c>
      <c r="E50" s="99" t="n">
        <f aca="false">E41</f>
        <v>116485</v>
      </c>
      <c r="F50" s="100" t="n">
        <f aca="false">F49*$D$2</f>
        <v>-2436</v>
      </c>
      <c r="G50" s="11" t="n">
        <f aca="false">G49*$D$2</f>
        <v>9510.8825</v>
      </c>
      <c r="H50" s="17" t="n">
        <f aca="false">H49*$D$2</f>
        <v>154.91135</v>
      </c>
      <c r="I50" s="11" t="n">
        <f aca="false">I49*$D$2</f>
        <v>9665.79385</v>
      </c>
      <c r="J50" s="11" t="n">
        <f aca="false">J49*$D$2</f>
        <v>253.4583</v>
      </c>
      <c r="K50" s="11" t="n">
        <f aca="false">K49*$D$2</f>
        <v>9919.25215</v>
      </c>
      <c r="L50" s="11" t="n">
        <f aca="false">L49*$D$2</f>
        <v>-692.30515</v>
      </c>
      <c r="M50" s="101" t="n">
        <f aca="false">M49*$D$2</f>
        <v>571.248</v>
      </c>
      <c r="N50" s="99" t="n">
        <f aca="false">N49*$D$2</f>
        <v>0</v>
      </c>
      <c r="O50" s="99" t="n">
        <f aca="false">O49*$D$2</f>
        <v>0</v>
      </c>
      <c r="P50" s="102"/>
      <c r="Q50" s="103" t="n">
        <f aca="false">Q49*$D$2</f>
        <v>95.291307</v>
      </c>
      <c r="R50" s="103" t="n">
        <f aca="false">R49*$D$2</f>
        <v>143.76408</v>
      </c>
      <c r="S50" s="103" t="n">
        <f aca="false">S49*$D$2</f>
        <v>0</v>
      </c>
      <c r="T50" s="104" t="n">
        <f aca="false">T49*$D$2</f>
        <v>19.2411401</v>
      </c>
      <c r="U50" s="105" t="n">
        <f aca="false">U49*$D$2</f>
        <v>9304.5985</v>
      </c>
      <c r="V50" s="105" t="n">
        <f aca="false">V49*$D$2</f>
        <v>151.1427</v>
      </c>
      <c r="W50" s="105" t="n">
        <f aca="false">W49*$D$2</f>
        <v>8822.231135</v>
      </c>
      <c r="X50" s="105"/>
      <c r="Y50" s="105"/>
      <c r="Z50" s="105"/>
      <c r="AA50" s="105"/>
      <c r="AB50" s="106"/>
      <c r="AC50" s="107"/>
      <c r="AD50" s="105" t="n">
        <f aca="false">AD49*$D$2</f>
        <v>1382.4995</v>
      </c>
      <c r="AE50" s="105" t="n">
        <f aca="false">AE49*$D$2</f>
        <v>6192.487</v>
      </c>
      <c r="AF50" s="105" t="n">
        <f aca="false">AF49*$D$2</f>
        <v>11409.4887</v>
      </c>
      <c r="AG50" s="105" t="n">
        <f aca="false">AG49*$D$2</f>
        <v>945.76345</v>
      </c>
      <c r="AH50" s="105" t="n">
        <f aca="false">AH49*$D$2</f>
        <v>12355.25215</v>
      </c>
      <c r="AI50" s="108"/>
      <c r="AJ50" s="109"/>
      <c r="AK50" s="159"/>
      <c r="AL50" s="111" t="n">
        <f aca="false">AL41</f>
        <v>8822.236385</v>
      </c>
      <c r="AM50" s="111" t="n">
        <f aca="false">AM49*$D$2</f>
        <v>1580.5892648</v>
      </c>
      <c r="AN50" s="112"/>
      <c r="AO50" s="112"/>
      <c r="AP50" s="112"/>
    </row>
    <row r="51" customFormat="false" ht="3" hidden="false" customHeight="true" outlineLevel="0" collapsed="false">
      <c r="A51" s="116"/>
      <c r="B51" s="149"/>
      <c r="C51" s="118"/>
      <c r="D51" s="116"/>
      <c r="E51" s="118"/>
      <c r="F51" s="119"/>
      <c r="G51" s="116"/>
      <c r="H51" s="120"/>
      <c r="I51" s="116"/>
      <c r="J51" s="116"/>
      <c r="K51" s="116"/>
      <c r="L51" s="116"/>
      <c r="M51" s="121"/>
      <c r="N51" s="116"/>
      <c r="O51" s="116"/>
      <c r="P51" s="122"/>
      <c r="Q51" s="116"/>
      <c r="R51" s="116"/>
      <c r="S51" s="160"/>
      <c r="T51" s="161"/>
      <c r="U51" s="116"/>
      <c r="V51" s="116"/>
      <c r="W51" s="116"/>
      <c r="X51" s="118"/>
      <c r="Y51" s="118"/>
      <c r="Z51" s="118"/>
      <c r="AA51" s="116"/>
      <c r="AB51" s="121"/>
      <c r="AC51" s="160"/>
      <c r="AD51" s="116"/>
      <c r="AE51" s="118"/>
      <c r="AF51" s="116"/>
      <c r="AG51" s="116"/>
      <c r="AH51" s="116"/>
      <c r="AI51" s="116"/>
      <c r="AJ51" s="116"/>
      <c r="AK51" s="116"/>
      <c r="AL51" s="162"/>
      <c r="AM51" s="162"/>
      <c r="AN51" s="116"/>
      <c r="AO51" s="163"/>
      <c r="AP51" s="164"/>
      <c r="AQ51" s="164"/>
    </row>
    <row r="52" customFormat="false" ht="14.1" hidden="false" customHeight="true" outlineLevel="0" collapsed="false">
      <c r="A52" s="165"/>
      <c r="B52" s="166"/>
      <c r="C52" s="11"/>
      <c r="D52" s="10"/>
      <c r="E52" s="11"/>
      <c r="F52" s="10"/>
      <c r="G52" s="10"/>
      <c r="H52" s="16"/>
      <c r="I52" s="10"/>
      <c r="J52" s="10"/>
      <c r="K52" s="10"/>
      <c r="L52" s="10"/>
      <c r="M52" s="10"/>
      <c r="N52" s="10"/>
      <c r="O52" s="10"/>
      <c r="P52" s="14"/>
      <c r="Q52" s="10"/>
      <c r="R52" s="10"/>
      <c r="S52" s="10"/>
      <c r="T52" s="15"/>
      <c r="U52" s="10"/>
      <c r="V52" s="10"/>
      <c r="W52" s="10"/>
      <c r="X52" s="11"/>
      <c r="Y52" s="11"/>
      <c r="Z52" s="11"/>
      <c r="AA52" s="10"/>
      <c r="AB52" s="10"/>
      <c r="AC52" s="10"/>
      <c r="AD52" s="10"/>
      <c r="AE52" s="11"/>
      <c r="AF52" s="10"/>
      <c r="AG52" s="10"/>
      <c r="AH52" s="16"/>
      <c r="AI52" s="16"/>
      <c r="AJ52" s="17"/>
      <c r="AK52" s="17"/>
      <c r="AL52" s="97"/>
      <c r="AM52" s="97"/>
    </row>
    <row r="53" customFormat="false" ht="11.1" hidden="false" customHeight="true" outlineLevel="0" collapsed="false">
      <c r="A53" s="10"/>
      <c r="B53" s="167"/>
      <c r="C53" s="11"/>
      <c r="D53" s="168"/>
      <c r="E53" s="11"/>
      <c r="F53" s="10"/>
      <c r="G53" s="10"/>
      <c r="H53" s="16"/>
      <c r="I53" s="12"/>
      <c r="J53" s="10"/>
      <c r="K53" s="169"/>
      <c r="L53" s="10"/>
      <c r="M53" s="10"/>
      <c r="N53" s="10"/>
      <c r="O53" s="10"/>
      <c r="P53" s="14"/>
      <c r="Q53" s="10"/>
      <c r="R53" s="10"/>
      <c r="S53" s="10"/>
      <c r="T53" s="15"/>
      <c r="U53" s="10"/>
      <c r="V53" s="10"/>
      <c r="W53" s="10"/>
      <c r="X53" s="11"/>
      <c r="Y53" s="11"/>
      <c r="Z53" s="11"/>
      <c r="AA53" s="10"/>
      <c r="AB53" s="10"/>
      <c r="AC53" s="10"/>
      <c r="AD53" s="10"/>
      <c r="AE53" s="11"/>
      <c r="AF53" s="10"/>
      <c r="AG53" s="10"/>
      <c r="AH53" s="16"/>
      <c r="AI53" s="16"/>
      <c r="AJ53" s="17"/>
      <c r="AK53" s="17"/>
      <c r="AL53" s="97"/>
      <c r="AM53" s="97"/>
    </row>
    <row r="54" customFormat="false" ht="11.1" hidden="false" customHeight="true" outlineLevel="0" collapsed="false">
      <c r="B54" s="168"/>
      <c r="C54" s="11"/>
      <c r="D54" s="11"/>
      <c r="E54" s="11"/>
      <c r="F54" s="168"/>
      <c r="G54" s="168"/>
      <c r="H54" s="16"/>
      <c r="I54" s="168"/>
      <c r="J54" s="168"/>
      <c r="K54" s="168"/>
      <c r="L54" s="168"/>
      <c r="M54" s="135"/>
      <c r="N54" s="135"/>
      <c r="O54" s="135"/>
      <c r="P54" s="14"/>
      <c r="Q54" s="135"/>
      <c r="R54" s="135"/>
      <c r="S54" s="135"/>
      <c r="T54" s="15"/>
      <c r="U54" s="168"/>
      <c r="V54" s="168"/>
      <c r="W54" s="168"/>
      <c r="X54" s="11"/>
      <c r="Y54" s="11"/>
      <c r="Z54" s="11"/>
      <c r="AA54" s="168"/>
      <c r="AB54" s="168"/>
      <c r="AC54" s="168"/>
      <c r="AD54" s="168"/>
      <c r="AE54" s="11"/>
      <c r="AF54" s="168"/>
      <c r="AG54" s="168"/>
      <c r="AH54" s="16"/>
      <c r="AI54" s="16"/>
      <c r="AJ54" s="17"/>
      <c r="AK54" s="17"/>
      <c r="AL54" s="97"/>
      <c r="AM54" s="97"/>
    </row>
    <row r="55" customFormat="false" ht="11.1" hidden="false" customHeight="true" outlineLevel="0" collapsed="false">
      <c r="A55" s="168"/>
      <c r="B55" s="14"/>
      <c r="C55" s="11"/>
      <c r="D55" s="11"/>
      <c r="E55" s="11"/>
      <c r="F55" s="168"/>
      <c r="G55" s="168"/>
      <c r="H55" s="16"/>
      <c r="I55" s="168"/>
      <c r="J55" s="168"/>
      <c r="K55" s="168"/>
      <c r="L55" s="168"/>
      <c r="M55" s="135"/>
      <c r="N55" s="135"/>
      <c r="O55" s="135"/>
      <c r="P55" s="14"/>
      <c r="Q55" s="135"/>
      <c r="R55" s="135"/>
      <c r="S55" s="135"/>
      <c r="T55" s="15"/>
      <c r="U55" s="168"/>
      <c r="V55" s="168"/>
      <c r="W55" s="168"/>
      <c r="X55" s="11"/>
      <c r="Y55" s="11"/>
      <c r="Z55" s="11"/>
      <c r="AA55" s="168"/>
      <c r="AB55" s="168"/>
      <c r="AC55" s="168"/>
      <c r="AD55" s="168"/>
      <c r="AE55" s="11"/>
      <c r="AF55" s="168"/>
      <c r="AG55" s="168"/>
      <c r="AH55" s="16"/>
      <c r="AI55" s="16"/>
      <c r="AJ55" s="17"/>
      <c r="AK55" s="17"/>
      <c r="AL55" s="97"/>
      <c r="AM55" s="97"/>
    </row>
    <row r="56" customFormat="false" ht="11.1" hidden="false" customHeight="true" outlineLevel="0" collapsed="false">
      <c r="A56" s="168"/>
      <c r="B56" s="168"/>
      <c r="C56" s="11"/>
      <c r="D56" s="168"/>
      <c r="E56" s="11"/>
      <c r="F56" s="168"/>
      <c r="G56" s="170"/>
      <c r="H56" s="16"/>
      <c r="I56" s="168"/>
      <c r="J56" s="168"/>
      <c r="K56" s="168"/>
      <c r="L56" s="168"/>
      <c r="M56" s="135"/>
      <c r="N56" s="135"/>
      <c r="O56" s="135"/>
      <c r="P56" s="14"/>
      <c r="Q56" s="135"/>
      <c r="R56" s="135"/>
      <c r="S56" s="168"/>
      <c r="T56" s="15"/>
      <c r="U56" s="168"/>
      <c r="V56" s="168"/>
      <c r="W56" s="11"/>
      <c r="X56" s="168"/>
      <c r="Y56" s="168"/>
      <c r="Z56" s="168"/>
      <c r="AA56" s="168"/>
      <c r="AB56" s="11"/>
      <c r="AC56" s="11"/>
      <c r="AD56" s="11"/>
      <c r="AE56" s="168"/>
      <c r="AF56" s="168"/>
      <c r="AG56" s="168"/>
      <c r="AH56" s="16"/>
      <c r="AI56" s="16"/>
      <c r="AJ56" s="17"/>
      <c r="AK56" s="18"/>
    </row>
  </sheetData>
  <mergeCells count="1">
    <mergeCell ref="M5:S5"/>
  </mergeCells>
  <printOptions headings="true" gridLines="true" gridLinesSet="true" horizontalCentered="true" verticalCentered="true"/>
  <pageMargins left="0.25" right="0.25" top="0.25" bottom="0" header="0.511811023622047" footer="0.511811023622047"/>
  <pageSetup paperSize="3" scale="67"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28" activePane="bottomRight" state="frozen"/>
      <selection pane="topLeft" activeCell="A1" activeCellId="0" sqref="A1"/>
      <selection pane="topRight" activeCell="B1" activeCellId="0" sqref="B1"/>
      <selection pane="bottomLeft" activeCell="A28" activeCellId="0" sqref="A28"/>
      <selection pane="bottomRight" activeCell="AD32" activeCellId="0" sqref="AD32"/>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173" width="5.66"/>
    <col collapsed="false" customWidth="true" hidden="false" outlineLevel="0" max="11" min="9" style="171" width="6.32"/>
    <col collapsed="false" customWidth="true" hidden="false" outlineLevel="0" max="12" min="12" style="171" width="7.16"/>
    <col collapsed="false" customWidth="true" hidden="false" outlineLevel="0" max="13" min="13" style="174" width="5.49"/>
    <col collapsed="false" customWidth="true" hidden="false" outlineLevel="0" max="14" min="14" style="174" width="4.49"/>
    <col collapsed="false" customWidth="true" hidden="false" outlineLevel="0" max="15" min="15" style="174" width="5.49"/>
    <col collapsed="false" customWidth="true" hidden="false" outlineLevel="0" max="16" min="16" style="173" width="4.82"/>
    <col collapsed="false" customWidth="true" hidden="false" outlineLevel="0" max="19" min="17" style="171" width="4.32"/>
    <col collapsed="false" customWidth="true" hidden="false" outlineLevel="0" max="20" min="20" style="173" width="5.49"/>
    <col collapsed="false" customWidth="true" hidden="false" outlineLevel="0" max="22" min="21" style="171" width="5.49"/>
    <col collapsed="false" customWidth="true" hidden="false" outlineLevel="0" max="23" min="23" style="172" width="6.32"/>
    <col collapsed="false" customWidth="true" hidden="false" outlineLevel="0" max="24" min="24" style="174" width="5.49"/>
    <col collapsed="false" customWidth="true" hidden="false" outlineLevel="0" max="25" min="25" style="174" width="5.66"/>
    <col collapsed="false" customWidth="true" hidden="false" outlineLevel="0" max="29" min="26" style="171" width="5.49"/>
    <col collapsed="false" customWidth="true" hidden="false" outlineLevel="0" max="30" min="30" style="172" width="6.82"/>
    <col collapsed="false" customWidth="true" hidden="false" outlineLevel="0" max="31" min="31" style="171" width="5.49"/>
    <col collapsed="false" customWidth="true" hidden="false" outlineLevel="0" max="32" min="32" style="171" width="6.32"/>
    <col collapsed="false" customWidth="true" hidden="false" outlineLevel="0" max="33" min="33" style="171" width="6.99"/>
    <col collapsed="false" customWidth="true" hidden="false" outlineLevel="0" max="34" min="34" style="173" width="6.99"/>
    <col collapsed="false" customWidth="true" hidden="false" outlineLevel="0" max="35" min="35" style="175" width="5.32"/>
    <col collapsed="false" customWidth="true" hidden="false" outlineLevel="0" max="36" min="36" style="176" width="3.82"/>
    <col collapsed="false" customWidth="true" hidden="false" outlineLevel="0" max="37" min="37" style="177" width="3.82"/>
    <col collapsed="false" customWidth="true" hidden="false" outlineLevel="0" max="38" min="38" style="171" width="5.49"/>
    <col collapsed="false" customWidth="true" hidden="false" outlineLevel="0" max="39" min="39" style="174" width="5.49"/>
    <col collapsed="false" customWidth="true" hidden="false" outlineLevel="0" max="40" min="40" style="171" width="6.32"/>
    <col collapsed="false" customWidth="true" hidden="false" outlineLevel="0" max="42" min="41" style="178" width="6.32"/>
    <col collapsed="false" customWidth="true" hidden="false" outlineLevel="0" max="43" min="43" style="171" width="6.49"/>
    <col collapsed="false" customWidth="false" hidden="false" outlineLevel="0" max="257" min="44" style="171" width="9.32"/>
  </cols>
  <sheetData>
    <row r="1" customFormat="false" ht="14.1" hidden="false" customHeight="true" outlineLevel="0" collapsed="false">
      <c r="A1" s="179"/>
      <c r="B1" s="179"/>
      <c r="C1" s="180"/>
      <c r="D1" s="179"/>
      <c r="E1" s="180"/>
      <c r="F1" s="179"/>
      <c r="G1" s="179"/>
      <c r="H1" s="181"/>
      <c r="I1" s="179"/>
      <c r="J1" s="179"/>
      <c r="K1" s="182" t="s">
        <v>0</v>
      </c>
      <c r="L1" s="179"/>
      <c r="M1" s="179"/>
      <c r="N1" s="179"/>
      <c r="O1" s="179"/>
      <c r="P1" s="181"/>
      <c r="Q1" s="179"/>
      <c r="R1" s="179"/>
      <c r="S1" s="179"/>
      <c r="T1" s="181"/>
      <c r="U1" s="179"/>
      <c r="V1" s="179"/>
      <c r="W1" s="180"/>
      <c r="X1" s="183"/>
      <c r="Y1" s="183"/>
      <c r="Z1" s="179"/>
      <c r="AA1" s="179"/>
      <c r="AB1" s="179"/>
      <c r="AC1" s="179"/>
      <c r="AD1" s="180"/>
      <c r="AE1" s="179"/>
      <c r="AF1" s="179"/>
      <c r="AG1" s="179"/>
      <c r="AH1" s="181"/>
      <c r="AI1" s="184"/>
      <c r="AJ1" s="185"/>
      <c r="AK1" s="186"/>
    </row>
    <row r="2" customFormat="false" ht="14.1" hidden="false" customHeight="true" outlineLevel="0" collapsed="false">
      <c r="A2" s="187" t="s">
        <v>1</v>
      </c>
      <c r="B2" s="179"/>
      <c r="C2" s="180"/>
      <c r="D2" s="188" t="n">
        <v>1.9835</v>
      </c>
      <c r="E2" s="180"/>
      <c r="F2" s="179"/>
      <c r="G2" s="179"/>
      <c r="H2" s="181"/>
      <c r="I2" s="179"/>
      <c r="J2" s="179"/>
      <c r="K2" s="189" t="s">
        <v>86</v>
      </c>
      <c r="L2" s="189"/>
      <c r="M2" s="189"/>
      <c r="N2" s="189"/>
      <c r="O2" s="189"/>
      <c r="P2" s="189"/>
      <c r="Q2" s="189"/>
      <c r="R2" s="189"/>
      <c r="S2" s="189"/>
      <c r="T2" s="189"/>
      <c r="U2" s="189"/>
      <c r="V2" s="189"/>
      <c r="W2" s="189"/>
      <c r="X2" s="189"/>
      <c r="Y2" s="189"/>
      <c r="Z2" s="189"/>
      <c r="AA2" s="179"/>
      <c r="AB2" s="179"/>
      <c r="AC2" s="179"/>
      <c r="AD2" s="180"/>
      <c r="AE2" s="179"/>
      <c r="AF2" s="179"/>
      <c r="AG2" s="179"/>
      <c r="AH2" s="181"/>
      <c r="AI2" s="184"/>
      <c r="AJ2" s="185"/>
      <c r="AK2" s="186"/>
    </row>
    <row r="3" customFormat="false" ht="14.1" hidden="false" customHeight="true" outlineLevel="0" collapsed="false">
      <c r="A3" s="190"/>
      <c r="B3" s="190"/>
      <c r="C3" s="191"/>
      <c r="D3" s="192"/>
      <c r="E3" s="191"/>
      <c r="F3" s="190"/>
      <c r="G3" s="190"/>
      <c r="H3" s="193"/>
      <c r="I3" s="190"/>
      <c r="J3" s="190"/>
      <c r="K3" s="190"/>
      <c r="L3" s="190"/>
      <c r="M3" s="190"/>
      <c r="N3" s="190"/>
      <c r="O3" s="190"/>
      <c r="P3" s="193"/>
      <c r="Q3" s="190"/>
      <c r="R3" s="190"/>
      <c r="S3" s="190"/>
      <c r="T3" s="193"/>
      <c r="U3" s="190"/>
      <c r="V3" s="190"/>
      <c r="W3" s="191"/>
      <c r="X3" s="194"/>
      <c r="Y3" s="194"/>
      <c r="Z3" s="190"/>
      <c r="AA3" s="190"/>
      <c r="AB3" s="190"/>
      <c r="AC3" s="190"/>
      <c r="AD3" s="191"/>
      <c r="AE3" s="190"/>
      <c r="AF3" s="190"/>
      <c r="AG3" s="190"/>
      <c r="AH3" s="193"/>
      <c r="AI3" s="195"/>
      <c r="AJ3" s="196"/>
      <c r="AK3" s="197"/>
      <c r="AL3" s="198"/>
      <c r="AM3" s="199"/>
      <c r="AN3" s="198"/>
      <c r="AO3" s="200"/>
    </row>
    <row r="4" s="213" customFormat="true" ht="14.1" hidden="false" customHeight="true" outlineLevel="0" collapsed="false">
      <c r="A4" s="201"/>
      <c r="B4" s="202"/>
      <c r="C4" s="203"/>
      <c r="D4" s="204" t="s">
        <v>3</v>
      </c>
      <c r="E4" s="203"/>
      <c r="F4" s="205"/>
      <c r="G4" s="201"/>
      <c r="H4" s="206"/>
      <c r="I4" s="201"/>
      <c r="J4" s="201"/>
      <c r="K4" s="201"/>
      <c r="L4" s="201"/>
      <c r="M4" s="201"/>
      <c r="N4" s="201"/>
      <c r="O4" s="201"/>
      <c r="P4" s="206"/>
      <c r="Q4" s="201"/>
      <c r="R4" s="201"/>
      <c r="S4" s="201"/>
      <c r="T4" s="206"/>
      <c r="U4" s="207" t="s">
        <v>4</v>
      </c>
      <c r="V4" s="201"/>
      <c r="W4" s="208"/>
      <c r="X4" s="209"/>
      <c r="Y4" s="209"/>
      <c r="Z4" s="201"/>
      <c r="AA4" s="201"/>
      <c r="AB4" s="201"/>
      <c r="AC4" s="201"/>
      <c r="AD4" s="208"/>
      <c r="AE4" s="201"/>
      <c r="AF4" s="201"/>
      <c r="AG4" s="201"/>
      <c r="AH4" s="206"/>
      <c r="AI4" s="210"/>
      <c r="AJ4" s="211" t="s">
        <v>5</v>
      </c>
      <c r="AK4" s="212"/>
      <c r="AM4" s="209"/>
      <c r="AN4" s="214" t="s">
        <v>6</v>
      </c>
      <c r="AO4" s="215"/>
      <c r="AP4" s="216"/>
      <c r="AQ4" s="217"/>
    </row>
    <row r="5" customFormat="false" ht="12.95" hidden="false" customHeight="true" outlineLevel="0" collapsed="false">
      <c r="A5" s="218" t="s">
        <v>7</v>
      </c>
      <c r="B5" s="219" t="s">
        <v>8</v>
      </c>
      <c r="C5" s="220" t="s">
        <v>8</v>
      </c>
      <c r="D5" s="218" t="s">
        <v>9</v>
      </c>
      <c r="E5" s="220" t="s">
        <v>10</v>
      </c>
      <c r="F5" s="221" t="s">
        <v>11</v>
      </c>
      <c r="G5" s="218" t="s">
        <v>12</v>
      </c>
      <c r="H5" s="222" t="s">
        <v>13</v>
      </c>
      <c r="I5" s="218" t="s">
        <v>14</v>
      </c>
      <c r="J5" s="218" t="s">
        <v>15</v>
      </c>
      <c r="K5" s="218" t="s">
        <v>16</v>
      </c>
      <c r="L5" s="218" t="s">
        <v>15</v>
      </c>
      <c r="M5" s="223" t="s">
        <v>17</v>
      </c>
      <c r="N5" s="223"/>
      <c r="O5" s="223"/>
      <c r="P5" s="223"/>
      <c r="Q5" s="223"/>
      <c r="R5" s="223"/>
      <c r="S5" s="223"/>
      <c r="T5" s="223"/>
      <c r="U5" s="218" t="s">
        <v>18</v>
      </c>
      <c r="V5" s="218" t="s">
        <v>19</v>
      </c>
      <c r="W5" s="218" t="s">
        <v>16</v>
      </c>
      <c r="X5" s="224" t="s">
        <v>20</v>
      </c>
      <c r="Y5" s="224" t="s">
        <v>21</v>
      </c>
      <c r="Z5" s="220" t="s">
        <v>20</v>
      </c>
      <c r="AA5" s="218" t="s">
        <v>22</v>
      </c>
      <c r="AB5" s="225" t="s">
        <v>87</v>
      </c>
      <c r="AC5" s="226"/>
      <c r="AD5" s="218" t="s">
        <v>24</v>
      </c>
      <c r="AE5" s="220" t="s">
        <v>25</v>
      </c>
      <c r="AF5" s="218" t="s">
        <v>14</v>
      </c>
      <c r="AG5" s="218" t="s">
        <v>15</v>
      </c>
      <c r="AH5" s="218" t="s">
        <v>16</v>
      </c>
      <c r="AI5" s="227" t="s">
        <v>26</v>
      </c>
      <c r="AJ5" s="228" t="s">
        <v>27</v>
      </c>
      <c r="AK5" s="229" t="s">
        <v>28</v>
      </c>
      <c r="AL5" s="228" t="s">
        <v>88</v>
      </c>
      <c r="AM5" s="224" t="s">
        <v>20</v>
      </c>
      <c r="AN5" s="230" t="s">
        <v>89</v>
      </c>
      <c r="AO5" s="230" t="s">
        <v>20</v>
      </c>
      <c r="AP5" s="231" t="s">
        <v>30</v>
      </c>
      <c r="AQ5" s="232" t="s">
        <v>31</v>
      </c>
    </row>
    <row r="6" customFormat="false" ht="12.95" hidden="false" customHeight="true" outlineLevel="0" collapsed="false">
      <c r="A6" s="233" t="s">
        <v>90</v>
      </c>
      <c r="B6" s="219" t="s">
        <v>33</v>
      </c>
      <c r="C6" s="220" t="s">
        <v>9</v>
      </c>
      <c r="D6" s="218" t="s">
        <v>34</v>
      </c>
      <c r="E6" s="220" t="s">
        <v>35</v>
      </c>
      <c r="F6" s="221" t="s">
        <v>36</v>
      </c>
      <c r="G6" s="218" t="s">
        <v>37</v>
      </c>
      <c r="H6" s="222" t="s">
        <v>38</v>
      </c>
      <c r="I6" s="218" t="s">
        <v>39</v>
      </c>
      <c r="J6" s="218" t="s">
        <v>39</v>
      </c>
      <c r="K6" s="218" t="s">
        <v>39</v>
      </c>
      <c r="L6" s="218" t="s">
        <v>40</v>
      </c>
      <c r="M6" s="234" t="s">
        <v>41</v>
      </c>
      <c r="N6" s="218" t="s">
        <v>42</v>
      </c>
      <c r="O6" s="218" t="s">
        <v>91</v>
      </c>
      <c r="P6" s="222" t="s">
        <v>44</v>
      </c>
      <c r="Q6" s="218" t="s">
        <v>45</v>
      </c>
      <c r="R6" s="218" t="s">
        <v>46</v>
      </c>
      <c r="S6" s="218" t="s">
        <v>47</v>
      </c>
      <c r="T6" s="235" t="s">
        <v>48</v>
      </c>
      <c r="U6" s="218" t="s">
        <v>49</v>
      </c>
      <c r="V6" s="218" t="s">
        <v>50</v>
      </c>
      <c r="W6" s="218" t="s">
        <v>20</v>
      </c>
      <c r="X6" s="224" t="s">
        <v>92</v>
      </c>
      <c r="Y6" s="224" t="s">
        <v>52</v>
      </c>
      <c r="Z6" s="220" t="s">
        <v>53</v>
      </c>
      <c r="AA6" s="218" t="s">
        <v>54</v>
      </c>
      <c r="AB6" s="234"/>
      <c r="AC6" s="236"/>
      <c r="AD6" s="218" t="s">
        <v>56</v>
      </c>
      <c r="AE6" s="220" t="s">
        <v>57</v>
      </c>
      <c r="AF6" s="218" t="s">
        <v>58</v>
      </c>
      <c r="AG6" s="218" t="s">
        <v>58</v>
      </c>
      <c r="AH6" s="218" t="s">
        <v>58</v>
      </c>
      <c r="AI6" s="237"/>
      <c r="AJ6" s="228" t="s">
        <v>59</v>
      </c>
      <c r="AK6" s="229" t="s">
        <v>59</v>
      </c>
      <c r="AL6" s="238" t="s">
        <v>60</v>
      </c>
      <c r="AM6" s="239" t="s">
        <v>61</v>
      </c>
      <c r="AN6" s="230" t="s">
        <v>62</v>
      </c>
      <c r="AO6" s="230" t="s">
        <v>62</v>
      </c>
      <c r="AP6" s="231" t="s">
        <v>63</v>
      </c>
      <c r="AQ6" s="240" t="s">
        <v>64</v>
      </c>
    </row>
    <row r="7" customFormat="false" ht="12.95" hidden="false" customHeight="true" outlineLevel="0" collapsed="false">
      <c r="A7" s="241"/>
      <c r="B7" s="242"/>
      <c r="C7" s="243"/>
      <c r="D7" s="241"/>
      <c r="E7" s="244" t="s">
        <v>65</v>
      </c>
      <c r="F7" s="245"/>
      <c r="G7" s="241"/>
      <c r="H7" s="246"/>
      <c r="I7" s="241"/>
      <c r="J7" s="241"/>
      <c r="K7" s="241"/>
      <c r="L7" s="241"/>
      <c r="M7" s="247"/>
      <c r="N7" s="248" t="s">
        <v>66</v>
      </c>
      <c r="O7" s="248" t="s">
        <v>67</v>
      </c>
      <c r="P7" s="249"/>
      <c r="Q7" s="248"/>
      <c r="R7" s="248"/>
      <c r="S7" s="248" t="s">
        <v>43</v>
      </c>
      <c r="T7" s="250" t="s">
        <v>68</v>
      </c>
      <c r="U7" s="241"/>
      <c r="V7" s="241"/>
      <c r="W7" s="241"/>
      <c r="X7" s="239"/>
      <c r="Y7" s="239"/>
      <c r="Z7" s="244"/>
      <c r="AA7" s="241"/>
      <c r="AB7" s="247"/>
      <c r="AC7" s="251"/>
      <c r="AD7" s="241"/>
      <c r="AE7" s="243"/>
      <c r="AF7" s="241"/>
      <c r="AG7" s="241"/>
      <c r="AH7" s="241"/>
      <c r="AI7" s="252"/>
      <c r="AJ7" s="238"/>
      <c r="AK7" s="253"/>
      <c r="AL7" s="238" t="s">
        <v>69</v>
      </c>
      <c r="AM7" s="239" t="s">
        <v>36</v>
      </c>
      <c r="AN7" s="230" t="s">
        <v>70</v>
      </c>
      <c r="AO7" s="230" t="s">
        <v>93</v>
      </c>
      <c r="AP7" s="231" t="s">
        <v>72</v>
      </c>
      <c r="AQ7" s="240" t="s">
        <v>73</v>
      </c>
    </row>
    <row r="8" customFormat="false" ht="12.95" hidden="false" customHeight="true" outlineLevel="0" collapsed="false">
      <c r="A8" s="241"/>
      <c r="B8" s="242"/>
      <c r="C8" s="243"/>
      <c r="D8" s="241"/>
      <c r="E8" s="243"/>
      <c r="F8" s="245"/>
      <c r="G8" s="241"/>
      <c r="H8" s="246"/>
      <c r="I8" s="241"/>
      <c r="J8" s="241"/>
      <c r="K8" s="241"/>
      <c r="L8" s="241"/>
      <c r="M8" s="247"/>
      <c r="N8" s="254" t="n">
        <v>1.03</v>
      </c>
      <c r="O8" s="254" t="n">
        <v>1.05</v>
      </c>
      <c r="P8" s="249" t="n">
        <v>1.02</v>
      </c>
      <c r="Q8" s="254" t="n">
        <v>1.02</v>
      </c>
      <c r="R8" s="254" t="n">
        <v>1.04</v>
      </c>
      <c r="S8" s="248" t="s">
        <v>53</v>
      </c>
      <c r="T8" s="250"/>
      <c r="U8" s="241"/>
      <c r="V8" s="241"/>
      <c r="W8" s="241"/>
      <c r="X8" s="255"/>
      <c r="Y8" s="255"/>
      <c r="Z8" s="244"/>
      <c r="AA8" s="241"/>
      <c r="AB8" s="247"/>
      <c r="AC8" s="251"/>
      <c r="AD8" s="241"/>
      <c r="AE8" s="243"/>
      <c r="AF8" s="241"/>
      <c r="AG8" s="241"/>
      <c r="AH8" s="241"/>
      <c r="AI8" s="252"/>
      <c r="AJ8" s="186"/>
      <c r="AK8" s="253"/>
      <c r="AL8" s="186"/>
      <c r="AM8" s="255"/>
      <c r="AN8" s="230"/>
      <c r="AO8" s="230" t="s">
        <v>69</v>
      </c>
    </row>
    <row r="9" customFormat="false" ht="12.95" hidden="false" customHeight="true" outlineLevel="0" collapsed="false">
      <c r="A9" s="187" t="s">
        <v>75</v>
      </c>
      <c r="B9" s="256"/>
      <c r="C9" s="115"/>
      <c r="D9" s="115"/>
      <c r="E9" s="115"/>
      <c r="F9" s="257"/>
      <c r="G9" s="115"/>
      <c r="H9" s="258"/>
      <c r="I9" s="115"/>
      <c r="J9" s="115"/>
      <c r="K9" s="115"/>
      <c r="L9" s="115"/>
      <c r="M9" s="259"/>
      <c r="N9" s="115"/>
      <c r="O9" s="115"/>
      <c r="P9" s="258"/>
      <c r="Q9" s="115"/>
      <c r="R9" s="115"/>
      <c r="S9" s="115"/>
      <c r="T9" s="260"/>
      <c r="U9" s="115"/>
      <c r="V9" s="115"/>
      <c r="W9" s="115"/>
      <c r="X9" s="261"/>
      <c r="Y9" s="261"/>
      <c r="Z9" s="115"/>
      <c r="AA9" s="115"/>
      <c r="AB9" s="259"/>
      <c r="AC9" s="262"/>
      <c r="AD9" s="115"/>
      <c r="AE9" s="115"/>
      <c r="AF9" s="115"/>
      <c r="AG9" s="115"/>
      <c r="AH9" s="115"/>
      <c r="AI9" s="263"/>
      <c r="AJ9" s="264"/>
      <c r="AK9" s="265"/>
      <c r="AL9" s="264"/>
      <c r="AM9" s="261"/>
      <c r="AN9" s="266"/>
      <c r="AO9" s="266"/>
      <c r="AP9" s="266"/>
    </row>
    <row r="10" s="172" customFormat="true" ht="12.95" hidden="false" customHeight="true" outlineLevel="0" collapsed="false">
      <c r="A10" s="267" t="s">
        <v>76</v>
      </c>
      <c r="B10" s="114" t="n">
        <f aca="false">NOV!B41</f>
        <v>6895.84</v>
      </c>
      <c r="C10" s="115" t="n">
        <f aca="false">NOV!C41</f>
        <v>268485</v>
      </c>
      <c r="D10" s="115" t="n">
        <f aca="false">NOV!D50</f>
        <v>-2436</v>
      </c>
      <c r="E10" s="115" t="n">
        <f aca="false">NOV!E50</f>
        <v>116485</v>
      </c>
      <c r="F10" s="257" t="n">
        <f aca="false">NOV!F49</f>
        <v>-1228.13208974036</v>
      </c>
      <c r="G10" s="115" t="n">
        <f aca="false">NOV!G49</f>
        <v>4795</v>
      </c>
      <c r="H10" s="258" t="n">
        <f aca="false">NOV!H49</f>
        <v>78.1</v>
      </c>
      <c r="I10" s="115" t="n">
        <f aca="false">NOV!I49</f>
        <v>4873.1</v>
      </c>
      <c r="J10" s="115" t="n">
        <f aca="false">NOV!J49</f>
        <v>127.783362742627</v>
      </c>
      <c r="K10" s="115" t="n">
        <f aca="false">NOV!K49</f>
        <v>5000.88336274263</v>
      </c>
      <c r="L10" s="115" t="n">
        <f aca="false">NOV!L49</f>
        <v>-349.032089740358</v>
      </c>
      <c r="M10" s="259" t="n">
        <f aca="false">NOV!M49</f>
        <v>288</v>
      </c>
      <c r="N10" s="115" t="n">
        <f aca="false">NOV!N49</f>
        <v>0</v>
      </c>
      <c r="O10" s="115" t="n">
        <f aca="false">NOV!O49</f>
        <v>0</v>
      </c>
      <c r="P10" s="258"/>
      <c r="Q10" s="115" t="n">
        <f aca="false">NOV!Q49</f>
        <v>48.042</v>
      </c>
      <c r="R10" s="115" t="n">
        <f aca="false">NOV!R49</f>
        <v>72.48</v>
      </c>
      <c r="S10" s="268" t="n">
        <f aca="false">NOV!S49</f>
        <v>0</v>
      </c>
      <c r="T10" s="269" t="n">
        <f aca="false">NOV!T49</f>
        <v>9.70059999999999</v>
      </c>
      <c r="U10" s="115" t="n">
        <f aca="false">NOV!U49</f>
        <v>4691</v>
      </c>
      <c r="V10" s="115" t="n">
        <f aca="false">NOV!V49</f>
        <v>76.2</v>
      </c>
      <c r="W10" s="115" t="n">
        <f aca="false">NOV!W49</f>
        <v>4447.81</v>
      </c>
      <c r="X10" s="261"/>
      <c r="Y10" s="261"/>
      <c r="Z10" s="115"/>
      <c r="AA10" s="115"/>
      <c r="AB10" s="259"/>
      <c r="AC10" s="262"/>
      <c r="AD10" s="115" t="n">
        <f aca="false">NOV!AD49</f>
        <v>697</v>
      </c>
      <c r="AE10" s="115" t="n">
        <f aca="false">NOV!AE49</f>
        <v>3122</v>
      </c>
      <c r="AF10" s="115" t="n">
        <f aca="false">NOV!AF49</f>
        <v>5752.2</v>
      </c>
      <c r="AG10" s="115" t="n">
        <f aca="false">NOV!AG49</f>
        <v>476.815452482985</v>
      </c>
      <c r="AH10" s="115" t="n">
        <f aca="false">NOV!AH49</f>
        <v>6229.01545248299</v>
      </c>
      <c r="AI10" s="263" t="n">
        <f aca="false">NOV!AI49</f>
        <v>0.43</v>
      </c>
      <c r="AJ10" s="264"/>
      <c r="AK10" s="265"/>
      <c r="AL10" s="264" t="n">
        <f aca="false">NOV!AL50</f>
        <v>8822.236385</v>
      </c>
      <c r="AM10" s="261" t="n">
        <f aca="false">NOV!AM49</f>
        <v>796.8688</v>
      </c>
      <c r="AN10" s="115"/>
      <c r="AO10" s="115"/>
      <c r="AP10" s="115"/>
    </row>
    <row r="11" customFormat="false" ht="3" hidden="false" customHeight="true" outlineLevel="0" collapsed="false">
      <c r="A11" s="270"/>
      <c r="B11" s="271"/>
      <c r="C11" s="272"/>
      <c r="D11" s="273"/>
      <c r="E11" s="272"/>
      <c r="F11" s="274"/>
      <c r="G11" s="273"/>
      <c r="H11" s="275"/>
      <c r="I11" s="273"/>
      <c r="J11" s="273"/>
      <c r="K11" s="273"/>
      <c r="L11" s="273"/>
      <c r="M11" s="276"/>
      <c r="N11" s="273"/>
      <c r="O11" s="273"/>
      <c r="P11" s="275"/>
      <c r="Q11" s="273"/>
      <c r="R11" s="273"/>
      <c r="S11" s="273"/>
      <c r="T11" s="277"/>
      <c r="U11" s="273"/>
      <c r="V11" s="273"/>
      <c r="W11" s="273"/>
      <c r="X11" s="278"/>
      <c r="Y11" s="278"/>
      <c r="Z11" s="272"/>
      <c r="AA11" s="273"/>
      <c r="AB11" s="276"/>
      <c r="AC11" s="279"/>
      <c r="AD11" s="273"/>
      <c r="AE11" s="272"/>
      <c r="AF11" s="273"/>
      <c r="AG11" s="273"/>
      <c r="AH11" s="273"/>
      <c r="AI11" s="280"/>
      <c r="AJ11" s="281"/>
      <c r="AK11" s="282"/>
      <c r="AL11" s="281"/>
      <c r="AM11" s="278"/>
      <c r="AN11" s="281"/>
      <c r="AO11" s="281"/>
      <c r="AP11" s="281"/>
      <c r="AQ11" s="281"/>
    </row>
    <row r="12" customFormat="false" ht="12.95" hidden="false" customHeight="true" outlineLevel="0" collapsed="false">
      <c r="A12" s="186" t="n">
        <v>1</v>
      </c>
      <c r="B12" s="114" t="n">
        <v>6895.86</v>
      </c>
      <c r="C12" s="115" t="n">
        <v>268556</v>
      </c>
      <c r="D12" s="264" t="n">
        <f aca="false">C12-C10</f>
        <v>71</v>
      </c>
      <c r="E12" s="115" t="n">
        <f aca="false">C12-152000</f>
        <v>116556</v>
      </c>
      <c r="F12" s="283" t="n">
        <f aca="false">D12/$D$2</f>
        <v>35.7953113183766</v>
      </c>
      <c r="G12" s="141" t="n">
        <v>90</v>
      </c>
      <c r="H12" s="258" t="n">
        <v>1.5</v>
      </c>
      <c r="I12" s="141" t="n">
        <f aca="false">G12+H12</f>
        <v>91.5</v>
      </c>
      <c r="J12" s="261" t="n">
        <f aca="false">IF(L12&gt;0,L12,0)</f>
        <v>0</v>
      </c>
      <c r="K12" s="141" t="n">
        <f aca="false">I12+J12</f>
        <v>91.5</v>
      </c>
      <c r="L12" s="141" t="n">
        <f aca="false">F12-(I12-AF12)</f>
        <v>-28.3046886816234</v>
      </c>
      <c r="M12" s="284" t="n">
        <v>3.4</v>
      </c>
      <c r="N12" s="141" t="n">
        <v>0</v>
      </c>
      <c r="O12" s="141" t="n">
        <v>0</v>
      </c>
      <c r="P12" s="258" t="n">
        <v>0</v>
      </c>
      <c r="Q12" s="138" t="n">
        <f aca="false">1.6*1.02</f>
        <v>1.632</v>
      </c>
      <c r="R12" s="138" t="n">
        <v>2.15</v>
      </c>
      <c r="S12" s="138" t="n">
        <v>0</v>
      </c>
      <c r="T12" s="104" t="n">
        <f aca="false">M12-(Q12+R12+S12)</f>
        <v>-0.382</v>
      </c>
      <c r="U12" s="141" t="n">
        <v>0</v>
      </c>
      <c r="V12" s="141" t="n">
        <v>0</v>
      </c>
      <c r="W12" s="141" t="n">
        <f aca="false">M12-N12-O12-P12-Q12-R12-S12-T12+U12+V12</f>
        <v>0</v>
      </c>
      <c r="X12" s="261"/>
      <c r="Y12" s="261"/>
      <c r="Z12" s="115"/>
      <c r="AA12" s="141" t="n">
        <v>0</v>
      </c>
      <c r="AB12" s="284"/>
      <c r="AC12" s="285"/>
      <c r="AD12" s="141" t="n">
        <v>24</v>
      </c>
      <c r="AE12" s="115" t="n">
        <f aca="false">AE10-AD12</f>
        <v>3098</v>
      </c>
      <c r="AF12" s="140" t="n">
        <f aca="false">N12+O12+P12+Q12+R12+S12+T12+W12+AA12+AD12</f>
        <v>27.4</v>
      </c>
      <c r="AG12" s="141" t="n">
        <f aca="false">IF(L12&lt;0,L12*-1,0)</f>
        <v>28.3046886816234</v>
      </c>
      <c r="AH12" s="141" t="n">
        <f aca="false">AF12+AG12</f>
        <v>55.7046886816234</v>
      </c>
      <c r="AI12" s="263" t="n">
        <v>0</v>
      </c>
      <c r="AJ12" s="264" t="n">
        <v>31</v>
      </c>
      <c r="AK12" s="265" t="n">
        <v>8</v>
      </c>
      <c r="AL12" s="264" t="n">
        <f aca="false">AL10+(W12*1.9835)</f>
        <v>8822.236385</v>
      </c>
      <c r="AM12" s="261" t="n">
        <v>0</v>
      </c>
      <c r="AN12" s="266"/>
      <c r="AO12" s="266"/>
      <c r="AP12" s="266"/>
    </row>
    <row r="13" customFormat="false" ht="12.95" hidden="false" customHeight="true" outlineLevel="0" collapsed="false">
      <c r="A13" s="186" t="n">
        <f aca="false">A12+1</f>
        <v>2</v>
      </c>
      <c r="B13" s="114" t="n">
        <v>6895.89</v>
      </c>
      <c r="C13" s="115" t="n">
        <v>268663</v>
      </c>
      <c r="D13" s="264" t="n">
        <f aca="false">C13-C12</f>
        <v>107</v>
      </c>
      <c r="E13" s="115" t="n">
        <f aca="false">C13-152000</f>
        <v>116663</v>
      </c>
      <c r="F13" s="283" t="n">
        <f aca="false">D13/$D$2</f>
        <v>53.9450466347366</v>
      </c>
      <c r="G13" s="141" t="n">
        <v>95</v>
      </c>
      <c r="H13" s="258" t="n">
        <v>1.4</v>
      </c>
      <c r="I13" s="141" t="n">
        <f aca="false">G13+H13</f>
        <v>96.4</v>
      </c>
      <c r="J13" s="261" t="n">
        <f aca="false">IF(L13&gt;0,L13,0)</f>
        <v>0</v>
      </c>
      <c r="K13" s="141" t="n">
        <f aca="false">I13+J13</f>
        <v>96.4</v>
      </c>
      <c r="L13" s="141" t="n">
        <f aca="false">F13-(I13-AF13)</f>
        <v>-15.0549533652634</v>
      </c>
      <c r="M13" s="284" t="n">
        <v>3.4</v>
      </c>
      <c r="N13" s="141" t="n">
        <v>0</v>
      </c>
      <c r="O13" s="141" t="n">
        <v>0</v>
      </c>
      <c r="P13" s="258" t="n">
        <v>0</v>
      </c>
      <c r="Q13" s="138" t="n">
        <f aca="false">1.6*1.02</f>
        <v>1.632</v>
      </c>
      <c r="R13" s="138" t="n">
        <v>2.35</v>
      </c>
      <c r="S13" s="138" t="n">
        <v>0</v>
      </c>
      <c r="T13" s="104" t="n">
        <f aca="false">M13-(Q13+R13+S13)</f>
        <v>-0.582</v>
      </c>
      <c r="U13" s="141" t="n">
        <v>0</v>
      </c>
      <c r="V13" s="141" t="n">
        <v>0</v>
      </c>
      <c r="W13" s="141" t="n">
        <f aca="false">M13-N13-O13-P13-Q13-R13-S13-T13+U13+V13</f>
        <v>0</v>
      </c>
      <c r="X13" s="261"/>
      <c r="Y13" s="261"/>
      <c r="Z13" s="115"/>
      <c r="AA13" s="141" t="n">
        <v>0</v>
      </c>
      <c r="AB13" s="284"/>
      <c r="AC13" s="285"/>
      <c r="AD13" s="141" t="n">
        <v>24</v>
      </c>
      <c r="AE13" s="115" t="n">
        <f aca="false">AE12-AD13</f>
        <v>3074</v>
      </c>
      <c r="AF13" s="140" t="n">
        <f aca="false">N13+O13+P13+Q13+R13+S13+T13+W13+AA13+AD13</f>
        <v>27.4</v>
      </c>
      <c r="AG13" s="141" t="n">
        <f aca="false">IF(L13&lt;0,L13*-1,0)</f>
        <v>15.0549533652634</v>
      </c>
      <c r="AH13" s="141" t="n">
        <f aca="false">AF13+AG13</f>
        <v>42.4549533652634</v>
      </c>
      <c r="AI13" s="263" t="n">
        <v>0</v>
      </c>
      <c r="AJ13" s="264" t="n">
        <v>32</v>
      </c>
      <c r="AK13" s="265" t="n">
        <v>11</v>
      </c>
      <c r="AL13" s="264" t="n">
        <f aca="false">AL12</f>
        <v>8822.236385</v>
      </c>
      <c r="AM13" s="261" t="n">
        <v>0</v>
      </c>
      <c r="AN13" s="266"/>
      <c r="AO13" s="266"/>
      <c r="AP13" s="266"/>
    </row>
    <row r="14" customFormat="false" ht="12.95" hidden="false" customHeight="true" outlineLevel="0" collapsed="false">
      <c r="A14" s="186" t="n">
        <f aca="false">A13+1</f>
        <v>3</v>
      </c>
      <c r="B14" s="114" t="n">
        <v>6895.92</v>
      </c>
      <c r="C14" s="115" t="n">
        <v>268770</v>
      </c>
      <c r="D14" s="264" t="n">
        <f aca="false">C14-C13</f>
        <v>107</v>
      </c>
      <c r="E14" s="115" t="n">
        <f aca="false">C14-152000</f>
        <v>116770</v>
      </c>
      <c r="F14" s="283" t="n">
        <f aca="false">D14/$D$2</f>
        <v>53.9450466347366</v>
      </c>
      <c r="G14" s="141" t="n">
        <v>87</v>
      </c>
      <c r="H14" s="258" t="n">
        <v>1.1</v>
      </c>
      <c r="I14" s="141" t="n">
        <f aca="false">G14+H14</f>
        <v>88.1</v>
      </c>
      <c r="J14" s="261" t="n">
        <f aca="false">IF(L14&gt;0,L14,0)</f>
        <v>0</v>
      </c>
      <c r="K14" s="141" t="n">
        <f aca="false">I14+J14</f>
        <v>88.1</v>
      </c>
      <c r="L14" s="141" t="n">
        <f aca="false">F14-(I14-AF14)</f>
        <v>-6.75495336526342</v>
      </c>
      <c r="M14" s="284" t="n">
        <v>3.4</v>
      </c>
      <c r="N14" s="141" t="n">
        <v>0</v>
      </c>
      <c r="O14" s="141" t="n">
        <v>0</v>
      </c>
      <c r="P14" s="258" t="n">
        <v>0</v>
      </c>
      <c r="Q14" s="138" t="n">
        <f aca="false">1.6*1.02</f>
        <v>1.632</v>
      </c>
      <c r="R14" s="138" t="n">
        <v>2.35</v>
      </c>
      <c r="S14" s="138" t="n">
        <v>0</v>
      </c>
      <c r="T14" s="104" t="n">
        <f aca="false">M14-(Q14+R14+S14)</f>
        <v>-0.582</v>
      </c>
      <c r="U14" s="141" t="n">
        <v>0</v>
      </c>
      <c r="V14" s="141" t="n">
        <v>0</v>
      </c>
      <c r="W14" s="141" t="n">
        <f aca="false">M14-N14-O14-P14-Q14-R14-S14-T14+U14+V14</f>
        <v>0</v>
      </c>
      <c r="X14" s="261"/>
      <c r="Y14" s="261"/>
      <c r="Z14" s="115"/>
      <c r="AA14" s="141" t="n">
        <v>0</v>
      </c>
      <c r="AB14" s="284"/>
      <c r="AC14" s="285"/>
      <c r="AD14" s="141" t="n">
        <v>24</v>
      </c>
      <c r="AE14" s="115" t="n">
        <f aca="false">AE13-AD14</f>
        <v>3050</v>
      </c>
      <c r="AF14" s="140" t="n">
        <f aca="false">N14+O14+P14+Q14+R14+S14+T14+W14+AA14+AD14</f>
        <v>27.4</v>
      </c>
      <c r="AG14" s="141" t="n">
        <f aca="false">IF(L14&lt;0,L14*-1,0)</f>
        <v>6.75495336526342</v>
      </c>
      <c r="AH14" s="141" t="n">
        <f aca="false">AF14+AG14</f>
        <v>34.1549533652634</v>
      </c>
      <c r="AI14" s="263" t="n">
        <v>0</v>
      </c>
      <c r="AJ14" s="264" t="n">
        <v>34</v>
      </c>
      <c r="AK14" s="265" t="n">
        <v>7</v>
      </c>
      <c r="AL14" s="264" t="n">
        <f aca="false">AL13</f>
        <v>8822.236385</v>
      </c>
      <c r="AM14" s="261" t="n">
        <v>0</v>
      </c>
      <c r="AN14" s="266"/>
      <c r="AO14" s="266"/>
      <c r="AP14" s="266"/>
    </row>
    <row r="15" customFormat="false" ht="12.95" hidden="false" customHeight="true" outlineLevel="0" collapsed="false">
      <c r="A15" s="186" t="n">
        <f aca="false">A14+1</f>
        <v>4</v>
      </c>
      <c r="B15" s="114" t="n">
        <v>6895.95</v>
      </c>
      <c r="C15" s="115" t="n">
        <v>268877</v>
      </c>
      <c r="D15" s="264" t="n">
        <f aca="false">C15-C14</f>
        <v>107</v>
      </c>
      <c r="E15" s="115" t="n">
        <f aca="false">C15-152000</f>
        <v>116877</v>
      </c>
      <c r="F15" s="283" t="n">
        <f aca="false">D15/$D$2</f>
        <v>53.9450466347366</v>
      </c>
      <c r="G15" s="141" t="n">
        <v>83</v>
      </c>
      <c r="H15" s="258" t="n">
        <v>0.9</v>
      </c>
      <c r="I15" s="141" t="n">
        <f aca="false">G15+H15</f>
        <v>83.9</v>
      </c>
      <c r="J15" s="261" t="n">
        <f aca="false">IF(L15&gt;0,L15,0)</f>
        <v>0</v>
      </c>
      <c r="K15" s="141" t="n">
        <f aca="false">I15+J15</f>
        <v>83.9</v>
      </c>
      <c r="L15" s="141" t="n">
        <f aca="false">F15-(I15-AF15)</f>
        <v>-2.55495336526343</v>
      </c>
      <c r="M15" s="284" t="n">
        <v>3.4</v>
      </c>
      <c r="N15" s="141" t="n">
        <v>0</v>
      </c>
      <c r="O15" s="141" t="n">
        <v>0</v>
      </c>
      <c r="P15" s="258" t="n">
        <v>0</v>
      </c>
      <c r="Q15" s="138" t="n">
        <f aca="false">1.6*1.02</f>
        <v>1.632</v>
      </c>
      <c r="R15" s="138" t="n">
        <v>2.38</v>
      </c>
      <c r="S15" s="138" t="n">
        <v>0</v>
      </c>
      <c r="T15" s="104" t="n">
        <f aca="false">M15-(Q15+R15+S15)</f>
        <v>-0.612000000000001</v>
      </c>
      <c r="U15" s="141" t="n">
        <v>0</v>
      </c>
      <c r="V15" s="141" t="n">
        <v>0</v>
      </c>
      <c r="W15" s="141" t="n">
        <f aca="false">M15-N15-O15-P15-Q15-R15-S15-T15+U15+V15</f>
        <v>0</v>
      </c>
      <c r="X15" s="261"/>
      <c r="Y15" s="261"/>
      <c r="Z15" s="115"/>
      <c r="AA15" s="141" t="n">
        <v>0</v>
      </c>
      <c r="AB15" s="284"/>
      <c r="AC15" s="285"/>
      <c r="AD15" s="141" t="n">
        <v>24</v>
      </c>
      <c r="AE15" s="115" t="n">
        <f aca="false">AE14-AD15</f>
        <v>3026</v>
      </c>
      <c r="AF15" s="140" t="n">
        <f aca="false">N15+O15+P15+Q15+R15+S15+T15+W15+AA15+AD15</f>
        <v>27.4</v>
      </c>
      <c r="AG15" s="141" t="n">
        <f aca="false">IF(L15&lt;0,L15*-1,0)</f>
        <v>2.55495336526343</v>
      </c>
      <c r="AH15" s="141" t="n">
        <f aca="false">AF15+AG15</f>
        <v>29.9549533652634</v>
      </c>
      <c r="AI15" s="263" t="n">
        <v>0</v>
      </c>
      <c r="AJ15" s="264" t="n">
        <v>43</v>
      </c>
      <c r="AK15" s="265" t="n">
        <v>12</v>
      </c>
      <c r="AL15" s="264" t="n">
        <f aca="false">AL14</f>
        <v>8822.236385</v>
      </c>
      <c r="AM15" s="261" t="n">
        <v>0</v>
      </c>
      <c r="AN15" s="266"/>
      <c r="AO15" s="266"/>
      <c r="AP15" s="266"/>
    </row>
    <row r="16" customFormat="false" ht="12.95" hidden="false" customHeight="true" outlineLevel="0" collapsed="false">
      <c r="A16" s="186" t="n">
        <f aca="false">A15+1</f>
        <v>5</v>
      </c>
      <c r="B16" s="114" t="n">
        <v>6895.98</v>
      </c>
      <c r="C16" s="115" t="n">
        <v>268983</v>
      </c>
      <c r="D16" s="264" t="n">
        <f aca="false">C16-C15</f>
        <v>106</v>
      </c>
      <c r="E16" s="115" t="n">
        <f aca="false">C16-152000</f>
        <v>116983</v>
      </c>
      <c r="F16" s="283" t="n">
        <f aca="false">D16/$D$2</f>
        <v>53.4408873203932</v>
      </c>
      <c r="G16" s="141" t="n">
        <v>109</v>
      </c>
      <c r="H16" s="258" t="n">
        <v>0.69</v>
      </c>
      <c r="I16" s="141" t="n">
        <f aca="false">G16+H16</f>
        <v>109.69</v>
      </c>
      <c r="J16" s="261" t="n">
        <f aca="false">IF(L16&gt;0,L16,0)</f>
        <v>0</v>
      </c>
      <c r="K16" s="141" t="n">
        <f aca="false">I16+J16</f>
        <v>109.69</v>
      </c>
      <c r="L16" s="141" t="n">
        <f aca="false">F16-(I16-AF16)</f>
        <v>-28.8491126796067</v>
      </c>
      <c r="M16" s="284" t="n">
        <v>3.4</v>
      </c>
      <c r="N16" s="141" t="n">
        <v>0</v>
      </c>
      <c r="O16" s="141" t="n">
        <v>0</v>
      </c>
      <c r="P16" s="258" t="n">
        <v>0</v>
      </c>
      <c r="Q16" s="138" t="n">
        <f aca="false">1.6*1.02</f>
        <v>1.632</v>
      </c>
      <c r="R16" s="138" t="n">
        <v>3.37</v>
      </c>
      <c r="S16" s="138" t="n">
        <v>0</v>
      </c>
      <c r="T16" s="104" t="n">
        <f aca="false">M16-(Q16+R16+S16)</f>
        <v>-1.602</v>
      </c>
      <c r="U16" s="141" t="n">
        <v>0</v>
      </c>
      <c r="V16" s="141" t="n">
        <v>0</v>
      </c>
      <c r="W16" s="141" t="n">
        <f aca="false">M16-N16-O16-P16-Q16-R16-S16-T16+U16+V16</f>
        <v>0</v>
      </c>
      <c r="X16" s="261"/>
      <c r="Y16" s="261"/>
      <c r="Z16" s="115"/>
      <c r="AA16" s="141" t="n">
        <v>0</v>
      </c>
      <c r="AB16" s="284"/>
      <c r="AC16" s="285"/>
      <c r="AD16" s="141" t="n">
        <v>24</v>
      </c>
      <c r="AE16" s="115" t="n">
        <f aca="false">AE15-AD16</f>
        <v>3002</v>
      </c>
      <c r="AF16" s="140" t="n">
        <f aca="false">N16+O16+P16+Q16+R16+S16+T16+W16+AA16+AD16</f>
        <v>27.4</v>
      </c>
      <c r="AG16" s="141" t="n">
        <f aca="false">IF(L16&lt;0,L16*-1,0)</f>
        <v>28.8491126796067</v>
      </c>
      <c r="AH16" s="141" t="n">
        <f aca="false">AF16+AG16</f>
        <v>56.2491126796068</v>
      </c>
      <c r="AI16" s="263" t="n">
        <v>0</v>
      </c>
      <c r="AJ16" s="264" t="n">
        <v>46</v>
      </c>
      <c r="AK16" s="265" t="n">
        <v>19</v>
      </c>
      <c r="AL16" s="264" t="n">
        <f aca="false">AL15</f>
        <v>8822.236385</v>
      </c>
      <c r="AM16" s="261" t="n">
        <v>0</v>
      </c>
      <c r="AN16" s="266"/>
      <c r="AO16" s="266"/>
      <c r="AP16" s="266"/>
    </row>
    <row r="17" customFormat="false" ht="12.95" hidden="false" customHeight="true" outlineLevel="0" collapsed="false">
      <c r="A17" s="186" t="n">
        <f aca="false">A16+1</f>
        <v>6</v>
      </c>
      <c r="B17" s="114" t="n">
        <v>6896.01</v>
      </c>
      <c r="C17" s="115" t="n">
        <v>269091</v>
      </c>
      <c r="D17" s="264" t="n">
        <f aca="false">C17-C16</f>
        <v>108</v>
      </c>
      <c r="E17" s="115" t="n">
        <f aca="false">C17-152000</f>
        <v>117091</v>
      </c>
      <c r="F17" s="283" t="n">
        <f aca="false">D17/$D$2</f>
        <v>54.4492059490799</v>
      </c>
      <c r="G17" s="141" t="n">
        <v>113</v>
      </c>
      <c r="H17" s="258" t="n">
        <v>0.76</v>
      </c>
      <c r="I17" s="141" t="n">
        <f aca="false">G17+H17</f>
        <v>113.76</v>
      </c>
      <c r="J17" s="261" t="n">
        <f aca="false">IF(L17&gt;0,L17,0)</f>
        <v>0</v>
      </c>
      <c r="K17" s="141" t="n">
        <f aca="false">I17+J17</f>
        <v>113.76</v>
      </c>
      <c r="L17" s="141" t="n">
        <f aca="false">F17-(I17-AF17)</f>
        <v>-31.9107940509201</v>
      </c>
      <c r="M17" s="284" t="n">
        <v>3.4</v>
      </c>
      <c r="N17" s="141" t="n">
        <v>0</v>
      </c>
      <c r="O17" s="141" t="n">
        <v>0</v>
      </c>
      <c r="P17" s="258" t="n">
        <v>0</v>
      </c>
      <c r="Q17" s="138" t="n">
        <f aca="false">1.6*1.02</f>
        <v>1.632</v>
      </c>
      <c r="R17" s="138" t="n">
        <v>2.6</v>
      </c>
      <c r="S17" s="138" t="n">
        <v>0</v>
      </c>
      <c r="T17" s="104" t="n">
        <f aca="false">M17-(Q17+R17+S17)</f>
        <v>-0.832</v>
      </c>
      <c r="U17" s="141" t="n">
        <v>0</v>
      </c>
      <c r="V17" s="141" t="n">
        <v>0</v>
      </c>
      <c r="W17" s="141" t="n">
        <f aca="false">M17-N17-O17-P17-Q17-R17-S17-T17+U17+V17</f>
        <v>0</v>
      </c>
      <c r="X17" s="261"/>
      <c r="Y17" s="261"/>
      <c r="Z17" s="115"/>
      <c r="AA17" s="141" t="n">
        <v>0</v>
      </c>
      <c r="AB17" s="284"/>
      <c r="AC17" s="285"/>
      <c r="AD17" s="141" t="n">
        <v>24</v>
      </c>
      <c r="AE17" s="115" t="n">
        <f aca="false">AE16-AD17</f>
        <v>2978</v>
      </c>
      <c r="AF17" s="140" t="n">
        <f aca="false">N17+O17+P17+Q17+R17+S17+T17+W17+AA17+AD17</f>
        <v>27.4</v>
      </c>
      <c r="AG17" s="141" t="n">
        <f aca="false">IF(L17&lt;0,L17*-1,0)</f>
        <v>31.9107940509201</v>
      </c>
      <c r="AH17" s="141" t="n">
        <f aca="false">AF17+AG17</f>
        <v>59.3107940509201</v>
      </c>
      <c r="AI17" s="263" t="n">
        <v>0</v>
      </c>
      <c r="AJ17" s="264" t="n">
        <v>50</v>
      </c>
      <c r="AK17" s="265" t="n">
        <v>23</v>
      </c>
      <c r="AL17" s="264" t="n">
        <f aca="false">AL16</f>
        <v>8822.236385</v>
      </c>
      <c r="AM17" s="261" t="n">
        <v>0</v>
      </c>
      <c r="AN17" s="266"/>
      <c r="AO17" s="266"/>
      <c r="AP17" s="266"/>
    </row>
    <row r="18" customFormat="false" ht="12.95" hidden="false" customHeight="true" outlineLevel="0" collapsed="false">
      <c r="A18" s="186" t="n">
        <f aca="false">A17+1</f>
        <v>7</v>
      </c>
      <c r="B18" s="114" t="n">
        <v>6896.05</v>
      </c>
      <c r="C18" s="115" t="n">
        <v>269234</v>
      </c>
      <c r="D18" s="264" t="n">
        <f aca="false">C18-C17</f>
        <v>143</v>
      </c>
      <c r="E18" s="115" t="n">
        <f aca="false">C18-152000</f>
        <v>117234</v>
      </c>
      <c r="F18" s="283" t="n">
        <f aca="false">D18/$D$2</f>
        <v>72.0947819510966</v>
      </c>
      <c r="G18" s="141" t="n">
        <v>112</v>
      </c>
      <c r="H18" s="258" t="n">
        <v>0.86</v>
      </c>
      <c r="I18" s="141" t="n">
        <f aca="false">G18+H18</f>
        <v>112.86</v>
      </c>
      <c r="J18" s="261" t="n">
        <f aca="false">IF(L18&gt;0,L18,0)</f>
        <v>0</v>
      </c>
      <c r="K18" s="141" t="n">
        <f aca="false">I18+J18</f>
        <v>112.86</v>
      </c>
      <c r="L18" s="141" t="n">
        <f aca="false">F18-(I18-AF18)</f>
        <v>-14.3652180489035</v>
      </c>
      <c r="M18" s="284" t="n">
        <v>3.4</v>
      </c>
      <c r="N18" s="141" t="n">
        <v>0</v>
      </c>
      <c r="O18" s="141" t="n">
        <v>0</v>
      </c>
      <c r="P18" s="258" t="n">
        <v>0</v>
      </c>
      <c r="Q18" s="138" t="n">
        <f aca="false">1.6*1.02</f>
        <v>1.632</v>
      </c>
      <c r="R18" s="138" t="n">
        <v>2.5</v>
      </c>
      <c r="S18" s="138" t="n">
        <v>0</v>
      </c>
      <c r="T18" s="104" t="n">
        <f aca="false">M18-(Q18+R18+S18)</f>
        <v>-0.732</v>
      </c>
      <c r="U18" s="141" t="n">
        <v>0</v>
      </c>
      <c r="V18" s="141" t="n">
        <v>0</v>
      </c>
      <c r="W18" s="141" t="n">
        <f aca="false">M18-N18-O18-P18-Q18-R18-S18-T18+U18+V18</f>
        <v>0</v>
      </c>
      <c r="X18" s="261"/>
      <c r="Y18" s="261"/>
      <c r="Z18" s="115"/>
      <c r="AA18" s="141" t="n">
        <v>0</v>
      </c>
      <c r="AB18" s="284"/>
      <c r="AC18" s="285"/>
      <c r="AD18" s="141" t="n">
        <v>23</v>
      </c>
      <c r="AE18" s="115" t="n">
        <f aca="false">AE17-AD18</f>
        <v>2955</v>
      </c>
      <c r="AF18" s="140" t="n">
        <f aca="false">N18+O18+P18+Q18+R18+S18+T18+W18+AA18+AD18</f>
        <v>26.4</v>
      </c>
      <c r="AG18" s="141" t="n">
        <f aca="false">IF(L18&lt;0,L18*-1,0)</f>
        <v>14.3652180489035</v>
      </c>
      <c r="AH18" s="141" t="n">
        <f aca="false">AF18+AG18</f>
        <v>40.7652180489035</v>
      </c>
      <c r="AI18" s="263" t="n">
        <v>0</v>
      </c>
      <c r="AJ18" s="264" t="n">
        <v>51</v>
      </c>
      <c r="AK18" s="265" t="n">
        <v>24</v>
      </c>
      <c r="AL18" s="264" t="n">
        <f aca="false">AL17</f>
        <v>8822.236385</v>
      </c>
      <c r="AM18" s="261" t="n">
        <v>0</v>
      </c>
      <c r="AN18" s="266"/>
      <c r="AO18" s="266"/>
      <c r="AP18" s="266"/>
    </row>
    <row r="19" customFormat="false" ht="12.95" hidden="false" customHeight="true" outlineLevel="0" collapsed="false">
      <c r="A19" s="186" t="n">
        <f aca="false">A18+1</f>
        <v>8</v>
      </c>
      <c r="B19" s="114" t="n">
        <v>6896.09</v>
      </c>
      <c r="C19" s="115" t="n">
        <v>269378</v>
      </c>
      <c r="D19" s="264" t="n">
        <f aca="false">C19-C18</f>
        <v>144</v>
      </c>
      <c r="E19" s="115" t="n">
        <f aca="false">C19-152000</f>
        <v>117378</v>
      </c>
      <c r="F19" s="283" t="n">
        <f aca="false">D19/$D$2</f>
        <v>72.5989412654399</v>
      </c>
      <c r="G19" s="141" t="n">
        <v>128</v>
      </c>
      <c r="H19" s="258" t="n">
        <v>0.99</v>
      </c>
      <c r="I19" s="141" t="n">
        <f aca="false">G19+H19</f>
        <v>128.99</v>
      </c>
      <c r="J19" s="261" t="n">
        <f aca="false">IF(L19&gt;0,L19,0)</f>
        <v>0</v>
      </c>
      <c r="K19" s="141" t="n">
        <f aca="false">I19+J19</f>
        <v>128.99</v>
      </c>
      <c r="L19" s="141" t="n">
        <f aca="false">F19-(I19-AF19)</f>
        <v>-29.7910587345601</v>
      </c>
      <c r="M19" s="284" t="n">
        <v>3.6</v>
      </c>
      <c r="N19" s="141" t="n">
        <v>0</v>
      </c>
      <c r="O19" s="141" t="n">
        <v>0</v>
      </c>
      <c r="P19" s="258" t="n">
        <v>0</v>
      </c>
      <c r="Q19" s="138" t="n">
        <f aca="false">1.6*1.02</f>
        <v>1.632</v>
      </c>
      <c r="R19" s="138" t="n">
        <v>2.54</v>
      </c>
      <c r="S19" s="138" t="n">
        <v>0</v>
      </c>
      <c r="T19" s="104" t="n">
        <f aca="false">M19-(Q19+R19+S19)</f>
        <v>-0.572000000000001</v>
      </c>
      <c r="U19" s="141" t="n">
        <v>0</v>
      </c>
      <c r="V19" s="141" t="n">
        <v>0</v>
      </c>
      <c r="W19" s="141" t="n">
        <f aca="false">M19-N19-O19-P19-Q19-R19-S19-T19+U19+V19</f>
        <v>0</v>
      </c>
      <c r="X19" s="261"/>
      <c r="Y19" s="261"/>
      <c r="Z19" s="115"/>
      <c r="AA19" s="141" t="n">
        <v>0</v>
      </c>
      <c r="AB19" s="284"/>
      <c r="AC19" s="285"/>
      <c r="AD19" s="141" t="n">
        <v>23</v>
      </c>
      <c r="AE19" s="115" t="n">
        <f aca="false">AE18-AD19</f>
        <v>2932</v>
      </c>
      <c r="AF19" s="140" t="n">
        <f aca="false">N19+O19+P19+Q19+R19+S19+T19+W19+AA19+AD19</f>
        <v>26.6</v>
      </c>
      <c r="AG19" s="141" t="n">
        <f aca="false">IF(L19&lt;0,L19*-1,0)</f>
        <v>29.7910587345601</v>
      </c>
      <c r="AH19" s="141" t="n">
        <f aca="false">AF19+AG19</f>
        <v>56.3910587345601</v>
      </c>
      <c r="AI19" s="263" t="n">
        <v>0</v>
      </c>
      <c r="AJ19" s="115" t="n">
        <v>50</v>
      </c>
      <c r="AK19" s="265" t="n">
        <v>24</v>
      </c>
      <c r="AL19" s="264" t="n">
        <f aca="false">AL18</f>
        <v>8822.236385</v>
      </c>
      <c r="AM19" s="261" t="n">
        <v>0</v>
      </c>
      <c r="AN19" s="266"/>
      <c r="AO19" s="266"/>
      <c r="AP19" s="266"/>
    </row>
    <row r="20" customFormat="false" ht="12.95" hidden="false" customHeight="true" outlineLevel="0" collapsed="false">
      <c r="A20" s="186" t="n">
        <f aca="false">A19+1</f>
        <v>9</v>
      </c>
      <c r="B20" s="114" t="n">
        <v>6896.13</v>
      </c>
      <c r="C20" s="115" t="n">
        <v>269521</v>
      </c>
      <c r="D20" s="264" t="n">
        <f aca="false">C20-C19</f>
        <v>143</v>
      </c>
      <c r="E20" s="115" t="n">
        <f aca="false">C20-152000</f>
        <v>117521</v>
      </c>
      <c r="F20" s="283" t="n">
        <f aca="false">D20/$D$2</f>
        <v>72.0947819510966</v>
      </c>
      <c r="G20" s="141" t="n">
        <v>130</v>
      </c>
      <c r="H20" s="258" t="n">
        <v>1</v>
      </c>
      <c r="I20" s="141" t="n">
        <f aca="false">G20+H20</f>
        <v>131</v>
      </c>
      <c r="J20" s="261" t="n">
        <f aca="false">IF(L20&gt;0,L20,0)</f>
        <v>0</v>
      </c>
      <c r="K20" s="141" t="n">
        <f aca="false">I20+J20</f>
        <v>131</v>
      </c>
      <c r="L20" s="141" t="n">
        <f aca="false">F20-(I20-AF20)</f>
        <v>-32.2052180489034</v>
      </c>
      <c r="M20" s="284" t="n">
        <v>3.7</v>
      </c>
      <c r="N20" s="141" t="n">
        <v>0</v>
      </c>
      <c r="O20" s="141" t="n">
        <v>0</v>
      </c>
      <c r="P20" s="258" t="n">
        <v>0</v>
      </c>
      <c r="Q20" s="138" t="n">
        <f aca="false">1.6*1.02</f>
        <v>1.632</v>
      </c>
      <c r="R20" s="138" t="n">
        <v>2.43</v>
      </c>
      <c r="S20" s="138" t="n">
        <v>0</v>
      </c>
      <c r="T20" s="104" t="n">
        <f aca="false">M20-(Q20+R20+S20)</f>
        <v>-0.362</v>
      </c>
      <c r="U20" s="141" t="n">
        <v>0</v>
      </c>
      <c r="V20" s="141" t="n">
        <v>0</v>
      </c>
      <c r="W20" s="141" t="n">
        <f aca="false">M20-N20-O20-P20-Q20-R20-S20-T20+U20+V20</f>
        <v>0</v>
      </c>
      <c r="X20" s="261"/>
      <c r="Y20" s="261"/>
      <c r="Z20" s="115"/>
      <c r="AA20" s="141" t="n">
        <v>0</v>
      </c>
      <c r="AB20" s="284"/>
      <c r="AC20" s="285"/>
      <c r="AD20" s="141" t="n">
        <v>23</v>
      </c>
      <c r="AE20" s="115" t="n">
        <f aca="false">AE19-AD20</f>
        <v>2909</v>
      </c>
      <c r="AF20" s="140" t="n">
        <f aca="false">N20+O20+P20+Q20+R20+S20+T20+W20+AA20+AD20</f>
        <v>26.7</v>
      </c>
      <c r="AG20" s="141" t="n">
        <f aca="false">IF(L20&lt;0,L20*-1,0)</f>
        <v>32.2052180489034</v>
      </c>
      <c r="AH20" s="141" t="n">
        <f aca="false">AF20+AG20</f>
        <v>58.9052180489035</v>
      </c>
      <c r="AI20" s="263" t="n">
        <v>0</v>
      </c>
      <c r="AJ20" s="115" t="n">
        <v>47</v>
      </c>
      <c r="AK20" s="265" t="n">
        <v>24</v>
      </c>
      <c r="AL20" s="264" t="n">
        <f aca="false">AL19</f>
        <v>8822.236385</v>
      </c>
      <c r="AM20" s="261" t="n">
        <v>0</v>
      </c>
      <c r="AN20" s="266"/>
      <c r="AO20" s="266"/>
      <c r="AP20" s="266"/>
    </row>
    <row r="21" customFormat="false" ht="12.95" hidden="false" customHeight="true" outlineLevel="0" collapsed="false">
      <c r="A21" s="186" t="n">
        <f aca="false">A20+1</f>
        <v>10</v>
      </c>
      <c r="B21" s="114" t="n">
        <v>6896.17</v>
      </c>
      <c r="C21" s="115" t="n">
        <v>269665</v>
      </c>
      <c r="D21" s="264" t="n">
        <f aca="false">C21-C20</f>
        <v>144</v>
      </c>
      <c r="E21" s="115" t="n">
        <f aca="false">C21-152000</f>
        <v>117665</v>
      </c>
      <c r="F21" s="283" t="n">
        <f aca="false">D21/$D$2</f>
        <v>72.5989412654399</v>
      </c>
      <c r="G21" s="141" t="n">
        <v>126</v>
      </c>
      <c r="H21" s="258" t="n">
        <v>0.99</v>
      </c>
      <c r="I21" s="141" t="n">
        <f aca="false">G21+H21</f>
        <v>126.99</v>
      </c>
      <c r="J21" s="261" t="n">
        <f aca="false">IF(L21&gt;0,L21,0)</f>
        <v>0</v>
      </c>
      <c r="K21" s="141" t="n">
        <f aca="false">I21+J21</f>
        <v>126.99</v>
      </c>
      <c r="L21" s="141" t="n">
        <f aca="false">F21-(I21-AF21)</f>
        <v>-27.6910587345601</v>
      </c>
      <c r="M21" s="284" t="n">
        <v>3.7</v>
      </c>
      <c r="N21" s="141" t="n">
        <v>0</v>
      </c>
      <c r="O21" s="141" t="n">
        <v>0</v>
      </c>
      <c r="P21" s="258" t="n">
        <v>0</v>
      </c>
      <c r="Q21" s="138" t="n">
        <f aca="false">1.6*1.02</f>
        <v>1.632</v>
      </c>
      <c r="R21" s="138" t="n">
        <v>2.39</v>
      </c>
      <c r="S21" s="138" t="n">
        <v>0</v>
      </c>
      <c r="T21" s="104" t="n">
        <f aca="false">M21-(Q21+R21+S21)</f>
        <v>-0.322</v>
      </c>
      <c r="U21" s="141" t="n">
        <v>0</v>
      </c>
      <c r="V21" s="141" t="n">
        <v>0</v>
      </c>
      <c r="W21" s="141" t="n">
        <f aca="false">M21-N21-O21-P21-Q21-R21-S21-T21+U21+V21</f>
        <v>0</v>
      </c>
      <c r="X21" s="261"/>
      <c r="Y21" s="261"/>
      <c r="Z21" s="115"/>
      <c r="AA21" s="141" t="n">
        <v>0</v>
      </c>
      <c r="AB21" s="284"/>
      <c r="AC21" s="285"/>
      <c r="AD21" s="141" t="n">
        <v>23</v>
      </c>
      <c r="AE21" s="115" t="n">
        <f aca="false">AE20-AD21</f>
        <v>2886</v>
      </c>
      <c r="AF21" s="140" t="n">
        <f aca="false">N21+O21+P21+Q21+R21+S21+T21+W21+AA21+AD21</f>
        <v>26.7</v>
      </c>
      <c r="AG21" s="141" t="n">
        <f aca="false">IF(L21&lt;0,L21*-1,0)</f>
        <v>27.6910587345601</v>
      </c>
      <c r="AH21" s="141" t="n">
        <f aca="false">AF21+AG21</f>
        <v>54.3910587345601</v>
      </c>
      <c r="AI21" s="263" t="n">
        <v>0.36</v>
      </c>
      <c r="AJ21" s="115" t="n">
        <v>46</v>
      </c>
      <c r="AK21" s="265" t="n">
        <v>25</v>
      </c>
      <c r="AL21" s="264" t="n">
        <f aca="false">AL20</f>
        <v>8822.236385</v>
      </c>
      <c r="AM21" s="261" t="n">
        <v>0</v>
      </c>
      <c r="AN21" s="266"/>
      <c r="AO21" s="266"/>
      <c r="AP21" s="266"/>
    </row>
    <row r="22" customFormat="false" ht="12.95" hidden="false" customHeight="true" outlineLevel="0" collapsed="false">
      <c r="A22" s="186" t="n">
        <f aca="false">A21+1</f>
        <v>11</v>
      </c>
      <c r="B22" s="114" t="n">
        <v>6896.2</v>
      </c>
      <c r="C22" s="115" t="n">
        <v>269772</v>
      </c>
      <c r="D22" s="264" t="n">
        <f aca="false">C22-C21</f>
        <v>107</v>
      </c>
      <c r="E22" s="115" t="n">
        <f aca="false">C22-152000</f>
        <v>117772</v>
      </c>
      <c r="F22" s="283" t="n">
        <f aca="false">D22/$D$2</f>
        <v>53.9450466347366</v>
      </c>
      <c r="G22" s="141" t="n">
        <v>130</v>
      </c>
      <c r="H22" s="258" t="n">
        <v>0.99</v>
      </c>
      <c r="I22" s="141" t="n">
        <f aca="false">G22+H22</f>
        <v>130.99</v>
      </c>
      <c r="J22" s="261" t="n">
        <f aca="false">IF(L22&gt;0,L22,0)</f>
        <v>0</v>
      </c>
      <c r="K22" s="141" t="n">
        <f aca="false">I22+J22</f>
        <v>130.99</v>
      </c>
      <c r="L22" s="141" t="n">
        <f aca="false">F22-(I22-AF22)</f>
        <v>-50.3449533652634</v>
      </c>
      <c r="M22" s="284" t="n">
        <v>3.7</v>
      </c>
      <c r="N22" s="141" t="n">
        <v>0</v>
      </c>
      <c r="O22" s="141" t="n">
        <v>0</v>
      </c>
      <c r="P22" s="258" t="n">
        <v>0</v>
      </c>
      <c r="Q22" s="138" t="n">
        <f aca="false">1.6*1.02</f>
        <v>1.632</v>
      </c>
      <c r="R22" s="138" t="n">
        <v>3.713</v>
      </c>
      <c r="S22" s="138" t="n">
        <v>0</v>
      </c>
      <c r="T22" s="104" t="n">
        <f aca="false">M22-(Q22+R22+S22)</f>
        <v>-1.645</v>
      </c>
      <c r="U22" s="141" t="n">
        <v>0</v>
      </c>
      <c r="V22" s="141" t="n">
        <v>0</v>
      </c>
      <c r="W22" s="141" t="n">
        <f aca="false">M22-N22-O22-P22-Q22-R22-S22-T22+U22+V22</f>
        <v>0</v>
      </c>
      <c r="X22" s="261"/>
      <c r="Y22" s="261"/>
      <c r="Z22" s="115"/>
      <c r="AA22" s="141" t="n">
        <v>0</v>
      </c>
      <c r="AB22" s="284"/>
      <c r="AC22" s="285"/>
      <c r="AD22" s="141" t="n">
        <v>23</v>
      </c>
      <c r="AE22" s="115" t="n">
        <f aca="false">AE21-AD22</f>
        <v>2863</v>
      </c>
      <c r="AF22" s="140" t="n">
        <f aca="false">N22+O22+P22+Q22+R22+S22+T22+W22+AA22+AD22</f>
        <v>26.7</v>
      </c>
      <c r="AG22" s="141" t="n">
        <f aca="false">IF(L22&lt;0,L22*-1,0)</f>
        <v>50.3449533652634</v>
      </c>
      <c r="AH22" s="141" t="n">
        <f aca="false">AF22+AG22</f>
        <v>77.0449533652634</v>
      </c>
      <c r="AI22" s="263" t="n">
        <v>0</v>
      </c>
      <c r="AJ22" s="115" t="n">
        <v>34</v>
      </c>
      <c r="AK22" s="265" t="n">
        <v>17</v>
      </c>
      <c r="AL22" s="264" t="n">
        <f aca="false">AL21</f>
        <v>8822.236385</v>
      </c>
      <c r="AM22" s="261" t="n">
        <v>0</v>
      </c>
      <c r="AN22" s="266"/>
      <c r="AO22" s="266"/>
      <c r="AP22" s="266"/>
    </row>
    <row r="23" customFormat="false" ht="12.95" hidden="false" customHeight="true" outlineLevel="0" collapsed="false">
      <c r="A23" s="186" t="n">
        <f aca="false">A22+1</f>
        <v>12</v>
      </c>
      <c r="B23" s="114" t="n">
        <v>6896.24</v>
      </c>
      <c r="C23" s="115" t="n">
        <v>269916</v>
      </c>
      <c r="D23" s="264" t="n">
        <f aca="false">C23-C22</f>
        <v>144</v>
      </c>
      <c r="E23" s="115" t="n">
        <f aca="false">C23-152000</f>
        <v>117916</v>
      </c>
      <c r="F23" s="283" t="n">
        <f aca="false">D23/$D$2</f>
        <v>72.5989412654399</v>
      </c>
      <c r="G23" s="141" t="n">
        <v>125</v>
      </c>
      <c r="H23" s="258" t="n">
        <v>0.99</v>
      </c>
      <c r="I23" s="141" t="n">
        <f aca="false">G23+H23</f>
        <v>125.99</v>
      </c>
      <c r="J23" s="261" t="n">
        <f aca="false">IF(L23&gt;0,L23,0)</f>
        <v>0</v>
      </c>
      <c r="K23" s="141" t="n">
        <f aca="false">I23+J23</f>
        <v>125.99</v>
      </c>
      <c r="L23" s="141" t="n">
        <f aca="false">F23-(I23-AF23)</f>
        <v>-26.6910587345601</v>
      </c>
      <c r="M23" s="284" t="n">
        <v>3.7</v>
      </c>
      <c r="N23" s="141" t="n">
        <v>0</v>
      </c>
      <c r="O23" s="141" t="n">
        <v>0</v>
      </c>
      <c r="P23" s="258" t="n">
        <v>0</v>
      </c>
      <c r="Q23" s="138" t="n">
        <f aca="false">1.6*1.02</f>
        <v>1.632</v>
      </c>
      <c r="R23" s="138" t="n">
        <v>1.55</v>
      </c>
      <c r="S23" s="138" t="n">
        <v>0</v>
      </c>
      <c r="T23" s="104" t="n">
        <f aca="false">M23-(Q23+R23+S23)</f>
        <v>0.518</v>
      </c>
      <c r="U23" s="141" t="n">
        <v>0</v>
      </c>
      <c r="V23" s="141" t="n">
        <v>0</v>
      </c>
      <c r="W23" s="141" t="n">
        <f aca="false">M23-N23-O23-P23-Q23-R23-S23-T23+U23+V23</f>
        <v>0</v>
      </c>
      <c r="X23" s="261"/>
      <c r="Y23" s="261"/>
      <c r="Z23" s="115"/>
      <c r="AA23" s="141" t="n">
        <v>0</v>
      </c>
      <c r="AB23" s="284"/>
      <c r="AC23" s="285"/>
      <c r="AD23" s="141" t="n">
        <v>23</v>
      </c>
      <c r="AE23" s="115" t="n">
        <f aca="false">AE22-AD23</f>
        <v>2840</v>
      </c>
      <c r="AF23" s="140" t="n">
        <f aca="false">N23+O23+P23+Q23+R23+S23+T23+W23+AA23+AD23</f>
        <v>26.7</v>
      </c>
      <c r="AG23" s="141" t="n">
        <f aca="false">IF(L23&lt;0,L23*-1,0)</f>
        <v>26.6910587345601</v>
      </c>
      <c r="AH23" s="141" t="n">
        <f aca="false">AF23+AG23</f>
        <v>53.3910587345601</v>
      </c>
      <c r="AI23" s="263" t="n">
        <v>0</v>
      </c>
      <c r="AJ23" s="115" t="n">
        <v>38</v>
      </c>
      <c r="AK23" s="265" t="n">
        <v>14</v>
      </c>
      <c r="AL23" s="264" t="n">
        <f aca="false">AL22</f>
        <v>8822.236385</v>
      </c>
      <c r="AM23" s="261" t="n">
        <v>0</v>
      </c>
      <c r="AN23" s="266"/>
      <c r="AO23" s="266"/>
      <c r="AP23" s="266"/>
    </row>
    <row r="24" customFormat="false" ht="12.95" hidden="false" customHeight="true" outlineLevel="0" collapsed="false">
      <c r="A24" s="186" t="n">
        <f aca="false">A23+1</f>
        <v>13</v>
      </c>
      <c r="B24" s="114" t="n">
        <v>6896.28</v>
      </c>
      <c r="C24" s="115" t="n">
        <v>270059</v>
      </c>
      <c r="D24" s="264" t="n">
        <f aca="false">C24-C23</f>
        <v>143</v>
      </c>
      <c r="E24" s="115" t="n">
        <f aca="false">C24-152000</f>
        <v>118059</v>
      </c>
      <c r="F24" s="283" t="n">
        <f aca="false">D24/$D$2</f>
        <v>72.0947819510966</v>
      </c>
      <c r="G24" s="141" t="n">
        <v>115</v>
      </c>
      <c r="H24" s="258" t="n">
        <v>0.98</v>
      </c>
      <c r="I24" s="141" t="n">
        <f aca="false">G24+H24</f>
        <v>115.98</v>
      </c>
      <c r="J24" s="261" t="n">
        <f aca="false">IF(L24&gt;0,L24,0)</f>
        <v>0</v>
      </c>
      <c r="K24" s="141" t="n">
        <f aca="false">I24+J24</f>
        <v>115.98</v>
      </c>
      <c r="L24" s="141" t="n">
        <f aca="false">F24-(I24-AF24)</f>
        <v>-17.1852180489035</v>
      </c>
      <c r="M24" s="284" t="n">
        <v>3.7</v>
      </c>
      <c r="N24" s="141" t="n">
        <v>0</v>
      </c>
      <c r="O24" s="141" t="n">
        <v>0</v>
      </c>
      <c r="P24" s="258" t="n">
        <v>0</v>
      </c>
      <c r="Q24" s="138" t="n">
        <f aca="false">1.6*1.02</f>
        <v>1.632</v>
      </c>
      <c r="R24" s="138" t="n">
        <v>3.39</v>
      </c>
      <c r="S24" s="138" t="n">
        <v>0</v>
      </c>
      <c r="T24" s="104" t="n">
        <f aca="false">M24-(Q24+R24+S24)</f>
        <v>-1.322</v>
      </c>
      <c r="U24" s="141" t="n">
        <v>0</v>
      </c>
      <c r="V24" s="141" t="n">
        <v>0</v>
      </c>
      <c r="W24" s="141" t="n">
        <f aca="false">M24-N24-O24-P24-Q24-R24-S24-T24+U24+V24</f>
        <v>0</v>
      </c>
      <c r="X24" s="261"/>
      <c r="Y24" s="261"/>
      <c r="Z24" s="115"/>
      <c r="AA24" s="141" t="n">
        <v>0</v>
      </c>
      <c r="AB24" s="284"/>
      <c r="AC24" s="285"/>
      <c r="AD24" s="141" t="n">
        <v>23</v>
      </c>
      <c r="AE24" s="115" t="n">
        <f aca="false">AE23-AD24</f>
        <v>2817</v>
      </c>
      <c r="AF24" s="140" t="n">
        <f aca="false">N24+O24+P24+Q24+R24+S24+T24+W24+AA24+AD24</f>
        <v>26.7</v>
      </c>
      <c r="AG24" s="141" t="n">
        <f aca="false">IF(L24&lt;0,L24*-1,0)</f>
        <v>17.1852180489035</v>
      </c>
      <c r="AH24" s="141" t="n">
        <f aca="false">AF24+AG24</f>
        <v>43.8852180489035</v>
      </c>
      <c r="AI24" s="263" t="n">
        <v>0</v>
      </c>
      <c r="AJ24" s="115" t="n">
        <v>43</v>
      </c>
      <c r="AK24" s="265" t="n">
        <v>19</v>
      </c>
      <c r="AL24" s="264" t="n">
        <f aca="false">AL23</f>
        <v>8822.236385</v>
      </c>
      <c r="AM24" s="261" t="n">
        <v>0</v>
      </c>
      <c r="AN24" s="266"/>
      <c r="AO24" s="266"/>
      <c r="AP24" s="266"/>
    </row>
    <row r="25" customFormat="false" ht="12.95" hidden="false" customHeight="true" outlineLevel="0" collapsed="false">
      <c r="A25" s="186" t="n">
        <f aca="false">A24+1</f>
        <v>14</v>
      </c>
      <c r="B25" s="114" t="n">
        <v>6896.32</v>
      </c>
      <c r="C25" s="115" t="n">
        <v>270203</v>
      </c>
      <c r="D25" s="264" t="n">
        <f aca="false">C25-C24</f>
        <v>144</v>
      </c>
      <c r="E25" s="115" t="n">
        <f aca="false">C25-152000</f>
        <v>118203</v>
      </c>
      <c r="F25" s="283" t="n">
        <f aca="false">D25/$D$2</f>
        <v>72.5989412654399</v>
      </c>
      <c r="G25" s="141" t="n">
        <v>126</v>
      </c>
      <c r="H25" s="258" t="n">
        <v>0.96</v>
      </c>
      <c r="I25" s="141" t="n">
        <f aca="false">G25+H25</f>
        <v>126.96</v>
      </c>
      <c r="J25" s="261" t="n">
        <f aca="false">IF(L25&gt;0,L25,0)</f>
        <v>0</v>
      </c>
      <c r="K25" s="141" t="n">
        <f aca="false">I25+J25</f>
        <v>126.96</v>
      </c>
      <c r="L25" s="141" t="n">
        <f aca="false">F25-(I25-AF25)</f>
        <v>-27.6610587345601</v>
      </c>
      <c r="M25" s="284" t="n">
        <v>3.7</v>
      </c>
      <c r="N25" s="141" t="n">
        <v>0</v>
      </c>
      <c r="O25" s="141" t="n">
        <v>0</v>
      </c>
      <c r="P25" s="258" t="n">
        <v>0</v>
      </c>
      <c r="Q25" s="138" t="n">
        <f aca="false">1.6*1.02</f>
        <v>1.632</v>
      </c>
      <c r="R25" s="138" t="n">
        <v>2.97</v>
      </c>
      <c r="S25" s="138" t="n">
        <v>0</v>
      </c>
      <c r="T25" s="104" t="n">
        <f aca="false">M25-(Q25+R25+S25)</f>
        <v>-0.902</v>
      </c>
      <c r="U25" s="141" t="n">
        <v>0</v>
      </c>
      <c r="V25" s="141" t="n">
        <v>0</v>
      </c>
      <c r="W25" s="141" t="n">
        <f aca="false">M25-N25-O25-P25-Q25-R25-S25-T25+U25+V25</f>
        <v>0</v>
      </c>
      <c r="X25" s="261"/>
      <c r="Y25" s="261"/>
      <c r="Z25" s="115"/>
      <c r="AA25" s="141" t="n">
        <v>0</v>
      </c>
      <c r="AB25" s="284"/>
      <c r="AC25" s="285"/>
      <c r="AD25" s="141" t="n">
        <v>23</v>
      </c>
      <c r="AE25" s="115" t="n">
        <f aca="false">AE24-AD25</f>
        <v>2794</v>
      </c>
      <c r="AF25" s="140" t="n">
        <f aca="false">N25+O25+P25+Q25+R25+S25+T25+W25+AA25+AD25</f>
        <v>26.7</v>
      </c>
      <c r="AG25" s="141" t="n">
        <f aca="false">IF(L25&lt;0,L25*-1,0)</f>
        <v>27.6610587345601</v>
      </c>
      <c r="AH25" s="141" t="n">
        <f aca="false">AF25+AG25</f>
        <v>54.3610587345601</v>
      </c>
      <c r="AI25" s="263" t="n">
        <v>0</v>
      </c>
      <c r="AJ25" s="115" t="n">
        <v>45</v>
      </c>
      <c r="AK25" s="265" t="n">
        <v>24</v>
      </c>
      <c r="AL25" s="264" t="n">
        <f aca="false">AL24</f>
        <v>8822.236385</v>
      </c>
      <c r="AM25" s="261" t="n">
        <v>0</v>
      </c>
      <c r="AN25" s="266"/>
      <c r="AO25" s="266"/>
      <c r="AP25" s="266"/>
    </row>
    <row r="26" customFormat="false" ht="12.95" hidden="false" customHeight="true" outlineLevel="0" collapsed="false">
      <c r="A26" s="186" t="n">
        <f aca="false">A25+1</f>
        <v>15</v>
      </c>
      <c r="B26" s="114" t="n">
        <v>6896.36</v>
      </c>
      <c r="C26" s="115" t="n">
        <v>270347</v>
      </c>
      <c r="D26" s="264" t="n">
        <f aca="false">C26-C25</f>
        <v>144</v>
      </c>
      <c r="E26" s="115" t="n">
        <f aca="false">C26-152000</f>
        <v>118347</v>
      </c>
      <c r="F26" s="283" t="n">
        <f aca="false">D26/$D$2</f>
        <v>72.5989412654399</v>
      </c>
      <c r="G26" s="141" t="n">
        <v>129</v>
      </c>
      <c r="H26" s="258" t="n">
        <v>1</v>
      </c>
      <c r="I26" s="141" t="n">
        <f aca="false">G26+H26</f>
        <v>130</v>
      </c>
      <c r="J26" s="261" t="n">
        <f aca="false">IF(L26&gt;0,L26,0)</f>
        <v>0</v>
      </c>
      <c r="K26" s="141" t="n">
        <f aca="false">I26+J26</f>
        <v>130</v>
      </c>
      <c r="L26" s="141" t="n">
        <f aca="false">F26-(I26-AF26)</f>
        <v>-29.7010587345601</v>
      </c>
      <c r="M26" s="284" t="n">
        <v>3.7</v>
      </c>
      <c r="N26" s="141" t="n">
        <v>0</v>
      </c>
      <c r="O26" s="141" t="n">
        <v>0</v>
      </c>
      <c r="P26" s="258" t="n">
        <v>0</v>
      </c>
      <c r="Q26" s="138" t="n">
        <f aca="false">1.6*1.02</f>
        <v>1.632</v>
      </c>
      <c r="R26" s="138" t="n">
        <v>2.55</v>
      </c>
      <c r="S26" s="138" t="n">
        <v>0</v>
      </c>
      <c r="T26" s="104" t="n">
        <f aca="false">M26-(Q26+R26+S26)</f>
        <v>-0.482</v>
      </c>
      <c r="U26" s="141" t="n">
        <v>0</v>
      </c>
      <c r="V26" s="141" t="n">
        <v>0</v>
      </c>
      <c r="W26" s="141" t="n">
        <f aca="false">M26-N26-O26-P26-Q26-R26-S26-T26+U26+V26</f>
        <v>0</v>
      </c>
      <c r="X26" s="261"/>
      <c r="Y26" s="261"/>
      <c r="Z26" s="115"/>
      <c r="AA26" s="141" t="n">
        <v>0</v>
      </c>
      <c r="AB26" s="284"/>
      <c r="AC26" s="285"/>
      <c r="AD26" s="141" t="n">
        <v>24</v>
      </c>
      <c r="AE26" s="115" t="n">
        <f aca="false">AE25-AD26</f>
        <v>2770</v>
      </c>
      <c r="AF26" s="140" t="n">
        <f aca="false">N26+O26+P26+Q26+R26+S26+T26+W26+AA26+AD26</f>
        <v>27.7</v>
      </c>
      <c r="AG26" s="141" t="n">
        <f aca="false">IF(L26&lt;0,L26*-1,0)</f>
        <v>29.7010587345601</v>
      </c>
      <c r="AH26" s="141" t="n">
        <f aca="false">AF26+AG26</f>
        <v>57.4010587345601</v>
      </c>
      <c r="AI26" s="263" t="n">
        <v>0</v>
      </c>
      <c r="AJ26" s="115" t="n">
        <v>49</v>
      </c>
      <c r="AK26" s="265" t="n">
        <v>27</v>
      </c>
      <c r="AL26" s="264" t="n">
        <f aca="false">AL25</f>
        <v>8822.236385</v>
      </c>
      <c r="AM26" s="261" t="n">
        <v>0</v>
      </c>
      <c r="AN26" s="266"/>
      <c r="AO26" s="266"/>
      <c r="AP26" s="266"/>
    </row>
    <row r="27" customFormat="false" ht="12.95" hidden="false" customHeight="true" outlineLevel="0" collapsed="false">
      <c r="A27" s="186" t="n">
        <f aca="false">A26+1</f>
        <v>16</v>
      </c>
      <c r="B27" s="114" t="n">
        <v>6896.4</v>
      </c>
      <c r="C27" s="115" t="n">
        <v>270490</v>
      </c>
      <c r="D27" s="264" t="n">
        <f aca="false">C27-C26</f>
        <v>143</v>
      </c>
      <c r="E27" s="115" t="n">
        <f aca="false">C27-152000</f>
        <v>118490</v>
      </c>
      <c r="F27" s="283" t="n">
        <f aca="false">D27/$D$2</f>
        <v>72.0947819510966</v>
      </c>
      <c r="G27" s="141" t="n">
        <v>89</v>
      </c>
      <c r="H27" s="258" t="n">
        <v>0.77</v>
      </c>
      <c r="I27" s="141" t="n">
        <f aca="false">G27+H27</f>
        <v>89.77</v>
      </c>
      <c r="J27" s="261" t="n">
        <f aca="false">IF(L27&gt;0,L27,0)</f>
        <v>9.02478195109656</v>
      </c>
      <c r="K27" s="141" t="n">
        <f aca="false">I27+J27</f>
        <v>98.7947819510966</v>
      </c>
      <c r="L27" s="141" t="n">
        <f aca="false">F27-(I27-AF27)</f>
        <v>9.02478195109656</v>
      </c>
      <c r="M27" s="284" t="n">
        <v>3.7</v>
      </c>
      <c r="N27" s="141" t="n">
        <v>0</v>
      </c>
      <c r="O27" s="141" t="n">
        <v>0</v>
      </c>
      <c r="P27" s="258" t="n">
        <v>0</v>
      </c>
      <c r="Q27" s="138" t="n">
        <f aca="false">1.6*1.02</f>
        <v>1.632</v>
      </c>
      <c r="R27" s="138" t="n">
        <v>2.69</v>
      </c>
      <c r="S27" s="138" t="n">
        <v>0</v>
      </c>
      <c r="T27" s="104" t="n">
        <f aca="false">M27-(Q27+R27+S27)</f>
        <v>-0.622</v>
      </c>
      <c r="U27" s="141" t="n">
        <v>0</v>
      </c>
      <c r="V27" s="141" t="n">
        <v>0</v>
      </c>
      <c r="W27" s="141" t="n">
        <f aca="false">M27-N27-O27-P27-Q27-R27-S27-T27+U27+V27</f>
        <v>0</v>
      </c>
      <c r="X27" s="261"/>
      <c r="Y27" s="261"/>
      <c r="Z27" s="115"/>
      <c r="AA27" s="141" t="n">
        <v>0</v>
      </c>
      <c r="AB27" s="284"/>
      <c r="AC27" s="285"/>
      <c r="AD27" s="141" t="n">
        <v>23</v>
      </c>
      <c r="AE27" s="115" t="n">
        <f aca="false">AE26-AD27</f>
        <v>2747</v>
      </c>
      <c r="AF27" s="140" t="n">
        <f aca="false">N27+O27+P27+Q27+R27+S27+T27+W27+AA27+AD27</f>
        <v>26.7</v>
      </c>
      <c r="AG27" s="141" t="n">
        <f aca="false">IF(L27&lt;0,L27*-1,0)</f>
        <v>0</v>
      </c>
      <c r="AH27" s="141" t="n">
        <f aca="false">AF27+AG27</f>
        <v>26.7</v>
      </c>
      <c r="AI27" s="263" t="n">
        <v>0</v>
      </c>
      <c r="AJ27" s="115" t="n">
        <v>47</v>
      </c>
      <c r="AK27" s="265" t="n">
        <v>30</v>
      </c>
      <c r="AL27" s="264" t="n">
        <f aca="false">AL26</f>
        <v>8822.236385</v>
      </c>
      <c r="AM27" s="261" t="n">
        <v>0</v>
      </c>
      <c r="AN27" s="266"/>
      <c r="AO27" s="266"/>
      <c r="AP27" s="266"/>
    </row>
    <row r="28" customFormat="false" ht="12.95" hidden="false" customHeight="true" outlineLevel="0" collapsed="false">
      <c r="A28" s="186" t="n">
        <f aca="false">A27+1</f>
        <v>17</v>
      </c>
      <c r="B28" s="114" t="n">
        <v>6896.44</v>
      </c>
      <c r="C28" s="115" t="n">
        <v>270634</v>
      </c>
      <c r="D28" s="264" t="n">
        <f aca="false">C28-C27</f>
        <v>144</v>
      </c>
      <c r="E28" s="115" t="n">
        <f aca="false">C28-152000</f>
        <v>118634</v>
      </c>
      <c r="F28" s="283" t="n">
        <f aca="false">D28/$D$2</f>
        <v>72.5989412654399</v>
      </c>
      <c r="G28" s="141" t="n">
        <v>76</v>
      </c>
      <c r="H28" s="258" t="n">
        <v>0.72</v>
      </c>
      <c r="I28" s="141" t="n">
        <f aca="false">G28+H28</f>
        <v>76.72</v>
      </c>
      <c r="J28" s="261" t="n">
        <f aca="false">IF(L28&gt;0,L28,0)</f>
        <v>22.5789412654399</v>
      </c>
      <c r="K28" s="141" t="n">
        <f aca="false">I28+J28</f>
        <v>99.2989412654399</v>
      </c>
      <c r="L28" s="141" t="n">
        <f aca="false">F28-(I28-AF28)</f>
        <v>22.5789412654399</v>
      </c>
      <c r="M28" s="284" t="n">
        <v>3.7</v>
      </c>
      <c r="N28" s="141" t="n">
        <v>0</v>
      </c>
      <c r="O28" s="141" t="n">
        <v>0</v>
      </c>
      <c r="P28" s="258" t="n">
        <v>0</v>
      </c>
      <c r="Q28" s="138" t="n">
        <f aca="false">1.6*1.02</f>
        <v>1.632</v>
      </c>
      <c r="R28" s="138" t="n">
        <v>2.29</v>
      </c>
      <c r="S28" s="138" t="n">
        <v>0</v>
      </c>
      <c r="T28" s="104" t="n">
        <f aca="false">M28-(Q28+R28+S28)</f>
        <v>-0.222</v>
      </c>
      <c r="U28" s="141" t="n">
        <v>0</v>
      </c>
      <c r="V28" s="141" t="n">
        <v>0</v>
      </c>
      <c r="W28" s="141" t="n">
        <f aca="false">M28-N28-O28-P28-Q28-R28-S28-T28+U28+V28</f>
        <v>0</v>
      </c>
      <c r="X28" s="261"/>
      <c r="Y28" s="261"/>
      <c r="Z28" s="115"/>
      <c r="AA28" s="141" t="n">
        <v>0</v>
      </c>
      <c r="AB28" s="284"/>
      <c r="AC28" s="285"/>
      <c r="AD28" s="141" t="n">
        <v>23</v>
      </c>
      <c r="AE28" s="115" t="n">
        <f aca="false">AE27-AD28</f>
        <v>2724</v>
      </c>
      <c r="AF28" s="140" t="n">
        <f aca="false">N28+O28+P28+Q28+R28+S28+T28+W28+AA28+AD28</f>
        <v>26.7</v>
      </c>
      <c r="AG28" s="141" t="n">
        <f aca="false">IF(L28&lt;0,L28*-1,0)</f>
        <v>0</v>
      </c>
      <c r="AH28" s="141" t="n">
        <f aca="false">AF28+AG28</f>
        <v>26.7</v>
      </c>
      <c r="AI28" s="263" t="n">
        <v>0.08</v>
      </c>
      <c r="AJ28" s="115" t="n">
        <v>42</v>
      </c>
      <c r="AK28" s="265" t="n">
        <v>30</v>
      </c>
      <c r="AL28" s="264" t="n">
        <f aca="false">AL27</f>
        <v>8822.236385</v>
      </c>
      <c r="AM28" s="261" t="n">
        <v>0</v>
      </c>
      <c r="AN28" s="266"/>
      <c r="AO28" s="266"/>
      <c r="AP28" s="266"/>
    </row>
    <row r="29" customFormat="false" ht="12.95" hidden="false" customHeight="true" outlineLevel="0" collapsed="false">
      <c r="A29" s="186" t="n">
        <f aca="false">A28+1</f>
        <v>18</v>
      </c>
      <c r="B29" s="114" t="n">
        <v>6896.54</v>
      </c>
      <c r="C29" s="115" t="n">
        <v>270992</v>
      </c>
      <c r="D29" s="264" t="n">
        <f aca="false">C29-C28</f>
        <v>358</v>
      </c>
      <c r="E29" s="115" t="n">
        <f aca="false">C29-152000</f>
        <v>118992</v>
      </c>
      <c r="F29" s="283" t="n">
        <f aca="false">D29/$D$2</f>
        <v>180.489034534913</v>
      </c>
      <c r="G29" s="141" t="n">
        <v>72</v>
      </c>
      <c r="H29" s="258" t="n">
        <v>0.72</v>
      </c>
      <c r="I29" s="141" t="n">
        <f aca="false">G29+H29</f>
        <v>72.72</v>
      </c>
      <c r="J29" s="261" t="n">
        <f aca="false">IF(L29&gt;0,L29,0)</f>
        <v>134.469034534913</v>
      </c>
      <c r="K29" s="141" t="n">
        <f aca="false">I29+J29</f>
        <v>207.189034534913</v>
      </c>
      <c r="L29" s="141" t="n">
        <f aca="false">F29-(I29-AF29)</f>
        <v>134.469034534913</v>
      </c>
      <c r="M29" s="284" t="n">
        <v>3.7</v>
      </c>
      <c r="N29" s="141" t="n">
        <v>0</v>
      </c>
      <c r="O29" s="141" t="n">
        <v>0</v>
      </c>
      <c r="P29" s="258" t="n">
        <v>0</v>
      </c>
      <c r="Q29" s="138" t="n">
        <f aca="false">1.6*1.02</f>
        <v>1.632</v>
      </c>
      <c r="R29" s="138" t="n">
        <v>2.38</v>
      </c>
      <c r="S29" s="138" t="n">
        <v>0</v>
      </c>
      <c r="T29" s="104" t="n">
        <f aca="false">M29-(Q29+R29+S29)</f>
        <v>-0.312</v>
      </c>
      <c r="U29" s="141" t="n">
        <v>0</v>
      </c>
      <c r="V29" s="141" t="n">
        <v>0</v>
      </c>
      <c r="W29" s="141" t="n">
        <f aca="false">M29-N29-O29-P29-Q29-R29-S29-T29+U29+V29</f>
        <v>0</v>
      </c>
      <c r="X29" s="261"/>
      <c r="Y29" s="261"/>
      <c r="Z29" s="115"/>
      <c r="AA29" s="141" t="n">
        <v>0</v>
      </c>
      <c r="AB29" s="284"/>
      <c r="AC29" s="285"/>
      <c r="AD29" s="141" t="n">
        <v>23</v>
      </c>
      <c r="AE29" s="115" t="n">
        <f aca="false">AE28-AD29</f>
        <v>2701</v>
      </c>
      <c r="AF29" s="140" t="n">
        <f aca="false">N29+O29+P29+Q29+R29+S29+T29+W29+AA29+AD29</f>
        <v>26.7</v>
      </c>
      <c r="AG29" s="141" t="n">
        <f aca="false">IF(L29&lt;0,L29*-1,0)</f>
        <v>0</v>
      </c>
      <c r="AH29" s="141" t="n">
        <f aca="false">AF29+AG29</f>
        <v>26.7</v>
      </c>
      <c r="AI29" s="263" t="n">
        <v>0.31</v>
      </c>
      <c r="AJ29" s="115" t="n">
        <v>44</v>
      </c>
      <c r="AK29" s="265" t="n">
        <v>25</v>
      </c>
      <c r="AL29" s="264" t="n">
        <f aca="false">AL28+(W29*1.9835)</f>
        <v>8822.236385</v>
      </c>
      <c r="AM29" s="261" t="n">
        <v>0</v>
      </c>
      <c r="AN29" s="266"/>
      <c r="AO29" s="266"/>
      <c r="AP29" s="266"/>
    </row>
    <row r="30" customFormat="false" ht="12.95" hidden="false" customHeight="true" outlineLevel="0" collapsed="false">
      <c r="A30" s="186" t="n">
        <f aca="false">A29+1</f>
        <v>19</v>
      </c>
      <c r="B30" s="114" t="n">
        <v>6896.64</v>
      </c>
      <c r="C30" s="115" t="n">
        <v>271351</v>
      </c>
      <c r="D30" s="264" t="n">
        <f aca="false">C30-C29</f>
        <v>359</v>
      </c>
      <c r="E30" s="115" t="n">
        <f aca="false">C30-152000</f>
        <v>119351</v>
      </c>
      <c r="F30" s="283" t="n">
        <f aca="false">D30/$D$2</f>
        <v>180.993193849256</v>
      </c>
      <c r="G30" s="141" t="n">
        <v>84</v>
      </c>
      <c r="H30" s="258" t="n">
        <v>0.68</v>
      </c>
      <c r="I30" s="141" t="n">
        <f aca="false">G30+H30</f>
        <v>84.68</v>
      </c>
      <c r="J30" s="261" t="n">
        <f aca="false">IF(L30&gt;0,L30,0)</f>
        <v>123.013193849256</v>
      </c>
      <c r="K30" s="141" t="n">
        <f aca="false">I30+J30</f>
        <v>207.693193849256</v>
      </c>
      <c r="L30" s="141" t="n">
        <f aca="false">F30-(I30-AF30)</f>
        <v>123.013193849256</v>
      </c>
      <c r="M30" s="284" t="n">
        <v>3.7</v>
      </c>
      <c r="N30" s="141" t="n">
        <v>0</v>
      </c>
      <c r="O30" s="141" t="n">
        <v>0</v>
      </c>
      <c r="P30" s="258" t="n">
        <v>0</v>
      </c>
      <c r="Q30" s="138" t="n">
        <f aca="false">1.6*1.02</f>
        <v>1.632</v>
      </c>
      <c r="R30" s="138" t="n">
        <v>2.54</v>
      </c>
      <c r="S30" s="138" t="n">
        <v>0</v>
      </c>
      <c r="T30" s="104" t="n">
        <f aca="false">M30-(Q30+R30+S30)</f>
        <v>-0.472</v>
      </c>
      <c r="U30" s="141" t="n">
        <v>0</v>
      </c>
      <c r="V30" s="141" t="n">
        <v>0</v>
      </c>
      <c r="W30" s="141" t="n">
        <f aca="false">M30-N30-O30-P30-Q30-R30-S30-T30+U30+V30</f>
        <v>0</v>
      </c>
      <c r="X30" s="261"/>
      <c r="Y30" s="261"/>
      <c r="Z30" s="115"/>
      <c r="AA30" s="141" t="n">
        <v>0</v>
      </c>
      <c r="AB30" s="284"/>
      <c r="AC30" s="285"/>
      <c r="AD30" s="141" t="n">
        <v>23</v>
      </c>
      <c r="AE30" s="115" t="n">
        <f aca="false">AE29-AD30</f>
        <v>2678</v>
      </c>
      <c r="AF30" s="140" t="n">
        <f aca="false">N30+O30+P30+Q30+R30+S30+T30+W30+AA30+AD30</f>
        <v>26.7</v>
      </c>
      <c r="AG30" s="141" t="n">
        <f aca="false">IF(L30&lt;0,L30*-1,0)</f>
        <v>0</v>
      </c>
      <c r="AH30" s="141" t="n">
        <f aca="false">AF30+AG30</f>
        <v>26.7</v>
      </c>
      <c r="AI30" s="263" t="n">
        <v>0.21</v>
      </c>
      <c r="AJ30" s="115" t="n">
        <v>36</v>
      </c>
      <c r="AK30" s="265" t="n">
        <v>21</v>
      </c>
      <c r="AL30" s="264" t="n">
        <f aca="false">AL29+(W30*1.9835)</f>
        <v>8822.236385</v>
      </c>
      <c r="AM30" s="261" t="n">
        <v>0</v>
      </c>
      <c r="AN30" s="266"/>
      <c r="AO30" s="266"/>
      <c r="AP30" s="266"/>
    </row>
    <row r="31" customFormat="false" ht="12.95" hidden="false" customHeight="true" outlineLevel="0" collapsed="false">
      <c r="A31" s="186" t="n">
        <f aca="false">A30+1</f>
        <v>20</v>
      </c>
      <c r="B31" s="114" t="n">
        <v>6896.66</v>
      </c>
      <c r="C31" s="115" t="n">
        <v>271423</v>
      </c>
      <c r="D31" s="264" t="n">
        <f aca="false">C31-C30</f>
        <v>72</v>
      </c>
      <c r="E31" s="115" t="n">
        <f aca="false">C31-152000</f>
        <v>119423</v>
      </c>
      <c r="F31" s="283" t="n">
        <f aca="false">D31/$D$2</f>
        <v>36.2994706327199</v>
      </c>
      <c r="G31" s="141" t="n">
        <v>69</v>
      </c>
      <c r="H31" s="258" t="n">
        <v>0.57</v>
      </c>
      <c r="I31" s="141" t="n">
        <f aca="false">G31+H31</f>
        <v>69.57</v>
      </c>
      <c r="J31" s="261" t="n">
        <f aca="false">IF(L31&gt;0,L31,0)</f>
        <v>0</v>
      </c>
      <c r="K31" s="141" t="n">
        <f aca="false">I31+J31</f>
        <v>69.57</v>
      </c>
      <c r="L31" s="141" t="n">
        <f aca="false">F31-(I31-AF31)</f>
        <v>-6.57052936728005</v>
      </c>
      <c r="M31" s="284" t="n">
        <v>3.7</v>
      </c>
      <c r="N31" s="141" t="n">
        <v>0</v>
      </c>
      <c r="O31" s="141" t="n">
        <v>0</v>
      </c>
      <c r="P31" s="258" t="n">
        <v>0</v>
      </c>
      <c r="Q31" s="138" t="n">
        <f aca="false">1.6*1.02</f>
        <v>1.632</v>
      </c>
      <c r="R31" s="138" t="n">
        <v>2.34</v>
      </c>
      <c r="S31" s="138" t="n">
        <v>0</v>
      </c>
      <c r="T31" s="104" t="n">
        <f aca="false">M31-(Q31+R31+S31)</f>
        <v>-0.272</v>
      </c>
      <c r="U31" s="141" t="n">
        <v>0</v>
      </c>
      <c r="V31" s="141" t="n">
        <v>0</v>
      </c>
      <c r="W31" s="141" t="n">
        <f aca="false">M31-N31-O31-P31-Q31-R31-S31-T31+U31+V31</f>
        <v>0</v>
      </c>
      <c r="X31" s="261"/>
      <c r="Y31" s="261"/>
      <c r="Z31" s="115"/>
      <c r="AA31" s="141" t="n">
        <v>0</v>
      </c>
      <c r="AB31" s="284"/>
      <c r="AC31" s="285"/>
      <c r="AD31" s="141" t="n">
        <v>23</v>
      </c>
      <c r="AE31" s="115" t="n">
        <f aca="false">AE30-AD31</f>
        <v>2655</v>
      </c>
      <c r="AF31" s="140" t="n">
        <f aca="false">N31+O31+P31+Q31+R31+S31+T31+W31+AA31+AD31</f>
        <v>26.7</v>
      </c>
      <c r="AG31" s="141" t="n">
        <f aca="false">IF(L31&lt;0,L31*-1,0)</f>
        <v>6.57052936728005</v>
      </c>
      <c r="AH31" s="141" t="n">
        <f aca="false">AF31+AG31</f>
        <v>33.27052936728</v>
      </c>
      <c r="AI31" s="263" t="n">
        <v>0</v>
      </c>
      <c r="AJ31" s="115" t="n">
        <v>28</v>
      </c>
      <c r="AK31" s="265" t="n">
        <v>21</v>
      </c>
      <c r="AL31" s="264" t="n">
        <f aca="false">AL30+(W31*1.9835)</f>
        <v>8822.236385</v>
      </c>
      <c r="AM31" s="261" t="n">
        <v>0</v>
      </c>
      <c r="AN31" s="266"/>
      <c r="AO31" s="266"/>
      <c r="AP31" s="266"/>
    </row>
    <row r="32" customFormat="false" ht="12.95" hidden="false" customHeight="true" outlineLevel="0" collapsed="false">
      <c r="A32" s="186" t="n">
        <f aca="false">A31+1</f>
        <v>21</v>
      </c>
      <c r="B32" s="114" t="n">
        <v>6896.68</v>
      </c>
      <c r="C32" s="115" t="n">
        <v>271495</v>
      </c>
      <c r="D32" s="264" t="n">
        <f aca="false">C32-C31</f>
        <v>72</v>
      </c>
      <c r="E32" s="115" t="n">
        <f aca="false">C32-152000</f>
        <v>119495</v>
      </c>
      <c r="F32" s="283" t="n">
        <f aca="false">D32/$D$2</f>
        <v>36.2994706327199</v>
      </c>
      <c r="G32" s="141" t="n">
        <v>80</v>
      </c>
      <c r="H32" s="258" t="n">
        <v>0.58</v>
      </c>
      <c r="I32" s="141" t="n">
        <f aca="false">G32+H32</f>
        <v>80.58</v>
      </c>
      <c r="J32" s="261" t="n">
        <f aca="false">IF(L32&gt;0,L32,0)</f>
        <v>0</v>
      </c>
      <c r="K32" s="141" t="n">
        <f aca="false">I32+J32</f>
        <v>80.58</v>
      </c>
      <c r="L32" s="141" t="n">
        <f aca="false">F32-(I32-AF32)</f>
        <v>-17.5805293672801</v>
      </c>
      <c r="M32" s="284" t="n">
        <v>3.7</v>
      </c>
      <c r="N32" s="141" t="n">
        <v>0</v>
      </c>
      <c r="O32" s="141" t="n">
        <v>0</v>
      </c>
      <c r="P32" s="258" t="n">
        <v>0</v>
      </c>
      <c r="Q32" s="138" t="n">
        <f aca="false">1.6*1.02</f>
        <v>1.632</v>
      </c>
      <c r="R32" s="138" t="n">
        <v>2.34</v>
      </c>
      <c r="S32" s="138" t="n">
        <v>0</v>
      </c>
      <c r="T32" s="104" t="n">
        <f aca="false">M32-(Q32+R32+S32)</f>
        <v>-0.272</v>
      </c>
      <c r="U32" s="141" t="n">
        <v>0</v>
      </c>
      <c r="V32" s="141" t="n">
        <v>0</v>
      </c>
      <c r="W32" s="141" t="n">
        <f aca="false">M32-N32-O32-P32-Q32-R32-S32-T32+U32+V32</f>
        <v>0</v>
      </c>
      <c r="X32" s="261"/>
      <c r="Y32" s="261"/>
      <c r="Z32" s="115"/>
      <c r="AA32" s="141" t="n">
        <v>0</v>
      </c>
      <c r="AB32" s="284"/>
      <c r="AC32" s="285"/>
      <c r="AD32" s="141" t="n">
        <v>23</v>
      </c>
      <c r="AE32" s="115" t="n">
        <f aca="false">AE31-AD32</f>
        <v>2632</v>
      </c>
      <c r="AF32" s="140" t="n">
        <f aca="false">N32+O32+P32+Q32+R32+S32+T32+W32+AA32+AD32</f>
        <v>26.7</v>
      </c>
      <c r="AG32" s="141" t="n">
        <f aca="false">IF(L32&lt;0,L32*-1,0)</f>
        <v>17.5805293672801</v>
      </c>
      <c r="AH32" s="141" t="n">
        <f aca="false">AF32+AG32</f>
        <v>44.2805293672801</v>
      </c>
      <c r="AI32" s="263" t="n">
        <v>0</v>
      </c>
      <c r="AJ32" s="115" t="n">
        <v>37</v>
      </c>
      <c r="AK32" s="265" t="n">
        <v>13</v>
      </c>
      <c r="AL32" s="264" t="n">
        <f aca="false">AL31+(W32*1.9835)</f>
        <v>8822.236385</v>
      </c>
      <c r="AM32" s="261" t="n">
        <v>0</v>
      </c>
      <c r="AN32" s="266"/>
      <c r="AO32" s="266"/>
      <c r="AP32" s="266"/>
    </row>
    <row r="33" customFormat="false" ht="12.95" hidden="false" customHeight="true" outlineLevel="0" collapsed="false">
      <c r="A33" s="186" t="n">
        <f aca="false">A32+1</f>
        <v>22</v>
      </c>
      <c r="B33" s="114" t="n">
        <v>6896.7</v>
      </c>
      <c r="C33" s="115" t="n">
        <v>271567</v>
      </c>
      <c r="D33" s="264" t="n">
        <f aca="false">C33-C32</f>
        <v>72</v>
      </c>
      <c r="E33" s="115" t="n">
        <f aca="false">C33-152000</f>
        <v>119567</v>
      </c>
      <c r="F33" s="283" t="n">
        <f aca="false">D33/$D$2</f>
        <v>36.2994706327199</v>
      </c>
      <c r="G33" s="141" t="n">
        <v>74</v>
      </c>
      <c r="H33" s="258" t="n">
        <v>0.63</v>
      </c>
      <c r="I33" s="141" t="n">
        <f aca="false">G33+H33</f>
        <v>74.63</v>
      </c>
      <c r="J33" s="261" t="n">
        <f aca="false">IF(L33&gt;0,L33,0)</f>
        <v>0</v>
      </c>
      <c r="K33" s="141" t="n">
        <f aca="false">I33+J33</f>
        <v>74.63</v>
      </c>
      <c r="L33" s="141" t="n">
        <f aca="false">F33-(I33-AF33)</f>
        <v>-11.6305293672801</v>
      </c>
      <c r="M33" s="284" t="n">
        <v>3.7</v>
      </c>
      <c r="N33" s="141" t="n">
        <v>0</v>
      </c>
      <c r="O33" s="141" t="n">
        <v>0</v>
      </c>
      <c r="P33" s="258" t="n">
        <v>0</v>
      </c>
      <c r="Q33" s="138" t="n">
        <f aca="false">1.6*1.02</f>
        <v>1.632</v>
      </c>
      <c r="R33" s="138" t="n">
        <v>2.54</v>
      </c>
      <c r="S33" s="138" t="n">
        <v>0</v>
      </c>
      <c r="T33" s="104" t="n">
        <f aca="false">M33-(Q33+R33+S33)</f>
        <v>-0.472</v>
      </c>
      <c r="U33" s="141" t="n">
        <v>0</v>
      </c>
      <c r="V33" s="141" t="n">
        <v>0</v>
      </c>
      <c r="W33" s="141" t="n">
        <f aca="false">M33-N33-O33-P33-Q33-R33-S33-T33+U33+V33</f>
        <v>0</v>
      </c>
      <c r="X33" s="261"/>
      <c r="Y33" s="261"/>
      <c r="Z33" s="115"/>
      <c r="AA33" s="141" t="n">
        <v>0</v>
      </c>
      <c r="AB33" s="284"/>
      <c r="AC33" s="285"/>
      <c r="AD33" s="141" t="n">
        <v>23</v>
      </c>
      <c r="AE33" s="115" t="n">
        <f aca="false">AE32-AD33</f>
        <v>2609</v>
      </c>
      <c r="AF33" s="140" t="n">
        <f aca="false">N33+O33+P33+Q33+R33+S33+T33+W33+AA33+AD33</f>
        <v>26.7</v>
      </c>
      <c r="AG33" s="141" t="n">
        <f aca="false">IF(L33&lt;0,L33*-1,0)</f>
        <v>11.6305293672801</v>
      </c>
      <c r="AH33" s="141" t="n">
        <f aca="false">AF33+AG33</f>
        <v>38.33052936728</v>
      </c>
      <c r="AI33" s="263" t="n">
        <v>0</v>
      </c>
      <c r="AJ33" s="115" t="n">
        <v>38</v>
      </c>
      <c r="AK33" s="265" t="n">
        <v>11</v>
      </c>
      <c r="AL33" s="264" t="n">
        <f aca="false">AL32+(W33*1.9835)</f>
        <v>8822.236385</v>
      </c>
      <c r="AM33" s="261" t="n">
        <v>0</v>
      </c>
      <c r="AN33" s="266"/>
      <c r="AO33" s="266"/>
      <c r="AP33" s="266"/>
    </row>
    <row r="34" customFormat="false" ht="12.95" hidden="false" customHeight="true" outlineLevel="0" collapsed="false">
      <c r="A34" s="186" t="n">
        <f aca="false">A33+1</f>
        <v>23</v>
      </c>
      <c r="B34" s="114" t="n">
        <v>6896.72</v>
      </c>
      <c r="C34" s="115" t="n">
        <v>271638</v>
      </c>
      <c r="D34" s="264" t="n">
        <f aca="false">C34-C33</f>
        <v>71</v>
      </c>
      <c r="E34" s="115" t="n">
        <f aca="false">C34-152000</f>
        <v>119638</v>
      </c>
      <c r="F34" s="283" t="n">
        <f aca="false">D34/$D$2</f>
        <v>35.7953113183766</v>
      </c>
      <c r="G34" s="141" t="n">
        <v>73</v>
      </c>
      <c r="H34" s="258" t="n">
        <v>0.63</v>
      </c>
      <c r="I34" s="141" t="n">
        <f aca="false">G34+H34</f>
        <v>73.63</v>
      </c>
      <c r="J34" s="261" t="n">
        <f aca="false">IF(L34&gt;0,L34,0)</f>
        <v>0</v>
      </c>
      <c r="K34" s="141" t="n">
        <f aca="false">I34+J34</f>
        <v>73.63</v>
      </c>
      <c r="L34" s="141" t="n">
        <f aca="false">F34-(I34-AF34)</f>
        <v>-11.1346886816234</v>
      </c>
      <c r="M34" s="284" t="n">
        <v>3.7</v>
      </c>
      <c r="N34" s="141" t="n">
        <v>0</v>
      </c>
      <c r="O34" s="141" t="n">
        <v>0</v>
      </c>
      <c r="P34" s="258" t="n">
        <v>0</v>
      </c>
      <c r="Q34" s="138" t="n">
        <f aca="false">1.6*1.02</f>
        <v>1.632</v>
      </c>
      <c r="R34" s="138" t="n">
        <v>3.01</v>
      </c>
      <c r="S34" s="138" t="n">
        <v>0</v>
      </c>
      <c r="T34" s="104" t="n">
        <f aca="false">M34-(Q34+R34+S34)</f>
        <v>-0.941999999999999</v>
      </c>
      <c r="U34" s="141" t="n">
        <v>0</v>
      </c>
      <c r="V34" s="141" t="n">
        <v>0</v>
      </c>
      <c r="W34" s="141" t="n">
        <f aca="false">M34-N34-O34-P34-Q34-R34-S34-T34+U34+V34</f>
        <v>0</v>
      </c>
      <c r="X34" s="261"/>
      <c r="Y34" s="261"/>
      <c r="Z34" s="115"/>
      <c r="AA34" s="141" t="n">
        <v>0</v>
      </c>
      <c r="AB34" s="284"/>
      <c r="AC34" s="285"/>
      <c r="AD34" s="141" t="n">
        <v>23</v>
      </c>
      <c r="AE34" s="115" t="n">
        <f aca="false">AE33-AD34</f>
        <v>2586</v>
      </c>
      <c r="AF34" s="140" t="n">
        <f aca="false">N34+O34+P34+Q34+R34+S34+T34+W34+AA34+AD34</f>
        <v>26.7</v>
      </c>
      <c r="AG34" s="141" t="n">
        <f aca="false">IF(L34&lt;0,L34*-1,0)</f>
        <v>11.1346886816234</v>
      </c>
      <c r="AH34" s="141" t="n">
        <f aca="false">AF34+AG34</f>
        <v>37.8346886816234</v>
      </c>
      <c r="AI34" s="263" t="n">
        <v>0</v>
      </c>
      <c r="AJ34" s="115" t="n">
        <v>40</v>
      </c>
      <c r="AK34" s="286" t="n">
        <v>14</v>
      </c>
      <c r="AL34" s="264" t="n">
        <f aca="false">AL33+(W34*1.9835)</f>
        <v>8822.236385</v>
      </c>
      <c r="AM34" s="261" t="n">
        <v>0</v>
      </c>
      <c r="AN34" s="266"/>
      <c r="AO34" s="266"/>
      <c r="AP34" s="266"/>
    </row>
    <row r="35" customFormat="false" ht="12.95" hidden="false" customHeight="true" outlineLevel="0" collapsed="false">
      <c r="A35" s="186" t="n">
        <f aca="false">A34+1</f>
        <v>24</v>
      </c>
      <c r="B35" s="114" t="n">
        <v>6896.74</v>
      </c>
      <c r="C35" s="115" t="n">
        <v>271710</v>
      </c>
      <c r="D35" s="264" t="n">
        <f aca="false">C35-C34</f>
        <v>72</v>
      </c>
      <c r="E35" s="115" t="n">
        <f aca="false">C35-152000</f>
        <v>119710</v>
      </c>
      <c r="F35" s="283" t="n">
        <f aca="false">D35/$D$2</f>
        <v>36.2994706327199</v>
      </c>
      <c r="G35" s="141" t="n">
        <v>67</v>
      </c>
      <c r="H35" s="258" t="n">
        <v>0.63</v>
      </c>
      <c r="I35" s="141" t="n">
        <f aca="false">G35+H35</f>
        <v>67.63</v>
      </c>
      <c r="J35" s="261" t="n">
        <f aca="false">IF(L35&gt;0,L35,0)</f>
        <v>0</v>
      </c>
      <c r="K35" s="141" t="n">
        <f aca="false">I35+J35</f>
        <v>67.63</v>
      </c>
      <c r="L35" s="141" t="n">
        <f aca="false">F35-(I35-AF35)</f>
        <v>-4.63052936728005</v>
      </c>
      <c r="M35" s="284" t="n">
        <v>3.7</v>
      </c>
      <c r="N35" s="141" t="n">
        <v>0</v>
      </c>
      <c r="O35" s="141" t="n">
        <v>0</v>
      </c>
      <c r="P35" s="258" t="n">
        <v>0</v>
      </c>
      <c r="Q35" s="138" t="n">
        <f aca="false">1.6*1.02</f>
        <v>1.632</v>
      </c>
      <c r="R35" s="138" t="n">
        <v>3.56</v>
      </c>
      <c r="S35" s="138" t="n">
        <v>0</v>
      </c>
      <c r="T35" s="104" t="n">
        <f aca="false">M35-(Q35+R35+S35)</f>
        <v>-1.492</v>
      </c>
      <c r="U35" s="141" t="n">
        <v>0</v>
      </c>
      <c r="V35" s="141" t="n">
        <v>0</v>
      </c>
      <c r="W35" s="141" t="n">
        <f aca="false">M35-N35-O35-P35-Q35-R35-S35-T35+U35+V35</f>
        <v>0</v>
      </c>
      <c r="X35" s="261"/>
      <c r="Y35" s="261"/>
      <c r="Z35" s="115"/>
      <c r="AA35" s="141" t="n">
        <v>0</v>
      </c>
      <c r="AB35" s="284"/>
      <c r="AC35" s="285"/>
      <c r="AD35" s="141" t="n">
        <v>23</v>
      </c>
      <c r="AE35" s="115" t="n">
        <f aca="false">AE34-AD35</f>
        <v>2563</v>
      </c>
      <c r="AF35" s="140" t="n">
        <f aca="false">N35+O35+P35+Q35+R35+S35+T35+W35+AA35+AD35</f>
        <v>26.7</v>
      </c>
      <c r="AG35" s="141" t="n">
        <f aca="false">IF(L35&lt;0,L35*-1,0)</f>
        <v>4.63052936728005</v>
      </c>
      <c r="AH35" s="141" t="n">
        <f aca="false">AF35+AG35</f>
        <v>31.3305293672801</v>
      </c>
      <c r="AI35" s="263" t="n">
        <v>0</v>
      </c>
      <c r="AJ35" s="115" t="n">
        <v>37</v>
      </c>
      <c r="AK35" s="286" t="n">
        <v>14</v>
      </c>
      <c r="AL35" s="264" t="n">
        <f aca="false">AL34+(W35*1.9835)</f>
        <v>8822.236385</v>
      </c>
      <c r="AM35" s="261" t="n">
        <v>0</v>
      </c>
      <c r="AN35" s="266"/>
      <c r="AO35" s="266"/>
      <c r="AP35" s="266"/>
    </row>
    <row r="36" customFormat="false" ht="12.95" hidden="false" customHeight="true" outlineLevel="0" collapsed="false">
      <c r="A36" s="186" t="n">
        <f aca="false">A35+1</f>
        <v>25</v>
      </c>
      <c r="B36" s="114" t="n">
        <v>6896.76</v>
      </c>
      <c r="C36" s="115" t="n">
        <v>271782</v>
      </c>
      <c r="D36" s="264" t="n">
        <f aca="false">C36-C35</f>
        <v>72</v>
      </c>
      <c r="E36" s="115" t="n">
        <f aca="false">C36-152000</f>
        <v>119782</v>
      </c>
      <c r="F36" s="283" t="n">
        <f aca="false">D36/$D$2</f>
        <v>36.2994706327199</v>
      </c>
      <c r="G36" s="141" t="n">
        <v>67</v>
      </c>
      <c r="H36" s="258" t="n">
        <v>0.63</v>
      </c>
      <c r="I36" s="141" t="n">
        <f aca="false">G36+H36</f>
        <v>67.63</v>
      </c>
      <c r="J36" s="261" t="n">
        <f aca="false">IF(L36&gt;0,L36,0)</f>
        <v>0</v>
      </c>
      <c r="K36" s="141" t="n">
        <f aca="false">I36+J36</f>
        <v>67.63</v>
      </c>
      <c r="L36" s="141" t="n">
        <f aca="false">F36-(I36-AF36)</f>
        <v>-4.63052936728005</v>
      </c>
      <c r="M36" s="284" t="n">
        <v>3.7</v>
      </c>
      <c r="N36" s="141" t="n">
        <v>0</v>
      </c>
      <c r="O36" s="141" t="n">
        <v>0</v>
      </c>
      <c r="P36" s="258" t="n">
        <v>0</v>
      </c>
      <c r="Q36" s="138" t="n">
        <f aca="false">1.6*1.02</f>
        <v>1.632</v>
      </c>
      <c r="R36" s="138" t="n">
        <v>2.57</v>
      </c>
      <c r="S36" s="138" t="n">
        <v>0</v>
      </c>
      <c r="T36" s="104" t="n">
        <f aca="false">M36-(Q36+R36+S36)</f>
        <v>-0.502</v>
      </c>
      <c r="U36" s="141" t="n">
        <v>0</v>
      </c>
      <c r="V36" s="141" t="n">
        <v>0</v>
      </c>
      <c r="W36" s="141" t="n">
        <f aca="false">M36-N36-O36-P36-Q36-R36-S36-T36+U36+V36</f>
        <v>0</v>
      </c>
      <c r="X36" s="261"/>
      <c r="Y36" s="261"/>
      <c r="Z36" s="115"/>
      <c r="AA36" s="141" t="n">
        <v>0</v>
      </c>
      <c r="AB36" s="284"/>
      <c r="AC36" s="285"/>
      <c r="AD36" s="141" t="n">
        <v>23</v>
      </c>
      <c r="AE36" s="115" t="n">
        <f aca="false">AE35-AD36</f>
        <v>2540</v>
      </c>
      <c r="AF36" s="140" t="n">
        <f aca="false">N36+O36+P36+Q36+R36+S36+T36+W36+AA36+AD36</f>
        <v>26.7</v>
      </c>
      <c r="AG36" s="141" t="n">
        <f aca="false">IF(L36&lt;0,L36*-1,0)</f>
        <v>4.63052936728005</v>
      </c>
      <c r="AH36" s="141" t="n">
        <f aca="false">AF36+AG36</f>
        <v>31.3305293672801</v>
      </c>
      <c r="AI36" s="263" t="n">
        <v>0</v>
      </c>
      <c r="AJ36" s="115" t="n">
        <v>40</v>
      </c>
      <c r="AK36" s="286" t="n">
        <v>11</v>
      </c>
      <c r="AL36" s="264" t="n">
        <f aca="false">AL35+(W36*1.9835)</f>
        <v>8822.236385</v>
      </c>
      <c r="AM36" s="261" t="n">
        <v>0</v>
      </c>
      <c r="AN36" s="266"/>
      <c r="AO36" s="266"/>
      <c r="AP36" s="266"/>
    </row>
    <row r="37" customFormat="false" ht="12.95" hidden="false" customHeight="true" outlineLevel="0" collapsed="false">
      <c r="A37" s="186" t="n">
        <f aca="false">A36+1</f>
        <v>26</v>
      </c>
      <c r="B37" s="114" t="n">
        <v>6896.78</v>
      </c>
      <c r="C37" s="115" t="n">
        <v>271854</v>
      </c>
      <c r="D37" s="264" t="n">
        <f aca="false">C37-C36</f>
        <v>72</v>
      </c>
      <c r="E37" s="115" t="n">
        <f aca="false">C37-152000</f>
        <v>119854</v>
      </c>
      <c r="F37" s="283" t="n">
        <f aca="false">D37/$D$2</f>
        <v>36.2994706327199</v>
      </c>
      <c r="G37" s="141" t="n">
        <v>65</v>
      </c>
      <c r="H37" s="258" t="n">
        <v>0.89</v>
      </c>
      <c r="I37" s="141" t="n">
        <f aca="false">G37+H37</f>
        <v>65.89</v>
      </c>
      <c r="J37" s="261" t="n">
        <f aca="false">IF(L37&gt;0,L37,0)</f>
        <v>0</v>
      </c>
      <c r="K37" s="141" t="n">
        <f aca="false">I37+J37</f>
        <v>65.89</v>
      </c>
      <c r="L37" s="141" t="n">
        <f aca="false">F37-(I37-AF37)</f>
        <v>-2.89052936728006</v>
      </c>
      <c r="M37" s="284" t="n">
        <v>3.7</v>
      </c>
      <c r="N37" s="141" t="n">
        <v>0</v>
      </c>
      <c r="O37" s="141" t="n">
        <v>0</v>
      </c>
      <c r="P37" s="258" t="n">
        <v>0</v>
      </c>
      <c r="Q37" s="138" t="n">
        <f aca="false">1.6*1.02</f>
        <v>1.632</v>
      </c>
      <c r="R37" s="138" t="n">
        <v>2.4</v>
      </c>
      <c r="S37" s="138" t="n">
        <v>0</v>
      </c>
      <c r="T37" s="104" t="n">
        <f aca="false">M37-(Q37+R37+S37)</f>
        <v>-0.332</v>
      </c>
      <c r="U37" s="141" t="n">
        <v>0</v>
      </c>
      <c r="V37" s="141" t="n">
        <v>0</v>
      </c>
      <c r="W37" s="141" t="n">
        <f aca="false">M37-N37-O37-P37-Q37-R37-S37-T37+U37+V37</f>
        <v>0</v>
      </c>
      <c r="X37" s="261"/>
      <c r="Y37" s="261"/>
      <c r="Z37" s="115"/>
      <c r="AA37" s="141" t="n">
        <v>0</v>
      </c>
      <c r="AB37" s="284"/>
      <c r="AC37" s="285"/>
      <c r="AD37" s="141" t="n">
        <v>23</v>
      </c>
      <c r="AE37" s="115" t="n">
        <f aca="false">AE36-AD37</f>
        <v>2517</v>
      </c>
      <c r="AF37" s="140" t="n">
        <f aca="false">N37+O37+P37+Q37+R37+S37+T37+W37+AA37+AD37</f>
        <v>26.7</v>
      </c>
      <c r="AG37" s="141" t="n">
        <f aca="false">IF(L37&lt;0,L37*-1,0)</f>
        <v>2.89052936728006</v>
      </c>
      <c r="AH37" s="141" t="n">
        <f aca="false">AF37+AG37</f>
        <v>29.5905293672801</v>
      </c>
      <c r="AI37" s="263" t="n">
        <v>0</v>
      </c>
      <c r="AJ37" s="115" t="n">
        <v>48</v>
      </c>
      <c r="AK37" s="265" t="n">
        <v>19</v>
      </c>
      <c r="AL37" s="264" t="n">
        <f aca="false">AL36+(W37*1.9835)</f>
        <v>8822.236385</v>
      </c>
      <c r="AM37" s="261" t="n">
        <v>0</v>
      </c>
      <c r="AN37" s="266"/>
      <c r="AO37" s="266"/>
      <c r="AP37" s="266"/>
    </row>
    <row r="38" customFormat="false" ht="12.95" hidden="false" customHeight="true" outlineLevel="0" collapsed="false">
      <c r="A38" s="186" t="n">
        <f aca="false">A37+1</f>
        <v>27</v>
      </c>
      <c r="B38" s="114" t="n">
        <v>6896.8</v>
      </c>
      <c r="C38" s="115" t="n">
        <v>271926</v>
      </c>
      <c r="D38" s="264" t="n">
        <f aca="false">C38-C37</f>
        <v>72</v>
      </c>
      <c r="E38" s="115" t="n">
        <f aca="false">C38-152000</f>
        <v>119926</v>
      </c>
      <c r="F38" s="283" t="n">
        <f aca="false">D38/$D$2</f>
        <v>36.2994706327199</v>
      </c>
      <c r="G38" s="141" t="n">
        <v>122</v>
      </c>
      <c r="H38" s="258" t="n">
        <v>1.2</v>
      </c>
      <c r="I38" s="141" t="n">
        <f aca="false">G38+H38</f>
        <v>123.2</v>
      </c>
      <c r="J38" s="261" t="n">
        <f aca="false">IF(L38&gt;0,L38,0)</f>
        <v>0</v>
      </c>
      <c r="K38" s="141" t="n">
        <f aca="false">I38+J38</f>
        <v>123.2</v>
      </c>
      <c r="L38" s="141" t="n">
        <f aca="false">F38-(I38-AF38)</f>
        <v>-60.2005293672801</v>
      </c>
      <c r="M38" s="284" t="n">
        <v>3.7</v>
      </c>
      <c r="N38" s="141" t="n">
        <v>0</v>
      </c>
      <c r="O38" s="141" t="n">
        <v>0</v>
      </c>
      <c r="P38" s="258" t="n">
        <v>0</v>
      </c>
      <c r="Q38" s="138" t="n">
        <f aca="false">1.6*1.02</f>
        <v>1.632</v>
      </c>
      <c r="R38" s="138" t="n">
        <v>2.04</v>
      </c>
      <c r="S38" s="138" t="n">
        <v>0</v>
      </c>
      <c r="T38" s="104" t="n">
        <f aca="false">M38-(Q38+R38+S38)</f>
        <v>0.028</v>
      </c>
      <c r="U38" s="141" t="n">
        <v>0</v>
      </c>
      <c r="V38" s="141" t="n">
        <v>0</v>
      </c>
      <c r="W38" s="141" t="n">
        <f aca="false">M38-N38-O38-P38-Q38-R38-S38-T38+U38+V38</f>
        <v>0</v>
      </c>
      <c r="X38" s="261"/>
      <c r="Y38" s="261"/>
      <c r="Z38" s="115"/>
      <c r="AA38" s="141" t="n">
        <v>0</v>
      </c>
      <c r="AB38" s="284"/>
      <c r="AC38" s="285"/>
      <c r="AD38" s="141" t="n">
        <v>23</v>
      </c>
      <c r="AE38" s="115" t="n">
        <f aca="false">AE37-AD38</f>
        <v>2494</v>
      </c>
      <c r="AF38" s="140" t="n">
        <f aca="false">N38+O38+P38+Q38+R38+S38+T38+W38+AA38+AD38</f>
        <v>26.7</v>
      </c>
      <c r="AG38" s="141" t="n">
        <f aca="false">IF(L38&lt;0,L38*-1,0)</f>
        <v>60.2005293672801</v>
      </c>
      <c r="AH38" s="141" t="n">
        <f aca="false">AF38+AG38</f>
        <v>86.9005293672801</v>
      </c>
      <c r="AI38" s="263" t="n">
        <v>0</v>
      </c>
      <c r="AJ38" s="115" t="n">
        <v>46</v>
      </c>
      <c r="AK38" s="265" t="n">
        <v>31</v>
      </c>
      <c r="AL38" s="264" t="n">
        <f aca="false">AL37+(W38*1.9835)</f>
        <v>8822.236385</v>
      </c>
      <c r="AM38" s="261" t="n">
        <v>0</v>
      </c>
      <c r="AN38" s="266"/>
      <c r="AO38" s="266"/>
      <c r="AP38" s="266"/>
    </row>
    <row r="39" customFormat="false" ht="12.95" hidden="false" customHeight="true" outlineLevel="0" collapsed="false">
      <c r="A39" s="186" t="n">
        <f aca="false">A38+1</f>
        <v>28</v>
      </c>
      <c r="B39" s="114" t="n">
        <v>6896.84</v>
      </c>
      <c r="C39" s="115" t="n">
        <v>272069</v>
      </c>
      <c r="D39" s="264" t="n">
        <f aca="false">C39-C38</f>
        <v>143</v>
      </c>
      <c r="E39" s="115" t="n">
        <f aca="false">C39-152000</f>
        <v>120069</v>
      </c>
      <c r="F39" s="283" t="n">
        <f aca="false">D39/$D$2</f>
        <v>72.0947819510966</v>
      </c>
      <c r="G39" s="141" t="n">
        <v>124</v>
      </c>
      <c r="H39" s="258" t="n">
        <v>1.2</v>
      </c>
      <c r="I39" s="141" t="n">
        <f aca="false">G39+H39</f>
        <v>125.2</v>
      </c>
      <c r="J39" s="261" t="n">
        <f aca="false">IF(L39&gt;0,L39,0)</f>
        <v>0</v>
      </c>
      <c r="K39" s="141" t="n">
        <f aca="false">I39+J39</f>
        <v>125.2</v>
      </c>
      <c r="L39" s="141" t="n">
        <f aca="false">F39-(I39-AF39)</f>
        <v>-26.4052180489035</v>
      </c>
      <c r="M39" s="284" t="n">
        <v>3.7</v>
      </c>
      <c r="N39" s="141" t="n">
        <v>0</v>
      </c>
      <c r="O39" s="141" t="n">
        <v>0</v>
      </c>
      <c r="P39" s="258" t="n">
        <v>0</v>
      </c>
      <c r="Q39" s="138" t="n">
        <f aca="false">1.6*1.02</f>
        <v>1.632</v>
      </c>
      <c r="R39" s="138" t="n">
        <v>2.8</v>
      </c>
      <c r="S39" s="138" t="n">
        <v>0</v>
      </c>
      <c r="T39" s="104" t="n">
        <f aca="false">M39-(Q39+R39+S39)</f>
        <v>-0.732</v>
      </c>
      <c r="U39" s="141" t="n">
        <v>0</v>
      </c>
      <c r="V39" s="141" t="n">
        <v>0</v>
      </c>
      <c r="W39" s="141" t="n">
        <f aca="false">M39-N39-O39-P39-Q39-R39-S39-T39+U39+V39</f>
        <v>0</v>
      </c>
      <c r="X39" s="261"/>
      <c r="Y39" s="261"/>
      <c r="Z39" s="115"/>
      <c r="AA39" s="141" t="n">
        <v>0</v>
      </c>
      <c r="AB39" s="284"/>
      <c r="AC39" s="285"/>
      <c r="AD39" s="141" t="n">
        <v>23</v>
      </c>
      <c r="AE39" s="115" t="n">
        <f aca="false">AE38-AD39</f>
        <v>2471</v>
      </c>
      <c r="AF39" s="140" t="n">
        <f aca="false">N39+O39+P39+Q39+R39+S39+T39+W39+AA39+AD39</f>
        <v>26.7</v>
      </c>
      <c r="AG39" s="141" t="n">
        <f aca="false">IF(L39&lt;0,L39*-1,0)</f>
        <v>26.4052180489035</v>
      </c>
      <c r="AH39" s="141" t="n">
        <f aca="false">AF39+AG39</f>
        <v>53.1052180489035</v>
      </c>
      <c r="AI39" s="263" t="n">
        <v>0.07</v>
      </c>
      <c r="AJ39" s="115" t="n">
        <v>48</v>
      </c>
      <c r="AK39" s="265" t="n">
        <v>29</v>
      </c>
      <c r="AL39" s="264" t="n">
        <f aca="false">AL38+(W39*1.9835)</f>
        <v>8822.236385</v>
      </c>
      <c r="AM39" s="261" t="n">
        <v>0</v>
      </c>
      <c r="AN39" s="266"/>
      <c r="AO39" s="266"/>
      <c r="AP39" s="266"/>
    </row>
    <row r="40" customFormat="false" ht="12.95" hidden="false" customHeight="true" outlineLevel="0" collapsed="false">
      <c r="A40" s="186" t="n">
        <f aca="false">A39+1</f>
        <v>29</v>
      </c>
      <c r="B40" s="114" t="n">
        <v>6896.86</v>
      </c>
      <c r="C40" s="115" t="n">
        <v>272141</v>
      </c>
      <c r="D40" s="264" t="n">
        <f aca="false">C40-C39</f>
        <v>72</v>
      </c>
      <c r="E40" s="115" t="n">
        <f aca="false">C40-152000</f>
        <v>120141</v>
      </c>
      <c r="F40" s="283" t="n">
        <f aca="false">D40/$D$2</f>
        <v>36.2994706327199</v>
      </c>
      <c r="G40" s="141" t="n">
        <v>113</v>
      </c>
      <c r="H40" s="258" t="n">
        <v>1.2</v>
      </c>
      <c r="I40" s="141" t="n">
        <f aca="false">G40+H40</f>
        <v>114.2</v>
      </c>
      <c r="J40" s="261" t="n">
        <f aca="false">IF(L40&gt;0,L40,0)</f>
        <v>0</v>
      </c>
      <c r="K40" s="141" t="n">
        <f aca="false">I40+J40</f>
        <v>114.2</v>
      </c>
      <c r="L40" s="141" t="n">
        <f aca="false">F40-(I40-AF40)</f>
        <v>-51.2005293672801</v>
      </c>
      <c r="M40" s="284" t="n">
        <v>3.7</v>
      </c>
      <c r="N40" s="141" t="n">
        <v>0</v>
      </c>
      <c r="O40" s="141" t="n">
        <v>0</v>
      </c>
      <c r="P40" s="258" t="n">
        <v>0</v>
      </c>
      <c r="Q40" s="138" t="n">
        <f aca="false">1.6*1.02</f>
        <v>1.632</v>
      </c>
      <c r="R40" s="138" t="n">
        <v>2.87</v>
      </c>
      <c r="S40" s="138" t="n">
        <v>0</v>
      </c>
      <c r="T40" s="104" t="n">
        <f aca="false">M40-(Q40+R40+S40)</f>
        <v>-0.802000000000001</v>
      </c>
      <c r="U40" s="141" t="n">
        <v>0</v>
      </c>
      <c r="V40" s="141" t="n">
        <v>0</v>
      </c>
      <c r="W40" s="141" t="n">
        <f aca="false">M40-N40-O40-P40-Q40-R40-S40-T40+U40+V40</f>
        <v>0</v>
      </c>
      <c r="X40" s="261"/>
      <c r="Y40" s="261"/>
      <c r="Z40" s="115"/>
      <c r="AA40" s="141" t="n">
        <v>0</v>
      </c>
      <c r="AB40" s="284"/>
      <c r="AC40" s="285"/>
      <c r="AD40" s="141" t="n">
        <v>23</v>
      </c>
      <c r="AE40" s="115" t="n">
        <f aca="false">AE39-AD40</f>
        <v>2448</v>
      </c>
      <c r="AF40" s="140" t="n">
        <f aca="false">N40+O40+P40+Q40+R40+S40+T40+W40+AA40+AD40</f>
        <v>26.7</v>
      </c>
      <c r="AG40" s="141" t="n">
        <f aca="false">IF(L40&lt;0,L40*-1,0)</f>
        <v>51.2005293672801</v>
      </c>
      <c r="AH40" s="141" t="n">
        <f aca="false">AF40+AG40</f>
        <v>77.9005293672801</v>
      </c>
      <c r="AI40" s="263" t="n">
        <v>0</v>
      </c>
      <c r="AJ40" s="115" t="n">
        <v>37</v>
      </c>
      <c r="AK40" s="265" t="n">
        <v>25</v>
      </c>
      <c r="AL40" s="264" t="n">
        <f aca="false">AL39+(W40*1.9835)</f>
        <v>8822.236385</v>
      </c>
      <c r="AM40" s="261" t="n">
        <v>0</v>
      </c>
      <c r="AN40" s="266"/>
      <c r="AO40" s="266"/>
      <c r="AP40" s="266"/>
    </row>
    <row r="41" customFormat="false" ht="12.95" hidden="false" customHeight="true" outlineLevel="0" collapsed="false">
      <c r="A41" s="186" t="n">
        <v>30</v>
      </c>
      <c r="B41" s="114" t="n">
        <v>6896.88</v>
      </c>
      <c r="C41" s="115" t="n">
        <v>272213</v>
      </c>
      <c r="D41" s="264" t="n">
        <f aca="false">C41-C40</f>
        <v>72</v>
      </c>
      <c r="E41" s="115" t="n">
        <f aca="false">C41-152000</f>
        <v>120213</v>
      </c>
      <c r="F41" s="283" t="n">
        <f aca="false">D41/$D$2</f>
        <v>36.2994706327199</v>
      </c>
      <c r="G41" s="141" t="n">
        <v>99</v>
      </c>
      <c r="H41" s="258" t="n">
        <v>1.1</v>
      </c>
      <c r="I41" s="141" t="n">
        <f aca="false">G41+H41</f>
        <v>100.1</v>
      </c>
      <c r="J41" s="261" t="n">
        <f aca="false">IF(L41&gt;0,L41,0)</f>
        <v>0</v>
      </c>
      <c r="K41" s="141" t="n">
        <f aca="false">I41+J41</f>
        <v>100.1</v>
      </c>
      <c r="L41" s="141" t="n">
        <f aca="false">F41-(I41-AF41)</f>
        <v>-37.1005293672801</v>
      </c>
      <c r="M41" s="284" t="n">
        <v>3.7</v>
      </c>
      <c r="N41" s="141" t="n">
        <v>0</v>
      </c>
      <c r="O41" s="141" t="n">
        <v>0</v>
      </c>
      <c r="P41" s="258" t="n">
        <v>0</v>
      </c>
      <c r="Q41" s="138" t="n">
        <f aca="false">1.6*1.02</f>
        <v>1.632</v>
      </c>
      <c r="R41" s="138" t="n">
        <v>2.5</v>
      </c>
      <c r="S41" s="138" t="n">
        <v>0</v>
      </c>
      <c r="T41" s="104" t="n">
        <f aca="false">M41-(Q41+R41+S41)</f>
        <v>-0.432</v>
      </c>
      <c r="U41" s="141" t="n">
        <v>0</v>
      </c>
      <c r="V41" s="141" t="n">
        <v>0</v>
      </c>
      <c r="W41" s="141" t="n">
        <f aca="false">M41-N41-O41-P41-Q41-R41-S41-T41+U41+V41</f>
        <v>0</v>
      </c>
      <c r="X41" s="261"/>
      <c r="Y41" s="261"/>
      <c r="Z41" s="115"/>
      <c r="AA41" s="141" t="n">
        <v>0</v>
      </c>
      <c r="AB41" s="284"/>
      <c r="AC41" s="285"/>
      <c r="AD41" s="141" t="n">
        <v>23</v>
      </c>
      <c r="AE41" s="115" t="n">
        <f aca="false">AE40-AD41</f>
        <v>2425</v>
      </c>
      <c r="AF41" s="140" t="n">
        <f aca="false">N41+O41+P41+Q41+R41+S41+T41+W41+AA41+AD41</f>
        <v>26.7</v>
      </c>
      <c r="AG41" s="141" t="n">
        <f aca="false">IF(L41&lt;0,L41*-1,0)</f>
        <v>37.1005293672801</v>
      </c>
      <c r="AH41" s="141" t="n">
        <f aca="false">AF41+AG41</f>
        <v>63.80052936728</v>
      </c>
      <c r="AI41" s="263" t="n">
        <v>0</v>
      </c>
      <c r="AJ41" s="115" t="n">
        <v>43</v>
      </c>
      <c r="AK41" s="265" t="n">
        <v>18</v>
      </c>
      <c r="AL41" s="264" t="n">
        <f aca="false">AL40+(W41*1.9835)</f>
        <v>8822.236385</v>
      </c>
      <c r="AM41" s="261" t="n">
        <v>0</v>
      </c>
      <c r="AN41" s="266"/>
      <c r="AO41" s="266"/>
      <c r="AP41" s="266"/>
    </row>
    <row r="42" customFormat="false" ht="12.95" hidden="false" customHeight="true" outlineLevel="0" collapsed="false">
      <c r="A42" s="186" t="n">
        <v>31</v>
      </c>
      <c r="B42" s="114" t="n">
        <v>6896.9</v>
      </c>
      <c r="C42" s="115" t="n">
        <v>272284</v>
      </c>
      <c r="D42" s="264" t="n">
        <f aca="false">C42-C41</f>
        <v>71</v>
      </c>
      <c r="E42" s="115" t="n">
        <f aca="false">C42-152000</f>
        <v>120284</v>
      </c>
      <c r="F42" s="283" t="n">
        <f aca="false">D42/$D$2</f>
        <v>35.7953113183766</v>
      </c>
      <c r="G42" s="141" t="n">
        <v>89</v>
      </c>
      <c r="H42" s="258" t="n">
        <v>1.1</v>
      </c>
      <c r="I42" s="141" t="n">
        <f aca="false">G42+H42</f>
        <v>90.1</v>
      </c>
      <c r="J42" s="261" t="n">
        <f aca="false">IF(L42&gt;0,L42,0)</f>
        <v>0</v>
      </c>
      <c r="K42" s="141" t="n">
        <f aca="false">I42+J42</f>
        <v>90.1</v>
      </c>
      <c r="L42" s="141" t="n">
        <f aca="false">F42-(I42-AF42)</f>
        <v>-27.6046886816234</v>
      </c>
      <c r="M42" s="284" t="n">
        <v>3.7</v>
      </c>
      <c r="N42" s="141" t="n">
        <v>0</v>
      </c>
      <c r="O42" s="141" t="n">
        <v>0</v>
      </c>
      <c r="P42" s="258" t="n">
        <v>0</v>
      </c>
      <c r="Q42" s="138" t="n">
        <f aca="false">1.6*1.02</f>
        <v>1.632</v>
      </c>
      <c r="R42" s="138" t="n">
        <v>2.9</v>
      </c>
      <c r="S42" s="138" t="n">
        <v>0</v>
      </c>
      <c r="T42" s="104" t="n">
        <f aca="false">M42-(Q42+R42+S42)</f>
        <v>-0.832</v>
      </c>
      <c r="U42" s="141" t="n">
        <v>0</v>
      </c>
      <c r="V42" s="141" t="n">
        <v>0</v>
      </c>
      <c r="W42" s="141" t="n">
        <f aca="false">M42-N42-O42-P42-Q42-R42-S42-T42+U42+V42</f>
        <v>0</v>
      </c>
      <c r="X42" s="261"/>
      <c r="Y42" s="261"/>
      <c r="Z42" s="115"/>
      <c r="AA42" s="141" t="n">
        <v>0</v>
      </c>
      <c r="AB42" s="284"/>
      <c r="AC42" s="285"/>
      <c r="AD42" s="141" t="n">
        <v>23</v>
      </c>
      <c r="AE42" s="115" t="n">
        <f aca="false">AE41-AD42</f>
        <v>2402</v>
      </c>
      <c r="AF42" s="140" t="n">
        <f aca="false">N42+O42+P42+Q42+R42+S42+T42+W42+AA42+AD42</f>
        <v>26.7</v>
      </c>
      <c r="AG42" s="141" t="n">
        <f aca="false">IF(L42&lt;0,L42*-1,0)</f>
        <v>27.6046886816234</v>
      </c>
      <c r="AH42" s="141" t="n">
        <f aca="false">AF42+AG42</f>
        <v>54.3046886816234</v>
      </c>
      <c r="AI42" s="263" t="n">
        <v>0</v>
      </c>
      <c r="AJ42" s="115" t="n">
        <v>40</v>
      </c>
      <c r="AK42" s="265" t="n">
        <v>15</v>
      </c>
      <c r="AL42" s="264" t="n">
        <f aca="false">AL41+(W42*1.9835)</f>
        <v>8822.236385</v>
      </c>
      <c r="AM42" s="261" t="n">
        <v>0</v>
      </c>
      <c r="AN42" s="266"/>
      <c r="AO42" s="266"/>
      <c r="AP42" s="266"/>
    </row>
    <row r="43" customFormat="false" ht="3" hidden="false" customHeight="true" outlineLevel="0" collapsed="false">
      <c r="A43" s="270"/>
      <c r="B43" s="287"/>
      <c r="C43" s="272"/>
      <c r="D43" s="273"/>
      <c r="E43" s="272"/>
      <c r="F43" s="274"/>
      <c r="G43" s="273"/>
      <c r="H43" s="275"/>
      <c r="I43" s="273"/>
      <c r="J43" s="273"/>
      <c r="K43" s="273"/>
      <c r="L43" s="288"/>
      <c r="M43" s="289"/>
      <c r="N43" s="288"/>
      <c r="O43" s="273"/>
      <c r="P43" s="275"/>
      <c r="Q43" s="273"/>
      <c r="R43" s="273"/>
      <c r="S43" s="273"/>
      <c r="T43" s="277"/>
      <c r="U43" s="273"/>
      <c r="V43" s="273"/>
      <c r="W43" s="273" t="n">
        <f aca="false">M43-N43-O43-Q43-R43-S43+U43+V43</f>
        <v>0</v>
      </c>
      <c r="X43" s="278"/>
      <c r="Y43" s="278"/>
      <c r="Z43" s="272"/>
      <c r="AA43" s="273"/>
      <c r="AB43" s="276"/>
      <c r="AC43" s="279"/>
      <c r="AD43" s="288"/>
      <c r="AE43" s="273"/>
      <c r="AF43" s="273" t="n">
        <f aca="false">N43+O43+Q43+R43+S43+W43+AA43+AD43</f>
        <v>0</v>
      </c>
      <c r="AG43" s="273"/>
      <c r="AH43" s="273"/>
      <c r="AI43" s="280"/>
      <c r="AJ43" s="281"/>
      <c r="AK43" s="282" t="s">
        <v>94</v>
      </c>
      <c r="AL43" s="281"/>
      <c r="AM43" s="278"/>
      <c r="AN43" s="281"/>
      <c r="AO43" s="281"/>
      <c r="AP43" s="281"/>
      <c r="AQ43" s="281"/>
    </row>
    <row r="44" customFormat="false" ht="12.95" hidden="false" customHeight="true" outlineLevel="0" collapsed="false">
      <c r="A44" s="187" t="s">
        <v>77</v>
      </c>
      <c r="B44" s="256"/>
      <c r="C44" s="115"/>
      <c r="D44" s="115"/>
      <c r="E44" s="115"/>
      <c r="F44" s="257" t="n">
        <f aca="false">SUM(F12:F42)</f>
        <v>1915.30123519032</v>
      </c>
      <c r="G44" s="115" t="n">
        <f aca="false">SUM(G12:G42)</f>
        <v>3061</v>
      </c>
      <c r="H44" s="258" t="n">
        <f aca="false">SUM(H12:H42)</f>
        <v>28.36</v>
      </c>
      <c r="I44" s="115" t="n">
        <f aca="false">SUM(I12:I42)</f>
        <v>3089.36</v>
      </c>
      <c r="J44" s="115" t="n">
        <f aca="false">SUM(J12:J42)</f>
        <v>289.085951600706</v>
      </c>
      <c r="K44" s="115" t="n">
        <f aca="false">SUM(K12:K42)</f>
        <v>3378.44595160071</v>
      </c>
      <c r="L44" s="115" t="n">
        <f aca="false">SUM(L12:L42)</f>
        <v>-341.55876480968</v>
      </c>
      <c r="M44" s="259" t="n">
        <f aca="false">SUM(M12:M43)</f>
        <v>112.5</v>
      </c>
      <c r="N44" s="115" t="n">
        <f aca="false">SUM(N12:N42)</f>
        <v>0</v>
      </c>
      <c r="O44" s="115" t="n">
        <f aca="false">SUM(O12:O42)</f>
        <v>0</v>
      </c>
      <c r="P44" s="258"/>
      <c r="Q44" s="115" t="n">
        <f aca="false">SUM(Q12:Q42)</f>
        <v>50.592</v>
      </c>
      <c r="R44" s="115" t="n">
        <f aca="false">SUM(R12:R42)</f>
        <v>81.003</v>
      </c>
      <c r="S44" s="115" t="n">
        <f aca="false">SUM(S12:S42)</f>
        <v>0</v>
      </c>
      <c r="T44" s="260" t="n">
        <f aca="false">SUM(T12:T42)</f>
        <v>-19.095</v>
      </c>
      <c r="U44" s="115" t="n">
        <f aca="false">SUM(U12:U42)</f>
        <v>0</v>
      </c>
      <c r="V44" s="115" t="n">
        <f aca="false">SUM(V12:V42)</f>
        <v>0</v>
      </c>
      <c r="W44" s="115" t="n">
        <f aca="false">SUM(W12:W43)</f>
        <v>0</v>
      </c>
      <c r="X44" s="261"/>
      <c r="Y44" s="261"/>
      <c r="Z44" s="115"/>
      <c r="AA44" s="115"/>
      <c r="AB44" s="259"/>
      <c r="AC44" s="262"/>
      <c r="AD44" s="115" t="n">
        <f aca="false">SUM(AD12:AD43)</f>
        <v>720</v>
      </c>
      <c r="AE44" s="115"/>
      <c r="AF44" s="115" t="n">
        <f aca="false">SUM(AF12:AF43)</f>
        <v>832.5</v>
      </c>
      <c r="AG44" s="115" t="n">
        <f aca="false">SUM(AG12:AG42)</f>
        <v>630.644716410386</v>
      </c>
      <c r="AH44" s="115" t="n">
        <f aca="false">SUM(AH12:AH42)</f>
        <v>1463.14471641039</v>
      </c>
      <c r="AI44" s="263" t="n">
        <f aca="false">SUM(AI12:AI42)</f>
        <v>1.03</v>
      </c>
      <c r="AJ44" s="264" t="n">
        <f aca="false">AVERAGE(AJ12:AJ42)</f>
        <v>41.6129032258065</v>
      </c>
      <c r="AK44" s="265" t="n">
        <f aca="false">AVERAGE(AK12:AK42)</f>
        <v>19.5161290322581</v>
      </c>
      <c r="AL44" s="264" t="s">
        <v>78</v>
      </c>
      <c r="AM44" s="261" t="n">
        <f aca="false">SUM(AM12:AM42)</f>
        <v>0</v>
      </c>
      <c r="AN44" s="266"/>
      <c r="AO44" s="266"/>
      <c r="AP44" s="266"/>
    </row>
    <row r="45" customFormat="false" ht="12.95" hidden="false" customHeight="true" outlineLevel="0" collapsed="false">
      <c r="A45" s="187" t="s">
        <v>79</v>
      </c>
      <c r="B45" s="256"/>
      <c r="C45" s="115"/>
      <c r="D45" s="115" t="n">
        <f aca="false">SUM(D12:D42)</f>
        <v>3799</v>
      </c>
      <c r="E45" s="115"/>
      <c r="F45" s="257" t="n">
        <f aca="false">F44*$D$2</f>
        <v>3799</v>
      </c>
      <c r="G45" s="115" t="n">
        <f aca="false">G44*$D$2</f>
        <v>6071.4935</v>
      </c>
      <c r="H45" s="258" t="n">
        <f aca="false">H44*$D$2</f>
        <v>56.25206</v>
      </c>
      <c r="I45" s="115" t="n">
        <f aca="false">I44*$D$2</f>
        <v>6127.74556</v>
      </c>
      <c r="J45" s="115" t="n">
        <f aca="false">J44*$D$2</f>
        <v>573.401985</v>
      </c>
      <c r="K45" s="115" t="n">
        <f aca="false">K44*$D$2</f>
        <v>6701.147545</v>
      </c>
      <c r="L45" s="115" t="n">
        <f aca="false">L44*$D$2</f>
        <v>-677.48181</v>
      </c>
      <c r="M45" s="259" t="n">
        <f aca="false">M44*$D$2</f>
        <v>223.14375</v>
      </c>
      <c r="N45" s="115" t="n">
        <f aca="false">N44*$D$2</f>
        <v>0</v>
      </c>
      <c r="O45" s="115" t="n">
        <f aca="false">O44*$D$2</f>
        <v>0</v>
      </c>
      <c r="P45" s="258"/>
      <c r="Q45" s="115" t="n">
        <f aca="false">Q44*$D$2</f>
        <v>100.349232</v>
      </c>
      <c r="R45" s="115" t="n">
        <f aca="false">R44*$D$2</f>
        <v>160.6694505</v>
      </c>
      <c r="S45" s="115" t="n">
        <f aca="false">S44*$D$2</f>
        <v>0</v>
      </c>
      <c r="T45" s="260" t="n">
        <f aca="false">T44*$D$2</f>
        <v>-37.8749325</v>
      </c>
      <c r="U45" s="115" t="n">
        <f aca="false">U44*$D$2</f>
        <v>0</v>
      </c>
      <c r="V45" s="115" t="n">
        <f aca="false">V44*$D$2</f>
        <v>0</v>
      </c>
      <c r="W45" s="115" t="n">
        <f aca="false">W44*$D$2</f>
        <v>0</v>
      </c>
      <c r="X45" s="261"/>
      <c r="Y45" s="261"/>
      <c r="Z45" s="115"/>
      <c r="AA45" s="115"/>
      <c r="AB45" s="259"/>
      <c r="AC45" s="262"/>
      <c r="AD45" s="115" t="n">
        <f aca="false">AD44*$D$2</f>
        <v>1428.12</v>
      </c>
      <c r="AE45" s="115"/>
      <c r="AF45" s="115" t="n">
        <f aca="false">AF44*$D$2</f>
        <v>1651.26375</v>
      </c>
      <c r="AG45" s="115" t="n">
        <f aca="false">AG44*$D$2</f>
        <v>1250.883795</v>
      </c>
      <c r="AH45" s="115" t="n">
        <f aca="false">AH44*$D$2</f>
        <v>2902.147545</v>
      </c>
      <c r="AI45" s="263"/>
      <c r="AJ45" s="264" t="n">
        <f aca="false">MAX(AJ12:AJ42)</f>
        <v>51</v>
      </c>
      <c r="AK45" s="265" t="n">
        <f aca="false">MAX(AK12:AK42)</f>
        <v>31</v>
      </c>
      <c r="AL45" s="264" t="s">
        <v>80</v>
      </c>
      <c r="AM45" s="261" t="n">
        <f aca="false">AM44*$D$2</f>
        <v>0</v>
      </c>
      <c r="AN45" s="266"/>
      <c r="AO45" s="266"/>
      <c r="AP45" s="266"/>
    </row>
    <row r="46" customFormat="false" ht="3" hidden="false" customHeight="true" outlineLevel="0" collapsed="false">
      <c r="A46" s="290"/>
      <c r="B46" s="287"/>
      <c r="C46" s="272"/>
      <c r="D46" s="272"/>
      <c r="E46" s="272"/>
      <c r="F46" s="291"/>
      <c r="G46" s="272"/>
      <c r="H46" s="275"/>
      <c r="I46" s="272"/>
      <c r="J46" s="272"/>
      <c r="K46" s="272"/>
      <c r="L46" s="272"/>
      <c r="M46" s="292"/>
      <c r="N46" s="272"/>
      <c r="O46" s="272"/>
      <c r="P46" s="275"/>
      <c r="Q46" s="272"/>
      <c r="R46" s="272"/>
      <c r="S46" s="272"/>
      <c r="T46" s="277"/>
      <c r="U46" s="272"/>
      <c r="V46" s="272"/>
      <c r="W46" s="272"/>
      <c r="X46" s="278"/>
      <c r="Y46" s="278"/>
      <c r="Z46" s="272"/>
      <c r="AA46" s="272"/>
      <c r="AB46" s="292"/>
      <c r="AC46" s="293"/>
      <c r="AD46" s="272"/>
      <c r="AE46" s="273"/>
      <c r="AF46" s="272"/>
      <c r="AG46" s="272"/>
      <c r="AH46" s="272"/>
      <c r="AI46" s="294"/>
      <c r="AJ46" s="272"/>
      <c r="AK46" s="291"/>
      <c r="AL46" s="272"/>
      <c r="AM46" s="278"/>
      <c r="AN46" s="272"/>
      <c r="AO46" s="272"/>
      <c r="AP46" s="281"/>
      <c r="AQ46" s="281"/>
    </row>
    <row r="47" customFormat="false" ht="12.95" hidden="false" customHeight="true" outlineLevel="0" collapsed="false">
      <c r="A47" s="187" t="s">
        <v>81</v>
      </c>
      <c r="B47" s="256"/>
      <c r="C47" s="115"/>
      <c r="D47" s="115"/>
      <c r="E47" s="115"/>
      <c r="F47" s="257"/>
      <c r="G47" s="115"/>
      <c r="H47" s="258"/>
      <c r="I47" s="115"/>
      <c r="J47" s="115"/>
      <c r="K47" s="115"/>
      <c r="L47" s="115"/>
      <c r="M47" s="259"/>
      <c r="N47" s="115"/>
      <c r="O47" s="115"/>
      <c r="P47" s="258"/>
      <c r="Q47" s="115"/>
      <c r="R47" s="115"/>
      <c r="S47" s="115"/>
      <c r="T47" s="260"/>
      <c r="U47" s="115"/>
      <c r="V47" s="115"/>
      <c r="W47" s="115"/>
      <c r="X47" s="261"/>
      <c r="Y47" s="261"/>
      <c r="Z47" s="115"/>
      <c r="AA47" s="115"/>
      <c r="AB47" s="259"/>
      <c r="AC47" s="262"/>
      <c r="AD47" s="115"/>
      <c r="AE47" s="115"/>
      <c r="AF47" s="115"/>
      <c r="AG47" s="115"/>
      <c r="AH47" s="115"/>
      <c r="AI47" s="263"/>
      <c r="AJ47" s="264" t="n">
        <f aca="false">MIN(AJ12:AJ42)</f>
        <v>28</v>
      </c>
      <c r="AK47" s="265" t="n">
        <f aca="false">MIN(AK12:AK42)</f>
        <v>7</v>
      </c>
      <c r="AL47" s="264" t="s">
        <v>82</v>
      </c>
      <c r="AM47" s="261"/>
      <c r="AN47" s="266"/>
      <c r="AO47" s="266"/>
      <c r="AP47" s="266"/>
    </row>
    <row r="48" customFormat="false" ht="12.95" hidden="false" customHeight="true" outlineLevel="0" collapsed="false">
      <c r="A48" s="187" t="s">
        <v>83</v>
      </c>
      <c r="B48" s="256"/>
      <c r="C48" s="115"/>
      <c r="D48" s="115"/>
      <c r="E48" s="115"/>
      <c r="F48" s="257"/>
      <c r="G48" s="115"/>
      <c r="H48" s="258"/>
      <c r="I48" s="115"/>
      <c r="J48" s="115"/>
      <c r="K48" s="115"/>
      <c r="L48" s="115"/>
      <c r="M48" s="259"/>
      <c r="N48" s="115"/>
      <c r="O48" s="115"/>
      <c r="P48" s="258"/>
      <c r="Q48" s="115"/>
      <c r="R48" s="115"/>
      <c r="S48" s="115"/>
      <c r="T48" s="260"/>
      <c r="U48" s="115"/>
      <c r="V48" s="115"/>
      <c r="W48" s="115"/>
      <c r="X48" s="261"/>
      <c r="Y48" s="261"/>
      <c r="Z48" s="115"/>
      <c r="AA48" s="115"/>
      <c r="AB48" s="259"/>
      <c r="AC48" s="262"/>
      <c r="AD48" s="115"/>
      <c r="AE48" s="115"/>
      <c r="AF48" s="115"/>
      <c r="AG48" s="115"/>
      <c r="AH48" s="115"/>
      <c r="AI48" s="263"/>
      <c r="AJ48" s="264"/>
      <c r="AK48" s="265"/>
      <c r="AL48" s="264"/>
      <c r="AM48" s="261"/>
      <c r="AN48" s="266"/>
      <c r="AO48" s="266"/>
      <c r="AP48" s="266"/>
    </row>
    <row r="49" customFormat="false" ht="3" hidden="false" customHeight="true" outlineLevel="0" collapsed="false">
      <c r="A49" s="290"/>
      <c r="B49" s="287"/>
      <c r="C49" s="272"/>
      <c r="D49" s="272"/>
      <c r="E49" s="272"/>
      <c r="F49" s="291"/>
      <c r="G49" s="272"/>
      <c r="H49" s="275"/>
      <c r="I49" s="272"/>
      <c r="J49" s="272"/>
      <c r="K49" s="272"/>
      <c r="L49" s="272"/>
      <c r="M49" s="292"/>
      <c r="N49" s="272"/>
      <c r="O49" s="272"/>
      <c r="P49" s="275"/>
      <c r="Q49" s="272"/>
      <c r="R49" s="272"/>
      <c r="S49" s="272"/>
      <c r="T49" s="277"/>
      <c r="U49" s="272"/>
      <c r="V49" s="272"/>
      <c r="W49" s="272"/>
      <c r="X49" s="278"/>
      <c r="Y49" s="278"/>
      <c r="Z49" s="272"/>
      <c r="AA49" s="272"/>
      <c r="AB49" s="292"/>
      <c r="AC49" s="293"/>
      <c r="AD49" s="272"/>
      <c r="AE49" s="272"/>
      <c r="AF49" s="272"/>
      <c r="AG49" s="272"/>
      <c r="AH49" s="272"/>
      <c r="AI49" s="280"/>
      <c r="AJ49" s="295"/>
      <c r="AK49" s="296"/>
      <c r="AL49" s="295"/>
      <c r="AM49" s="278"/>
      <c r="AN49" s="295"/>
      <c r="AO49" s="295"/>
      <c r="AP49" s="281"/>
      <c r="AQ49" s="281"/>
    </row>
    <row r="50" customFormat="false" ht="12.95" hidden="false" customHeight="true" outlineLevel="0" collapsed="false">
      <c r="A50" s="187" t="s">
        <v>84</v>
      </c>
      <c r="B50" s="256"/>
      <c r="C50" s="115"/>
      <c r="D50" s="115"/>
      <c r="E50" s="115"/>
      <c r="F50" s="257" t="n">
        <f aca="false">F10+F44</f>
        <v>687.169145449962</v>
      </c>
      <c r="G50" s="115" t="n">
        <f aca="false">G10+G44</f>
        <v>7856</v>
      </c>
      <c r="H50" s="258" t="n">
        <f aca="false">H10+H44</f>
        <v>106.46</v>
      </c>
      <c r="I50" s="115" t="n">
        <f aca="false">I10+I44</f>
        <v>7962.46</v>
      </c>
      <c r="J50" s="115" t="n">
        <f aca="false">J10+J44</f>
        <v>416.869314343333</v>
      </c>
      <c r="K50" s="115" t="n">
        <f aca="false">K10+K44</f>
        <v>8379.32931434333</v>
      </c>
      <c r="L50" s="115" t="n">
        <f aca="false">L10+L44</f>
        <v>-690.590854550038</v>
      </c>
      <c r="M50" s="259" t="n">
        <f aca="false">M10+M44</f>
        <v>400.5</v>
      </c>
      <c r="N50" s="115" t="n">
        <f aca="false">N10+N44</f>
        <v>0</v>
      </c>
      <c r="O50" s="115" t="n">
        <v>0</v>
      </c>
      <c r="P50" s="258"/>
      <c r="Q50" s="115" t="n">
        <f aca="false">Q10+Q44</f>
        <v>98.634</v>
      </c>
      <c r="R50" s="115" t="n">
        <f aca="false">R10+R44</f>
        <v>153.483</v>
      </c>
      <c r="S50" s="115" t="n">
        <f aca="false">S10+S44</f>
        <v>0</v>
      </c>
      <c r="T50" s="260" t="n">
        <f aca="false">T10+T44</f>
        <v>-9.39440000000001</v>
      </c>
      <c r="U50" s="115" t="n">
        <f aca="false">U10+U44</f>
        <v>4691</v>
      </c>
      <c r="V50" s="115" t="n">
        <f aca="false">V10+V44</f>
        <v>76.2</v>
      </c>
      <c r="W50" s="115" t="n">
        <f aca="false">W10+W44</f>
        <v>4447.81</v>
      </c>
      <c r="X50" s="261"/>
      <c r="Y50" s="261"/>
      <c r="Z50" s="115"/>
      <c r="AA50" s="115"/>
      <c r="AB50" s="259"/>
      <c r="AC50" s="262"/>
      <c r="AD50" s="115" t="n">
        <f aca="false">AD10+AD44</f>
        <v>1417</v>
      </c>
      <c r="AE50" s="115" t="n">
        <f aca="false">AE42</f>
        <v>2402</v>
      </c>
      <c r="AF50" s="115" t="n">
        <f aca="false">AF10+AF44</f>
        <v>6584.7</v>
      </c>
      <c r="AG50" s="115" t="n">
        <f aca="false">AG10+AG44</f>
        <v>1107.46016889337</v>
      </c>
      <c r="AH50" s="115" t="n">
        <f aca="false">AH10+AH44</f>
        <v>7692.16016889337</v>
      </c>
      <c r="AI50" s="263" t="n">
        <f aca="false">AI10+AI44</f>
        <v>1.46</v>
      </c>
      <c r="AJ50" s="264"/>
      <c r="AK50" s="265"/>
      <c r="AL50" s="264"/>
      <c r="AM50" s="261" t="n">
        <f aca="false">AM10+AM44</f>
        <v>796.8688</v>
      </c>
      <c r="AN50" s="266"/>
      <c r="AO50" s="266"/>
      <c r="AP50" s="266"/>
    </row>
    <row r="51" customFormat="false" ht="12.95" hidden="false" customHeight="true" outlineLevel="0" collapsed="false">
      <c r="A51" s="187" t="s">
        <v>85</v>
      </c>
      <c r="B51" s="256"/>
      <c r="C51" s="115"/>
      <c r="D51" s="115" t="n">
        <f aca="false">D10+D45</f>
        <v>1363</v>
      </c>
      <c r="E51" s="115" t="n">
        <f aca="false">E42</f>
        <v>120284</v>
      </c>
      <c r="F51" s="257" t="n">
        <f aca="false">F50*$D$2</f>
        <v>1363</v>
      </c>
      <c r="G51" s="115" t="n">
        <f aca="false">G50*$D$2</f>
        <v>15582.376</v>
      </c>
      <c r="H51" s="258" t="n">
        <f aca="false">H50*$D$2</f>
        <v>211.16341</v>
      </c>
      <c r="I51" s="115" t="n">
        <f aca="false">I50*$D$2</f>
        <v>15793.53941</v>
      </c>
      <c r="J51" s="115" t="n">
        <f aca="false">J50*$D$2</f>
        <v>826.860285</v>
      </c>
      <c r="K51" s="115" t="n">
        <f aca="false">K50*$D$2</f>
        <v>16620.399695</v>
      </c>
      <c r="L51" s="115" t="n">
        <f aca="false">L50*$D$2</f>
        <v>-1369.78696</v>
      </c>
      <c r="M51" s="259" t="n">
        <f aca="false">M50*$D$2</f>
        <v>794.39175</v>
      </c>
      <c r="N51" s="115" t="n">
        <f aca="false">N50*$D$2</f>
        <v>0</v>
      </c>
      <c r="O51" s="115" t="n">
        <f aca="false">O50*$D$2</f>
        <v>0</v>
      </c>
      <c r="P51" s="258"/>
      <c r="Q51" s="115" t="n">
        <f aca="false">Q50*$D$2</f>
        <v>195.640539</v>
      </c>
      <c r="R51" s="115" t="n">
        <f aca="false">R50*$D$2</f>
        <v>304.4335305</v>
      </c>
      <c r="S51" s="268" t="n">
        <f aca="false">S50*$D$2</f>
        <v>0</v>
      </c>
      <c r="T51" s="269" t="n">
        <f aca="false">T50*$D$2</f>
        <v>-18.6337924</v>
      </c>
      <c r="U51" s="115" t="n">
        <f aca="false">U50*$D$2</f>
        <v>9304.5985</v>
      </c>
      <c r="V51" s="115" t="n">
        <f aca="false">V50*$D$2</f>
        <v>151.1427</v>
      </c>
      <c r="W51" s="115" t="n">
        <f aca="false">W50*$D$2</f>
        <v>8822.231135</v>
      </c>
      <c r="X51" s="261"/>
      <c r="Y51" s="261"/>
      <c r="Z51" s="115"/>
      <c r="AA51" s="115"/>
      <c r="AB51" s="297"/>
      <c r="AC51" s="298"/>
      <c r="AD51" s="115" t="n">
        <f aca="false">AD50*$D$2</f>
        <v>2810.6195</v>
      </c>
      <c r="AE51" s="115" t="n">
        <f aca="false">AE50*$D$2</f>
        <v>4764.367</v>
      </c>
      <c r="AF51" s="115" t="n">
        <f aca="false">AF50*$D$2</f>
        <v>13060.75245</v>
      </c>
      <c r="AG51" s="115" t="n">
        <f aca="false">AG50*$D$2</f>
        <v>2196.647245</v>
      </c>
      <c r="AH51" s="115" t="n">
        <f aca="false">AH50*$D$2</f>
        <v>15257.399695</v>
      </c>
      <c r="AI51" s="263"/>
      <c r="AJ51" s="264"/>
      <c r="AK51" s="265"/>
      <c r="AL51" s="264" t="n">
        <f aca="false">AL42</f>
        <v>8822.236385</v>
      </c>
      <c r="AM51" s="261" t="n">
        <f aca="false">AM50*$D$2</f>
        <v>1580.5892648</v>
      </c>
      <c r="AN51" s="266"/>
      <c r="AO51" s="266"/>
      <c r="AP51" s="266"/>
    </row>
    <row r="52" customFormat="false" ht="3" hidden="false" customHeight="true" outlineLevel="0" collapsed="false">
      <c r="A52" s="270"/>
      <c r="B52" s="287"/>
      <c r="C52" s="272"/>
      <c r="D52" s="273"/>
      <c r="E52" s="272"/>
      <c r="F52" s="274"/>
      <c r="G52" s="273"/>
      <c r="H52" s="275"/>
      <c r="I52" s="273"/>
      <c r="J52" s="273"/>
      <c r="K52" s="273"/>
      <c r="L52" s="273"/>
      <c r="M52" s="276"/>
      <c r="N52" s="273"/>
      <c r="O52" s="273"/>
      <c r="P52" s="275"/>
      <c r="Q52" s="273"/>
      <c r="R52" s="273"/>
      <c r="S52" s="279"/>
      <c r="T52" s="277"/>
      <c r="U52" s="273"/>
      <c r="V52" s="273"/>
      <c r="W52" s="273"/>
      <c r="X52" s="278"/>
      <c r="Y52" s="278"/>
      <c r="Z52" s="272"/>
      <c r="AA52" s="273"/>
      <c r="AB52" s="276"/>
      <c r="AC52" s="279"/>
      <c r="AD52" s="273"/>
      <c r="AE52" s="272"/>
      <c r="AF52" s="273"/>
      <c r="AG52" s="273"/>
      <c r="AH52" s="273"/>
      <c r="AI52" s="287"/>
      <c r="AJ52" s="273"/>
      <c r="AK52" s="274"/>
      <c r="AL52" s="273"/>
      <c r="AM52" s="278"/>
      <c r="AN52" s="273"/>
      <c r="AO52" s="273"/>
      <c r="AP52" s="281"/>
      <c r="AQ52" s="281"/>
    </row>
    <row r="53" customFormat="false" ht="11.1" hidden="false" customHeight="true" outlineLevel="0" collapsed="false">
      <c r="A53" s="179"/>
      <c r="B53" s="299"/>
      <c r="C53" s="180"/>
      <c r="D53" s="179"/>
      <c r="E53" s="180"/>
      <c r="F53" s="179"/>
      <c r="G53" s="179"/>
      <c r="H53" s="181"/>
      <c r="I53" s="179"/>
      <c r="J53" s="179"/>
      <c r="K53" s="179"/>
      <c r="L53" s="179"/>
      <c r="M53" s="179"/>
      <c r="N53" s="179"/>
      <c r="O53" s="179"/>
      <c r="P53" s="181"/>
      <c r="Q53" s="179"/>
      <c r="R53" s="179"/>
      <c r="S53" s="179"/>
      <c r="T53" s="181"/>
      <c r="U53" s="179"/>
      <c r="V53" s="179"/>
      <c r="W53" s="179"/>
      <c r="X53" s="183"/>
      <c r="Y53" s="183"/>
      <c r="Z53" s="180"/>
      <c r="AA53" s="179"/>
      <c r="AB53" s="179"/>
      <c r="AC53" s="179"/>
      <c r="AD53" s="179"/>
      <c r="AE53" s="180"/>
      <c r="AF53" s="179"/>
      <c r="AG53" s="179"/>
      <c r="AH53" s="179"/>
      <c r="AI53" s="184"/>
      <c r="AJ53" s="185"/>
      <c r="AK53" s="185"/>
      <c r="AL53" s="186"/>
      <c r="AM53" s="255"/>
    </row>
    <row r="54" customFormat="false" ht="11.1" hidden="false" customHeight="true" outlineLevel="0" collapsed="false">
      <c r="A54" s="179"/>
      <c r="B54" s="300"/>
      <c r="C54" s="180"/>
      <c r="D54" s="301"/>
      <c r="E54" s="180"/>
      <c r="F54" s="179"/>
      <c r="G54" s="179"/>
      <c r="H54" s="181"/>
      <c r="I54" s="302"/>
      <c r="J54" s="179"/>
      <c r="K54" s="169"/>
      <c r="L54" s="179"/>
      <c r="M54" s="179"/>
      <c r="N54" s="179"/>
      <c r="O54" s="179"/>
      <c r="P54" s="181"/>
      <c r="Q54" s="179"/>
      <c r="R54" s="179"/>
      <c r="S54" s="179"/>
      <c r="T54" s="181"/>
      <c r="U54" s="179"/>
      <c r="V54" s="179"/>
      <c r="W54" s="179"/>
      <c r="X54" s="183"/>
      <c r="Y54" s="183"/>
      <c r="Z54" s="180"/>
      <c r="AA54" s="179"/>
      <c r="AB54" s="179"/>
      <c r="AC54" s="179"/>
      <c r="AD54" s="179"/>
      <c r="AE54" s="180"/>
      <c r="AF54" s="179"/>
      <c r="AG54" s="179"/>
      <c r="AH54" s="179"/>
      <c r="AI54" s="184"/>
      <c r="AJ54" s="185"/>
      <c r="AK54" s="185"/>
      <c r="AL54" s="186"/>
      <c r="AM54" s="255"/>
    </row>
    <row r="55" customFormat="false" ht="11.1" hidden="false" customHeight="true" outlineLevel="0" collapsed="false">
      <c r="A55" s="301"/>
      <c r="B55" s="301"/>
      <c r="C55" s="180"/>
      <c r="D55" s="180"/>
      <c r="E55" s="180"/>
      <c r="F55" s="301"/>
      <c r="G55" s="301"/>
      <c r="H55" s="181"/>
      <c r="I55" s="301"/>
      <c r="J55" s="301"/>
      <c r="K55" s="301"/>
      <c r="L55" s="301"/>
      <c r="M55" s="183"/>
      <c r="N55" s="183"/>
      <c r="O55" s="183"/>
      <c r="P55" s="181"/>
      <c r="Q55" s="183"/>
      <c r="R55" s="183"/>
      <c r="S55" s="183"/>
      <c r="T55" s="181"/>
      <c r="U55" s="301"/>
      <c r="V55" s="301"/>
      <c r="W55" s="301"/>
      <c r="X55" s="183"/>
      <c r="Y55" s="183"/>
      <c r="Z55" s="180"/>
      <c r="AA55" s="301"/>
      <c r="AB55" s="301"/>
      <c r="AC55" s="301"/>
      <c r="AD55" s="301"/>
      <c r="AE55" s="180"/>
      <c r="AF55" s="301"/>
      <c r="AG55" s="301"/>
      <c r="AH55" s="301"/>
      <c r="AI55" s="184"/>
      <c r="AJ55" s="185"/>
      <c r="AK55" s="185"/>
      <c r="AL55" s="186"/>
      <c r="AM55" s="255"/>
    </row>
    <row r="56" customFormat="false" ht="11.1" hidden="false" customHeight="true" outlineLevel="0" collapsed="false">
      <c r="A56" s="301"/>
      <c r="B56" s="181"/>
      <c r="C56" s="180"/>
      <c r="D56" s="180"/>
      <c r="E56" s="180"/>
      <c r="F56" s="301"/>
      <c r="G56" s="301"/>
      <c r="H56" s="181"/>
      <c r="I56" s="301"/>
      <c r="J56" s="301"/>
      <c r="K56" s="301"/>
      <c r="L56" s="301"/>
      <c r="M56" s="183"/>
      <c r="N56" s="183"/>
      <c r="O56" s="183"/>
      <c r="P56" s="181"/>
      <c r="Q56" s="301"/>
      <c r="R56" s="301"/>
      <c r="S56" s="301"/>
      <c r="T56" s="181"/>
      <c r="U56" s="301"/>
      <c r="V56" s="301"/>
      <c r="W56" s="180"/>
      <c r="X56" s="183"/>
      <c r="Y56" s="183"/>
      <c r="Z56" s="301"/>
      <c r="AA56" s="301"/>
      <c r="AB56" s="301"/>
      <c r="AC56" s="301"/>
      <c r="AD56" s="180"/>
      <c r="AE56" s="301"/>
      <c r="AF56" s="301"/>
      <c r="AG56" s="301"/>
      <c r="AH56" s="181"/>
      <c r="AI56" s="184"/>
      <c r="AJ56" s="185"/>
      <c r="AK56" s="186"/>
    </row>
    <row r="57" customFormat="false" ht="11.1" hidden="false" customHeight="true" outlineLevel="0" collapsed="false">
      <c r="A57" s="301"/>
      <c r="B57" s="301"/>
      <c r="C57" s="180"/>
      <c r="D57" s="301"/>
      <c r="E57" s="180"/>
      <c r="F57" s="301"/>
      <c r="G57" s="303"/>
      <c r="H57" s="181"/>
      <c r="I57" s="301"/>
      <c r="J57" s="301"/>
      <c r="K57" s="301"/>
      <c r="L57" s="301"/>
      <c r="M57" s="183"/>
      <c r="N57" s="183"/>
      <c r="O57" s="183"/>
      <c r="P57" s="181"/>
      <c r="Q57" s="301"/>
      <c r="R57" s="301"/>
      <c r="S57" s="301"/>
      <c r="T57" s="181"/>
      <c r="U57" s="301"/>
      <c r="V57" s="301"/>
      <c r="W57" s="180"/>
      <c r="X57" s="183"/>
      <c r="Y57" s="183"/>
      <c r="Z57" s="301"/>
      <c r="AA57" s="301"/>
      <c r="AB57" s="301"/>
      <c r="AC57" s="301"/>
      <c r="AD57" s="180"/>
      <c r="AE57" s="301"/>
      <c r="AF57" s="301"/>
      <c r="AG57" s="301"/>
      <c r="AH57" s="181"/>
      <c r="AI57" s="184"/>
      <c r="AJ57" s="185"/>
      <c r="AK57" s="186"/>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C27" activePane="bottomRight" state="frozen"/>
      <selection pane="topLeft" activeCell="A1" activeCellId="0" sqref="A1"/>
      <selection pane="topRight" activeCell="C1" activeCellId="0" sqref="C1"/>
      <selection pane="bottomLeft" activeCell="A27" activeCellId="0" sqref="A27"/>
      <selection pane="bottomRight" activeCell="K58" activeCellId="0" sqref="K58"/>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175" width="5.66"/>
    <col collapsed="false" customWidth="true" hidden="false" outlineLevel="0" max="11" min="9" style="171" width="6.32"/>
    <col collapsed="false" customWidth="true" hidden="false" outlineLevel="0" max="12" min="12" style="171" width="7.16"/>
    <col collapsed="false" customWidth="true" hidden="false" outlineLevel="0" max="13" min="13" style="304" width="5.49"/>
    <col collapsed="false" customWidth="true" hidden="false" outlineLevel="0" max="14" min="14" style="174" width="4.49"/>
    <col collapsed="false" customWidth="true" hidden="false" outlineLevel="0" max="15" min="15" style="174" width="5.49"/>
    <col collapsed="false" customWidth="true" hidden="false" outlineLevel="0" max="16" min="16" style="173" width="4.82"/>
    <col collapsed="false" customWidth="true" hidden="false" outlineLevel="0" max="18" min="17" style="174" width="4.32"/>
    <col collapsed="false" customWidth="true" hidden="false" outlineLevel="0" max="19" min="19" style="171" width="4.32"/>
    <col collapsed="false" customWidth="true" hidden="false" outlineLevel="0" max="20" min="20" style="173" width="5.49"/>
    <col collapsed="false" customWidth="true" hidden="false" outlineLevel="0" max="22" min="21" style="171" width="5.49"/>
    <col collapsed="false" customWidth="true" hidden="false" outlineLevel="0" max="23" min="23" style="172" width="6.32"/>
    <col collapsed="false" customWidth="true" hidden="false" outlineLevel="0" max="29" min="24" style="171" width="5.49"/>
    <col collapsed="false" customWidth="true" hidden="false" outlineLevel="0" max="30" min="30" style="172" width="6.32"/>
    <col collapsed="false" customWidth="true" hidden="false" outlineLevel="0" max="31" min="31" style="171" width="5.49"/>
    <col collapsed="false" customWidth="true" hidden="false" outlineLevel="0" max="32" min="32" style="171" width="6.32"/>
    <col collapsed="false" customWidth="true" hidden="false" outlineLevel="0" max="33" min="33" style="171" width="6.99"/>
    <col collapsed="false" customWidth="true" hidden="false" outlineLevel="0" max="34" min="34" style="173" width="6.99"/>
    <col collapsed="false" customWidth="true" hidden="false" outlineLevel="0" max="35" min="35" style="175" width="5.32"/>
    <col collapsed="false" customWidth="true" hidden="false" outlineLevel="0" max="36" min="36" style="176" width="3.82"/>
    <col collapsed="false" customWidth="true" hidden="false" outlineLevel="0" max="37" min="37" style="177" width="3.82"/>
    <col collapsed="false" customWidth="true" hidden="false" outlineLevel="0" max="38" min="38" style="171" width="5.49"/>
    <col collapsed="false" customWidth="true" hidden="false" outlineLevel="0" max="39" min="39" style="178" width="5.49"/>
    <col collapsed="false" customWidth="true" hidden="false" outlineLevel="0" max="40" min="40" style="171" width="6.32"/>
    <col collapsed="false" customWidth="true" hidden="false" outlineLevel="0" max="42" min="41" style="178" width="6.32"/>
    <col collapsed="false" customWidth="true" hidden="false" outlineLevel="0" max="43" min="43" style="171" width="6.49"/>
    <col collapsed="false" customWidth="false" hidden="false" outlineLevel="0" max="257" min="44" style="171" width="9.32"/>
  </cols>
  <sheetData>
    <row r="1" customFormat="false" ht="14.1" hidden="false" customHeight="true" outlineLevel="0" collapsed="false">
      <c r="A1" s="179"/>
      <c r="B1" s="179"/>
      <c r="C1" s="180"/>
      <c r="D1" s="179"/>
      <c r="E1" s="180"/>
      <c r="F1" s="179"/>
      <c r="G1" s="179"/>
      <c r="H1" s="184"/>
      <c r="I1" s="179"/>
      <c r="J1" s="179"/>
      <c r="K1" s="182" t="s">
        <v>0</v>
      </c>
      <c r="L1" s="179"/>
      <c r="M1" s="305"/>
      <c r="N1" s="179"/>
      <c r="O1" s="179"/>
      <c r="P1" s="181"/>
      <c r="Q1" s="179"/>
      <c r="R1" s="179"/>
      <c r="S1" s="179"/>
      <c r="T1" s="181"/>
      <c r="U1" s="179"/>
      <c r="V1" s="179"/>
      <c r="W1" s="180"/>
      <c r="X1" s="179"/>
      <c r="Y1" s="179"/>
      <c r="Z1" s="179"/>
      <c r="AA1" s="179"/>
      <c r="AB1" s="179"/>
      <c r="AC1" s="179"/>
      <c r="AD1" s="180"/>
      <c r="AE1" s="179"/>
      <c r="AF1" s="179"/>
      <c r="AG1" s="179"/>
      <c r="AH1" s="181"/>
      <c r="AI1" s="184"/>
      <c r="AJ1" s="185"/>
      <c r="AK1" s="186"/>
      <c r="AL1" s="306"/>
      <c r="AM1" s="307"/>
      <c r="AN1" s="306"/>
    </row>
    <row r="2" customFormat="false" ht="14.1" hidden="false" customHeight="true" outlineLevel="0" collapsed="false">
      <c r="A2" s="187" t="s">
        <v>1</v>
      </c>
      <c r="B2" s="179"/>
      <c r="C2" s="180"/>
      <c r="D2" s="188" t="n">
        <v>1.9835</v>
      </c>
      <c r="E2" s="180"/>
      <c r="F2" s="179"/>
      <c r="G2" s="179"/>
      <c r="H2" s="184"/>
      <c r="I2" s="179"/>
      <c r="J2" s="179"/>
      <c r="K2" s="189" t="s">
        <v>95</v>
      </c>
      <c r="L2" s="189"/>
      <c r="M2" s="189"/>
      <c r="N2" s="189"/>
      <c r="O2" s="189"/>
      <c r="P2" s="189"/>
      <c r="Q2" s="189"/>
      <c r="R2" s="189"/>
      <c r="S2" s="189"/>
      <c r="T2" s="189"/>
      <c r="U2" s="189"/>
      <c r="V2" s="189"/>
      <c r="W2" s="189"/>
      <c r="X2" s="189"/>
      <c r="Y2" s="189"/>
      <c r="Z2" s="189"/>
      <c r="AA2" s="179"/>
      <c r="AB2" s="179"/>
      <c r="AC2" s="179"/>
      <c r="AD2" s="180"/>
      <c r="AE2" s="179"/>
      <c r="AF2" s="179"/>
      <c r="AG2" s="179"/>
      <c r="AH2" s="181"/>
      <c r="AI2" s="184"/>
      <c r="AJ2" s="185"/>
      <c r="AK2" s="186"/>
      <c r="AL2" s="306"/>
      <c r="AM2" s="307"/>
      <c r="AN2" s="306"/>
    </row>
    <row r="3" customFormat="false" ht="14.1" hidden="false" customHeight="true" outlineLevel="0" collapsed="false">
      <c r="A3" s="190"/>
      <c r="B3" s="190"/>
      <c r="C3" s="191"/>
      <c r="D3" s="192"/>
      <c r="E3" s="191"/>
      <c r="F3" s="190"/>
      <c r="G3" s="190"/>
      <c r="H3" s="195"/>
      <c r="I3" s="190"/>
      <c r="J3" s="190"/>
      <c r="K3" s="190"/>
      <c r="L3" s="190"/>
      <c r="M3" s="308"/>
      <c r="N3" s="190"/>
      <c r="O3" s="190"/>
      <c r="P3" s="193"/>
      <c r="Q3" s="190"/>
      <c r="R3" s="190"/>
      <c r="S3" s="190"/>
      <c r="T3" s="193"/>
      <c r="U3" s="190"/>
      <c r="V3" s="190"/>
      <c r="W3" s="191"/>
      <c r="X3" s="190"/>
      <c r="Y3" s="190"/>
      <c r="Z3" s="190"/>
      <c r="AA3" s="190"/>
      <c r="AB3" s="190"/>
      <c r="AC3" s="190"/>
      <c r="AD3" s="191"/>
      <c r="AE3" s="190"/>
      <c r="AF3" s="190"/>
      <c r="AG3" s="190"/>
      <c r="AH3" s="193"/>
      <c r="AI3" s="195"/>
      <c r="AJ3" s="196"/>
      <c r="AK3" s="197"/>
      <c r="AL3" s="309"/>
      <c r="AM3" s="310"/>
      <c r="AN3" s="309"/>
      <c r="AO3" s="200"/>
    </row>
    <row r="4" s="213" customFormat="true" ht="14.1" hidden="false" customHeight="true" outlineLevel="0" collapsed="false">
      <c r="A4" s="201"/>
      <c r="B4" s="202"/>
      <c r="C4" s="203"/>
      <c r="D4" s="311" t="s">
        <v>3</v>
      </c>
      <c r="E4" s="203"/>
      <c r="F4" s="205"/>
      <c r="G4" s="201"/>
      <c r="H4" s="312"/>
      <c r="I4" s="201"/>
      <c r="J4" s="201"/>
      <c r="K4" s="201"/>
      <c r="L4" s="201"/>
      <c r="M4" s="313"/>
      <c r="N4" s="201"/>
      <c r="O4" s="201"/>
      <c r="P4" s="206"/>
      <c r="Q4" s="201"/>
      <c r="R4" s="201"/>
      <c r="S4" s="201"/>
      <c r="T4" s="206"/>
      <c r="U4" s="207" t="s">
        <v>4</v>
      </c>
      <c r="V4" s="201"/>
      <c r="W4" s="208"/>
      <c r="X4" s="201"/>
      <c r="Y4" s="201"/>
      <c r="Z4" s="201"/>
      <c r="AA4" s="201"/>
      <c r="AB4" s="201"/>
      <c r="AC4" s="201"/>
      <c r="AD4" s="208"/>
      <c r="AE4" s="201"/>
      <c r="AF4" s="201"/>
      <c r="AG4" s="201"/>
      <c r="AH4" s="206"/>
      <c r="AI4" s="210"/>
      <c r="AJ4" s="211" t="s">
        <v>5</v>
      </c>
      <c r="AK4" s="212"/>
      <c r="AL4" s="201"/>
      <c r="AM4" s="314"/>
      <c r="AN4" s="207" t="s">
        <v>6</v>
      </c>
      <c r="AO4" s="215"/>
      <c r="AP4" s="216"/>
      <c r="AQ4" s="217"/>
    </row>
    <row r="5" customFormat="false" ht="12.95" hidden="false" customHeight="true" outlineLevel="0" collapsed="false">
      <c r="A5" s="218" t="s">
        <v>7</v>
      </c>
      <c r="B5" s="219" t="s">
        <v>8</v>
      </c>
      <c r="C5" s="220" t="s">
        <v>8</v>
      </c>
      <c r="D5" s="218" t="s">
        <v>9</v>
      </c>
      <c r="E5" s="220" t="s">
        <v>10</v>
      </c>
      <c r="F5" s="221" t="s">
        <v>11</v>
      </c>
      <c r="G5" s="218" t="s">
        <v>12</v>
      </c>
      <c r="H5" s="315" t="s">
        <v>13</v>
      </c>
      <c r="I5" s="218" t="s">
        <v>14</v>
      </c>
      <c r="J5" s="218" t="s">
        <v>15</v>
      </c>
      <c r="K5" s="218" t="s">
        <v>16</v>
      </c>
      <c r="L5" s="218" t="s">
        <v>15</v>
      </c>
      <c r="M5" s="316" t="s">
        <v>17</v>
      </c>
      <c r="N5" s="316"/>
      <c r="O5" s="316"/>
      <c r="P5" s="316"/>
      <c r="Q5" s="316"/>
      <c r="R5" s="316"/>
      <c r="S5" s="316"/>
      <c r="T5" s="316"/>
      <c r="U5" s="218" t="s">
        <v>18</v>
      </c>
      <c r="V5" s="218" t="s">
        <v>19</v>
      </c>
      <c r="W5" s="218" t="s">
        <v>16</v>
      </c>
      <c r="X5" s="220" t="s">
        <v>20</v>
      </c>
      <c r="Y5" s="220" t="s">
        <v>21</v>
      </c>
      <c r="Z5" s="220" t="s">
        <v>20</v>
      </c>
      <c r="AA5" s="218" t="s">
        <v>22</v>
      </c>
      <c r="AB5" s="225" t="s">
        <v>96</v>
      </c>
      <c r="AC5" s="226"/>
      <c r="AD5" s="218" t="s">
        <v>24</v>
      </c>
      <c r="AE5" s="220" t="s">
        <v>25</v>
      </c>
      <c r="AF5" s="218" t="s">
        <v>14</v>
      </c>
      <c r="AG5" s="218" t="s">
        <v>15</v>
      </c>
      <c r="AH5" s="218" t="s">
        <v>16</v>
      </c>
      <c r="AI5" s="227" t="s">
        <v>26</v>
      </c>
      <c r="AJ5" s="228" t="s">
        <v>27</v>
      </c>
      <c r="AK5" s="229" t="s">
        <v>28</v>
      </c>
      <c r="AL5" s="228" t="s">
        <v>88</v>
      </c>
      <c r="AM5" s="228" t="s">
        <v>20</v>
      </c>
      <c r="AN5" s="307" t="s">
        <v>20</v>
      </c>
      <c r="AO5" s="307" t="s">
        <v>20</v>
      </c>
      <c r="AP5" s="231" t="s">
        <v>30</v>
      </c>
      <c r="AQ5" s="240" t="s">
        <v>31</v>
      </c>
    </row>
    <row r="6" customFormat="false" ht="12.95" hidden="false" customHeight="true" outlineLevel="0" collapsed="false">
      <c r="A6" s="233" t="s">
        <v>97</v>
      </c>
      <c r="B6" s="219" t="s">
        <v>33</v>
      </c>
      <c r="C6" s="220" t="s">
        <v>9</v>
      </c>
      <c r="D6" s="218" t="s">
        <v>34</v>
      </c>
      <c r="E6" s="220" t="s">
        <v>35</v>
      </c>
      <c r="F6" s="221" t="s">
        <v>36</v>
      </c>
      <c r="G6" s="218" t="s">
        <v>37</v>
      </c>
      <c r="H6" s="315" t="s">
        <v>38</v>
      </c>
      <c r="I6" s="218" t="s">
        <v>39</v>
      </c>
      <c r="J6" s="218" t="s">
        <v>39</v>
      </c>
      <c r="K6" s="218" t="s">
        <v>39</v>
      </c>
      <c r="L6" s="218" t="s">
        <v>40</v>
      </c>
      <c r="M6" s="317" t="s">
        <v>41</v>
      </c>
      <c r="N6" s="218" t="s">
        <v>42</v>
      </c>
      <c r="O6" s="218" t="s">
        <v>43</v>
      </c>
      <c r="P6" s="222" t="s">
        <v>44</v>
      </c>
      <c r="Q6" s="218" t="s">
        <v>45</v>
      </c>
      <c r="R6" s="218" t="s">
        <v>46</v>
      </c>
      <c r="S6" s="218" t="s">
        <v>47</v>
      </c>
      <c r="T6" s="235" t="s">
        <v>48</v>
      </c>
      <c r="U6" s="218" t="s">
        <v>49</v>
      </c>
      <c r="V6" s="218" t="s">
        <v>50</v>
      </c>
      <c r="W6" s="218" t="s">
        <v>20</v>
      </c>
      <c r="X6" s="220" t="s">
        <v>92</v>
      </c>
      <c r="Y6" s="220" t="s">
        <v>52</v>
      </c>
      <c r="Z6" s="220" t="s">
        <v>98</v>
      </c>
      <c r="AA6" s="218" t="s">
        <v>54</v>
      </c>
      <c r="AB6" s="234"/>
      <c r="AC6" s="236"/>
      <c r="AD6" s="218" t="s">
        <v>56</v>
      </c>
      <c r="AE6" s="220" t="s">
        <v>57</v>
      </c>
      <c r="AF6" s="218" t="s">
        <v>58</v>
      </c>
      <c r="AG6" s="218" t="s">
        <v>58</v>
      </c>
      <c r="AH6" s="218" t="s">
        <v>58</v>
      </c>
      <c r="AI6" s="237"/>
      <c r="AJ6" s="228" t="s">
        <v>59</v>
      </c>
      <c r="AK6" s="229" t="s">
        <v>59</v>
      </c>
      <c r="AL6" s="238" t="s">
        <v>60</v>
      </c>
      <c r="AM6" s="238" t="s">
        <v>61</v>
      </c>
      <c r="AN6" s="307" t="s">
        <v>62</v>
      </c>
      <c r="AO6" s="307" t="s">
        <v>62</v>
      </c>
      <c r="AP6" s="231" t="s">
        <v>63</v>
      </c>
      <c r="AQ6" s="240" t="s">
        <v>64</v>
      </c>
    </row>
    <row r="7" customFormat="false" ht="12.95" hidden="false" customHeight="true" outlineLevel="0" collapsed="false">
      <c r="A7" s="241"/>
      <c r="B7" s="242"/>
      <c r="C7" s="243"/>
      <c r="D7" s="241"/>
      <c r="E7" s="244" t="s">
        <v>65</v>
      </c>
      <c r="F7" s="245"/>
      <c r="G7" s="241"/>
      <c r="H7" s="318"/>
      <c r="I7" s="241"/>
      <c r="J7" s="241"/>
      <c r="K7" s="241"/>
      <c r="L7" s="241"/>
      <c r="M7" s="319"/>
      <c r="N7" s="248" t="s">
        <v>66</v>
      </c>
      <c r="O7" s="248" t="s">
        <v>67</v>
      </c>
      <c r="P7" s="249"/>
      <c r="Q7" s="241"/>
      <c r="R7" s="241"/>
      <c r="S7" s="248" t="s">
        <v>43</v>
      </c>
      <c r="T7" s="250" t="s">
        <v>68</v>
      </c>
      <c r="U7" s="241"/>
      <c r="V7" s="241"/>
      <c r="W7" s="241"/>
      <c r="X7" s="244"/>
      <c r="Y7" s="244"/>
      <c r="Z7" s="244"/>
      <c r="AA7" s="241"/>
      <c r="AB7" s="247"/>
      <c r="AC7" s="251"/>
      <c r="AD7" s="241"/>
      <c r="AE7" s="243"/>
      <c r="AF7" s="241"/>
      <c r="AG7" s="241"/>
      <c r="AH7" s="241"/>
      <c r="AI7" s="252"/>
      <c r="AJ7" s="238"/>
      <c r="AK7" s="253"/>
      <c r="AL7" s="238" t="s">
        <v>69</v>
      </c>
      <c r="AM7" s="238" t="s">
        <v>36</v>
      </c>
      <c r="AN7" s="320" t="s">
        <v>70</v>
      </c>
      <c r="AO7" s="320" t="s">
        <v>93</v>
      </c>
      <c r="AP7" s="231" t="s">
        <v>72</v>
      </c>
      <c r="AQ7" s="240" t="s">
        <v>73</v>
      </c>
    </row>
    <row r="8" customFormat="false" ht="12.95" hidden="false" customHeight="true" outlineLevel="0" collapsed="false">
      <c r="A8" s="241"/>
      <c r="B8" s="242"/>
      <c r="C8" s="243"/>
      <c r="D8" s="241"/>
      <c r="E8" s="243"/>
      <c r="F8" s="245"/>
      <c r="G8" s="241"/>
      <c r="H8" s="318"/>
      <c r="I8" s="241"/>
      <c r="J8" s="241"/>
      <c r="K8" s="241"/>
      <c r="L8" s="241"/>
      <c r="M8" s="319"/>
      <c r="N8" s="321" t="n">
        <v>1.03</v>
      </c>
      <c r="O8" s="321" t="n">
        <v>1.05</v>
      </c>
      <c r="P8" s="246" t="n">
        <v>1.02</v>
      </c>
      <c r="Q8" s="321" t="n">
        <v>1.02</v>
      </c>
      <c r="R8" s="321" t="n">
        <v>1.04</v>
      </c>
      <c r="S8" s="248" t="s">
        <v>53</v>
      </c>
      <c r="T8" s="250"/>
      <c r="U8" s="241"/>
      <c r="V8" s="241"/>
      <c r="W8" s="241"/>
      <c r="X8" s="243"/>
      <c r="Y8" s="243"/>
      <c r="Z8" s="244"/>
      <c r="AA8" s="241"/>
      <c r="AB8" s="247"/>
      <c r="AC8" s="251"/>
      <c r="AD8" s="241"/>
      <c r="AE8" s="243"/>
      <c r="AF8" s="241"/>
      <c r="AG8" s="241"/>
      <c r="AH8" s="241"/>
      <c r="AI8" s="252"/>
      <c r="AJ8" s="186"/>
      <c r="AK8" s="253"/>
      <c r="AL8" s="186"/>
      <c r="AM8" s="186"/>
      <c r="AN8" s="322"/>
      <c r="AO8" s="320" t="s">
        <v>69</v>
      </c>
      <c r="AP8" s="323"/>
    </row>
    <row r="9" customFormat="false" ht="12.95" hidden="false" customHeight="true" outlineLevel="0" collapsed="false">
      <c r="A9" s="187" t="s">
        <v>75</v>
      </c>
      <c r="B9" s="324"/>
      <c r="C9" s="180"/>
      <c r="D9" s="180"/>
      <c r="E9" s="180"/>
      <c r="F9" s="325"/>
      <c r="G9" s="180"/>
      <c r="H9" s="184"/>
      <c r="I9" s="180"/>
      <c r="J9" s="180"/>
      <c r="K9" s="180"/>
      <c r="L9" s="180"/>
      <c r="M9" s="326"/>
      <c r="N9" s="180"/>
      <c r="O9" s="180"/>
      <c r="P9" s="181"/>
      <c r="Q9" s="180"/>
      <c r="R9" s="180"/>
      <c r="S9" s="180"/>
      <c r="T9" s="327"/>
      <c r="U9" s="180"/>
      <c r="V9" s="180"/>
      <c r="W9" s="180"/>
      <c r="X9" s="180"/>
      <c r="Y9" s="180"/>
      <c r="Z9" s="180"/>
      <c r="AA9" s="180"/>
      <c r="AB9" s="259"/>
      <c r="AC9" s="262"/>
      <c r="AD9" s="180"/>
      <c r="AE9" s="180"/>
      <c r="AF9" s="180"/>
      <c r="AG9" s="180"/>
      <c r="AH9" s="180"/>
      <c r="AI9" s="252"/>
      <c r="AJ9" s="185"/>
      <c r="AK9" s="328"/>
      <c r="AL9" s="186"/>
      <c r="AM9" s="186"/>
      <c r="AN9" s="322"/>
      <c r="AO9" s="323"/>
      <c r="AP9" s="323"/>
    </row>
    <row r="10" s="172" customFormat="true" ht="12.95" hidden="false" customHeight="true" outlineLevel="0" collapsed="false">
      <c r="A10" s="267" t="s">
        <v>76</v>
      </c>
      <c r="B10" s="329" t="n">
        <f aca="false">DEC!B42</f>
        <v>6896.9</v>
      </c>
      <c r="C10" s="180" t="n">
        <f aca="false">DEC!C42</f>
        <v>272284</v>
      </c>
      <c r="D10" s="180" t="n">
        <f aca="false">DEC!D51</f>
        <v>1363</v>
      </c>
      <c r="E10" s="180" t="n">
        <f aca="false">DEC!E51</f>
        <v>120284</v>
      </c>
      <c r="F10" s="325" t="n">
        <f aca="false">DEC!F50</f>
        <v>687.169145449962</v>
      </c>
      <c r="G10" s="180" t="n">
        <f aca="false">DEC!G50</f>
        <v>7856</v>
      </c>
      <c r="H10" s="330" t="n">
        <f aca="false">DEC!H50</f>
        <v>106.46</v>
      </c>
      <c r="I10" s="180" t="n">
        <f aca="false">DEC!I50</f>
        <v>7962.46</v>
      </c>
      <c r="J10" s="180" t="n">
        <f aca="false">DEC!J50</f>
        <v>416.869314343333</v>
      </c>
      <c r="K10" s="180" t="n">
        <f aca="false">DEC!K50</f>
        <v>8379.32931434333</v>
      </c>
      <c r="L10" s="180" t="n">
        <f aca="false">DEC!L50</f>
        <v>-690.590854550038</v>
      </c>
      <c r="M10" s="331" t="n">
        <f aca="false">DEC!M50</f>
        <v>400.5</v>
      </c>
      <c r="N10" s="180" t="n">
        <f aca="false">DEC!N50</f>
        <v>0</v>
      </c>
      <c r="O10" s="180" t="n">
        <f aca="false">DEC!O50</f>
        <v>0</v>
      </c>
      <c r="P10" s="181"/>
      <c r="Q10" s="180" t="n">
        <f aca="false">DEC!Q50</f>
        <v>98.634</v>
      </c>
      <c r="R10" s="180" t="n">
        <f aca="false">DEC!R50</f>
        <v>153.483</v>
      </c>
      <c r="S10" s="332" t="n">
        <f aca="false">DEC!S50</f>
        <v>0</v>
      </c>
      <c r="T10" s="333" t="n">
        <f aca="false">DEC!T50</f>
        <v>-9.39440000000001</v>
      </c>
      <c r="U10" s="180" t="n">
        <f aca="false">DEC!U50</f>
        <v>4691</v>
      </c>
      <c r="V10" s="180" t="n">
        <f aca="false">DEC!V50</f>
        <v>76.2</v>
      </c>
      <c r="W10" s="180" t="n">
        <f aca="false">DEC!W50</f>
        <v>4447.81</v>
      </c>
      <c r="X10" s="180"/>
      <c r="Y10" s="180"/>
      <c r="Z10" s="180"/>
      <c r="AA10" s="180"/>
      <c r="AB10" s="259"/>
      <c r="AC10" s="262"/>
      <c r="AD10" s="180" t="n">
        <f aca="false">DEC!AD50</f>
        <v>1417</v>
      </c>
      <c r="AE10" s="180" t="n">
        <f aca="false">DEC!AE50</f>
        <v>2402</v>
      </c>
      <c r="AF10" s="180" t="n">
        <f aca="false">DEC!AF50</f>
        <v>6584.7</v>
      </c>
      <c r="AG10" s="180" t="n">
        <f aca="false">DEC!AG50</f>
        <v>1107.46016889337</v>
      </c>
      <c r="AH10" s="180" t="n">
        <f aca="false">DEC!AH50</f>
        <v>7692.16016889337</v>
      </c>
      <c r="AI10" s="252" t="n">
        <f aca="false">DEC!AI50</f>
        <v>1.46</v>
      </c>
      <c r="AJ10" s="185"/>
      <c r="AK10" s="328"/>
      <c r="AL10" s="186" t="n">
        <f aca="false">DEC!AL51</f>
        <v>8822.236385</v>
      </c>
      <c r="AM10" s="186"/>
      <c r="AN10" s="334"/>
      <c r="AO10" s="335"/>
      <c r="AP10" s="336"/>
    </row>
    <row r="11" customFormat="false" ht="3" hidden="false" customHeight="true" outlineLevel="0" collapsed="false">
      <c r="A11" s="270"/>
      <c r="B11" s="337"/>
      <c r="C11" s="338"/>
      <c r="D11" s="270"/>
      <c r="E11" s="338"/>
      <c r="F11" s="339"/>
      <c r="G11" s="270"/>
      <c r="H11" s="340"/>
      <c r="I11" s="270"/>
      <c r="J11" s="270"/>
      <c r="K11" s="270"/>
      <c r="L11" s="270"/>
      <c r="M11" s="341"/>
      <c r="N11" s="270"/>
      <c r="O11" s="270"/>
      <c r="P11" s="342"/>
      <c r="Q11" s="270"/>
      <c r="R11" s="270"/>
      <c r="S11" s="270"/>
      <c r="T11" s="343"/>
      <c r="U11" s="270"/>
      <c r="V11" s="270"/>
      <c r="W11" s="270"/>
      <c r="X11" s="338"/>
      <c r="Y11" s="338"/>
      <c r="Z11" s="338"/>
      <c r="AA11" s="270"/>
      <c r="AB11" s="276"/>
      <c r="AC11" s="279"/>
      <c r="AD11" s="270"/>
      <c r="AE11" s="338"/>
      <c r="AF11" s="270"/>
      <c r="AG11" s="270"/>
      <c r="AH11" s="270"/>
      <c r="AI11" s="344"/>
      <c r="AJ11" s="345"/>
      <c r="AK11" s="346"/>
      <c r="AL11" s="347"/>
      <c r="AM11" s="347"/>
      <c r="AN11" s="347"/>
      <c r="AO11" s="347"/>
      <c r="AP11" s="347"/>
      <c r="AQ11" s="347"/>
    </row>
    <row r="12" customFormat="false" ht="12.95" hidden="false" customHeight="true" outlineLevel="0" collapsed="false">
      <c r="A12" s="186" t="n">
        <v>1</v>
      </c>
      <c r="B12" s="329" t="n">
        <v>6896.92</v>
      </c>
      <c r="C12" s="180" t="n">
        <v>272356</v>
      </c>
      <c r="D12" s="185" t="n">
        <f aca="false">C12-C10</f>
        <v>72</v>
      </c>
      <c r="E12" s="180" t="n">
        <f aca="false">C12-152000</f>
        <v>120356</v>
      </c>
      <c r="F12" s="348" t="n">
        <f aca="false">D12/$D$2</f>
        <v>36.2994706327199</v>
      </c>
      <c r="G12" s="179" t="n">
        <v>78</v>
      </c>
      <c r="H12" s="184" t="n">
        <v>1</v>
      </c>
      <c r="I12" s="179" t="n">
        <f aca="false">G12+H12</f>
        <v>79</v>
      </c>
      <c r="J12" s="183" t="n">
        <f aca="false">IF(L12&gt;0,L12,0)</f>
        <v>0</v>
      </c>
      <c r="K12" s="179" t="n">
        <f aca="false">I12+J12</f>
        <v>79</v>
      </c>
      <c r="L12" s="179" t="n">
        <f aca="false">F12-(I12-AF12)</f>
        <v>-16.0005293672801</v>
      </c>
      <c r="M12" s="326" t="n">
        <v>3.7</v>
      </c>
      <c r="N12" s="179" t="n">
        <v>0</v>
      </c>
      <c r="O12" s="179" t="n">
        <v>0</v>
      </c>
      <c r="P12" s="181" t="n">
        <v>0</v>
      </c>
      <c r="Q12" s="300" t="n">
        <f aca="false">1.52*1.02</f>
        <v>1.5504</v>
      </c>
      <c r="R12" s="300" t="n">
        <v>2.39</v>
      </c>
      <c r="S12" s="349" t="n">
        <v>0</v>
      </c>
      <c r="T12" s="104" t="n">
        <f aca="false">M12-(Q12+R12+S12)</f>
        <v>-0.2404</v>
      </c>
      <c r="U12" s="179" t="n">
        <v>0</v>
      </c>
      <c r="V12" s="179" t="n">
        <v>0</v>
      </c>
      <c r="W12" s="141" t="n">
        <f aca="false">M12-N12-O12-P12-Q12-R12-S12-T12+U12+V12</f>
        <v>0</v>
      </c>
      <c r="X12" s="180"/>
      <c r="Y12" s="180"/>
      <c r="Z12" s="180"/>
      <c r="AA12" s="179" t="n">
        <v>0</v>
      </c>
      <c r="AB12" s="284"/>
      <c r="AC12" s="285"/>
      <c r="AD12" s="179" t="n">
        <v>23</v>
      </c>
      <c r="AE12" s="180" t="n">
        <f aca="false">AE10-AD12</f>
        <v>2379</v>
      </c>
      <c r="AF12" s="10" t="n">
        <f aca="false">N12+O12+P12+Q12+R12+S12+T12+W12+AA12+AD12</f>
        <v>26.7</v>
      </c>
      <c r="AG12" s="179" t="n">
        <f aca="false">IF(L12&lt;0,L12*-1,0)</f>
        <v>16.0005293672801</v>
      </c>
      <c r="AH12" s="179" t="n">
        <f aca="false">AF12+AG12</f>
        <v>42.7005293672801</v>
      </c>
      <c r="AI12" s="252" t="n">
        <v>0</v>
      </c>
      <c r="AJ12" s="185" t="n">
        <v>46</v>
      </c>
      <c r="AK12" s="328" t="n">
        <v>23</v>
      </c>
      <c r="AL12" s="186" t="n">
        <f aca="false">AL10+(W12*1.9835)</f>
        <v>8822.236385</v>
      </c>
      <c r="AM12" s="186" t="n">
        <v>0</v>
      </c>
      <c r="AN12" s="350"/>
      <c r="AO12" s="336"/>
      <c r="AP12" s="323"/>
    </row>
    <row r="13" customFormat="false" ht="12.95" hidden="false" customHeight="true" outlineLevel="0" collapsed="false">
      <c r="A13" s="186" t="n">
        <f aca="false">A12+1</f>
        <v>2</v>
      </c>
      <c r="B13" s="329" t="n">
        <v>6896.94</v>
      </c>
      <c r="C13" s="180" t="n">
        <v>272428</v>
      </c>
      <c r="D13" s="185" t="n">
        <f aca="false">C13-C12</f>
        <v>72</v>
      </c>
      <c r="E13" s="180" t="n">
        <f aca="false">C13-152000</f>
        <v>120428</v>
      </c>
      <c r="F13" s="348" t="n">
        <f aca="false">D13/$D$2</f>
        <v>36.2994706327199</v>
      </c>
      <c r="G13" s="179" t="n">
        <v>81</v>
      </c>
      <c r="H13" s="184" t="n">
        <v>0.99</v>
      </c>
      <c r="I13" s="179" t="n">
        <f aca="false">G13+H13</f>
        <v>81.99</v>
      </c>
      <c r="J13" s="183" t="n">
        <f aca="false">IF(L13&gt;0,L13,0)</f>
        <v>0</v>
      </c>
      <c r="K13" s="179" t="n">
        <f aca="false">I13+J13</f>
        <v>81.99</v>
      </c>
      <c r="L13" s="179" t="n">
        <f aca="false">F13-(I13-AF13)</f>
        <v>-18.9905293672801</v>
      </c>
      <c r="M13" s="326" t="n">
        <v>3.7</v>
      </c>
      <c r="N13" s="179" t="n">
        <v>0</v>
      </c>
      <c r="O13" s="179" t="n">
        <v>0</v>
      </c>
      <c r="P13" s="181" t="n">
        <v>0</v>
      </c>
      <c r="Q13" s="300" t="n">
        <f aca="false">1.52*1.02</f>
        <v>1.5504</v>
      </c>
      <c r="R13" s="300" t="n">
        <v>2.8</v>
      </c>
      <c r="S13" s="349" t="n">
        <v>0</v>
      </c>
      <c r="T13" s="104" t="n">
        <f aca="false">M13-(Q13+R13+S13)</f>
        <v>-0.650399999999999</v>
      </c>
      <c r="U13" s="179" t="n">
        <v>0</v>
      </c>
      <c r="V13" s="179" t="n">
        <v>0</v>
      </c>
      <c r="W13" s="141" t="n">
        <f aca="false">M13-N13-O13-P13-Q13-R13-S13-T13+U13+V13</f>
        <v>0</v>
      </c>
      <c r="X13" s="180"/>
      <c r="Y13" s="180"/>
      <c r="Z13" s="180"/>
      <c r="AA13" s="179" t="n">
        <v>0</v>
      </c>
      <c r="AB13" s="284"/>
      <c r="AC13" s="285"/>
      <c r="AD13" s="179" t="n">
        <v>23</v>
      </c>
      <c r="AE13" s="180" t="n">
        <f aca="false">AE12-AD13</f>
        <v>2356</v>
      </c>
      <c r="AF13" s="10" t="n">
        <f aca="false">N13+O13+P13+Q13+R13+S13+T13+W13+AA13+AD13</f>
        <v>26.7</v>
      </c>
      <c r="AG13" s="179" t="n">
        <f aca="false">IF(L13&lt;0,L13*-1,0)</f>
        <v>18.9905293672801</v>
      </c>
      <c r="AH13" s="179" t="n">
        <f aca="false">AF13+AG13</f>
        <v>45.69052936728</v>
      </c>
      <c r="AI13" s="252" t="n">
        <v>0</v>
      </c>
      <c r="AJ13" s="185" t="n">
        <v>44</v>
      </c>
      <c r="AK13" s="328" t="n">
        <v>20</v>
      </c>
      <c r="AL13" s="186" t="n">
        <f aca="false">AL12+(W13*1.9835)</f>
        <v>8822.236385</v>
      </c>
      <c r="AM13" s="186" t="n">
        <v>0</v>
      </c>
      <c r="AN13" s="350"/>
      <c r="AO13" s="336"/>
      <c r="AP13" s="323"/>
    </row>
    <row r="14" customFormat="false" ht="12.95" hidden="false" customHeight="true" outlineLevel="0" collapsed="false">
      <c r="A14" s="186" t="n">
        <f aca="false">A13+1</f>
        <v>3</v>
      </c>
      <c r="B14" s="329" t="n">
        <v>6896.96</v>
      </c>
      <c r="C14" s="180" t="n">
        <v>272500</v>
      </c>
      <c r="D14" s="185" t="n">
        <f aca="false">C14-C13</f>
        <v>72</v>
      </c>
      <c r="E14" s="180" t="n">
        <f aca="false">C14-152000</f>
        <v>120500</v>
      </c>
      <c r="F14" s="348" t="n">
        <f aca="false">D14/$D$2</f>
        <v>36.2994706327199</v>
      </c>
      <c r="G14" s="179" t="n">
        <v>71</v>
      </c>
      <c r="H14" s="184" t="n">
        <v>0.99</v>
      </c>
      <c r="I14" s="179" t="n">
        <f aca="false">G14+H14</f>
        <v>71.99</v>
      </c>
      <c r="J14" s="183" t="n">
        <f aca="false">IF(L14&gt;0,L14,0)</f>
        <v>0</v>
      </c>
      <c r="K14" s="179" t="n">
        <f aca="false">I14+J14</f>
        <v>71.99</v>
      </c>
      <c r="L14" s="179" t="n">
        <f aca="false">F14-(I14-AF14)</f>
        <v>-8.99052936728005</v>
      </c>
      <c r="M14" s="326" t="n">
        <v>3.7</v>
      </c>
      <c r="N14" s="179" t="n">
        <v>0</v>
      </c>
      <c r="O14" s="179" t="n">
        <v>0</v>
      </c>
      <c r="P14" s="181" t="n">
        <v>0</v>
      </c>
      <c r="Q14" s="300" t="n">
        <f aca="false">1.52*1.02</f>
        <v>1.5504</v>
      </c>
      <c r="R14" s="300" t="n">
        <v>2.49</v>
      </c>
      <c r="S14" s="349" t="n">
        <v>0</v>
      </c>
      <c r="T14" s="104" t="n">
        <f aca="false">M14-(Q14+R14+S14)</f>
        <v>-0.3404</v>
      </c>
      <c r="U14" s="179" t="n">
        <v>0</v>
      </c>
      <c r="V14" s="179" t="n">
        <v>0</v>
      </c>
      <c r="W14" s="141" t="n">
        <f aca="false">M14-N14-O14-P14-Q14-R14-S14-T14+U14+V14</f>
        <v>0</v>
      </c>
      <c r="X14" s="180"/>
      <c r="Y14" s="180"/>
      <c r="Z14" s="180"/>
      <c r="AA14" s="179" t="n">
        <v>0</v>
      </c>
      <c r="AB14" s="284"/>
      <c r="AC14" s="285"/>
      <c r="AD14" s="179" t="n">
        <v>23</v>
      </c>
      <c r="AE14" s="180" t="n">
        <f aca="false">AE13-AD14</f>
        <v>2333</v>
      </c>
      <c r="AF14" s="10" t="n">
        <f aca="false">N14+O14+P14+Q14+R14+S14+T14+W14+AA14+AD14</f>
        <v>26.7</v>
      </c>
      <c r="AG14" s="179" t="n">
        <f aca="false">IF(L14&lt;0,L14*-1,0)</f>
        <v>8.99052936728005</v>
      </c>
      <c r="AH14" s="179" t="n">
        <f aca="false">AF14+AG14</f>
        <v>35.69052936728</v>
      </c>
      <c r="AI14" s="252" t="n">
        <v>0</v>
      </c>
      <c r="AJ14" s="185" t="n">
        <v>44</v>
      </c>
      <c r="AK14" s="328" t="n">
        <v>19</v>
      </c>
      <c r="AL14" s="186" t="n">
        <f aca="false">AL13+(W14*1.9835)</f>
        <v>8822.236385</v>
      </c>
      <c r="AM14" s="186" t="n">
        <v>0</v>
      </c>
      <c r="AN14" s="350"/>
      <c r="AO14" s="336"/>
      <c r="AP14" s="323"/>
    </row>
    <row r="15" customFormat="false" ht="12.95" hidden="false" customHeight="true" outlineLevel="0" collapsed="false">
      <c r="A15" s="186" t="n">
        <f aca="false">A14+1</f>
        <v>4</v>
      </c>
      <c r="B15" s="329" t="n">
        <v>6896.98</v>
      </c>
      <c r="C15" s="180" t="n">
        <v>272571</v>
      </c>
      <c r="D15" s="185" t="n">
        <f aca="false">C15-C14</f>
        <v>71</v>
      </c>
      <c r="E15" s="180" t="n">
        <f aca="false">C15-152000</f>
        <v>120571</v>
      </c>
      <c r="F15" s="348" t="n">
        <f aca="false">D15/$D$2</f>
        <v>35.7953113183766</v>
      </c>
      <c r="G15" s="179" t="n">
        <v>79</v>
      </c>
      <c r="H15" s="184" t="n">
        <v>1</v>
      </c>
      <c r="I15" s="179" t="n">
        <f aca="false">G15+H15</f>
        <v>80</v>
      </c>
      <c r="J15" s="183" t="n">
        <f aca="false">IF(L15&gt;0,L15,0)</f>
        <v>0</v>
      </c>
      <c r="K15" s="179" t="n">
        <f aca="false">I15+J15</f>
        <v>80</v>
      </c>
      <c r="L15" s="179" t="n">
        <f aca="false">F15-(I15-AF15)</f>
        <v>-17.5046886816234</v>
      </c>
      <c r="M15" s="326" t="n">
        <v>3.7</v>
      </c>
      <c r="N15" s="179" t="n">
        <v>0</v>
      </c>
      <c r="O15" s="179" t="n">
        <v>0</v>
      </c>
      <c r="P15" s="181" t="n">
        <v>0</v>
      </c>
      <c r="Q15" s="300" t="n">
        <f aca="false">1.52*1.02</f>
        <v>1.5504</v>
      </c>
      <c r="R15" s="300" t="n">
        <v>2.5</v>
      </c>
      <c r="S15" s="349" t="n">
        <v>0</v>
      </c>
      <c r="T15" s="104" t="n">
        <f aca="false">M15-(Q15+R15+S15)</f>
        <v>-0.3504</v>
      </c>
      <c r="U15" s="179" t="n">
        <v>0</v>
      </c>
      <c r="V15" s="179" t="n">
        <v>0</v>
      </c>
      <c r="W15" s="141" t="n">
        <f aca="false">M15-N15-O15-P15-Q15-R15-S15-T15+U15+V15</f>
        <v>0</v>
      </c>
      <c r="X15" s="180"/>
      <c r="Y15" s="180"/>
      <c r="Z15" s="180"/>
      <c r="AA15" s="179" t="n">
        <v>0</v>
      </c>
      <c r="AB15" s="284"/>
      <c r="AC15" s="285"/>
      <c r="AD15" s="179" t="n">
        <v>23</v>
      </c>
      <c r="AE15" s="180" t="n">
        <f aca="false">AE14-AD15</f>
        <v>2310</v>
      </c>
      <c r="AF15" s="10" t="n">
        <f aca="false">N15+O15+P15+Q15+R15+S15+T15+W15+AA15+AD15</f>
        <v>26.7</v>
      </c>
      <c r="AG15" s="179" t="n">
        <f aca="false">IF(L15&lt;0,L15*-1,0)</f>
        <v>17.5046886816234</v>
      </c>
      <c r="AH15" s="179" t="n">
        <f aca="false">AF15+AG15</f>
        <v>44.2046886816234</v>
      </c>
      <c r="AI15" s="252" t="n">
        <v>0</v>
      </c>
      <c r="AJ15" s="185" t="n">
        <v>48</v>
      </c>
      <c r="AK15" s="328" t="n">
        <v>23</v>
      </c>
      <c r="AL15" s="186" t="n">
        <f aca="false">AL14+(W15*1.9835)</f>
        <v>8822.236385</v>
      </c>
      <c r="AM15" s="186" t="n">
        <v>0</v>
      </c>
      <c r="AN15" s="350"/>
      <c r="AO15" s="336"/>
      <c r="AP15" s="323"/>
    </row>
    <row r="16" customFormat="false" ht="12.95" hidden="false" customHeight="true" outlineLevel="0" collapsed="false">
      <c r="A16" s="186" t="n">
        <f aca="false">A15+1</f>
        <v>5</v>
      </c>
      <c r="B16" s="329" t="n">
        <v>9897</v>
      </c>
      <c r="C16" s="180" t="n">
        <v>272643</v>
      </c>
      <c r="D16" s="185" t="n">
        <f aca="false">C16-C15</f>
        <v>72</v>
      </c>
      <c r="E16" s="180" t="n">
        <f aca="false">C16-152000</f>
        <v>120643</v>
      </c>
      <c r="F16" s="348" t="n">
        <f aca="false">D16/$D$2</f>
        <v>36.2994706327199</v>
      </c>
      <c r="G16" s="179" t="n">
        <v>93</v>
      </c>
      <c r="H16" s="184" t="n">
        <v>1.1</v>
      </c>
      <c r="I16" s="179" t="n">
        <f aca="false">G16+H16</f>
        <v>94.1</v>
      </c>
      <c r="J16" s="183" t="n">
        <f aca="false">IF(L16&gt;0,L16,0)</f>
        <v>0</v>
      </c>
      <c r="K16" s="179" t="n">
        <f aca="false">I16+J16</f>
        <v>94.1</v>
      </c>
      <c r="L16" s="179" t="n">
        <f aca="false">F16-(I16-AF16)</f>
        <v>-32.1005293672801</v>
      </c>
      <c r="M16" s="326" t="n">
        <v>3.7</v>
      </c>
      <c r="N16" s="179" t="n">
        <v>0</v>
      </c>
      <c r="O16" s="179" t="n">
        <v>0</v>
      </c>
      <c r="P16" s="181" t="n">
        <v>0</v>
      </c>
      <c r="Q16" s="300" t="n">
        <f aca="false">1.52*1.02</f>
        <v>1.5504</v>
      </c>
      <c r="R16" s="300" t="n">
        <v>2.36</v>
      </c>
      <c r="S16" s="349" t="n">
        <v>0</v>
      </c>
      <c r="T16" s="104" t="n">
        <f aca="false">M16-(Q16+R16+S16)</f>
        <v>-0.2104</v>
      </c>
      <c r="U16" s="179" t="n">
        <v>0</v>
      </c>
      <c r="V16" s="179" t="n">
        <v>0</v>
      </c>
      <c r="W16" s="141" t="n">
        <f aca="false">M16-N16-O16-P16-Q16-R16-S16-T16+U16+V16</f>
        <v>0</v>
      </c>
      <c r="X16" s="180"/>
      <c r="Y16" s="180"/>
      <c r="Z16" s="180"/>
      <c r="AA16" s="179" t="n">
        <v>0</v>
      </c>
      <c r="AB16" s="284"/>
      <c r="AC16" s="285"/>
      <c r="AD16" s="179" t="n">
        <v>22</v>
      </c>
      <c r="AE16" s="180" t="n">
        <f aca="false">AE15-AD16</f>
        <v>2288</v>
      </c>
      <c r="AF16" s="10" t="n">
        <f aca="false">N16+O16+P16+Q16+R16+S16+T16+W16+AA16+AD16</f>
        <v>25.7</v>
      </c>
      <c r="AG16" s="179" t="n">
        <f aca="false">IF(L16&lt;0,L16*-1,0)</f>
        <v>32.1005293672801</v>
      </c>
      <c r="AH16" s="179" t="n">
        <f aca="false">AF16+AG16</f>
        <v>57.8005293672801</v>
      </c>
      <c r="AI16" s="252" t="n">
        <v>0.03</v>
      </c>
      <c r="AJ16" s="185" t="n">
        <v>39</v>
      </c>
      <c r="AK16" s="328" t="n">
        <v>22</v>
      </c>
      <c r="AL16" s="186" t="n">
        <f aca="false">AL15+(W16*1.9835)</f>
        <v>8822.236385</v>
      </c>
      <c r="AM16" s="186" t="n">
        <v>0</v>
      </c>
      <c r="AN16" s="350"/>
      <c r="AO16" s="336"/>
      <c r="AP16" s="323"/>
    </row>
    <row r="17" customFormat="false" ht="12.95" hidden="false" customHeight="true" outlineLevel="0" collapsed="false">
      <c r="A17" s="186" t="n">
        <f aca="false">A16+1</f>
        <v>6</v>
      </c>
      <c r="B17" s="329" t="n">
        <v>6897.02</v>
      </c>
      <c r="C17" s="180" t="n">
        <v>272716</v>
      </c>
      <c r="D17" s="185" t="n">
        <f aca="false">C17-C16</f>
        <v>73</v>
      </c>
      <c r="E17" s="180" t="n">
        <f aca="false">C17-152000</f>
        <v>120716</v>
      </c>
      <c r="F17" s="348" t="n">
        <f aca="false">D17/$D$2</f>
        <v>36.8036299470633</v>
      </c>
      <c r="G17" s="179" t="n">
        <v>70</v>
      </c>
      <c r="H17" s="184" t="n">
        <v>0.95</v>
      </c>
      <c r="I17" s="179" t="n">
        <f aca="false">G17+H17</f>
        <v>70.95</v>
      </c>
      <c r="J17" s="183" t="n">
        <f aca="false">IF(L17&gt;0,L17,0)</f>
        <v>0</v>
      </c>
      <c r="K17" s="179" t="n">
        <f aca="false">I17+J17</f>
        <v>70.95</v>
      </c>
      <c r="L17" s="179" t="n">
        <f aca="false">F17-(I17-AF17)</f>
        <v>-8.44637005293673</v>
      </c>
      <c r="M17" s="326" t="n">
        <v>3.7</v>
      </c>
      <c r="N17" s="179" t="n">
        <v>0</v>
      </c>
      <c r="O17" s="179" t="n">
        <v>0</v>
      </c>
      <c r="P17" s="181" t="n">
        <v>0</v>
      </c>
      <c r="Q17" s="300" t="n">
        <f aca="false">1.52*1.02</f>
        <v>1.5504</v>
      </c>
      <c r="R17" s="300" t="n">
        <v>2.99</v>
      </c>
      <c r="S17" s="349" t="n">
        <v>0</v>
      </c>
      <c r="T17" s="104" t="n">
        <f aca="false">M17-(Q17+R17+S17)</f>
        <v>-0.8404</v>
      </c>
      <c r="U17" s="179" t="n">
        <v>0</v>
      </c>
      <c r="V17" s="179" t="n">
        <v>0</v>
      </c>
      <c r="W17" s="141" t="n">
        <f aca="false">M17-N17-O17-P17-Q17-R17-S17-T17+U17+V17</f>
        <v>0</v>
      </c>
      <c r="X17" s="180"/>
      <c r="Y17" s="180"/>
      <c r="Z17" s="180"/>
      <c r="AA17" s="179" t="n">
        <v>0</v>
      </c>
      <c r="AB17" s="284"/>
      <c r="AC17" s="285"/>
      <c r="AD17" s="179" t="n">
        <v>22</v>
      </c>
      <c r="AE17" s="180" t="n">
        <f aca="false">AE16-AD17</f>
        <v>2266</v>
      </c>
      <c r="AF17" s="10" t="n">
        <f aca="false">N17+O17+P17+Q17+R17+S17+T17+W17+AA17+AD17</f>
        <v>25.7</v>
      </c>
      <c r="AG17" s="179" t="n">
        <f aca="false">IF(L17&lt;0,L17*-1,0)</f>
        <v>8.44637005293673</v>
      </c>
      <c r="AH17" s="179" t="n">
        <f aca="false">AF17+AG17</f>
        <v>34.1463700529367</v>
      </c>
      <c r="AI17" s="252" t="n">
        <v>0</v>
      </c>
      <c r="AJ17" s="185" t="n">
        <v>32</v>
      </c>
      <c r="AK17" s="328" t="n">
        <v>12</v>
      </c>
      <c r="AL17" s="186" t="n">
        <f aca="false">AL16+(W17*1.9835)</f>
        <v>8822.236385</v>
      </c>
      <c r="AM17" s="186" t="n">
        <v>0</v>
      </c>
      <c r="AN17" s="322"/>
      <c r="AO17" s="336"/>
      <c r="AP17" s="323"/>
    </row>
    <row r="18" customFormat="false" ht="12.95" hidden="false" customHeight="true" outlineLevel="0" collapsed="false">
      <c r="A18" s="186" t="n">
        <f aca="false">A17+1</f>
        <v>7</v>
      </c>
      <c r="B18" s="329" t="n">
        <v>6897.04</v>
      </c>
      <c r="C18" s="180" t="n">
        <v>272788</v>
      </c>
      <c r="D18" s="185" t="n">
        <f aca="false">C18-C17</f>
        <v>72</v>
      </c>
      <c r="E18" s="180" t="n">
        <f aca="false">C18-152000</f>
        <v>120788</v>
      </c>
      <c r="F18" s="348" t="n">
        <f aca="false">D18/$D$2</f>
        <v>36.2994706327199</v>
      </c>
      <c r="G18" s="179" t="n">
        <v>49</v>
      </c>
      <c r="H18" s="184" t="n">
        <v>0.8</v>
      </c>
      <c r="I18" s="179" t="n">
        <f aca="false">G18+H18</f>
        <v>49.8</v>
      </c>
      <c r="J18" s="183" t="n">
        <f aca="false">IF(L18&gt;0,L18,0)</f>
        <v>12.1994706327199</v>
      </c>
      <c r="K18" s="179" t="n">
        <f aca="false">I18+J18</f>
        <v>61.9994706327199</v>
      </c>
      <c r="L18" s="179" t="n">
        <f aca="false">F18-(I18-AF18)</f>
        <v>12.1994706327199</v>
      </c>
      <c r="M18" s="326" t="n">
        <v>3.7</v>
      </c>
      <c r="N18" s="179" t="n">
        <v>0</v>
      </c>
      <c r="O18" s="179" t="n">
        <v>0</v>
      </c>
      <c r="P18" s="181" t="n">
        <v>0</v>
      </c>
      <c r="Q18" s="300" t="n">
        <f aca="false">1.52*1.02</f>
        <v>1.5504</v>
      </c>
      <c r="R18" s="300" t="n">
        <v>2.49</v>
      </c>
      <c r="S18" s="349" t="n">
        <v>0</v>
      </c>
      <c r="T18" s="104" t="n">
        <f aca="false">M18-(Q18+R18+S18)</f>
        <v>-0.3404</v>
      </c>
      <c r="U18" s="179" t="n">
        <v>0</v>
      </c>
      <c r="V18" s="179" t="n">
        <v>0</v>
      </c>
      <c r="W18" s="141" t="n">
        <f aca="false">M18-N18-O18-P18-Q18-R18-S18-T18+U18+V18</f>
        <v>0</v>
      </c>
      <c r="X18" s="180"/>
      <c r="Y18" s="180"/>
      <c r="Z18" s="180"/>
      <c r="AA18" s="179" t="n">
        <v>0</v>
      </c>
      <c r="AB18" s="284"/>
      <c r="AC18" s="285"/>
      <c r="AD18" s="179" t="n">
        <v>22</v>
      </c>
      <c r="AE18" s="180" t="n">
        <f aca="false">AE17-AD18</f>
        <v>2244</v>
      </c>
      <c r="AF18" s="10" t="n">
        <f aca="false">N18+O18+P18+Q18+R18+S18+T18+W18+AA18+AD18</f>
        <v>25.7</v>
      </c>
      <c r="AG18" s="179" t="n">
        <f aca="false">IF(L18&lt;0,L18*-1,0)</f>
        <v>0</v>
      </c>
      <c r="AH18" s="179" t="n">
        <f aca="false">AF18+AG18</f>
        <v>25.7</v>
      </c>
      <c r="AI18" s="252" t="n">
        <v>0</v>
      </c>
      <c r="AJ18" s="185" t="n">
        <v>34</v>
      </c>
      <c r="AK18" s="328" t="n">
        <v>14</v>
      </c>
      <c r="AL18" s="186" t="n">
        <f aca="false">AL17+(W18*1.9835)</f>
        <v>8822.236385</v>
      </c>
      <c r="AM18" s="186" t="n">
        <v>0</v>
      </c>
      <c r="AN18" s="322"/>
      <c r="AO18" s="336"/>
      <c r="AP18" s="323"/>
    </row>
    <row r="19" customFormat="false" ht="12.95" hidden="false" customHeight="true" outlineLevel="0" collapsed="false">
      <c r="A19" s="186" t="n">
        <f aca="false">A18+1</f>
        <v>8</v>
      </c>
      <c r="B19" s="329" t="n">
        <v>6897.07</v>
      </c>
      <c r="C19" s="180" t="n">
        <v>272896</v>
      </c>
      <c r="D19" s="185" t="n">
        <f aca="false">C19-C18</f>
        <v>108</v>
      </c>
      <c r="E19" s="180" t="n">
        <f aca="false">C19-152000</f>
        <v>120896</v>
      </c>
      <c r="F19" s="348" t="n">
        <f aca="false">D19/$D$2</f>
        <v>54.4492059490799</v>
      </c>
      <c r="G19" s="179" t="n">
        <v>47</v>
      </c>
      <c r="H19" s="184" t="n">
        <v>0.8</v>
      </c>
      <c r="I19" s="179" t="n">
        <f aca="false">G19+H19</f>
        <v>47.8</v>
      </c>
      <c r="J19" s="183" t="n">
        <f aca="false">IF(L19&gt;0,L19,0)</f>
        <v>32.3492059490799</v>
      </c>
      <c r="K19" s="179" t="n">
        <f aca="false">I19+J19</f>
        <v>80.1492059490799</v>
      </c>
      <c r="L19" s="179" t="n">
        <f aca="false">F19-(I19-AF19)</f>
        <v>32.3492059490799</v>
      </c>
      <c r="M19" s="326" t="n">
        <v>3.7</v>
      </c>
      <c r="N19" s="179" t="n">
        <v>0</v>
      </c>
      <c r="O19" s="179" t="n">
        <v>0</v>
      </c>
      <c r="P19" s="181" t="n">
        <v>0</v>
      </c>
      <c r="Q19" s="300" t="n">
        <f aca="false">1.52*1.02</f>
        <v>1.5504</v>
      </c>
      <c r="R19" s="300" t="n">
        <v>3.06</v>
      </c>
      <c r="S19" s="349" t="n">
        <v>0</v>
      </c>
      <c r="T19" s="104" t="n">
        <f aca="false">M19-(Q19+R19+S19)</f>
        <v>-0.9104</v>
      </c>
      <c r="U19" s="179" t="n">
        <v>0</v>
      </c>
      <c r="V19" s="179" t="n">
        <v>0</v>
      </c>
      <c r="W19" s="141" t="n">
        <f aca="false">M19-N19-O19-P19-Q19-R19-S19-T19+U19+V19</f>
        <v>0</v>
      </c>
      <c r="X19" s="180"/>
      <c r="Y19" s="180"/>
      <c r="Z19" s="180"/>
      <c r="AA19" s="179" t="n">
        <v>0</v>
      </c>
      <c r="AB19" s="284"/>
      <c r="AC19" s="285"/>
      <c r="AD19" s="179" t="n">
        <v>22</v>
      </c>
      <c r="AE19" s="180" t="n">
        <f aca="false">AE18-AD19</f>
        <v>2222</v>
      </c>
      <c r="AF19" s="10" t="n">
        <f aca="false">N19+O19+P19+Q19+R19+S19+T19+W19+AA19+AD19</f>
        <v>25.7</v>
      </c>
      <c r="AG19" s="179" t="n">
        <f aca="false">IF(L19&lt;0,L19*-1,0)</f>
        <v>0</v>
      </c>
      <c r="AH19" s="179" t="n">
        <f aca="false">AF19+AG19</f>
        <v>25.7</v>
      </c>
      <c r="AI19" s="252" t="n">
        <v>0</v>
      </c>
      <c r="AJ19" s="185" t="n">
        <v>43</v>
      </c>
      <c r="AK19" s="328" t="n">
        <v>15</v>
      </c>
      <c r="AL19" s="186" t="n">
        <f aca="false">AL18+(W19*1.9835)</f>
        <v>8822.236385</v>
      </c>
      <c r="AM19" s="186" t="n">
        <v>0</v>
      </c>
      <c r="AN19" s="322"/>
      <c r="AO19" s="336"/>
      <c r="AP19" s="323"/>
    </row>
    <row r="20" customFormat="false" ht="12.95" hidden="false" customHeight="true" outlineLevel="0" collapsed="false">
      <c r="A20" s="186" t="n">
        <f aca="false">A19+1</f>
        <v>9</v>
      </c>
      <c r="B20" s="329" t="n">
        <v>6897.1</v>
      </c>
      <c r="C20" s="180" t="n">
        <v>273005</v>
      </c>
      <c r="D20" s="185" t="n">
        <f aca="false">C20-C19</f>
        <v>109</v>
      </c>
      <c r="E20" s="180" t="n">
        <f aca="false">C20-152000</f>
        <v>121005</v>
      </c>
      <c r="F20" s="348" t="n">
        <f aca="false">D20/$D$2</f>
        <v>54.9533652634232</v>
      </c>
      <c r="G20" s="179" t="n">
        <v>59</v>
      </c>
      <c r="H20" s="184" t="n">
        <v>0.8</v>
      </c>
      <c r="I20" s="179" t="n">
        <f aca="false">G20+H20</f>
        <v>59.8</v>
      </c>
      <c r="J20" s="183" t="n">
        <f aca="false">IF(L20&gt;0,L20,0)</f>
        <v>20.8533652634233</v>
      </c>
      <c r="K20" s="179" t="n">
        <f aca="false">I20+J20</f>
        <v>80.6533652634233</v>
      </c>
      <c r="L20" s="179" t="n">
        <f aca="false">F20-(I20-AF20)</f>
        <v>20.8533652634233</v>
      </c>
      <c r="M20" s="326" t="n">
        <v>3.7</v>
      </c>
      <c r="N20" s="179" t="n">
        <v>0</v>
      </c>
      <c r="O20" s="179" t="n">
        <v>0</v>
      </c>
      <c r="P20" s="181" t="n">
        <v>0</v>
      </c>
      <c r="Q20" s="300" t="n">
        <f aca="false">1.52*1.02</f>
        <v>1.5504</v>
      </c>
      <c r="R20" s="300" t="n">
        <v>2.45</v>
      </c>
      <c r="S20" s="349" t="n">
        <v>0</v>
      </c>
      <c r="T20" s="104" t="n">
        <f aca="false">M20-(Q20+R20+S20)</f>
        <v>-0.3004</v>
      </c>
      <c r="U20" s="179" t="n">
        <v>0</v>
      </c>
      <c r="V20" s="179" t="n">
        <v>0</v>
      </c>
      <c r="W20" s="141" t="n">
        <f aca="false">M20-N20-O20-P20-Q20-R20-S20-T20+U20+V20</f>
        <v>0</v>
      </c>
      <c r="X20" s="180"/>
      <c r="Y20" s="180"/>
      <c r="Z20" s="180"/>
      <c r="AA20" s="179" t="n">
        <v>0</v>
      </c>
      <c r="AB20" s="284"/>
      <c r="AC20" s="285"/>
      <c r="AD20" s="179" t="n">
        <v>22</v>
      </c>
      <c r="AE20" s="180" t="n">
        <f aca="false">AE19-AD20</f>
        <v>2200</v>
      </c>
      <c r="AF20" s="10" t="n">
        <f aca="false">N20+O20+P20+Q20+R20+S20+T20+W20+AA20+AD20</f>
        <v>25.7</v>
      </c>
      <c r="AG20" s="179" t="n">
        <f aca="false">IF(L20&lt;0,L20*-1,0)</f>
        <v>0</v>
      </c>
      <c r="AH20" s="179" t="n">
        <f aca="false">AF20+AG20</f>
        <v>25.7</v>
      </c>
      <c r="AI20" s="252" t="n">
        <v>0</v>
      </c>
      <c r="AJ20" s="301" t="n">
        <v>43</v>
      </c>
      <c r="AK20" s="328" t="n">
        <v>18</v>
      </c>
      <c r="AL20" s="186" t="n">
        <f aca="false">AL19+(W20*1.9835)</f>
        <v>8822.236385</v>
      </c>
      <c r="AM20" s="186" t="n">
        <v>0</v>
      </c>
      <c r="AN20" s="322"/>
      <c r="AO20" s="336"/>
      <c r="AP20" s="323"/>
    </row>
    <row r="21" customFormat="false" ht="12.95" hidden="false" customHeight="true" outlineLevel="0" collapsed="false">
      <c r="A21" s="186" t="n">
        <f aca="false">A20+1</f>
        <v>10</v>
      </c>
      <c r="B21" s="329" t="n">
        <v>6897.13</v>
      </c>
      <c r="C21" s="180" t="n">
        <v>273113</v>
      </c>
      <c r="D21" s="185" t="n">
        <f aca="false">C21-C20</f>
        <v>108</v>
      </c>
      <c r="E21" s="180" t="n">
        <f aca="false">C21-152000</f>
        <v>121113</v>
      </c>
      <c r="F21" s="348" t="n">
        <f aca="false">D21/$D$2</f>
        <v>54.4492059490799</v>
      </c>
      <c r="G21" s="179" t="n">
        <v>63</v>
      </c>
      <c r="H21" s="184" t="n">
        <v>0.8</v>
      </c>
      <c r="I21" s="179" t="n">
        <f aca="false">G21+H21</f>
        <v>63.8</v>
      </c>
      <c r="J21" s="183" t="n">
        <f aca="false">IF(L21&gt;0,L21,0)</f>
        <v>16.3492059490799</v>
      </c>
      <c r="K21" s="179" t="n">
        <f aca="false">I21+J21</f>
        <v>80.1492059490799</v>
      </c>
      <c r="L21" s="179" t="n">
        <f aca="false">F21-(I21-AF21)</f>
        <v>16.3492059490799</v>
      </c>
      <c r="M21" s="326" t="n">
        <v>3.7</v>
      </c>
      <c r="N21" s="179" t="n">
        <v>0</v>
      </c>
      <c r="O21" s="179" t="n">
        <v>0</v>
      </c>
      <c r="P21" s="181" t="n">
        <v>0</v>
      </c>
      <c r="Q21" s="300" t="n">
        <f aca="false">1.52*1.02</f>
        <v>1.5504</v>
      </c>
      <c r="R21" s="300" t="n">
        <v>2.64</v>
      </c>
      <c r="S21" s="349" t="n">
        <v>0</v>
      </c>
      <c r="T21" s="104" t="n">
        <f aca="false">M21-(Q21+R21+S21)</f>
        <v>-0.4904</v>
      </c>
      <c r="U21" s="179" t="n">
        <v>0</v>
      </c>
      <c r="V21" s="179" t="n">
        <v>0</v>
      </c>
      <c r="W21" s="141" t="n">
        <f aca="false">M21-N21-O21-P21-Q21-R21-S21-T21+U21+V21</f>
        <v>0</v>
      </c>
      <c r="X21" s="180"/>
      <c r="Y21" s="180"/>
      <c r="Z21" s="180"/>
      <c r="AA21" s="179" t="n">
        <v>0</v>
      </c>
      <c r="AB21" s="284"/>
      <c r="AC21" s="285"/>
      <c r="AD21" s="179" t="n">
        <v>22</v>
      </c>
      <c r="AE21" s="180" t="n">
        <f aca="false">AE20-AD21</f>
        <v>2178</v>
      </c>
      <c r="AF21" s="10" t="n">
        <f aca="false">N21+O21+P21+Q21+R21+S21+T21+W21+AA21+AD21</f>
        <v>25.7</v>
      </c>
      <c r="AG21" s="179" t="n">
        <f aca="false">IF(L21&lt;0,L21*-1,0)</f>
        <v>0</v>
      </c>
      <c r="AH21" s="179" t="n">
        <f aca="false">AF21+AG21</f>
        <v>25.7</v>
      </c>
      <c r="AI21" s="252" t="n">
        <v>0</v>
      </c>
      <c r="AJ21" s="185" t="n">
        <v>43</v>
      </c>
      <c r="AK21" s="328" t="n">
        <v>22</v>
      </c>
      <c r="AL21" s="186" t="n">
        <f aca="false">AL20+(W21*1.9835)</f>
        <v>8822.236385</v>
      </c>
      <c r="AM21" s="186" t="n">
        <v>0</v>
      </c>
      <c r="AN21" s="322"/>
      <c r="AO21" s="336"/>
      <c r="AP21" s="323"/>
    </row>
    <row r="22" customFormat="false" ht="12.95" hidden="false" customHeight="true" outlineLevel="0" collapsed="false">
      <c r="A22" s="186" t="n">
        <f aca="false">A21+1</f>
        <v>11</v>
      </c>
      <c r="B22" s="329" t="n">
        <v>6897.16</v>
      </c>
      <c r="C22" s="180" t="n">
        <v>273222</v>
      </c>
      <c r="D22" s="185" t="n">
        <f aca="false">C22-C21</f>
        <v>109</v>
      </c>
      <c r="E22" s="180" t="n">
        <f aca="false">C22-152000</f>
        <v>121222</v>
      </c>
      <c r="F22" s="348" t="n">
        <f aca="false">D22/$D$2</f>
        <v>54.9533652634232</v>
      </c>
      <c r="G22" s="179" t="n">
        <v>69</v>
      </c>
      <c r="H22" s="184" t="n">
        <v>0.86</v>
      </c>
      <c r="I22" s="179" t="n">
        <f aca="false">G22+H22</f>
        <v>69.86</v>
      </c>
      <c r="J22" s="183" t="n">
        <f aca="false">IF(L22&gt;0,L22,0)</f>
        <v>10.7933652634232</v>
      </c>
      <c r="K22" s="179" t="n">
        <f aca="false">I22+J22</f>
        <v>80.6533652634233</v>
      </c>
      <c r="L22" s="179" t="n">
        <f aca="false">F22-(I22-AF22)</f>
        <v>10.7933652634232</v>
      </c>
      <c r="M22" s="326" t="n">
        <v>3.7</v>
      </c>
      <c r="N22" s="179" t="n">
        <v>0</v>
      </c>
      <c r="O22" s="179" t="n">
        <v>0</v>
      </c>
      <c r="P22" s="181" t="n">
        <v>0</v>
      </c>
      <c r="Q22" s="300" t="n">
        <f aca="false">1.52*1.02</f>
        <v>1.5504</v>
      </c>
      <c r="R22" s="300" t="n">
        <v>2.59</v>
      </c>
      <c r="S22" s="349" t="n">
        <v>0</v>
      </c>
      <c r="T22" s="104" t="n">
        <f aca="false">M22-(Q22+R22+S22)</f>
        <v>-0.440399999999999</v>
      </c>
      <c r="U22" s="179" t="n">
        <v>0</v>
      </c>
      <c r="V22" s="179" t="n">
        <v>0</v>
      </c>
      <c r="W22" s="141" t="n">
        <f aca="false">M22-N22-O22-P22-Q22-R22-S22-T22+U22+V22</f>
        <v>0</v>
      </c>
      <c r="X22" s="180"/>
      <c r="Y22" s="180"/>
      <c r="Z22" s="180"/>
      <c r="AA22" s="179" t="n">
        <v>0</v>
      </c>
      <c r="AB22" s="284"/>
      <c r="AC22" s="285"/>
      <c r="AD22" s="179" t="n">
        <v>22</v>
      </c>
      <c r="AE22" s="180" t="n">
        <f aca="false">AE21-AD22</f>
        <v>2156</v>
      </c>
      <c r="AF22" s="10" t="n">
        <f aca="false">N22+O22+P22+Q22+R22+S22+T22+W22+AA22+AD22</f>
        <v>25.7</v>
      </c>
      <c r="AG22" s="179" t="n">
        <f aca="false">IF(L22&lt;0,L22*-1,0)</f>
        <v>0</v>
      </c>
      <c r="AH22" s="179" t="n">
        <f aca="false">AF22+AG22</f>
        <v>25.7</v>
      </c>
      <c r="AI22" s="252" t="n">
        <v>0</v>
      </c>
      <c r="AJ22" s="185" t="n">
        <v>45</v>
      </c>
      <c r="AK22" s="328" t="n">
        <v>15</v>
      </c>
      <c r="AL22" s="186" t="n">
        <f aca="false">AL21+(W22*1.9835)</f>
        <v>8822.236385</v>
      </c>
      <c r="AM22" s="186" t="n">
        <v>0</v>
      </c>
      <c r="AN22" s="322"/>
      <c r="AO22" s="336"/>
      <c r="AP22" s="323"/>
    </row>
    <row r="23" customFormat="false" ht="12.95" hidden="false" customHeight="true" outlineLevel="0" collapsed="false">
      <c r="A23" s="186" t="n">
        <f aca="false">A22+1</f>
        <v>12</v>
      </c>
      <c r="B23" s="329" t="n">
        <v>6897.19</v>
      </c>
      <c r="C23" s="180" t="n">
        <v>273331</v>
      </c>
      <c r="D23" s="185" t="n">
        <f aca="false">C23-C22</f>
        <v>109</v>
      </c>
      <c r="E23" s="180" t="n">
        <f aca="false">C23-152000</f>
        <v>121331</v>
      </c>
      <c r="F23" s="348" t="n">
        <f aca="false">D23/$D$2</f>
        <v>54.9533652634232</v>
      </c>
      <c r="G23" s="179" t="n">
        <v>80</v>
      </c>
      <c r="H23" s="184" t="n">
        <v>1</v>
      </c>
      <c r="I23" s="179" t="n">
        <f aca="false">G23+H23</f>
        <v>81</v>
      </c>
      <c r="J23" s="183" t="n">
        <f aca="false">IF(L23&gt;0,L23,0)</f>
        <v>0</v>
      </c>
      <c r="K23" s="179" t="n">
        <f aca="false">I23+J23</f>
        <v>81</v>
      </c>
      <c r="L23" s="179" t="n">
        <f aca="false">F23-(I23-AF23)</f>
        <v>-0.346634736576753</v>
      </c>
      <c r="M23" s="326" t="n">
        <v>3.7</v>
      </c>
      <c r="N23" s="179" t="n">
        <v>0</v>
      </c>
      <c r="O23" s="179" t="n">
        <v>0</v>
      </c>
      <c r="P23" s="181" t="n">
        <v>0</v>
      </c>
      <c r="Q23" s="300" t="n">
        <f aca="false">1.52*1.02</f>
        <v>1.5504</v>
      </c>
      <c r="R23" s="300" t="n">
        <v>2.73</v>
      </c>
      <c r="S23" s="349" t="n">
        <v>0</v>
      </c>
      <c r="T23" s="104" t="n">
        <f aca="false">M23-(Q23+R23+S23)</f>
        <v>-0.5804</v>
      </c>
      <c r="U23" s="179" t="n">
        <v>0</v>
      </c>
      <c r="V23" s="179" t="n">
        <v>0</v>
      </c>
      <c r="W23" s="141" t="n">
        <f aca="false">M23-N23-O23-P23-Q23-R23-S23-T23+U23+V23</f>
        <v>0</v>
      </c>
      <c r="X23" s="180"/>
      <c r="Y23" s="180"/>
      <c r="Z23" s="180"/>
      <c r="AA23" s="179" t="n">
        <v>0</v>
      </c>
      <c r="AB23" s="284"/>
      <c r="AC23" s="285"/>
      <c r="AD23" s="179" t="n">
        <v>22</v>
      </c>
      <c r="AE23" s="180" t="n">
        <f aca="false">AE22-AD23</f>
        <v>2134</v>
      </c>
      <c r="AF23" s="10" t="n">
        <f aca="false">N23+O23+P23+Q23+R23+S23+T23+W23+AA23+AD23</f>
        <v>25.7</v>
      </c>
      <c r="AG23" s="179" t="n">
        <f aca="false">IF(L23&lt;0,L23*-1,0)</f>
        <v>0.346634736576753</v>
      </c>
      <c r="AH23" s="179" t="n">
        <f aca="false">AF23+AG23</f>
        <v>26.0466347365768</v>
      </c>
      <c r="AI23" s="252" t="n">
        <v>0.2</v>
      </c>
      <c r="AJ23" s="185" t="n">
        <v>42</v>
      </c>
      <c r="AK23" s="328" t="n">
        <v>32</v>
      </c>
      <c r="AL23" s="186" t="n">
        <f aca="false">AL22+(W23*1.9835)</f>
        <v>8822.236385</v>
      </c>
      <c r="AM23" s="186" t="n">
        <v>0</v>
      </c>
      <c r="AN23" s="322"/>
      <c r="AO23" s="336"/>
      <c r="AP23" s="323"/>
    </row>
    <row r="24" customFormat="false" ht="12.95" hidden="false" customHeight="true" outlineLevel="0" collapsed="false">
      <c r="A24" s="186" t="n">
        <v>13</v>
      </c>
      <c r="B24" s="329" t="n">
        <v>6897.22</v>
      </c>
      <c r="C24" s="180" t="n">
        <v>273439</v>
      </c>
      <c r="D24" s="185" t="n">
        <f aca="false">C24-C23</f>
        <v>108</v>
      </c>
      <c r="E24" s="180" t="n">
        <f aca="false">C24-152000</f>
        <v>121439</v>
      </c>
      <c r="F24" s="348" t="n">
        <f aca="false">D24/$D$2</f>
        <v>54.4492059490799</v>
      </c>
      <c r="G24" s="179" t="n">
        <v>79</v>
      </c>
      <c r="H24" s="184" t="n">
        <v>1</v>
      </c>
      <c r="I24" s="179" t="n">
        <f aca="false">G24+H24</f>
        <v>80</v>
      </c>
      <c r="J24" s="183" t="n">
        <f aca="false">IF(L24&gt;0,L24,0)</f>
        <v>0.149205949079914</v>
      </c>
      <c r="K24" s="179" t="n">
        <f aca="false">I24+J24</f>
        <v>80.1492059490799</v>
      </c>
      <c r="L24" s="179" t="n">
        <f aca="false">F24-(I24-AF24)</f>
        <v>0.149205949079914</v>
      </c>
      <c r="M24" s="326" t="n">
        <v>3.7</v>
      </c>
      <c r="N24" s="179" t="n">
        <v>0</v>
      </c>
      <c r="O24" s="179" t="n">
        <v>0</v>
      </c>
      <c r="P24" s="181" t="n">
        <v>0</v>
      </c>
      <c r="Q24" s="300" t="n">
        <f aca="false">1.52*1.02</f>
        <v>1.5504</v>
      </c>
      <c r="R24" s="300" t="n">
        <v>2.54</v>
      </c>
      <c r="S24" s="349" t="n">
        <v>0</v>
      </c>
      <c r="T24" s="104" t="n">
        <f aca="false">M24-(Q24+R24+S24)</f>
        <v>-0.3904</v>
      </c>
      <c r="U24" s="179" t="n">
        <v>0</v>
      </c>
      <c r="V24" s="179" t="n">
        <v>0</v>
      </c>
      <c r="W24" s="141" t="n">
        <f aca="false">M24-N24-O24-P24-Q24-R24-S24-T24+U24+V24</f>
        <v>0</v>
      </c>
      <c r="X24" s="180"/>
      <c r="Y24" s="180"/>
      <c r="Z24" s="180"/>
      <c r="AA24" s="179" t="n">
        <v>0</v>
      </c>
      <c r="AB24" s="284"/>
      <c r="AC24" s="285"/>
      <c r="AD24" s="179" t="n">
        <v>22</v>
      </c>
      <c r="AE24" s="180" t="n">
        <f aca="false">AE23-AD24</f>
        <v>2112</v>
      </c>
      <c r="AF24" s="10" t="n">
        <f aca="false">N24+O24+P24+Q24+R24+S24+T24+W24+AA24+AD24</f>
        <v>25.7</v>
      </c>
      <c r="AG24" s="179" t="n">
        <f aca="false">IF(L24&lt;0,L24*-1,0)</f>
        <v>0</v>
      </c>
      <c r="AH24" s="179" t="n">
        <f aca="false">AF24+AG24</f>
        <v>25.7</v>
      </c>
      <c r="AI24" s="252" t="n">
        <v>0.15</v>
      </c>
      <c r="AJ24" s="185" t="n">
        <v>34</v>
      </c>
      <c r="AK24" s="328" t="n">
        <v>24</v>
      </c>
      <c r="AL24" s="186" t="n">
        <f aca="false">AL23+(W24*1.9835)</f>
        <v>8822.236385</v>
      </c>
      <c r="AM24" s="186" t="n">
        <v>0</v>
      </c>
      <c r="AN24" s="322"/>
      <c r="AO24" s="336"/>
      <c r="AP24" s="323"/>
    </row>
    <row r="25" customFormat="false" ht="12.95" hidden="false" customHeight="true" outlineLevel="0" collapsed="false">
      <c r="A25" s="186" t="n">
        <f aca="false">A24+1</f>
        <v>14</v>
      </c>
      <c r="B25" s="329" t="n">
        <v>6897.24</v>
      </c>
      <c r="C25" s="180" t="n">
        <v>273511</v>
      </c>
      <c r="D25" s="185" t="n">
        <f aca="false">C25-C24</f>
        <v>72</v>
      </c>
      <c r="E25" s="180" t="n">
        <f aca="false">C25-152000</f>
        <v>121511</v>
      </c>
      <c r="F25" s="348" t="n">
        <f aca="false">D25/$D$2</f>
        <v>36.2994706327199</v>
      </c>
      <c r="G25" s="179" t="n">
        <v>62</v>
      </c>
      <c r="H25" s="184" t="n">
        <v>0.88</v>
      </c>
      <c r="I25" s="179" t="n">
        <f aca="false">G25+H25</f>
        <v>62.88</v>
      </c>
      <c r="J25" s="183" t="n">
        <f aca="false">IF(L25&gt;0,L25,0)</f>
        <v>0</v>
      </c>
      <c r="K25" s="179" t="n">
        <f aca="false">I25+J25</f>
        <v>62.88</v>
      </c>
      <c r="L25" s="179" t="n">
        <f aca="false">F25-(I25-AF25)</f>
        <v>-0.880529367280069</v>
      </c>
      <c r="M25" s="326" t="n">
        <v>3.7</v>
      </c>
      <c r="N25" s="179" t="n">
        <v>0</v>
      </c>
      <c r="O25" s="179" t="n">
        <v>0</v>
      </c>
      <c r="P25" s="181" t="n">
        <v>0</v>
      </c>
      <c r="Q25" s="300" t="n">
        <f aca="false">1.52*1.02</f>
        <v>1.5504</v>
      </c>
      <c r="R25" s="300" t="n">
        <v>3.06</v>
      </c>
      <c r="S25" s="349" t="n">
        <v>0</v>
      </c>
      <c r="T25" s="104" t="n">
        <f aca="false">M25-(Q25+R25+S25)</f>
        <v>-0.9104</v>
      </c>
      <c r="U25" s="179" t="n">
        <v>0</v>
      </c>
      <c r="V25" s="179" t="n">
        <v>0</v>
      </c>
      <c r="W25" s="141" t="n">
        <f aca="false">M25-N25-O25-P25-Q25-R25-S25-T25+U25+V25</f>
        <v>0</v>
      </c>
      <c r="X25" s="180"/>
      <c r="Y25" s="180"/>
      <c r="Z25" s="180"/>
      <c r="AA25" s="179" t="n">
        <v>0</v>
      </c>
      <c r="AB25" s="284"/>
      <c r="AC25" s="285"/>
      <c r="AD25" s="179" t="n">
        <v>22</v>
      </c>
      <c r="AE25" s="180" t="n">
        <f aca="false">AE24-AD25</f>
        <v>2090</v>
      </c>
      <c r="AF25" s="10" t="n">
        <f aca="false">N25+O25+P25+Q25+R25+S25+T25+W25+AA25+AD25</f>
        <v>25.7</v>
      </c>
      <c r="AG25" s="179" t="n">
        <f aca="false">IF(L25&lt;0,L25*-1,0)</f>
        <v>0.880529367280069</v>
      </c>
      <c r="AH25" s="179" t="n">
        <f aca="false">AF25+AG25</f>
        <v>26.5805293672801</v>
      </c>
      <c r="AI25" s="252" t="n">
        <v>0.06</v>
      </c>
      <c r="AJ25" s="301" t="n">
        <v>25</v>
      </c>
      <c r="AK25" s="328" t="n">
        <v>10</v>
      </c>
      <c r="AL25" s="186" t="n">
        <f aca="false">AL24+(W25*1.9835)</f>
        <v>8822.236385</v>
      </c>
      <c r="AM25" s="186" t="n">
        <v>0</v>
      </c>
      <c r="AN25" s="322"/>
      <c r="AO25" s="336"/>
      <c r="AP25" s="323"/>
    </row>
    <row r="26" customFormat="false" ht="12.95" hidden="false" customHeight="true" outlineLevel="0" collapsed="false">
      <c r="A26" s="186" t="n">
        <f aca="false">A25+1</f>
        <v>15</v>
      </c>
      <c r="B26" s="329" t="n">
        <v>6897.26</v>
      </c>
      <c r="C26" s="180" t="n">
        <v>273584</v>
      </c>
      <c r="D26" s="185" t="n">
        <f aca="false">C26-C25</f>
        <v>73</v>
      </c>
      <c r="E26" s="180" t="n">
        <f aca="false">C26-152000</f>
        <v>121584</v>
      </c>
      <c r="F26" s="348" t="n">
        <f aca="false">D26/$D$2</f>
        <v>36.8036299470633</v>
      </c>
      <c r="G26" s="179" t="n">
        <v>46</v>
      </c>
      <c r="H26" s="184" t="n">
        <v>0.68</v>
      </c>
      <c r="I26" s="179" t="n">
        <f aca="false">G26+H26</f>
        <v>46.68</v>
      </c>
      <c r="J26" s="183" t="n">
        <f aca="false">IF(L26&gt;0,L26,0)</f>
        <v>15.8236299470633</v>
      </c>
      <c r="K26" s="179" t="n">
        <f aca="false">I26+J26</f>
        <v>62.5036299470633</v>
      </c>
      <c r="L26" s="179" t="n">
        <f aca="false">F26-(I26-AF26)</f>
        <v>15.8236299470633</v>
      </c>
      <c r="M26" s="326" t="n">
        <v>3.7</v>
      </c>
      <c r="N26" s="179" t="n">
        <v>0</v>
      </c>
      <c r="O26" s="179" t="n">
        <v>0</v>
      </c>
      <c r="P26" s="181" t="n">
        <v>0</v>
      </c>
      <c r="Q26" s="300" t="n">
        <f aca="false">1.52*1.02</f>
        <v>1.5504</v>
      </c>
      <c r="R26" s="300" t="n">
        <v>2.56</v>
      </c>
      <c r="S26" s="349" t="n">
        <v>0</v>
      </c>
      <c r="T26" s="104" t="n">
        <f aca="false">M26-(Q26+R26+S26)</f>
        <v>-0.4104</v>
      </c>
      <c r="U26" s="179" t="n">
        <v>0</v>
      </c>
      <c r="V26" s="179" t="n">
        <v>0</v>
      </c>
      <c r="W26" s="141" t="n">
        <f aca="false">M26-N26-O26-P26-Q26-R26-S26-T26+U26+V26</f>
        <v>0</v>
      </c>
      <c r="X26" s="180"/>
      <c r="Y26" s="180"/>
      <c r="Z26" s="180"/>
      <c r="AA26" s="179" t="n">
        <v>0</v>
      </c>
      <c r="AB26" s="284"/>
      <c r="AC26" s="285"/>
      <c r="AD26" s="179" t="n">
        <v>22</v>
      </c>
      <c r="AE26" s="180" t="n">
        <f aca="false">AE25-AD26</f>
        <v>2068</v>
      </c>
      <c r="AF26" s="10" t="n">
        <f aca="false">N26+O26+P26+Q26+R26+S26+T26+W26+AA26+AD26</f>
        <v>25.7</v>
      </c>
      <c r="AG26" s="179" t="n">
        <f aca="false">IF(L26&lt;0,L26*-1,0)</f>
        <v>0</v>
      </c>
      <c r="AH26" s="179" t="n">
        <f aca="false">AF26+AG26</f>
        <v>25.7</v>
      </c>
      <c r="AI26" s="252" t="n">
        <v>0</v>
      </c>
      <c r="AJ26" s="301" t="n">
        <v>25</v>
      </c>
      <c r="AK26" s="328" t="n">
        <v>-3</v>
      </c>
      <c r="AL26" s="186" t="n">
        <f aca="false">AL25+(W26*1.9835)</f>
        <v>8822.236385</v>
      </c>
      <c r="AM26" s="186" t="n">
        <v>0</v>
      </c>
      <c r="AN26" s="322"/>
      <c r="AO26" s="336"/>
      <c r="AP26" s="323"/>
    </row>
    <row r="27" customFormat="false" ht="12.95" hidden="false" customHeight="true" outlineLevel="0" collapsed="false">
      <c r="A27" s="186" t="n">
        <f aca="false">A26+1</f>
        <v>16</v>
      </c>
      <c r="B27" s="329" t="n">
        <v>6897.28</v>
      </c>
      <c r="C27" s="180" t="n">
        <v>273656</v>
      </c>
      <c r="D27" s="185" t="n">
        <f aca="false">C27-C26</f>
        <v>72</v>
      </c>
      <c r="E27" s="180" t="n">
        <f aca="false">C27-152000</f>
        <v>121656</v>
      </c>
      <c r="F27" s="348" t="n">
        <f aca="false">D27/$D$2</f>
        <v>36.2994706327199</v>
      </c>
      <c r="G27" s="179" t="n">
        <v>34</v>
      </c>
      <c r="H27" s="184" t="n">
        <v>0.58</v>
      </c>
      <c r="I27" s="179" t="n">
        <f aca="false">G27+H27</f>
        <v>34.58</v>
      </c>
      <c r="J27" s="183" t="n">
        <f aca="false">IF(L27&gt;0,L27,0)</f>
        <v>27.4194706327199</v>
      </c>
      <c r="K27" s="179" t="n">
        <f aca="false">I27+J27</f>
        <v>61.9994706327199</v>
      </c>
      <c r="L27" s="179" t="n">
        <f aca="false">F27-(I27-AF27)</f>
        <v>27.4194706327199</v>
      </c>
      <c r="M27" s="326" t="n">
        <v>3.7</v>
      </c>
      <c r="N27" s="179" t="n">
        <v>0</v>
      </c>
      <c r="O27" s="179" t="n">
        <v>0</v>
      </c>
      <c r="P27" s="181" t="n">
        <v>0</v>
      </c>
      <c r="Q27" s="300" t="n">
        <f aca="false">1.52*1.02</f>
        <v>1.5504</v>
      </c>
      <c r="R27" s="300" t="n">
        <v>3.01</v>
      </c>
      <c r="S27" s="349" t="n">
        <v>0</v>
      </c>
      <c r="T27" s="104" t="n">
        <f aca="false">M27-(Q27+R27+S27)</f>
        <v>-0.860399999999999</v>
      </c>
      <c r="U27" s="179" t="n">
        <v>0</v>
      </c>
      <c r="V27" s="179" t="n">
        <v>0</v>
      </c>
      <c r="W27" s="141" t="n">
        <f aca="false">M27-N27-O27-P27-Q27-R27-S27-T27+U27+V27</f>
        <v>0</v>
      </c>
      <c r="X27" s="180"/>
      <c r="Y27" s="180"/>
      <c r="Z27" s="180"/>
      <c r="AA27" s="179" t="n">
        <v>0</v>
      </c>
      <c r="AB27" s="284"/>
      <c r="AC27" s="285"/>
      <c r="AD27" s="179" t="n">
        <v>22</v>
      </c>
      <c r="AE27" s="180" t="n">
        <f aca="false">AE26-AD27</f>
        <v>2046</v>
      </c>
      <c r="AF27" s="10" t="n">
        <f aca="false">N27+O27+P27+Q27+R27+S27+T27+W27+AA27+AD27</f>
        <v>25.7</v>
      </c>
      <c r="AG27" s="179" t="n">
        <f aca="false">IF(L27&lt;0,L27*-1,0)</f>
        <v>0</v>
      </c>
      <c r="AH27" s="179" t="n">
        <f aca="false">AF27+AG27</f>
        <v>25.7</v>
      </c>
      <c r="AI27" s="252" t="n">
        <v>0</v>
      </c>
      <c r="AJ27" s="301" t="n">
        <v>32</v>
      </c>
      <c r="AK27" s="328" t="n">
        <v>0</v>
      </c>
      <c r="AL27" s="186" t="n">
        <f aca="false">AL26+(W27*1.9835)</f>
        <v>8822.236385</v>
      </c>
      <c r="AM27" s="186" t="n">
        <v>0</v>
      </c>
      <c r="AN27" s="322"/>
      <c r="AO27" s="8"/>
      <c r="AP27" s="323"/>
    </row>
    <row r="28" customFormat="false" ht="12.95" hidden="false" customHeight="true" outlineLevel="0" collapsed="false">
      <c r="A28" s="186" t="n">
        <f aca="false">A27+1</f>
        <v>17</v>
      </c>
      <c r="B28" s="329" t="n">
        <v>6897.3</v>
      </c>
      <c r="C28" s="180" t="n">
        <v>273728</v>
      </c>
      <c r="D28" s="185" t="n">
        <f aca="false">C28-C27</f>
        <v>72</v>
      </c>
      <c r="E28" s="180" t="n">
        <f aca="false">C28-152000</f>
        <v>121728</v>
      </c>
      <c r="F28" s="348" t="n">
        <f aca="false">D28/$D$2</f>
        <v>36.2994706327199</v>
      </c>
      <c r="G28" s="179" t="n">
        <v>22</v>
      </c>
      <c r="H28" s="184" t="n">
        <v>0.57</v>
      </c>
      <c r="I28" s="179" t="n">
        <f aca="false">G28+H28</f>
        <v>22.57</v>
      </c>
      <c r="J28" s="183" t="n">
        <f aca="false">IF(L28&gt;0,L28,0)</f>
        <v>39.7294706327199</v>
      </c>
      <c r="K28" s="179" t="n">
        <f aca="false">I28+J28</f>
        <v>62.2994706327199</v>
      </c>
      <c r="L28" s="179" t="n">
        <f aca="false">F28-(I28-AF28)</f>
        <v>39.7294706327199</v>
      </c>
      <c r="M28" s="326" t="n">
        <v>4</v>
      </c>
      <c r="N28" s="179" t="n">
        <v>0</v>
      </c>
      <c r="O28" s="179" t="n">
        <v>0</v>
      </c>
      <c r="P28" s="181" t="n">
        <v>0</v>
      </c>
      <c r="Q28" s="300" t="n">
        <f aca="false">1.52*1.02</f>
        <v>1.5504</v>
      </c>
      <c r="R28" s="300" t="n">
        <v>3.16</v>
      </c>
      <c r="S28" s="349" t="n">
        <v>0</v>
      </c>
      <c r="T28" s="104" t="n">
        <f aca="false">M28-(Q28+R28+S28)</f>
        <v>-0.7104</v>
      </c>
      <c r="U28" s="179" t="n">
        <v>0</v>
      </c>
      <c r="V28" s="179" t="n">
        <v>0</v>
      </c>
      <c r="W28" s="141" t="n">
        <f aca="false">M28-N28-O28-P28-Q28-R28-S28-T28+U28+V28</f>
        <v>0</v>
      </c>
      <c r="X28" s="180"/>
      <c r="Y28" s="180"/>
      <c r="Z28" s="180"/>
      <c r="AA28" s="179" t="n">
        <v>0</v>
      </c>
      <c r="AB28" s="284"/>
      <c r="AC28" s="285"/>
      <c r="AD28" s="179" t="n">
        <v>22</v>
      </c>
      <c r="AE28" s="180" t="n">
        <f aca="false">AE27-AD28</f>
        <v>2024</v>
      </c>
      <c r="AF28" s="10" t="n">
        <f aca="false">N28+O28+P28+Q28+R28+S28+T28+W28+AA28+AD28</f>
        <v>26</v>
      </c>
      <c r="AG28" s="179" t="n">
        <f aca="false">IF(L28&lt;0,L28*-1,0)</f>
        <v>0</v>
      </c>
      <c r="AH28" s="179" t="n">
        <f aca="false">AF28+AG28</f>
        <v>26</v>
      </c>
      <c r="AI28" s="252" t="n">
        <v>0</v>
      </c>
      <c r="AJ28" s="301" t="n">
        <v>32</v>
      </c>
      <c r="AK28" s="328" t="n">
        <v>4</v>
      </c>
      <c r="AL28" s="186" t="n">
        <f aca="false">AL27+(W28*1.9835)</f>
        <v>8822.236385</v>
      </c>
      <c r="AM28" s="186" t="n">
        <v>0</v>
      </c>
      <c r="AN28" s="322"/>
      <c r="AO28" s="336"/>
      <c r="AP28" s="323"/>
    </row>
    <row r="29" customFormat="false" ht="12.95" hidden="false" customHeight="true" outlineLevel="0" collapsed="false">
      <c r="A29" s="186" t="n">
        <f aca="false">A28+1</f>
        <v>18</v>
      </c>
      <c r="B29" s="329" t="n">
        <v>6897.32</v>
      </c>
      <c r="C29" s="180" t="n">
        <v>273801</v>
      </c>
      <c r="D29" s="185" t="n">
        <f aca="false">C29-C28</f>
        <v>73</v>
      </c>
      <c r="E29" s="180" t="n">
        <f aca="false">C29-152000</f>
        <v>121801</v>
      </c>
      <c r="F29" s="348" t="n">
        <f aca="false">D29/$D$2</f>
        <v>36.8036299470633</v>
      </c>
      <c r="G29" s="179" t="n">
        <v>23</v>
      </c>
      <c r="H29" s="184" t="n">
        <v>0.7</v>
      </c>
      <c r="I29" s="179" t="n">
        <f aca="false">G29+H29</f>
        <v>23.7</v>
      </c>
      <c r="J29" s="183" t="n">
        <f aca="false">IF(L29&gt;0,L29,0)</f>
        <v>39.4036299470633</v>
      </c>
      <c r="K29" s="179" t="n">
        <f aca="false">I29+J29</f>
        <v>63.1036299470633</v>
      </c>
      <c r="L29" s="179" t="n">
        <f aca="false">F29-(I29-AF29)</f>
        <v>39.4036299470633</v>
      </c>
      <c r="M29" s="326" t="n">
        <v>4.3</v>
      </c>
      <c r="N29" s="179" t="n">
        <v>0</v>
      </c>
      <c r="O29" s="179" t="n">
        <v>0</v>
      </c>
      <c r="P29" s="181" t="n">
        <v>0</v>
      </c>
      <c r="Q29" s="300" t="n">
        <f aca="false">1.52*1.02</f>
        <v>1.5504</v>
      </c>
      <c r="R29" s="300" t="n">
        <v>3.5</v>
      </c>
      <c r="S29" s="349" t="n">
        <v>0</v>
      </c>
      <c r="T29" s="104" t="n">
        <f aca="false">M29-(Q29+R29+S29)</f>
        <v>-0.7504</v>
      </c>
      <c r="U29" s="179" t="n">
        <v>0</v>
      </c>
      <c r="V29" s="179" t="n">
        <v>0</v>
      </c>
      <c r="W29" s="141" t="n">
        <f aca="false">M29-N29-O29-P29-Q29-R29-S29-T29+U29+V29</f>
        <v>0</v>
      </c>
      <c r="X29" s="180"/>
      <c r="Y29" s="180"/>
      <c r="Z29" s="180"/>
      <c r="AA29" s="179" t="n">
        <v>0</v>
      </c>
      <c r="AB29" s="284"/>
      <c r="AC29" s="285"/>
      <c r="AD29" s="179" t="n">
        <v>22</v>
      </c>
      <c r="AE29" s="180" t="n">
        <f aca="false">AE28-AD29</f>
        <v>2002</v>
      </c>
      <c r="AF29" s="10" t="n">
        <f aca="false">N29+O29+P29+Q29+R29+S29+T29+W29+AA29+AD29</f>
        <v>26.3</v>
      </c>
      <c r="AG29" s="179" t="n">
        <f aca="false">IF(L29&lt;0,L29*-1,0)</f>
        <v>0</v>
      </c>
      <c r="AH29" s="179" t="n">
        <f aca="false">AF29+AG29</f>
        <v>26.3</v>
      </c>
      <c r="AI29" s="252" t="n">
        <v>0</v>
      </c>
      <c r="AJ29" s="301" t="n">
        <v>36</v>
      </c>
      <c r="AK29" s="328" t="n">
        <v>4</v>
      </c>
      <c r="AL29" s="186" t="n">
        <f aca="false">AL28+(W29*1.9835)</f>
        <v>8822.236385</v>
      </c>
      <c r="AM29" s="186" t="n">
        <v>0</v>
      </c>
      <c r="AN29" s="322"/>
      <c r="AO29" s="336"/>
      <c r="AP29" s="323"/>
    </row>
    <row r="30" customFormat="false" ht="12.95" hidden="false" customHeight="true" outlineLevel="0" collapsed="false">
      <c r="A30" s="186" t="n">
        <f aca="false">A29+1</f>
        <v>19</v>
      </c>
      <c r="B30" s="329" t="n">
        <v>6897.34</v>
      </c>
      <c r="C30" s="180" t="n">
        <v>273873</v>
      </c>
      <c r="D30" s="185" t="n">
        <f aca="false">C30-C29</f>
        <v>72</v>
      </c>
      <c r="E30" s="180" t="n">
        <f aca="false">C30-152000</f>
        <v>121873</v>
      </c>
      <c r="F30" s="348" t="n">
        <f aca="false">D30/$D$2</f>
        <v>36.2994706327199</v>
      </c>
      <c r="G30" s="179" t="n">
        <v>25</v>
      </c>
      <c r="H30" s="184" t="n">
        <v>0.99</v>
      </c>
      <c r="I30" s="179" t="n">
        <f aca="false">G30+H30</f>
        <v>25.99</v>
      </c>
      <c r="J30" s="183" t="n">
        <f aca="false">IF(L30&gt;0,L30,0)</f>
        <v>36.6094706327199</v>
      </c>
      <c r="K30" s="179" t="n">
        <f aca="false">I30+J30</f>
        <v>62.5994706327199</v>
      </c>
      <c r="L30" s="179" t="n">
        <f aca="false">F30-(I30-AF30)</f>
        <v>36.6094706327199</v>
      </c>
      <c r="M30" s="326" t="n">
        <v>4.3</v>
      </c>
      <c r="N30" s="179" t="n">
        <v>0</v>
      </c>
      <c r="O30" s="179" t="n">
        <v>0</v>
      </c>
      <c r="P30" s="181" t="n">
        <v>0</v>
      </c>
      <c r="Q30" s="300" t="n">
        <f aca="false">1.52*1.02</f>
        <v>1.5504</v>
      </c>
      <c r="R30" s="300" t="n">
        <v>4.2</v>
      </c>
      <c r="S30" s="349" t="n">
        <v>0.16</v>
      </c>
      <c r="T30" s="104" t="n">
        <f aca="false">M30-(Q30+R30+S30)</f>
        <v>-1.6104</v>
      </c>
      <c r="U30" s="179" t="n">
        <v>0</v>
      </c>
      <c r="V30" s="179" t="n">
        <v>0</v>
      </c>
      <c r="W30" s="141" t="n">
        <f aca="false">M30-N30-O30-P30-Q30-R30-S30-T30+U30+V30</f>
        <v>0</v>
      </c>
      <c r="X30" s="180"/>
      <c r="Y30" s="180"/>
      <c r="Z30" s="180"/>
      <c r="AA30" s="179" t="n">
        <v>0</v>
      </c>
      <c r="AB30" s="284"/>
      <c r="AC30" s="285"/>
      <c r="AD30" s="179" t="n">
        <v>22</v>
      </c>
      <c r="AE30" s="180" t="n">
        <f aca="false">AE29-AD30</f>
        <v>1980</v>
      </c>
      <c r="AF30" s="10" t="n">
        <f aca="false">N30+O30+P30+Q30+R30+S30+T30+W30+AA30+AD30</f>
        <v>26.3</v>
      </c>
      <c r="AG30" s="179" t="n">
        <f aca="false">IF(L30&lt;0,L30*-1,0)</f>
        <v>0</v>
      </c>
      <c r="AH30" s="179" t="n">
        <f aca="false">AF30+AG30</f>
        <v>26.3</v>
      </c>
      <c r="AI30" s="252" t="n">
        <v>0</v>
      </c>
      <c r="AJ30" s="301" t="n">
        <v>44</v>
      </c>
      <c r="AK30" s="328" t="n">
        <v>10</v>
      </c>
      <c r="AL30" s="186" t="n">
        <f aca="false">AL29+(W30*1.9835)</f>
        <v>8822.236385</v>
      </c>
      <c r="AM30" s="186" t="n">
        <v>0</v>
      </c>
      <c r="AN30" s="322"/>
      <c r="AO30" s="336"/>
      <c r="AP30" s="323"/>
    </row>
    <row r="31" customFormat="false" ht="12.95" hidden="false" customHeight="true" outlineLevel="0" collapsed="false">
      <c r="A31" s="186" t="n">
        <f aca="false">A30+1</f>
        <v>20</v>
      </c>
      <c r="B31" s="329" t="n">
        <v>6897.37</v>
      </c>
      <c r="C31" s="180" t="n">
        <v>273982</v>
      </c>
      <c r="D31" s="185" t="n">
        <f aca="false">C31-C30</f>
        <v>109</v>
      </c>
      <c r="E31" s="180" t="n">
        <f aca="false">C31-152000</f>
        <v>121982</v>
      </c>
      <c r="F31" s="348" t="n">
        <f aca="false">D31/$D$2</f>
        <v>54.9533652634232</v>
      </c>
      <c r="G31" s="179" t="n">
        <v>62</v>
      </c>
      <c r="H31" s="184" t="n">
        <v>1.4</v>
      </c>
      <c r="I31" s="179" t="n">
        <f aca="false">G31+H31</f>
        <v>63.4</v>
      </c>
      <c r="J31" s="183" t="n">
        <f aca="false">IF(L31&gt;0,L31,0)</f>
        <v>17.8533652634232</v>
      </c>
      <c r="K31" s="179" t="n">
        <f aca="false">I31+J31</f>
        <v>81.2533652634233</v>
      </c>
      <c r="L31" s="179" t="n">
        <f aca="false">F31-(I31-AF31)</f>
        <v>17.8533652634232</v>
      </c>
      <c r="M31" s="326" t="n">
        <v>4.3</v>
      </c>
      <c r="N31" s="179" t="n">
        <v>0</v>
      </c>
      <c r="O31" s="179" t="n">
        <v>0</v>
      </c>
      <c r="P31" s="181" t="n">
        <v>0</v>
      </c>
      <c r="Q31" s="300" t="n">
        <f aca="false">1.52*1.02</f>
        <v>1.5504</v>
      </c>
      <c r="R31" s="300" t="n">
        <v>3.22</v>
      </c>
      <c r="S31" s="349" t="n">
        <v>0</v>
      </c>
      <c r="T31" s="104" t="n">
        <f aca="false">M31-(Q31+R31+S31)</f>
        <v>-0.470400000000001</v>
      </c>
      <c r="U31" s="179" t="n">
        <v>0</v>
      </c>
      <c r="V31" s="179" t="n">
        <v>0</v>
      </c>
      <c r="W31" s="141" t="n">
        <f aca="false">M31-N31-O31-P31-Q31-R31-S31-T31+U31+V31</f>
        <v>0</v>
      </c>
      <c r="X31" s="180"/>
      <c r="Y31" s="180"/>
      <c r="Z31" s="180"/>
      <c r="AA31" s="179" t="n">
        <v>0</v>
      </c>
      <c r="AB31" s="284"/>
      <c r="AC31" s="285"/>
      <c r="AD31" s="179" t="n">
        <v>22</v>
      </c>
      <c r="AE31" s="180" t="n">
        <f aca="false">AE30-AD31</f>
        <v>1958</v>
      </c>
      <c r="AF31" s="10" t="n">
        <f aca="false">N31+O31+P31+Q31+R31+S31+T31+W31+AA31+AD31</f>
        <v>26.3</v>
      </c>
      <c r="AG31" s="179" t="n">
        <f aca="false">IF(L31&lt;0,L31*-1,0)</f>
        <v>0</v>
      </c>
      <c r="AH31" s="179" t="n">
        <f aca="false">AF31+AG31</f>
        <v>26.3</v>
      </c>
      <c r="AI31" s="252" t="n">
        <v>0.16</v>
      </c>
      <c r="AJ31" s="301" t="n">
        <v>34</v>
      </c>
      <c r="AK31" s="328" t="n">
        <v>22</v>
      </c>
      <c r="AL31" s="186" t="n">
        <f aca="false">AL30+(W31*1.9835)</f>
        <v>8822.236385</v>
      </c>
      <c r="AM31" s="186" t="n">
        <v>0</v>
      </c>
      <c r="AN31" s="322"/>
      <c r="AO31" s="336"/>
      <c r="AP31" s="323"/>
    </row>
    <row r="32" customFormat="false" ht="12.95" hidden="false" customHeight="true" outlineLevel="0" collapsed="false">
      <c r="A32" s="186" t="n">
        <f aca="false">A31+1</f>
        <v>21</v>
      </c>
      <c r="B32" s="329" t="n">
        <v>6897.4</v>
      </c>
      <c r="C32" s="180" t="n">
        <v>274090</v>
      </c>
      <c r="D32" s="185" t="n">
        <f aca="false">C32-C31</f>
        <v>108</v>
      </c>
      <c r="E32" s="180" t="n">
        <f aca="false">C32-152000</f>
        <v>122090</v>
      </c>
      <c r="F32" s="348" t="n">
        <f aca="false">D32/$D$2</f>
        <v>54.4492059490799</v>
      </c>
      <c r="G32" s="179" t="n">
        <v>62</v>
      </c>
      <c r="H32" s="184" t="n">
        <v>1.4</v>
      </c>
      <c r="I32" s="179" t="n">
        <f aca="false">G32+H32</f>
        <v>63.4</v>
      </c>
      <c r="J32" s="183" t="n">
        <f aca="false">IF(L32&gt;0,L32,0)</f>
        <v>17.3492059490799</v>
      </c>
      <c r="K32" s="179" t="n">
        <f aca="false">I32+J32</f>
        <v>80.7492059490799</v>
      </c>
      <c r="L32" s="179" t="n">
        <f aca="false">F32-(I32-AF32)</f>
        <v>17.3492059490799</v>
      </c>
      <c r="M32" s="326" t="n">
        <v>4.3</v>
      </c>
      <c r="N32" s="179" t="n">
        <v>0</v>
      </c>
      <c r="O32" s="179" t="n">
        <v>0</v>
      </c>
      <c r="P32" s="181" t="n">
        <v>0</v>
      </c>
      <c r="Q32" s="300" t="n">
        <f aca="false">1.52*1.02</f>
        <v>1.5504</v>
      </c>
      <c r="R32" s="300" t="n">
        <v>3.61</v>
      </c>
      <c r="S32" s="349" t="n">
        <v>0</v>
      </c>
      <c r="T32" s="104" t="n">
        <f aca="false">M32-(Q32+R32+S32)</f>
        <v>-0.8604</v>
      </c>
      <c r="U32" s="179" t="n">
        <v>0</v>
      </c>
      <c r="V32" s="179" t="n">
        <v>0</v>
      </c>
      <c r="W32" s="141" t="n">
        <f aca="false">M32-N32-O32-P32-Q32-R32-S32-T32+U32+V32</f>
        <v>0</v>
      </c>
      <c r="X32" s="180"/>
      <c r="Y32" s="180"/>
      <c r="Z32" s="180"/>
      <c r="AA32" s="179" t="n">
        <v>0</v>
      </c>
      <c r="AB32" s="284"/>
      <c r="AC32" s="285"/>
      <c r="AD32" s="179" t="n">
        <v>22</v>
      </c>
      <c r="AE32" s="180" t="n">
        <f aca="false">AE31-AD32</f>
        <v>1936</v>
      </c>
      <c r="AF32" s="10" t="n">
        <f aca="false">N32+O32+P32+Q32+R32+S32+T32+W32+AA32+AD32</f>
        <v>26.3</v>
      </c>
      <c r="AG32" s="179" t="n">
        <f aca="false">IF(L32&lt;0,L32*-1,0)</f>
        <v>0</v>
      </c>
      <c r="AH32" s="179" t="n">
        <f aca="false">AF32+AG32</f>
        <v>26.3</v>
      </c>
      <c r="AI32" s="252" t="n">
        <v>0.05</v>
      </c>
      <c r="AJ32" s="185" t="n">
        <v>33</v>
      </c>
      <c r="AK32" s="328" t="n">
        <v>11</v>
      </c>
      <c r="AL32" s="186" t="n">
        <f aca="false">AL31+(W32*1.9835)</f>
        <v>8822.236385</v>
      </c>
      <c r="AM32" s="186" t="n">
        <v>0</v>
      </c>
      <c r="AN32" s="322"/>
      <c r="AO32" s="336"/>
      <c r="AP32" s="323"/>
    </row>
    <row r="33" customFormat="false" ht="12.95" hidden="false" customHeight="true" outlineLevel="0" collapsed="false">
      <c r="A33" s="186" t="n">
        <f aca="false">A32+1</f>
        <v>22</v>
      </c>
      <c r="B33" s="329" t="n">
        <v>6897.42</v>
      </c>
      <c r="C33" s="180" t="n">
        <v>274163</v>
      </c>
      <c r="D33" s="185" t="n">
        <f aca="false">C33-C32</f>
        <v>73</v>
      </c>
      <c r="E33" s="180" t="n">
        <f aca="false">C33-152000</f>
        <v>122163</v>
      </c>
      <c r="F33" s="348" t="n">
        <f aca="false">D33/$D$2</f>
        <v>36.8036299470633</v>
      </c>
      <c r="G33" s="179" t="n">
        <v>50</v>
      </c>
      <c r="H33" s="184" t="n">
        <v>1.4</v>
      </c>
      <c r="I33" s="179" t="n">
        <f aca="false">G33+H33</f>
        <v>51.4</v>
      </c>
      <c r="J33" s="183" t="n">
        <f aca="false">IF(L33&gt;0,L33,0)</f>
        <v>11.7036299470633</v>
      </c>
      <c r="K33" s="179" t="n">
        <f aca="false">I33+J33</f>
        <v>63.1036299470633</v>
      </c>
      <c r="L33" s="179" t="n">
        <f aca="false">F33-(I33-AF33)</f>
        <v>11.7036299470633</v>
      </c>
      <c r="M33" s="326" t="n">
        <v>4.3</v>
      </c>
      <c r="N33" s="179" t="n">
        <v>0</v>
      </c>
      <c r="O33" s="179" t="n">
        <v>0</v>
      </c>
      <c r="P33" s="181" t="n">
        <v>0</v>
      </c>
      <c r="Q33" s="300" t="n">
        <f aca="false">1.52*1.02</f>
        <v>1.5504</v>
      </c>
      <c r="R33" s="300" t="n">
        <v>3.66</v>
      </c>
      <c r="S33" s="349" t="n">
        <v>0</v>
      </c>
      <c r="T33" s="104" t="n">
        <f aca="false">M33-(Q33+R33+S33)</f>
        <v>-0.9104</v>
      </c>
      <c r="U33" s="179" t="n">
        <v>0</v>
      </c>
      <c r="V33" s="179" t="n">
        <v>0</v>
      </c>
      <c r="W33" s="141" t="n">
        <f aca="false">M33-N33-O33-P33-Q33-R33-S33-T33+U33+V33</f>
        <v>0</v>
      </c>
      <c r="X33" s="180"/>
      <c r="Y33" s="180"/>
      <c r="Z33" s="180"/>
      <c r="AA33" s="179" t="n">
        <v>0</v>
      </c>
      <c r="AB33" s="284"/>
      <c r="AC33" s="285"/>
      <c r="AD33" s="179" t="n">
        <v>22</v>
      </c>
      <c r="AE33" s="180" t="n">
        <f aca="false">AE32-AD33</f>
        <v>1914</v>
      </c>
      <c r="AF33" s="10" t="n">
        <f aca="false">N33+O33+P33+Q33+R33+S33+T33+W33+AA33+AD33</f>
        <v>26.3</v>
      </c>
      <c r="AG33" s="179" t="n">
        <f aca="false">IF(L33&lt;0,L33*-1,0)</f>
        <v>0</v>
      </c>
      <c r="AH33" s="179" t="n">
        <f aca="false">AF33+AG33</f>
        <v>26.3</v>
      </c>
      <c r="AI33" s="252" t="n">
        <v>0</v>
      </c>
      <c r="AJ33" s="185" t="n">
        <v>38</v>
      </c>
      <c r="AK33" s="328" t="n">
        <v>9</v>
      </c>
      <c r="AL33" s="186" t="n">
        <f aca="false">AL32+(W33*1.9835)</f>
        <v>8822.236385</v>
      </c>
      <c r="AM33" s="186" t="n">
        <v>0</v>
      </c>
      <c r="AN33" s="322"/>
      <c r="AO33" s="336"/>
      <c r="AP33" s="323"/>
    </row>
    <row r="34" customFormat="false" ht="12.95" hidden="false" customHeight="true" outlineLevel="0" collapsed="false">
      <c r="A34" s="186" t="n">
        <f aca="false">A33+1</f>
        <v>23</v>
      </c>
      <c r="B34" s="329" t="n">
        <v>6897.44</v>
      </c>
      <c r="C34" s="180" t="n">
        <v>274235</v>
      </c>
      <c r="D34" s="185" t="n">
        <f aca="false">C34-C33</f>
        <v>72</v>
      </c>
      <c r="E34" s="180" t="n">
        <f aca="false">C34-152000</f>
        <v>122235</v>
      </c>
      <c r="F34" s="348" t="n">
        <f aca="false">D34/$D$2</f>
        <v>36.2994706327199</v>
      </c>
      <c r="G34" s="179" t="n">
        <v>43</v>
      </c>
      <c r="H34" s="184" t="n">
        <v>1.5</v>
      </c>
      <c r="I34" s="179" t="n">
        <f aca="false">G34+H34</f>
        <v>44.5</v>
      </c>
      <c r="J34" s="183" t="n">
        <f aca="false">IF(L34&gt;0,L34,0)</f>
        <v>18.0994706327199</v>
      </c>
      <c r="K34" s="179" t="n">
        <f aca="false">I34+J34</f>
        <v>62.5994706327199</v>
      </c>
      <c r="L34" s="179" t="n">
        <f aca="false">F34-(I34-AF34)</f>
        <v>18.0994706327199</v>
      </c>
      <c r="M34" s="326" t="n">
        <v>4.3</v>
      </c>
      <c r="N34" s="179" t="n">
        <v>0</v>
      </c>
      <c r="O34" s="179" t="n">
        <v>0</v>
      </c>
      <c r="P34" s="181" t="n">
        <v>0</v>
      </c>
      <c r="Q34" s="300" t="n">
        <f aca="false">1.52*1.02</f>
        <v>1.5504</v>
      </c>
      <c r="R34" s="300" t="n">
        <v>3.12</v>
      </c>
      <c r="S34" s="349" t="n">
        <v>0</v>
      </c>
      <c r="T34" s="104" t="n">
        <f aca="false">M34-(Q34+R34+S34)</f>
        <v>-0.3704</v>
      </c>
      <c r="U34" s="179" t="n">
        <v>0</v>
      </c>
      <c r="V34" s="179" t="n">
        <v>0</v>
      </c>
      <c r="W34" s="141" t="n">
        <f aca="false">M34-N34-O34-P34-Q34-R34-S34-T34+U34+V34</f>
        <v>0</v>
      </c>
      <c r="X34" s="180"/>
      <c r="Y34" s="180"/>
      <c r="Z34" s="180"/>
      <c r="AA34" s="179" t="n">
        <v>0</v>
      </c>
      <c r="AB34" s="284"/>
      <c r="AC34" s="285"/>
      <c r="AD34" s="179" t="n">
        <v>22</v>
      </c>
      <c r="AE34" s="180" t="n">
        <f aca="false">AE33-AD34</f>
        <v>1892</v>
      </c>
      <c r="AF34" s="10" t="n">
        <f aca="false">N34+O34+P34+Q34+R34+S34+T34+W34+AA34+AD34</f>
        <v>26.3</v>
      </c>
      <c r="AG34" s="179" t="n">
        <f aca="false">IF(L34&lt;0,L34*-1,0)</f>
        <v>0</v>
      </c>
      <c r="AH34" s="179" t="n">
        <f aca="false">AF34+AG34</f>
        <v>26.3</v>
      </c>
      <c r="AI34" s="252" t="n">
        <v>0</v>
      </c>
      <c r="AJ34" s="185" t="n">
        <v>40</v>
      </c>
      <c r="AK34" s="351" t="n">
        <v>7</v>
      </c>
      <c r="AL34" s="186" t="n">
        <f aca="false">AL33+(W34*1.9835)</f>
        <v>8822.236385</v>
      </c>
      <c r="AM34" s="186" t="n">
        <v>0</v>
      </c>
      <c r="AN34" s="322"/>
      <c r="AO34" s="336"/>
      <c r="AP34" s="323"/>
    </row>
    <row r="35" customFormat="false" ht="12.95" hidden="false" customHeight="true" outlineLevel="0" collapsed="false">
      <c r="A35" s="186" t="n">
        <f aca="false">A34+1</f>
        <v>24</v>
      </c>
      <c r="B35" s="329" t="n">
        <v>6897.46</v>
      </c>
      <c r="C35" s="180" t="n">
        <v>274307</v>
      </c>
      <c r="D35" s="185" t="n">
        <f aca="false">C35-C34</f>
        <v>72</v>
      </c>
      <c r="E35" s="180" t="n">
        <f aca="false">C35-152000</f>
        <v>122307</v>
      </c>
      <c r="F35" s="348" t="n">
        <f aca="false">D35/$D$2</f>
        <v>36.2994706327199</v>
      </c>
      <c r="G35" s="179" t="n">
        <v>44</v>
      </c>
      <c r="H35" s="184" t="n">
        <v>2</v>
      </c>
      <c r="I35" s="179" t="n">
        <f aca="false">G35+H35</f>
        <v>46</v>
      </c>
      <c r="J35" s="183" t="n">
        <f aca="false">IF(L35&gt;0,L35,0)</f>
        <v>16.3994706327199</v>
      </c>
      <c r="K35" s="179" t="n">
        <f aca="false">I35+J35</f>
        <v>62.3994706327199</v>
      </c>
      <c r="L35" s="179" t="n">
        <f aca="false">F35-(I35-AF35)</f>
        <v>16.3994706327199</v>
      </c>
      <c r="M35" s="326" t="n">
        <v>4.1</v>
      </c>
      <c r="N35" s="179" t="n">
        <v>0</v>
      </c>
      <c r="O35" s="179" t="n">
        <v>0</v>
      </c>
      <c r="P35" s="181" t="n">
        <v>0</v>
      </c>
      <c r="Q35" s="300" t="n">
        <f aca="false">1.52*1.02</f>
        <v>1.5504</v>
      </c>
      <c r="R35" s="300" t="n">
        <v>2.83</v>
      </c>
      <c r="S35" s="349" t="n">
        <v>0</v>
      </c>
      <c r="T35" s="104" t="n">
        <f aca="false">M35-(Q35+R35+S35)</f>
        <v>-0.2804</v>
      </c>
      <c r="U35" s="179" t="n">
        <v>0</v>
      </c>
      <c r="V35" s="179" t="n">
        <v>0</v>
      </c>
      <c r="W35" s="141" t="n">
        <f aca="false">M35-N35-O35-P35-Q35-R35-S35-T35+U35+V35</f>
        <v>0</v>
      </c>
      <c r="X35" s="180"/>
      <c r="Y35" s="180"/>
      <c r="Z35" s="180"/>
      <c r="AA35" s="179" t="n">
        <v>0</v>
      </c>
      <c r="AB35" s="284"/>
      <c r="AC35" s="285"/>
      <c r="AD35" s="179" t="n">
        <v>22</v>
      </c>
      <c r="AE35" s="180" t="n">
        <f aca="false">AE34-AD35</f>
        <v>1870</v>
      </c>
      <c r="AF35" s="10" t="n">
        <f aca="false">N35+O35+P35+Q35+R35+S35+T35+W35+AA35+AD35</f>
        <v>26.1</v>
      </c>
      <c r="AG35" s="179" t="n">
        <f aca="false">IF(L35&lt;0,L35*-1,0)</f>
        <v>0</v>
      </c>
      <c r="AH35" s="179" t="n">
        <f aca="false">AF35+AG35</f>
        <v>26.1</v>
      </c>
      <c r="AI35" s="252" t="n">
        <v>0</v>
      </c>
      <c r="AJ35" s="185" t="n">
        <v>41</v>
      </c>
      <c r="AK35" s="351" t="n">
        <v>8</v>
      </c>
      <c r="AL35" s="186" t="n">
        <f aca="false">AL34+(W35*1.9835)</f>
        <v>8822.236385</v>
      </c>
      <c r="AM35" s="186" t="n">
        <v>0</v>
      </c>
      <c r="AN35" s="322"/>
      <c r="AO35" s="336"/>
      <c r="AP35" s="323"/>
    </row>
    <row r="36" customFormat="false" ht="12.95" hidden="false" customHeight="true" outlineLevel="0" collapsed="false">
      <c r="A36" s="186" t="n">
        <f aca="false">A35+1</f>
        <v>25</v>
      </c>
      <c r="B36" s="329" t="n">
        <v>6897.48</v>
      </c>
      <c r="C36" s="180" t="n">
        <v>274380</v>
      </c>
      <c r="D36" s="185" t="n">
        <f aca="false">C36-C35</f>
        <v>73</v>
      </c>
      <c r="E36" s="180" t="n">
        <f aca="false">C36-152000</f>
        <v>122380</v>
      </c>
      <c r="F36" s="348" t="n">
        <f aca="false">D36/$D$2</f>
        <v>36.8036299470633</v>
      </c>
      <c r="G36" s="179" t="n">
        <v>51</v>
      </c>
      <c r="H36" s="184" t="n">
        <v>2</v>
      </c>
      <c r="I36" s="179" t="n">
        <f aca="false">G36+H36</f>
        <v>53</v>
      </c>
      <c r="J36" s="183" t="n">
        <f aca="false">IF(L36&gt;0,L36,0)</f>
        <v>9.80362994706327</v>
      </c>
      <c r="K36" s="179" t="n">
        <f aca="false">I36+J36</f>
        <v>62.8036299470633</v>
      </c>
      <c r="L36" s="179" t="n">
        <f aca="false">F36-(I36-AF36)</f>
        <v>9.80362994706327</v>
      </c>
      <c r="M36" s="326" t="n">
        <v>4</v>
      </c>
      <c r="N36" s="179" t="n">
        <v>0</v>
      </c>
      <c r="O36" s="179" t="n">
        <v>0</v>
      </c>
      <c r="P36" s="181" t="n">
        <v>0</v>
      </c>
      <c r="Q36" s="300" t="n">
        <f aca="false">1.52*1.02</f>
        <v>1.5504</v>
      </c>
      <c r="R36" s="300" t="n">
        <v>3.28</v>
      </c>
      <c r="S36" s="349" t="n">
        <v>0</v>
      </c>
      <c r="T36" s="104" t="n">
        <f aca="false">M36-(Q36+R36+S36)</f>
        <v>-0.8304</v>
      </c>
      <c r="U36" s="179" t="n">
        <v>0</v>
      </c>
      <c r="V36" s="179" t="n">
        <v>0</v>
      </c>
      <c r="W36" s="141" t="n">
        <f aca="false">M36-N36-O36-P36-Q36-R36-S36-T36+U36+V36</f>
        <v>0</v>
      </c>
      <c r="X36" s="180"/>
      <c r="Y36" s="180"/>
      <c r="Z36" s="180"/>
      <c r="AA36" s="179" t="n">
        <v>0</v>
      </c>
      <c r="AB36" s="284"/>
      <c r="AC36" s="285"/>
      <c r="AD36" s="179" t="n">
        <v>22</v>
      </c>
      <c r="AE36" s="180" t="n">
        <f aca="false">AE35-AD36</f>
        <v>1848</v>
      </c>
      <c r="AF36" s="10" t="n">
        <f aca="false">N36+O36+P36+Q36+R36+S36+T36+W36+AA36+AD36</f>
        <v>26</v>
      </c>
      <c r="AG36" s="179" t="n">
        <f aca="false">IF(L36&lt;0,L36*-1,0)</f>
        <v>0</v>
      </c>
      <c r="AH36" s="179" t="n">
        <f aca="false">AF36+AG36</f>
        <v>26</v>
      </c>
      <c r="AI36" s="252" t="n">
        <v>0</v>
      </c>
      <c r="AJ36" s="185" t="n">
        <v>42</v>
      </c>
      <c r="AK36" s="351" t="n">
        <v>17</v>
      </c>
      <c r="AL36" s="186" t="n">
        <f aca="false">AL35+(W36*1.9835)</f>
        <v>8822.236385</v>
      </c>
      <c r="AM36" s="186" t="n">
        <v>0</v>
      </c>
      <c r="AN36" s="322"/>
      <c r="AO36" s="336"/>
      <c r="AP36" s="323"/>
    </row>
    <row r="37" customFormat="false" ht="12.95" hidden="false" customHeight="true" outlineLevel="0" collapsed="false">
      <c r="A37" s="186" t="n">
        <f aca="false">A36+1</f>
        <v>26</v>
      </c>
      <c r="B37" s="329" t="n">
        <v>6897.5</v>
      </c>
      <c r="C37" s="180" t="n">
        <v>274452</v>
      </c>
      <c r="D37" s="185" t="n">
        <f aca="false">C37-C36</f>
        <v>72</v>
      </c>
      <c r="E37" s="180" t="n">
        <f aca="false">C37-152000</f>
        <v>122452</v>
      </c>
      <c r="F37" s="348" t="n">
        <f aca="false">D37/$D$2</f>
        <v>36.2994706327199</v>
      </c>
      <c r="G37" s="179" t="n">
        <v>56</v>
      </c>
      <c r="H37" s="184" t="n">
        <v>2.2</v>
      </c>
      <c r="I37" s="179" t="n">
        <f aca="false">G37+H37</f>
        <v>58.2</v>
      </c>
      <c r="J37" s="183" t="n">
        <f aca="false">IF(L37&gt;0,L37,0)</f>
        <v>4.09947063271994</v>
      </c>
      <c r="K37" s="179" t="n">
        <f aca="false">I37+J37</f>
        <v>62.2994706327199</v>
      </c>
      <c r="L37" s="179" t="n">
        <f aca="false">F37-(I37-AF37)</f>
        <v>4.09947063271994</v>
      </c>
      <c r="M37" s="326" t="n">
        <v>4</v>
      </c>
      <c r="N37" s="179" t="n">
        <v>0</v>
      </c>
      <c r="O37" s="179" t="n">
        <v>0</v>
      </c>
      <c r="P37" s="181" t="n">
        <v>0</v>
      </c>
      <c r="Q37" s="300" t="n">
        <f aca="false">1.52*1.02</f>
        <v>1.5504</v>
      </c>
      <c r="R37" s="300" t="n">
        <v>3.58</v>
      </c>
      <c r="S37" s="349" t="n">
        <v>0</v>
      </c>
      <c r="T37" s="104" t="n">
        <f aca="false">M37-(Q37+R37+S37)</f>
        <v>-1.1304</v>
      </c>
      <c r="U37" s="179" t="n">
        <v>0</v>
      </c>
      <c r="V37" s="179" t="n">
        <v>0</v>
      </c>
      <c r="W37" s="141" t="n">
        <f aca="false">M37-N37-O37-P37-Q37-R37-S37-T37+U37+V37</f>
        <v>0</v>
      </c>
      <c r="X37" s="180"/>
      <c r="Y37" s="180"/>
      <c r="Z37" s="180"/>
      <c r="AA37" s="179" t="n">
        <v>0</v>
      </c>
      <c r="AB37" s="284"/>
      <c r="AC37" s="285"/>
      <c r="AD37" s="179" t="n">
        <v>22</v>
      </c>
      <c r="AE37" s="180" t="n">
        <f aca="false">AE36-AD37</f>
        <v>1826</v>
      </c>
      <c r="AF37" s="10" t="n">
        <f aca="false">N37+O37+P37+Q37+R37+S37+T37+W37+AA37+AD37</f>
        <v>26</v>
      </c>
      <c r="AG37" s="179" t="n">
        <f aca="false">IF(L37&lt;0,L37*-1,0)</f>
        <v>0</v>
      </c>
      <c r="AH37" s="179" t="n">
        <f aca="false">AF37+AG37</f>
        <v>26</v>
      </c>
      <c r="AI37" s="252" t="n">
        <v>0</v>
      </c>
      <c r="AJ37" s="185" t="n">
        <v>42</v>
      </c>
      <c r="AK37" s="328" t="n">
        <v>16</v>
      </c>
      <c r="AL37" s="186" t="n">
        <f aca="false">AL36+(W37*1.9835)</f>
        <v>8822.236385</v>
      </c>
      <c r="AM37" s="186" t="n">
        <v>0</v>
      </c>
      <c r="AN37" s="322"/>
      <c r="AO37" s="336"/>
      <c r="AP37" s="323"/>
    </row>
    <row r="38" customFormat="false" ht="12.95" hidden="false" customHeight="true" outlineLevel="0" collapsed="false">
      <c r="A38" s="186" t="n">
        <f aca="false">A37+1</f>
        <v>27</v>
      </c>
      <c r="B38" s="329" t="n">
        <v>6897.52</v>
      </c>
      <c r="C38" s="180" t="n">
        <v>274524</v>
      </c>
      <c r="D38" s="185" t="n">
        <f aca="false">C38-C37</f>
        <v>72</v>
      </c>
      <c r="E38" s="180" t="n">
        <f aca="false">C38-152000</f>
        <v>122524</v>
      </c>
      <c r="F38" s="348" t="n">
        <f aca="false">D38/$D$2</f>
        <v>36.2994706327199</v>
      </c>
      <c r="G38" s="179" t="n">
        <v>62</v>
      </c>
      <c r="H38" s="184" t="n">
        <v>2</v>
      </c>
      <c r="I38" s="179" t="n">
        <f aca="false">G38+H38</f>
        <v>64</v>
      </c>
      <c r="J38" s="183" t="n">
        <f aca="false">IF(L38&gt;0,L38,0)</f>
        <v>0</v>
      </c>
      <c r="K38" s="179" t="n">
        <f aca="false">I38+J38</f>
        <v>64</v>
      </c>
      <c r="L38" s="179" t="n">
        <f aca="false">F38-(I38-AF38)</f>
        <v>-1.70052936728006</v>
      </c>
      <c r="M38" s="326" t="n">
        <v>4</v>
      </c>
      <c r="N38" s="179" t="n">
        <v>0</v>
      </c>
      <c r="O38" s="179" t="n">
        <v>0</v>
      </c>
      <c r="P38" s="181" t="n">
        <v>0</v>
      </c>
      <c r="Q38" s="300" t="n">
        <f aca="false">1.52*1.02</f>
        <v>1.5504</v>
      </c>
      <c r="R38" s="300" t="n">
        <v>3.66</v>
      </c>
      <c r="S38" s="349" t="n">
        <v>0</v>
      </c>
      <c r="T38" s="104" t="n">
        <f aca="false">M38-(Q38+R38+S38)</f>
        <v>-1.2104</v>
      </c>
      <c r="U38" s="179" t="n">
        <v>0</v>
      </c>
      <c r="V38" s="179" t="n">
        <v>0</v>
      </c>
      <c r="W38" s="141" t="n">
        <f aca="false">M38-N38-O38-P38-Q38-R38-S38-T38+U38+V38</f>
        <v>0</v>
      </c>
      <c r="X38" s="180"/>
      <c r="Y38" s="180"/>
      <c r="Z38" s="180"/>
      <c r="AA38" s="179" t="n">
        <v>0</v>
      </c>
      <c r="AB38" s="284"/>
      <c r="AC38" s="285"/>
      <c r="AD38" s="179" t="n">
        <v>22</v>
      </c>
      <c r="AE38" s="180" t="n">
        <f aca="false">AE37-AD38</f>
        <v>1804</v>
      </c>
      <c r="AF38" s="10" t="n">
        <f aca="false">N38+O38+P38+Q38+R38+S38+T38+W38+AA38+AD38</f>
        <v>26</v>
      </c>
      <c r="AG38" s="179" t="n">
        <f aca="false">IF(L38&lt;0,L38*-1,0)</f>
        <v>1.70052936728006</v>
      </c>
      <c r="AH38" s="179" t="n">
        <f aca="false">AF38+AG38</f>
        <v>27.7005293672801</v>
      </c>
      <c r="AI38" s="252" t="n">
        <v>0</v>
      </c>
      <c r="AJ38" s="185" t="n">
        <v>41</v>
      </c>
      <c r="AK38" s="328" t="n">
        <v>13</v>
      </c>
      <c r="AL38" s="186" t="n">
        <f aca="false">AL37+(W38*1.9835)</f>
        <v>8822.236385</v>
      </c>
      <c r="AM38" s="186" t="n">
        <v>0</v>
      </c>
      <c r="AN38" s="322"/>
      <c r="AO38" s="336"/>
      <c r="AP38" s="323"/>
    </row>
    <row r="39" customFormat="false" ht="12.95" hidden="false" customHeight="true" outlineLevel="0" collapsed="false">
      <c r="A39" s="186" t="n">
        <f aca="false">A38+1</f>
        <v>28</v>
      </c>
      <c r="B39" s="329" t="n">
        <v>6897.54</v>
      </c>
      <c r="C39" s="180" t="n">
        <v>274597</v>
      </c>
      <c r="D39" s="185" t="n">
        <f aca="false">C39-C38</f>
        <v>73</v>
      </c>
      <c r="E39" s="180" t="n">
        <f aca="false">C39-152000</f>
        <v>122597</v>
      </c>
      <c r="F39" s="348" t="n">
        <f aca="false">D39/$D$2</f>
        <v>36.8036299470633</v>
      </c>
      <c r="G39" s="179" t="n">
        <v>61</v>
      </c>
      <c r="H39" s="184" t="n">
        <v>2</v>
      </c>
      <c r="I39" s="179" t="n">
        <f aca="false">G39+H39</f>
        <v>63</v>
      </c>
      <c r="J39" s="183" t="n">
        <f aca="false">IF(L39&gt;0,L39,0)</f>
        <v>0</v>
      </c>
      <c r="K39" s="179" t="n">
        <f aca="false">I39+J39</f>
        <v>63</v>
      </c>
      <c r="L39" s="179" t="n">
        <f aca="false">F39-(I39-AF39)</f>
        <v>-0.196370052936729</v>
      </c>
      <c r="M39" s="326" t="n">
        <v>4</v>
      </c>
      <c r="N39" s="179" t="n">
        <v>0</v>
      </c>
      <c r="O39" s="179" t="n">
        <v>0</v>
      </c>
      <c r="P39" s="181" t="n">
        <v>0</v>
      </c>
      <c r="Q39" s="300" t="n">
        <f aca="false">1.52*1.02</f>
        <v>1.5504</v>
      </c>
      <c r="R39" s="300" t="n">
        <v>3.54</v>
      </c>
      <c r="S39" s="349" t="n">
        <v>0</v>
      </c>
      <c r="T39" s="104" t="n">
        <f aca="false">M39-(Q39+R39+S39)</f>
        <v>-1.0904</v>
      </c>
      <c r="U39" s="179" t="n">
        <v>0</v>
      </c>
      <c r="V39" s="179" t="n">
        <v>0</v>
      </c>
      <c r="W39" s="141" t="n">
        <f aca="false">M39-N39-O39-P39-Q39-R39-S39-T39+U39+V39</f>
        <v>0</v>
      </c>
      <c r="X39" s="180"/>
      <c r="Y39" s="180"/>
      <c r="Z39" s="180"/>
      <c r="AA39" s="179" t="n">
        <v>0</v>
      </c>
      <c r="AB39" s="284"/>
      <c r="AC39" s="285"/>
      <c r="AD39" s="179" t="n">
        <v>22</v>
      </c>
      <c r="AE39" s="180" t="n">
        <f aca="false">AE38-AD39</f>
        <v>1782</v>
      </c>
      <c r="AF39" s="10" t="n">
        <f aca="false">N39+O39+P39+Q39+R39+S39+T39+W39+AA39+AD39</f>
        <v>26</v>
      </c>
      <c r="AG39" s="179" t="n">
        <f aca="false">IF(L39&lt;0,L39*-1,0)</f>
        <v>0.196370052936729</v>
      </c>
      <c r="AH39" s="179" t="n">
        <f aca="false">AF39+AG39</f>
        <v>26.1963700529367</v>
      </c>
      <c r="AI39" s="252" t="n">
        <v>0</v>
      </c>
      <c r="AJ39" s="185" t="n">
        <v>43</v>
      </c>
      <c r="AK39" s="328" t="n">
        <v>15</v>
      </c>
      <c r="AL39" s="186" t="n">
        <f aca="false">AL38+(W39*1.9835)</f>
        <v>8822.236385</v>
      </c>
      <c r="AM39" s="186" t="n">
        <v>0</v>
      </c>
      <c r="AN39" s="322"/>
      <c r="AO39" s="336"/>
      <c r="AP39" s="323"/>
    </row>
    <row r="40" customFormat="false" ht="12.95" hidden="false" customHeight="true" outlineLevel="0" collapsed="false">
      <c r="A40" s="186" t="n">
        <f aca="false">A39+1</f>
        <v>29</v>
      </c>
      <c r="B40" s="329" t="n">
        <v>6897.56</v>
      </c>
      <c r="C40" s="180" t="n">
        <v>274669</v>
      </c>
      <c r="D40" s="185" t="n">
        <f aca="false">C40-C39</f>
        <v>72</v>
      </c>
      <c r="E40" s="180" t="n">
        <f aca="false">C40-152000</f>
        <v>122669</v>
      </c>
      <c r="F40" s="348" t="n">
        <f aca="false">D40/$D$2</f>
        <v>36.2994706327199</v>
      </c>
      <c r="G40" s="179" t="n">
        <v>57</v>
      </c>
      <c r="H40" s="184" t="n">
        <v>2.1</v>
      </c>
      <c r="I40" s="179" t="n">
        <f aca="false">G40+H40</f>
        <v>59.1</v>
      </c>
      <c r="J40" s="183" t="n">
        <f aca="false">IF(L40&gt;0,L40,0)</f>
        <v>3.19947063271994</v>
      </c>
      <c r="K40" s="179" t="n">
        <f aca="false">I40+J40</f>
        <v>62.2994706327199</v>
      </c>
      <c r="L40" s="179" t="n">
        <f aca="false">F40-(I40-AF40)</f>
        <v>3.19947063271994</v>
      </c>
      <c r="M40" s="326" t="n">
        <v>4</v>
      </c>
      <c r="N40" s="179" t="n">
        <v>0</v>
      </c>
      <c r="O40" s="179" t="n">
        <v>0</v>
      </c>
      <c r="P40" s="181" t="n">
        <v>0</v>
      </c>
      <c r="Q40" s="300" t="n">
        <f aca="false">1.52*1.02</f>
        <v>1.5504</v>
      </c>
      <c r="R40" s="300" t="n">
        <v>3.53</v>
      </c>
      <c r="S40" s="349" t="n">
        <v>0</v>
      </c>
      <c r="T40" s="104" t="n">
        <f aca="false">M40-(Q40+R40+S40)</f>
        <v>-1.0804</v>
      </c>
      <c r="U40" s="179" t="n">
        <v>0</v>
      </c>
      <c r="V40" s="179" t="n">
        <v>0</v>
      </c>
      <c r="W40" s="141" t="n">
        <f aca="false">M40-N40-O40-P40-Q40-R40-S40-T40+U40+V40</f>
        <v>0</v>
      </c>
      <c r="X40" s="180"/>
      <c r="Y40" s="180"/>
      <c r="Z40" s="180"/>
      <c r="AA40" s="179" t="n">
        <v>0</v>
      </c>
      <c r="AB40" s="284"/>
      <c r="AC40" s="285"/>
      <c r="AD40" s="179" t="n">
        <v>22</v>
      </c>
      <c r="AE40" s="180" t="n">
        <f aca="false">AE39-AD40</f>
        <v>1760</v>
      </c>
      <c r="AF40" s="10" t="n">
        <f aca="false">N40+O40+P40+Q40+R40+S40+T40+W40+AA40+AD40</f>
        <v>26</v>
      </c>
      <c r="AG40" s="179" t="n">
        <f aca="false">IF(L40&lt;0,L40*-1,0)</f>
        <v>0</v>
      </c>
      <c r="AH40" s="179" t="n">
        <f aca="false">AF40+AG40</f>
        <v>26</v>
      </c>
      <c r="AI40" s="252" t="n">
        <v>0</v>
      </c>
      <c r="AJ40" s="301" t="n">
        <v>42</v>
      </c>
      <c r="AK40" s="328" t="n">
        <v>16</v>
      </c>
      <c r="AL40" s="186" t="n">
        <f aca="false">AL39+(W40*1.9835)</f>
        <v>8822.236385</v>
      </c>
      <c r="AM40" s="186" t="n">
        <v>0</v>
      </c>
      <c r="AN40" s="322"/>
      <c r="AO40" s="336"/>
      <c r="AP40" s="323"/>
    </row>
    <row r="41" customFormat="false" ht="12.95" hidden="false" customHeight="true" outlineLevel="0" collapsed="false">
      <c r="A41" s="186" t="n">
        <v>30</v>
      </c>
      <c r="B41" s="329" t="n">
        <v>6897.61</v>
      </c>
      <c r="C41" s="180" t="n">
        <v>274850</v>
      </c>
      <c r="D41" s="185" t="n">
        <f aca="false">C41-C40</f>
        <v>181</v>
      </c>
      <c r="E41" s="180" t="n">
        <f aca="false">C41-152000</f>
        <v>122850</v>
      </c>
      <c r="F41" s="348" t="n">
        <f aca="false">D41/$D$2</f>
        <v>91.2528358961432</v>
      </c>
      <c r="G41" s="179" t="n">
        <v>52</v>
      </c>
      <c r="H41" s="184" t="n">
        <v>2.2</v>
      </c>
      <c r="I41" s="179" t="n">
        <f aca="false">G41+H41</f>
        <v>54.2</v>
      </c>
      <c r="J41" s="183" t="n">
        <f aca="false">IF(L41&gt;0,L41,0)</f>
        <v>63.0528358961432</v>
      </c>
      <c r="K41" s="179" t="n">
        <f aca="false">I41+J41</f>
        <v>117.252835896143</v>
      </c>
      <c r="L41" s="179" t="n">
        <f aca="false">F41-(I41-AF41)</f>
        <v>63.0528358961432</v>
      </c>
      <c r="M41" s="326" t="n">
        <v>4</v>
      </c>
      <c r="N41" s="179" t="n">
        <v>0</v>
      </c>
      <c r="O41" s="179" t="n">
        <v>0</v>
      </c>
      <c r="P41" s="181" t="n">
        <v>0</v>
      </c>
      <c r="Q41" s="300" t="n">
        <f aca="false">1.52*1.02</f>
        <v>1.5504</v>
      </c>
      <c r="R41" s="300" t="n">
        <v>3.63</v>
      </c>
      <c r="S41" s="349" t="n">
        <v>0</v>
      </c>
      <c r="T41" s="104" t="n">
        <f aca="false">M41-(Q41+R41+S41)</f>
        <v>-1.1804</v>
      </c>
      <c r="U41" s="179" t="n">
        <v>0</v>
      </c>
      <c r="V41" s="179" t="n">
        <v>0</v>
      </c>
      <c r="W41" s="141" t="n">
        <f aca="false">M41-N41-O41-P41-Q41-R41-S41-T41+U41+V41</f>
        <v>0</v>
      </c>
      <c r="X41" s="180"/>
      <c r="Y41" s="180"/>
      <c r="Z41" s="180"/>
      <c r="AA41" s="179" t="n">
        <v>0</v>
      </c>
      <c r="AB41" s="284"/>
      <c r="AC41" s="285"/>
      <c r="AD41" s="179" t="n">
        <v>22</v>
      </c>
      <c r="AE41" s="180" t="n">
        <f aca="false">AE40-AD41</f>
        <v>1738</v>
      </c>
      <c r="AF41" s="10" t="n">
        <f aca="false">N41+O41+P41+Q41+R41+S41+T41+W41+AA41+AD41</f>
        <v>26</v>
      </c>
      <c r="AG41" s="179" t="n">
        <f aca="false">IF(L41&lt;0,L41*-1,0)</f>
        <v>0</v>
      </c>
      <c r="AH41" s="179" t="n">
        <f aca="false">AF41+AG41</f>
        <v>26</v>
      </c>
      <c r="AI41" s="252" t="n">
        <v>0</v>
      </c>
      <c r="AJ41" s="301" t="n">
        <v>40</v>
      </c>
      <c r="AK41" s="328" t="n">
        <v>14</v>
      </c>
      <c r="AL41" s="186" t="n">
        <f aca="false">AL40+(W41*1.9835)</f>
        <v>8822.236385</v>
      </c>
      <c r="AM41" s="186" t="n">
        <v>0</v>
      </c>
      <c r="AN41" s="322"/>
      <c r="AO41" s="336"/>
      <c r="AP41" s="323"/>
    </row>
    <row r="42" customFormat="false" ht="12.95" hidden="false" customHeight="true" outlineLevel="0" collapsed="false">
      <c r="A42" s="186" t="n">
        <v>31</v>
      </c>
      <c r="B42" s="329" t="n">
        <v>6897.66</v>
      </c>
      <c r="C42" s="180" t="n">
        <v>275031</v>
      </c>
      <c r="D42" s="185" t="n">
        <f aca="false">C42-C41</f>
        <v>181</v>
      </c>
      <c r="E42" s="180" t="n">
        <f aca="false">C42-152000</f>
        <v>123031</v>
      </c>
      <c r="F42" s="348" t="n">
        <f aca="false">D42/$D$2</f>
        <v>91.2528358961432</v>
      </c>
      <c r="G42" s="179" t="n">
        <v>45</v>
      </c>
      <c r="H42" s="184" t="n">
        <v>2.4</v>
      </c>
      <c r="I42" s="179" t="n">
        <f aca="false">G42+H42</f>
        <v>47.4</v>
      </c>
      <c r="J42" s="183" t="n">
        <f aca="false">IF(L42&gt;0,L42,0)</f>
        <v>69.8528358961432</v>
      </c>
      <c r="K42" s="179" t="n">
        <f aca="false">I42+J42</f>
        <v>117.252835896143</v>
      </c>
      <c r="L42" s="179" t="n">
        <f aca="false">F42-(I42-AF42)</f>
        <v>69.8528358961432</v>
      </c>
      <c r="M42" s="326" t="n">
        <v>4</v>
      </c>
      <c r="N42" s="179" t="n">
        <v>0</v>
      </c>
      <c r="O42" s="179" t="n">
        <v>0</v>
      </c>
      <c r="P42" s="181" t="n">
        <v>0</v>
      </c>
      <c r="Q42" s="300" t="n">
        <f aca="false">1.52*1.02</f>
        <v>1.5504</v>
      </c>
      <c r="R42" s="300" t="n">
        <v>2.59</v>
      </c>
      <c r="S42" s="349" t="n">
        <v>0</v>
      </c>
      <c r="T42" s="104" t="n">
        <f aca="false">M42-(Q42+R42+S42)</f>
        <v>-0.1404</v>
      </c>
      <c r="U42" s="179" t="n">
        <v>0</v>
      </c>
      <c r="V42" s="179" t="n">
        <v>0</v>
      </c>
      <c r="W42" s="141" t="n">
        <f aca="false">M42-N42-O42-P42-Q42-R42-S42-T42+U42+V42</f>
        <v>0</v>
      </c>
      <c r="X42" s="180"/>
      <c r="Y42" s="180"/>
      <c r="Z42" s="180"/>
      <c r="AA42" s="179" t="n">
        <v>0</v>
      </c>
      <c r="AB42" s="284"/>
      <c r="AC42" s="285"/>
      <c r="AD42" s="179" t="n">
        <v>22</v>
      </c>
      <c r="AE42" s="180" t="n">
        <f aca="false">AE41-AD42</f>
        <v>1716</v>
      </c>
      <c r="AF42" s="10" t="n">
        <f aca="false">N42+O42+P42+Q42+R42+S42+T42+W42+AA42+AD42</f>
        <v>26</v>
      </c>
      <c r="AG42" s="179" t="n">
        <f aca="false">IF(L42&lt;0,L42*-1,0)</f>
        <v>0</v>
      </c>
      <c r="AH42" s="179" t="n">
        <f aca="false">AF42+AG42</f>
        <v>26</v>
      </c>
      <c r="AI42" s="252" t="n">
        <v>0.31</v>
      </c>
      <c r="AJ42" s="301" t="n">
        <v>32</v>
      </c>
      <c r="AK42" s="328" t="n">
        <v>10</v>
      </c>
      <c r="AL42" s="186" t="n">
        <f aca="false">AL41+(W42*1.9835)</f>
        <v>8822.236385</v>
      </c>
      <c r="AM42" s="186" t="n">
        <v>0</v>
      </c>
      <c r="AN42" s="322"/>
      <c r="AO42" s="335"/>
      <c r="AP42" s="323"/>
    </row>
    <row r="43" customFormat="false" ht="3" hidden="false" customHeight="true" outlineLevel="0" collapsed="false">
      <c r="A43" s="270"/>
      <c r="B43" s="338"/>
      <c r="C43" s="338"/>
      <c r="D43" s="270"/>
      <c r="E43" s="338"/>
      <c r="F43" s="339"/>
      <c r="G43" s="338"/>
      <c r="H43" s="340"/>
      <c r="I43" s="270"/>
      <c r="J43" s="270"/>
      <c r="K43" s="270"/>
      <c r="L43" s="270"/>
      <c r="M43" s="338"/>
      <c r="N43" s="338"/>
      <c r="O43" s="270"/>
      <c r="P43" s="342"/>
      <c r="Q43" s="270"/>
      <c r="R43" s="270"/>
      <c r="S43" s="270"/>
      <c r="T43" s="343"/>
      <c r="U43" s="270"/>
      <c r="V43" s="270"/>
      <c r="W43" s="270"/>
      <c r="X43" s="338"/>
      <c r="Y43" s="338"/>
      <c r="Z43" s="338"/>
      <c r="AA43" s="270"/>
      <c r="AB43" s="276"/>
      <c r="AC43" s="279"/>
      <c r="AD43" s="279"/>
      <c r="AE43" s="270"/>
      <c r="AF43" s="270"/>
      <c r="AG43" s="270"/>
      <c r="AH43" s="270"/>
      <c r="AI43" s="344"/>
      <c r="AJ43" s="345"/>
      <c r="AK43" s="346"/>
      <c r="AL43" s="347"/>
      <c r="AM43" s="347"/>
      <c r="AN43" s="347"/>
      <c r="AO43" s="347"/>
      <c r="AP43" s="347"/>
      <c r="AQ43" s="347"/>
    </row>
    <row r="44" customFormat="false" ht="12.95" hidden="false" customHeight="true" outlineLevel="0" collapsed="false">
      <c r="A44" s="187" t="s">
        <v>77</v>
      </c>
      <c r="B44" s="324"/>
      <c r="C44" s="180"/>
      <c r="D44" s="180"/>
      <c r="E44" s="180"/>
      <c r="F44" s="325" t="n">
        <f aca="false">SUM(F12:F42)</f>
        <v>1384.92563650113</v>
      </c>
      <c r="G44" s="180" t="n">
        <f aca="false">SUM(G12:G42)</f>
        <v>1775</v>
      </c>
      <c r="H44" s="330" t="n">
        <f aca="false">SUM(H12:H42)</f>
        <v>39.09</v>
      </c>
      <c r="I44" s="180" t="n">
        <f aca="false">SUM(I12:I42)</f>
        <v>1814.09</v>
      </c>
      <c r="J44" s="180" t="n">
        <f aca="false">SUM(J12:J42)</f>
        <v>483.092876228888</v>
      </c>
      <c r="K44" s="180" t="n">
        <f aca="false">SUM(K12:K42)</f>
        <v>2297.18287622889</v>
      </c>
      <c r="L44" s="180" t="n">
        <f aca="false">SUM(L12:L42)</f>
        <v>377.935636501134</v>
      </c>
      <c r="M44" s="331" t="n">
        <f aca="false">SUM(M12:M42)</f>
        <v>121.1</v>
      </c>
      <c r="N44" s="180" t="n">
        <f aca="false">SUM(N12:N42)</f>
        <v>0</v>
      </c>
      <c r="O44" s="180" t="n">
        <f aca="false">SUM(O12:O42)</f>
        <v>0</v>
      </c>
      <c r="P44" s="181"/>
      <c r="Q44" s="180" t="n">
        <f aca="false">SUM(Q12:Q42)</f>
        <v>48.0624</v>
      </c>
      <c r="R44" s="180" t="n">
        <f aca="false">SUM(R12:R42)</f>
        <v>93.77</v>
      </c>
      <c r="S44" s="180" t="n">
        <f aca="false">SUM(S12:S42)</f>
        <v>0.16</v>
      </c>
      <c r="T44" s="327" t="n">
        <f aca="false">SUM(T12:T42)</f>
        <v>-20.8924</v>
      </c>
      <c r="U44" s="180" t="n">
        <f aca="false">SUM(U12:U42)</f>
        <v>0</v>
      </c>
      <c r="V44" s="180" t="n">
        <f aca="false">SUM(V12:V42)</f>
        <v>0</v>
      </c>
      <c r="W44" s="180" t="n">
        <f aca="false">SUM(W12:W42)</f>
        <v>0</v>
      </c>
      <c r="X44" s="180"/>
      <c r="Y44" s="180"/>
      <c r="Z44" s="180"/>
      <c r="AA44" s="180"/>
      <c r="AB44" s="259"/>
      <c r="AC44" s="262"/>
      <c r="AD44" s="180" t="n">
        <f aca="false">SUM(AD12:AD42)</f>
        <v>686</v>
      </c>
      <c r="AE44" s="180"/>
      <c r="AF44" s="180" t="n">
        <f aca="false">SUM(AF12:AF42)</f>
        <v>807.1</v>
      </c>
      <c r="AG44" s="180" t="n">
        <f aca="false">SUM(AG12:AG42)</f>
        <v>105.157239727754</v>
      </c>
      <c r="AH44" s="180" t="n">
        <f aca="false">SUM(AH12:AH42)</f>
        <v>912.257239727754</v>
      </c>
      <c r="AI44" s="252" t="n">
        <f aca="false">SUM(AI12:AI42)</f>
        <v>0.96</v>
      </c>
      <c r="AJ44" s="185" t="n">
        <f aca="false">AVERAGE(AJ12:AJ42)</f>
        <v>38.6774193548387</v>
      </c>
      <c r="AK44" s="328" t="n">
        <f aca="false">AVERAGE(AK12:AK42)</f>
        <v>14.258064516129</v>
      </c>
      <c r="AL44" s="186" t="s">
        <v>99</v>
      </c>
      <c r="AM44" s="243" t="n">
        <f aca="false">SUM(AM12:AM42)</f>
        <v>0</v>
      </c>
      <c r="AN44" s="322"/>
      <c r="AO44" s="335"/>
      <c r="AP44" s="323"/>
    </row>
    <row r="45" customFormat="false" ht="12.95" hidden="false" customHeight="true" outlineLevel="0" collapsed="false">
      <c r="A45" s="187" t="s">
        <v>79</v>
      </c>
      <c r="B45" s="324"/>
      <c r="C45" s="180"/>
      <c r="D45" s="180" t="n">
        <f aca="false">SUM(D12:D42)</f>
        <v>2747</v>
      </c>
      <c r="E45" s="180"/>
      <c r="F45" s="325" t="n">
        <f aca="false">F44*$D$2</f>
        <v>2747</v>
      </c>
      <c r="G45" s="180" t="n">
        <f aca="false">G44*$D$2</f>
        <v>3520.7125</v>
      </c>
      <c r="H45" s="330" t="n">
        <f aca="false">H44*$D$2</f>
        <v>77.535015</v>
      </c>
      <c r="I45" s="180" t="n">
        <f aca="false">I44*$D$2</f>
        <v>3598.247515</v>
      </c>
      <c r="J45" s="180" t="n">
        <f aca="false">J44*$D$2</f>
        <v>958.21472</v>
      </c>
      <c r="K45" s="180" t="n">
        <f aca="false">K44*$D$2</f>
        <v>4556.462235</v>
      </c>
      <c r="L45" s="180" t="n">
        <f aca="false">L44*$D$2</f>
        <v>749.635335</v>
      </c>
      <c r="M45" s="331" t="n">
        <f aca="false">M44*$D$2</f>
        <v>240.20185</v>
      </c>
      <c r="N45" s="180" t="n">
        <f aca="false">N44*$D$2</f>
        <v>0</v>
      </c>
      <c r="O45" s="180" t="n">
        <f aca="false">O44*$D$2</f>
        <v>0</v>
      </c>
      <c r="P45" s="181"/>
      <c r="Q45" s="180" t="n">
        <f aca="false">Q44*$D$2</f>
        <v>95.3317704</v>
      </c>
      <c r="R45" s="180" t="n">
        <f aca="false">R44*$D$2</f>
        <v>185.992795</v>
      </c>
      <c r="S45" s="180" t="n">
        <f aca="false">S44*$D$2</f>
        <v>0.31736</v>
      </c>
      <c r="T45" s="327" t="n">
        <f aca="false">T44*$D$2</f>
        <v>-41.4400754</v>
      </c>
      <c r="U45" s="180" t="n">
        <f aca="false">U44*$D$2</f>
        <v>0</v>
      </c>
      <c r="V45" s="180" t="n">
        <f aca="false">V44*$D$2</f>
        <v>0</v>
      </c>
      <c r="W45" s="180" t="n">
        <f aca="false">W44*$D$2</f>
        <v>0</v>
      </c>
      <c r="X45" s="180"/>
      <c r="Y45" s="180"/>
      <c r="Z45" s="180"/>
      <c r="AA45" s="180"/>
      <c r="AB45" s="259"/>
      <c r="AC45" s="262"/>
      <c r="AD45" s="180" t="n">
        <f aca="false">AD44*$D$2</f>
        <v>1360.681</v>
      </c>
      <c r="AE45" s="180"/>
      <c r="AF45" s="180" t="n">
        <f aca="false">AF44*$D$2</f>
        <v>1600.88285</v>
      </c>
      <c r="AG45" s="180" t="n">
        <f aca="false">AG44*$D$2</f>
        <v>208.579385</v>
      </c>
      <c r="AH45" s="180" t="n">
        <f aca="false">AH44*$D$2</f>
        <v>1809.462235</v>
      </c>
      <c r="AI45" s="252"/>
      <c r="AJ45" s="185" t="n">
        <f aca="false">MAX(AJ12:AJ42)</f>
        <v>48</v>
      </c>
      <c r="AK45" s="328" t="n">
        <f aca="false">MAX(AK12:AK42)</f>
        <v>32</v>
      </c>
      <c r="AL45" s="186" t="s">
        <v>80</v>
      </c>
      <c r="AM45" s="243" t="n">
        <f aca="false">AM44*$D$2</f>
        <v>0</v>
      </c>
      <c r="AN45" s="322"/>
      <c r="AO45" s="335"/>
      <c r="AP45" s="323"/>
    </row>
    <row r="46" customFormat="false" ht="3" hidden="false" customHeight="true" outlineLevel="0" collapsed="false">
      <c r="A46" s="290"/>
      <c r="B46" s="352"/>
      <c r="C46" s="338"/>
      <c r="D46" s="338"/>
      <c r="E46" s="338"/>
      <c r="F46" s="353"/>
      <c r="G46" s="338"/>
      <c r="H46" s="354"/>
      <c r="I46" s="338"/>
      <c r="J46" s="338"/>
      <c r="K46" s="338"/>
      <c r="L46" s="338"/>
      <c r="M46" s="355"/>
      <c r="N46" s="338"/>
      <c r="O46" s="338"/>
      <c r="P46" s="342"/>
      <c r="Q46" s="338"/>
      <c r="R46" s="338"/>
      <c r="S46" s="338"/>
      <c r="T46" s="343"/>
      <c r="U46" s="338"/>
      <c r="V46" s="338"/>
      <c r="W46" s="338"/>
      <c r="X46" s="338"/>
      <c r="Y46" s="338"/>
      <c r="Z46" s="338"/>
      <c r="AA46" s="338"/>
      <c r="AB46" s="292"/>
      <c r="AC46" s="293"/>
      <c r="AD46" s="338"/>
      <c r="AE46" s="270"/>
      <c r="AF46" s="338"/>
      <c r="AG46" s="338"/>
      <c r="AH46" s="338"/>
      <c r="AI46" s="356"/>
      <c r="AJ46" s="338"/>
      <c r="AK46" s="353"/>
      <c r="AL46" s="338"/>
      <c r="AM46" s="357"/>
      <c r="AN46" s="338"/>
      <c r="AO46" s="357"/>
      <c r="AP46" s="347"/>
      <c r="AQ46" s="347"/>
    </row>
    <row r="47" customFormat="false" ht="12.95" hidden="false" customHeight="true" outlineLevel="0" collapsed="false">
      <c r="A47" s="187" t="s">
        <v>81</v>
      </c>
      <c r="B47" s="324"/>
      <c r="C47" s="180"/>
      <c r="D47" s="180"/>
      <c r="E47" s="180"/>
      <c r="F47" s="325"/>
      <c r="G47" s="180"/>
      <c r="H47" s="330"/>
      <c r="I47" s="180"/>
      <c r="J47" s="180"/>
      <c r="K47" s="180"/>
      <c r="L47" s="180"/>
      <c r="M47" s="331"/>
      <c r="N47" s="180"/>
      <c r="O47" s="180"/>
      <c r="P47" s="181"/>
      <c r="Q47" s="180"/>
      <c r="R47" s="180"/>
      <c r="S47" s="180"/>
      <c r="T47" s="327"/>
      <c r="U47" s="180"/>
      <c r="V47" s="180"/>
      <c r="W47" s="180"/>
      <c r="X47" s="180"/>
      <c r="Y47" s="180"/>
      <c r="Z47" s="180"/>
      <c r="AA47" s="180"/>
      <c r="AB47" s="259"/>
      <c r="AC47" s="262"/>
      <c r="AD47" s="180"/>
      <c r="AE47" s="180"/>
      <c r="AF47" s="180"/>
      <c r="AG47" s="180"/>
      <c r="AH47" s="180"/>
      <c r="AI47" s="252"/>
      <c r="AJ47" s="185" t="n">
        <f aca="false">MIN(AJ12:AJ42)</f>
        <v>25</v>
      </c>
      <c r="AK47" s="328" t="n">
        <f aca="false">MIN(AK12:AK42)</f>
        <v>-3</v>
      </c>
      <c r="AL47" s="186" t="s">
        <v>82</v>
      </c>
      <c r="AM47" s="186"/>
      <c r="AN47" s="322"/>
      <c r="AO47" s="335"/>
      <c r="AP47" s="323"/>
    </row>
    <row r="48" customFormat="false" ht="12.95" hidden="false" customHeight="true" outlineLevel="0" collapsed="false">
      <c r="A48" s="187" t="s">
        <v>83</v>
      </c>
      <c r="B48" s="324"/>
      <c r="C48" s="180"/>
      <c r="D48" s="180"/>
      <c r="E48" s="180"/>
      <c r="F48" s="325"/>
      <c r="G48" s="180"/>
      <c r="H48" s="330"/>
      <c r="I48" s="180"/>
      <c r="J48" s="180"/>
      <c r="K48" s="180"/>
      <c r="L48" s="180"/>
      <c r="M48" s="331"/>
      <c r="N48" s="180"/>
      <c r="O48" s="180"/>
      <c r="P48" s="181"/>
      <c r="Q48" s="180"/>
      <c r="R48" s="180"/>
      <c r="S48" s="180"/>
      <c r="T48" s="327"/>
      <c r="U48" s="180"/>
      <c r="V48" s="180"/>
      <c r="W48" s="180"/>
      <c r="X48" s="180"/>
      <c r="Y48" s="180"/>
      <c r="Z48" s="180"/>
      <c r="AA48" s="180"/>
      <c r="AB48" s="259"/>
      <c r="AC48" s="262"/>
      <c r="AD48" s="180"/>
      <c r="AE48" s="180"/>
      <c r="AF48" s="180"/>
      <c r="AG48" s="180"/>
      <c r="AH48" s="180"/>
      <c r="AI48" s="252"/>
      <c r="AJ48" s="185"/>
      <c r="AK48" s="328"/>
      <c r="AL48" s="186"/>
      <c r="AM48" s="186"/>
      <c r="AN48" s="322"/>
      <c r="AO48" s="335"/>
      <c r="AP48" s="323"/>
    </row>
    <row r="49" customFormat="false" ht="3" hidden="false" customHeight="true" outlineLevel="0" collapsed="false">
      <c r="A49" s="290"/>
      <c r="B49" s="352"/>
      <c r="C49" s="338"/>
      <c r="D49" s="338"/>
      <c r="E49" s="338"/>
      <c r="F49" s="353"/>
      <c r="G49" s="338"/>
      <c r="H49" s="354"/>
      <c r="I49" s="338"/>
      <c r="J49" s="338"/>
      <c r="K49" s="338"/>
      <c r="L49" s="338"/>
      <c r="M49" s="355"/>
      <c r="N49" s="338"/>
      <c r="O49" s="338"/>
      <c r="P49" s="342"/>
      <c r="Q49" s="338"/>
      <c r="R49" s="338"/>
      <c r="S49" s="338"/>
      <c r="T49" s="343"/>
      <c r="U49" s="338"/>
      <c r="V49" s="338"/>
      <c r="W49" s="338"/>
      <c r="X49" s="338"/>
      <c r="Y49" s="338"/>
      <c r="Z49" s="338"/>
      <c r="AA49" s="338"/>
      <c r="AB49" s="292"/>
      <c r="AC49" s="293"/>
      <c r="AD49" s="338"/>
      <c r="AE49" s="338"/>
      <c r="AF49" s="338"/>
      <c r="AG49" s="338"/>
      <c r="AH49" s="338"/>
      <c r="AI49" s="344"/>
      <c r="AJ49" s="340"/>
      <c r="AK49" s="358"/>
      <c r="AL49" s="340"/>
      <c r="AM49" s="359"/>
      <c r="AN49" s="340"/>
      <c r="AO49" s="359"/>
      <c r="AP49" s="347"/>
      <c r="AQ49" s="347"/>
    </row>
    <row r="50" customFormat="false" ht="12.95" hidden="false" customHeight="true" outlineLevel="0" collapsed="false">
      <c r="A50" s="187" t="s">
        <v>84</v>
      </c>
      <c r="B50" s="324"/>
      <c r="C50" s="180"/>
      <c r="D50" s="180"/>
      <c r="E50" s="180"/>
      <c r="F50" s="325" t="n">
        <f aca="false">F10+F44</f>
        <v>2072.0947819511</v>
      </c>
      <c r="G50" s="180" t="n">
        <f aca="false">G10+G44</f>
        <v>9631</v>
      </c>
      <c r="H50" s="330" t="n">
        <f aca="false">H10+H44</f>
        <v>145.55</v>
      </c>
      <c r="I50" s="180" t="n">
        <f aca="false">I10+I44</f>
        <v>9776.55</v>
      </c>
      <c r="J50" s="180" t="n">
        <f aca="false">J10+J44</f>
        <v>899.962190572221</v>
      </c>
      <c r="K50" s="180" t="n">
        <f aca="false">K10+K44</f>
        <v>10676.5121905722</v>
      </c>
      <c r="L50" s="180" t="n">
        <f aca="false">L10+L44</f>
        <v>-312.655218048903</v>
      </c>
      <c r="M50" s="331" t="n">
        <f aca="false">M10+M44</f>
        <v>521.6</v>
      </c>
      <c r="N50" s="180" t="n">
        <f aca="false">N10+N44</f>
        <v>0</v>
      </c>
      <c r="O50" s="180" t="n">
        <f aca="false">O10+O44</f>
        <v>0</v>
      </c>
      <c r="P50" s="181"/>
      <c r="Q50" s="180" t="n">
        <f aca="false">Q10+Q44</f>
        <v>146.6964</v>
      </c>
      <c r="R50" s="180" t="n">
        <f aca="false">R10+R44</f>
        <v>247.253</v>
      </c>
      <c r="S50" s="180" t="n">
        <f aca="false">S10+S44</f>
        <v>0.16</v>
      </c>
      <c r="T50" s="327" t="n">
        <f aca="false">T10+T44</f>
        <v>-30.2868</v>
      </c>
      <c r="U50" s="180" t="n">
        <f aca="false">U10+U44</f>
        <v>4691</v>
      </c>
      <c r="V50" s="180" t="n">
        <f aca="false">V10+V44</f>
        <v>76.2</v>
      </c>
      <c r="W50" s="180" t="n">
        <f aca="false">W10+W44</f>
        <v>4447.81</v>
      </c>
      <c r="X50" s="180"/>
      <c r="Y50" s="180"/>
      <c r="Z50" s="180"/>
      <c r="AA50" s="180"/>
      <c r="AB50" s="259"/>
      <c r="AC50" s="262"/>
      <c r="AD50" s="180" t="n">
        <f aca="false">AD10+AD44</f>
        <v>2103</v>
      </c>
      <c r="AE50" s="180" t="n">
        <f aca="false">AE42</f>
        <v>1716</v>
      </c>
      <c r="AF50" s="180" t="n">
        <f aca="false">AF10+AF44</f>
        <v>7391.8</v>
      </c>
      <c r="AG50" s="180" t="n">
        <f aca="false">AG10+AG44</f>
        <v>1212.61740862112</v>
      </c>
      <c r="AH50" s="180" t="n">
        <f aca="false">AH10+AH44</f>
        <v>8604.41740862112</v>
      </c>
      <c r="AI50" s="252" t="n">
        <f aca="false">AI10+AI44</f>
        <v>2.42</v>
      </c>
      <c r="AJ50" s="185"/>
      <c r="AK50" s="328"/>
      <c r="AL50" s="186"/>
      <c r="AM50" s="243" t="n">
        <f aca="false">AM10+AM44</f>
        <v>0</v>
      </c>
      <c r="AN50" s="322"/>
      <c r="AO50" s="335"/>
      <c r="AP50" s="323"/>
    </row>
    <row r="51" customFormat="false" ht="12.95" hidden="false" customHeight="true" outlineLevel="0" collapsed="false">
      <c r="A51" s="187" t="s">
        <v>85</v>
      </c>
      <c r="B51" s="324"/>
      <c r="C51" s="180"/>
      <c r="D51" s="180" t="n">
        <f aca="false">D10+D45</f>
        <v>4110</v>
      </c>
      <c r="E51" s="180" t="n">
        <f aca="false">E42</f>
        <v>123031</v>
      </c>
      <c r="F51" s="325" t="n">
        <f aca="false">F50*$D$2</f>
        <v>4110</v>
      </c>
      <c r="G51" s="180" t="n">
        <f aca="false">G50*$D$2</f>
        <v>19103.0885</v>
      </c>
      <c r="H51" s="330" t="n">
        <f aca="false">H50*$D$2</f>
        <v>288.698425</v>
      </c>
      <c r="I51" s="180" t="n">
        <f aca="false">I50*$D$2</f>
        <v>19391.786925</v>
      </c>
      <c r="J51" s="180" t="n">
        <f aca="false">J50*$D$2</f>
        <v>1785.075005</v>
      </c>
      <c r="K51" s="180" t="n">
        <f aca="false">K50*$D$2</f>
        <v>21176.86193</v>
      </c>
      <c r="L51" s="180" t="n">
        <f aca="false">L50*$D$2</f>
        <v>-620.151625</v>
      </c>
      <c r="M51" s="331" t="n">
        <f aca="false">M50*$D$2</f>
        <v>1034.5936</v>
      </c>
      <c r="N51" s="180" t="n">
        <f aca="false">N50*$D$2</f>
        <v>0</v>
      </c>
      <c r="O51" s="180" t="n">
        <f aca="false">O50*$D$2</f>
        <v>0</v>
      </c>
      <c r="P51" s="181"/>
      <c r="Q51" s="180" t="n">
        <f aca="false">Q50*$D$2</f>
        <v>290.9723094</v>
      </c>
      <c r="R51" s="180" t="n">
        <f aca="false">R50*$D$2</f>
        <v>490.4263255</v>
      </c>
      <c r="S51" s="180" t="n">
        <f aca="false">S50*$D$2</f>
        <v>0.31736</v>
      </c>
      <c r="T51" s="327" t="n">
        <f aca="false">T50*$D$2</f>
        <v>-60.0738678</v>
      </c>
      <c r="U51" s="180" t="n">
        <f aca="false">U50*$D$2</f>
        <v>9304.5985</v>
      </c>
      <c r="V51" s="180" t="n">
        <f aca="false">V50*$D$2</f>
        <v>151.1427</v>
      </c>
      <c r="W51" s="180" t="n">
        <f aca="false">W50*$D$2</f>
        <v>8822.231135</v>
      </c>
      <c r="X51" s="180"/>
      <c r="Y51" s="180"/>
      <c r="Z51" s="180"/>
      <c r="AA51" s="180"/>
      <c r="AB51" s="297"/>
      <c r="AC51" s="298"/>
      <c r="AD51" s="180" t="n">
        <f aca="false">AD50*$D$2</f>
        <v>4171.3005</v>
      </c>
      <c r="AE51" s="180" t="n">
        <f aca="false">AE50*$D$2</f>
        <v>3403.686</v>
      </c>
      <c r="AF51" s="180" t="n">
        <f aca="false">AF50*$D$2</f>
        <v>14661.6353</v>
      </c>
      <c r="AG51" s="180" t="n">
        <f aca="false">AG50*$D$2</f>
        <v>2405.22663</v>
      </c>
      <c r="AH51" s="180" t="n">
        <f aca="false">AH50*$D$2</f>
        <v>17066.86193</v>
      </c>
      <c r="AI51" s="252"/>
      <c r="AJ51" s="185"/>
      <c r="AK51" s="328"/>
      <c r="AL51" s="186" t="n">
        <f aca="false">AL42</f>
        <v>8822.236385</v>
      </c>
      <c r="AM51" s="243" t="n">
        <f aca="false">AM50*$D$2</f>
        <v>0</v>
      </c>
      <c r="AN51" s="322"/>
      <c r="AO51" s="335"/>
      <c r="AP51" s="323"/>
    </row>
    <row r="52" customFormat="false" ht="3" hidden="false" customHeight="true" outlineLevel="0" collapsed="false">
      <c r="A52" s="270"/>
      <c r="B52" s="352"/>
      <c r="C52" s="338"/>
      <c r="D52" s="270"/>
      <c r="E52" s="338"/>
      <c r="F52" s="339"/>
      <c r="G52" s="270"/>
      <c r="H52" s="340"/>
      <c r="I52" s="270"/>
      <c r="J52" s="270"/>
      <c r="K52" s="270"/>
      <c r="L52" s="270"/>
      <c r="M52" s="341"/>
      <c r="N52" s="270"/>
      <c r="O52" s="270"/>
      <c r="P52" s="342"/>
      <c r="Q52" s="270"/>
      <c r="R52" s="270"/>
      <c r="S52" s="270"/>
      <c r="T52" s="343"/>
      <c r="U52" s="270"/>
      <c r="V52" s="270"/>
      <c r="W52" s="270"/>
      <c r="X52" s="338"/>
      <c r="Y52" s="338"/>
      <c r="Z52" s="338"/>
      <c r="AA52" s="270"/>
      <c r="AB52" s="276"/>
      <c r="AC52" s="279"/>
      <c r="AD52" s="270"/>
      <c r="AE52" s="338"/>
      <c r="AF52" s="270"/>
      <c r="AG52" s="270"/>
      <c r="AH52" s="270"/>
      <c r="AI52" s="352"/>
      <c r="AJ52" s="270"/>
      <c r="AK52" s="339"/>
      <c r="AL52" s="270"/>
      <c r="AM52" s="360"/>
      <c r="AN52" s="270"/>
      <c r="AO52" s="360"/>
      <c r="AP52" s="347"/>
      <c r="AQ52" s="347"/>
    </row>
    <row r="53" customFormat="false" ht="11.1" hidden="false" customHeight="true" outlineLevel="0" collapsed="false">
      <c r="A53" s="179"/>
      <c r="B53" s="299"/>
      <c r="C53" s="180"/>
      <c r="D53" s="179"/>
      <c r="E53" s="180"/>
      <c r="F53" s="179"/>
      <c r="G53" s="179"/>
      <c r="H53" s="184"/>
      <c r="I53" s="179"/>
      <c r="J53" s="179"/>
      <c r="K53" s="179"/>
      <c r="L53" s="179"/>
      <c r="M53" s="305"/>
      <c r="N53" s="179"/>
      <c r="O53" s="179"/>
      <c r="P53" s="181"/>
      <c r="Q53" s="179"/>
      <c r="R53" s="179"/>
      <c r="S53" s="179"/>
      <c r="T53" s="181"/>
      <c r="U53" s="179"/>
      <c r="V53" s="179"/>
      <c r="W53" s="179"/>
      <c r="X53" s="180"/>
      <c r="Y53" s="180"/>
      <c r="Z53" s="180"/>
      <c r="AA53" s="179"/>
      <c r="AB53" s="179"/>
      <c r="AC53" s="179"/>
      <c r="AD53" s="179"/>
      <c r="AE53" s="180"/>
      <c r="AF53" s="179"/>
      <c r="AG53" s="179"/>
      <c r="AH53" s="179"/>
      <c r="AI53" s="184"/>
      <c r="AJ53" s="185"/>
      <c r="AK53" s="185"/>
      <c r="AL53" s="186"/>
      <c r="AM53" s="186"/>
      <c r="AN53" s="306"/>
      <c r="AO53" s="307"/>
    </row>
    <row r="54" customFormat="false" ht="11.1" hidden="false" customHeight="true" outlineLevel="0" collapsed="false">
      <c r="A54" s="179"/>
      <c r="B54" s="300"/>
      <c r="C54" s="180"/>
      <c r="D54" s="301"/>
      <c r="E54" s="180"/>
      <c r="F54" s="179"/>
      <c r="G54" s="179"/>
      <c r="H54" s="184"/>
      <c r="I54" s="302"/>
      <c r="J54" s="179"/>
      <c r="K54" s="169"/>
      <c r="L54" s="179"/>
      <c r="M54" s="305"/>
      <c r="N54" s="179"/>
      <c r="O54" s="179"/>
      <c r="P54" s="181"/>
      <c r="Q54" s="179"/>
      <c r="R54" s="179"/>
      <c r="S54" s="179"/>
      <c r="T54" s="181"/>
      <c r="U54" s="179"/>
      <c r="V54" s="179"/>
      <c r="W54" s="179"/>
      <c r="X54" s="180"/>
      <c r="Y54" s="180"/>
      <c r="Z54" s="180"/>
      <c r="AA54" s="179"/>
      <c r="AB54" s="179"/>
      <c r="AC54" s="179"/>
      <c r="AD54" s="179"/>
      <c r="AE54" s="180"/>
      <c r="AF54" s="179"/>
      <c r="AG54" s="179"/>
      <c r="AH54" s="179"/>
      <c r="AI54" s="184"/>
      <c r="AJ54" s="185"/>
      <c r="AK54" s="185"/>
      <c r="AL54" s="186"/>
      <c r="AM54" s="186"/>
      <c r="AN54" s="306"/>
      <c r="AO54" s="307"/>
    </row>
    <row r="55" customFormat="false" ht="11.1" hidden="false" customHeight="true" outlineLevel="0" collapsed="false">
      <c r="A55" s="301"/>
      <c r="B55" s="301"/>
      <c r="C55" s="180"/>
      <c r="D55" s="180"/>
      <c r="E55" s="180"/>
      <c r="F55" s="301"/>
      <c r="G55" s="301"/>
      <c r="H55" s="184"/>
      <c r="I55" s="301"/>
      <c r="J55" s="301"/>
      <c r="K55" s="301"/>
      <c r="L55" s="301"/>
      <c r="M55" s="305"/>
      <c r="N55" s="183"/>
      <c r="O55" s="183"/>
      <c r="P55" s="181"/>
      <c r="Q55" s="183"/>
      <c r="R55" s="183"/>
      <c r="S55" s="183"/>
      <c r="T55" s="181"/>
      <c r="U55" s="301"/>
      <c r="V55" s="301"/>
      <c r="W55" s="301"/>
      <c r="X55" s="180"/>
      <c r="Y55" s="180"/>
      <c r="Z55" s="180"/>
      <c r="AA55" s="301"/>
      <c r="AB55" s="301"/>
      <c r="AC55" s="301"/>
      <c r="AD55" s="301"/>
      <c r="AE55" s="180"/>
      <c r="AF55" s="301"/>
      <c r="AG55" s="301"/>
      <c r="AH55" s="301"/>
      <c r="AI55" s="184"/>
      <c r="AJ55" s="185"/>
      <c r="AK55" s="185"/>
      <c r="AL55" s="186"/>
      <c r="AM55" s="186"/>
      <c r="AN55" s="361"/>
      <c r="AO55" s="362"/>
    </row>
    <row r="56" customFormat="false" ht="11.1" hidden="false" customHeight="true" outlineLevel="0" collapsed="false">
      <c r="A56" s="301"/>
      <c r="B56" s="181"/>
      <c r="C56" s="180"/>
      <c r="D56" s="180"/>
      <c r="E56" s="180"/>
      <c r="F56" s="301"/>
      <c r="G56" s="301"/>
      <c r="H56" s="184"/>
      <c r="I56" s="301"/>
      <c r="J56" s="301"/>
      <c r="K56" s="301"/>
      <c r="L56" s="301"/>
      <c r="M56" s="305"/>
      <c r="N56" s="183"/>
      <c r="O56" s="183"/>
      <c r="P56" s="181"/>
      <c r="Q56" s="183"/>
      <c r="R56" s="183"/>
      <c r="S56" s="301"/>
      <c r="T56" s="181"/>
      <c r="U56" s="301"/>
      <c r="V56" s="301"/>
      <c r="W56" s="180"/>
      <c r="X56" s="301"/>
      <c r="Y56" s="301"/>
      <c r="Z56" s="301"/>
      <c r="AA56" s="301"/>
      <c r="AB56" s="301"/>
      <c r="AC56" s="301"/>
      <c r="AD56" s="180"/>
      <c r="AE56" s="301"/>
      <c r="AF56" s="301"/>
      <c r="AG56" s="301"/>
      <c r="AH56" s="181"/>
      <c r="AI56" s="184"/>
      <c r="AJ56" s="185"/>
      <c r="AK56" s="186"/>
      <c r="AL56" s="361"/>
      <c r="AM56" s="362"/>
      <c r="AN56" s="361"/>
    </row>
    <row r="57" customFormat="false" ht="11.1" hidden="false" customHeight="true" outlineLevel="0" collapsed="false">
      <c r="A57" s="301"/>
      <c r="B57" s="301"/>
      <c r="C57" s="180"/>
      <c r="D57" s="301"/>
      <c r="E57" s="180"/>
      <c r="F57" s="301"/>
      <c r="G57" s="303"/>
      <c r="H57" s="184"/>
      <c r="I57" s="301"/>
      <c r="J57" s="301"/>
      <c r="K57" s="301"/>
      <c r="L57" s="301"/>
      <c r="M57" s="305"/>
      <c r="N57" s="183"/>
      <c r="O57" s="183"/>
      <c r="P57" s="181"/>
      <c r="Q57" s="183"/>
      <c r="R57" s="183"/>
      <c r="S57" s="301"/>
      <c r="T57" s="181"/>
      <c r="U57" s="301"/>
      <c r="V57" s="301"/>
      <c r="W57" s="180"/>
      <c r="X57" s="301"/>
      <c r="Y57" s="301"/>
      <c r="Z57" s="301"/>
      <c r="AA57" s="301"/>
      <c r="AB57" s="301"/>
      <c r="AC57" s="301"/>
      <c r="AD57" s="180"/>
      <c r="AE57" s="301"/>
      <c r="AF57" s="301"/>
      <c r="AG57" s="301"/>
      <c r="AH57" s="181"/>
      <c r="AI57" s="184"/>
      <c r="AJ57" s="185"/>
      <c r="AK57" s="186"/>
      <c r="AL57" s="361"/>
      <c r="AM57" s="362"/>
      <c r="AN57" s="361"/>
    </row>
    <row r="58" customFormat="false" ht="11.1" hidden="false" customHeight="true" outlineLevel="0" collapsed="false">
      <c r="A58" s="0"/>
      <c r="B58" s="0"/>
      <c r="C58" s="1"/>
      <c r="D58" s="0"/>
      <c r="E58" s="1"/>
      <c r="F58" s="0"/>
      <c r="G58" s="0"/>
      <c r="H58" s="2"/>
      <c r="I58" s="0"/>
      <c r="J58" s="0"/>
      <c r="K58" s="0"/>
      <c r="L58" s="0"/>
      <c r="M58" s="3"/>
      <c r="N58" s="3"/>
      <c r="O58" s="3"/>
      <c r="P58" s="4"/>
      <c r="Q58" s="3"/>
      <c r="R58" s="3"/>
      <c r="S58" s="0"/>
      <c r="T58" s="4"/>
      <c r="U58" s="0"/>
      <c r="V58" s="0"/>
      <c r="W58" s="1"/>
      <c r="X58" s="0"/>
      <c r="Y58" s="0"/>
      <c r="Z58" s="0"/>
      <c r="AA58" s="0"/>
      <c r="AB58" s="0"/>
      <c r="AC58" s="0"/>
      <c r="AD58" s="1"/>
      <c r="AE58" s="0"/>
      <c r="AF58" s="0"/>
      <c r="AG58" s="0"/>
      <c r="AH58" s="2"/>
      <c r="AI58" s="2"/>
      <c r="AJ58" s="6"/>
      <c r="AK58" s="7"/>
      <c r="AL58" s="0"/>
      <c r="AM58" s="5"/>
      <c r="AN58" s="0"/>
      <c r="AO58" s="8"/>
      <c r="AP58" s="0"/>
    </row>
    <row r="59" customFormat="false" ht="11.1" hidden="false" customHeight="true" outlineLevel="0" collapsed="false">
      <c r="A59" s="0"/>
      <c r="B59" s="0"/>
      <c r="C59" s="1"/>
      <c r="D59" s="0"/>
      <c r="E59" s="1"/>
      <c r="F59" s="0"/>
      <c r="G59" s="0"/>
      <c r="H59" s="2"/>
      <c r="I59" s="0"/>
      <c r="J59" s="0"/>
      <c r="K59" s="0"/>
      <c r="L59" s="0"/>
      <c r="M59" s="3"/>
      <c r="N59" s="3"/>
      <c r="O59" s="3"/>
      <c r="P59" s="4"/>
      <c r="Q59" s="3"/>
      <c r="R59" s="3"/>
      <c r="S59" s="0"/>
      <c r="T59" s="4"/>
      <c r="U59" s="0"/>
      <c r="V59" s="0"/>
      <c r="W59" s="1"/>
      <c r="X59" s="0"/>
      <c r="Y59" s="0"/>
      <c r="Z59" s="0"/>
      <c r="AA59" s="0"/>
      <c r="AB59" s="0"/>
      <c r="AC59" s="0"/>
      <c r="AD59" s="1"/>
      <c r="AE59" s="0"/>
      <c r="AF59" s="0"/>
      <c r="AG59" s="0"/>
      <c r="AH59" s="2"/>
      <c r="AI59" s="2"/>
      <c r="AJ59" s="6"/>
      <c r="AK59" s="7"/>
      <c r="AL59" s="0"/>
      <c r="AM59" s="5"/>
      <c r="AN59" s="0"/>
      <c r="AO59" s="8"/>
      <c r="AP59" s="0"/>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7"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1" man="true" max="16383" min="0"/>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23" activePane="bottomRight" state="frozen"/>
      <selection pane="topLeft" activeCell="A1" activeCellId="0" sqref="A1"/>
      <selection pane="topRight" activeCell="B1" activeCellId="0" sqref="B1"/>
      <selection pane="bottomLeft" activeCell="A23" activeCellId="0" sqref="A23"/>
      <selection pane="bottomRight" activeCell="AD40" activeCellId="0" sqref="AD40"/>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304" width="5.66"/>
    <col collapsed="false" customWidth="true" hidden="false" outlineLevel="0" max="11" min="9" style="171" width="6.32"/>
    <col collapsed="false" customWidth="true" hidden="false" outlineLevel="0" max="12" min="12" style="171" width="7.16"/>
    <col collapsed="false" customWidth="true" hidden="false" outlineLevel="0" max="13" min="13" style="174" width="5.49"/>
    <col collapsed="false" customWidth="true" hidden="false" outlineLevel="0" max="14" min="14" style="174" width="4.49"/>
    <col collapsed="false" customWidth="true" hidden="false" outlineLevel="0" max="15" min="15" style="174" width="5.49"/>
    <col collapsed="false" customWidth="true" hidden="false" outlineLevel="0" max="16" min="16" style="173" width="4.82"/>
    <col collapsed="false" customWidth="true" hidden="false" outlineLevel="0" max="18" min="17" style="174" width="4.32"/>
    <col collapsed="false" customWidth="true" hidden="false" outlineLevel="0" max="19" min="19" style="173" width="4.32"/>
    <col collapsed="false" customWidth="true" hidden="false" outlineLevel="0" max="20" min="20" style="173" width="5.49"/>
    <col collapsed="false" customWidth="true" hidden="false" outlineLevel="0" max="22" min="21" style="171" width="5.49"/>
    <col collapsed="false" customWidth="true" hidden="false" outlineLevel="0" max="23" min="23" style="172" width="6.32"/>
    <col collapsed="false" customWidth="true" hidden="false" outlineLevel="0" max="29" min="24" style="171" width="5.49"/>
    <col collapsed="false" customWidth="true" hidden="false" outlineLevel="0" max="30" min="30" style="172" width="6.32"/>
    <col collapsed="false" customWidth="true" hidden="false" outlineLevel="0" max="31" min="31" style="171" width="5.49"/>
    <col collapsed="false" customWidth="true" hidden="false" outlineLevel="0" max="32" min="32" style="171" width="6.32"/>
    <col collapsed="false" customWidth="true" hidden="false" outlineLevel="0" max="33" min="33" style="171" width="6.99"/>
    <col collapsed="false" customWidth="true" hidden="false" outlineLevel="0" max="34" min="34" style="173" width="6.99"/>
    <col collapsed="false" customWidth="true" hidden="false" outlineLevel="0" max="35" min="35" style="175" width="5.32"/>
    <col collapsed="false" customWidth="true" hidden="false" outlineLevel="0" max="36" min="36" style="176" width="3.82"/>
    <col collapsed="false" customWidth="true" hidden="false" outlineLevel="0" max="37" min="37" style="177" width="3.82"/>
    <col collapsed="false" customWidth="true" hidden="false" outlineLevel="0" max="39" min="38" style="176" width="5.49"/>
    <col collapsed="false" customWidth="true" hidden="false" outlineLevel="0" max="40" min="40" style="171" width="6.32"/>
    <col collapsed="false" customWidth="true" hidden="false" outlineLevel="0" max="41" min="41" style="178" width="6.32"/>
    <col collapsed="false" customWidth="true" hidden="false" outlineLevel="0" max="42" min="42" style="240" width="6.32"/>
    <col collapsed="false" customWidth="true" hidden="false" outlineLevel="0" max="43" min="43" style="171" width="6.49"/>
    <col collapsed="false" customWidth="false" hidden="false" outlineLevel="0" max="257" min="44" style="171" width="9.32"/>
  </cols>
  <sheetData>
    <row r="1" customFormat="false" ht="14.1" hidden="false" customHeight="true" outlineLevel="0" collapsed="false">
      <c r="A1" s="179" t="s">
        <v>94</v>
      </c>
      <c r="B1" s="179"/>
      <c r="C1" s="180"/>
      <c r="D1" s="179"/>
      <c r="E1" s="180"/>
      <c r="F1" s="179"/>
      <c r="G1" s="179"/>
      <c r="H1" s="305"/>
      <c r="I1" s="179"/>
      <c r="J1" s="179"/>
      <c r="K1" s="182" t="s">
        <v>0</v>
      </c>
      <c r="L1" s="179"/>
      <c r="M1" s="179"/>
      <c r="N1" s="179"/>
      <c r="O1" s="179"/>
      <c r="P1" s="181"/>
      <c r="Q1" s="179"/>
      <c r="R1" s="179"/>
      <c r="S1" s="181"/>
      <c r="T1" s="181"/>
      <c r="U1" s="179"/>
      <c r="V1" s="179"/>
      <c r="W1" s="180"/>
      <c r="X1" s="179"/>
      <c r="Y1" s="179"/>
      <c r="Z1" s="179"/>
      <c r="AA1" s="179"/>
      <c r="AB1" s="179"/>
      <c r="AC1" s="179"/>
      <c r="AD1" s="180"/>
      <c r="AE1" s="179"/>
      <c r="AF1" s="179"/>
      <c r="AG1" s="179"/>
      <c r="AH1" s="181"/>
      <c r="AI1" s="184"/>
      <c r="AJ1" s="185"/>
      <c r="AK1" s="186"/>
      <c r="AL1" s="363"/>
      <c r="AM1" s="363"/>
      <c r="AN1" s="306"/>
    </row>
    <row r="2" customFormat="false" ht="14.1" hidden="false" customHeight="true" outlineLevel="0" collapsed="false">
      <c r="A2" s="187" t="s">
        <v>1</v>
      </c>
      <c r="B2" s="179"/>
      <c r="C2" s="180"/>
      <c r="D2" s="188" t="n">
        <v>1.9835</v>
      </c>
      <c r="E2" s="180"/>
      <c r="F2" s="179"/>
      <c r="G2" s="179"/>
      <c r="H2" s="305"/>
      <c r="I2" s="179"/>
      <c r="J2" s="179"/>
      <c r="K2" s="189" t="s">
        <v>100</v>
      </c>
      <c r="L2" s="189"/>
      <c r="M2" s="189"/>
      <c r="N2" s="189"/>
      <c r="O2" s="189"/>
      <c r="P2" s="189"/>
      <c r="Q2" s="189"/>
      <c r="R2" s="189"/>
      <c r="S2" s="189"/>
      <c r="T2" s="189"/>
      <c r="U2" s="189"/>
      <c r="V2" s="189"/>
      <c r="W2" s="189"/>
      <c r="X2" s="189"/>
      <c r="Y2" s="189"/>
      <c r="Z2" s="189"/>
      <c r="AA2" s="179"/>
      <c r="AB2" s="179"/>
      <c r="AC2" s="179"/>
      <c r="AD2" s="180"/>
      <c r="AE2" s="179"/>
      <c r="AF2" s="179"/>
      <c r="AG2" s="179"/>
      <c r="AH2" s="181"/>
      <c r="AI2" s="184"/>
      <c r="AJ2" s="185"/>
      <c r="AK2" s="186"/>
      <c r="AL2" s="363"/>
      <c r="AM2" s="363"/>
      <c r="AN2" s="306"/>
    </row>
    <row r="3" customFormat="false" ht="14.1" hidden="false" customHeight="true" outlineLevel="0" collapsed="false">
      <c r="A3" s="190"/>
      <c r="B3" s="190"/>
      <c r="C3" s="191"/>
      <c r="D3" s="192"/>
      <c r="E3" s="191"/>
      <c r="F3" s="190"/>
      <c r="G3" s="190"/>
      <c r="H3" s="308"/>
      <c r="I3" s="190"/>
      <c r="J3" s="190"/>
      <c r="K3" s="190"/>
      <c r="L3" s="190"/>
      <c r="M3" s="190"/>
      <c r="N3" s="190"/>
      <c r="O3" s="190"/>
      <c r="P3" s="193"/>
      <c r="Q3" s="190"/>
      <c r="R3" s="190"/>
      <c r="S3" s="193"/>
      <c r="T3" s="193"/>
      <c r="U3" s="190"/>
      <c r="V3" s="190"/>
      <c r="W3" s="191"/>
      <c r="X3" s="190"/>
      <c r="Y3" s="190"/>
      <c r="Z3" s="190"/>
      <c r="AA3" s="190"/>
      <c r="AB3" s="190"/>
      <c r="AC3" s="190"/>
      <c r="AD3" s="191"/>
      <c r="AE3" s="190"/>
      <c r="AF3" s="190"/>
      <c r="AG3" s="190"/>
      <c r="AH3" s="193"/>
      <c r="AI3" s="195"/>
      <c r="AJ3" s="196"/>
      <c r="AK3" s="197"/>
      <c r="AL3" s="364"/>
      <c r="AM3" s="364"/>
      <c r="AN3" s="309"/>
      <c r="AO3" s="200"/>
    </row>
    <row r="4" s="213" customFormat="true" ht="14.1" hidden="false" customHeight="true" outlineLevel="0" collapsed="false">
      <c r="A4" s="201"/>
      <c r="B4" s="202"/>
      <c r="C4" s="203"/>
      <c r="D4" s="311" t="s">
        <v>3</v>
      </c>
      <c r="E4" s="203"/>
      <c r="F4" s="205"/>
      <c r="G4" s="201"/>
      <c r="H4" s="313"/>
      <c r="I4" s="201"/>
      <c r="J4" s="201"/>
      <c r="K4" s="201"/>
      <c r="L4" s="201"/>
      <c r="M4" s="201"/>
      <c r="N4" s="201"/>
      <c r="O4" s="201"/>
      <c r="P4" s="206"/>
      <c r="Q4" s="201"/>
      <c r="R4" s="201"/>
      <c r="S4" s="206"/>
      <c r="T4" s="206"/>
      <c r="U4" s="207" t="s">
        <v>4</v>
      </c>
      <c r="V4" s="201"/>
      <c r="W4" s="208"/>
      <c r="X4" s="201"/>
      <c r="Y4" s="201"/>
      <c r="Z4" s="201"/>
      <c r="AA4" s="201"/>
      <c r="AB4" s="201"/>
      <c r="AC4" s="201"/>
      <c r="AD4" s="208"/>
      <c r="AE4" s="201"/>
      <c r="AF4" s="201"/>
      <c r="AG4" s="201"/>
      <c r="AH4" s="206"/>
      <c r="AI4" s="210"/>
      <c r="AJ4" s="211" t="s">
        <v>5</v>
      </c>
      <c r="AK4" s="212"/>
      <c r="AL4" s="365"/>
      <c r="AM4" s="365"/>
      <c r="AN4" s="207" t="s">
        <v>6</v>
      </c>
      <c r="AO4" s="215"/>
      <c r="AP4" s="216"/>
      <c r="AQ4" s="217"/>
    </row>
    <row r="5" customFormat="false" ht="12.95" hidden="false" customHeight="true" outlineLevel="0" collapsed="false">
      <c r="A5" s="218" t="s">
        <v>7</v>
      </c>
      <c r="B5" s="219" t="s">
        <v>8</v>
      </c>
      <c r="C5" s="220" t="s">
        <v>8</v>
      </c>
      <c r="D5" s="218" t="s">
        <v>9</v>
      </c>
      <c r="E5" s="220" t="s">
        <v>10</v>
      </c>
      <c r="F5" s="221" t="s">
        <v>11</v>
      </c>
      <c r="G5" s="218" t="s">
        <v>12</v>
      </c>
      <c r="H5" s="366" t="s">
        <v>13</v>
      </c>
      <c r="I5" s="218" t="s">
        <v>14</v>
      </c>
      <c r="J5" s="218" t="s">
        <v>15</v>
      </c>
      <c r="K5" s="218" t="s">
        <v>16</v>
      </c>
      <c r="L5" s="218" t="s">
        <v>15</v>
      </c>
      <c r="M5" s="223" t="s">
        <v>17</v>
      </c>
      <c r="N5" s="223"/>
      <c r="O5" s="223"/>
      <c r="P5" s="223"/>
      <c r="Q5" s="223"/>
      <c r="R5" s="223"/>
      <c r="S5" s="223"/>
      <c r="T5" s="223"/>
      <c r="U5" s="248" t="s">
        <v>18</v>
      </c>
      <c r="V5" s="248" t="s">
        <v>19</v>
      </c>
      <c r="W5" s="248" t="s">
        <v>16</v>
      </c>
      <c r="X5" s="244" t="s">
        <v>20</v>
      </c>
      <c r="Y5" s="244" t="s">
        <v>21</v>
      </c>
      <c r="Z5" s="244" t="s">
        <v>20</v>
      </c>
      <c r="AA5" s="248" t="s">
        <v>22</v>
      </c>
      <c r="AB5" s="225" t="s">
        <v>96</v>
      </c>
      <c r="AC5" s="226"/>
      <c r="AD5" s="248" t="s">
        <v>24</v>
      </c>
      <c r="AE5" s="244" t="s">
        <v>25</v>
      </c>
      <c r="AF5" s="248" t="s">
        <v>14</v>
      </c>
      <c r="AG5" s="248" t="s">
        <v>15</v>
      </c>
      <c r="AH5" s="248" t="s">
        <v>16</v>
      </c>
      <c r="AI5" s="367" t="s">
        <v>26</v>
      </c>
      <c r="AJ5" s="238" t="s">
        <v>27</v>
      </c>
      <c r="AK5" s="368" t="s">
        <v>28</v>
      </c>
      <c r="AL5" s="238" t="s">
        <v>88</v>
      </c>
      <c r="AM5" s="238" t="s">
        <v>20</v>
      </c>
      <c r="AN5" s="248" t="s">
        <v>20</v>
      </c>
      <c r="AO5" s="248" t="s">
        <v>20</v>
      </c>
      <c r="AP5" s="231" t="s">
        <v>30</v>
      </c>
      <c r="AQ5" s="240" t="s">
        <v>31</v>
      </c>
    </row>
    <row r="6" customFormat="false" ht="12.95" hidden="false" customHeight="true" outlineLevel="0" collapsed="false">
      <c r="A6" s="233" t="s">
        <v>101</v>
      </c>
      <c r="B6" s="219" t="s">
        <v>33</v>
      </c>
      <c r="C6" s="220" t="s">
        <v>9</v>
      </c>
      <c r="D6" s="218" t="s">
        <v>34</v>
      </c>
      <c r="E6" s="220" t="s">
        <v>35</v>
      </c>
      <c r="F6" s="221" t="s">
        <v>36</v>
      </c>
      <c r="G6" s="218" t="s">
        <v>37</v>
      </c>
      <c r="H6" s="366" t="s">
        <v>38</v>
      </c>
      <c r="I6" s="218" t="s">
        <v>39</v>
      </c>
      <c r="J6" s="218" t="s">
        <v>39</v>
      </c>
      <c r="K6" s="218" t="s">
        <v>39</v>
      </c>
      <c r="L6" s="218" t="s">
        <v>40</v>
      </c>
      <c r="M6" s="234" t="s">
        <v>41</v>
      </c>
      <c r="N6" s="218" t="s">
        <v>42</v>
      </c>
      <c r="O6" s="218" t="s">
        <v>43</v>
      </c>
      <c r="P6" s="222" t="s">
        <v>44</v>
      </c>
      <c r="Q6" s="218" t="s">
        <v>45</v>
      </c>
      <c r="R6" s="218" t="s">
        <v>46</v>
      </c>
      <c r="S6" s="222" t="s">
        <v>47</v>
      </c>
      <c r="T6" s="235" t="s">
        <v>48</v>
      </c>
      <c r="U6" s="248" t="s">
        <v>49</v>
      </c>
      <c r="V6" s="248" t="s">
        <v>50</v>
      </c>
      <c r="W6" s="248" t="s">
        <v>20</v>
      </c>
      <c r="X6" s="244" t="s">
        <v>60</v>
      </c>
      <c r="Y6" s="244" t="s">
        <v>52</v>
      </c>
      <c r="Z6" s="244" t="s">
        <v>98</v>
      </c>
      <c r="AA6" s="248" t="s">
        <v>54</v>
      </c>
      <c r="AB6" s="234"/>
      <c r="AC6" s="236"/>
      <c r="AD6" s="248" t="s">
        <v>56</v>
      </c>
      <c r="AE6" s="244" t="s">
        <v>57</v>
      </c>
      <c r="AF6" s="248" t="s">
        <v>58</v>
      </c>
      <c r="AG6" s="248" t="s">
        <v>58</v>
      </c>
      <c r="AH6" s="248" t="s">
        <v>58</v>
      </c>
      <c r="AI6" s="369"/>
      <c r="AJ6" s="238" t="s">
        <v>59</v>
      </c>
      <c r="AK6" s="368" t="s">
        <v>59</v>
      </c>
      <c r="AL6" s="238" t="s">
        <v>60</v>
      </c>
      <c r="AM6" s="238" t="s">
        <v>61</v>
      </c>
      <c r="AN6" s="248" t="s">
        <v>62</v>
      </c>
      <c r="AO6" s="248" t="s">
        <v>62</v>
      </c>
      <c r="AP6" s="231" t="s">
        <v>63</v>
      </c>
      <c r="AQ6" s="240" t="s">
        <v>64</v>
      </c>
    </row>
    <row r="7" customFormat="false" ht="12.95" hidden="false" customHeight="true" outlineLevel="0" collapsed="false">
      <c r="A7" s="241"/>
      <c r="B7" s="242"/>
      <c r="C7" s="243"/>
      <c r="D7" s="241"/>
      <c r="E7" s="244" t="s">
        <v>65</v>
      </c>
      <c r="F7" s="245"/>
      <c r="G7" s="241"/>
      <c r="H7" s="370"/>
      <c r="I7" s="241"/>
      <c r="J7" s="241"/>
      <c r="K7" s="241"/>
      <c r="L7" s="241"/>
      <c r="M7" s="247"/>
      <c r="N7" s="248" t="s">
        <v>66</v>
      </c>
      <c r="O7" s="248" t="s">
        <v>67</v>
      </c>
      <c r="P7" s="249"/>
      <c r="Q7" s="248"/>
      <c r="R7" s="248"/>
      <c r="S7" s="249" t="s">
        <v>43</v>
      </c>
      <c r="T7" s="250" t="s">
        <v>68</v>
      </c>
      <c r="U7" s="314"/>
      <c r="V7" s="314"/>
      <c r="W7" s="314"/>
      <c r="X7" s="244"/>
      <c r="Y7" s="244"/>
      <c r="Z7" s="244"/>
      <c r="AA7" s="314"/>
      <c r="AB7" s="247"/>
      <c r="AC7" s="251"/>
      <c r="AD7" s="314"/>
      <c r="AE7" s="371"/>
      <c r="AF7" s="314"/>
      <c r="AG7" s="314"/>
      <c r="AH7" s="314"/>
      <c r="AI7" s="372"/>
      <c r="AJ7" s="238"/>
      <c r="AK7" s="373"/>
      <c r="AL7" s="374"/>
      <c r="AM7" s="238" t="s">
        <v>36</v>
      </c>
      <c r="AN7" s="248" t="s">
        <v>70</v>
      </c>
      <c r="AO7" s="248" t="s">
        <v>93</v>
      </c>
      <c r="AP7" s="231" t="s">
        <v>72</v>
      </c>
      <c r="AQ7" s="240" t="s">
        <v>73</v>
      </c>
    </row>
    <row r="8" customFormat="false" ht="12.95" hidden="false" customHeight="true" outlineLevel="0" collapsed="false">
      <c r="A8" s="241"/>
      <c r="B8" s="242"/>
      <c r="C8" s="243"/>
      <c r="D8" s="241"/>
      <c r="E8" s="243"/>
      <c r="F8" s="245"/>
      <c r="G8" s="241"/>
      <c r="H8" s="370"/>
      <c r="I8" s="241"/>
      <c r="J8" s="241"/>
      <c r="K8" s="241"/>
      <c r="L8" s="241"/>
      <c r="M8" s="247"/>
      <c r="N8" s="321" t="n">
        <v>1.03</v>
      </c>
      <c r="O8" s="321" t="n">
        <v>1.05</v>
      </c>
      <c r="P8" s="246" t="n">
        <v>1.02</v>
      </c>
      <c r="Q8" s="321" t="n">
        <v>1.02</v>
      </c>
      <c r="R8" s="321" t="n">
        <v>1.04</v>
      </c>
      <c r="S8" s="249" t="s">
        <v>53</v>
      </c>
      <c r="T8" s="250"/>
      <c r="U8" s="314"/>
      <c r="V8" s="314"/>
      <c r="W8" s="314"/>
      <c r="X8" s="371"/>
      <c r="Y8" s="371"/>
      <c r="Z8" s="244"/>
      <c r="AA8" s="314"/>
      <c r="AB8" s="247"/>
      <c r="AC8" s="251"/>
      <c r="AD8" s="314"/>
      <c r="AE8" s="371"/>
      <c r="AF8" s="314"/>
      <c r="AG8" s="314"/>
      <c r="AH8" s="314"/>
      <c r="AI8" s="372"/>
      <c r="AJ8" s="374"/>
      <c r="AK8" s="373"/>
      <c r="AL8" s="374"/>
      <c r="AM8" s="374"/>
      <c r="AN8" s="201"/>
      <c r="AO8" s="248" t="s">
        <v>74</v>
      </c>
      <c r="AP8" s="231"/>
    </row>
    <row r="9" customFormat="false" ht="12.95" hidden="false" customHeight="true" outlineLevel="0" collapsed="false">
      <c r="A9" s="187" t="s">
        <v>75</v>
      </c>
      <c r="B9" s="256"/>
      <c r="C9" s="115"/>
      <c r="D9" s="115"/>
      <c r="E9" s="115"/>
      <c r="F9" s="257"/>
      <c r="G9" s="115"/>
      <c r="H9" s="375"/>
      <c r="I9" s="115"/>
      <c r="J9" s="115"/>
      <c r="K9" s="115"/>
      <c r="L9" s="115"/>
      <c r="M9" s="259"/>
      <c r="N9" s="115"/>
      <c r="O9" s="115"/>
      <c r="P9" s="258"/>
      <c r="Q9" s="115"/>
      <c r="R9" s="115"/>
      <c r="S9" s="258"/>
      <c r="T9" s="260"/>
      <c r="U9" s="115"/>
      <c r="V9" s="115"/>
      <c r="W9" s="115"/>
      <c r="X9" s="115"/>
      <c r="Y9" s="115"/>
      <c r="Z9" s="115"/>
      <c r="AA9" s="115"/>
      <c r="AB9" s="259"/>
      <c r="AC9" s="262"/>
      <c r="AD9" s="115"/>
      <c r="AE9" s="115"/>
      <c r="AF9" s="115"/>
      <c r="AG9" s="115"/>
      <c r="AH9" s="115"/>
      <c r="AI9" s="263"/>
      <c r="AJ9" s="264"/>
      <c r="AK9" s="265"/>
      <c r="AL9" s="264"/>
      <c r="AM9" s="264"/>
      <c r="AN9" s="141"/>
      <c r="AO9" s="266"/>
      <c r="AP9" s="376"/>
    </row>
    <row r="10" s="172" customFormat="true" ht="12.95" hidden="false" customHeight="true" outlineLevel="0" collapsed="false">
      <c r="A10" s="267" t="s">
        <v>76</v>
      </c>
      <c r="B10" s="114" t="n">
        <f aca="false">JAN!B42</f>
        <v>6897.66</v>
      </c>
      <c r="C10" s="115" t="n">
        <f aca="false">JAN!C42</f>
        <v>275031</v>
      </c>
      <c r="D10" s="115" t="n">
        <f aca="false">JAN!D51</f>
        <v>4110</v>
      </c>
      <c r="E10" s="115" t="n">
        <f aca="false">JAN!E51</f>
        <v>123031</v>
      </c>
      <c r="F10" s="257" t="n">
        <f aca="false">JAN!F50</f>
        <v>2072.0947819511</v>
      </c>
      <c r="G10" s="115" t="n">
        <f aca="false">JAN!G50</f>
        <v>9631</v>
      </c>
      <c r="H10" s="377" t="n">
        <f aca="false">JAN!H50</f>
        <v>145.55</v>
      </c>
      <c r="I10" s="115" t="n">
        <f aca="false">JAN!I50</f>
        <v>9776.55</v>
      </c>
      <c r="J10" s="115" t="n">
        <f aca="false">JAN!J50</f>
        <v>899.962190572221</v>
      </c>
      <c r="K10" s="115" t="n">
        <f aca="false">JAN!K50</f>
        <v>10676.5121905722</v>
      </c>
      <c r="L10" s="115" t="n">
        <f aca="false">JAN!L50</f>
        <v>-312.655218048903</v>
      </c>
      <c r="M10" s="259" t="n">
        <f aca="false">JAN!M50</f>
        <v>521.6</v>
      </c>
      <c r="N10" s="115" t="n">
        <f aca="false">JAN!N50</f>
        <v>0</v>
      </c>
      <c r="O10" s="115" t="n">
        <f aca="false">JAN!O50</f>
        <v>0</v>
      </c>
      <c r="P10" s="258"/>
      <c r="Q10" s="115" t="n">
        <f aca="false">JAN!Q50</f>
        <v>146.6964</v>
      </c>
      <c r="R10" s="115" t="n">
        <f aca="false">JAN!R50</f>
        <v>247.253</v>
      </c>
      <c r="S10" s="258" t="n">
        <f aca="false">JAN!S50</f>
        <v>0.16</v>
      </c>
      <c r="T10" s="260" t="n">
        <f aca="false">JAN!T50</f>
        <v>-30.2868</v>
      </c>
      <c r="U10" s="115" t="n">
        <f aca="false">JAN!U50</f>
        <v>4691</v>
      </c>
      <c r="V10" s="115" t="n">
        <f aca="false">JAN!V50</f>
        <v>76.2</v>
      </c>
      <c r="W10" s="115" t="n">
        <f aca="false">JAN!W50</f>
        <v>4447.81</v>
      </c>
      <c r="X10" s="115"/>
      <c r="Y10" s="115"/>
      <c r="Z10" s="115"/>
      <c r="AA10" s="115"/>
      <c r="AB10" s="259"/>
      <c r="AC10" s="262"/>
      <c r="AD10" s="115" t="n">
        <f aca="false">JAN!AD50</f>
        <v>2103</v>
      </c>
      <c r="AE10" s="115" t="n">
        <f aca="false">JAN!AE50</f>
        <v>1716</v>
      </c>
      <c r="AF10" s="115" t="n">
        <f aca="false">JAN!AF50</f>
        <v>7391.8</v>
      </c>
      <c r="AG10" s="115" t="n">
        <f aca="false">JAN!AG50</f>
        <v>1212.61740862112</v>
      </c>
      <c r="AH10" s="115" t="n">
        <f aca="false">JAN!AH50</f>
        <v>8604.41740862112</v>
      </c>
      <c r="AI10" s="263" t="n">
        <f aca="false">JAN!AI50</f>
        <v>2.42</v>
      </c>
      <c r="AJ10" s="264"/>
      <c r="AK10" s="265"/>
      <c r="AL10" s="264" t="n">
        <f aca="false">JAN!AL51</f>
        <v>8822.236385</v>
      </c>
      <c r="AM10" s="264" t="n">
        <f aca="false">JAN!AM51</f>
        <v>0</v>
      </c>
      <c r="AN10" s="115"/>
      <c r="AO10" s="141"/>
      <c r="AP10" s="378"/>
    </row>
    <row r="11" customFormat="false" ht="3" hidden="false" customHeight="true" outlineLevel="0" collapsed="false">
      <c r="A11" s="270"/>
      <c r="B11" s="271"/>
      <c r="C11" s="272"/>
      <c r="D11" s="273"/>
      <c r="E11" s="272"/>
      <c r="F11" s="274"/>
      <c r="G11" s="273"/>
      <c r="H11" s="379"/>
      <c r="I11" s="273"/>
      <c r="J11" s="273"/>
      <c r="K11" s="273"/>
      <c r="L11" s="273"/>
      <c r="M11" s="276"/>
      <c r="N11" s="273"/>
      <c r="O11" s="273"/>
      <c r="P11" s="275"/>
      <c r="Q11" s="273"/>
      <c r="R11" s="273"/>
      <c r="S11" s="275"/>
      <c r="T11" s="277"/>
      <c r="U11" s="273"/>
      <c r="V11" s="273"/>
      <c r="W11" s="273"/>
      <c r="X11" s="272"/>
      <c r="Y11" s="272"/>
      <c r="Z11" s="272"/>
      <c r="AA11" s="273"/>
      <c r="AB11" s="276"/>
      <c r="AC11" s="279"/>
      <c r="AD11" s="273"/>
      <c r="AE11" s="272"/>
      <c r="AF11" s="273"/>
      <c r="AG11" s="273"/>
      <c r="AH11" s="273"/>
      <c r="AI11" s="280"/>
      <c r="AJ11" s="281"/>
      <c r="AK11" s="282"/>
      <c r="AL11" s="281"/>
      <c r="AM11" s="281"/>
      <c r="AN11" s="281"/>
      <c r="AO11" s="281"/>
      <c r="AP11" s="281"/>
      <c r="AQ11" s="281"/>
    </row>
    <row r="12" customFormat="false" ht="12.95" hidden="false" customHeight="true" outlineLevel="0" collapsed="false">
      <c r="A12" s="186" t="n">
        <v>1</v>
      </c>
      <c r="B12" s="114" t="n">
        <v>6897.68</v>
      </c>
      <c r="C12" s="115" t="n">
        <v>275103</v>
      </c>
      <c r="D12" s="264" t="n">
        <f aca="false">C12-C10</f>
        <v>72</v>
      </c>
      <c r="E12" s="115" t="n">
        <f aca="false">C12-152000</f>
        <v>123103</v>
      </c>
      <c r="F12" s="283" t="n">
        <f aca="false">D12/$D$2</f>
        <v>36.2994706327199</v>
      </c>
      <c r="G12" s="141" t="n">
        <v>47</v>
      </c>
      <c r="H12" s="375" t="n">
        <v>2</v>
      </c>
      <c r="I12" s="141" t="n">
        <f aca="false">G12+H12</f>
        <v>49</v>
      </c>
      <c r="J12" s="261" t="n">
        <f aca="false">IF(L12&gt;0,L12,0)</f>
        <v>13.2994706327199</v>
      </c>
      <c r="K12" s="141" t="n">
        <f aca="false">I12+J12</f>
        <v>62.2994706327199</v>
      </c>
      <c r="L12" s="141" t="n">
        <f aca="false">F12-(I12-AF12)</f>
        <v>13.2994706327199</v>
      </c>
      <c r="M12" s="284" t="n">
        <v>4</v>
      </c>
      <c r="N12" s="141" t="n">
        <v>0</v>
      </c>
      <c r="O12" s="141" t="n">
        <v>0</v>
      </c>
      <c r="P12" s="258" t="n">
        <v>0</v>
      </c>
      <c r="Q12" s="258" t="n">
        <f aca="false">1.43*1.02</f>
        <v>1.4586</v>
      </c>
      <c r="R12" s="258" t="n">
        <v>3.48</v>
      </c>
      <c r="S12" s="380" t="n">
        <v>0</v>
      </c>
      <c r="T12" s="104" t="n">
        <f aca="false">M12-(Q12+R12+S12)</f>
        <v>-0.9386</v>
      </c>
      <c r="U12" s="141" t="n">
        <v>0</v>
      </c>
      <c r="V12" s="141" t="n">
        <v>0</v>
      </c>
      <c r="W12" s="141" t="n">
        <f aca="false">M12-N12-O12-P12-Q12-R12-S12-T12+U12+V12</f>
        <v>0</v>
      </c>
      <c r="X12" s="115"/>
      <c r="Y12" s="115"/>
      <c r="Z12" s="115"/>
      <c r="AA12" s="141" t="n">
        <v>0</v>
      </c>
      <c r="AB12" s="284"/>
      <c r="AC12" s="285"/>
      <c r="AD12" s="141" t="n">
        <v>22</v>
      </c>
      <c r="AE12" s="115" t="n">
        <f aca="false">AE10-AD12</f>
        <v>1694</v>
      </c>
      <c r="AF12" s="140" t="n">
        <f aca="false">N12+O12+P12+Q12+R12+S12+T12+W12+AA12+AD12</f>
        <v>26</v>
      </c>
      <c r="AG12" s="141" t="n">
        <f aca="false">IF(L12&lt;0,L12*-1,0)</f>
        <v>0</v>
      </c>
      <c r="AH12" s="141" t="n">
        <f aca="false">AF12+AG12</f>
        <v>26</v>
      </c>
      <c r="AI12" s="263" t="n">
        <v>0</v>
      </c>
      <c r="AJ12" s="264" t="n">
        <v>26</v>
      </c>
      <c r="AK12" s="265" t="n">
        <v>0</v>
      </c>
      <c r="AL12" s="264" t="n">
        <f aca="false">AL10+(W12*1.9835)</f>
        <v>8822.236385</v>
      </c>
      <c r="AM12" s="264" t="n">
        <v>0</v>
      </c>
      <c r="AN12" s="266"/>
      <c r="AO12" s="115"/>
      <c r="AP12" s="376"/>
    </row>
    <row r="13" customFormat="false" ht="12.95" hidden="false" customHeight="true" outlineLevel="0" collapsed="false">
      <c r="A13" s="186" t="n">
        <f aca="false">A12+1</f>
        <v>2</v>
      </c>
      <c r="B13" s="114" t="n">
        <v>6897.7</v>
      </c>
      <c r="C13" s="115" t="n">
        <v>275175</v>
      </c>
      <c r="D13" s="264" t="n">
        <f aca="false">C13-C12</f>
        <v>72</v>
      </c>
      <c r="E13" s="115" t="n">
        <f aca="false">C13-152000</f>
        <v>123175</v>
      </c>
      <c r="F13" s="283" t="n">
        <f aca="false">D13/$D$2</f>
        <v>36.2994706327199</v>
      </c>
      <c r="G13" s="141" t="n">
        <v>53</v>
      </c>
      <c r="H13" s="375" t="n">
        <v>1.6</v>
      </c>
      <c r="I13" s="141" t="n">
        <f aca="false">G13+H13</f>
        <v>54.6</v>
      </c>
      <c r="J13" s="261" t="n">
        <f aca="false">IF(L13&gt;0,L13,0)</f>
        <v>7.69947063271994</v>
      </c>
      <c r="K13" s="141" t="n">
        <f aca="false">I13+J13</f>
        <v>62.2994706327199</v>
      </c>
      <c r="L13" s="141" t="n">
        <f aca="false">F13-(I13-AF13)</f>
        <v>7.69947063271994</v>
      </c>
      <c r="M13" s="284" t="n">
        <v>4</v>
      </c>
      <c r="N13" s="141" t="n">
        <v>0</v>
      </c>
      <c r="O13" s="141" t="n">
        <v>0</v>
      </c>
      <c r="P13" s="258" t="n">
        <v>0</v>
      </c>
      <c r="Q13" s="258" t="n">
        <f aca="false">1.43*1.02</f>
        <v>1.4586</v>
      </c>
      <c r="R13" s="258" t="n">
        <v>3.6</v>
      </c>
      <c r="S13" s="380" t="n">
        <v>0</v>
      </c>
      <c r="T13" s="104" t="n">
        <f aca="false">M13-(Q13+R13+S13)</f>
        <v>-1.0586</v>
      </c>
      <c r="U13" s="141" t="n">
        <v>0</v>
      </c>
      <c r="V13" s="141" t="n">
        <v>0</v>
      </c>
      <c r="W13" s="141" t="n">
        <f aca="false">M13-N13-O13-P13-Q13-R13-S13-T13+U13+V13</f>
        <v>0</v>
      </c>
      <c r="X13" s="115"/>
      <c r="Y13" s="115"/>
      <c r="Z13" s="115"/>
      <c r="AA13" s="141" t="n">
        <v>0</v>
      </c>
      <c r="AB13" s="284"/>
      <c r="AC13" s="285"/>
      <c r="AD13" s="141" t="n">
        <v>22</v>
      </c>
      <c r="AE13" s="115" t="n">
        <f aca="false">AE12-AD13</f>
        <v>1672</v>
      </c>
      <c r="AF13" s="140" t="n">
        <f aca="false">N13+O13+P13+Q13+R13+S13+T13+W13+AA13+AD13</f>
        <v>26</v>
      </c>
      <c r="AG13" s="141" t="n">
        <f aca="false">IF(L13&lt;0,L13*-1,0)</f>
        <v>0</v>
      </c>
      <c r="AH13" s="141" t="n">
        <f aca="false">AF13+AG13</f>
        <v>26</v>
      </c>
      <c r="AI13" s="263" t="n">
        <v>0</v>
      </c>
      <c r="AJ13" s="264" t="n">
        <v>26</v>
      </c>
      <c r="AK13" s="265" t="n">
        <v>-4</v>
      </c>
      <c r="AL13" s="264" t="n">
        <f aca="false">AL12+(W13*1.9835)</f>
        <v>8822.236385</v>
      </c>
      <c r="AM13" s="264" t="n">
        <v>0</v>
      </c>
      <c r="AN13" s="266"/>
      <c r="AO13" s="115"/>
      <c r="AP13" s="376"/>
    </row>
    <row r="14" customFormat="false" ht="12.95" hidden="false" customHeight="true" outlineLevel="0" collapsed="false">
      <c r="A14" s="186" t="n">
        <f aca="false">A13+1</f>
        <v>3</v>
      </c>
      <c r="B14" s="114" t="n">
        <v>6897.73</v>
      </c>
      <c r="C14" s="115" t="n">
        <v>275284</v>
      </c>
      <c r="D14" s="264" t="n">
        <f aca="false">C14-C13</f>
        <v>109</v>
      </c>
      <c r="E14" s="115" t="n">
        <f aca="false">C14-152000</f>
        <v>123284</v>
      </c>
      <c r="F14" s="283" t="n">
        <f aca="false">D14/$D$2</f>
        <v>54.9533652634232</v>
      </c>
      <c r="G14" s="141" t="n">
        <v>48</v>
      </c>
      <c r="H14" s="375" t="n">
        <v>1.4</v>
      </c>
      <c r="I14" s="141" t="n">
        <f aca="false">G14+H14</f>
        <v>49.4</v>
      </c>
      <c r="J14" s="261" t="n">
        <f aca="false">IF(L14&gt;0,L14,0)</f>
        <v>31.9533652634232</v>
      </c>
      <c r="K14" s="141" t="n">
        <f aca="false">I14+J14</f>
        <v>81.3533652634233</v>
      </c>
      <c r="L14" s="141" t="n">
        <f aca="false">F14-(I14-AF14)</f>
        <v>31.9533652634232</v>
      </c>
      <c r="M14" s="284" t="n">
        <v>4.4</v>
      </c>
      <c r="N14" s="141" t="n">
        <v>0</v>
      </c>
      <c r="O14" s="141" t="n">
        <v>0</v>
      </c>
      <c r="P14" s="258" t="n">
        <v>0</v>
      </c>
      <c r="Q14" s="258" t="n">
        <f aca="false">1.43*1.02</f>
        <v>1.4586</v>
      </c>
      <c r="R14" s="258" t="n">
        <v>3.59</v>
      </c>
      <c r="S14" s="380" t="n">
        <v>0</v>
      </c>
      <c r="T14" s="104" t="n">
        <f aca="false">M14-(Q14+R14+S14)</f>
        <v>-0.648599999999999</v>
      </c>
      <c r="U14" s="141" t="n">
        <v>0</v>
      </c>
      <c r="V14" s="141" t="n">
        <v>0</v>
      </c>
      <c r="W14" s="141" t="n">
        <f aca="false">M14-N14-O14-P14-Q14-R14-S14-T14+U14+V14</f>
        <v>0</v>
      </c>
      <c r="X14" s="115"/>
      <c r="Y14" s="115"/>
      <c r="Z14" s="115"/>
      <c r="AA14" s="141" t="n">
        <v>0</v>
      </c>
      <c r="AB14" s="284"/>
      <c r="AC14" s="285"/>
      <c r="AD14" s="141" t="n">
        <v>22</v>
      </c>
      <c r="AE14" s="115" t="n">
        <f aca="false">AE13-AD14</f>
        <v>1650</v>
      </c>
      <c r="AF14" s="140" t="n">
        <f aca="false">N14+O14+P14+Q14+R14+S14+T14+W14+AA14+AD14</f>
        <v>26.4</v>
      </c>
      <c r="AG14" s="141" t="n">
        <f aca="false">IF(L14&lt;0,L14*-1,0)</f>
        <v>0</v>
      </c>
      <c r="AH14" s="141" t="n">
        <f aca="false">AF14+AG14</f>
        <v>26.4</v>
      </c>
      <c r="AI14" s="263" t="n">
        <v>0</v>
      </c>
      <c r="AJ14" s="264" t="n">
        <v>38</v>
      </c>
      <c r="AK14" s="265" t="n">
        <v>5</v>
      </c>
      <c r="AL14" s="264" t="n">
        <f aca="false">AL13+(W14*1.9835)</f>
        <v>8822.236385</v>
      </c>
      <c r="AM14" s="264" t="n">
        <v>0</v>
      </c>
      <c r="AN14" s="266"/>
      <c r="AO14" s="115"/>
      <c r="AP14" s="376"/>
    </row>
    <row r="15" customFormat="false" ht="12.95" hidden="false" customHeight="true" outlineLevel="0" collapsed="false">
      <c r="A15" s="186" t="n">
        <f aca="false">A14+1</f>
        <v>4</v>
      </c>
      <c r="B15" s="114" t="n">
        <v>6897.77</v>
      </c>
      <c r="C15" s="115" t="n">
        <v>275429</v>
      </c>
      <c r="D15" s="264" t="n">
        <f aca="false">C15-C14</f>
        <v>145</v>
      </c>
      <c r="E15" s="115" t="n">
        <f aca="false">C15-152000</f>
        <v>123429</v>
      </c>
      <c r="F15" s="283" t="n">
        <f aca="false">D15/$D$2</f>
        <v>73.1031005797832</v>
      </c>
      <c r="G15" s="141" t="n">
        <v>46</v>
      </c>
      <c r="H15" s="375" t="n">
        <v>1.3</v>
      </c>
      <c r="I15" s="141" t="n">
        <f aca="false">G15+H15</f>
        <v>47.3</v>
      </c>
      <c r="J15" s="261" t="n">
        <f aca="false">IF(L15&gt;0,L15,0)</f>
        <v>52.7031005797832</v>
      </c>
      <c r="K15" s="141" t="n">
        <f aca="false">I15+J15</f>
        <v>100.003100579783</v>
      </c>
      <c r="L15" s="141" t="n">
        <f aca="false">F15-(I15-AF15)</f>
        <v>52.7031005797832</v>
      </c>
      <c r="M15" s="284" t="n">
        <v>4.9</v>
      </c>
      <c r="N15" s="141" t="n">
        <v>0</v>
      </c>
      <c r="O15" s="141" t="n">
        <v>0</v>
      </c>
      <c r="P15" s="258" t="n">
        <v>0</v>
      </c>
      <c r="Q15" s="258" t="n">
        <f aca="false">1.43*1.02</f>
        <v>1.4586</v>
      </c>
      <c r="R15" s="258" t="n">
        <v>3.74</v>
      </c>
      <c r="S15" s="380" t="n">
        <v>0</v>
      </c>
      <c r="T15" s="104" t="n">
        <f aca="false">M15-(Q15+R15+S15)</f>
        <v>-0.2986</v>
      </c>
      <c r="U15" s="141" t="n">
        <v>0</v>
      </c>
      <c r="V15" s="141" t="n">
        <v>0</v>
      </c>
      <c r="W15" s="141" t="n">
        <f aca="false">M15-N15-O15-P15-Q15-R15-S15-T15+U15+V15</f>
        <v>0</v>
      </c>
      <c r="X15" s="115"/>
      <c r="Y15" s="115"/>
      <c r="Z15" s="115"/>
      <c r="AA15" s="141" t="n">
        <v>0</v>
      </c>
      <c r="AB15" s="284"/>
      <c r="AC15" s="285"/>
      <c r="AD15" s="141" t="n">
        <v>22</v>
      </c>
      <c r="AE15" s="115" t="n">
        <f aca="false">AE14-AD15</f>
        <v>1628</v>
      </c>
      <c r="AF15" s="140" t="n">
        <f aca="false">N15+O15+P15+Q15+R15+S15+T15+W15+AA15+AD15</f>
        <v>26.9</v>
      </c>
      <c r="AG15" s="141" t="n">
        <f aca="false">IF(L15&lt;0,L15*-1,0)</f>
        <v>0</v>
      </c>
      <c r="AH15" s="141" t="n">
        <f aca="false">AF15+AG15</f>
        <v>26.9</v>
      </c>
      <c r="AI15" s="263" t="n">
        <v>0</v>
      </c>
      <c r="AJ15" s="264" t="n">
        <v>43</v>
      </c>
      <c r="AK15" s="265" t="n">
        <v>14</v>
      </c>
      <c r="AL15" s="264" t="n">
        <f aca="false">AL14+(W15*1.9835)</f>
        <v>8822.236385</v>
      </c>
      <c r="AM15" s="264" t="n">
        <v>0</v>
      </c>
      <c r="AN15" s="266"/>
      <c r="AO15" s="115"/>
      <c r="AP15" s="376"/>
    </row>
    <row r="16" customFormat="false" ht="12.95" hidden="false" customHeight="true" outlineLevel="0" collapsed="false">
      <c r="A16" s="186" t="n">
        <f aca="false">A15+1</f>
        <v>5</v>
      </c>
      <c r="B16" s="114" t="n">
        <v>6897.77</v>
      </c>
      <c r="C16" s="115" t="n">
        <v>275429</v>
      </c>
      <c r="D16" s="264" t="n">
        <f aca="false">C16-C15</f>
        <v>0</v>
      </c>
      <c r="E16" s="115" t="n">
        <f aca="false">C16-152000</f>
        <v>123429</v>
      </c>
      <c r="F16" s="283" t="n">
        <f aca="false">D16/$D$2</f>
        <v>0</v>
      </c>
      <c r="G16" s="141" t="n">
        <v>45</v>
      </c>
      <c r="H16" s="375" t="n">
        <v>1.3</v>
      </c>
      <c r="I16" s="141" t="n">
        <f aca="false">G16+H16</f>
        <v>46.3</v>
      </c>
      <c r="J16" s="261" t="n">
        <f aca="false">IF(L16&gt;0,L16,0)</f>
        <v>0</v>
      </c>
      <c r="K16" s="141" t="n">
        <f aca="false">I16+J16</f>
        <v>46.3</v>
      </c>
      <c r="L16" s="141" t="n">
        <f aca="false">F16-(I16-AF16)</f>
        <v>-19.4</v>
      </c>
      <c r="M16" s="284" t="n">
        <v>4.9</v>
      </c>
      <c r="N16" s="141" t="n">
        <v>0</v>
      </c>
      <c r="O16" s="141" t="n">
        <v>0</v>
      </c>
      <c r="P16" s="258" t="n">
        <v>0</v>
      </c>
      <c r="Q16" s="258" t="n">
        <f aca="false">1.43*1.02</f>
        <v>1.4586</v>
      </c>
      <c r="R16" s="258" t="n">
        <v>3.51</v>
      </c>
      <c r="S16" s="380" t="n">
        <v>0</v>
      </c>
      <c r="T16" s="104" t="n">
        <f aca="false">M16-(Q16+R16+S16)</f>
        <v>-0.0685999999999991</v>
      </c>
      <c r="U16" s="141" t="n">
        <v>0</v>
      </c>
      <c r="V16" s="141" t="n">
        <v>0</v>
      </c>
      <c r="W16" s="141" t="n">
        <f aca="false">M16-N16-O16-P16-Q16-R16-S16-T16+U16+V16</f>
        <v>0</v>
      </c>
      <c r="X16" s="115"/>
      <c r="Y16" s="115"/>
      <c r="Z16" s="115"/>
      <c r="AA16" s="141" t="n">
        <v>0</v>
      </c>
      <c r="AB16" s="284"/>
      <c r="AC16" s="285"/>
      <c r="AD16" s="141" t="n">
        <v>22</v>
      </c>
      <c r="AE16" s="115" t="n">
        <f aca="false">AE15-AD16</f>
        <v>1606</v>
      </c>
      <c r="AF16" s="140" t="n">
        <f aca="false">N16+O16+P16+Q16+R16+S16+T16+W16+AA16+AD16</f>
        <v>26.9</v>
      </c>
      <c r="AG16" s="141" t="n">
        <f aca="false">IF(L16&lt;0,L16*-1,0)</f>
        <v>19.4</v>
      </c>
      <c r="AH16" s="141" t="n">
        <f aca="false">AF16+AG16</f>
        <v>46.3</v>
      </c>
      <c r="AI16" s="263" t="n">
        <v>0</v>
      </c>
      <c r="AJ16" s="264" t="n">
        <v>50</v>
      </c>
      <c r="AK16" s="265" t="n">
        <v>20</v>
      </c>
      <c r="AL16" s="264" t="n">
        <f aca="false">AL15+(W16*1.9835)</f>
        <v>8822.236385</v>
      </c>
      <c r="AM16" s="264" t="n">
        <v>0</v>
      </c>
      <c r="AN16" s="266"/>
      <c r="AO16" s="115"/>
      <c r="AP16" s="376"/>
    </row>
    <row r="17" customFormat="false" ht="12.95" hidden="false" customHeight="true" outlineLevel="0" collapsed="false">
      <c r="A17" s="186" t="n">
        <f aca="false">A16+1</f>
        <v>6</v>
      </c>
      <c r="B17" s="114" t="n">
        <v>6897.78</v>
      </c>
      <c r="C17" s="115" t="n">
        <v>275465</v>
      </c>
      <c r="D17" s="264" t="n">
        <f aca="false">C17-C16</f>
        <v>36</v>
      </c>
      <c r="E17" s="115" t="n">
        <f aca="false">C17-152000</f>
        <v>123465</v>
      </c>
      <c r="F17" s="283" t="n">
        <f aca="false">D17/$D$2</f>
        <v>18.14973531636</v>
      </c>
      <c r="G17" s="141" t="n">
        <v>46</v>
      </c>
      <c r="H17" s="375" t="n">
        <v>1.5</v>
      </c>
      <c r="I17" s="141" t="n">
        <f aca="false">G17+H17</f>
        <v>47.5</v>
      </c>
      <c r="J17" s="261" t="n">
        <f aca="false">IF(L17&gt;0,L17,0)</f>
        <v>0</v>
      </c>
      <c r="K17" s="141" t="n">
        <f aca="false">I17+J17</f>
        <v>47.5</v>
      </c>
      <c r="L17" s="141" t="n">
        <f aca="false">F17-(I17-AF17)</f>
        <v>-2.45026468364003</v>
      </c>
      <c r="M17" s="284" t="n">
        <v>4.9</v>
      </c>
      <c r="N17" s="141" t="n">
        <v>0</v>
      </c>
      <c r="O17" s="141" t="n">
        <v>0</v>
      </c>
      <c r="P17" s="258" t="n">
        <v>0</v>
      </c>
      <c r="Q17" s="258" t="n">
        <f aca="false">1.43*1.02</f>
        <v>1.4586</v>
      </c>
      <c r="R17" s="258" t="n">
        <v>3.44</v>
      </c>
      <c r="S17" s="380" t="n">
        <v>0</v>
      </c>
      <c r="T17" s="104" t="n">
        <f aca="false">M17-(Q17+R17+S17)</f>
        <v>0.00140000000000029</v>
      </c>
      <c r="U17" s="141" t="n">
        <v>0</v>
      </c>
      <c r="V17" s="141" t="n">
        <v>0</v>
      </c>
      <c r="W17" s="141" t="n">
        <f aca="false">M17-N17-O17-P17-Q17-R17-S17-T17+U17+V17</f>
        <v>4.44089209850063E-016</v>
      </c>
      <c r="X17" s="115"/>
      <c r="Y17" s="115"/>
      <c r="Z17" s="115"/>
      <c r="AA17" s="141" t="n">
        <v>0</v>
      </c>
      <c r="AB17" s="284"/>
      <c r="AC17" s="285"/>
      <c r="AD17" s="141" t="n">
        <v>22</v>
      </c>
      <c r="AE17" s="115" t="n">
        <f aca="false">AE16-AD17</f>
        <v>1584</v>
      </c>
      <c r="AF17" s="140" t="n">
        <f aca="false">N17+O17+P17+Q17+R17+S17+T17+W17+AA17+AD17</f>
        <v>26.9</v>
      </c>
      <c r="AG17" s="141" t="n">
        <f aca="false">IF(L17&lt;0,L17*-1,0)</f>
        <v>2.45026468364003</v>
      </c>
      <c r="AH17" s="141" t="n">
        <f aca="false">AF17+AG17</f>
        <v>29.35026468364</v>
      </c>
      <c r="AI17" s="263" t="n">
        <v>0</v>
      </c>
      <c r="AJ17" s="264" t="n">
        <v>54</v>
      </c>
      <c r="AK17" s="265" t="n">
        <v>24</v>
      </c>
      <c r="AL17" s="264" t="n">
        <f aca="false">AL16+(W17*1.9835)</f>
        <v>8822.236385</v>
      </c>
      <c r="AM17" s="264" t="n">
        <v>0</v>
      </c>
      <c r="AN17" s="141"/>
      <c r="AO17" s="115"/>
      <c r="AP17" s="376"/>
    </row>
    <row r="18" customFormat="false" ht="12.95" hidden="false" customHeight="true" outlineLevel="0" collapsed="false">
      <c r="A18" s="186" t="n">
        <f aca="false">A17+1</f>
        <v>7</v>
      </c>
      <c r="B18" s="114" t="n">
        <v>6897.79</v>
      </c>
      <c r="C18" s="115" t="n">
        <v>275501</v>
      </c>
      <c r="D18" s="264" t="n">
        <f aca="false">C18-C17</f>
        <v>36</v>
      </c>
      <c r="E18" s="115" t="n">
        <f aca="false">C18-152000</f>
        <v>123501</v>
      </c>
      <c r="F18" s="283" t="n">
        <f aca="false">D18/$D$2</f>
        <v>18.14973531636</v>
      </c>
      <c r="G18" s="141" t="n">
        <v>63</v>
      </c>
      <c r="H18" s="375" t="n">
        <v>1.9</v>
      </c>
      <c r="I18" s="141" t="n">
        <f aca="false">G18+H18</f>
        <v>64.9</v>
      </c>
      <c r="J18" s="261" t="n">
        <f aca="false">IF(L18&gt;0,L18,0)</f>
        <v>0</v>
      </c>
      <c r="K18" s="141" t="n">
        <f aca="false">I18+J18</f>
        <v>64.9</v>
      </c>
      <c r="L18" s="141" t="n">
        <f aca="false">F18-(I18-AF18)</f>
        <v>-20.05026468364</v>
      </c>
      <c r="M18" s="284" t="n">
        <v>4.7</v>
      </c>
      <c r="N18" s="141" t="n">
        <v>0</v>
      </c>
      <c r="O18" s="141" t="n">
        <v>0</v>
      </c>
      <c r="P18" s="258" t="n">
        <v>0</v>
      </c>
      <c r="Q18" s="258" t="n">
        <f aca="false">1.43*1.02</f>
        <v>1.4586</v>
      </c>
      <c r="R18" s="258" t="n">
        <v>3.49</v>
      </c>
      <c r="S18" s="380" t="n">
        <v>0</v>
      </c>
      <c r="T18" s="104" t="n">
        <f aca="false">M18-(Q18+R18+S18)</f>
        <v>-0.2486</v>
      </c>
      <c r="U18" s="141" t="n">
        <v>0</v>
      </c>
      <c r="V18" s="141" t="n">
        <v>0</v>
      </c>
      <c r="W18" s="141" t="n">
        <f aca="false">M18-N18-O18-P18-Q18-R18-S18-T18+U18+V18</f>
        <v>0</v>
      </c>
      <c r="X18" s="115"/>
      <c r="Y18" s="115"/>
      <c r="Z18" s="115"/>
      <c r="AA18" s="141" t="n">
        <v>0</v>
      </c>
      <c r="AB18" s="284"/>
      <c r="AC18" s="285"/>
      <c r="AD18" s="141" t="n">
        <v>22</v>
      </c>
      <c r="AE18" s="115" t="n">
        <f aca="false">AE17-AD18</f>
        <v>1562</v>
      </c>
      <c r="AF18" s="140" t="n">
        <f aca="false">N18+O18+P18+Q18+R18+S18+T18+W18+AA18+AD18</f>
        <v>26.7</v>
      </c>
      <c r="AG18" s="141" t="n">
        <f aca="false">IF(L18&lt;0,L18*-1,0)</f>
        <v>20.05026468364</v>
      </c>
      <c r="AH18" s="141" t="n">
        <f aca="false">AF18+AG18</f>
        <v>46.75026468364</v>
      </c>
      <c r="AI18" s="263" t="n">
        <v>0</v>
      </c>
      <c r="AJ18" s="264" t="n">
        <v>52</v>
      </c>
      <c r="AK18" s="265" t="n">
        <v>27</v>
      </c>
      <c r="AL18" s="264" t="n">
        <f aca="false">AL17+(W18*1.9835)</f>
        <v>8822.236385</v>
      </c>
      <c r="AM18" s="264" t="n">
        <v>0</v>
      </c>
      <c r="AN18" s="141"/>
      <c r="AO18" s="115"/>
      <c r="AP18" s="376"/>
    </row>
    <row r="19" customFormat="false" ht="12.95" hidden="false" customHeight="true" outlineLevel="0" collapsed="false">
      <c r="A19" s="186" t="n">
        <f aca="false">A18+1</f>
        <v>8</v>
      </c>
      <c r="B19" s="114" t="n">
        <v>6897.82</v>
      </c>
      <c r="C19" s="115" t="n">
        <v>275610</v>
      </c>
      <c r="D19" s="264" t="n">
        <f aca="false">C19-C18</f>
        <v>109</v>
      </c>
      <c r="E19" s="115" t="n">
        <f aca="false">C19-152000</f>
        <v>123610</v>
      </c>
      <c r="F19" s="283" t="n">
        <f aca="false">D19/$D$2</f>
        <v>54.9533652634232</v>
      </c>
      <c r="G19" s="141" t="n">
        <v>99</v>
      </c>
      <c r="H19" s="375" t="n">
        <v>2.2</v>
      </c>
      <c r="I19" s="141" t="n">
        <f aca="false">G19+H19</f>
        <v>101.2</v>
      </c>
      <c r="J19" s="261" t="n">
        <f aca="false">IF(L19&gt;0,L19,0)</f>
        <v>0</v>
      </c>
      <c r="K19" s="141" t="n">
        <f aca="false">I19+J19</f>
        <v>101.2</v>
      </c>
      <c r="L19" s="141" t="n">
        <f aca="false">F19-(I19-AF19)</f>
        <v>-19.6466347365768</v>
      </c>
      <c r="M19" s="284" t="n">
        <v>4.6</v>
      </c>
      <c r="N19" s="141" t="n">
        <v>0</v>
      </c>
      <c r="O19" s="141" t="n">
        <v>0</v>
      </c>
      <c r="P19" s="258" t="n">
        <v>0</v>
      </c>
      <c r="Q19" s="258" t="n">
        <f aca="false">1.43*1.02</f>
        <v>1.4586</v>
      </c>
      <c r="R19" s="258" t="n">
        <v>3.52</v>
      </c>
      <c r="S19" s="380" t="n">
        <v>0</v>
      </c>
      <c r="T19" s="104" t="n">
        <f aca="false">M19-(Q19+R19+S19)</f>
        <v>-0.3786</v>
      </c>
      <c r="U19" s="141" t="n">
        <v>0</v>
      </c>
      <c r="V19" s="141" t="n">
        <v>0</v>
      </c>
      <c r="W19" s="141" t="n">
        <f aca="false">M19-N19-O19-P19-Q19-R19-S19-T19+U19+V19</f>
        <v>0</v>
      </c>
      <c r="X19" s="115"/>
      <c r="Y19" s="115"/>
      <c r="Z19" s="115"/>
      <c r="AA19" s="141" t="n">
        <v>0</v>
      </c>
      <c r="AB19" s="284"/>
      <c r="AC19" s="285"/>
      <c r="AD19" s="141" t="n">
        <v>22</v>
      </c>
      <c r="AE19" s="115" t="n">
        <f aca="false">AE18-AD19</f>
        <v>1540</v>
      </c>
      <c r="AF19" s="140" t="n">
        <f aca="false">N19+O19+P19+Q19+R19+S19+T19+W19+AA19+AD19</f>
        <v>26.6</v>
      </c>
      <c r="AG19" s="141" t="n">
        <f aca="false">IF(L19&lt;0,L19*-1,0)</f>
        <v>19.6466347365768</v>
      </c>
      <c r="AH19" s="141" t="n">
        <f aca="false">AF19+AG19</f>
        <v>46.2466347365768</v>
      </c>
      <c r="AI19" s="263" t="n">
        <v>0</v>
      </c>
      <c r="AJ19" s="264" t="n">
        <v>51</v>
      </c>
      <c r="AK19" s="265" t="n">
        <v>29</v>
      </c>
      <c r="AL19" s="264" t="n">
        <f aca="false">AL18+(W19*1.9835)</f>
        <v>8822.236385</v>
      </c>
      <c r="AM19" s="264" t="n">
        <v>0</v>
      </c>
      <c r="AN19" s="141"/>
      <c r="AO19" s="115"/>
      <c r="AP19" s="376"/>
    </row>
    <row r="20" customFormat="false" ht="12.95" hidden="false" customHeight="true" outlineLevel="0" collapsed="false">
      <c r="A20" s="186" t="n">
        <f aca="false">A19+1</f>
        <v>9</v>
      </c>
      <c r="B20" s="114" t="n">
        <v>6897.85</v>
      </c>
      <c r="C20" s="115" t="n">
        <v>275718</v>
      </c>
      <c r="D20" s="264" t="n">
        <f aca="false">C20-C19</f>
        <v>108</v>
      </c>
      <c r="E20" s="115" t="n">
        <f aca="false">C20-152000</f>
        <v>123718</v>
      </c>
      <c r="F20" s="283" t="n">
        <f aca="false">D20/$D$2</f>
        <v>54.4492059490799</v>
      </c>
      <c r="G20" s="141" t="n">
        <v>99</v>
      </c>
      <c r="H20" s="375" t="n">
        <v>2.2</v>
      </c>
      <c r="I20" s="141" t="n">
        <f aca="false">G20+H20</f>
        <v>101.2</v>
      </c>
      <c r="J20" s="261" t="n">
        <f aca="false">IF(L20&gt;0,L20,0)</f>
        <v>0</v>
      </c>
      <c r="K20" s="141" t="n">
        <f aca="false">I20+J20</f>
        <v>101.2</v>
      </c>
      <c r="L20" s="141" t="n">
        <f aca="false">F20-(I20-AF20)</f>
        <v>-20.1507940509201</v>
      </c>
      <c r="M20" s="284" t="n">
        <v>4.6</v>
      </c>
      <c r="N20" s="141" t="n">
        <v>0</v>
      </c>
      <c r="O20" s="141" t="n">
        <v>0</v>
      </c>
      <c r="P20" s="258" t="n">
        <v>0</v>
      </c>
      <c r="Q20" s="258" t="n">
        <f aca="false">1.43*1.02</f>
        <v>1.4586</v>
      </c>
      <c r="R20" s="258" t="n">
        <v>3.51</v>
      </c>
      <c r="S20" s="380" t="n">
        <v>0</v>
      </c>
      <c r="T20" s="104" t="n">
        <f aca="false">M20-(Q20+R20+S20)</f>
        <v>-0.3686</v>
      </c>
      <c r="U20" s="141" t="n">
        <v>0</v>
      </c>
      <c r="V20" s="141" t="n">
        <v>0</v>
      </c>
      <c r="W20" s="141" t="n">
        <f aca="false">M20-N20-O20-P20-Q20-R20-S20-T20+U20+V20</f>
        <v>0</v>
      </c>
      <c r="X20" s="115"/>
      <c r="Y20" s="115"/>
      <c r="Z20" s="115"/>
      <c r="AA20" s="141" t="n">
        <v>0</v>
      </c>
      <c r="AB20" s="284"/>
      <c r="AC20" s="285"/>
      <c r="AD20" s="141" t="n">
        <v>22</v>
      </c>
      <c r="AE20" s="115" t="n">
        <f aca="false">AE19-AD20</f>
        <v>1518</v>
      </c>
      <c r="AF20" s="140" t="n">
        <f aca="false">N20+O20+P20+Q20+R20+S20+T20+W20+AA20+AD20</f>
        <v>26.6</v>
      </c>
      <c r="AG20" s="141" t="n">
        <f aca="false">IF(L20&lt;0,L20*-1,0)</f>
        <v>20.1507940509201</v>
      </c>
      <c r="AH20" s="141" t="n">
        <f aca="false">AF20+AG20</f>
        <v>46.7507940509201</v>
      </c>
      <c r="AI20" s="263" t="n">
        <v>0</v>
      </c>
      <c r="AJ20" s="266" t="n">
        <v>49</v>
      </c>
      <c r="AK20" s="265" t="n">
        <v>30</v>
      </c>
      <c r="AL20" s="264" t="n">
        <f aca="false">AL19+(W20*1.9835)</f>
        <v>8822.236385</v>
      </c>
      <c r="AM20" s="264" t="n">
        <v>0</v>
      </c>
      <c r="AN20" s="141"/>
      <c r="AO20" s="115"/>
      <c r="AP20" s="376"/>
    </row>
    <row r="21" customFormat="false" ht="12.95" hidden="false" customHeight="true" outlineLevel="0" collapsed="false">
      <c r="A21" s="186" t="n">
        <f aca="false">A20+1</f>
        <v>10</v>
      </c>
      <c r="B21" s="114" t="n">
        <v>6897.9</v>
      </c>
      <c r="C21" s="115" t="n">
        <v>275899</v>
      </c>
      <c r="D21" s="264" t="n">
        <f aca="false">C21-C20</f>
        <v>181</v>
      </c>
      <c r="E21" s="115" t="n">
        <f aca="false">C21-152000</f>
        <v>123899</v>
      </c>
      <c r="F21" s="283" t="n">
        <f aca="false">D21/$D$2</f>
        <v>91.2528358961432</v>
      </c>
      <c r="G21" s="141" t="n">
        <v>82</v>
      </c>
      <c r="H21" s="375" t="n">
        <v>2.33</v>
      </c>
      <c r="I21" s="141" t="n">
        <f aca="false">G21+H21</f>
        <v>84.33</v>
      </c>
      <c r="J21" s="261" t="n">
        <f aca="false">IF(L21&gt;0,L21,0)</f>
        <v>33.5228358961432</v>
      </c>
      <c r="K21" s="141" t="n">
        <f aca="false">I21+J21</f>
        <v>117.852835896143</v>
      </c>
      <c r="L21" s="141" t="n">
        <f aca="false">F21-(I21-AF21)</f>
        <v>33.5228358961432</v>
      </c>
      <c r="M21" s="284" t="n">
        <v>4.6</v>
      </c>
      <c r="N21" s="141" t="n">
        <v>0</v>
      </c>
      <c r="O21" s="141" t="n">
        <v>0</v>
      </c>
      <c r="P21" s="258" t="n">
        <v>0</v>
      </c>
      <c r="Q21" s="258" t="n">
        <f aca="false">1.43*1.02</f>
        <v>1.4586</v>
      </c>
      <c r="R21" s="258" t="n">
        <v>3.39</v>
      </c>
      <c r="S21" s="380" t="n">
        <v>0</v>
      </c>
      <c r="T21" s="104" t="n">
        <f aca="false">M21-(Q21+R21+S21)</f>
        <v>-0.248600000000001</v>
      </c>
      <c r="U21" s="141" t="n">
        <v>0</v>
      </c>
      <c r="V21" s="141" t="n">
        <v>0</v>
      </c>
      <c r="W21" s="141" t="n">
        <f aca="false">M21-N21-O21-P21-Q21-R21-S21-T21+U21+V21</f>
        <v>0</v>
      </c>
      <c r="X21" s="115"/>
      <c r="Y21" s="115"/>
      <c r="Z21" s="115"/>
      <c r="AA21" s="141" t="n">
        <v>0</v>
      </c>
      <c r="AB21" s="284"/>
      <c r="AC21" s="285"/>
      <c r="AD21" s="141" t="n">
        <v>22</v>
      </c>
      <c r="AE21" s="115" t="n">
        <f aca="false">AE20-AD21</f>
        <v>1496</v>
      </c>
      <c r="AF21" s="140" t="n">
        <f aca="false">N21+O21+P21+Q21+R21+S21+T21+W21+AA21+AD21</f>
        <v>26.6</v>
      </c>
      <c r="AG21" s="141" t="n">
        <f aca="false">IF(L21&lt;0,L21*-1,0)</f>
        <v>0</v>
      </c>
      <c r="AH21" s="141" t="n">
        <f aca="false">AF21+AG21</f>
        <v>26.6</v>
      </c>
      <c r="AI21" s="263" t="n">
        <v>0.12</v>
      </c>
      <c r="AJ21" s="264" t="n">
        <v>47</v>
      </c>
      <c r="AK21" s="265" t="n">
        <v>32</v>
      </c>
      <c r="AL21" s="264" t="n">
        <f aca="false">AL20+(W21*1.9835)</f>
        <v>8822.236385</v>
      </c>
      <c r="AM21" s="264" t="n">
        <v>0</v>
      </c>
      <c r="AN21" s="141"/>
      <c r="AO21" s="115"/>
      <c r="AP21" s="376"/>
    </row>
    <row r="22" customFormat="false" ht="12.95" hidden="false" customHeight="true" outlineLevel="0" collapsed="false">
      <c r="A22" s="186" t="n">
        <f aca="false">A21+1</f>
        <v>11</v>
      </c>
      <c r="B22" s="114" t="n">
        <v>6898</v>
      </c>
      <c r="C22" s="115" t="n">
        <v>276261</v>
      </c>
      <c r="D22" s="264" t="n">
        <f aca="false">C22-C21</f>
        <v>362</v>
      </c>
      <c r="E22" s="115" t="n">
        <f aca="false">C22-152000</f>
        <v>124261</v>
      </c>
      <c r="F22" s="283" t="n">
        <f aca="false">D22/$D$2</f>
        <v>182.505671792286</v>
      </c>
      <c r="G22" s="141" t="n">
        <v>69</v>
      </c>
      <c r="H22" s="375" t="n">
        <v>3</v>
      </c>
      <c r="I22" s="141" t="n">
        <f aca="false">G22+H22</f>
        <v>72</v>
      </c>
      <c r="J22" s="261" t="n">
        <f aca="false">IF(L22&gt;0,L22,0)</f>
        <v>138.105671792286</v>
      </c>
      <c r="K22" s="141" t="n">
        <f aca="false">I22+J22</f>
        <v>210.105671792286</v>
      </c>
      <c r="L22" s="141" t="n">
        <f aca="false">F22-(I22-AF22)</f>
        <v>138.105671792286</v>
      </c>
      <c r="M22" s="284" t="n">
        <v>4.6</v>
      </c>
      <c r="N22" s="141" t="n">
        <v>0</v>
      </c>
      <c r="O22" s="141" t="n">
        <v>0</v>
      </c>
      <c r="P22" s="258" t="n">
        <v>0</v>
      </c>
      <c r="Q22" s="258" t="n">
        <f aca="false">1.43*1.02</f>
        <v>1.4586</v>
      </c>
      <c r="R22" s="258" t="n">
        <v>3.27</v>
      </c>
      <c r="S22" s="380" t="n">
        <v>0</v>
      </c>
      <c r="T22" s="104" t="n">
        <f aca="false">M22-(Q22+R22+S22)</f>
        <v>-0.128600000000001</v>
      </c>
      <c r="U22" s="141" t="n">
        <v>0</v>
      </c>
      <c r="V22" s="141" t="n">
        <v>0</v>
      </c>
      <c r="W22" s="141" t="n">
        <f aca="false">M22-N22-O22-P22-Q22-R22-S22-T22+U22+V22</f>
        <v>0</v>
      </c>
      <c r="X22" s="115"/>
      <c r="Y22" s="115"/>
      <c r="Z22" s="115"/>
      <c r="AA22" s="141" t="n">
        <v>0</v>
      </c>
      <c r="AB22" s="284"/>
      <c r="AC22" s="285"/>
      <c r="AD22" s="141" t="n">
        <v>23</v>
      </c>
      <c r="AE22" s="115" t="n">
        <f aca="false">AE21-AD22</f>
        <v>1473</v>
      </c>
      <c r="AF22" s="140" t="n">
        <f aca="false">N22+O22+P22+Q22+R22+S22+T22+W22+AA22+AD22</f>
        <v>27.6</v>
      </c>
      <c r="AG22" s="141" t="n">
        <f aca="false">IF(L22&lt;0,L22*-1,0)</f>
        <v>0</v>
      </c>
      <c r="AH22" s="141" t="n">
        <f aca="false">AF22+AG22</f>
        <v>27.6</v>
      </c>
      <c r="AI22" s="263" t="n">
        <v>0.61</v>
      </c>
      <c r="AJ22" s="264" t="n">
        <v>45</v>
      </c>
      <c r="AK22" s="265" t="n">
        <v>32</v>
      </c>
      <c r="AL22" s="264" t="n">
        <f aca="false">AL21+(W22*1.9835)</f>
        <v>8822.236385</v>
      </c>
      <c r="AM22" s="264" t="n">
        <v>0</v>
      </c>
      <c r="AN22" s="141"/>
      <c r="AO22" s="115"/>
      <c r="AP22" s="376"/>
    </row>
    <row r="23" customFormat="false" ht="12.95" hidden="false" customHeight="true" outlineLevel="0" collapsed="false">
      <c r="A23" s="186" t="n">
        <f aca="false">A22+1</f>
        <v>12</v>
      </c>
      <c r="B23" s="114" t="n">
        <v>6898.04</v>
      </c>
      <c r="C23" s="115" t="n">
        <v>276407</v>
      </c>
      <c r="D23" s="264" t="n">
        <f aca="false">C23-C22</f>
        <v>146</v>
      </c>
      <c r="E23" s="115" t="n">
        <f aca="false">C23-152000</f>
        <v>124407</v>
      </c>
      <c r="F23" s="283" t="n">
        <f aca="false">D23/$D$2</f>
        <v>73.6072598941265</v>
      </c>
      <c r="G23" s="141" t="n">
        <v>64</v>
      </c>
      <c r="H23" s="375" t="n">
        <v>3.7</v>
      </c>
      <c r="I23" s="141" t="n">
        <f aca="false">G23+H23</f>
        <v>67.7</v>
      </c>
      <c r="J23" s="261" t="n">
        <f aca="false">IF(L23&gt;0,L23,0)</f>
        <v>32.5072598941265</v>
      </c>
      <c r="K23" s="141" t="n">
        <f aca="false">I23+J23</f>
        <v>100.207259894127</v>
      </c>
      <c r="L23" s="141" t="n">
        <f aca="false">F23-(I23-AF23)</f>
        <v>32.5072598941265</v>
      </c>
      <c r="M23" s="284" t="n">
        <v>4.6</v>
      </c>
      <c r="N23" s="141" t="n">
        <v>0</v>
      </c>
      <c r="O23" s="141" t="n">
        <v>0</v>
      </c>
      <c r="P23" s="258" t="n">
        <v>0</v>
      </c>
      <c r="Q23" s="258" t="n">
        <f aca="false">1.43*1.02</f>
        <v>1.4586</v>
      </c>
      <c r="R23" s="258" t="n">
        <v>3.63</v>
      </c>
      <c r="S23" s="380" t="n">
        <v>0</v>
      </c>
      <c r="T23" s="104" t="n">
        <f aca="false">M23-(Q23+R23+S23)</f>
        <v>-0.4886</v>
      </c>
      <c r="U23" s="141" t="n">
        <v>0</v>
      </c>
      <c r="V23" s="141" t="n">
        <v>0</v>
      </c>
      <c r="W23" s="141" t="n">
        <f aca="false">M23-N23-O23-P23-Q23-R23-S23-T23+U23+V23</f>
        <v>0</v>
      </c>
      <c r="X23" s="115"/>
      <c r="Y23" s="115"/>
      <c r="Z23" s="115"/>
      <c r="AA23" s="141" t="n">
        <v>0</v>
      </c>
      <c r="AB23" s="284"/>
      <c r="AC23" s="285"/>
      <c r="AD23" s="141" t="n">
        <v>22</v>
      </c>
      <c r="AE23" s="115" t="n">
        <f aca="false">AE22-AD23</f>
        <v>1451</v>
      </c>
      <c r="AF23" s="140" t="n">
        <f aca="false">N23+O23+P23+Q23+R23+S23+T23+W23+AA23+AD23</f>
        <v>26.6</v>
      </c>
      <c r="AG23" s="141" t="n">
        <f aca="false">IF(L23&lt;0,L23*-1,0)</f>
        <v>0</v>
      </c>
      <c r="AH23" s="141" t="n">
        <f aca="false">AF23+AG23</f>
        <v>26.6</v>
      </c>
      <c r="AI23" s="263" t="n">
        <v>0</v>
      </c>
      <c r="AJ23" s="264" t="n">
        <v>46</v>
      </c>
      <c r="AK23" s="265" t="n">
        <v>28</v>
      </c>
      <c r="AL23" s="264" t="n">
        <f aca="false">AL22+(W23*1.9835)</f>
        <v>8822.236385</v>
      </c>
      <c r="AM23" s="264" t="n">
        <v>0</v>
      </c>
      <c r="AN23" s="141"/>
      <c r="AO23" s="115"/>
      <c r="AP23" s="376"/>
    </row>
    <row r="24" customFormat="false" ht="12.95" hidden="false" customHeight="true" outlineLevel="0" collapsed="false">
      <c r="A24" s="186" t="n">
        <f aca="false">A23+1</f>
        <v>13</v>
      </c>
      <c r="B24" s="114" t="n">
        <v>6898.09</v>
      </c>
      <c r="C24" s="115" t="n">
        <v>276589</v>
      </c>
      <c r="D24" s="264" t="n">
        <f aca="false">C24-C23</f>
        <v>182</v>
      </c>
      <c r="E24" s="115" t="n">
        <f aca="false">C24-152000</f>
        <v>124589</v>
      </c>
      <c r="F24" s="283" t="n">
        <f aca="false">D24/$D$2</f>
        <v>91.7569952104865</v>
      </c>
      <c r="G24" s="141" t="n">
        <v>75</v>
      </c>
      <c r="H24" s="375" t="n">
        <v>3.4</v>
      </c>
      <c r="I24" s="141" t="n">
        <f aca="false">G24+H24</f>
        <v>78.4</v>
      </c>
      <c r="J24" s="261" t="n">
        <f aca="false">IF(L24&gt;0,L24,0)</f>
        <v>41.2569952104865</v>
      </c>
      <c r="K24" s="141" t="n">
        <f aca="false">I24+J24</f>
        <v>119.656995210487</v>
      </c>
      <c r="L24" s="141" t="n">
        <f aca="false">F24-(I24-AF24)</f>
        <v>41.2569952104865</v>
      </c>
      <c r="M24" s="284" t="n">
        <v>4.9</v>
      </c>
      <c r="N24" s="141" t="n">
        <v>0</v>
      </c>
      <c r="O24" s="141" t="n">
        <v>0</v>
      </c>
      <c r="P24" s="258" t="n">
        <v>0</v>
      </c>
      <c r="Q24" s="258" t="n">
        <f aca="false">1.43*1.02</f>
        <v>1.4586</v>
      </c>
      <c r="R24" s="258" t="n">
        <v>3.21</v>
      </c>
      <c r="S24" s="380" t="n">
        <v>0</v>
      </c>
      <c r="T24" s="104" t="n">
        <f aca="false">M24-(Q24+R24+S24)</f>
        <v>0.231400000000001</v>
      </c>
      <c r="U24" s="141" t="n">
        <v>0</v>
      </c>
      <c r="V24" s="141" t="n">
        <v>0</v>
      </c>
      <c r="W24" s="141" t="n">
        <f aca="false">M24-N24-O24-P24-Q24-R24-S24-T24+U24+V24</f>
        <v>0</v>
      </c>
      <c r="X24" s="115"/>
      <c r="Y24" s="115"/>
      <c r="Z24" s="115"/>
      <c r="AA24" s="141" t="n">
        <v>0</v>
      </c>
      <c r="AB24" s="284"/>
      <c r="AC24" s="285"/>
      <c r="AD24" s="141" t="n">
        <v>23</v>
      </c>
      <c r="AE24" s="115" t="n">
        <f aca="false">AE23-AD24</f>
        <v>1428</v>
      </c>
      <c r="AF24" s="140" t="n">
        <f aca="false">N24+O24+P24+Q24+R24+S24+T24+W24+AA24+AD24</f>
        <v>27.9</v>
      </c>
      <c r="AG24" s="141" t="n">
        <f aca="false">IF(L24&lt;0,L24*-1,0)</f>
        <v>0</v>
      </c>
      <c r="AH24" s="141" t="n">
        <f aca="false">AF24+AG24</f>
        <v>27.9</v>
      </c>
      <c r="AI24" s="263" t="n">
        <v>0.42</v>
      </c>
      <c r="AJ24" s="264" t="n">
        <v>40</v>
      </c>
      <c r="AK24" s="265" t="n">
        <v>18</v>
      </c>
      <c r="AL24" s="264" t="n">
        <f aca="false">AL23+(W24*1.9835)</f>
        <v>8822.236385</v>
      </c>
      <c r="AM24" s="264" t="n">
        <v>0</v>
      </c>
      <c r="AN24" s="141"/>
      <c r="AO24" s="115"/>
      <c r="AP24" s="376"/>
    </row>
    <row r="25" customFormat="false" ht="12.95" hidden="false" customHeight="true" outlineLevel="0" collapsed="false">
      <c r="A25" s="186" t="n">
        <f aca="false">A24+1</f>
        <v>14</v>
      </c>
      <c r="B25" s="114" t="n">
        <v>6898.12</v>
      </c>
      <c r="C25" s="115" t="n">
        <v>276698</v>
      </c>
      <c r="D25" s="264" t="n">
        <f aca="false">C25-C24</f>
        <v>109</v>
      </c>
      <c r="E25" s="115" t="n">
        <f aca="false">C25-152000</f>
        <v>124698</v>
      </c>
      <c r="F25" s="283" t="n">
        <f aca="false">D25/$D$2</f>
        <v>54.9533652634232</v>
      </c>
      <c r="G25" s="141" t="n">
        <v>70</v>
      </c>
      <c r="H25" s="375" t="n">
        <v>3</v>
      </c>
      <c r="I25" s="141" t="n">
        <f aca="false">G25+H25</f>
        <v>73</v>
      </c>
      <c r="J25" s="261" t="n">
        <f aca="false">IF(L25&gt;0,L25,0)</f>
        <v>8.65336526342325</v>
      </c>
      <c r="K25" s="141" t="n">
        <f aca="false">I25+J25</f>
        <v>81.6533652634232</v>
      </c>
      <c r="L25" s="141" t="n">
        <f aca="false">F25-(I25-AF25)</f>
        <v>8.65336526342325</v>
      </c>
      <c r="M25" s="284" t="n">
        <v>4.7</v>
      </c>
      <c r="N25" s="141" t="n">
        <v>0</v>
      </c>
      <c r="O25" s="141" t="n">
        <v>0</v>
      </c>
      <c r="P25" s="258" t="n">
        <v>0</v>
      </c>
      <c r="Q25" s="258" t="n">
        <f aca="false">1.43*1.02</f>
        <v>1.4586</v>
      </c>
      <c r="R25" s="258" t="n">
        <v>3.54</v>
      </c>
      <c r="S25" s="380" t="n">
        <v>0</v>
      </c>
      <c r="T25" s="104" t="n">
        <f aca="false">M25-(Q25+R25+S25)</f>
        <v>-0.2986</v>
      </c>
      <c r="U25" s="141" t="n">
        <v>0</v>
      </c>
      <c r="V25" s="141" t="n">
        <v>0</v>
      </c>
      <c r="W25" s="141" t="n">
        <f aca="false">M25-N25-O25-P25-Q25-R25-S25-T25+U25+V25</f>
        <v>0</v>
      </c>
      <c r="X25" s="115"/>
      <c r="Y25" s="115"/>
      <c r="Z25" s="115"/>
      <c r="AA25" s="141" t="n">
        <v>0</v>
      </c>
      <c r="AB25" s="284"/>
      <c r="AC25" s="285"/>
      <c r="AD25" s="141" t="n">
        <v>22</v>
      </c>
      <c r="AE25" s="115" t="n">
        <f aca="false">AE24-AD25</f>
        <v>1406</v>
      </c>
      <c r="AF25" s="140" t="n">
        <f aca="false">N25+O25+P25+Q25+R25+S25+T25+W25+AA25+AD25</f>
        <v>26.7</v>
      </c>
      <c r="AG25" s="141" t="n">
        <f aca="false">IF(L25&lt;0,L25*-1,0)</f>
        <v>0</v>
      </c>
      <c r="AH25" s="141" t="n">
        <f aca="false">AF25+AG25</f>
        <v>26.7</v>
      </c>
      <c r="AI25" s="263" t="n">
        <v>0</v>
      </c>
      <c r="AJ25" s="266" t="n">
        <v>35</v>
      </c>
      <c r="AK25" s="265" t="n">
        <v>13</v>
      </c>
      <c r="AL25" s="264" t="n">
        <f aca="false">AL24+(W25*1.9835)</f>
        <v>8822.236385</v>
      </c>
      <c r="AM25" s="264" t="n">
        <v>0</v>
      </c>
      <c r="AN25" s="141"/>
      <c r="AO25" s="115"/>
      <c r="AP25" s="376"/>
    </row>
    <row r="26" customFormat="false" ht="12.95" hidden="false" customHeight="true" outlineLevel="0" collapsed="false">
      <c r="A26" s="186" t="n">
        <f aca="false">A25+1</f>
        <v>15</v>
      </c>
      <c r="B26" s="114" t="n">
        <v>6998.14</v>
      </c>
      <c r="C26" s="115" t="n">
        <v>276771</v>
      </c>
      <c r="D26" s="264" t="n">
        <f aca="false">C26-C25</f>
        <v>73</v>
      </c>
      <c r="E26" s="115" t="n">
        <f aca="false">C26-152000</f>
        <v>124771</v>
      </c>
      <c r="F26" s="283" t="n">
        <f aca="false">D26/$D$2</f>
        <v>36.8036299470633</v>
      </c>
      <c r="G26" s="141" t="n">
        <v>58</v>
      </c>
      <c r="H26" s="375" t="n">
        <v>2.9</v>
      </c>
      <c r="I26" s="141" t="n">
        <f aca="false">G26+H26</f>
        <v>60.9</v>
      </c>
      <c r="J26" s="261" t="n">
        <f aca="false">IF(L26&gt;0,L26,0)</f>
        <v>2.50362994706327</v>
      </c>
      <c r="K26" s="141" t="n">
        <f aca="false">I26+J26</f>
        <v>63.4036299470633</v>
      </c>
      <c r="L26" s="141" t="n">
        <f aca="false">F26-(I26-AF26)</f>
        <v>2.50362994706327</v>
      </c>
      <c r="M26" s="284" t="n">
        <v>4.6</v>
      </c>
      <c r="N26" s="141" t="n">
        <v>0</v>
      </c>
      <c r="O26" s="141" t="n">
        <v>0</v>
      </c>
      <c r="P26" s="258" t="n">
        <v>0</v>
      </c>
      <c r="Q26" s="258" t="n">
        <f aca="false">1.43*1.02</f>
        <v>1.4586</v>
      </c>
      <c r="R26" s="258" t="n">
        <v>2.66</v>
      </c>
      <c r="S26" s="380" t="n">
        <v>0</v>
      </c>
      <c r="T26" s="104" t="n">
        <f aca="false">M26-(Q26+R26+S26)</f>
        <v>0.4814</v>
      </c>
      <c r="U26" s="141" t="n">
        <v>0</v>
      </c>
      <c r="V26" s="141" t="n">
        <v>0</v>
      </c>
      <c r="W26" s="141" t="n">
        <f aca="false">M26-N26-O26-P26-Q26-R26-S26-T26+U26+V26</f>
        <v>0</v>
      </c>
      <c r="X26" s="115"/>
      <c r="Y26" s="115"/>
      <c r="Z26" s="115"/>
      <c r="AA26" s="141" t="n">
        <v>0</v>
      </c>
      <c r="AB26" s="284"/>
      <c r="AC26" s="285"/>
      <c r="AD26" s="141" t="n">
        <v>22</v>
      </c>
      <c r="AE26" s="115" t="n">
        <f aca="false">AE25-AD26</f>
        <v>1384</v>
      </c>
      <c r="AF26" s="140" t="n">
        <f aca="false">N26+O26+P26+Q26+R26+S26+T26+W26+AA26+AD26</f>
        <v>26.6</v>
      </c>
      <c r="AG26" s="141" t="n">
        <f aca="false">IF(L26&lt;0,L26*-1,0)</f>
        <v>0</v>
      </c>
      <c r="AH26" s="141" t="n">
        <f aca="false">AF26+AG26</f>
        <v>26.6</v>
      </c>
      <c r="AI26" s="263" t="n">
        <v>0</v>
      </c>
      <c r="AJ26" s="266" t="n">
        <v>38</v>
      </c>
      <c r="AK26" s="265" t="n">
        <v>12</v>
      </c>
      <c r="AL26" s="264" t="n">
        <f aca="false">AL25+(W26*1.9835)</f>
        <v>8822.236385</v>
      </c>
      <c r="AM26" s="264" t="n">
        <v>0</v>
      </c>
      <c r="AN26" s="141"/>
      <c r="AO26" s="115"/>
      <c r="AP26" s="376"/>
    </row>
    <row r="27" customFormat="false" ht="12.95" hidden="false" customHeight="true" outlineLevel="0" collapsed="false">
      <c r="A27" s="186" t="n">
        <f aca="false">A26+1</f>
        <v>16</v>
      </c>
      <c r="B27" s="114" t="n">
        <v>6998.16</v>
      </c>
      <c r="C27" s="115" t="n">
        <v>276844</v>
      </c>
      <c r="D27" s="264" t="n">
        <f aca="false">C27-C26</f>
        <v>73</v>
      </c>
      <c r="E27" s="115" t="n">
        <f aca="false">C27-152000</f>
        <v>124844</v>
      </c>
      <c r="F27" s="283" t="n">
        <f aca="false">D27/$D$2</f>
        <v>36.8036299470633</v>
      </c>
      <c r="G27" s="141" t="n">
        <v>55</v>
      </c>
      <c r="H27" s="375" t="n">
        <v>2.6</v>
      </c>
      <c r="I27" s="141" t="n">
        <f aca="false">G27+H27</f>
        <v>57.6</v>
      </c>
      <c r="J27" s="261" t="n">
        <f aca="false">IF(L27&gt;0,L27,0)</f>
        <v>5.80362994706327</v>
      </c>
      <c r="K27" s="141" t="n">
        <f aca="false">I27+J27</f>
        <v>63.4036299470633</v>
      </c>
      <c r="L27" s="141" t="n">
        <f aca="false">F27-(I27-AF27)</f>
        <v>5.80362994706327</v>
      </c>
      <c r="M27" s="284" t="n">
        <v>4.6</v>
      </c>
      <c r="N27" s="141" t="n">
        <v>0</v>
      </c>
      <c r="O27" s="141" t="n">
        <v>0</v>
      </c>
      <c r="P27" s="258" t="n">
        <v>0</v>
      </c>
      <c r="Q27" s="258" t="n">
        <f aca="false">1.43*1.02</f>
        <v>1.4586</v>
      </c>
      <c r="R27" s="258" t="n">
        <v>2.94</v>
      </c>
      <c r="S27" s="380" t="n">
        <v>0</v>
      </c>
      <c r="T27" s="104" t="n">
        <f aca="false">M27-(Q27+R27+S27)</f>
        <v>0.2014</v>
      </c>
      <c r="U27" s="141" t="n">
        <v>0</v>
      </c>
      <c r="V27" s="141" t="n">
        <v>0</v>
      </c>
      <c r="W27" s="141" t="n">
        <f aca="false">M27-N27-O27-P27-Q27-R27-S27-T27+U27+V27</f>
        <v>0</v>
      </c>
      <c r="X27" s="115"/>
      <c r="Y27" s="115"/>
      <c r="Z27" s="115"/>
      <c r="AA27" s="141" t="n">
        <v>0</v>
      </c>
      <c r="AB27" s="284"/>
      <c r="AC27" s="285"/>
      <c r="AD27" s="141" t="n">
        <v>22</v>
      </c>
      <c r="AE27" s="115" t="n">
        <f aca="false">AE26-AD27</f>
        <v>1362</v>
      </c>
      <c r="AF27" s="140" t="n">
        <f aca="false">N27+O27+P27+Q27+R27+S27+T27+W27+AA27+AD27</f>
        <v>26.6</v>
      </c>
      <c r="AG27" s="141" t="n">
        <f aca="false">IF(L27&lt;0,L27*-1,0)</f>
        <v>0</v>
      </c>
      <c r="AH27" s="141" t="n">
        <f aca="false">AF27+AG27</f>
        <v>26.6</v>
      </c>
      <c r="AI27" s="263" t="n">
        <v>0</v>
      </c>
      <c r="AJ27" s="266" t="n">
        <v>47</v>
      </c>
      <c r="AK27" s="265" t="n">
        <v>17</v>
      </c>
      <c r="AL27" s="264" t="n">
        <f aca="false">AL26+(W27*1.9835)</f>
        <v>8822.236385</v>
      </c>
      <c r="AM27" s="264" t="n">
        <v>0</v>
      </c>
      <c r="AN27" s="141"/>
      <c r="AO27" s="115"/>
      <c r="AP27" s="376"/>
    </row>
    <row r="28" customFormat="false" ht="12.95" hidden="false" customHeight="true" outlineLevel="0" collapsed="false">
      <c r="A28" s="186" t="n">
        <f aca="false">A27+1</f>
        <v>17</v>
      </c>
      <c r="B28" s="114" t="n">
        <v>6998.18</v>
      </c>
      <c r="C28" s="115" t="n">
        <v>276917</v>
      </c>
      <c r="D28" s="264" t="n">
        <f aca="false">C28-C27</f>
        <v>73</v>
      </c>
      <c r="E28" s="115" t="n">
        <f aca="false">C28-152000</f>
        <v>124917</v>
      </c>
      <c r="F28" s="283" t="n">
        <f aca="false">D28/$D$2</f>
        <v>36.8036299470633</v>
      </c>
      <c r="G28" s="141" t="n">
        <v>50</v>
      </c>
      <c r="H28" s="375" t="n">
        <v>2.4</v>
      </c>
      <c r="I28" s="141" t="n">
        <f aca="false">G28+H28</f>
        <v>52.4</v>
      </c>
      <c r="J28" s="261" t="n">
        <f aca="false">IF(L28&gt;0,L28,0)</f>
        <v>11.0036299470633</v>
      </c>
      <c r="K28" s="141" t="n">
        <f aca="false">I28+J28</f>
        <v>63.4036299470633</v>
      </c>
      <c r="L28" s="141" t="n">
        <f aca="false">F28-(I28-AF28)</f>
        <v>11.0036299470633</v>
      </c>
      <c r="M28" s="284" t="n">
        <v>4.6</v>
      </c>
      <c r="N28" s="141" t="n">
        <v>0</v>
      </c>
      <c r="O28" s="141" t="n">
        <v>0</v>
      </c>
      <c r="P28" s="258" t="n">
        <v>0</v>
      </c>
      <c r="Q28" s="258" t="n">
        <f aca="false">1.43*1.02</f>
        <v>1.4586</v>
      </c>
      <c r="R28" s="258" t="n">
        <v>3.21</v>
      </c>
      <c r="S28" s="380" t="n">
        <v>0</v>
      </c>
      <c r="T28" s="104" t="n">
        <f aca="false">M28-(Q28+R28+S28)</f>
        <v>-0.0686</v>
      </c>
      <c r="U28" s="141" t="n">
        <v>0</v>
      </c>
      <c r="V28" s="141" t="n">
        <v>0</v>
      </c>
      <c r="W28" s="141" t="n">
        <f aca="false">M28-N28-O28-P28-Q28-R28-S28-T28+U28+V28</f>
        <v>0</v>
      </c>
      <c r="X28" s="115"/>
      <c r="Y28" s="115"/>
      <c r="Z28" s="115"/>
      <c r="AA28" s="141" t="n">
        <v>0</v>
      </c>
      <c r="AB28" s="284"/>
      <c r="AC28" s="285"/>
      <c r="AD28" s="141" t="n">
        <v>22</v>
      </c>
      <c r="AE28" s="115" t="n">
        <f aca="false">AE27-AD28</f>
        <v>1340</v>
      </c>
      <c r="AF28" s="140" t="n">
        <f aca="false">N28+O28+P28+Q28+R28+S28+T28+W28+AA28+AD28</f>
        <v>26.6</v>
      </c>
      <c r="AG28" s="141" t="n">
        <f aca="false">IF(L28&lt;0,L28*-1,0)</f>
        <v>0</v>
      </c>
      <c r="AH28" s="141" t="n">
        <f aca="false">AF28+AG28</f>
        <v>26.6</v>
      </c>
      <c r="AI28" s="263" t="n">
        <v>0</v>
      </c>
      <c r="AJ28" s="266" t="n">
        <v>48</v>
      </c>
      <c r="AK28" s="265" t="n">
        <v>21</v>
      </c>
      <c r="AL28" s="264" t="n">
        <f aca="false">AL27+(W28*1.9835)</f>
        <v>8822.236385</v>
      </c>
      <c r="AM28" s="264" t="n">
        <v>0</v>
      </c>
      <c r="AN28" s="141"/>
      <c r="AO28" s="115"/>
      <c r="AP28" s="376"/>
    </row>
    <row r="29" customFormat="false" ht="12.95" hidden="false" customHeight="true" outlineLevel="0" collapsed="false">
      <c r="A29" s="186" t="n">
        <f aca="false">A28+1</f>
        <v>18</v>
      </c>
      <c r="B29" s="114" t="n">
        <v>6998.21</v>
      </c>
      <c r="C29" s="115" t="n">
        <v>277026</v>
      </c>
      <c r="D29" s="264" t="n">
        <f aca="false">C29-C28</f>
        <v>109</v>
      </c>
      <c r="E29" s="115" t="n">
        <f aca="false">C29-152000</f>
        <v>125026</v>
      </c>
      <c r="F29" s="283" t="n">
        <f aca="false">D29/$D$2</f>
        <v>54.9533652634232</v>
      </c>
      <c r="G29" s="141" t="n">
        <v>45</v>
      </c>
      <c r="H29" s="375" t="n">
        <v>2.3</v>
      </c>
      <c r="I29" s="141" t="n">
        <f aca="false">G29+H29</f>
        <v>47.3</v>
      </c>
      <c r="J29" s="261" t="n">
        <f aca="false">IF(L29&gt;0,L29,0)</f>
        <v>34.0533652634232</v>
      </c>
      <c r="K29" s="141" t="n">
        <f aca="false">I29+J29</f>
        <v>81.3533652634233</v>
      </c>
      <c r="L29" s="141" t="n">
        <f aca="false">F29-(I29-AF29)</f>
        <v>34.0533652634232</v>
      </c>
      <c r="M29" s="284" t="n">
        <v>4.4</v>
      </c>
      <c r="N29" s="141" t="n">
        <v>0</v>
      </c>
      <c r="O29" s="141" t="n">
        <v>0</v>
      </c>
      <c r="P29" s="258" t="n">
        <v>0</v>
      </c>
      <c r="Q29" s="258" t="n">
        <f aca="false">1.43*1.02</f>
        <v>1.4586</v>
      </c>
      <c r="R29" s="258" t="n">
        <v>3.85</v>
      </c>
      <c r="S29" s="380" t="n">
        <v>0</v>
      </c>
      <c r="T29" s="104" t="n">
        <f aca="false">M29-(Q29+R29+S29)</f>
        <v>-0.9086</v>
      </c>
      <c r="U29" s="141" t="n">
        <v>0</v>
      </c>
      <c r="V29" s="141" t="n">
        <v>0</v>
      </c>
      <c r="W29" s="141" t="n">
        <f aca="false">M29-N29-O29-P29-Q29-R29-S29-T29+U29+V29</f>
        <v>0</v>
      </c>
      <c r="X29" s="115"/>
      <c r="Y29" s="115"/>
      <c r="Z29" s="115"/>
      <c r="AA29" s="141" t="n">
        <v>0</v>
      </c>
      <c r="AB29" s="284"/>
      <c r="AC29" s="285"/>
      <c r="AD29" s="141" t="n">
        <v>22</v>
      </c>
      <c r="AE29" s="115" t="n">
        <f aca="false">AE28-AD29</f>
        <v>1318</v>
      </c>
      <c r="AF29" s="140" t="n">
        <f aca="false">N29+O29+P29+Q29+R29+S29+T29+W29+AA29+AD29</f>
        <v>26.4</v>
      </c>
      <c r="AG29" s="141" t="n">
        <f aca="false">IF(L29&lt;0,L29*-1,0)</f>
        <v>0</v>
      </c>
      <c r="AH29" s="141" t="n">
        <f aca="false">AF29+AG29</f>
        <v>26.4</v>
      </c>
      <c r="AI29" s="381" t="n">
        <v>0</v>
      </c>
      <c r="AJ29" s="266" t="n">
        <v>48</v>
      </c>
      <c r="AK29" s="265" t="n">
        <v>22</v>
      </c>
      <c r="AL29" s="264" t="n">
        <f aca="false">AL28+(W29*1.9835)</f>
        <v>8822.236385</v>
      </c>
      <c r="AM29" s="264" t="n">
        <v>0</v>
      </c>
      <c r="AN29" s="141"/>
      <c r="AO29" s="115"/>
      <c r="AP29" s="376"/>
    </row>
    <row r="30" customFormat="false" ht="12.95" hidden="false" customHeight="true" outlineLevel="0" collapsed="false">
      <c r="A30" s="186" t="n">
        <f aca="false">A29+1</f>
        <v>19</v>
      </c>
      <c r="B30" s="114" t="n">
        <v>6898.26</v>
      </c>
      <c r="C30" s="382" t="n">
        <v>277209</v>
      </c>
      <c r="D30" s="264" t="n">
        <f aca="false">C30-C29</f>
        <v>183</v>
      </c>
      <c r="E30" s="115" t="n">
        <f aca="false">C30-152000</f>
        <v>125209</v>
      </c>
      <c r="F30" s="283" t="n">
        <f aca="false">D30/$D$2</f>
        <v>92.2611545248298</v>
      </c>
      <c r="G30" s="141" t="n">
        <v>47</v>
      </c>
      <c r="H30" s="375" t="n">
        <v>2.2</v>
      </c>
      <c r="I30" s="141" t="n">
        <f aca="false">G30+H30</f>
        <v>49.2</v>
      </c>
      <c r="J30" s="261" t="n">
        <f aca="false">IF(L30&gt;0,L30,0)</f>
        <v>68.3611545248298</v>
      </c>
      <c r="K30" s="141" t="n">
        <f aca="false">I30+J30</f>
        <v>117.56115452483</v>
      </c>
      <c r="L30" s="141" t="n">
        <f aca="false">F30-(I30-AF30)</f>
        <v>68.3611545248298</v>
      </c>
      <c r="M30" s="284" t="n">
        <v>3.3</v>
      </c>
      <c r="N30" s="141" t="n">
        <v>0</v>
      </c>
      <c r="O30" s="141" t="n">
        <v>0</v>
      </c>
      <c r="P30" s="258" t="n">
        <v>0</v>
      </c>
      <c r="Q30" s="258" t="n">
        <f aca="false">1.43*1.02</f>
        <v>1.4586</v>
      </c>
      <c r="R30" s="258" t="n">
        <v>2.82</v>
      </c>
      <c r="S30" s="380" t="n">
        <v>0</v>
      </c>
      <c r="T30" s="104" t="n">
        <f aca="false">M30-(Q30+R30+S30)</f>
        <v>-0.9786</v>
      </c>
      <c r="U30" s="141" t="n">
        <v>0</v>
      </c>
      <c r="V30" s="141" t="n">
        <v>0</v>
      </c>
      <c r="W30" s="141" t="n">
        <f aca="false">M30-N30-O30-P30-Q30-R30-S30-T30+U30+V30</f>
        <v>0</v>
      </c>
      <c r="X30" s="115"/>
      <c r="Y30" s="115"/>
      <c r="Z30" s="115"/>
      <c r="AA30" s="141" t="n">
        <v>0</v>
      </c>
      <c r="AB30" s="284"/>
      <c r="AC30" s="285"/>
      <c r="AD30" s="141" t="n">
        <v>22</v>
      </c>
      <c r="AE30" s="115" t="n">
        <f aca="false">AE29-AD30</f>
        <v>1296</v>
      </c>
      <c r="AF30" s="140" t="n">
        <f aca="false">N30+O30+P30+Q30+R30+S30+T30+W30+AA30+AD30</f>
        <v>25.3</v>
      </c>
      <c r="AG30" s="141" t="n">
        <f aca="false">IF(L30&lt;0,L30*-1,0)</f>
        <v>0</v>
      </c>
      <c r="AH30" s="141" t="n">
        <f aca="false">AF30+AG30</f>
        <v>25.3</v>
      </c>
      <c r="AI30" s="263" t="n">
        <v>0.02</v>
      </c>
      <c r="AJ30" s="266" t="n">
        <v>47</v>
      </c>
      <c r="AK30" s="265" t="n">
        <v>31</v>
      </c>
      <c r="AL30" s="264" t="n">
        <f aca="false">AL29+(W30*1.9835)</f>
        <v>8822.236385</v>
      </c>
      <c r="AM30" s="264" t="n">
        <v>0</v>
      </c>
      <c r="AN30" s="141"/>
      <c r="AO30" s="115"/>
      <c r="AP30" s="376"/>
    </row>
    <row r="31" customFormat="false" ht="12.95" hidden="false" customHeight="true" outlineLevel="0" collapsed="false">
      <c r="A31" s="186" t="n">
        <f aca="false">A30+1</f>
        <v>20</v>
      </c>
      <c r="B31" s="114" t="n">
        <v>6898.28</v>
      </c>
      <c r="C31" s="115" t="n">
        <v>277281</v>
      </c>
      <c r="D31" s="264" t="n">
        <f aca="false">C31-C30</f>
        <v>72</v>
      </c>
      <c r="E31" s="115" t="n">
        <f aca="false">C31-152000</f>
        <v>125281</v>
      </c>
      <c r="F31" s="283" t="n">
        <f aca="false">D31/$D$2</f>
        <v>36.2994706327199</v>
      </c>
      <c r="G31" s="141" t="n">
        <v>56</v>
      </c>
      <c r="H31" s="375" t="n">
        <v>2.1</v>
      </c>
      <c r="I31" s="141" t="n">
        <f aca="false">G31+H31</f>
        <v>58.1</v>
      </c>
      <c r="J31" s="261" t="n">
        <f aca="false">IF(L31&gt;0,L31,0)</f>
        <v>4.09947063271994</v>
      </c>
      <c r="K31" s="141" t="n">
        <f aca="false">I31+J31</f>
        <v>62.1994706327199</v>
      </c>
      <c r="L31" s="141" t="n">
        <f aca="false">F31-(I31-AF31)</f>
        <v>4.09947063271994</v>
      </c>
      <c r="M31" s="284" t="n">
        <v>2.9</v>
      </c>
      <c r="N31" s="141" t="n">
        <v>0</v>
      </c>
      <c r="O31" s="141" t="n">
        <v>0</v>
      </c>
      <c r="P31" s="258" t="n">
        <v>0</v>
      </c>
      <c r="Q31" s="258" t="n">
        <f aca="false">1.43*1.02</f>
        <v>1.4586</v>
      </c>
      <c r="R31" s="258" t="n">
        <v>2.53</v>
      </c>
      <c r="S31" s="380" t="n">
        <v>0</v>
      </c>
      <c r="T31" s="104" t="n">
        <f aca="false">M31-(Q31+R31+S31)</f>
        <v>-1.0886</v>
      </c>
      <c r="U31" s="141" t="n">
        <v>0</v>
      </c>
      <c r="V31" s="141" t="n">
        <v>0</v>
      </c>
      <c r="W31" s="141" t="n">
        <f aca="false">M31-N31-O31-P31-Q31-R31-S31-T31+U31+V31</f>
        <v>0</v>
      </c>
      <c r="X31" s="115"/>
      <c r="Y31" s="115"/>
      <c r="Z31" s="115"/>
      <c r="AA31" s="141" t="n">
        <v>0</v>
      </c>
      <c r="AB31" s="284"/>
      <c r="AC31" s="285"/>
      <c r="AD31" s="141" t="n">
        <v>23</v>
      </c>
      <c r="AE31" s="115" t="n">
        <f aca="false">AE30-AD31</f>
        <v>1273</v>
      </c>
      <c r="AF31" s="140" t="n">
        <f aca="false">N31+O31+P31+Q31+R31+S31+T31+W31+AA31+AD31</f>
        <v>25.9</v>
      </c>
      <c r="AG31" s="141" t="n">
        <f aca="false">IF(L31&lt;0,L31*-1,0)</f>
        <v>0</v>
      </c>
      <c r="AH31" s="141" t="n">
        <f aca="false">AF31+AG31</f>
        <v>25.9</v>
      </c>
      <c r="AI31" s="263" t="n">
        <v>0</v>
      </c>
      <c r="AJ31" s="266" t="n">
        <v>42</v>
      </c>
      <c r="AK31" s="265" t="n">
        <v>25</v>
      </c>
      <c r="AL31" s="264" t="n">
        <f aca="false">AL30+(W31*1.9835)</f>
        <v>8822.236385</v>
      </c>
      <c r="AM31" s="264" t="n">
        <v>0</v>
      </c>
      <c r="AN31" s="141"/>
      <c r="AO31" s="115"/>
      <c r="AP31" s="376"/>
    </row>
    <row r="32" customFormat="false" ht="12.95" hidden="false" customHeight="true" outlineLevel="0" collapsed="false">
      <c r="A32" s="186" t="n">
        <f aca="false">A31+1</f>
        <v>21</v>
      </c>
      <c r="B32" s="114" t="n">
        <v>6898.29</v>
      </c>
      <c r="C32" s="115" t="n">
        <v>277318</v>
      </c>
      <c r="D32" s="264" t="n">
        <f aca="false">C32-C31</f>
        <v>37</v>
      </c>
      <c r="E32" s="115" t="n">
        <f aca="false">C32-152000</f>
        <v>125318</v>
      </c>
      <c r="F32" s="283" t="n">
        <f aca="false">D32/$D$2</f>
        <v>18.6538946307033</v>
      </c>
      <c r="G32" s="141" t="n">
        <v>57</v>
      </c>
      <c r="H32" s="375" t="n">
        <v>2.5</v>
      </c>
      <c r="I32" s="141" t="n">
        <f aca="false">G32+H32</f>
        <v>59.5</v>
      </c>
      <c r="J32" s="261" t="n">
        <f aca="false">IF(L32&gt;0,L32,0)</f>
        <v>0</v>
      </c>
      <c r="K32" s="141" t="n">
        <f aca="false">I32+J32</f>
        <v>59.5</v>
      </c>
      <c r="L32" s="141" t="n">
        <f aca="false">F32-(I32-AF32)</f>
        <v>-13.7461053692967</v>
      </c>
      <c r="M32" s="284" t="n">
        <v>3.1</v>
      </c>
      <c r="N32" s="141" t="n">
        <v>0</v>
      </c>
      <c r="O32" s="141" t="n">
        <v>0</v>
      </c>
      <c r="P32" s="258" t="n">
        <v>0</v>
      </c>
      <c r="Q32" s="258" t="n">
        <f aca="false">1.43*1.02</f>
        <v>1.4586</v>
      </c>
      <c r="R32" s="258" t="n">
        <v>2.69</v>
      </c>
      <c r="S32" s="380" t="n">
        <v>0</v>
      </c>
      <c r="T32" s="104" t="n">
        <f aca="false">M32-(Q32+R32+S32)</f>
        <v>-1.0486</v>
      </c>
      <c r="U32" s="141" t="n">
        <v>0</v>
      </c>
      <c r="V32" s="141" t="n">
        <v>0</v>
      </c>
      <c r="W32" s="141" t="n">
        <f aca="false">M32-N32-O32-P32-Q32-R32-S32-T32+U32+V32</f>
        <v>0</v>
      </c>
      <c r="X32" s="115"/>
      <c r="Y32" s="115"/>
      <c r="Z32" s="115"/>
      <c r="AA32" s="141" t="n">
        <v>0</v>
      </c>
      <c r="AB32" s="284"/>
      <c r="AC32" s="285"/>
      <c r="AD32" s="141" t="n">
        <v>24</v>
      </c>
      <c r="AE32" s="115" t="n">
        <f aca="false">AE31-AD32</f>
        <v>1249</v>
      </c>
      <c r="AF32" s="140" t="n">
        <f aca="false">N32+O32+P32+Q32+R32+S32+T32+W32+AA32+AD32</f>
        <v>27.1</v>
      </c>
      <c r="AG32" s="141" t="n">
        <f aca="false">IF(L32&lt;0,L32*-1,0)</f>
        <v>13.7461053692967</v>
      </c>
      <c r="AH32" s="141" t="n">
        <f aca="false">AF32+AG32</f>
        <v>40.8461053692967</v>
      </c>
      <c r="AI32" s="263" t="n">
        <v>0</v>
      </c>
      <c r="AJ32" s="264" t="n">
        <v>53</v>
      </c>
      <c r="AK32" s="265" t="n">
        <v>22</v>
      </c>
      <c r="AL32" s="264" t="n">
        <f aca="false">AL31+(W32*1.9835)</f>
        <v>8822.236385</v>
      </c>
      <c r="AM32" s="264" t="n">
        <v>0</v>
      </c>
      <c r="AN32" s="141"/>
      <c r="AO32" s="115"/>
      <c r="AP32" s="376"/>
    </row>
    <row r="33" customFormat="false" ht="12.95" hidden="false" customHeight="true" outlineLevel="0" collapsed="false">
      <c r="A33" s="186" t="n">
        <f aca="false">A32+1</f>
        <v>22</v>
      </c>
      <c r="B33" s="114" t="n">
        <v>6898.33</v>
      </c>
      <c r="C33" s="115" t="n">
        <v>277464</v>
      </c>
      <c r="D33" s="264" t="n">
        <f aca="false">C33-C32</f>
        <v>146</v>
      </c>
      <c r="E33" s="115" t="n">
        <f aca="false">C33-152000</f>
        <v>125464</v>
      </c>
      <c r="F33" s="283" t="n">
        <f aca="false">D33/$D$2</f>
        <v>73.6072598941265</v>
      </c>
      <c r="G33" s="141" t="n">
        <v>55</v>
      </c>
      <c r="H33" s="375" t="n">
        <v>2.9</v>
      </c>
      <c r="I33" s="141" t="n">
        <f aca="false">G33+H33</f>
        <v>57.9</v>
      </c>
      <c r="J33" s="261" t="n">
        <f aca="false">IF(L33&gt;0,L33,0)</f>
        <v>41.8072598941266</v>
      </c>
      <c r="K33" s="141" t="n">
        <f aca="false">I33+J33</f>
        <v>99.7072598941265</v>
      </c>
      <c r="L33" s="141" t="n">
        <f aca="false">F33-(I33-AF33)</f>
        <v>41.8072598941266</v>
      </c>
      <c r="M33" s="284" t="n">
        <v>3.1</v>
      </c>
      <c r="N33" s="141" t="n">
        <v>0</v>
      </c>
      <c r="O33" s="141" t="n">
        <v>0</v>
      </c>
      <c r="P33" s="258" t="n">
        <v>0</v>
      </c>
      <c r="Q33" s="258" t="n">
        <f aca="false">1.43*1.02</f>
        <v>1.4586</v>
      </c>
      <c r="R33" s="258" t="n">
        <v>2.17</v>
      </c>
      <c r="S33" s="380" t="n">
        <v>0</v>
      </c>
      <c r="T33" s="104" t="n">
        <f aca="false">M33-(Q33+R33+S33)</f>
        <v>-0.5286</v>
      </c>
      <c r="U33" s="141" t="n">
        <v>0</v>
      </c>
      <c r="V33" s="141" t="n">
        <v>0</v>
      </c>
      <c r="W33" s="141" t="n">
        <f aca="false">M33-N33-O33-P33-Q33-R33-S33-T33+U33+V33</f>
        <v>0</v>
      </c>
      <c r="X33" s="115"/>
      <c r="Y33" s="115"/>
      <c r="Z33" s="115"/>
      <c r="AA33" s="141" t="n">
        <v>0</v>
      </c>
      <c r="AB33" s="284"/>
      <c r="AC33" s="285"/>
      <c r="AD33" s="141" t="n">
        <v>23</v>
      </c>
      <c r="AE33" s="115" t="n">
        <f aca="false">AE32-AD33</f>
        <v>1226</v>
      </c>
      <c r="AF33" s="140" t="n">
        <f aca="false">N33+O33+P33+Q33+R33+S33+T33+W33+AA33+AD33</f>
        <v>26.1</v>
      </c>
      <c r="AG33" s="141" t="n">
        <f aca="false">IF(L33&lt;0,L33*-1,0)</f>
        <v>0</v>
      </c>
      <c r="AH33" s="141" t="n">
        <f aca="false">AF33+AG33</f>
        <v>26.1</v>
      </c>
      <c r="AI33" s="263" t="n">
        <v>0</v>
      </c>
      <c r="AJ33" s="264" t="n">
        <v>57</v>
      </c>
      <c r="AK33" s="265" t="n">
        <v>27</v>
      </c>
      <c r="AL33" s="264" t="n">
        <f aca="false">AL32+(W33*1.9835)</f>
        <v>8822.236385</v>
      </c>
      <c r="AM33" s="264" t="n">
        <v>0</v>
      </c>
      <c r="AN33" s="141"/>
      <c r="AO33" s="115"/>
      <c r="AP33" s="376"/>
    </row>
    <row r="34" customFormat="false" ht="12.95" hidden="false" customHeight="true" outlineLevel="0" collapsed="false">
      <c r="A34" s="186" t="n">
        <f aca="false">A33+1</f>
        <v>23</v>
      </c>
      <c r="B34" s="114" t="n">
        <v>6898.36</v>
      </c>
      <c r="C34" s="115" t="n">
        <v>277573</v>
      </c>
      <c r="D34" s="264" t="n">
        <f aca="false">C34-C33</f>
        <v>109</v>
      </c>
      <c r="E34" s="115" t="n">
        <f aca="false">C34-152000</f>
        <v>125573</v>
      </c>
      <c r="F34" s="283" t="n">
        <f aca="false">D34/$D$2</f>
        <v>54.9533652634232</v>
      </c>
      <c r="G34" s="141" t="n">
        <v>72</v>
      </c>
      <c r="H34" s="375" t="n">
        <v>2.7</v>
      </c>
      <c r="I34" s="141" t="n">
        <f aca="false">G34+H34</f>
        <v>74.7</v>
      </c>
      <c r="J34" s="261" t="n">
        <f aca="false">IF(L34&gt;0,L34,0)</f>
        <v>5.35336526342324</v>
      </c>
      <c r="K34" s="141" t="n">
        <f aca="false">I34+J34</f>
        <v>80.0533652634232</v>
      </c>
      <c r="L34" s="141" t="n">
        <f aca="false">F34-(I34-AF34)</f>
        <v>5.35336526342324</v>
      </c>
      <c r="M34" s="284" t="n">
        <v>3.1</v>
      </c>
      <c r="N34" s="141" t="n">
        <v>0</v>
      </c>
      <c r="O34" s="141" t="n">
        <v>0</v>
      </c>
      <c r="P34" s="258" t="n">
        <v>0</v>
      </c>
      <c r="Q34" s="258" t="n">
        <f aca="false">1.43*1.02</f>
        <v>1.4586</v>
      </c>
      <c r="R34" s="258" t="n">
        <v>2.5</v>
      </c>
      <c r="S34" s="380" t="n">
        <v>0</v>
      </c>
      <c r="T34" s="104" t="n">
        <f aca="false">M34-(Q34+R34+S34)</f>
        <v>-0.8586</v>
      </c>
      <c r="U34" s="141" t="n">
        <v>0</v>
      </c>
      <c r="V34" s="141" t="n">
        <v>0</v>
      </c>
      <c r="W34" s="141" t="n">
        <f aca="false">M34-N34-O34-P34-Q34-R34-S34-T34+U34+V34</f>
        <v>0</v>
      </c>
      <c r="X34" s="115"/>
      <c r="Y34" s="115"/>
      <c r="Z34" s="115"/>
      <c r="AA34" s="141" t="n">
        <v>0</v>
      </c>
      <c r="AB34" s="284"/>
      <c r="AC34" s="285"/>
      <c r="AD34" s="141" t="n">
        <v>22</v>
      </c>
      <c r="AE34" s="115" t="n">
        <f aca="false">AE33-AD34</f>
        <v>1204</v>
      </c>
      <c r="AF34" s="140" t="n">
        <f aca="false">N34+O34+P34+Q34+R34+S34+T34+W34+AA34+AD34</f>
        <v>25.1</v>
      </c>
      <c r="AG34" s="141" t="n">
        <f aca="false">IF(L34&lt;0,L34*-1,0)</f>
        <v>0</v>
      </c>
      <c r="AH34" s="141" t="n">
        <f aca="false">AF34+AG34</f>
        <v>25.1</v>
      </c>
      <c r="AI34" s="263" t="n">
        <v>0.05</v>
      </c>
      <c r="AJ34" s="264" t="n">
        <v>41</v>
      </c>
      <c r="AK34" s="286" t="n">
        <v>19</v>
      </c>
      <c r="AL34" s="264" t="n">
        <f aca="false">AL33+(W34*1.9835)</f>
        <v>8822.236385</v>
      </c>
      <c r="AM34" s="264" t="n">
        <v>0</v>
      </c>
      <c r="AN34" s="141"/>
      <c r="AO34" s="115"/>
      <c r="AP34" s="376"/>
    </row>
    <row r="35" customFormat="false" ht="12.95" hidden="false" customHeight="true" outlineLevel="0" collapsed="false">
      <c r="A35" s="186" t="n">
        <f aca="false">A34+1</f>
        <v>24</v>
      </c>
      <c r="B35" s="114" t="n">
        <v>6898.39</v>
      </c>
      <c r="C35" s="115" t="n">
        <v>277683</v>
      </c>
      <c r="D35" s="264" t="n">
        <f aca="false">C35-C34</f>
        <v>110</v>
      </c>
      <c r="E35" s="115" t="n">
        <f aca="false">C35-152000</f>
        <v>125683</v>
      </c>
      <c r="F35" s="283" t="n">
        <f aca="false">D35/$D$2</f>
        <v>55.4575245777666</v>
      </c>
      <c r="G35" s="141" t="n">
        <v>89</v>
      </c>
      <c r="H35" s="375" t="n">
        <v>2.2</v>
      </c>
      <c r="I35" s="141" t="n">
        <f aca="false">G35+H35</f>
        <v>91.2</v>
      </c>
      <c r="J35" s="261" t="n">
        <f aca="false">IF(L35&gt;0,L35,0)</f>
        <v>0</v>
      </c>
      <c r="K35" s="141" t="n">
        <f aca="false">I35+J35</f>
        <v>91.2</v>
      </c>
      <c r="L35" s="141" t="n">
        <f aca="false">F35-(I35-AF35)</f>
        <v>-10.6424754222334</v>
      </c>
      <c r="M35" s="284" t="n">
        <v>3.1</v>
      </c>
      <c r="N35" s="141" t="n">
        <v>0</v>
      </c>
      <c r="O35" s="141" t="n">
        <v>0</v>
      </c>
      <c r="P35" s="258" t="n">
        <v>0</v>
      </c>
      <c r="Q35" s="258" t="n">
        <f aca="false">1.43*1.02</f>
        <v>1.4586</v>
      </c>
      <c r="R35" s="258" t="n">
        <v>2.68</v>
      </c>
      <c r="S35" s="380" t="n">
        <v>0</v>
      </c>
      <c r="T35" s="104" t="n">
        <f aca="false">M35-(Q35+R35+S35)</f>
        <v>-1.0386</v>
      </c>
      <c r="U35" s="141" t="n">
        <v>0</v>
      </c>
      <c r="V35" s="141" t="n">
        <v>0</v>
      </c>
      <c r="W35" s="141" t="n">
        <f aca="false">M35-N35-O35-P35-Q35-R35-S35-T35+U35+V35</f>
        <v>0</v>
      </c>
      <c r="X35" s="115"/>
      <c r="Y35" s="115"/>
      <c r="Z35" s="115"/>
      <c r="AA35" s="141" t="n">
        <v>0</v>
      </c>
      <c r="AB35" s="284"/>
      <c r="AC35" s="285"/>
      <c r="AD35" s="141" t="n">
        <v>22</v>
      </c>
      <c r="AE35" s="115" t="n">
        <f aca="false">AE34-AD35</f>
        <v>1182</v>
      </c>
      <c r="AF35" s="140" t="n">
        <f aca="false">N35+O35+P35+Q35+R35+S35+T35+W35+AA35+AD35</f>
        <v>25.1</v>
      </c>
      <c r="AG35" s="141" t="n">
        <f aca="false">IF(L35&lt;0,L35*-1,0)</f>
        <v>10.6424754222334</v>
      </c>
      <c r="AH35" s="141" t="n">
        <f aca="false">AF35+AG35</f>
        <v>35.7424754222334</v>
      </c>
      <c r="AI35" s="263" t="n">
        <v>0</v>
      </c>
      <c r="AJ35" s="264" t="n">
        <v>36</v>
      </c>
      <c r="AK35" s="286" t="n">
        <v>18</v>
      </c>
      <c r="AL35" s="264" t="n">
        <f aca="false">AL34+(W35*1.9835)</f>
        <v>8822.236385</v>
      </c>
      <c r="AM35" s="264" t="n">
        <v>0</v>
      </c>
      <c r="AN35" s="141"/>
      <c r="AO35" s="115"/>
      <c r="AP35" s="376"/>
    </row>
    <row r="36" customFormat="false" ht="12.95" hidden="false" customHeight="true" outlineLevel="0" collapsed="false">
      <c r="A36" s="186" t="n">
        <f aca="false">A35+1</f>
        <v>25</v>
      </c>
      <c r="B36" s="114" t="n">
        <v>6898.42</v>
      </c>
      <c r="C36" s="115" t="n">
        <v>277792</v>
      </c>
      <c r="D36" s="264" t="n">
        <f aca="false">C36-C35</f>
        <v>109</v>
      </c>
      <c r="E36" s="115" t="n">
        <f aca="false">C36-152000</f>
        <v>125792</v>
      </c>
      <c r="F36" s="283" t="n">
        <f aca="false">D36/$D$2</f>
        <v>54.9533652634232</v>
      </c>
      <c r="G36" s="141" t="n">
        <v>76</v>
      </c>
      <c r="H36" s="375" t="n">
        <v>2.2</v>
      </c>
      <c r="I36" s="141" t="n">
        <f aca="false">G36+H36</f>
        <v>78.2</v>
      </c>
      <c r="J36" s="261" t="n">
        <f aca="false">IF(L36&gt;0,L36,0)</f>
        <v>1.85336526342324</v>
      </c>
      <c r="K36" s="141" t="n">
        <f aca="false">I36+J36</f>
        <v>80.0533652634232</v>
      </c>
      <c r="L36" s="141" t="n">
        <f aca="false">F36-(I36-AF36)</f>
        <v>1.85336526342324</v>
      </c>
      <c r="M36" s="284" t="n">
        <v>3.1</v>
      </c>
      <c r="N36" s="141" t="n">
        <v>0</v>
      </c>
      <c r="O36" s="141" t="n">
        <v>0</v>
      </c>
      <c r="P36" s="258" t="n">
        <v>0</v>
      </c>
      <c r="Q36" s="258" t="n">
        <f aca="false">1.43*1.02</f>
        <v>1.4586</v>
      </c>
      <c r="R36" s="258" t="n">
        <v>2.52</v>
      </c>
      <c r="S36" s="380" t="n">
        <v>0</v>
      </c>
      <c r="T36" s="104" t="n">
        <f aca="false">M36-(Q36+R36+S36)</f>
        <v>-0.8786</v>
      </c>
      <c r="U36" s="141" t="n">
        <v>0</v>
      </c>
      <c r="V36" s="141" t="n">
        <v>0</v>
      </c>
      <c r="W36" s="141" t="n">
        <f aca="false">M36-N36-O36-P36-Q36-R36-S36-T36+U36+V36</f>
        <v>0</v>
      </c>
      <c r="X36" s="115"/>
      <c r="Y36" s="115"/>
      <c r="Z36" s="115"/>
      <c r="AA36" s="141" t="n">
        <v>0</v>
      </c>
      <c r="AB36" s="284"/>
      <c r="AC36" s="285"/>
      <c r="AD36" s="141" t="n">
        <v>22</v>
      </c>
      <c r="AE36" s="115" t="n">
        <f aca="false">AE35-AD36</f>
        <v>1160</v>
      </c>
      <c r="AF36" s="140" t="n">
        <f aca="false">N36+O36+P36+Q36+R36+S36+T36+W36+AA36+AD36</f>
        <v>25.1</v>
      </c>
      <c r="AG36" s="141" t="n">
        <f aca="false">IF(L36&lt;0,L36*-1,0)</f>
        <v>0</v>
      </c>
      <c r="AH36" s="141" t="n">
        <f aca="false">AF36+AG36</f>
        <v>25.1</v>
      </c>
      <c r="AI36" s="263" t="n">
        <v>0</v>
      </c>
      <c r="AJ36" s="264" t="n">
        <v>38</v>
      </c>
      <c r="AK36" s="286" t="n">
        <v>15</v>
      </c>
      <c r="AL36" s="264" t="n">
        <f aca="false">AL35+(W36*1.9835)</f>
        <v>8822.236385</v>
      </c>
      <c r="AM36" s="264" t="n">
        <v>0</v>
      </c>
      <c r="AN36" s="141"/>
      <c r="AO36" s="115"/>
      <c r="AP36" s="376"/>
    </row>
    <row r="37" customFormat="false" ht="12.95" hidden="false" customHeight="true" outlineLevel="0" collapsed="false">
      <c r="A37" s="186" t="n">
        <f aca="false">A36+1</f>
        <v>26</v>
      </c>
      <c r="B37" s="114" t="n">
        <v>6898.45</v>
      </c>
      <c r="C37" s="115" t="n">
        <v>277901</v>
      </c>
      <c r="D37" s="264" t="n">
        <f aca="false">C37-C36</f>
        <v>109</v>
      </c>
      <c r="E37" s="115" t="n">
        <f aca="false">C37-152000</f>
        <v>125901</v>
      </c>
      <c r="F37" s="283" t="n">
        <f aca="false">D37/$D$2</f>
        <v>54.9533652634232</v>
      </c>
      <c r="G37" s="141" t="n">
        <v>55</v>
      </c>
      <c r="H37" s="375" t="n">
        <v>2.4</v>
      </c>
      <c r="I37" s="141" t="n">
        <f aca="false">G37+H37</f>
        <v>57.4</v>
      </c>
      <c r="J37" s="261" t="n">
        <f aca="false">IF(L37&gt;0,L37,0)</f>
        <v>26.6533652634232</v>
      </c>
      <c r="K37" s="141" t="n">
        <f aca="false">I37+J37</f>
        <v>84.0533652634232</v>
      </c>
      <c r="L37" s="141" t="n">
        <f aca="false">F37-(I37-AF37)</f>
        <v>26.6533652634232</v>
      </c>
      <c r="M37" s="284" t="n">
        <v>3.1</v>
      </c>
      <c r="N37" s="141" t="n">
        <v>0</v>
      </c>
      <c r="O37" s="141" t="n">
        <v>0</v>
      </c>
      <c r="P37" s="258" t="n">
        <v>0</v>
      </c>
      <c r="Q37" s="258" t="n">
        <f aca="false">1.43*1.02</f>
        <v>1.4586</v>
      </c>
      <c r="R37" s="258" t="n">
        <v>2.49</v>
      </c>
      <c r="S37" s="380" t="n">
        <v>0</v>
      </c>
      <c r="T37" s="104" t="n">
        <f aca="false">M37-(Q37+R37+S37)</f>
        <v>-0.8486</v>
      </c>
      <c r="U37" s="141" t="n">
        <v>0</v>
      </c>
      <c r="V37" s="141" t="n">
        <v>0</v>
      </c>
      <c r="W37" s="141" t="n">
        <f aca="false">M37-N37-O37-P37-Q37-R37-S37-T37+U37+V37</f>
        <v>0</v>
      </c>
      <c r="X37" s="115"/>
      <c r="Y37" s="115"/>
      <c r="Z37" s="115"/>
      <c r="AA37" s="141" t="n">
        <v>0</v>
      </c>
      <c r="AB37" s="284"/>
      <c r="AC37" s="285"/>
      <c r="AD37" s="141" t="n">
        <v>26</v>
      </c>
      <c r="AE37" s="115" t="n">
        <f aca="false">AE36-AD37</f>
        <v>1134</v>
      </c>
      <c r="AF37" s="140" t="n">
        <f aca="false">N37+O37+P37+Q37+R37+S37+T37+W37+AA37+AD37</f>
        <v>29.1</v>
      </c>
      <c r="AG37" s="141" t="n">
        <f aca="false">IF(L37&lt;0,L37*-1,0)</f>
        <v>0</v>
      </c>
      <c r="AH37" s="141" t="n">
        <f aca="false">AF37+AG37</f>
        <v>29.1</v>
      </c>
      <c r="AI37" s="263" t="n">
        <v>0</v>
      </c>
      <c r="AJ37" s="264" t="n">
        <v>47</v>
      </c>
      <c r="AK37" s="265" t="n">
        <v>27</v>
      </c>
      <c r="AL37" s="264" t="n">
        <f aca="false">AL36+(W37*1.9835)</f>
        <v>8822.236385</v>
      </c>
      <c r="AM37" s="264" t="n">
        <v>0</v>
      </c>
      <c r="AN37" s="141"/>
      <c r="AO37" s="115"/>
      <c r="AP37" s="376"/>
    </row>
    <row r="38" customFormat="false" ht="12.95" hidden="false" customHeight="true" outlineLevel="0" collapsed="false">
      <c r="A38" s="186" t="n">
        <f aca="false">A37+1</f>
        <v>27</v>
      </c>
      <c r="B38" s="114" t="n">
        <v>6898.48</v>
      </c>
      <c r="C38" s="115" t="n">
        <v>278011</v>
      </c>
      <c r="D38" s="264" t="n">
        <f aca="false">C38-C37</f>
        <v>110</v>
      </c>
      <c r="E38" s="115" t="n">
        <f aca="false">C38-152000</f>
        <v>126011</v>
      </c>
      <c r="F38" s="283" t="n">
        <f aca="false">D38/$D$2</f>
        <v>55.4575245777666</v>
      </c>
      <c r="G38" s="141" t="n">
        <v>52</v>
      </c>
      <c r="H38" s="375" t="n">
        <v>2.6</v>
      </c>
      <c r="I38" s="141" t="n">
        <f aca="false">G38+H38</f>
        <v>54.6</v>
      </c>
      <c r="J38" s="261" t="n">
        <f aca="false">IF(L38&gt;0,L38,0)</f>
        <v>29.9575245777666</v>
      </c>
      <c r="K38" s="141" t="n">
        <f aca="false">I38+J38</f>
        <v>84.5575245777666</v>
      </c>
      <c r="L38" s="141" t="n">
        <f aca="false">F38-(I38-AF38)</f>
        <v>29.9575245777666</v>
      </c>
      <c r="M38" s="284" t="n">
        <v>3.1</v>
      </c>
      <c r="N38" s="141" t="n">
        <v>0</v>
      </c>
      <c r="O38" s="141" t="n">
        <v>0</v>
      </c>
      <c r="P38" s="258" t="n">
        <v>0</v>
      </c>
      <c r="Q38" s="258" t="n">
        <f aca="false">1.43*1.02</f>
        <v>1.4586</v>
      </c>
      <c r="R38" s="258" t="n">
        <v>2.41</v>
      </c>
      <c r="S38" s="380" t="n">
        <v>0</v>
      </c>
      <c r="T38" s="104" t="n">
        <f aca="false">M38-(Q38+R38+S38)</f>
        <v>-0.7686</v>
      </c>
      <c r="U38" s="141" t="n">
        <v>0</v>
      </c>
      <c r="V38" s="141" t="n">
        <v>0</v>
      </c>
      <c r="W38" s="141" t="n">
        <f aca="false">M38-N38-O38-P38-Q38-R38-S38-T38+U38+V38</f>
        <v>0</v>
      </c>
      <c r="X38" s="115"/>
      <c r="Y38" s="115"/>
      <c r="Z38" s="115"/>
      <c r="AA38" s="141" t="n">
        <v>0</v>
      </c>
      <c r="AB38" s="284"/>
      <c r="AC38" s="285"/>
      <c r="AD38" s="141" t="n">
        <v>26</v>
      </c>
      <c r="AE38" s="115" t="n">
        <f aca="false">AE37-AD38</f>
        <v>1108</v>
      </c>
      <c r="AF38" s="140" t="n">
        <f aca="false">N38+O38+P38+Q38+R38+S38+T38+W38+AA38+AD38</f>
        <v>29.1</v>
      </c>
      <c r="AG38" s="141" t="n">
        <f aca="false">IF(L38&lt;0,L38*-1,0)</f>
        <v>0</v>
      </c>
      <c r="AH38" s="141" t="n">
        <f aca="false">AF38+AG38</f>
        <v>29.1</v>
      </c>
      <c r="AI38" s="263" t="n">
        <v>0</v>
      </c>
      <c r="AJ38" s="264" t="n">
        <v>48</v>
      </c>
      <c r="AK38" s="265" t="n">
        <v>29</v>
      </c>
      <c r="AL38" s="264" t="n">
        <f aca="false">AL37+(W38*1.9835)</f>
        <v>8822.236385</v>
      </c>
      <c r="AM38" s="264" t="n">
        <v>0</v>
      </c>
      <c r="AN38" s="141"/>
      <c r="AO38" s="115"/>
      <c r="AP38" s="376"/>
    </row>
    <row r="39" customFormat="false" ht="12.95" hidden="false" customHeight="true" outlineLevel="0" collapsed="false">
      <c r="A39" s="186" t="n">
        <v>28</v>
      </c>
      <c r="B39" s="114" t="n">
        <v>6898.5</v>
      </c>
      <c r="C39" s="115" t="n">
        <v>278084</v>
      </c>
      <c r="D39" s="264" t="n">
        <f aca="false">C39-C38</f>
        <v>73</v>
      </c>
      <c r="E39" s="115" t="n">
        <f aca="false">C39-152000</f>
        <v>126084</v>
      </c>
      <c r="F39" s="283" t="n">
        <f aca="false">D39/$D$2</f>
        <v>36.8036299470633</v>
      </c>
      <c r="G39" s="141" t="n">
        <v>57</v>
      </c>
      <c r="H39" s="375" t="n">
        <v>2.3</v>
      </c>
      <c r="I39" s="141" t="n">
        <f aca="false">G39+H39</f>
        <v>59.3</v>
      </c>
      <c r="J39" s="261" t="n">
        <f aca="false">IF(L39&gt;0,L39,0)</f>
        <v>6.60362994706328</v>
      </c>
      <c r="K39" s="141" t="n">
        <f aca="false">I39+J39</f>
        <v>65.9036299470633</v>
      </c>
      <c r="L39" s="141" t="n">
        <f aca="false">F39-(I39-AF39)</f>
        <v>6.60362994706328</v>
      </c>
      <c r="M39" s="284" t="n">
        <v>3.1</v>
      </c>
      <c r="N39" s="141" t="n">
        <v>0</v>
      </c>
      <c r="O39" s="141" t="n">
        <v>0</v>
      </c>
      <c r="P39" s="258" t="n">
        <v>0</v>
      </c>
      <c r="Q39" s="258" t="n">
        <f aca="false">1.43*1.02</f>
        <v>1.4586</v>
      </c>
      <c r="R39" s="258" t="n">
        <v>3.31</v>
      </c>
      <c r="S39" s="380" t="n">
        <v>0</v>
      </c>
      <c r="T39" s="104" t="n">
        <f aca="false">M39-(Q39+R39+S39)</f>
        <v>-1.6686</v>
      </c>
      <c r="U39" s="141" t="n">
        <v>0</v>
      </c>
      <c r="V39" s="141" t="n">
        <v>0</v>
      </c>
      <c r="W39" s="141" t="n">
        <f aca="false">M39-N39-O39-P39-Q39-R39-S39-T39+U39+V39</f>
        <v>0</v>
      </c>
      <c r="X39" s="115"/>
      <c r="Y39" s="115"/>
      <c r="Z39" s="115"/>
      <c r="AA39" s="141" t="n">
        <v>0</v>
      </c>
      <c r="AB39" s="284"/>
      <c r="AC39" s="285"/>
      <c r="AD39" s="141" t="n">
        <v>26</v>
      </c>
      <c r="AE39" s="115" t="n">
        <f aca="false">AE38-AD39</f>
        <v>1082</v>
      </c>
      <c r="AF39" s="140" t="n">
        <f aca="false">N39+O39+P39+Q39+R39+S39+T39+W39+AA39+AD39</f>
        <v>29.1</v>
      </c>
      <c r="AG39" s="141" t="n">
        <f aca="false">IF(L39&lt;0,L39*-1,0)</f>
        <v>0</v>
      </c>
      <c r="AH39" s="141" t="n">
        <f aca="false">AF39+AG39</f>
        <v>29.1</v>
      </c>
      <c r="AI39" s="263" t="n">
        <v>0.19</v>
      </c>
      <c r="AJ39" s="264" t="n">
        <v>34</v>
      </c>
      <c r="AK39" s="265" t="n">
        <v>13</v>
      </c>
      <c r="AL39" s="264" t="n">
        <f aca="false">AL38+(W39*1.9835)</f>
        <v>8822.236385</v>
      </c>
      <c r="AM39" s="264" t="n">
        <v>0</v>
      </c>
      <c r="AN39" s="141"/>
      <c r="AO39" s="115"/>
      <c r="AP39" s="376"/>
    </row>
    <row r="40" customFormat="false" ht="3" hidden="false" customHeight="true" outlineLevel="0" collapsed="false">
      <c r="A40" s="270"/>
      <c r="B40" s="287"/>
      <c r="C40" s="272"/>
      <c r="D40" s="273"/>
      <c r="E40" s="272"/>
      <c r="F40" s="274"/>
      <c r="G40" s="273"/>
      <c r="H40" s="379"/>
      <c r="I40" s="273"/>
      <c r="J40" s="273"/>
      <c r="K40" s="273"/>
      <c r="L40" s="273"/>
      <c r="M40" s="276"/>
      <c r="N40" s="273"/>
      <c r="O40" s="273"/>
      <c r="P40" s="275"/>
      <c r="Q40" s="273"/>
      <c r="R40" s="273"/>
      <c r="S40" s="275"/>
      <c r="T40" s="277"/>
      <c r="U40" s="273"/>
      <c r="V40" s="273"/>
      <c r="W40" s="273"/>
      <c r="X40" s="272"/>
      <c r="Y40" s="272"/>
      <c r="Z40" s="272"/>
      <c r="AA40" s="273"/>
      <c r="AB40" s="276"/>
      <c r="AC40" s="279"/>
      <c r="AD40" s="273"/>
      <c r="AE40" s="273"/>
      <c r="AF40" s="273"/>
      <c r="AG40" s="273"/>
      <c r="AH40" s="273"/>
      <c r="AI40" s="280"/>
      <c r="AJ40" s="281"/>
      <c r="AK40" s="282"/>
      <c r="AL40" s="281"/>
      <c r="AM40" s="281"/>
      <c r="AN40" s="281"/>
      <c r="AO40" s="281"/>
      <c r="AP40" s="281"/>
      <c r="AQ40" s="281"/>
    </row>
    <row r="41" customFormat="false" ht="12.95" hidden="false" customHeight="true" outlineLevel="0" collapsed="false">
      <c r="A41" s="187" t="s">
        <v>77</v>
      </c>
      <c r="B41" s="383"/>
      <c r="C41" s="264"/>
      <c r="D41" s="264"/>
      <c r="E41" s="264"/>
      <c r="F41" s="265" t="n">
        <f aca="false">SUM(F12:F39)</f>
        <v>1539.19838669019</v>
      </c>
      <c r="G41" s="264" t="n">
        <f aca="false">SUM(G12:G39)</f>
        <v>1730</v>
      </c>
      <c r="H41" s="264" t="n">
        <f aca="false">SUM(H12:H39)</f>
        <v>65.13</v>
      </c>
      <c r="I41" s="264" t="n">
        <f aca="false">SUM(I12:I39)</f>
        <v>1795.13</v>
      </c>
      <c r="J41" s="264" t="n">
        <f aca="false">SUM(J12:J39)</f>
        <v>597.754925636501</v>
      </c>
      <c r="K41" s="264" t="n">
        <f aca="false">SUM(K12:K39)</f>
        <v>2392.8849256365</v>
      </c>
      <c r="L41" s="264" t="n">
        <f aca="false">SUM(L12:L39)</f>
        <v>491.668386690194</v>
      </c>
      <c r="M41" s="384" t="n">
        <f aca="false">SUM(M12:M39)</f>
        <v>113.6</v>
      </c>
      <c r="N41" s="264" t="n">
        <f aca="false">SUM(N12:N39)</f>
        <v>0</v>
      </c>
      <c r="O41" s="264" t="n">
        <f aca="false">SUM(O12:O39)</f>
        <v>0</v>
      </c>
      <c r="P41" s="258"/>
      <c r="Q41" s="264" t="n">
        <f aca="false">SUM(Q12:Q39)</f>
        <v>40.8408</v>
      </c>
      <c r="R41" s="264" t="n">
        <f aca="false">SUM(R12:R39)</f>
        <v>87.7</v>
      </c>
      <c r="S41" s="385" t="n">
        <f aca="false">SUM(S12:S39)</f>
        <v>0</v>
      </c>
      <c r="T41" s="386" t="n">
        <f aca="false">SUM(T12:T39)</f>
        <v>-14.9408</v>
      </c>
      <c r="U41" s="264" t="n">
        <f aca="false">SUM(U12:U39)</f>
        <v>0</v>
      </c>
      <c r="V41" s="264" t="n">
        <f aca="false">SUM(V12:V39)</f>
        <v>0</v>
      </c>
      <c r="W41" s="264" t="n">
        <f aca="false">SUM(W12:W39)</f>
        <v>4.44089209850063E-016</v>
      </c>
      <c r="X41" s="264"/>
      <c r="Y41" s="264"/>
      <c r="Z41" s="264"/>
      <c r="AA41" s="264"/>
      <c r="AB41" s="284"/>
      <c r="AC41" s="285"/>
      <c r="AD41" s="264" t="n">
        <f aca="false">SUM(AD12:AD39)</f>
        <v>634</v>
      </c>
      <c r="AE41" s="264"/>
      <c r="AF41" s="264" t="n">
        <f aca="false">SUM(AF12:AF39)</f>
        <v>747.6</v>
      </c>
      <c r="AG41" s="264" t="n">
        <f aca="false">SUM(AG12:AG39)</f>
        <v>106.086538946307</v>
      </c>
      <c r="AH41" s="264" t="n">
        <f aca="false">SUM(AH12:AH39)</f>
        <v>853.686538946307</v>
      </c>
      <c r="AI41" s="263" t="n">
        <f aca="false">SUM(AI12:AI39)</f>
        <v>1.41</v>
      </c>
      <c r="AJ41" s="264" t="n">
        <f aca="false">AVERAGE(AJ12:AJ39)</f>
        <v>43.7857142857143</v>
      </c>
      <c r="AK41" s="265" t="n">
        <f aca="false">AVERAGE(AK12:AK39)</f>
        <v>20.2142857142857</v>
      </c>
      <c r="AL41" s="264" t="s">
        <v>99</v>
      </c>
      <c r="AM41" s="264" t="n">
        <f aca="false">SUM(AM12:AM39)</f>
        <v>0</v>
      </c>
      <c r="AN41" s="141"/>
      <c r="AO41" s="141"/>
      <c r="AP41" s="376"/>
    </row>
    <row r="42" customFormat="false" ht="12.95" hidden="false" customHeight="true" outlineLevel="0" collapsed="false">
      <c r="A42" s="187" t="s">
        <v>79</v>
      </c>
      <c r="B42" s="383"/>
      <c r="C42" s="264"/>
      <c r="D42" s="264" t="n">
        <f aca="false">SUM(D12:D39)</f>
        <v>3053</v>
      </c>
      <c r="E42" s="264"/>
      <c r="F42" s="265" t="n">
        <f aca="false">F41*$D$2</f>
        <v>3053</v>
      </c>
      <c r="G42" s="264" t="n">
        <f aca="false">G41*$D$2</f>
        <v>3431.455</v>
      </c>
      <c r="H42" s="264" t="n">
        <f aca="false">H41*$D$2</f>
        <v>129.185355</v>
      </c>
      <c r="I42" s="264" t="n">
        <f aca="false">I41*$D$2</f>
        <v>3560.640355</v>
      </c>
      <c r="J42" s="264" t="n">
        <f aca="false">J41*$D$2</f>
        <v>1185.646895</v>
      </c>
      <c r="K42" s="264" t="n">
        <f aca="false">K41*$D$2</f>
        <v>4746.28725</v>
      </c>
      <c r="L42" s="264" t="n">
        <f aca="false">L41*$D$2</f>
        <v>975.224245</v>
      </c>
      <c r="M42" s="387" t="n">
        <f aca="false">M41*$D$2</f>
        <v>225.3256</v>
      </c>
      <c r="N42" s="264" t="n">
        <f aca="false">N41*$D$2</f>
        <v>0</v>
      </c>
      <c r="O42" s="264" t="n">
        <f aca="false">O41*$D$2</f>
        <v>0</v>
      </c>
      <c r="P42" s="258"/>
      <c r="Q42" s="264" t="n">
        <f aca="false">Q41*$D$2</f>
        <v>81.0077268</v>
      </c>
      <c r="R42" s="264" t="n">
        <f aca="false">R41*$D$2</f>
        <v>173.95295</v>
      </c>
      <c r="S42" s="264" t="n">
        <f aca="false">S41*$D$2</f>
        <v>0</v>
      </c>
      <c r="T42" s="260" t="n">
        <f aca="false">T41*$D$2</f>
        <v>-29.6350768</v>
      </c>
      <c r="U42" s="264" t="n">
        <f aca="false">U41*$D$2</f>
        <v>0</v>
      </c>
      <c r="V42" s="264" t="n">
        <f aca="false">V41*$D$2</f>
        <v>0</v>
      </c>
      <c r="W42" s="264" t="n">
        <f aca="false">W41*$D$2</f>
        <v>8.80850947737599E-016</v>
      </c>
      <c r="X42" s="264"/>
      <c r="Y42" s="264"/>
      <c r="Z42" s="264"/>
      <c r="AA42" s="264"/>
      <c r="AB42" s="284"/>
      <c r="AC42" s="285"/>
      <c r="AD42" s="264" t="n">
        <f aca="false">AD41*$D$2</f>
        <v>1257.539</v>
      </c>
      <c r="AE42" s="264"/>
      <c r="AF42" s="264" t="n">
        <f aca="false">AF41*$D$2</f>
        <v>1482.8646</v>
      </c>
      <c r="AG42" s="264" t="n">
        <f aca="false">AG41*$D$2</f>
        <v>210.42265</v>
      </c>
      <c r="AH42" s="264" t="n">
        <f aca="false">AH41*$D$2</f>
        <v>1693.28725</v>
      </c>
      <c r="AI42" s="263"/>
      <c r="AJ42" s="264" t="n">
        <f aca="false">MAX(AJ12:AJ39)</f>
        <v>57</v>
      </c>
      <c r="AK42" s="265" t="n">
        <f aca="false">MAX(AK12:AK39)</f>
        <v>32</v>
      </c>
      <c r="AL42" s="264" t="s">
        <v>80</v>
      </c>
      <c r="AM42" s="264" t="n">
        <f aca="false">AM41*$D$2</f>
        <v>0</v>
      </c>
      <c r="AN42" s="141"/>
      <c r="AO42" s="141"/>
      <c r="AP42" s="376"/>
    </row>
    <row r="43" customFormat="false" ht="3" hidden="false" customHeight="true" outlineLevel="0" collapsed="false">
      <c r="A43" s="290"/>
      <c r="B43" s="287"/>
      <c r="C43" s="272"/>
      <c r="D43" s="272"/>
      <c r="E43" s="272"/>
      <c r="F43" s="291"/>
      <c r="G43" s="272"/>
      <c r="H43" s="281"/>
      <c r="I43" s="272"/>
      <c r="J43" s="272"/>
      <c r="K43" s="272"/>
      <c r="L43" s="272"/>
      <c r="M43" s="292"/>
      <c r="N43" s="272"/>
      <c r="O43" s="272"/>
      <c r="P43" s="275"/>
      <c r="Q43" s="272"/>
      <c r="R43" s="272"/>
      <c r="S43" s="281"/>
      <c r="T43" s="277"/>
      <c r="U43" s="272"/>
      <c r="V43" s="272"/>
      <c r="W43" s="272"/>
      <c r="X43" s="272"/>
      <c r="Y43" s="272"/>
      <c r="Z43" s="272"/>
      <c r="AA43" s="272"/>
      <c r="AB43" s="292"/>
      <c r="AC43" s="293"/>
      <c r="AD43" s="272"/>
      <c r="AE43" s="273"/>
      <c r="AF43" s="272"/>
      <c r="AG43" s="272"/>
      <c r="AH43" s="272"/>
      <c r="AI43" s="294"/>
      <c r="AJ43" s="272"/>
      <c r="AK43" s="291"/>
      <c r="AL43" s="281"/>
      <c r="AM43" s="281"/>
      <c r="AN43" s="272"/>
      <c r="AO43" s="272"/>
      <c r="AP43" s="281"/>
      <c r="AQ43" s="281"/>
    </row>
    <row r="44" customFormat="false" ht="12.95" hidden="false" customHeight="true" outlineLevel="0" collapsed="false">
      <c r="A44" s="187" t="s">
        <v>81</v>
      </c>
      <c r="B44" s="383"/>
      <c r="C44" s="264"/>
      <c r="D44" s="264"/>
      <c r="E44" s="264"/>
      <c r="F44" s="265"/>
      <c r="G44" s="264"/>
      <c r="H44" s="264"/>
      <c r="I44" s="264"/>
      <c r="J44" s="264"/>
      <c r="K44" s="264"/>
      <c r="L44" s="264"/>
      <c r="M44" s="387"/>
      <c r="N44" s="264"/>
      <c r="O44" s="264"/>
      <c r="P44" s="258"/>
      <c r="Q44" s="264"/>
      <c r="R44" s="264"/>
      <c r="S44" s="264"/>
      <c r="T44" s="260"/>
      <c r="U44" s="264"/>
      <c r="V44" s="264"/>
      <c r="W44" s="264"/>
      <c r="X44" s="264"/>
      <c r="Y44" s="264"/>
      <c r="Z44" s="264"/>
      <c r="AA44" s="264"/>
      <c r="AB44" s="284"/>
      <c r="AC44" s="285"/>
      <c r="AD44" s="264"/>
      <c r="AE44" s="264"/>
      <c r="AF44" s="264"/>
      <c r="AG44" s="264"/>
      <c r="AH44" s="264"/>
      <c r="AI44" s="383"/>
      <c r="AJ44" s="264" t="n">
        <f aca="false">MIN(AJ12:AJ39)</f>
        <v>26</v>
      </c>
      <c r="AK44" s="265" t="n">
        <f aca="false">MIN(AK12:AK39)</f>
        <v>-4</v>
      </c>
      <c r="AL44" s="264" t="s">
        <v>82</v>
      </c>
      <c r="AM44" s="264"/>
      <c r="AN44" s="264"/>
      <c r="AO44" s="264"/>
      <c r="AP44" s="388"/>
    </row>
    <row r="45" customFormat="false" ht="12.95" hidden="false" customHeight="true" outlineLevel="0" collapsed="false">
      <c r="A45" s="187" t="s">
        <v>83</v>
      </c>
      <c r="B45" s="383"/>
      <c r="C45" s="264"/>
      <c r="D45" s="264"/>
      <c r="E45" s="264"/>
      <c r="F45" s="265"/>
      <c r="G45" s="264"/>
      <c r="H45" s="264"/>
      <c r="I45" s="264"/>
      <c r="J45" s="264"/>
      <c r="K45" s="264"/>
      <c r="L45" s="264"/>
      <c r="M45" s="387"/>
      <c r="N45" s="264"/>
      <c r="O45" s="264"/>
      <c r="P45" s="258"/>
      <c r="Q45" s="264"/>
      <c r="R45" s="264"/>
      <c r="S45" s="264"/>
      <c r="T45" s="260"/>
      <c r="U45" s="264"/>
      <c r="V45" s="264"/>
      <c r="W45" s="264"/>
      <c r="X45" s="264"/>
      <c r="Y45" s="264"/>
      <c r="Z45" s="264"/>
      <c r="AA45" s="264"/>
      <c r="AB45" s="284"/>
      <c r="AC45" s="285"/>
      <c r="AD45" s="264"/>
      <c r="AE45" s="264"/>
      <c r="AF45" s="264"/>
      <c r="AG45" s="264"/>
      <c r="AH45" s="264"/>
      <c r="AI45" s="383"/>
      <c r="AJ45" s="264"/>
      <c r="AK45" s="265"/>
      <c r="AL45" s="264"/>
      <c r="AM45" s="264"/>
      <c r="AN45" s="264"/>
      <c r="AO45" s="264"/>
      <c r="AP45" s="388"/>
    </row>
    <row r="46" customFormat="false" ht="3" hidden="false" customHeight="true" outlineLevel="0" collapsed="false">
      <c r="A46" s="290"/>
      <c r="B46" s="389"/>
      <c r="C46" s="281"/>
      <c r="D46" s="281"/>
      <c r="E46" s="281"/>
      <c r="F46" s="282"/>
      <c r="G46" s="281"/>
      <c r="H46" s="281"/>
      <c r="I46" s="281"/>
      <c r="J46" s="281"/>
      <c r="K46" s="281"/>
      <c r="L46" s="281"/>
      <c r="M46" s="390"/>
      <c r="N46" s="281"/>
      <c r="O46" s="281"/>
      <c r="P46" s="275"/>
      <c r="Q46" s="281"/>
      <c r="R46" s="281"/>
      <c r="S46" s="281"/>
      <c r="T46" s="277"/>
      <c r="U46" s="281"/>
      <c r="V46" s="281"/>
      <c r="W46" s="281"/>
      <c r="X46" s="281"/>
      <c r="Y46" s="281"/>
      <c r="Z46" s="281"/>
      <c r="AA46" s="281"/>
      <c r="AB46" s="390"/>
      <c r="AC46" s="391"/>
      <c r="AD46" s="281"/>
      <c r="AE46" s="281"/>
      <c r="AF46" s="281"/>
      <c r="AG46" s="281"/>
      <c r="AH46" s="281"/>
      <c r="AI46" s="389"/>
      <c r="AJ46" s="281"/>
      <c r="AK46" s="282"/>
      <c r="AL46" s="281"/>
      <c r="AM46" s="281"/>
      <c r="AN46" s="281"/>
      <c r="AO46" s="281"/>
      <c r="AP46" s="281"/>
      <c r="AQ46" s="281"/>
    </row>
    <row r="47" customFormat="false" ht="12.95" hidden="false" customHeight="true" outlineLevel="0" collapsed="false">
      <c r="A47" s="187" t="s">
        <v>84</v>
      </c>
      <c r="B47" s="383"/>
      <c r="C47" s="264"/>
      <c r="D47" s="264"/>
      <c r="E47" s="264"/>
      <c r="F47" s="265" t="n">
        <f aca="false">F10+F41</f>
        <v>3611.29316864129</v>
      </c>
      <c r="G47" s="264" t="n">
        <f aca="false">G10+G41</f>
        <v>11361</v>
      </c>
      <c r="H47" s="264" t="n">
        <f aca="false">H10+H41</f>
        <v>210.68</v>
      </c>
      <c r="I47" s="264" t="n">
        <f aca="false">I10+I41</f>
        <v>11571.68</v>
      </c>
      <c r="J47" s="264" t="n">
        <f aca="false">J10+J41</f>
        <v>1497.71711620872</v>
      </c>
      <c r="K47" s="264" t="n">
        <f aca="false">K10+K41</f>
        <v>13069.3971162087</v>
      </c>
      <c r="L47" s="264" t="n">
        <f aca="false">L10+L41</f>
        <v>179.013168641291</v>
      </c>
      <c r="M47" s="387" t="n">
        <f aca="false">M10+M41</f>
        <v>635.2</v>
      </c>
      <c r="N47" s="264" t="n">
        <f aca="false">N10+N41</f>
        <v>0</v>
      </c>
      <c r="O47" s="264" t="n">
        <f aca="false">O10+O41</f>
        <v>0</v>
      </c>
      <c r="P47" s="258"/>
      <c r="Q47" s="264" t="n">
        <f aca="false">Q10+Q41</f>
        <v>187.5372</v>
      </c>
      <c r="R47" s="264" t="n">
        <f aca="false">R10+R41</f>
        <v>334.953</v>
      </c>
      <c r="S47" s="264" t="n">
        <f aca="false">S10+S41</f>
        <v>0.16</v>
      </c>
      <c r="T47" s="260" t="n">
        <f aca="false">T10+T41</f>
        <v>-45.2276</v>
      </c>
      <c r="U47" s="264" t="n">
        <f aca="false">U10+U41</f>
        <v>4691</v>
      </c>
      <c r="V47" s="264" t="n">
        <f aca="false">V10+V41</f>
        <v>76.2</v>
      </c>
      <c r="W47" s="264" t="n">
        <f aca="false">W10+W41</f>
        <v>4447.81</v>
      </c>
      <c r="X47" s="264"/>
      <c r="Y47" s="264"/>
      <c r="Z47" s="264"/>
      <c r="AA47" s="264"/>
      <c r="AB47" s="284"/>
      <c r="AC47" s="285"/>
      <c r="AD47" s="264" t="n">
        <f aca="false">AD10+AD41</f>
        <v>2737</v>
      </c>
      <c r="AE47" s="264" t="n">
        <f aca="false">AE39</f>
        <v>1082</v>
      </c>
      <c r="AF47" s="264" t="n">
        <f aca="false">AF10+AF41</f>
        <v>8139.4</v>
      </c>
      <c r="AG47" s="264" t="n">
        <f aca="false">AG10+AG41</f>
        <v>1318.70394756743</v>
      </c>
      <c r="AH47" s="264" t="n">
        <f aca="false">AH10+AH41</f>
        <v>9458.10394756743</v>
      </c>
      <c r="AI47" s="392" t="n">
        <f aca="false">AI10+AI41</f>
        <v>3.83</v>
      </c>
      <c r="AJ47" s="264"/>
      <c r="AK47" s="265"/>
      <c r="AL47" s="264"/>
      <c r="AM47" s="264" t="n">
        <f aca="false">AM10+AM41</f>
        <v>0</v>
      </c>
      <c r="AN47" s="264"/>
      <c r="AO47" s="264"/>
      <c r="AP47" s="388"/>
    </row>
    <row r="48" customFormat="false" ht="12.95" hidden="false" customHeight="true" outlineLevel="0" collapsed="false">
      <c r="A48" s="187" t="s">
        <v>85</v>
      </c>
      <c r="B48" s="383"/>
      <c r="C48" s="264"/>
      <c r="D48" s="264" t="n">
        <f aca="false">D10+D42</f>
        <v>7163</v>
      </c>
      <c r="E48" s="115" t="n">
        <f aca="false">E39</f>
        <v>126084</v>
      </c>
      <c r="F48" s="265" t="n">
        <f aca="false">F47*$D$2</f>
        <v>7163</v>
      </c>
      <c r="G48" s="264" t="n">
        <f aca="false">G47*$D$2</f>
        <v>22534.5435</v>
      </c>
      <c r="H48" s="264" t="n">
        <f aca="false">H47*$D$2</f>
        <v>417.88378</v>
      </c>
      <c r="I48" s="264" t="n">
        <f aca="false">I47*$D$2</f>
        <v>22952.42728</v>
      </c>
      <c r="J48" s="264" t="n">
        <f aca="false">J47*$D$2</f>
        <v>2970.7219</v>
      </c>
      <c r="K48" s="264" t="n">
        <f aca="false">K47*$D$2</f>
        <v>25923.14918</v>
      </c>
      <c r="L48" s="264" t="n">
        <f aca="false">L47*$D$2</f>
        <v>355.07262</v>
      </c>
      <c r="M48" s="387" t="n">
        <f aca="false">M47*$D$2</f>
        <v>1259.9192</v>
      </c>
      <c r="N48" s="264" t="n">
        <f aca="false">N47*$D$2</f>
        <v>0</v>
      </c>
      <c r="O48" s="264" t="n">
        <f aca="false">O47*$D$2</f>
        <v>0</v>
      </c>
      <c r="P48" s="258"/>
      <c r="Q48" s="264" t="n">
        <f aca="false">Q47*$D$2</f>
        <v>371.9800362</v>
      </c>
      <c r="R48" s="264" t="n">
        <f aca="false">R47*$D$2</f>
        <v>664.3792755</v>
      </c>
      <c r="S48" s="264" t="n">
        <f aca="false">S47*$D$2</f>
        <v>0.31736</v>
      </c>
      <c r="T48" s="260" t="n">
        <f aca="false">T47*$D$2</f>
        <v>-89.7089446</v>
      </c>
      <c r="U48" s="264" t="n">
        <f aca="false">U47*$D$2</f>
        <v>9304.5985</v>
      </c>
      <c r="V48" s="264" t="n">
        <f aca="false">V47*$D$2</f>
        <v>151.1427</v>
      </c>
      <c r="W48" s="264" t="n">
        <f aca="false">W47*$D$2</f>
        <v>8822.231135</v>
      </c>
      <c r="X48" s="264"/>
      <c r="Y48" s="264"/>
      <c r="Z48" s="264"/>
      <c r="AA48" s="264"/>
      <c r="AB48" s="284"/>
      <c r="AC48" s="285"/>
      <c r="AD48" s="264" t="n">
        <f aca="false">AD47*$D$2</f>
        <v>5428.8395</v>
      </c>
      <c r="AE48" s="264" t="n">
        <f aca="false">AE47*$D$2</f>
        <v>2146.147</v>
      </c>
      <c r="AF48" s="264" t="n">
        <f aca="false">AF47*$D$2</f>
        <v>16144.4999</v>
      </c>
      <c r="AG48" s="264" t="n">
        <f aca="false">AG47*$D$2</f>
        <v>2615.64928</v>
      </c>
      <c r="AH48" s="264" t="n">
        <f aca="false">AH47*$D$2</f>
        <v>18760.14918</v>
      </c>
      <c r="AI48" s="383"/>
      <c r="AJ48" s="264"/>
      <c r="AK48" s="265"/>
      <c r="AL48" s="264" t="n">
        <f aca="false">AL39</f>
        <v>8822.236385</v>
      </c>
      <c r="AM48" s="264" t="n">
        <f aca="false">AM47*$D$2</f>
        <v>0</v>
      </c>
      <c r="AN48" s="264"/>
      <c r="AO48" s="264"/>
      <c r="AP48" s="388"/>
    </row>
    <row r="49" customFormat="false" ht="3" hidden="false" customHeight="true" outlineLevel="0" collapsed="false">
      <c r="A49" s="270"/>
      <c r="B49" s="287"/>
      <c r="C49" s="272"/>
      <c r="D49" s="273"/>
      <c r="E49" s="272"/>
      <c r="F49" s="274"/>
      <c r="G49" s="273"/>
      <c r="H49" s="379"/>
      <c r="I49" s="273"/>
      <c r="J49" s="273"/>
      <c r="K49" s="273"/>
      <c r="L49" s="273"/>
      <c r="M49" s="276"/>
      <c r="N49" s="273"/>
      <c r="O49" s="273"/>
      <c r="P49" s="275"/>
      <c r="Q49" s="273"/>
      <c r="R49" s="273"/>
      <c r="S49" s="275"/>
      <c r="T49" s="277"/>
      <c r="U49" s="273"/>
      <c r="V49" s="273"/>
      <c r="W49" s="273"/>
      <c r="X49" s="272"/>
      <c r="Y49" s="272"/>
      <c r="Z49" s="272"/>
      <c r="AA49" s="273"/>
      <c r="AB49" s="276"/>
      <c r="AC49" s="279"/>
      <c r="AD49" s="273"/>
      <c r="AE49" s="272"/>
      <c r="AF49" s="273"/>
      <c r="AG49" s="273"/>
      <c r="AH49" s="273"/>
      <c r="AI49" s="287"/>
      <c r="AJ49" s="273"/>
      <c r="AK49" s="274"/>
      <c r="AL49" s="281"/>
      <c r="AM49" s="281"/>
      <c r="AN49" s="273"/>
      <c r="AO49" s="273"/>
      <c r="AP49" s="281"/>
      <c r="AQ49" s="281"/>
    </row>
    <row r="50" customFormat="false" ht="11.1" hidden="false" customHeight="true" outlineLevel="0" collapsed="false">
      <c r="A50" s="179"/>
      <c r="B50" s="299"/>
      <c r="C50" s="180"/>
      <c r="D50" s="179"/>
      <c r="E50" s="180"/>
      <c r="F50" s="179"/>
      <c r="G50" s="179"/>
      <c r="H50" s="305"/>
      <c r="I50" s="179"/>
      <c r="J50" s="179"/>
      <c r="K50" s="179"/>
      <c r="L50" s="179"/>
      <c r="M50" s="179"/>
      <c r="N50" s="179"/>
      <c r="O50" s="179"/>
      <c r="P50" s="181"/>
      <c r="Q50" s="179"/>
      <c r="R50" s="179"/>
      <c r="S50" s="181"/>
      <c r="T50" s="181"/>
      <c r="U50" s="179"/>
      <c r="V50" s="179"/>
      <c r="W50" s="179"/>
      <c r="X50" s="180"/>
      <c r="Y50" s="180"/>
      <c r="Z50" s="180"/>
      <c r="AA50" s="179"/>
      <c r="AB50" s="179"/>
      <c r="AC50" s="179"/>
      <c r="AD50" s="179"/>
      <c r="AE50" s="180"/>
      <c r="AF50" s="179"/>
      <c r="AG50" s="179"/>
      <c r="AH50" s="179"/>
      <c r="AI50" s="184"/>
      <c r="AJ50" s="185"/>
      <c r="AK50" s="186"/>
      <c r="AN50" s="306"/>
      <c r="AO50" s="307"/>
    </row>
    <row r="51" customFormat="false" ht="11.1" hidden="false" customHeight="true" outlineLevel="0" collapsed="false">
      <c r="A51" s="179"/>
      <c r="B51" s="300"/>
      <c r="C51" s="180"/>
      <c r="D51" s="301"/>
      <c r="E51" s="180"/>
      <c r="F51" s="179"/>
      <c r="G51" s="179"/>
      <c r="H51" s="393"/>
      <c r="I51" s="180"/>
      <c r="J51" s="179"/>
      <c r="K51" s="169"/>
      <c r="L51" s="179"/>
      <c r="M51" s="179"/>
      <c r="N51" s="179"/>
      <c r="O51" s="179"/>
      <c r="P51" s="181"/>
      <c r="Q51" s="179"/>
      <c r="R51" s="179"/>
      <c r="S51" s="181"/>
      <c r="T51" s="181"/>
      <c r="U51" s="179"/>
      <c r="V51" s="179"/>
      <c r="W51" s="179"/>
      <c r="X51" s="180"/>
      <c r="Y51" s="180"/>
      <c r="Z51" s="180"/>
      <c r="AA51" s="179"/>
      <c r="AB51" s="179"/>
      <c r="AC51" s="179"/>
      <c r="AD51" s="179"/>
      <c r="AE51" s="180"/>
      <c r="AF51" s="179"/>
      <c r="AG51" s="179"/>
      <c r="AH51" s="179"/>
      <c r="AI51" s="184"/>
      <c r="AJ51" s="185"/>
      <c r="AK51" s="185"/>
      <c r="AL51" s="186"/>
      <c r="AM51" s="186"/>
      <c r="AN51" s="306"/>
      <c r="AO51" s="307"/>
    </row>
    <row r="52" customFormat="false" ht="11.1" hidden="false" customHeight="true" outlineLevel="0" collapsed="false">
      <c r="A52" s="301"/>
      <c r="B52" s="301"/>
      <c r="C52" s="180"/>
      <c r="D52" s="180"/>
      <c r="E52" s="180"/>
      <c r="F52" s="301"/>
      <c r="G52" s="301"/>
      <c r="H52" s="305"/>
      <c r="I52" s="180"/>
      <c r="J52" s="301"/>
      <c r="K52" s="301"/>
      <c r="L52" s="301"/>
      <c r="M52" s="183"/>
      <c r="N52" s="183"/>
      <c r="O52" s="183"/>
      <c r="P52" s="181"/>
      <c r="Q52" s="183"/>
      <c r="R52" s="183"/>
      <c r="S52" s="181"/>
      <c r="T52" s="181"/>
      <c r="U52" s="301"/>
      <c r="V52" s="301"/>
      <c r="W52" s="301"/>
      <c r="X52" s="180"/>
      <c r="Y52" s="180"/>
      <c r="Z52" s="180"/>
      <c r="AA52" s="301"/>
      <c r="AB52" s="301"/>
      <c r="AC52" s="301"/>
      <c r="AD52" s="301"/>
      <c r="AE52" s="180"/>
      <c r="AF52" s="301"/>
      <c r="AG52" s="301"/>
      <c r="AH52" s="301"/>
      <c r="AI52" s="184"/>
      <c r="AJ52" s="185"/>
      <c r="AK52" s="185"/>
      <c r="AL52" s="186"/>
      <c r="AM52" s="186"/>
      <c r="AN52" s="361"/>
      <c r="AO52" s="362"/>
    </row>
    <row r="53" customFormat="false" ht="11.1" hidden="false" customHeight="true" outlineLevel="0" collapsed="false">
      <c r="A53" s="301"/>
      <c r="B53" s="181"/>
      <c r="C53" s="180"/>
      <c r="D53" s="180"/>
      <c r="E53" s="180"/>
      <c r="F53" s="301"/>
      <c r="G53" s="301"/>
      <c r="H53" s="305"/>
      <c r="I53" s="180"/>
      <c r="J53" s="301"/>
      <c r="K53" s="301"/>
      <c r="L53" s="301"/>
      <c r="M53" s="183"/>
      <c r="N53" s="183"/>
      <c r="O53" s="183"/>
      <c r="P53" s="181"/>
      <c r="Q53" s="183"/>
      <c r="R53" s="183"/>
      <c r="S53" s="181"/>
      <c r="T53" s="181"/>
      <c r="U53" s="301"/>
      <c r="V53" s="301"/>
      <c r="W53" s="301"/>
      <c r="X53" s="180"/>
      <c r="Y53" s="180"/>
      <c r="Z53" s="180"/>
      <c r="AA53" s="301"/>
      <c r="AB53" s="301"/>
      <c r="AC53" s="301"/>
      <c r="AD53" s="301"/>
      <c r="AE53" s="180"/>
      <c r="AF53" s="301"/>
      <c r="AG53" s="301"/>
      <c r="AH53" s="301"/>
      <c r="AI53" s="184"/>
      <c r="AJ53" s="185"/>
      <c r="AK53" s="185"/>
      <c r="AL53" s="186"/>
      <c r="AM53" s="186"/>
      <c r="AN53" s="361"/>
      <c r="AO53" s="362"/>
    </row>
    <row r="54" customFormat="false" ht="11.1" hidden="false" customHeight="true" outlineLevel="0" collapsed="false">
      <c r="A54" s="301"/>
      <c r="B54" s="301"/>
      <c r="C54" s="180"/>
      <c r="D54" s="301"/>
      <c r="E54" s="180"/>
      <c r="F54" s="301"/>
      <c r="G54" s="303"/>
      <c r="H54" s="305"/>
      <c r="I54" s="301"/>
      <c r="J54" s="301"/>
      <c r="K54" s="301"/>
      <c r="L54" s="301"/>
      <c r="M54" s="183"/>
      <c r="N54" s="183"/>
      <c r="O54" s="183"/>
      <c r="P54" s="181"/>
      <c r="Q54" s="183"/>
      <c r="R54" s="183"/>
      <c r="S54" s="181"/>
      <c r="T54" s="181"/>
      <c r="U54" s="301"/>
      <c r="V54" s="301"/>
      <c r="W54" s="301"/>
      <c r="X54" s="180"/>
      <c r="Y54" s="180"/>
      <c r="Z54" s="180"/>
      <c r="AA54" s="301"/>
      <c r="AB54" s="301"/>
      <c r="AC54" s="301"/>
      <c r="AD54" s="301"/>
      <c r="AE54" s="180"/>
      <c r="AF54" s="301"/>
      <c r="AG54" s="301"/>
      <c r="AH54" s="301"/>
      <c r="AI54" s="184"/>
      <c r="AJ54" s="185"/>
      <c r="AK54" s="185"/>
      <c r="AL54" s="186"/>
      <c r="AM54" s="186"/>
      <c r="AN54" s="361"/>
      <c r="AO54" s="362"/>
    </row>
    <row r="55" customFormat="false" ht="11.1" hidden="false" customHeight="true" outlineLevel="0" collapsed="false">
      <c r="W55" s="171"/>
      <c r="X55" s="172"/>
      <c r="Y55" s="172"/>
      <c r="Z55" s="172"/>
      <c r="AD55" s="171"/>
      <c r="AE55" s="172"/>
      <c r="AH55" s="171"/>
      <c r="AK55" s="176"/>
      <c r="AL55" s="177"/>
      <c r="AM55" s="177"/>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7"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28" activePane="bottomRight" state="frozen"/>
      <selection pane="topLeft" activeCell="A1" activeCellId="0" sqref="A1"/>
      <selection pane="topRight" activeCell="B1" activeCellId="0" sqref="B1"/>
      <selection pane="bottomLeft" activeCell="A28" activeCellId="0" sqref="A28"/>
      <selection pane="bottomRight" activeCell="AH5" activeCellId="0" sqref="AH5"/>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174" width="5.66"/>
    <col collapsed="false" customWidth="true" hidden="false" outlineLevel="0" max="11" min="9" style="171" width="6.32"/>
    <col collapsed="false" customWidth="true" hidden="false" outlineLevel="0" max="12" min="12" style="171" width="7.16"/>
    <col collapsed="false" customWidth="true" hidden="false" outlineLevel="0" max="13" min="13" style="174" width="5.49"/>
    <col collapsed="false" customWidth="true" hidden="false" outlineLevel="0" max="14" min="14" style="174" width="4.49"/>
    <col collapsed="false" customWidth="true" hidden="false" outlineLevel="0" max="15" min="15" style="174" width="5.49"/>
    <col collapsed="false" customWidth="true" hidden="false" outlineLevel="0" max="16" min="16" style="173" width="4.82"/>
    <col collapsed="false" customWidth="true" hidden="false" outlineLevel="0" max="18" min="17" style="174" width="4.32"/>
    <col collapsed="false" customWidth="true" hidden="false" outlineLevel="0" max="19" min="19" style="171" width="4.32"/>
    <col collapsed="false" customWidth="true" hidden="false" outlineLevel="0" max="20" min="20" style="394" width="5.49"/>
    <col collapsed="false" customWidth="true" hidden="false" outlineLevel="0" max="22" min="21" style="171" width="5.49"/>
    <col collapsed="false" customWidth="true" hidden="false" outlineLevel="0" max="23" min="23" style="172" width="6.32"/>
    <col collapsed="false" customWidth="true" hidden="false" outlineLevel="0" max="24" min="24" style="171" width="5.49"/>
    <col collapsed="false" customWidth="true" hidden="false" outlineLevel="0" max="25" min="25" style="171" width="5.66"/>
    <col collapsed="false" customWidth="true" hidden="false" outlineLevel="0" max="29" min="26" style="171" width="5.49"/>
    <col collapsed="false" customWidth="true" hidden="false" outlineLevel="0" max="30" min="30" style="172" width="6.49"/>
    <col collapsed="false" customWidth="true" hidden="false" outlineLevel="0" max="31" min="31" style="171" width="5.49"/>
    <col collapsed="false" customWidth="true" hidden="false" outlineLevel="0" max="32" min="32" style="171" width="6.32"/>
    <col collapsed="false" customWidth="true" hidden="false" outlineLevel="0" max="33" min="33" style="171" width="6.99"/>
    <col collapsed="false" customWidth="true" hidden="false" outlineLevel="0" max="34" min="34" style="173" width="6.99"/>
    <col collapsed="false" customWidth="true" hidden="false" outlineLevel="0" max="35" min="35" style="175" width="5.32"/>
    <col collapsed="false" customWidth="true" hidden="false" outlineLevel="0" max="36" min="36" style="176" width="3.82"/>
    <col collapsed="false" customWidth="true" hidden="false" outlineLevel="0" max="37" min="37" style="177" width="3.82"/>
    <col collapsed="false" customWidth="true" hidden="false" outlineLevel="0" max="38" min="38" style="176" width="5.49"/>
    <col collapsed="false" customWidth="true" hidden="false" outlineLevel="0" max="39" min="39" style="174" width="5.49"/>
    <col collapsed="false" customWidth="true" hidden="false" outlineLevel="0" max="42" min="40" style="171" width="6.32"/>
    <col collapsed="false" customWidth="true" hidden="false" outlineLevel="0" max="43" min="43" style="178" width="6.49"/>
    <col collapsed="false" customWidth="false" hidden="false" outlineLevel="0" max="257" min="44" style="171" width="9.32"/>
  </cols>
  <sheetData>
    <row r="1" customFormat="false" ht="14.1" hidden="false" customHeight="true" outlineLevel="0" collapsed="false">
      <c r="A1" s="179"/>
      <c r="B1" s="179"/>
      <c r="C1" s="180"/>
      <c r="D1" s="179"/>
      <c r="E1" s="180"/>
      <c r="F1" s="179"/>
      <c r="G1" s="179"/>
      <c r="H1" s="183"/>
      <c r="I1" s="179"/>
      <c r="J1" s="179"/>
      <c r="K1" s="182" t="s">
        <v>0</v>
      </c>
      <c r="L1" s="179"/>
      <c r="M1" s="179"/>
      <c r="N1" s="179"/>
      <c r="O1" s="179"/>
      <c r="P1" s="181"/>
      <c r="Q1" s="179"/>
      <c r="R1" s="179"/>
      <c r="S1" s="179"/>
      <c r="T1" s="246"/>
      <c r="U1" s="179"/>
      <c r="V1" s="179"/>
      <c r="W1" s="180"/>
      <c r="X1" s="179"/>
      <c r="Y1" s="179"/>
      <c r="Z1" s="179"/>
      <c r="AA1" s="179"/>
      <c r="AB1" s="179"/>
      <c r="AC1" s="179"/>
      <c r="AD1" s="180"/>
      <c r="AE1" s="179"/>
      <c r="AF1" s="179"/>
      <c r="AG1" s="179"/>
      <c r="AH1" s="181"/>
      <c r="AI1" s="184"/>
      <c r="AJ1" s="185"/>
      <c r="AK1" s="186"/>
      <c r="AL1" s="363"/>
      <c r="AM1" s="395"/>
      <c r="AN1" s="306"/>
    </row>
    <row r="2" customFormat="false" ht="14.1" hidden="false" customHeight="true" outlineLevel="0" collapsed="false">
      <c r="A2" s="187" t="s">
        <v>1</v>
      </c>
      <c r="B2" s="179"/>
      <c r="C2" s="180"/>
      <c r="D2" s="188" t="n">
        <v>1.9835</v>
      </c>
      <c r="E2" s="180"/>
      <c r="F2" s="179"/>
      <c r="G2" s="179"/>
      <c r="H2" s="183"/>
      <c r="I2" s="179"/>
      <c r="J2" s="179"/>
      <c r="K2" s="189" t="s">
        <v>102</v>
      </c>
      <c r="L2" s="189"/>
      <c r="M2" s="189"/>
      <c r="N2" s="189"/>
      <c r="O2" s="189"/>
      <c r="P2" s="189"/>
      <c r="Q2" s="189"/>
      <c r="R2" s="189"/>
      <c r="S2" s="189"/>
      <c r="T2" s="246"/>
      <c r="U2" s="241"/>
      <c r="V2" s="241"/>
      <c r="W2" s="243"/>
      <c r="X2" s="241"/>
      <c r="Y2" s="241"/>
      <c r="Z2" s="241"/>
      <c r="AA2" s="179"/>
      <c r="AB2" s="179"/>
      <c r="AC2" s="179"/>
      <c r="AD2" s="180"/>
      <c r="AE2" s="179"/>
      <c r="AF2" s="179"/>
      <c r="AG2" s="179"/>
      <c r="AH2" s="181"/>
      <c r="AI2" s="184"/>
      <c r="AJ2" s="185"/>
      <c r="AK2" s="186"/>
      <c r="AL2" s="363"/>
      <c r="AM2" s="395"/>
      <c r="AN2" s="306"/>
    </row>
    <row r="3" customFormat="false" ht="14.1" hidden="false" customHeight="true" outlineLevel="0" collapsed="false">
      <c r="A3" s="190"/>
      <c r="B3" s="190"/>
      <c r="C3" s="191"/>
      <c r="D3" s="192"/>
      <c r="E3" s="191"/>
      <c r="F3" s="190"/>
      <c r="G3" s="190"/>
      <c r="H3" s="194"/>
      <c r="I3" s="190"/>
      <c r="J3" s="190"/>
      <c r="K3" s="190"/>
      <c r="L3" s="190"/>
      <c r="M3" s="190"/>
      <c r="N3" s="190"/>
      <c r="O3" s="190"/>
      <c r="P3" s="193"/>
      <c r="Q3" s="190"/>
      <c r="R3" s="190"/>
      <c r="S3" s="190"/>
      <c r="T3" s="396"/>
      <c r="U3" s="190"/>
      <c r="V3" s="190"/>
      <c r="W3" s="191"/>
      <c r="X3" s="190"/>
      <c r="Y3" s="190"/>
      <c r="Z3" s="190"/>
      <c r="AA3" s="190"/>
      <c r="AB3" s="190"/>
      <c r="AC3" s="190"/>
      <c r="AD3" s="191"/>
      <c r="AE3" s="190"/>
      <c r="AF3" s="190"/>
      <c r="AG3" s="190"/>
      <c r="AH3" s="193"/>
      <c r="AI3" s="195"/>
      <c r="AJ3" s="196"/>
      <c r="AK3" s="197"/>
      <c r="AL3" s="364"/>
      <c r="AM3" s="397"/>
      <c r="AN3" s="309"/>
      <c r="AO3" s="198"/>
    </row>
    <row r="4" s="213" customFormat="true" ht="14.1" hidden="false" customHeight="true" outlineLevel="0" collapsed="false">
      <c r="A4" s="201"/>
      <c r="B4" s="202"/>
      <c r="C4" s="203"/>
      <c r="D4" s="311" t="s">
        <v>3</v>
      </c>
      <c r="E4" s="203"/>
      <c r="F4" s="205"/>
      <c r="G4" s="201"/>
      <c r="H4" s="209"/>
      <c r="I4" s="201"/>
      <c r="J4" s="201"/>
      <c r="K4" s="201"/>
      <c r="L4" s="201"/>
      <c r="M4" s="201"/>
      <c r="N4" s="201"/>
      <c r="O4" s="201"/>
      <c r="P4" s="206"/>
      <c r="Q4" s="201"/>
      <c r="R4" s="201"/>
      <c r="S4" s="201"/>
      <c r="T4" s="398"/>
      <c r="U4" s="207" t="s">
        <v>4</v>
      </c>
      <c r="V4" s="201"/>
      <c r="W4" s="208"/>
      <c r="X4" s="201"/>
      <c r="Y4" s="201"/>
      <c r="Z4" s="201"/>
      <c r="AA4" s="201"/>
      <c r="AB4" s="201"/>
      <c r="AC4" s="201"/>
      <c r="AD4" s="208"/>
      <c r="AE4" s="201"/>
      <c r="AF4" s="201"/>
      <c r="AG4" s="201"/>
      <c r="AH4" s="206"/>
      <c r="AI4" s="210"/>
      <c r="AJ4" s="211" t="s">
        <v>5</v>
      </c>
      <c r="AK4" s="212"/>
      <c r="AL4" s="365"/>
      <c r="AM4" s="209"/>
      <c r="AN4" s="207" t="s">
        <v>6</v>
      </c>
      <c r="AP4" s="217"/>
      <c r="AQ4" s="216"/>
    </row>
    <row r="5" customFormat="false" ht="12.95" hidden="false" customHeight="true" outlineLevel="0" collapsed="false">
      <c r="A5" s="218" t="s">
        <v>7</v>
      </c>
      <c r="B5" s="219" t="s">
        <v>8</v>
      </c>
      <c r="C5" s="220" t="s">
        <v>8</v>
      </c>
      <c r="D5" s="218" t="s">
        <v>9</v>
      </c>
      <c r="E5" s="220" t="s">
        <v>10</v>
      </c>
      <c r="F5" s="221" t="s">
        <v>11</v>
      </c>
      <c r="G5" s="218" t="s">
        <v>12</v>
      </c>
      <c r="H5" s="224" t="s">
        <v>13</v>
      </c>
      <c r="I5" s="218" t="s">
        <v>14</v>
      </c>
      <c r="J5" s="218" t="s">
        <v>15</v>
      </c>
      <c r="K5" s="218" t="s">
        <v>16</v>
      </c>
      <c r="L5" s="218" t="s">
        <v>15</v>
      </c>
      <c r="M5" s="399" t="s">
        <v>17</v>
      </c>
      <c r="N5" s="399"/>
      <c r="O5" s="399"/>
      <c r="P5" s="399"/>
      <c r="Q5" s="399"/>
      <c r="R5" s="399"/>
      <c r="S5" s="399"/>
      <c r="T5" s="400"/>
      <c r="U5" s="248" t="s">
        <v>18</v>
      </c>
      <c r="V5" s="248" t="s">
        <v>19</v>
      </c>
      <c r="W5" s="248" t="s">
        <v>16</v>
      </c>
      <c r="X5" s="244" t="s">
        <v>20</v>
      </c>
      <c r="Y5" s="244" t="s">
        <v>21</v>
      </c>
      <c r="Z5" s="244" t="s">
        <v>20</v>
      </c>
      <c r="AA5" s="248" t="s">
        <v>22</v>
      </c>
      <c r="AB5" s="225" t="s">
        <v>96</v>
      </c>
      <c r="AC5" s="226"/>
      <c r="AD5" s="248" t="s">
        <v>24</v>
      </c>
      <c r="AE5" s="244" t="s">
        <v>25</v>
      </c>
      <c r="AF5" s="248" t="s">
        <v>14</v>
      </c>
      <c r="AG5" s="248" t="s">
        <v>15</v>
      </c>
      <c r="AH5" s="248" t="s">
        <v>16</v>
      </c>
      <c r="AI5" s="367" t="s">
        <v>26</v>
      </c>
      <c r="AJ5" s="238" t="s">
        <v>27</v>
      </c>
      <c r="AK5" s="368" t="s">
        <v>28</v>
      </c>
      <c r="AL5" s="238" t="s">
        <v>88</v>
      </c>
      <c r="AM5" s="239" t="s">
        <v>20</v>
      </c>
      <c r="AN5" s="248" t="s">
        <v>20</v>
      </c>
      <c r="AO5" s="248" t="s">
        <v>20</v>
      </c>
      <c r="AP5" s="231" t="s">
        <v>30</v>
      </c>
      <c r="AQ5" s="230" t="s">
        <v>31</v>
      </c>
    </row>
    <row r="6" customFormat="false" ht="12.95" hidden="false" customHeight="true" outlineLevel="0" collapsed="false">
      <c r="A6" s="233" t="s">
        <v>103</v>
      </c>
      <c r="B6" s="219" t="s">
        <v>33</v>
      </c>
      <c r="C6" s="220" t="s">
        <v>9</v>
      </c>
      <c r="D6" s="218" t="s">
        <v>34</v>
      </c>
      <c r="E6" s="220" t="s">
        <v>35</v>
      </c>
      <c r="F6" s="221" t="s">
        <v>36</v>
      </c>
      <c r="G6" s="218" t="s">
        <v>37</v>
      </c>
      <c r="H6" s="224" t="s">
        <v>38</v>
      </c>
      <c r="I6" s="218" t="s">
        <v>39</v>
      </c>
      <c r="J6" s="218" t="s">
        <v>39</v>
      </c>
      <c r="K6" s="218" t="s">
        <v>39</v>
      </c>
      <c r="L6" s="218" t="s">
        <v>40</v>
      </c>
      <c r="M6" s="234" t="s">
        <v>41</v>
      </c>
      <c r="N6" s="218" t="s">
        <v>42</v>
      </c>
      <c r="O6" s="218" t="s">
        <v>43</v>
      </c>
      <c r="P6" s="222" t="s">
        <v>44</v>
      </c>
      <c r="Q6" s="218" t="s">
        <v>45</v>
      </c>
      <c r="R6" s="218" t="s">
        <v>46</v>
      </c>
      <c r="S6" s="218" t="s">
        <v>47</v>
      </c>
      <c r="T6" s="235" t="s">
        <v>48</v>
      </c>
      <c r="U6" s="248" t="s">
        <v>49</v>
      </c>
      <c r="V6" s="248" t="s">
        <v>50</v>
      </c>
      <c r="W6" s="248" t="s">
        <v>20</v>
      </c>
      <c r="X6" s="244" t="s">
        <v>60</v>
      </c>
      <c r="Y6" s="244" t="s">
        <v>52</v>
      </c>
      <c r="Z6" s="244" t="s">
        <v>98</v>
      </c>
      <c r="AA6" s="248" t="s">
        <v>54</v>
      </c>
      <c r="AB6" s="234"/>
      <c r="AC6" s="236"/>
      <c r="AD6" s="248" t="s">
        <v>56</v>
      </c>
      <c r="AE6" s="244" t="s">
        <v>57</v>
      </c>
      <c r="AF6" s="248" t="s">
        <v>58</v>
      </c>
      <c r="AG6" s="248" t="s">
        <v>58</v>
      </c>
      <c r="AH6" s="248" t="s">
        <v>58</v>
      </c>
      <c r="AI6" s="369"/>
      <c r="AJ6" s="238" t="s">
        <v>59</v>
      </c>
      <c r="AK6" s="368" t="s">
        <v>59</v>
      </c>
      <c r="AL6" s="238" t="s">
        <v>60</v>
      </c>
      <c r="AM6" s="239" t="s">
        <v>61</v>
      </c>
      <c r="AN6" s="248" t="s">
        <v>62</v>
      </c>
      <c r="AO6" s="248" t="s">
        <v>62</v>
      </c>
      <c r="AP6" s="231" t="s">
        <v>63</v>
      </c>
      <c r="AQ6" s="230" t="s">
        <v>64</v>
      </c>
    </row>
    <row r="7" customFormat="false" ht="12.95" hidden="false" customHeight="true" outlineLevel="0" collapsed="false">
      <c r="A7" s="241"/>
      <c r="B7" s="242"/>
      <c r="C7" s="243"/>
      <c r="D7" s="241"/>
      <c r="E7" s="244" t="s">
        <v>65</v>
      </c>
      <c r="F7" s="245"/>
      <c r="G7" s="241"/>
      <c r="H7" s="255"/>
      <c r="I7" s="241"/>
      <c r="J7" s="241"/>
      <c r="K7" s="241"/>
      <c r="L7" s="241"/>
      <c r="M7" s="247"/>
      <c r="N7" s="248" t="s">
        <v>66</v>
      </c>
      <c r="O7" s="248" t="s">
        <v>67</v>
      </c>
      <c r="P7" s="249"/>
      <c r="Q7" s="241"/>
      <c r="R7" s="241"/>
      <c r="S7" s="248" t="s">
        <v>43</v>
      </c>
      <c r="T7" s="250" t="s">
        <v>68</v>
      </c>
      <c r="U7" s="314"/>
      <c r="V7" s="314"/>
      <c r="W7" s="314"/>
      <c r="X7" s="244"/>
      <c r="Y7" s="244"/>
      <c r="Z7" s="244"/>
      <c r="AA7" s="314"/>
      <c r="AB7" s="247"/>
      <c r="AC7" s="251"/>
      <c r="AD7" s="314"/>
      <c r="AE7" s="371"/>
      <c r="AF7" s="314"/>
      <c r="AG7" s="314"/>
      <c r="AH7" s="314"/>
      <c r="AI7" s="372"/>
      <c r="AJ7" s="238"/>
      <c r="AK7" s="373"/>
      <c r="AL7" s="238" t="s">
        <v>69</v>
      </c>
      <c r="AM7" s="239" t="s">
        <v>36</v>
      </c>
      <c r="AN7" s="248" t="s">
        <v>70</v>
      </c>
      <c r="AO7" s="248" t="s">
        <v>93</v>
      </c>
      <c r="AP7" s="231" t="s">
        <v>72</v>
      </c>
      <c r="AQ7" s="230" t="s">
        <v>73</v>
      </c>
    </row>
    <row r="8" customFormat="false" ht="12.95" hidden="false" customHeight="true" outlineLevel="0" collapsed="false">
      <c r="A8" s="241"/>
      <c r="B8" s="242"/>
      <c r="C8" s="243"/>
      <c r="D8" s="241"/>
      <c r="E8" s="243"/>
      <c r="F8" s="245"/>
      <c r="G8" s="241"/>
      <c r="H8" s="255"/>
      <c r="I8" s="241"/>
      <c r="J8" s="241"/>
      <c r="K8" s="241"/>
      <c r="L8" s="241"/>
      <c r="M8" s="247"/>
      <c r="N8" s="321" t="n">
        <v>1.03</v>
      </c>
      <c r="O8" s="321" t="n">
        <v>1.05</v>
      </c>
      <c r="P8" s="246" t="n">
        <v>1.02</v>
      </c>
      <c r="Q8" s="321" t="n">
        <v>1.02</v>
      </c>
      <c r="R8" s="321" t="n">
        <v>1.04</v>
      </c>
      <c r="S8" s="248" t="s">
        <v>53</v>
      </c>
      <c r="T8" s="250"/>
      <c r="U8" s="314"/>
      <c r="V8" s="314"/>
      <c r="W8" s="314"/>
      <c r="X8" s="371"/>
      <c r="Y8" s="371"/>
      <c r="Z8" s="244"/>
      <c r="AA8" s="314"/>
      <c r="AB8" s="247"/>
      <c r="AC8" s="251"/>
      <c r="AD8" s="314"/>
      <c r="AE8" s="371"/>
      <c r="AF8" s="314"/>
      <c r="AG8" s="314"/>
      <c r="AH8" s="314"/>
      <c r="AI8" s="372"/>
      <c r="AJ8" s="374"/>
      <c r="AK8" s="373"/>
      <c r="AL8" s="374"/>
      <c r="AM8" s="401"/>
      <c r="AN8" s="201"/>
      <c r="AO8" s="187" t="s">
        <v>69</v>
      </c>
      <c r="AP8" s="213"/>
    </row>
    <row r="9" customFormat="false" ht="12.95" hidden="false" customHeight="true" outlineLevel="0" collapsed="false">
      <c r="A9" s="187" t="s">
        <v>75</v>
      </c>
      <c r="B9" s="256"/>
      <c r="C9" s="115"/>
      <c r="D9" s="115"/>
      <c r="E9" s="115"/>
      <c r="F9" s="257"/>
      <c r="G9" s="115"/>
      <c r="H9" s="261"/>
      <c r="I9" s="115"/>
      <c r="J9" s="115"/>
      <c r="K9" s="115"/>
      <c r="L9" s="115"/>
      <c r="M9" s="259"/>
      <c r="N9" s="115"/>
      <c r="O9" s="115"/>
      <c r="P9" s="258"/>
      <c r="Q9" s="115"/>
      <c r="R9" s="115"/>
      <c r="S9" s="115"/>
      <c r="T9" s="402"/>
      <c r="U9" s="115"/>
      <c r="V9" s="115"/>
      <c r="W9" s="115"/>
      <c r="X9" s="115"/>
      <c r="Y9" s="115"/>
      <c r="Z9" s="115"/>
      <c r="AA9" s="115"/>
      <c r="AB9" s="259"/>
      <c r="AC9" s="262"/>
      <c r="AD9" s="115"/>
      <c r="AE9" s="115"/>
      <c r="AF9" s="115"/>
      <c r="AG9" s="115"/>
      <c r="AH9" s="115"/>
      <c r="AI9" s="263"/>
      <c r="AJ9" s="264"/>
      <c r="AK9" s="265"/>
      <c r="AL9" s="264"/>
      <c r="AM9" s="261"/>
      <c r="AN9" s="141"/>
      <c r="AO9" s="266"/>
      <c r="AP9" s="266"/>
    </row>
    <row r="10" s="172" customFormat="true" ht="12.95" hidden="false" customHeight="true" outlineLevel="0" collapsed="false">
      <c r="A10" s="267" t="s">
        <v>76</v>
      </c>
      <c r="B10" s="114" t="n">
        <f aca="false">FEB!B39</f>
        <v>6898.5</v>
      </c>
      <c r="C10" s="115" t="n">
        <f aca="false">FEB!C39</f>
        <v>278084</v>
      </c>
      <c r="D10" s="115" t="n">
        <f aca="false">FEB!D48</f>
        <v>7163</v>
      </c>
      <c r="E10" s="115" t="n">
        <f aca="false">FEB!E48</f>
        <v>126084</v>
      </c>
      <c r="F10" s="257" t="n">
        <f aca="false">FEB!F47</f>
        <v>3611.29316864129</v>
      </c>
      <c r="G10" s="115" t="n">
        <f aca="false">FEB!G47</f>
        <v>11361</v>
      </c>
      <c r="H10" s="261" t="n">
        <f aca="false">FEB!H47</f>
        <v>210.68</v>
      </c>
      <c r="I10" s="115" t="n">
        <f aca="false">FEB!I47</f>
        <v>11571.68</v>
      </c>
      <c r="J10" s="115" t="n">
        <f aca="false">FEB!J47</f>
        <v>1497.71711620872</v>
      </c>
      <c r="K10" s="115" t="n">
        <f aca="false">FEB!K47</f>
        <v>13069.3971162087</v>
      </c>
      <c r="L10" s="115" t="n">
        <f aca="false">FEB!L47</f>
        <v>179.013168641291</v>
      </c>
      <c r="M10" s="259" t="n">
        <f aca="false">FEB!M47</f>
        <v>635.2</v>
      </c>
      <c r="N10" s="115" t="n">
        <f aca="false">FEB!N47</f>
        <v>0</v>
      </c>
      <c r="O10" s="115" t="n">
        <f aca="false">FEB!O47</f>
        <v>0</v>
      </c>
      <c r="P10" s="258"/>
      <c r="Q10" s="115" t="n">
        <f aca="false">FEB!Q47</f>
        <v>187.5372</v>
      </c>
      <c r="R10" s="115" t="n">
        <f aca="false">FEB!R47</f>
        <v>334.953</v>
      </c>
      <c r="S10" s="115" t="n">
        <f aca="false">FEB!S47</f>
        <v>0.16</v>
      </c>
      <c r="T10" s="260" t="n">
        <f aca="false">FEB!T47</f>
        <v>-45.2276</v>
      </c>
      <c r="U10" s="115" t="n">
        <f aca="false">FEB!U47</f>
        <v>4691</v>
      </c>
      <c r="V10" s="115" t="n">
        <f aca="false">FEB!V47</f>
        <v>76.2</v>
      </c>
      <c r="W10" s="115" t="n">
        <f aca="false">FEB!W47</f>
        <v>4447.81</v>
      </c>
      <c r="X10" s="115"/>
      <c r="Y10" s="115"/>
      <c r="Z10" s="115"/>
      <c r="AA10" s="115"/>
      <c r="AB10" s="259"/>
      <c r="AC10" s="262"/>
      <c r="AD10" s="115" t="n">
        <f aca="false">FEB!AD47</f>
        <v>2737</v>
      </c>
      <c r="AE10" s="115" t="n">
        <f aca="false">FEB!AE47</f>
        <v>1082</v>
      </c>
      <c r="AF10" s="115" t="n">
        <f aca="false">FEB!AF47</f>
        <v>8139.4</v>
      </c>
      <c r="AG10" s="115" t="n">
        <f aca="false">FEB!AG47</f>
        <v>1318.70394756743</v>
      </c>
      <c r="AH10" s="115" t="n">
        <f aca="false">FEB!AH47</f>
        <v>9458.10394756743</v>
      </c>
      <c r="AI10" s="263" t="n">
        <f aca="false">FEB!AI47</f>
        <v>3.83</v>
      </c>
      <c r="AJ10" s="264"/>
      <c r="AK10" s="265"/>
      <c r="AL10" s="264" t="n">
        <f aca="false">FEB!AL48</f>
        <v>8822.236385</v>
      </c>
      <c r="AM10" s="261" t="n">
        <f aca="false">FEB!AM48</f>
        <v>0</v>
      </c>
      <c r="AN10" s="115"/>
      <c r="AO10" s="141"/>
      <c r="AP10" s="115"/>
      <c r="AQ10" s="403"/>
    </row>
    <row r="11" customFormat="false" ht="3" hidden="false" customHeight="true" outlineLevel="0" collapsed="false">
      <c r="A11" s="404"/>
      <c r="B11" s="271"/>
      <c r="C11" s="272"/>
      <c r="D11" s="273"/>
      <c r="E11" s="272"/>
      <c r="F11" s="274"/>
      <c r="G11" s="273"/>
      <c r="H11" s="278"/>
      <c r="I11" s="273"/>
      <c r="J11" s="273"/>
      <c r="K11" s="273"/>
      <c r="L11" s="273"/>
      <c r="M11" s="276"/>
      <c r="N11" s="273"/>
      <c r="O11" s="273"/>
      <c r="P11" s="275"/>
      <c r="Q11" s="273"/>
      <c r="R11" s="273"/>
      <c r="S11" s="273"/>
      <c r="T11" s="405"/>
      <c r="U11" s="273"/>
      <c r="V11" s="273"/>
      <c r="W11" s="273"/>
      <c r="X11" s="272"/>
      <c r="Y11" s="272"/>
      <c r="Z11" s="272"/>
      <c r="AA11" s="273"/>
      <c r="AB11" s="276"/>
      <c r="AC11" s="279"/>
      <c r="AD11" s="273"/>
      <c r="AE11" s="272"/>
      <c r="AF11" s="273"/>
      <c r="AG11" s="273"/>
      <c r="AH11" s="273"/>
      <c r="AI11" s="280"/>
      <c r="AJ11" s="281"/>
      <c r="AK11" s="282"/>
      <c r="AL11" s="281"/>
      <c r="AM11" s="278"/>
      <c r="AN11" s="281"/>
      <c r="AO11" s="281"/>
      <c r="AP11" s="281"/>
      <c r="AQ11" s="406"/>
    </row>
    <row r="12" customFormat="false" ht="12.95" hidden="false" customHeight="true" outlineLevel="0" collapsed="false">
      <c r="A12" s="374" t="n">
        <v>1</v>
      </c>
      <c r="B12" s="114" t="n">
        <v>6898.51</v>
      </c>
      <c r="C12" s="115" t="n">
        <v>278120</v>
      </c>
      <c r="D12" s="264" t="n">
        <f aca="false">C12-C10</f>
        <v>36</v>
      </c>
      <c r="E12" s="115" t="n">
        <f aca="false">C12-152000</f>
        <v>126120</v>
      </c>
      <c r="F12" s="283" t="n">
        <f aca="false">D12/$D$2</f>
        <v>18.14973531636</v>
      </c>
      <c r="G12" s="141" t="n">
        <v>47</v>
      </c>
      <c r="H12" s="407" t="n">
        <v>2.2</v>
      </c>
      <c r="I12" s="141" t="n">
        <f aca="false">G12+H12</f>
        <v>49.2</v>
      </c>
      <c r="J12" s="261" t="n">
        <f aca="false">IF(L12&gt;0,L12,0)</f>
        <v>0</v>
      </c>
      <c r="K12" s="141" t="n">
        <f aca="false">I12+J12</f>
        <v>49.2</v>
      </c>
      <c r="L12" s="141" t="n">
        <f aca="false">F12-(I12-AF12)</f>
        <v>-1.95026468364003</v>
      </c>
      <c r="M12" s="284" t="n">
        <v>3.1</v>
      </c>
      <c r="N12" s="141" t="n">
        <v>0</v>
      </c>
      <c r="O12" s="141" t="n">
        <v>0</v>
      </c>
      <c r="P12" s="258" t="n">
        <v>0</v>
      </c>
      <c r="Q12" s="408" t="n">
        <f aca="false">1.44*1.02</f>
        <v>1.4688</v>
      </c>
      <c r="R12" s="408" t="n">
        <v>2.68</v>
      </c>
      <c r="S12" s="138" t="n">
        <v>0</v>
      </c>
      <c r="T12" s="104" t="n">
        <f aca="false">M12-(Q12+R12+S12)</f>
        <v>-1.0488</v>
      </c>
      <c r="U12" s="141" t="n">
        <v>0</v>
      </c>
      <c r="V12" s="141" t="n">
        <v>0</v>
      </c>
      <c r="W12" s="141" t="n">
        <f aca="false">M12-N12-O12-P12-Q12-R12-S12-T12+U12+V12</f>
        <v>0</v>
      </c>
      <c r="X12" s="115"/>
      <c r="Y12" s="115"/>
      <c r="Z12" s="115"/>
      <c r="AA12" s="141" t="n">
        <v>0</v>
      </c>
      <c r="AB12" s="284"/>
      <c r="AC12" s="285"/>
      <c r="AD12" s="409" t="n">
        <v>26</v>
      </c>
      <c r="AE12" s="410" t="n">
        <f aca="false">AE10-AD12</f>
        <v>1056</v>
      </c>
      <c r="AF12" s="140" t="n">
        <f aca="false">N12+O12+P12+Q12+R12+S12+T12+W12+AA12+AD12</f>
        <v>29.1</v>
      </c>
      <c r="AG12" s="141" t="n">
        <f aca="false">IF(L12&lt;0,L12*-1,0)</f>
        <v>1.95026468364003</v>
      </c>
      <c r="AH12" s="141" t="n">
        <f aca="false">AF12+AG12</f>
        <v>31.05026468364</v>
      </c>
      <c r="AI12" s="263" t="n">
        <v>0.01</v>
      </c>
      <c r="AJ12" s="264" t="n">
        <v>28</v>
      </c>
      <c r="AK12" s="265" t="n">
        <v>0</v>
      </c>
      <c r="AL12" s="264" t="n">
        <f aca="false">AL10+(W12*1.9835)</f>
        <v>8822.236385</v>
      </c>
      <c r="AM12" s="261"/>
      <c r="AN12" s="266"/>
      <c r="AO12" s="115"/>
      <c r="AP12" s="266"/>
    </row>
    <row r="13" customFormat="false" ht="12.95" hidden="false" customHeight="true" outlineLevel="0" collapsed="false">
      <c r="A13" s="374" t="n">
        <f aca="false">A12+1</f>
        <v>2</v>
      </c>
      <c r="B13" s="114" t="n">
        <v>6898.51</v>
      </c>
      <c r="C13" s="115" t="n">
        <v>278120</v>
      </c>
      <c r="D13" s="264" t="n">
        <f aca="false">C13-C12</f>
        <v>0</v>
      </c>
      <c r="E13" s="115" t="n">
        <f aca="false">C13-152000</f>
        <v>126120</v>
      </c>
      <c r="F13" s="283" t="n">
        <f aca="false">D13/$D$2</f>
        <v>0</v>
      </c>
      <c r="G13" s="141" t="n">
        <v>47</v>
      </c>
      <c r="H13" s="407" t="n">
        <v>2.3</v>
      </c>
      <c r="I13" s="141" t="n">
        <f aca="false">G13+H13</f>
        <v>49.3</v>
      </c>
      <c r="J13" s="261" t="n">
        <f aca="false">IF(L13&gt;0,L13,0)</f>
        <v>0</v>
      </c>
      <c r="K13" s="141" t="n">
        <f aca="false">I13+J13</f>
        <v>49.3</v>
      </c>
      <c r="L13" s="141" t="n">
        <f aca="false">F13-(I13-AF13)</f>
        <v>-20.2</v>
      </c>
      <c r="M13" s="284" t="n">
        <v>3.1</v>
      </c>
      <c r="N13" s="141" t="n">
        <v>0</v>
      </c>
      <c r="O13" s="141" t="n">
        <v>0</v>
      </c>
      <c r="P13" s="258" t="n">
        <v>0</v>
      </c>
      <c r="Q13" s="408" t="n">
        <f aca="false">1.44*1.02</f>
        <v>1.4688</v>
      </c>
      <c r="R13" s="408" t="n">
        <v>3.09</v>
      </c>
      <c r="S13" s="138" t="n">
        <v>0</v>
      </c>
      <c r="T13" s="104" t="n">
        <f aca="false">M13-(Q13+R13+S13)</f>
        <v>-1.4588</v>
      </c>
      <c r="U13" s="141" t="n">
        <v>0</v>
      </c>
      <c r="V13" s="141" t="n">
        <v>0</v>
      </c>
      <c r="W13" s="141" t="n">
        <f aca="false">M13-N13-O13-P13-Q13-R13-S13-T13+U13+V13</f>
        <v>0</v>
      </c>
      <c r="X13" s="115"/>
      <c r="Y13" s="115"/>
      <c r="Z13" s="115"/>
      <c r="AA13" s="141" t="n">
        <v>0</v>
      </c>
      <c r="AB13" s="284"/>
      <c r="AC13" s="285"/>
      <c r="AD13" s="409" t="n">
        <v>26</v>
      </c>
      <c r="AE13" s="410" t="n">
        <f aca="false">AE12-AD13</f>
        <v>1030</v>
      </c>
      <c r="AF13" s="140" t="n">
        <f aca="false">N13+O13+P13+Q13+R13+S13+T13+W13+AA13+AD13</f>
        <v>29.1</v>
      </c>
      <c r="AG13" s="141" t="n">
        <f aca="false">IF(L13&lt;0,L13*-1,0)</f>
        <v>20.2</v>
      </c>
      <c r="AH13" s="141" t="n">
        <f aca="false">AF13+AG13</f>
        <v>49.3</v>
      </c>
      <c r="AI13" s="263" t="n">
        <v>0</v>
      </c>
      <c r="AJ13" s="264" t="n">
        <v>31</v>
      </c>
      <c r="AK13" s="265" t="n">
        <v>6</v>
      </c>
      <c r="AL13" s="264" t="n">
        <f aca="false">AL12+(W13*1.9835)</f>
        <v>8822.236385</v>
      </c>
      <c r="AM13" s="261"/>
      <c r="AN13" s="266"/>
      <c r="AO13" s="115"/>
      <c r="AP13" s="266"/>
    </row>
    <row r="14" customFormat="false" ht="12.95" hidden="false" customHeight="true" outlineLevel="0" collapsed="false">
      <c r="A14" s="374" t="n">
        <f aca="false">A13+1</f>
        <v>3</v>
      </c>
      <c r="B14" s="114" t="n">
        <v>6898.52</v>
      </c>
      <c r="C14" s="115" t="n">
        <v>278156</v>
      </c>
      <c r="D14" s="264" t="n">
        <f aca="false">C14-C13</f>
        <v>36</v>
      </c>
      <c r="E14" s="115" t="n">
        <f aca="false">C14-152000</f>
        <v>126156</v>
      </c>
      <c r="F14" s="283" t="n">
        <f aca="false">D14/$D$2</f>
        <v>18.14973531636</v>
      </c>
      <c r="G14" s="141" t="n">
        <v>41</v>
      </c>
      <c r="H14" s="407" t="n">
        <v>2.2</v>
      </c>
      <c r="I14" s="141" t="n">
        <f aca="false">G14+H14</f>
        <v>43.2</v>
      </c>
      <c r="J14" s="261" t="n">
        <f aca="false">IF(L14&gt;0,L14,0)</f>
        <v>4.04973531635997</v>
      </c>
      <c r="K14" s="141" t="n">
        <f aca="false">I14+J14</f>
        <v>47.24973531636</v>
      </c>
      <c r="L14" s="141" t="n">
        <f aca="false">F14-(I14-AF14)</f>
        <v>4.04973531635997</v>
      </c>
      <c r="M14" s="284" t="n">
        <v>3.1</v>
      </c>
      <c r="N14" s="141" t="n">
        <v>0</v>
      </c>
      <c r="O14" s="141" t="n">
        <v>0</v>
      </c>
      <c r="P14" s="258" t="n">
        <v>0</v>
      </c>
      <c r="Q14" s="408" t="n">
        <f aca="false">1.44*1.02</f>
        <v>1.4688</v>
      </c>
      <c r="R14" s="408" t="n">
        <v>2.44</v>
      </c>
      <c r="S14" s="138" t="n">
        <v>0</v>
      </c>
      <c r="T14" s="104" t="n">
        <f aca="false">M14-(Q14+R14+S14)</f>
        <v>-0.8088</v>
      </c>
      <c r="U14" s="141" t="n">
        <v>0</v>
      </c>
      <c r="V14" s="141" t="n">
        <v>0</v>
      </c>
      <c r="W14" s="141" t="n">
        <f aca="false">M14-N14-O14-P14-Q14-R14-S14-T14+U14+V14</f>
        <v>0</v>
      </c>
      <c r="X14" s="115"/>
      <c r="Y14" s="115"/>
      <c r="Z14" s="115"/>
      <c r="AA14" s="141" t="n">
        <v>0</v>
      </c>
      <c r="AB14" s="284"/>
      <c r="AC14" s="285"/>
      <c r="AD14" s="409" t="n">
        <v>26</v>
      </c>
      <c r="AE14" s="410" t="n">
        <f aca="false">AE13-AD14</f>
        <v>1004</v>
      </c>
      <c r="AF14" s="140" t="n">
        <f aca="false">N14+O14+P14+Q14+R14+S14+T14+W14+AA14+AD14</f>
        <v>29.1</v>
      </c>
      <c r="AG14" s="141" t="n">
        <f aca="false">IF(L14&lt;0,L14*-1,0)</f>
        <v>0</v>
      </c>
      <c r="AH14" s="141" t="n">
        <f aca="false">AF14+AG14</f>
        <v>29.1</v>
      </c>
      <c r="AI14" s="263" t="n">
        <v>0</v>
      </c>
      <c r="AJ14" s="264" t="n">
        <v>33</v>
      </c>
      <c r="AK14" s="265" t="n">
        <v>11</v>
      </c>
      <c r="AL14" s="264" t="n">
        <f aca="false">AL13+(W14*1.9835)</f>
        <v>8822.236385</v>
      </c>
      <c r="AM14" s="261"/>
      <c r="AN14" s="266"/>
      <c r="AO14" s="115"/>
      <c r="AP14" s="266"/>
    </row>
    <row r="15" customFormat="false" ht="12.95" hidden="false" customHeight="true" outlineLevel="0" collapsed="false">
      <c r="A15" s="374" t="n">
        <f aca="false">A14+1</f>
        <v>4</v>
      </c>
      <c r="B15" s="114" t="n">
        <v>6898.54</v>
      </c>
      <c r="C15" s="115" t="n">
        <v>278229</v>
      </c>
      <c r="D15" s="264" t="n">
        <f aca="false">C15-C14</f>
        <v>73</v>
      </c>
      <c r="E15" s="115" t="n">
        <f aca="false">C15-152000</f>
        <v>126229</v>
      </c>
      <c r="F15" s="283" t="n">
        <f aca="false">D15/$D$2</f>
        <v>36.8036299470633</v>
      </c>
      <c r="G15" s="141" t="n">
        <v>34</v>
      </c>
      <c r="H15" s="407" t="n">
        <v>2.1</v>
      </c>
      <c r="I15" s="141" t="n">
        <f aca="false">G15+H15</f>
        <v>36.1</v>
      </c>
      <c r="J15" s="261" t="n">
        <f aca="false">IF(L15&gt;0,L15,0)</f>
        <v>29.8036299470633</v>
      </c>
      <c r="K15" s="141" t="n">
        <f aca="false">I15+J15</f>
        <v>65.9036299470633</v>
      </c>
      <c r="L15" s="141" t="n">
        <f aca="false">F15-(I15-AF15)</f>
        <v>29.8036299470633</v>
      </c>
      <c r="M15" s="284" t="n">
        <v>3.1</v>
      </c>
      <c r="N15" s="141" t="n">
        <v>0</v>
      </c>
      <c r="O15" s="141" t="n">
        <v>0</v>
      </c>
      <c r="P15" s="258" t="n">
        <v>0</v>
      </c>
      <c r="Q15" s="408" t="n">
        <f aca="false">1.44*1.02</f>
        <v>1.4688</v>
      </c>
      <c r="R15" s="408" t="n">
        <v>2.78</v>
      </c>
      <c r="S15" s="138" t="n">
        <v>0</v>
      </c>
      <c r="T15" s="104" t="n">
        <f aca="false">M15-(Q15+R15+S15)</f>
        <v>-1.1488</v>
      </c>
      <c r="U15" s="141" t="n">
        <v>0</v>
      </c>
      <c r="V15" s="141" t="n">
        <v>0</v>
      </c>
      <c r="W15" s="141" t="n">
        <f aca="false">M15-N15-O15-P15-Q15-R15-S15-T15+U15+V15</f>
        <v>0</v>
      </c>
      <c r="X15" s="115"/>
      <c r="Y15" s="115"/>
      <c r="Z15" s="115"/>
      <c r="AA15" s="141" t="n">
        <v>0</v>
      </c>
      <c r="AB15" s="284"/>
      <c r="AC15" s="285"/>
      <c r="AD15" s="409" t="n">
        <v>26</v>
      </c>
      <c r="AE15" s="410" t="n">
        <f aca="false">AE14-AD15</f>
        <v>978</v>
      </c>
      <c r="AF15" s="140" t="n">
        <f aca="false">N15+O15+P15+Q15+R15+S15+T15+W15+AA15+AD15</f>
        <v>29.1</v>
      </c>
      <c r="AG15" s="141" t="n">
        <f aca="false">IF(L15&lt;0,L15*-1,0)</f>
        <v>0</v>
      </c>
      <c r="AH15" s="141" t="n">
        <f aca="false">AF15+AG15</f>
        <v>29.1</v>
      </c>
      <c r="AI15" s="263" t="n">
        <v>0</v>
      </c>
      <c r="AJ15" s="264" t="n">
        <v>47</v>
      </c>
      <c r="AK15" s="265" t="n">
        <v>15</v>
      </c>
      <c r="AL15" s="264" t="n">
        <f aca="false">AL14+(W15*1.9835)</f>
        <v>8822.236385</v>
      </c>
      <c r="AM15" s="261"/>
      <c r="AN15" s="266"/>
      <c r="AO15" s="115"/>
      <c r="AP15" s="266"/>
    </row>
    <row r="16" customFormat="false" ht="12.95" hidden="false" customHeight="true" outlineLevel="0" collapsed="false">
      <c r="A16" s="374" t="n">
        <f aca="false">A15+1</f>
        <v>5</v>
      </c>
      <c r="B16" s="114" t="n">
        <v>6898.56</v>
      </c>
      <c r="C16" s="115" t="n">
        <v>278302</v>
      </c>
      <c r="D16" s="264" t="n">
        <f aca="false">C16-C15</f>
        <v>73</v>
      </c>
      <c r="E16" s="115" t="n">
        <f aca="false">C16-152000</f>
        <v>126302</v>
      </c>
      <c r="F16" s="283" t="n">
        <f aca="false">D16/$D$2</f>
        <v>36.8036299470633</v>
      </c>
      <c r="G16" s="141" t="n">
        <v>38</v>
      </c>
      <c r="H16" s="407" t="n">
        <v>2.2</v>
      </c>
      <c r="I16" s="141" t="n">
        <f aca="false">G16+H16</f>
        <v>40.2</v>
      </c>
      <c r="J16" s="261" t="n">
        <f aca="false">IF(L16&gt;0,L16,0)</f>
        <v>25.7036299470633</v>
      </c>
      <c r="K16" s="141" t="n">
        <f aca="false">I16+J16</f>
        <v>65.9036299470633</v>
      </c>
      <c r="L16" s="141" t="n">
        <f aca="false">F16-(I16-AF16)</f>
        <v>25.7036299470633</v>
      </c>
      <c r="M16" s="284" t="n">
        <v>3.1</v>
      </c>
      <c r="N16" s="141" t="n">
        <v>0</v>
      </c>
      <c r="O16" s="141" t="n">
        <v>0</v>
      </c>
      <c r="P16" s="258" t="n">
        <v>0</v>
      </c>
      <c r="Q16" s="408" t="n">
        <f aca="false">1.44*1.02</f>
        <v>1.4688</v>
      </c>
      <c r="R16" s="408" t="n">
        <v>3</v>
      </c>
      <c r="S16" s="138" t="n">
        <v>0</v>
      </c>
      <c r="T16" s="104" t="n">
        <f aca="false">M16-(Q16+R16+S16)</f>
        <v>-1.3688</v>
      </c>
      <c r="U16" s="141" t="n">
        <v>0</v>
      </c>
      <c r="V16" s="141" t="n">
        <v>0</v>
      </c>
      <c r="W16" s="141" t="n">
        <f aca="false">M16-N16-O16-P16-Q16-R16-S16-T16+U16+V16</f>
        <v>0</v>
      </c>
      <c r="X16" s="115"/>
      <c r="Y16" s="115"/>
      <c r="Z16" s="115"/>
      <c r="AA16" s="141" t="n">
        <v>0</v>
      </c>
      <c r="AB16" s="284"/>
      <c r="AC16" s="285"/>
      <c r="AD16" s="409" t="n">
        <v>26</v>
      </c>
      <c r="AE16" s="410" t="n">
        <f aca="false">AE15-AD16</f>
        <v>952</v>
      </c>
      <c r="AF16" s="140" t="n">
        <f aca="false">N16+O16+P16+Q16+R16+S16+T16+W16+AA16+AD16</f>
        <v>29.1</v>
      </c>
      <c r="AG16" s="141" t="n">
        <f aca="false">IF(L16&lt;0,L16*-1,0)</f>
        <v>0</v>
      </c>
      <c r="AH16" s="141" t="n">
        <f aca="false">AF16+AG16</f>
        <v>29.1</v>
      </c>
      <c r="AI16" s="263" t="n">
        <v>0</v>
      </c>
      <c r="AJ16" s="264" t="n">
        <v>56</v>
      </c>
      <c r="AK16" s="265" t="n">
        <v>25</v>
      </c>
      <c r="AL16" s="264" t="n">
        <f aca="false">AL15+(W16*1.9835)</f>
        <v>8822.236385</v>
      </c>
      <c r="AM16" s="261"/>
      <c r="AN16" s="266"/>
      <c r="AO16" s="115"/>
      <c r="AP16" s="266"/>
    </row>
    <row r="17" customFormat="false" ht="12.95" hidden="false" customHeight="true" outlineLevel="0" collapsed="false">
      <c r="A17" s="374" t="n">
        <f aca="false">A16+1</f>
        <v>6</v>
      </c>
      <c r="B17" s="114" t="n">
        <v>6898.6</v>
      </c>
      <c r="C17" s="115" t="n">
        <v>278448</v>
      </c>
      <c r="D17" s="264" t="n">
        <f aca="false">C17-C16</f>
        <v>146</v>
      </c>
      <c r="E17" s="115" t="n">
        <f aca="false">C17-152000</f>
        <v>126448</v>
      </c>
      <c r="F17" s="283" t="n">
        <f aca="false">D17/$D$2</f>
        <v>73.6072598941265</v>
      </c>
      <c r="G17" s="141" t="n">
        <v>59</v>
      </c>
      <c r="H17" s="407" t="n">
        <v>2.8</v>
      </c>
      <c r="I17" s="141" t="n">
        <f aca="false">G17+H17</f>
        <v>61.8</v>
      </c>
      <c r="J17" s="261" t="n">
        <f aca="false">IF(L17&gt;0,L17,0)</f>
        <v>40.9072598941266</v>
      </c>
      <c r="K17" s="141" t="n">
        <f aca="false">I17+J17</f>
        <v>102.707259894127</v>
      </c>
      <c r="L17" s="141" t="n">
        <f aca="false">F17-(I17-AF17)</f>
        <v>40.9072598941266</v>
      </c>
      <c r="M17" s="284" t="n">
        <v>3.1</v>
      </c>
      <c r="N17" s="141" t="n">
        <v>0</v>
      </c>
      <c r="O17" s="141" t="n">
        <v>0</v>
      </c>
      <c r="P17" s="258" t="n">
        <v>0</v>
      </c>
      <c r="Q17" s="408" t="n">
        <f aca="false">1.44*1.02</f>
        <v>1.4688</v>
      </c>
      <c r="R17" s="408" t="n">
        <v>3.07</v>
      </c>
      <c r="S17" s="138" t="n">
        <v>0</v>
      </c>
      <c r="T17" s="104" t="n">
        <f aca="false">M17-(Q17+R17+S17)</f>
        <v>-1.4388</v>
      </c>
      <c r="U17" s="141" t="n">
        <v>0</v>
      </c>
      <c r="V17" s="141" t="n">
        <v>0</v>
      </c>
      <c r="W17" s="141" t="n">
        <f aca="false">M17-N17-O17-P17-Q17-R17-S17-T17+U17+V17</f>
        <v>0</v>
      </c>
      <c r="X17" s="115"/>
      <c r="Y17" s="115"/>
      <c r="Z17" s="115"/>
      <c r="AA17" s="141" t="n">
        <v>0</v>
      </c>
      <c r="AB17" s="284"/>
      <c r="AC17" s="285"/>
      <c r="AD17" s="409" t="n">
        <v>26</v>
      </c>
      <c r="AE17" s="410" t="n">
        <f aca="false">AE16-AD17</f>
        <v>926</v>
      </c>
      <c r="AF17" s="140" t="n">
        <f aca="false">N17+O17+P17+Q17+R17+S17+T17+W17+AA17+AD17</f>
        <v>29.1</v>
      </c>
      <c r="AG17" s="141" t="n">
        <f aca="false">IF(L17&lt;0,L17*-1,0)</f>
        <v>0</v>
      </c>
      <c r="AH17" s="141" t="n">
        <f aca="false">AF17+AG17</f>
        <v>29.1</v>
      </c>
      <c r="AI17" s="263" t="n">
        <v>0</v>
      </c>
      <c r="AJ17" s="264" t="n">
        <v>55</v>
      </c>
      <c r="AK17" s="265" t="n">
        <v>26</v>
      </c>
      <c r="AL17" s="264" t="n">
        <f aca="false">AL16+(W17*1.9835)</f>
        <v>8822.236385</v>
      </c>
      <c r="AM17" s="261"/>
      <c r="AN17" s="141"/>
      <c r="AO17" s="115"/>
      <c r="AP17" s="266"/>
    </row>
    <row r="18" customFormat="false" ht="12.95" hidden="false" customHeight="true" outlineLevel="0" collapsed="false">
      <c r="A18" s="374" t="n">
        <f aca="false">A17+1</f>
        <v>7</v>
      </c>
      <c r="B18" s="114" t="n">
        <v>6898.65</v>
      </c>
      <c r="C18" s="115" t="n">
        <v>278630</v>
      </c>
      <c r="D18" s="264" t="n">
        <f aca="false">C18-C17</f>
        <v>182</v>
      </c>
      <c r="E18" s="115" t="n">
        <f aca="false">C18-152000</f>
        <v>126630</v>
      </c>
      <c r="F18" s="283" t="n">
        <f aca="false">D18/$D$2</f>
        <v>91.7569952104865</v>
      </c>
      <c r="G18" s="141" t="n">
        <v>82</v>
      </c>
      <c r="H18" s="407" t="n">
        <v>3.7</v>
      </c>
      <c r="I18" s="141" t="n">
        <f aca="false">G18+H18</f>
        <v>85.7</v>
      </c>
      <c r="J18" s="261" t="n">
        <f aca="false">IF(L18&gt;0,L18,0)</f>
        <v>35.1569952104865</v>
      </c>
      <c r="K18" s="141" t="n">
        <f aca="false">I18+J18</f>
        <v>120.856995210487</v>
      </c>
      <c r="L18" s="141" t="n">
        <f aca="false">F18-(I18-AF18)</f>
        <v>35.1569952104865</v>
      </c>
      <c r="M18" s="284" t="n">
        <v>3.1</v>
      </c>
      <c r="N18" s="141" t="n">
        <v>0</v>
      </c>
      <c r="O18" s="141" t="n">
        <v>0</v>
      </c>
      <c r="P18" s="258" t="n">
        <v>0</v>
      </c>
      <c r="Q18" s="408" t="n">
        <f aca="false">1.44*1.02</f>
        <v>1.4688</v>
      </c>
      <c r="R18" s="408" t="n">
        <v>3.39</v>
      </c>
      <c r="S18" s="138" t="n">
        <v>0</v>
      </c>
      <c r="T18" s="104" t="n">
        <f aca="false">M18-(Q18+R18+S18)</f>
        <v>-1.7588</v>
      </c>
      <c r="U18" s="141" t="n">
        <v>0</v>
      </c>
      <c r="V18" s="141" t="n">
        <v>0</v>
      </c>
      <c r="W18" s="141" t="n">
        <f aca="false">M18-N18-O18-P18-Q18-R18-S18-T18+U18+V18</f>
        <v>0</v>
      </c>
      <c r="X18" s="115"/>
      <c r="Y18" s="115"/>
      <c r="Z18" s="115"/>
      <c r="AA18" s="141" t="n">
        <v>0</v>
      </c>
      <c r="AB18" s="284"/>
      <c r="AC18" s="285"/>
      <c r="AD18" s="409" t="n">
        <v>26</v>
      </c>
      <c r="AE18" s="410" t="n">
        <f aca="false">AE17-AD18</f>
        <v>900</v>
      </c>
      <c r="AF18" s="140" t="n">
        <f aca="false">N18+O18+P18+Q18+R18+S18+T18+W18+AA18+AD18</f>
        <v>29.1</v>
      </c>
      <c r="AG18" s="141" t="n">
        <f aca="false">IF(L18&lt;0,L18*-1,0)</f>
        <v>0</v>
      </c>
      <c r="AH18" s="141" t="n">
        <f aca="false">AF18+AG18</f>
        <v>29.1</v>
      </c>
      <c r="AI18" s="263" t="n">
        <v>0</v>
      </c>
      <c r="AJ18" s="264" t="n">
        <v>57</v>
      </c>
      <c r="AK18" s="265" t="n">
        <v>27</v>
      </c>
      <c r="AL18" s="264" t="n">
        <f aca="false">AL17+(W18*1.9835)</f>
        <v>8822.236385</v>
      </c>
      <c r="AM18" s="261"/>
      <c r="AN18" s="141"/>
      <c r="AO18" s="115"/>
      <c r="AP18" s="266"/>
    </row>
    <row r="19" customFormat="false" ht="12.95" hidden="false" customHeight="true" outlineLevel="0" collapsed="false">
      <c r="A19" s="374" t="n">
        <f aca="false">A18+1</f>
        <v>8</v>
      </c>
      <c r="B19" s="114" t="n">
        <v>6898.73</v>
      </c>
      <c r="C19" s="115" t="n">
        <v>278922</v>
      </c>
      <c r="D19" s="264" t="n">
        <f aca="false">C19-C18</f>
        <v>292</v>
      </c>
      <c r="E19" s="115" t="n">
        <f aca="false">C19-152000</f>
        <v>126922</v>
      </c>
      <c r="F19" s="283" t="n">
        <f aca="false">D19/$D$2</f>
        <v>147.214519788253</v>
      </c>
      <c r="G19" s="141" t="n">
        <v>95</v>
      </c>
      <c r="H19" s="407" t="n">
        <v>5.3</v>
      </c>
      <c r="I19" s="141" t="n">
        <f aca="false">G19+H19</f>
        <v>100.3</v>
      </c>
      <c r="J19" s="261" t="n">
        <f aca="false">IF(L19&gt;0,L19,0)</f>
        <v>76.0145197882531</v>
      </c>
      <c r="K19" s="141" t="n">
        <f aca="false">I19+J19</f>
        <v>176.314519788253</v>
      </c>
      <c r="L19" s="141" t="n">
        <f aca="false">F19-(I19-AF19)</f>
        <v>76.0145197882531</v>
      </c>
      <c r="M19" s="284" t="n">
        <v>3.1</v>
      </c>
      <c r="N19" s="141" t="n">
        <v>0</v>
      </c>
      <c r="O19" s="141" t="n">
        <v>0</v>
      </c>
      <c r="P19" s="258" t="n">
        <v>0</v>
      </c>
      <c r="Q19" s="408" t="n">
        <f aca="false">1.44*1.02</f>
        <v>1.4688</v>
      </c>
      <c r="R19" s="408" t="n">
        <v>3.8</v>
      </c>
      <c r="S19" s="138" t="n">
        <v>0</v>
      </c>
      <c r="T19" s="104" t="n">
        <f aca="false">M19-(Q19+R19+S19)</f>
        <v>-2.1688</v>
      </c>
      <c r="U19" s="141" t="n">
        <v>0</v>
      </c>
      <c r="V19" s="141" t="n">
        <v>0</v>
      </c>
      <c r="W19" s="141" t="n">
        <f aca="false">M19-N19-O19-P19-Q19-R19-S19-T19+U19+V19</f>
        <v>0</v>
      </c>
      <c r="X19" s="115"/>
      <c r="Y19" s="115"/>
      <c r="Z19" s="115"/>
      <c r="AA19" s="141" t="n">
        <v>0</v>
      </c>
      <c r="AB19" s="284"/>
      <c r="AC19" s="285"/>
      <c r="AD19" s="409" t="n">
        <v>26</v>
      </c>
      <c r="AE19" s="410" t="n">
        <f aca="false">AE18-AD19</f>
        <v>874</v>
      </c>
      <c r="AF19" s="140" t="n">
        <f aca="false">N19+O19+P19+Q19+R19+S19+T19+W19+AA19+AD19</f>
        <v>29.1</v>
      </c>
      <c r="AG19" s="141" t="n">
        <f aca="false">IF(L19&lt;0,L19*-1,0)</f>
        <v>0</v>
      </c>
      <c r="AH19" s="141" t="n">
        <f aca="false">AF19+AG19</f>
        <v>29.1</v>
      </c>
      <c r="AI19" s="263" t="n">
        <v>0.29</v>
      </c>
      <c r="AJ19" s="264" t="n">
        <v>52</v>
      </c>
      <c r="AK19" s="265" t="n">
        <v>31</v>
      </c>
      <c r="AL19" s="264" t="n">
        <f aca="false">AL18+(W19*1.9835)</f>
        <v>8822.236385</v>
      </c>
      <c r="AM19" s="261"/>
      <c r="AN19" s="141"/>
      <c r="AO19" s="115"/>
      <c r="AP19" s="266"/>
    </row>
    <row r="20" customFormat="false" ht="12.95" hidden="false" customHeight="true" outlineLevel="0" collapsed="false">
      <c r="A20" s="374" t="n">
        <f aca="false">A19+1</f>
        <v>9</v>
      </c>
      <c r="B20" s="114" t="n">
        <v>6898.81</v>
      </c>
      <c r="C20" s="115" t="n">
        <v>279214</v>
      </c>
      <c r="D20" s="264" t="n">
        <f aca="false">C20-C19</f>
        <v>292</v>
      </c>
      <c r="E20" s="115" t="n">
        <f aca="false">C20-152000</f>
        <v>127214</v>
      </c>
      <c r="F20" s="283" t="n">
        <f aca="false">D20/$D$2</f>
        <v>147.214519788253</v>
      </c>
      <c r="G20" s="141" t="n">
        <v>133</v>
      </c>
      <c r="H20" s="407" t="n">
        <v>6.5</v>
      </c>
      <c r="I20" s="141" t="n">
        <f aca="false">G20+H20</f>
        <v>139.5</v>
      </c>
      <c r="J20" s="261" t="n">
        <f aca="false">IF(L20&gt;0,L20,0)</f>
        <v>36.9145197882531</v>
      </c>
      <c r="K20" s="141" t="n">
        <f aca="false">I20+J20</f>
        <v>176.414519788253</v>
      </c>
      <c r="L20" s="141" t="n">
        <f aca="false">F20-(I20-AF20)</f>
        <v>36.9145197882531</v>
      </c>
      <c r="M20" s="284" t="n">
        <v>3.2</v>
      </c>
      <c r="N20" s="141" t="n">
        <v>0</v>
      </c>
      <c r="O20" s="141" t="n">
        <v>0</v>
      </c>
      <c r="P20" s="258" t="n">
        <v>0</v>
      </c>
      <c r="Q20" s="408" t="n">
        <f aca="false">1.44*1.02</f>
        <v>1.4688</v>
      </c>
      <c r="R20" s="408" t="n">
        <v>2.59</v>
      </c>
      <c r="S20" s="138" t="n">
        <v>0</v>
      </c>
      <c r="T20" s="104" t="n">
        <f aca="false">M20-(Q20+R20+S20)</f>
        <v>-0.8588</v>
      </c>
      <c r="U20" s="141" t="n">
        <v>0</v>
      </c>
      <c r="V20" s="141" t="n">
        <v>0</v>
      </c>
      <c r="W20" s="141" t="n">
        <f aca="false">M20-N20-O20-P20-Q20-R20-S20-T20+U20+V20</f>
        <v>0</v>
      </c>
      <c r="X20" s="115"/>
      <c r="Y20" s="115"/>
      <c r="Z20" s="115"/>
      <c r="AA20" s="141" t="n">
        <v>0</v>
      </c>
      <c r="AB20" s="284"/>
      <c r="AC20" s="285"/>
      <c r="AD20" s="409" t="n">
        <v>26</v>
      </c>
      <c r="AE20" s="410" t="n">
        <f aca="false">AE19-AD20</f>
        <v>848</v>
      </c>
      <c r="AF20" s="140" t="n">
        <f aca="false">N20+O20+P20+Q20+R20+S20+T20+W20+AA20+AD20</f>
        <v>29.2</v>
      </c>
      <c r="AG20" s="141" t="n">
        <f aca="false">IF(L20&lt;0,L20*-1,0)</f>
        <v>0</v>
      </c>
      <c r="AH20" s="141" t="n">
        <f aca="false">AF20+AG20</f>
        <v>29.2</v>
      </c>
      <c r="AI20" s="263" t="n">
        <v>0</v>
      </c>
      <c r="AJ20" s="266" t="n">
        <v>56</v>
      </c>
      <c r="AK20" s="265" t="n">
        <v>30</v>
      </c>
      <c r="AL20" s="264" t="n">
        <f aca="false">AL19+(W20*1.9835)</f>
        <v>8822.236385</v>
      </c>
      <c r="AM20" s="261"/>
      <c r="AN20" s="141"/>
      <c r="AO20" s="115"/>
      <c r="AP20" s="266"/>
    </row>
    <row r="21" customFormat="false" ht="12.95" hidden="false" customHeight="true" outlineLevel="0" collapsed="false">
      <c r="A21" s="374" t="n">
        <f aca="false">A20+1</f>
        <v>10</v>
      </c>
      <c r="B21" s="114" t="n">
        <v>6898.9</v>
      </c>
      <c r="C21" s="115" t="n">
        <v>279542</v>
      </c>
      <c r="D21" s="264" t="n">
        <f aca="false">C21-C20</f>
        <v>328</v>
      </c>
      <c r="E21" s="115" t="n">
        <f aca="false">C21-152000</f>
        <v>127542</v>
      </c>
      <c r="F21" s="283" t="n">
        <f aca="false">D21/$D$2</f>
        <v>165.364255104613</v>
      </c>
      <c r="G21" s="141" t="n">
        <v>119</v>
      </c>
      <c r="H21" s="407" t="n">
        <v>6.6</v>
      </c>
      <c r="I21" s="141" t="n">
        <f aca="false">G21+H21</f>
        <v>125.6</v>
      </c>
      <c r="J21" s="261" t="n">
        <f aca="false">IF(L21&gt;0,L21,0)</f>
        <v>69.2642551046131</v>
      </c>
      <c r="K21" s="141" t="n">
        <f aca="false">I21+J21</f>
        <v>194.864255104613</v>
      </c>
      <c r="L21" s="141" t="n">
        <f aca="false">F21-(I21-AF21)</f>
        <v>69.2642551046131</v>
      </c>
      <c r="M21" s="284" t="n">
        <v>3.5</v>
      </c>
      <c r="N21" s="141" t="n">
        <v>0</v>
      </c>
      <c r="O21" s="141" t="n">
        <v>0</v>
      </c>
      <c r="P21" s="258" t="n">
        <v>0</v>
      </c>
      <c r="Q21" s="408" t="n">
        <f aca="false">1.44*1.02</f>
        <v>1.4688</v>
      </c>
      <c r="R21" s="408" t="n">
        <v>2.52</v>
      </c>
      <c r="S21" s="138" t="n">
        <v>0</v>
      </c>
      <c r="T21" s="104" t="n">
        <f aca="false">M21-(Q21+R21+S21)</f>
        <v>-0.4888</v>
      </c>
      <c r="U21" s="141" t="n">
        <v>0</v>
      </c>
      <c r="V21" s="141" t="n">
        <v>0</v>
      </c>
      <c r="W21" s="141" t="n">
        <f aca="false">M21-N21-O21-P21-Q21-R21-S21-T21+U21+V21</f>
        <v>0</v>
      </c>
      <c r="X21" s="115"/>
      <c r="Y21" s="115"/>
      <c r="Z21" s="115"/>
      <c r="AA21" s="141" t="n">
        <v>0</v>
      </c>
      <c r="AB21" s="284"/>
      <c r="AC21" s="285"/>
      <c r="AD21" s="409" t="n">
        <v>26</v>
      </c>
      <c r="AE21" s="410" t="n">
        <f aca="false">AE20-AD21</f>
        <v>822</v>
      </c>
      <c r="AF21" s="140" t="n">
        <f aca="false">N21+O21+P21+Q21+R21+S21+T21+W21+AA21+AD21</f>
        <v>29.5</v>
      </c>
      <c r="AG21" s="141" t="n">
        <f aca="false">IF(L21&lt;0,L21*-1,0)</f>
        <v>0</v>
      </c>
      <c r="AH21" s="141" t="n">
        <f aca="false">AF21+AG21</f>
        <v>29.5</v>
      </c>
      <c r="AI21" s="263" t="n">
        <v>0</v>
      </c>
      <c r="AJ21" s="264" t="n">
        <v>54</v>
      </c>
      <c r="AK21" s="265" t="n">
        <v>35</v>
      </c>
      <c r="AL21" s="264" t="n">
        <f aca="false">AL20+(W21*1.9835)</f>
        <v>8822.236385</v>
      </c>
      <c r="AM21" s="261"/>
      <c r="AN21" s="141"/>
      <c r="AO21" s="115"/>
      <c r="AP21" s="266"/>
    </row>
    <row r="22" customFormat="false" ht="12.95" hidden="false" customHeight="true" outlineLevel="0" collapsed="false">
      <c r="A22" s="374" t="n">
        <f aca="false">A21+1</f>
        <v>11</v>
      </c>
      <c r="B22" s="114" t="n">
        <v>6899.05</v>
      </c>
      <c r="C22" s="115" t="n">
        <v>280090</v>
      </c>
      <c r="D22" s="264" t="n">
        <f aca="false">C22-C21</f>
        <v>548</v>
      </c>
      <c r="E22" s="115" t="n">
        <f aca="false">C22-152000</f>
        <v>128090</v>
      </c>
      <c r="F22" s="283" t="n">
        <f aca="false">D22/$D$2</f>
        <v>276.279304260146</v>
      </c>
      <c r="G22" s="141" t="n">
        <v>111</v>
      </c>
      <c r="H22" s="407" t="n">
        <v>8</v>
      </c>
      <c r="I22" s="141" t="n">
        <f aca="false">G22+H22</f>
        <v>119</v>
      </c>
      <c r="J22" s="261" t="n">
        <f aca="false">IF(L22&gt;0,L22,0)</f>
        <v>186.979304260146</v>
      </c>
      <c r="K22" s="141" t="n">
        <f aca="false">I22+J22</f>
        <v>305.979304260146</v>
      </c>
      <c r="L22" s="141" t="n">
        <f aca="false">F22-(I22-AF22)</f>
        <v>186.979304260146</v>
      </c>
      <c r="M22" s="284" t="n">
        <v>3.7</v>
      </c>
      <c r="N22" s="141" t="n">
        <v>0</v>
      </c>
      <c r="O22" s="141" t="n">
        <v>0</v>
      </c>
      <c r="P22" s="258" t="n">
        <v>0</v>
      </c>
      <c r="Q22" s="408" t="n">
        <f aca="false">1.44*1.02</f>
        <v>1.4688</v>
      </c>
      <c r="R22" s="408" t="n">
        <v>3.28</v>
      </c>
      <c r="S22" s="138" t="n">
        <v>0</v>
      </c>
      <c r="T22" s="104" t="n">
        <f aca="false">M22-(Q22+R22+S22)</f>
        <v>-1.0488</v>
      </c>
      <c r="U22" s="141" t="n">
        <v>0</v>
      </c>
      <c r="V22" s="141" t="n">
        <v>0</v>
      </c>
      <c r="W22" s="141" t="n">
        <f aca="false">M22-N22-O22-P22-Q22-R22-S22-T22+U22+V22</f>
        <v>0</v>
      </c>
      <c r="X22" s="115"/>
      <c r="Y22" s="115"/>
      <c r="Z22" s="115"/>
      <c r="AA22" s="141" t="n">
        <v>0</v>
      </c>
      <c r="AB22" s="284"/>
      <c r="AC22" s="285"/>
      <c r="AD22" s="409" t="n">
        <v>26</v>
      </c>
      <c r="AE22" s="410" t="n">
        <f aca="false">AE21-AD22</f>
        <v>796</v>
      </c>
      <c r="AF22" s="140" t="n">
        <f aca="false">N22+O22+P22+Q22+R22+S22+T22+W22+AA22+AD22</f>
        <v>29.7</v>
      </c>
      <c r="AG22" s="141" t="n">
        <f aca="false">IF(L22&lt;0,L22*-1,0)</f>
        <v>0</v>
      </c>
      <c r="AH22" s="141" t="n">
        <f aca="false">AF22+AG22</f>
        <v>29.7</v>
      </c>
      <c r="AI22" s="263" t="n">
        <v>0</v>
      </c>
      <c r="AJ22" s="264" t="n">
        <v>59</v>
      </c>
      <c r="AK22" s="265" t="n">
        <v>35</v>
      </c>
      <c r="AL22" s="264" t="n">
        <f aca="false">AL21+(W22*1.9835)</f>
        <v>8822.236385</v>
      </c>
      <c r="AM22" s="261"/>
      <c r="AN22" s="141"/>
      <c r="AO22" s="115"/>
      <c r="AP22" s="266"/>
    </row>
    <row r="23" customFormat="false" ht="12.95" hidden="false" customHeight="true" outlineLevel="0" collapsed="false">
      <c r="A23" s="374" t="n">
        <f aca="false">A22+1</f>
        <v>12</v>
      </c>
      <c r="B23" s="114" t="n">
        <v>6899.26</v>
      </c>
      <c r="C23" s="115" t="n">
        <v>280861</v>
      </c>
      <c r="D23" s="264" t="n">
        <f aca="false">C23-C22</f>
        <v>771</v>
      </c>
      <c r="E23" s="115" t="n">
        <f aca="false">C23-152000</f>
        <v>128861</v>
      </c>
      <c r="F23" s="283" t="n">
        <f aca="false">D23/$D$2</f>
        <v>388.706831358709</v>
      </c>
      <c r="G23" s="141" t="n">
        <v>133</v>
      </c>
      <c r="H23" s="407" t="n">
        <v>10</v>
      </c>
      <c r="I23" s="141" t="n">
        <f aca="false">G23+H23</f>
        <v>143</v>
      </c>
      <c r="J23" s="261" t="n">
        <f aca="false">IF(L23&gt;0,L23,0)</f>
        <v>275.406831358709</v>
      </c>
      <c r="K23" s="141" t="n">
        <f aca="false">I23+J23</f>
        <v>418.406831358709</v>
      </c>
      <c r="L23" s="141" t="n">
        <f aca="false">F23-(I23-AF23)</f>
        <v>275.406831358709</v>
      </c>
      <c r="M23" s="284" t="n">
        <v>3.7</v>
      </c>
      <c r="N23" s="141" t="n">
        <v>0</v>
      </c>
      <c r="O23" s="141" t="n">
        <v>0</v>
      </c>
      <c r="P23" s="258" t="n">
        <v>0</v>
      </c>
      <c r="Q23" s="408" t="n">
        <f aca="false">1.44*1.02</f>
        <v>1.4688</v>
      </c>
      <c r="R23" s="408" t="n">
        <v>3.05</v>
      </c>
      <c r="S23" s="138" t="n">
        <v>0</v>
      </c>
      <c r="T23" s="104" t="n">
        <f aca="false">M23-(Q23+R23+S23)</f>
        <v>-0.8188</v>
      </c>
      <c r="U23" s="141" t="n">
        <v>0</v>
      </c>
      <c r="V23" s="141" t="n">
        <v>0</v>
      </c>
      <c r="W23" s="141" t="n">
        <f aca="false">M23-N23-O23-P23-Q23-R23-S23-T23+U23+V23</f>
        <v>0</v>
      </c>
      <c r="X23" s="115"/>
      <c r="Y23" s="115"/>
      <c r="Z23" s="115"/>
      <c r="AA23" s="141" t="n">
        <v>0</v>
      </c>
      <c r="AB23" s="284"/>
      <c r="AC23" s="285"/>
      <c r="AD23" s="409" t="n">
        <v>26</v>
      </c>
      <c r="AE23" s="410" t="n">
        <f aca="false">AE22-AD23</f>
        <v>770</v>
      </c>
      <c r="AF23" s="140" t="n">
        <f aca="false">N23+O23+P23+Q23+R23+S23+T23+W23+AA23+AD23</f>
        <v>29.7</v>
      </c>
      <c r="AG23" s="141" t="n">
        <f aca="false">IF(L23&lt;0,L23*-1,0)</f>
        <v>0</v>
      </c>
      <c r="AH23" s="141" t="n">
        <f aca="false">AF23+AG23</f>
        <v>29.7</v>
      </c>
      <c r="AI23" s="263" t="n">
        <v>0</v>
      </c>
      <c r="AJ23" s="264" t="n">
        <v>66</v>
      </c>
      <c r="AK23" s="265" t="n">
        <v>34</v>
      </c>
      <c r="AL23" s="264" t="n">
        <f aca="false">AL22+(W23*1.9835)</f>
        <v>8822.236385</v>
      </c>
      <c r="AM23" s="261"/>
      <c r="AN23" s="141"/>
      <c r="AO23" s="115"/>
      <c r="AP23" s="266"/>
    </row>
    <row r="24" customFormat="false" ht="12.95" hidden="false" customHeight="true" outlineLevel="0" collapsed="false">
      <c r="A24" s="374" t="n">
        <f aca="false">A23+1</f>
        <v>13</v>
      </c>
      <c r="B24" s="114" t="n">
        <v>6899.57</v>
      </c>
      <c r="C24" s="115" t="n">
        <v>282000</v>
      </c>
      <c r="D24" s="264" t="n">
        <f aca="false">C24-C23</f>
        <v>1139</v>
      </c>
      <c r="E24" s="115" t="n">
        <f aca="false">C24-152000</f>
        <v>130000</v>
      </c>
      <c r="F24" s="283" t="n">
        <f aca="false">D24/$D$2</f>
        <v>574.237459037056</v>
      </c>
      <c r="G24" s="141" t="n">
        <v>225</v>
      </c>
      <c r="H24" s="407" t="n">
        <v>13</v>
      </c>
      <c r="I24" s="141" t="n">
        <f aca="false">G24+H24</f>
        <v>238</v>
      </c>
      <c r="J24" s="261" t="n">
        <f aca="false">IF(L24&gt;0,L24,0)</f>
        <v>366.037459037056</v>
      </c>
      <c r="K24" s="141" t="n">
        <f aca="false">I24+J24</f>
        <v>604.037459037056</v>
      </c>
      <c r="L24" s="141" t="n">
        <f aca="false">F24-(I24-AF24)</f>
        <v>366.037459037056</v>
      </c>
      <c r="M24" s="284" t="n">
        <v>3.8</v>
      </c>
      <c r="N24" s="141" t="n">
        <v>0</v>
      </c>
      <c r="O24" s="141" t="n">
        <v>0</v>
      </c>
      <c r="P24" s="258" t="n">
        <v>0</v>
      </c>
      <c r="Q24" s="408" t="n">
        <f aca="false">1.44*1.02</f>
        <v>1.4688</v>
      </c>
      <c r="R24" s="408" t="n">
        <v>2.51</v>
      </c>
      <c r="S24" s="138" t="n">
        <v>0</v>
      </c>
      <c r="T24" s="104" t="n">
        <f aca="false">M24-(Q24+R24+S24)</f>
        <v>-0.1788</v>
      </c>
      <c r="U24" s="141" t="n">
        <v>0</v>
      </c>
      <c r="V24" s="141" t="n">
        <v>0</v>
      </c>
      <c r="W24" s="141" t="n">
        <f aca="false">M24-N24-O24-P24-Q24-R24-S24-T24+U24+V24</f>
        <v>0</v>
      </c>
      <c r="X24" s="115"/>
      <c r="Y24" s="115"/>
      <c r="Z24" s="115"/>
      <c r="AA24" s="141" t="n">
        <v>0</v>
      </c>
      <c r="AB24" s="284"/>
      <c r="AC24" s="285"/>
      <c r="AD24" s="409" t="n">
        <v>26</v>
      </c>
      <c r="AE24" s="410" t="n">
        <f aca="false">AE23-AD24</f>
        <v>744</v>
      </c>
      <c r="AF24" s="140" t="n">
        <f aca="false">N24+O24+P24+Q24+R24+S24+T24+W24+AA24+AD24</f>
        <v>29.8</v>
      </c>
      <c r="AG24" s="141" t="n">
        <f aca="false">IF(L24&lt;0,L24*-1,0)</f>
        <v>0</v>
      </c>
      <c r="AH24" s="141" t="n">
        <f aca="false">AF24+AG24</f>
        <v>29.8</v>
      </c>
      <c r="AI24" s="263" t="n">
        <v>0</v>
      </c>
      <c r="AJ24" s="264" t="n">
        <v>69</v>
      </c>
      <c r="AK24" s="265" t="n">
        <v>33</v>
      </c>
      <c r="AL24" s="264" t="n">
        <f aca="false">AL23+(W24*1.9835)</f>
        <v>8822.236385</v>
      </c>
      <c r="AM24" s="261"/>
      <c r="AN24" s="141"/>
      <c r="AO24" s="115"/>
      <c r="AP24" s="266"/>
    </row>
    <row r="25" customFormat="false" ht="12.95" hidden="false" customHeight="true" outlineLevel="0" collapsed="false">
      <c r="A25" s="374" t="n">
        <f aca="false">A24+1</f>
        <v>14</v>
      </c>
      <c r="B25" s="114" t="n">
        <v>6899.98</v>
      </c>
      <c r="C25" s="115" t="n">
        <v>283506</v>
      </c>
      <c r="D25" s="264" t="n">
        <f aca="false">C25-C24</f>
        <v>1506</v>
      </c>
      <c r="E25" s="115" t="n">
        <f aca="false">C25-152000</f>
        <v>131506</v>
      </c>
      <c r="F25" s="283" t="n">
        <f aca="false">D25/$D$2</f>
        <v>759.263927401059</v>
      </c>
      <c r="G25" s="141" t="n">
        <v>306</v>
      </c>
      <c r="H25" s="261" t="n">
        <v>17</v>
      </c>
      <c r="I25" s="141" t="n">
        <f aca="false">G25+H25</f>
        <v>323</v>
      </c>
      <c r="J25" s="261" t="n">
        <f aca="false">IF(L25&gt;0,L25,0)</f>
        <v>466.063927401059</v>
      </c>
      <c r="K25" s="141" t="n">
        <f aca="false">I25+J25</f>
        <v>789.063927401059</v>
      </c>
      <c r="L25" s="141" t="n">
        <f aca="false">F25-(I25-AF25)</f>
        <v>466.063927401059</v>
      </c>
      <c r="M25" s="284" t="n">
        <v>3.8</v>
      </c>
      <c r="N25" s="141" t="n">
        <v>0</v>
      </c>
      <c r="O25" s="141" t="n">
        <v>0</v>
      </c>
      <c r="P25" s="258" t="n">
        <v>0</v>
      </c>
      <c r="Q25" s="408" t="n">
        <f aca="false">1.44*1.02</f>
        <v>1.4688</v>
      </c>
      <c r="R25" s="408" t="n">
        <v>3.2</v>
      </c>
      <c r="S25" s="138" t="n">
        <v>0</v>
      </c>
      <c r="T25" s="104" t="n">
        <f aca="false">M25-(Q25+R25+S25)</f>
        <v>-0.8688</v>
      </c>
      <c r="U25" s="141" t="n">
        <v>0</v>
      </c>
      <c r="V25" s="141" t="n">
        <v>0</v>
      </c>
      <c r="W25" s="141" t="n">
        <f aca="false">M25-N25-O25-P25-Q25-R25-S25-T25+U25+V25</f>
        <v>0</v>
      </c>
      <c r="X25" s="115"/>
      <c r="Y25" s="115"/>
      <c r="Z25" s="115"/>
      <c r="AA25" s="141" t="n">
        <v>0</v>
      </c>
      <c r="AB25" s="284"/>
      <c r="AC25" s="285"/>
      <c r="AD25" s="409" t="n">
        <v>26</v>
      </c>
      <c r="AE25" s="410" t="n">
        <f aca="false">AE24-AD25</f>
        <v>718</v>
      </c>
      <c r="AF25" s="140" t="n">
        <f aca="false">N25+O25+P25+Q25+R25+S25+T25+W25+AA25+AD25</f>
        <v>29.8</v>
      </c>
      <c r="AG25" s="141" t="n">
        <f aca="false">IF(L25&lt;0,L25*-1,0)</f>
        <v>0</v>
      </c>
      <c r="AH25" s="141" t="n">
        <f aca="false">AF25+AG25</f>
        <v>29.8</v>
      </c>
      <c r="AI25" s="263" t="n">
        <v>0</v>
      </c>
      <c r="AJ25" s="266" t="n">
        <v>67</v>
      </c>
      <c r="AK25" s="265" t="n">
        <v>36</v>
      </c>
      <c r="AL25" s="264" t="n">
        <f aca="false">AL24+(W25*1.9835)</f>
        <v>8822.236385</v>
      </c>
      <c r="AM25" s="261"/>
      <c r="AN25" s="141"/>
      <c r="AO25" s="115"/>
      <c r="AP25" s="266"/>
    </row>
    <row r="26" customFormat="false" ht="12.95" hidden="false" customHeight="true" outlineLevel="0" collapsed="false">
      <c r="A26" s="374" t="n">
        <f aca="false">A25+1</f>
        <v>15</v>
      </c>
      <c r="B26" s="114" t="n">
        <v>6900.44</v>
      </c>
      <c r="C26" s="115" t="n">
        <v>285209</v>
      </c>
      <c r="D26" s="264" t="n">
        <f aca="false">C26-C25</f>
        <v>1703</v>
      </c>
      <c r="E26" s="115" t="n">
        <f aca="false">C26-152000</f>
        <v>133209</v>
      </c>
      <c r="F26" s="283" t="n">
        <f aca="false">D26/$D$2</f>
        <v>858.583312326695</v>
      </c>
      <c r="G26" s="141" t="n">
        <v>422</v>
      </c>
      <c r="H26" s="261" t="n">
        <v>63</v>
      </c>
      <c r="I26" s="141" t="n">
        <f aca="false">G26+H26</f>
        <v>485</v>
      </c>
      <c r="J26" s="261" t="n">
        <f aca="false">IF(L26&gt;0,L26,0)</f>
        <v>458.383312326695</v>
      </c>
      <c r="K26" s="141" t="n">
        <f aca="false">I26+J26</f>
        <v>943.383312326695</v>
      </c>
      <c r="L26" s="141" t="n">
        <f aca="false">F26-(I26-AF26)</f>
        <v>458.383312326695</v>
      </c>
      <c r="M26" s="284" t="n">
        <v>3.8</v>
      </c>
      <c r="N26" s="141" t="n">
        <v>0</v>
      </c>
      <c r="O26" s="141" t="n">
        <v>0</v>
      </c>
      <c r="P26" s="258" t="n">
        <v>0</v>
      </c>
      <c r="Q26" s="408" t="n">
        <f aca="false">1.44*1.02</f>
        <v>1.4688</v>
      </c>
      <c r="R26" s="408" t="n">
        <v>3.21</v>
      </c>
      <c r="S26" s="138" t="n">
        <v>0</v>
      </c>
      <c r="T26" s="104" t="n">
        <f aca="false">M26-(Q26+R26+S26)</f>
        <v>-0.8788</v>
      </c>
      <c r="U26" s="141" t="n">
        <v>49</v>
      </c>
      <c r="V26" s="141" t="n">
        <v>0</v>
      </c>
      <c r="W26" s="141" t="n">
        <f aca="false">M26-N26-O26-P26-Q26-R26-S26-T26+U26+V26</f>
        <v>49</v>
      </c>
      <c r="X26" s="115"/>
      <c r="Y26" s="115"/>
      <c r="Z26" s="115"/>
      <c r="AA26" s="141" t="n">
        <v>0</v>
      </c>
      <c r="AB26" s="284"/>
      <c r="AC26" s="285"/>
      <c r="AD26" s="409" t="n">
        <v>32</v>
      </c>
      <c r="AE26" s="410" t="n">
        <f aca="false">AE25-AD26</f>
        <v>686</v>
      </c>
      <c r="AF26" s="140" t="n">
        <f aca="false">N26+O26+P26+Q26+R26+S26+T26+W26+AA26+AD26</f>
        <v>84.8</v>
      </c>
      <c r="AG26" s="141" t="n">
        <f aca="false">IF(L26&lt;0,L26*-1,0)</f>
        <v>0</v>
      </c>
      <c r="AH26" s="141" t="n">
        <f aca="false">AF26+AG26</f>
        <v>84.8</v>
      </c>
      <c r="AI26" s="263" t="n">
        <v>0</v>
      </c>
      <c r="AJ26" s="266" t="n">
        <v>67</v>
      </c>
      <c r="AK26" s="265" t="n">
        <v>35</v>
      </c>
      <c r="AL26" s="264" t="n">
        <f aca="false">AL25+(U26*1.9835)</f>
        <v>8919.427885</v>
      </c>
      <c r="AM26" s="261"/>
      <c r="AN26" s="141"/>
      <c r="AO26" s="115"/>
      <c r="AP26" s="266"/>
    </row>
    <row r="27" customFormat="false" ht="12.95" hidden="false" customHeight="true" outlineLevel="0" collapsed="false">
      <c r="A27" s="374" t="n">
        <f aca="false">A26+1</f>
        <v>16</v>
      </c>
      <c r="B27" s="114" t="n">
        <v>6900.92</v>
      </c>
      <c r="C27" s="115" t="n">
        <v>286986</v>
      </c>
      <c r="D27" s="264" t="n">
        <f aca="false">C27-C26</f>
        <v>1777</v>
      </c>
      <c r="E27" s="115" t="n">
        <f aca="false">C27-152000</f>
        <v>134986</v>
      </c>
      <c r="F27" s="283" t="n">
        <f aca="false">D27/$D$2</f>
        <v>895.891101588102</v>
      </c>
      <c r="G27" s="141" t="n">
        <v>529</v>
      </c>
      <c r="H27" s="261" t="n">
        <v>107</v>
      </c>
      <c r="I27" s="141" t="n">
        <f aca="false">G27+H27</f>
        <v>636</v>
      </c>
      <c r="J27" s="261" t="n">
        <f aca="false">IF(L27&gt;0,L27,0)</f>
        <v>400.891101588102</v>
      </c>
      <c r="K27" s="141" t="n">
        <f aca="false">I27+J27</f>
        <v>1036.8911015881</v>
      </c>
      <c r="L27" s="141" t="n">
        <f aca="false">F27-(I27-AF27)</f>
        <v>400.891101588102</v>
      </c>
      <c r="M27" s="284" t="n">
        <v>4</v>
      </c>
      <c r="N27" s="141" t="n">
        <v>0</v>
      </c>
      <c r="O27" s="141" t="n">
        <v>0</v>
      </c>
      <c r="P27" s="258" t="n">
        <v>0</v>
      </c>
      <c r="Q27" s="408" t="n">
        <f aca="false">1.44*1.02</f>
        <v>1.4688</v>
      </c>
      <c r="R27" s="408" t="n">
        <v>2.1</v>
      </c>
      <c r="S27" s="138" t="n">
        <v>0</v>
      </c>
      <c r="T27" s="104" t="n">
        <f aca="false">M27-(Q27+R27+S27)</f>
        <v>0.4312</v>
      </c>
      <c r="U27" s="141" t="n">
        <v>96</v>
      </c>
      <c r="V27" s="141" t="n">
        <v>0</v>
      </c>
      <c r="W27" s="141" t="n">
        <f aca="false">M27-N27-O27-P27-Q27-R27-S27-T27+U27+V27</f>
        <v>96</v>
      </c>
      <c r="X27" s="115"/>
      <c r="Y27" s="115"/>
      <c r="Z27" s="115"/>
      <c r="AA27" s="141" t="n">
        <v>0</v>
      </c>
      <c r="AB27" s="284"/>
      <c r="AC27" s="285"/>
      <c r="AD27" s="409" t="n">
        <v>41</v>
      </c>
      <c r="AE27" s="410" t="n">
        <f aca="false">AE26-AD27</f>
        <v>645</v>
      </c>
      <c r="AF27" s="140" t="n">
        <f aca="false">N27+O27+P27+Q27+R27+S27+T27+W27+AA27+AD27</f>
        <v>141</v>
      </c>
      <c r="AG27" s="141" t="n">
        <f aca="false">IF(L27&lt;0,L27*-1,0)</f>
        <v>0</v>
      </c>
      <c r="AH27" s="141" t="n">
        <f aca="false">AF27+AG27</f>
        <v>141</v>
      </c>
      <c r="AI27" s="263" t="n">
        <v>0</v>
      </c>
      <c r="AJ27" s="266" t="n">
        <v>66</v>
      </c>
      <c r="AK27" s="265" t="n">
        <v>30</v>
      </c>
      <c r="AL27" s="264" t="n">
        <f aca="false">AL26+(U27*1.9835)</f>
        <v>9109.843885</v>
      </c>
      <c r="AM27" s="261"/>
      <c r="AN27" s="141"/>
      <c r="AO27" s="112"/>
      <c r="AP27" s="266"/>
    </row>
    <row r="28" customFormat="false" ht="12.95" hidden="false" customHeight="true" outlineLevel="0" collapsed="false">
      <c r="A28" s="374" t="n">
        <v>17</v>
      </c>
      <c r="B28" s="114" t="n">
        <v>6901.4</v>
      </c>
      <c r="C28" s="115" t="n">
        <v>288775</v>
      </c>
      <c r="D28" s="264" t="n">
        <f aca="false">C28-C27</f>
        <v>1789</v>
      </c>
      <c r="E28" s="115" t="n">
        <f aca="false">C28-152000</f>
        <v>136775</v>
      </c>
      <c r="F28" s="283" t="n">
        <f aca="false">D28/$D$2</f>
        <v>901.941013360222</v>
      </c>
      <c r="G28" s="141" t="n">
        <v>624</v>
      </c>
      <c r="H28" s="261" t="n">
        <v>138</v>
      </c>
      <c r="I28" s="141" t="n">
        <f aca="false">G28+H28</f>
        <v>762</v>
      </c>
      <c r="J28" s="261" t="n">
        <f aca="false">IF(L28&gt;0,L28,0)</f>
        <v>280.841013360222</v>
      </c>
      <c r="K28" s="141" t="n">
        <f aca="false">I28+J28</f>
        <v>1042.84101336022</v>
      </c>
      <c r="L28" s="141" t="n">
        <f aca="false">F28-(I28-AF28)</f>
        <v>280.841013360222</v>
      </c>
      <c r="M28" s="284" t="n">
        <v>3.9</v>
      </c>
      <c r="N28" s="141" t="n">
        <v>0</v>
      </c>
      <c r="O28" s="141" t="n">
        <v>0</v>
      </c>
      <c r="P28" s="258" t="n">
        <v>0</v>
      </c>
      <c r="Q28" s="408" t="n">
        <f aca="false">1.44*1.02</f>
        <v>1.4688</v>
      </c>
      <c r="R28" s="408" t="n">
        <v>2.54</v>
      </c>
      <c r="S28" s="138" t="n">
        <v>0</v>
      </c>
      <c r="T28" s="104" t="n">
        <f aca="false">M28-(Q28+R28+S28)</f>
        <v>-0.1088</v>
      </c>
      <c r="U28" s="141" t="n">
        <v>96</v>
      </c>
      <c r="V28" s="141" t="n">
        <v>0</v>
      </c>
      <c r="W28" s="141" t="n">
        <f aca="false">M28-N28-O28-P28-Q28-R28-S28-T28+U28+V28</f>
        <v>96</v>
      </c>
      <c r="X28" s="115"/>
      <c r="Y28" s="115"/>
      <c r="Z28" s="115"/>
      <c r="AA28" s="141" t="n">
        <v>0</v>
      </c>
      <c r="AB28" s="284"/>
      <c r="AC28" s="285"/>
      <c r="AD28" s="409" t="n">
        <v>41</v>
      </c>
      <c r="AE28" s="410" t="n">
        <f aca="false">AE27-AD28</f>
        <v>604</v>
      </c>
      <c r="AF28" s="140" t="n">
        <f aca="false">N28+O28+P28+Q28+R28+S28+T28+W28+AA28+AD28</f>
        <v>140.9</v>
      </c>
      <c r="AG28" s="141" t="n">
        <f aca="false">IF(L28&lt;0,L28*-1,0)</f>
        <v>0</v>
      </c>
      <c r="AH28" s="141" t="n">
        <f aca="false">AF28+AG28</f>
        <v>140.9</v>
      </c>
      <c r="AI28" s="263" t="n">
        <v>0</v>
      </c>
      <c r="AJ28" s="266" t="n">
        <v>70</v>
      </c>
      <c r="AK28" s="265" t="n">
        <v>34</v>
      </c>
      <c r="AL28" s="264" t="n">
        <f aca="false">AL27+(U28*1.9835)</f>
        <v>9300.259885</v>
      </c>
      <c r="AM28" s="261"/>
      <c r="AN28" s="141"/>
      <c r="AO28" s="115"/>
      <c r="AP28" s="266"/>
    </row>
    <row r="29" customFormat="false" ht="12.95" hidden="false" customHeight="true" outlineLevel="0" collapsed="false">
      <c r="A29" s="374" t="n">
        <f aca="false">A28+1</f>
        <v>18</v>
      </c>
      <c r="B29" s="114" t="n">
        <v>6902.01</v>
      </c>
      <c r="C29" s="115" t="n">
        <v>291052</v>
      </c>
      <c r="D29" s="264" t="n">
        <f aca="false">C29-C28</f>
        <v>2277</v>
      </c>
      <c r="E29" s="115" t="n">
        <f aca="false">C29-152000</f>
        <v>139052</v>
      </c>
      <c r="F29" s="283" t="n">
        <f aca="false">D29/$D$2</f>
        <v>1147.97075875977</v>
      </c>
      <c r="G29" s="141" t="n">
        <v>743</v>
      </c>
      <c r="H29" s="261" t="n">
        <v>164</v>
      </c>
      <c r="I29" s="141" t="n">
        <f aca="false">G29+H29</f>
        <v>907</v>
      </c>
      <c r="J29" s="261" t="n">
        <f aca="false">IF(L29&gt;0,L29,0)</f>
        <v>382.670758759768</v>
      </c>
      <c r="K29" s="141" t="n">
        <f aca="false">I29+J29</f>
        <v>1289.67075875977</v>
      </c>
      <c r="L29" s="141" t="n">
        <f aca="false">F29-(I29-AF29)</f>
        <v>382.670758759768</v>
      </c>
      <c r="M29" s="284" t="n">
        <v>3.7</v>
      </c>
      <c r="N29" s="141" t="n">
        <v>0</v>
      </c>
      <c r="O29" s="141" t="n">
        <v>0</v>
      </c>
      <c r="P29" s="258" t="n">
        <v>0</v>
      </c>
      <c r="Q29" s="408" t="n">
        <f aca="false">1.44*1.02</f>
        <v>1.4688</v>
      </c>
      <c r="R29" s="408" t="n">
        <v>2.22</v>
      </c>
      <c r="S29" s="138" t="n">
        <v>0</v>
      </c>
      <c r="T29" s="104" t="n">
        <f aca="false">M29-(Q29+R29+S29)</f>
        <v>0.0112000000000001</v>
      </c>
      <c r="U29" s="141" t="n">
        <v>97</v>
      </c>
      <c r="V29" s="141" t="n">
        <v>0</v>
      </c>
      <c r="W29" s="141" t="n">
        <f aca="false">M29-N29-O29-P29-Q29-R29-S29-T29+U29+V29</f>
        <v>97</v>
      </c>
      <c r="X29" s="115"/>
      <c r="Y29" s="115"/>
      <c r="Z29" s="115"/>
      <c r="AA29" s="141" t="n">
        <v>0</v>
      </c>
      <c r="AB29" s="284"/>
      <c r="AC29" s="285"/>
      <c r="AD29" s="409" t="n">
        <v>41</v>
      </c>
      <c r="AE29" s="410" t="n">
        <f aca="false">AE28-AD29</f>
        <v>563</v>
      </c>
      <c r="AF29" s="140" t="n">
        <f aca="false">N29+O29+P29+Q29+R29+S29+T29+W29+AA29+AD29</f>
        <v>141.7</v>
      </c>
      <c r="AG29" s="141" t="n">
        <f aca="false">IF(L29&lt;0,L29*-1,0)</f>
        <v>0</v>
      </c>
      <c r="AH29" s="141" t="n">
        <f aca="false">AF29+AG29</f>
        <v>141.7</v>
      </c>
      <c r="AI29" s="263" t="n">
        <v>0</v>
      </c>
      <c r="AJ29" s="266" t="n">
        <v>69</v>
      </c>
      <c r="AK29" s="265" t="n">
        <v>36</v>
      </c>
      <c r="AL29" s="264" t="n">
        <f aca="false">AL28+(U29*1.9835)</f>
        <v>9492.659385</v>
      </c>
      <c r="AM29" s="261"/>
      <c r="AN29" s="141"/>
      <c r="AO29" s="115"/>
      <c r="AP29" s="266"/>
    </row>
    <row r="30" customFormat="false" ht="12.95" hidden="false" customHeight="true" outlineLevel="0" collapsed="false">
      <c r="A30" s="374" t="n">
        <f aca="false">A29+1</f>
        <v>19</v>
      </c>
      <c r="B30" s="114" t="n">
        <v>6902.54</v>
      </c>
      <c r="C30" s="382" t="n">
        <v>293046</v>
      </c>
      <c r="D30" s="264" t="n">
        <f aca="false">C30-C29</f>
        <v>1994</v>
      </c>
      <c r="E30" s="115" t="n">
        <f aca="false">C30-152000</f>
        <v>141046</v>
      </c>
      <c r="F30" s="283" t="n">
        <f aca="false">D30/$D$2</f>
        <v>1005.29367280061</v>
      </c>
      <c r="G30" s="141" t="n">
        <v>777</v>
      </c>
      <c r="H30" s="261" t="n">
        <v>167</v>
      </c>
      <c r="I30" s="141" t="n">
        <f aca="false">G30+H30</f>
        <v>944</v>
      </c>
      <c r="J30" s="261" t="n">
        <f aca="false">IF(L30&gt;0,L30,0)</f>
        <v>211.293672800605</v>
      </c>
      <c r="K30" s="141" t="n">
        <f aca="false">I30+J30</f>
        <v>1155.29367280061</v>
      </c>
      <c r="L30" s="141" t="n">
        <f aca="false">F30-(I30-AF30)</f>
        <v>211.293672800605</v>
      </c>
      <c r="M30" s="284" t="n">
        <v>12</v>
      </c>
      <c r="N30" s="141" t="n">
        <v>0</v>
      </c>
      <c r="O30" s="141" t="n">
        <v>0</v>
      </c>
      <c r="P30" s="258" t="n">
        <v>0</v>
      </c>
      <c r="Q30" s="408" t="n">
        <f aca="false">1.44*1.02</f>
        <v>1.4688</v>
      </c>
      <c r="R30" s="408" t="n">
        <v>2.27</v>
      </c>
      <c r="S30" s="138" t="n">
        <v>0</v>
      </c>
      <c r="T30" s="104" t="n">
        <v>0</v>
      </c>
      <c r="U30" s="141" t="n">
        <v>97</v>
      </c>
      <c r="V30" s="141" t="n">
        <v>0</v>
      </c>
      <c r="W30" s="141" t="n">
        <f aca="false">M30-N30-O30-P30-Q30-R30-S30-T30+U30+V30</f>
        <v>105.2612</v>
      </c>
      <c r="X30" s="115"/>
      <c r="Y30" s="115"/>
      <c r="Z30" s="115"/>
      <c r="AA30" s="141" t="n">
        <v>0</v>
      </c>
      <c r="AB30" s="284"/>
      <c r="AC30" s="285"/>
      <c r="AD30" s="409" t="n">
        <v>41</v>
      </c>
      <c r="AE30" s="410" t="n">
        <f aca="false">AE29-AD30</f>
        <v>522</v>
      </c>
      <c r="AF30" s="140" t="n">
        <f aca="false">N30+O30+P30+Q30+R30+S30+T30+W30+AA30+AD30</f>
        <v>150</v>
      </c>
      <c r="AG30" s="141" t="n">
        <f aca="false">IF(L30&lt;0,L30*-1,0)</f>
        <v>0</v>
      </c>
      <c r="AH30" s="141" t="n">
        <f aca="false">AF30+AG30</f>
        <v>150</v>
      </c>
      <c r="AI30" s="263" t="n">
        <v>0</v>
      </c>
      <c r="AJ30" s="266" t="n">
        <v>67</v>
      </c>
      <c r="AK30" s="265" t="n">
        <v>36</v>
      </c>
      <c r="AL30" s="264" t="n">
        <f aca="false">AL29+(U30*1.9835)</f>
        <v>9685.058885</v>
      </c>
      <c r="AM30" s="261"/>
      <c r="AN30" s="141"/>
      <c r="AO30" s="115"/>
      <c r="AP30" s="266"/>
    </row>
    <row r="31" customFormat="false" ht="12.95" hidden="false" customHeight="true" outlineLevel="0" collapsed="false">
      <c r="A31" s="374" t="n">
        <f aca="false">A30+1</f>
        <v>20</v>
      </c>
      <c r="B31" s="114" t="n">
        <v>6903</v>
      </c>
      <c r="C31" s="115" t="n">
        <v>294777</v>
      </c>
      <c r="D31" s="264" t="n">
        <f aca="false">C31-C30</f>
        <v>1731</v>
      </c>
      <c r="E31" s="115" t="n">
        <f aca="false">C31-152000</f>
        <v>142777</v>
      </c>
      <c r="F31" s="283" t="n">
        <f aca="false">D31/$D$2</f>
        <v>872.699773128308</v>
      </c>
      <c r="G31" s="141" t="n">
        <v>695</v>
      </c>
      <c r="H31" s="261" t="n">
        <v>93</v>
      </c>
      <c r="I31" s="141" t="n">
        <f aca="false">G31+H31</f>
        <v>788</v>
      </c>
      <c r="J31" s="261" t="n">
        <f aca="false">IF(L31&gt;0,L31,0)</f>
        <v>245.699773128308</v>
      </c>
      <c r="K31" s="141" t="n">
        <f aca="false">I31+J31</f>
        <v>1033.69977312831</v>
      </c>
      <c r="L31" s="141" t="n">
        <f aca="false">F31-(I31-AF31)</f>
        <v>245.699773128308</v>
      </c>
      <c r="M31" s="284" t="n">
        <v>23</v>
      </c>
      <c r="N31" s="141" t="n">
        <v>0</v>
      </c>
      <c r="O31" s="141" t="n">
        <v>0</v>
      </c>
      <c r="P31" s="258" t="n">
        <v>0</v>
      </c>
      <c r="Q31" s="408" t="n">
        <f aca="false">1.44*1.02</f>
        <v>1.4688</v>
      </c>
      <c r="R31" s="408" t="n">
        <v>2.19</v>
      </c>
      <c r="S31" s="138" t="n">
        <v>0</v>
      </c>
      <c r="T31" s="104" t="n">
        <v>0</v>
      </c>
      <c r="U31" s="141" t="n">
        <v>97</v>
      </c>
      <c r="V31" s="141" t="n">
        <v>0</v>
      </c>
      <c r="W31" s="141" t="n">
        <f aca="false">M31-N31-O31-P31-Q31-R31-S31-T31+U31+V31</f>
        <v>116.3412</v>
      </c>
      <c r="X31" s="115"/>
      <c r="Y31" s="115"/>
      <c r="Z31" s="115"/>
      <c r="AA31" s="141" t="n">
        <v>0</v>
      </c>
      <c r="AB31" s="284"/>
      <c r="AC31" s="285"/>
      <c r="AD31" s="409" t="n">
        <v>41</v>
      </c>
      <c r="AE31" s="410" t="n">
        <f aca="false">AE30-AD31</f>
        <v>481</v>
      </c>
      <c r="AF31" s="140" t="n">
        <f aca="false">N31+O31+P31+Q31+R31+S31+T31+W31+AA31+AD31</f>
        <v>161</v>
      </c>
      <c r="AG31" s="141" t="n">
        <f aca="false">IF(L31&lt;0,L31*-1,0)</f>
        <v>0</v>
      </c>
      <c r="AH31" s="141" t="n">
        <f aca="false">AF31+AG31</f>
        <v>161</v>
      </c>
      <c r="AI31" s="263" t="n">
        <v>0</v>
      </c>
      <c r="AJ31" s="266" t="n">
        <v>62</v>
      </c>
      <c r="AK31" s="265" t="n">
        <v>34</v>
      </c>
      <c r="AL31" s="264" t="n">
        <f aca="false">AL30+(U31*1.9835)</f>
        <v>9877.458385</v>
      </c>
      <c r="AM31" s="261"/>
      <c r="AN31" s="141"/>
      <c r="AO31" s="115"/>
      <c r="AP31" s="266"/>
    </row>
    <row r="32" customFormat="false" ht="12.95" hidden="false" customHeight="true" outlineLevel="0" collapsed="false">
      <c r="A32" s="374" t="n">
        <f aca="false">A31+1</f>
        <v>21</v>
      </c>
      <c r="B32" s="114" t="n">
        <v>6903.64</v>
      </c>
      <c r="C32" s="115" t="n">
        <v>297205</v>
      </c>
      <c r="D32" s="264" t="n">
        <f aca="false">C32-C31</f>
        <v>2428</v>
      </c>
      <c r="E32" s="115" t="n">
        <f aca="false">C32-152000</f>
        <v>145205</v>
      </c>
      <c r="F32" s="283" t="n">
        <f aca="false">D32/$D$2</f>
        <v>1224.09881522561</v>
      </c>
      <c r="G32" s="409" t="n">
        <v>716</v>
      </c>
      <c r="H32" s="261" t="n">
        <v>76</v>
      </c>
      <c r="I32" s="141" t="n">
        <f aca="false">G32+H32</f>
        <v>792</v>
      </c>
      <c r="J32" s="261" t="n">
        <f aca="false">IF(L32&gt;0,L32,0)</f>
        <v>594.098815225611</v>
      </c>
      <c r="K32" s="141" t="n">
        <f aca="false">I32+J32</f>
        <v>1386.09881522561</v>
      </c>
      <c r="L32" s="141" t="n">
        <f aca="false">F32-(I32-AF32)</f>
        <v>594.098815225611</v>
      </c>
      <c r="M32" s="284" t="n">
        <v>22</v>
      </c>
      <c r="N32" s="141" t="n">
        <v>0</v>
      </c>
      <c r="O32" s="141" t="n">
        <v>0</v>
      </c>
      <c r="P32" s="258" t="n">
        <v>0</v>
      </c>
      <c r="Q32" s="408" t="n">
        <f aca="false">1.44*1.02</f>
        <v>1.4688</v>
      </c>
      <c r="R32" s="408" t="n">
        <v>2.33</v>
      </c>
      <c r="S32" s="138" t="n">
        <v>0</v>
      </c>
      <c r="T32" s="104" t="n">
        <v>0</v>
      </c>
      <c r="U32" s="141" t="n">
        <v>98</v>
      </c>
      <c r="V32" s="141" t="n">
        <v>0</v>
      </c>
      <c r="W32" s="141" t="n">
        <f aca="false">M32-N32-O32-P32-Q32-R32-S32-T32+U32+V32</f>
        <v>116.2012</v>
      </c>
      <c r="X32" s="115"/>
      <c r="Y32" s="115"/>
      <c r="Z32" s="115"/>
      <c r="AA32" s="141" t="n">
        <v>0</v>
      </c>
      <c r="AB32" s="284"/>
      <c r="AC32" s="285"/>
      <c r="AD32" s="409" t="n">
        <v>42</v>
      </c>
      <c r="AE32" s="410" t="n">
        <f aca="false">AE31-AD32</f>
        <v>439</v>
      </c>
      <c r="AF32" s="140" t="n">
        <f aca="false">N32+O32+P32+Q32+R32+S32+T32+W32+AA32+AD32</f>
        <v>162</v>
      </c>
      <c r="AG32" s="141" t="n">
        <f aca="false">IF(L32&lt;0,L32*-1,0)</f>
        <v>0</v>
      </c>
      <c r="AH32" s="141" t="n">
        <f aca="false">AF32+AG32</f>
        <v>162</v>
      </c>
      <c r="AI32" s="263" t="n">
        <v>0.05</v>
      </c>
      <c r="AJ32" s="264" t="n">
        <v>58</v>
      </c>
      <c r="AK32" s="265" t="n">
        <v>40</v>
      </c>
      <c r="AL32" s="264" t="n">
        <f aca="false">AL31+(U32*1.9835)</f>
        <v>10071.841385</v>
      </c>
      <c r="AM32" s="261"/>
      <c r="AN32" s="141"/>
      <c r="AO32" s="115"/>
      <c r="AP32" s="266"/>
    </row>
    <row r="33" customFormat="false" ht="12.95" hidden="false" customHeight="true" outlineLevel="0" collapsed="false">
      <c r="A33" s="374" t="n">
        <f aca="false">A32+1</f>
        <v>22</v>
      </c>
      <c r="B33" s="114" t="n">
        <v>6903.99</v>
      </c>
      <c r="C33" s="115" t="n">
        <v>298533</v>
      </c>
      <c r="D33" s="264" t="n">
        <f aca="false">C33-C32</f>
        <v>1328</v>
      </c>
      <c r="E33" s="115" t="n">
        <f aca="false">C33-152000</f>
        <v>146533</v>
      </c>
      <c r="F33" s="283" t="n">
        <f aca="false">D33/$D$2</f>
        <v>669.523569447946</v>
      </c>
      <c r="G33" s="141" t="n">
        <v>645</v>
      </c>
      <c r="H33" s="261" t="n">
        <v>59</v>
      </c>
      <c r="I33" s="141" t="n">
        <f aca="false">G33+H33</f>
        <v>704</v>
      </c>
      <c r="J33" s="261" t="n">
        <f aca="false">IF(L33&gt;0,L33,0)</f>
        <v>92.5235694479455</v>
      </c>
      <c r="K33" s="141" t="n">
        <f aca="false">I33+J33</f>
        <v>796.523569447946</v>
      </c>
      <c r="L33" s="141" t="n">
        <f aca="false">F33-(I33-AF33)</f>
        <v>92.5235694479455</v>
      </c>
      <c r="M33" s="284" t="n">
        <v>34</v>
      </c>
      <c r="N33" s="141" t="n">
        <v>0</v>
      </c>
      <c r="O33" s="141" t="n">
        <v>0</v>
      </c>
      <c r="P33" s="258" t="n">
        <v>0</v>
      </c>
      <c r="Q33" s="408" t="n">
        <f aca="false">1.44*1.02</f>
        <v>1.4688</v>
      </c>
      <c r="R33" s="408" t="n">
        <v>2.48</v>
      </c>
      <c r="S33" s="138" t="n">
        <v>0</v>
      </c>
      <c r="T33" s="104" t="n">
        <v>0</v>
      </c>
      <c r="U33" s="141" t="n">
        <v>54</v>
      </c>
      <c r="V33" s="141" t="n">
        <v>0</v>
      </c>
      <c r="W33" s="141" t="n">
        <f aca="false">M33-N33-O33-P33-Q33-R33-S33-T33+U33+V33</f>
        <v>84.0512</v>
      </c>
      <c r="X33" s="115"/>
      <c r="Y33" s="115"/>
      <c r="Z33" s="115"/>
      <c r="AA33" s="141" t="n">
        <v>0</v>
      </c>
      <c r="AB33" s="284"/>
      <c r="AC33" s="285"/>
      <c r="AD33" s="409" t="n">
        <v>39</v>
      </c>
      <c r="AE33" s="410" t="n">
        <f aca="false">AE32-AD33</f>
        <v>400</v>
      </c>
      <c r="AF33" s="140" t="n">
        <f aca="false">N33+O33+P33+Q33+R33+S33+T33+W33+AA33+AD33</f>
        <v>127</v>
      </c>
      <c r="AG33" s="141" t="n">
        <f aca="false">IF(L33&lt;0,L33*-1,0)</f>
        <v>0</v>
      </c>
      <c r="AH33" s="141" t="n">
        <f aca="false">AF33+AG33</f>
        <v>127</v>
      </c>
      <c r="AI33" s="263" t="n">
        <v>0</v>
      </c>
      <c r="AJ33" s="264" t="n">
        <v>54</v>
      </c>
      <c r="AK33" s="265" t="n">
        <v>37</v>
      </c>
      <c r="AL33" s="264" t="n">
        <f aca="false">AL32+(U33*1.9835)</f>
        <v>10178.950385</v>
      </c>
      <c r="AM33" s="261"/>
      <c r="AN33" s="141"/>
      <c r="AO33" s="115"/>
      <c r="AP33" s="266"/>
    </row>
    <row r="34" customFormat="false" ht="12.95" hidden="false" customHeight="true" outlineLevel="0" collapsed="false">
      <c r="A34" s="374" t="n">
        <f aca="false">A33+1</f>
        <v>23</v>
      </c>
      <c r="B34" s="114" t="n">
        <v>6904.41</v>
      </c>
      <c r="C34" s="115" t="n">
        <v>300139</v>
      </c>
      <c r="D34" s="264" t="n">
        <f aca="false">C34-C33</f>
        <v>1606</v>
      </c>
      <c r="E34" s="115" t="n">
        <f aca="false">C34-152000</f>
        <v>148139</v>
      </c>
      <c r="F34" s="283" t="n">
        <f aca="false">D34/$D$2</f>
        <v>809.679858835392</v>
      </c>
      <c r="G34" s="141" t="n">
        <v>633</v>
      </c>
      <c r="H34" s="261" t="n">
        <v>64</v>
      </c>
      <c r="I34" s="141" t="n">
        <f aca="false">G34+H34</f>
        <v>697</v>
      </c>
      <c r="J34" s="261" t="n">
        <f aca="false">IF(L34&gt;0,L34,0)</f>
        <v>155.579858835392</v>
      </c>
      <c r="K34" s="141" t="n">
        <f aca="false">I34+J34</f>
        <v>852.579858835392</v>
      </c>
      <c r="L34" s="141" t="n">
        <f aca="false">F34-(I34-AF34)</f>
        <v>155.579858835392</v>
      </c>
      <c r="M34" s="284" t="n">
        <v>5.9</v>
      </c>
      <c r="N34" s="141" t="n">
        <v>0</v>
      </c>
      <c r="O34" s="141" t="n">
        <v>0</v>
      </c>
      <c r="P34" s="258" t="n">
        <v>0</v>
      </c>
      <c r="Q34" s="408" t="n">
        <f aca="false">1.44*1.02</f>
        <v>1.4688</v>
      </c>
      <c r="R34" s="408" t="n">
        <v>2.71</v>
      </c>
      <c r="S34" s="138" t="n">
        <v>0</v>
      </c>
      <c r="T34" s="104" t="n">
        <v>0</v>
      </c>
      <c r="U34" s="141" t="n">
        <v>0</v>
      </c>
      <c r="V34" s="141" t="n">
        <v>0</v>
      </c>
      <c r="W34" s="141" t="n">
        <f aca="false">M34-N34-O34-P34-Q34-R34-S34-T34+U34+V34</f>
        <v>1.7212</v>
      </c>
      <c r="X34" s="115"/>
      <c r="Y34" s="115"/>
      <c r="Z34" s="115"/>
      <c r="AA34" s="141" t="n">
        <v>0</v>
      </c>
      <c r="AB34" s="284"/>
      <c r="AC34" s="285"/>
      <c r="AD34" s="409" t="n">
        <v>37</v>
      </c>
      <c r="AE34" s="410" t="n">
        <f aca="false">AE33-AD34</f>
        <v>363</v>
      </c>
      <c r="AF34" s="140" t="n">
        <f aca="false">N34+O34+P34+Q34+R34+S34+T34+W34+AA34+AD34</f>
        <v>42.9</v>
      </c>
      <c r="AG34" s="141" t="n">
        <f aca="false">IF(L34&lt;0,L34*-1,0)</f>
        <v>0</v>
      </c>
      <c r="AH34" s="141" t="n">
        <f aca="false">AF34+AG34</f>
        <v>42.9</v>
      </c>
      <c r="AI34" s="263" t="n">
        <v>0.05</v>
      </c>
      <c r="AJ34" s="264" t="n">
        <v>58</v>
      </c>
      <c r="AK34" s="286" t="n">
        <v>37</v>
      </c>
      <c r="AL34" s="264" t="n">
        <f aca="false">AL33+(U34*1.9835)</f>
        <v>10178.950385</v>
      </c>
      <c r="AM34" s="261"/>
      <c r="AN34" s="141"/>
      <c r="AO34" s="115"/>
      <c r="AP34" s="266"/>
    </row>
    <row r="35" customFormat="false" ht="12.95" hidden="false" customHeight="true" outlineLevel="0" collapsed="false">
      <c r="A35" s="374" t="n">
        <f aca="false">A34+1</f>
        <v>24</v>
      </c>
      <c r="B35" s="114" t="n">
        <v>6904.85</v>
      </c>
      <c r="C35" s="115" t="n">
        <v>301822</v>
      </c>
      <c r="D35" s="264" t="n">
        <f aca="false">C35-C34</f>
        <v>1683</v>
      </c>
      <c r="E35" s="115" t="n">
        <f aca="false">C35-152000</f>
        <v>149822</v>
      </c>
      <c r="F35" s="283" t="n">
        <f aca="false">D35/$D$2</f>
        <v>848.500126039829</v>
      </c>
      <c r="G35" s="141" t="n">
        <v>528</v>
      </c>
      <c r="H35" s="261" t="n">
        <v>51</v>
      </c>
      <c r="I35" s="141" t="n">
        <f aca="false">G35+H35</f>
        <v>579</v>
      </c>
      <c r="J35" s="261" t="n">
        <f aca="false">IF(L35&gt;0,L35,0)</f>
        <v>313.400126039829</v>
      </c>
      <c r="K35" s="141" t="n">
        <f aca="false">I35+J35</f>
        <v>892.400126039829</v>
      </c>
      <c r="L35" s="141" t="n">
        <f aca="false">F35-(I35-AF35)</f>
        <v>313.400126039829</v>
      </c>
      <c r="M35" s="284" t="n">
        <v>5.9</v>
      </c>
      <c r="N35" s="141" t="n">
        <v>0</v>
      </c>
      <c r="O35" s="141" t="n">
        <v>0</v>
      </c>
      <c r="P35" s="258" t="n">
        <v>0</v>
      </c>
      <c r="Q35" s="408" t="n">
        <f aca="false">1.44*1.02</f>
        <v>1.4688</v>
      </c>
      <c r="R35" s="408" t="n">
        <v>2.57</v>
      </c>
      <c r="S35" s="138" t="n">
        <v>0</v>
      </c>
      <c r="T35" s="104" t="n">
        <v>0</v>
      </c>
      <c r="U35" s="141" t="n">
        <v>0</v>
      </c>
      <c r="V35" s="141" t="n">
        <v>0</v>
      </c>
      <c r="W35" s="141" t="n">
        <f aca="false">M35-N35-O35-P35-Q35-R35-S35-T35+U35+V35</f>
        <v>1.8612</v>
      </c>
      <c r="X35" s="115"/>
      <c r="Y35" s="115"/>
      <c r="Z35" s="115"/>
      <c r="AA35" s="141" t="n">
        <v>0</v>
      </c>
      <c r="AB35" s="284"/>
      <c r="AC35" s="285"/>
      <c r="AD35" s="409" t="n">
        <v>38</v>
      </c>
      <c r="AE35" s="410" t="n">
        <f aca="false">AE34-AD35</f>
        <v>325</v>
      </c>
      <c r="AF35" s="140" t="n">
        <f aca="false">N35+O35+P35+Q35+R35+S35+T35+W35+AA35+AD35</f>
        <v>43.9</v>
      </c>
      <c r="AG35" s="141" t="n">
        <f aca="false">IF(L35&lt;0,L35*-1,0)</f>
        <v>0</v>
      </c>
      <c r="AH35" s="141" t="n">
        <f aca="false">AF35+AG35</f>
        <v>43.9</v>
      </c>
      <c r="AI35" s="263" t="n">
        <v>0.22</v>
      </c>
      <c r="AJ35" s="264" t="n">
        <v>47</v>
      </c>
      <c r="AK35" s="286" t="n">
        <v>34</v>
      </c>
      <c r="AL35" s="264" t="n">
        <f aca="false">AL34+(U35*1.9835)-(AM35*1.9835)</f>
        <v>10160.900535</v>
      </c>
      <c r="AM35" s="261" t="n">
        <v>9.1</v>
      </c>
      <c r="AN35" s="141"/>
      <c r="AO35" s="115"/>
      <c r="AP35" s="266"/>
    </row>
    <row r="36" customFormat="false" ht="12.95" hidden="false" customHeight="true" outlineLevel="0" collapsed="false">
      <c r="A36" s="374" t="n">
        <f aca="false">A35+1</f>
        <v>25</v>
      </c>
      <c r="B36" s="114" t="n">
        <v>6905.17</v>
      </c>
      <c r="C36" s="115" t="n">
        <v>303051</v>
      </c>
      <c r="D36" s="264" t="n">
        <f aca="false">C36-C35</f>
        <v>1229</v>
      </c>
      <c r="E36" s="115" t="n">
        <f aca="false">C36-152000</f>
        <v>151051</v>
      </c>
      <c r="F36" s="283" t="n">
        <f aca="false">D36/$D$2</f>
        <v>619.611797327956</v>
      </c>
      <c r="G36" s="141" t="n">
        <v>489</v>
      </c>
      <c r="H36" s="261" t="n">
        <v>45</v>
      </c>
      <c r="I36" s="141" t="n">
        <f aca="false">G36+H36</f>
        <v>534</v>
      </c>
      <c r="J36" s="261" t="n">
        <f aca="false">IF(L36&gt;0,L36,0)</f>
        <v>129.511797327956</v>
      </c>
      <c r="K36" s="141" t="n">
        <f aca="false">I36+J36</f>
        <v>663.511797327956</v>
      </c>
      <c r="L36" s="141" t="n">
        <f aca="false">F36-(I36-AF36)</f>
        <v>129.511797327956</v>
      </c>
      <c r="M36" s="284" t="n">
        <v>5.9</v>
      </c>
      <c r="N36" s="141" t="n">
        <v>0</v>
      </c>
      <c r="O36" s="141" t="n">
        <v>0</v>
      </c>
      <c r="P36" s="258" t="n">
        <v>0</v>
      </c>
      <c r="Q36" s="408" t="n">
        <f aca="false">1.44*1.02</f>
        <v>1.4688</v>
      </c>
      <c r="R36" s="408" t="n">
        <v>2.58</v>
      </c>
      <c r="S36" s="138" t="n">
        <v>0</v>
      </c>
      <c r="T36" s="104" t="n">
        <v>0</v>
      </c>
      <c r="U36" s="141" t="n">
        <v>0</v>
      </c>
      <c r="V36" s="141" t="n">
        <v>0</v>
      </c>
      <c r="W36" s="141" t="n">
        <f aca="false">M36-N36-O36-P36-Q36-R36-S36-T36+U36+V36</f>
        <v>1.8512</v>
      </c>
      <c r="X36" s="115"/>
      <c r="Y36" s="115"/>
      <c r="Z36" s="115"/>
      <c r="AA36" s="141" t="n">
        <v>0</v>
      </c>
      <c r="AB36" s="284"/>
      <c r="AC36" s="285"/>
      <c r="AD36" s="409" t="n">
        <v>38</v>
      </c>
      <c r="AE36" s="410" t="n">
        <f aca="false">AE35-AD36</f>
        <v>287</v>
      </c>
      <c r="AF36" s="140" t="n">
        <f aca="false">N36+O36+P36+Q36+R36+S36+T36+W36+AA36+AD36</f>
        <v>43.9</v>
      </c>
      <c r="AG36" s="141" t="n">
        <f aca="false">IF(L36&lt;0,L36*-1,0)</f>
        <v>0</v>
      </c>
      <c r="AH36" s="141" t="n">
        <f aca="false">AF36+AG36</f>
        <v>43.9</v>
      </c>
      <c r="AI36" s="263" t="n">
        <v>0</v>
      </c>
      <c r="AJ36" s="264" t="n">
        <v>58</v>
      </c>
      <c r="AK36" s="286" t="n">
        <v>37</v>
      </c>
      <c r="AL36" s="264" t="n">
        <f aca="false">AL35+(U36*1.9835)-(AM36*1.9835)</f>
        <v>10126.784335</v>
      </c>
      <c r="AM36" s="261" t="n">
        <v>17.2</v>
      </c>
      <c r="AN36" s="141"/>
      <c r="AO36" s="115"/>
      <c r="AP36" s="266"/>
    </row>
    <row r="37" customFormat="false" ht="12.95" hidden="false" customHeight="true" outlineLevel="0" collapsed="false">
      <c r="A37" s="374" t="n">
        <f aca="false">A36+1</f>
        <v>26</v>
      </c>
      <c r="B37" s="114" t="n">
        <v>6905.49</v>
      </c>
      <c r="C37" s="115" t="n">
        <v>304285</v>
      </c>
      <c r="D37" s="264" t="n">
        <f aca="false">C37-C36</f>
        <v>1234</v>
      </c>
      <c r="E37" s="115" t="n">
        <f aca="false">C37-152000</f>
        <v>152285</v>
      </c>
      <c r="F37" s="283" t="n">
        <f aca="false">D37/$D$2</f>
        <v>622.132593899672</v>
      </c>
      <c r="G37" s="141" t="n">
        <v>490</v>
      </c>
      <c r="H37" s="261" t="n">
        <v>41</v>
      </c>
      <c r="I37" s="141" t="n">
        <f aca="false">G37+H37</f>
        <v>531</v>
      </c>
      <c r="J37" s="261" t="n">
        <f aca="false">IF(L37&gt;0,L37,0)</f>
        <v>182.332593899672</v>
      </c>
      <c r="K37" s="141" t="n">
        <f aca="false">I37+J37</f>
        <v>713.332593899672</v>
      </c>
      <c r="L37" s="141" t="n">
        <f aca="false">F37-(I37-AF37)</f>
        <v>182.332593899672</v>
      </c>
      <c r="M37" s="284" t="n">
        <v>47</v>
      </c>
      <c r="N37" s="141" t="n">
        <v>0</v>
      </c>
      <c r="O37" s="141" t="n">
        <v>2.7</v>
      </c>
      <c r="P37" s="258" t="n">
        <v>0</v>
      </c>
      <c r="Q37" s="408" t="n">
        <f aca="false">1.44*1.02</f>
        <v>1.4688</v>
      </c>
      <c r="R37" s="408" t="n">
        <v>2.53</v>
      </c>
      <c r="S37" s="138" t="n">
        <v>0</v>
      </c>
      <c r="T37" s="104" t="n">
        <v>0</v>
      </c>
      <c r="U37" s="141" t="n">
        <v>0</v>
      </c>
      <c r="V37" s="141" t="n">
        <v>6.2</v>
      </c>
      <c r="W37" s="141" t="n">
        <f aca="false">M37-N37-O37-P37-Q37-R37-S37-T37+U37+V37</f>
        <v>46.5012</v>
      </c>
      <c r="X37" s="115"/>
      <c r="Y37" s="115"/>
      <c r="Z37" s="115"/>
      <c r="AA37" s="141" t="n">
        <v>0</v>
      </c>
      <c r="AB37" s="284"/>
      <c r="AC37" s="285"/>
      <c r="AD37" s="409" t="n">
        <v>38</v>
      </c>
      <c r="AE37" s="410" t="n">
        <f aca="false">AE36-AD37</f>
        <v>249</v>
      </c>
      <c r="AF37" s="140" t="n">
        <f aca="false">N37+O37+P37+Q37+R37+S37+T37+W37+AA37+AD37</f>
        <v>91.2</v>
      </c>
      <c r="AG37" s="141" t="n">
        <f aca="false">IF(L37&lt;0,L37*-1,0)</f>
        <v>0</v>
      </c>
      <c r="AH37" s="141" t="n">
        <f aca="false">AF37+AG37</f>
        <v>91.2</v>
      </c>
      <c r="AI37" s="263" t="n">
        <v>0</v>
      </c>
      <c r="AJ37" s="264" t="n">
        <v>62</v>
      </c>
      <c r="AK37" s="265" t="n">
        <v>34</v>
      </c>
      <c r="AL37" s="264" t="n">
        <f aca="false">AL36+(U37*1.9835)-(17.2*1.9835)</f>
        <v>10092.668135</v>
      </c>
      <c r="AM37" s="261" t="n">
        <f aca="false">17.2+W37</f>
        <v>63.7012</v>
      </c>
      <c r="AN37" s="141"/>
      <c r="AO37" s="115"/>
      <c r="AP37" s="266"/>
    </row>
    <row r="38" customFormat="false" ht="12.95" hidden="false" customHeight="true" outlineLevel="0" collapsed="false">
      <c r="A38" s="374" t="n">
        <f aca="false">A37+1</f>
        <v>27</v>
      </c>
      <c r="B38" s="114" t="n">
        <v>6905.82</v>
      </c>
      <c r="C38" s="115" t="n">
        <v>305557</v>
      </c>
      <c r="D38" s="264" t="n">
        <f aca="false">C38-C37</f>
        <v>1272</v>
      </c>
      <c r="E38" s="115" t="n">
        <f aca="false">C38-152000</f>
        <v>153557</v>
      </c>
      <c r="F38" s="283" t="n">
        <f aca="false">D38/$D$2</f>
        <v>641.290647844719</v>
      </c>
      <c r="G38" s="141" t="n">
        <v>569</v>
      </c>
      <c r="H38" s="261" t="n">
        <v>26</v>
      </c>
      <c r="I38" s="141" t="n">
        <f aca="false">G38+H38</f>
        <v>595</v>
      </c>
      <c r="J38" s="261" t="n">
        <f aca="false">IF(L38&gt;0,L38,0)</f>
        <v>155.390647844719</v>
      </c>
      <c r="K38" s="141" t="n">
        <f aca="false">I38+J38</f>
        <v>750.390647844719</v>
      </c>
      <c r="L38" s="141" t="n">
        <f aca="false">F38-(I38-AF38)</f>
        <v>155.390647844719</v>
      </c>
      <c r="M38" s="284" t="n">
        <v>63</v>
      </c>
      <c r="N38" s="141" t="n">
        <v>0</v>
      </c>
      <c r="O38" s="141" t="n">
        <f aca="false">(10+9.2)*1.05</f>
        <v>20.16</v>
      </c>
      <c r="P38" s="258" t="n">
        <v>0</v>
      </c>
      <c r="Q38" s="408" t="n">
        <f aca="false">1.44*1.02</f>
        <v>1.4688</v>
      </c>
      <c r="R38" s="408" t="n">
        <v>2.53</v>
      </c>
      <c r="S38" s="138" t="n">
        <v>0</v>
      </c>
      <c r="T38" s="104" t="n">
        <v>0</v>
      </c>
      <c r="U38" s="141" t="n">
        <v>0</v>
      </c>
      <c r="V38" s="141" t="n">
        <v>9.1</v>
      </c>
      <c r="W38" s="141" t="n">
        <f aca="false">M38-N38-O38-P38-Q38-R38-S38-T38+U38+V38</f>
        <v>47.9412</v>
      </c>
      <c r="X38" s="115"/>
      <c r="Y38" s="115"/>
      <c r="Z38" s="115"/>
      <c r="AA38" s="141" t="n">
        <v>0</v>
      </c>
      <c r="AB38" s="284"/>
      <c r="AC38" s="285"/>
      <c r="AD38" s="409" t="n">
        <v>37</v>
      </c>
      <c r="AE38" s="410" t="n">
        <f aca="false">AE37-AD38</f>
        <v>212</v>
      </c>
      <c r="AF38" s="140" t="n">
        <f aca="false">N38+O38+P38+Q38+R38+S38+T38+W38+AA38+AD38</f>
        <v>109.1</v>
      </c>
      <c r="AG38" s="141" t="n">
        <f aca="false">IF(L38&lt;0,L38*-1,0)</f>
        <v>0</v>
      </c>
      <c r="AH38" s="141" t="n">
        <f aca="false">AF38+AG38</f>
        <v>109.1</v>
      </c>
      <c r="AI38" s="263" t="n">
        <v>0</v>
      </c>
      <c r="AJ38" s="264" t="n">
        <v>66</v>
      </c>
      <c r="AK38" s="265" t="n">
        <v>37</v>
      </c>
      <c r="AL38" s="264" t="n">
        <f aca="false">AL37+(U38*1.9835)-(17.2*1.9835)</f>
        <v>10058.551935</v>
      </c>
      <c r="AM38" s="261" t="n">
        <f aca="false">17.2+W38</f>
        <v>65.1412</v>
      </c>
      <c r="AN38" s="141"/>
      <c r="AO38" s="115"/>
      <c r="AP38" s="266"/>
    </row>
    <row r="39" customFormat="false" ht="12.95" hidden="false" customHeight="true" outlineLevel="0" collapsed="false">
      <c r="A39" s="374" t="n">
        <f aca="false">A38+1</f>
        <v>28</v>
      </c>
      <c r="B39" s="114" t="n">
        <v>6906.22</v>
      </c>
      <c r="C39" s="115" t="n">
        <v>307106</v>
      </c>
      <c r="D39" s="264" t="n">
        <f aca="false">C39-C38</f>
        <v>1549</v>
      </c>
      <c r="E39" s="115" t="n">
        <f aca="false">C39-152000</f>
        <v>155106</v>
      </c>
      <c r="F39" s="283" t="n">
        <f aca="false">D39/$D$2</f>
        <v>780.942777917822</v>
      </c>
      <c r="G39" s="141" t="n">
        <v>623</v>
      </c>
      <c r="H39" s="261" t="n">
        <v>44</v>
      </c>
      <c r="I39" s="141" t="n">
        <f aca="false">G39+H39</f>
        <v>667</v>
      </c>
      <c r="J39" s="261" t="n">
        <f aca="false">IF(L39&gt;0,L39,0)</f>
        <v>213.642777917822</v>
      </c>
      <c r="K39" s="141" t="n">
        <f aca="false">I39+J39</f>
        <v>880.642777917822</v>
      </c>
      <c r="L39" s="141" t="n">
        <f aca="false">F39-(I39-AF39)</f>
        <v>213.642777917822</v>
      </c>
      <c r="M39" s="284" t="n">
        <v>53</v>
      </c>
      <c r="N39" s="141" t="n">
        <v>0</v>
      </c>
      <c r="O39" s="141" t="n">
        <f aca="false">(12+12)*1.05</f>
        <v>25.2</v>
      </c>
      <c r="P39" s="258" t="n">
        <v>0</v>
      </c>
      <c r="Q39" s="408" t="n">
        <f aca="false">1.44*1.02</f>
        <v>1.4688</v>
      </c>
      <c r="R39" s="408" t="n">
        <v>2.39</v>
      </c>
      <c r="S39" s="138" t="n">
        <v>0</v>
      </c>
      <c r="T39" s="104" t="n">
        <v>0</v>
      </c>
      <c r="U39" s="141" t="n">
        <v>0</v>
      </c>
      <c r="V39" s="141" t="n">
        <v>8.7</v>
      </c>
      <c r="W39" s="141" t="n">
        <f aca="false">M39-N39-O39-P39-Q39-R39-S39-T39+U39+V39</f>
        <v>32.6412</v>
      </c>
      <c r="X39" s="115"/>
      <c r="Y39" s="115"/>
      <c r="Z39" s="115"/>
      <c r="AA39" s="141" t="n">
        <v>0</v>
      </c>
      <c r="AB39" s="284"/>
      <c r="AC39" s="285"/>
      <c r="AD39" s="409" t="n">
        <v>38</v>
      </c>
      <c r="AE39" s="410" t="n">
        <f aca="false">AE38-AD39</f>
        <v>174</v>
      </c>
      <c r="AF39" s="140" t="n">
        <f aca="false">N39+O39+P39+Q39+R39+S39+T39+W39+AA39+AD39</f>
        <v>99.7</v>
      </c>
      <c r="AG39" s="141" t="n">
        <f aca="false">IF(L39&lt;0,L39*-1,0)</f>
        <v>0</v>
      </c>
      <c r="AH39" s="141" t="n">
        <f aca="false">AF39+AG39</f>
        <v>99.7</v>
      </c>
      <c r="AI39" s="263" t="n">
        <v>0.14</v>
      </c>
      <c r="AJ39" s="264" t="n">
        <v>38</v>
      </c>
      <c r="AK39" s="265" t="n">
        <v>24</v>
      </c>
      <c r="AL39" s="264" t="n">
        <f aca="false">AL38+(U39*1.9835)-(17.2*1.9835)</f>
        <v>10024.435735</v>
      </c>
      <c r="AM39" s="261" t="n">
        <f aca="false">17.2+W39</f>
        <v>49.8412</v>
      </c>
      <c r="AN39" s="141"/>
      <c r="AO39" s="115"/>
      <c r="AP39" s="266"/>
    </row>
    <row r="40" customFormat="false" ht="12.95" hidden="false" customHeight="true" outlineLevel="0" collapsed="false">
      <c r="A40" s="374" t="n">
        <f aca="false">A39+1</f>
        <v>29</v>
      </c>
      <c r="B40" s="114" t="n">
        <v>6906.46</v>
      </c>
      <c r="C40" s="115" t="n">
        <v>308039</v>
      </c>
      <c r="D40" s="264" t="n">
        <f aca="false">C40-C39</f>
        <v>933</v>
      </c>
      <c r="E40" s="115" t="n">
        <f aca="false">C40-152000</f>
        <v>156039</v>
      </c>
      <c r="F40" s="283" t="n">
        <f aca="false">D40/$D$2</f>
        <v>470.380640282329</v>
      </c>
      <c r="G40" s="141" t="n">
        <v>478</v>
      </c>
      <c r="H40" s="261" t="n">
        <v>24</v>
      </c>
      <c r="I40" s="141" t="n">
        <f aca="false">G40+H40</f>
        <v>502</v>
      </c>
      <c r="J40" s="261" t="n">
        <f aca="false">IF(L40&gt;0,L40,0)</f>
        <v>31.0806402823292</v>
      </c>
      <c r="K40" s="141" t="n">
        <f aca="false">I40+J40</f>
        <v>533.080640282329</v>
      </c>
      <c r="L40" s="141" t="n">
        <f aca="false">F40-(I40-AF40)</f>
        <v>31.0806402823292</v>
      </c>
      <c r="M40" s="284" t="n">
        <v>15</v>
      </c>
      <c r="N40" s="141" t="n">
        <v>0</v>
      </c>
      <c r="O40" s="141" t="n">
        <f aca="false">(2.2+1.1)*1.05</f>
        <v>3.465</v>
      </c>
      <c r="P40" s="258" t="n">
        <v>0</v>
      </c>
      <c r="Q40" s="408" t="n">
        <f aca="false">1.44*1.02</f>
        <v>1.4688</v>
      </c>
      <c r="R40" s="408" t="n">
        <v>2.41</v>
      </c>
      <c r="S40" s="138" t="n">
        <v>0</v>
      </c>
      <c r="T40" s="104" t="n">
        <v>0</v>
      </c>
      <c r="U40" s="141" t="n">
        <v>0</v>
      </c>
      <c r="V40" s="141" t="n">
        <v>8.7</v>
      </c>
      <c r="W40" s="141" t="n">
        <f aca="false">M40-N40-O40-P40-Q40-R40-S40-T40+U40+V40</f>
        <v>16.3562</v>
      </c>
      <c r="X40" s="115"/>
      <c r="Y40" s="115"/>
      <c r="Z40" s="115"/>
      <c r="AA40" s="141" t="n">
        <v>0</v>
      </c>
      <c r="AB40" s="284"/>
      <c r="AC40" s="285"/>
      <c r="AD40" s="409" t="n">
        <v>39</v>
      </c>
      <c r="AE40" s="410" t="n">
        <f aca="false">AE39-AD40</f>
        <v>135</v>
      </c>
      <c r="AF40" s="140" t="n">
        <f aca="false">N40+O40+P40+Q40+R40+S40+T40+W40+AA40+AD40</f>
        <v>62.7</v>
      </c>
      <c r="AG40" s="141" t="n">
        <f aca="false">IF(L40&lt;0,L40*-1,0)</f>
        <v>0</v>
      </c>
      <c r="AH40" s="141" t="n">
        <f aca="false">AF40+AG40</f>
        <v>62.7</v>
      </c>
      <c r="AI40" s="263" t="n">
        <v>0</v>
      </c>
      <c r="AJ40" s="266" t="n">
        <v>40</v>
      </c>
      <c r="AK40" s="265" t="n">
        <v>20</v>
      </c>
      <c r="AL40" s="264" t="n">
        <f aca="false">AL39+(U40*1.9835)-(17.2*1.9835)</f>
        <v>9990.319535</v>
      </c>
      <c r="AM40" s="261" t="n">
        <f aca="false">17.2+W40</f>
        <v>33.5562</v>
      </c>
      <c r="AN40" s="141"/>
      <c r="AO40" s="115"/>
      <c r="AP40" s="266"/>
    </row>
    <row r="41" customFormat="false" ht="12.95" hidden="false" customHeight="true" outlineLevel="0" collapsed="false">
      <c r="A41" s="374" t="n">
        <v>30</v>
      </c>
      <c r="B41" s="114" t="n">
        <v>6906.69</v>
      </c>
      <c r="C41" s="115" t="n">
        <v>308933</v>
      </c>
      <c r="D41" s="264" t="n">
        <f aca="false">C41-C40</f>
        <v>894</v>
      </c>
      <c r="E41" s="115" t="n">
        <f aca="false">C41-152000</f>
        <v>156933</v>
      </c>
      <c r="F41" s="283" t="n">
        <f aca="false">D41/$D$2</f>
        <v>450.718427022939</v>
      </c>
      <c r="G41" s="141" t="n">
        <v>454</v>
      </c>
      <c r="H41" s="261" t="n">
        <v>18</v>
      </c>
      <c r="I41" s="141" t="n">
        <f aca="false">G41+H41</f>
        <v>472</v>
      </c>
      <c r="J41" s="261" t="n">
        <f aca="false">IF(L41&gt;0,L41,0)</f>
        <v>33.7184270229392</v>
      </c>
      <c r="K41" s="141" t="n">
        <f aca="false">I41+J41</f>
        <v>505.718427022939</v>
      </c>
      <c r="L41" s="141" t="n">
        <f aca="false">F41-(I41-AF41)</f>
        <v>33.7184270229392</v>
      </c>
      <c r="M41" s="284" t="n">
        <v>6.3</v>
      </c>
      <c r="N41" s="141" t="n">
        <v>0</v>
      </c>
      <c r="O41" s="141" t="n">
        <f aca="false">1.3*1.05</f>
        <v>1.365</v>
      </c>
      <c r="P41" s="258" t="n">
        <v>0</v>
      </c>
      <c r="Q41" s="408" t="n">
        <f aca="false">1.44*1.02</f>
        <v>1.4688</v>
      </c>
      <c r="R41" s="408" t="n">
        <v>2.36</v>
      </c>
      <c r="S41" s="138" t="n">
        <v>0</v>
      </c>
      <c r="T41" s="104" t="n">
        <v>0</v>
      </c>
      <c r="U41" s="141" t="n">
        <v>0</v>
      </c>
      <c r="V41" s="141" t="n">
        <v>8.7</v>
      </c>
      <c r="W41" s="141" t="n">
        <f aca="false">M41-N41-O41-P41-Q41-R41-S41-T41+U41+V41</f>
        <v>9.8062</v>
      </c>
      <c r="X41" s="115"/>
      <c r="Y41" s="115"/>
      <c r="Z41" s="115"/>
      <c r="AA41" s="141" t="n">
        <v>0</v>
      </c>
      <c r="AB41" s="284"/>
      <c r="AC41" s="285"/>
      <c r="AD41" s="409" t="n">
        <v>40</v>
      </c>
      <c r="AE41" s="410" t="n">
        <f aca="false">AE40-AD41</f>
        <v>95</v>
      </c>
      <c r="AF41" s="140" t="n">
        <f aca="false">N41+O41+P41+Q41+R41+S41+T41+W41+AA41+AD41</f>
        <v>55</v>
      </c>
      <c r="AG41" s="141" t="n">
        <f aca="false">IF(L41&lt;0,L41*-1,0)</f>
        <v>0</v>
      </c>
      <c r="AH41" s="141" t="n">
        <f aca="false">AF41+AG41</f>
        <v>55</v>
      </c>
      <c r="AI41" s="263" t="n">
        <v>0.1</v>
      </c>
      <c r="AJ41" s="266" t="n">
        <v>44</v>
      </c>
      <c r="AK41" s="265" t="n">
        <v>28</v>
      </c>
      <c r="AL41" s="264" t="n">
        <f aca="false">AL40+(U41*1.9835)-(7.89*1.9835)</f>
        <v>9974.66972</v>
      </c>
      <c r="AM41" s="261" t="n">
        <f aca="false">7.89+W41</f>
        <v>17.6962</v>
      </c>
      <c r="AN41" s="141"/>
      <c r="AO41" s="115"/>
      <c r="AP41" s="266"/>
    </row>
    <row r="42" customFormat="false" ht="12.95" hidden="false" customHeight="true" outlineLevel="0" collapsed="false">
      <c r="A42" s="374" t="n">
        <v>31</v>
      </c>
      <c r="B42" s="114" t="n">
        <v>6906.91</v>
      </c>
      <c r="C42" s="115" t="n">
        <v>309788</v>
      </c>
      <c r="D42" s="264" t="n">
        <f aca="false">C42-C41</f>
        <v>855</v>
      </c>
      <c r="E42" s="115" t="n">
        <f aca="false">C42-152000</f>
        <v>157788</v>
      </c>
      <c r="F42" s="283" t="n">
        <f aca="false">D42/$D$2</f>
        <v>431.056213763549</v>
      </c>
      <c r="G42" s="141" t="n">
        <v>375</v>
      </c>
      <c r="H42" s="261" t="n">
        <v>13</v>
      </c>
      <c r="I42" s="141" t="n">
        <f aca="false">G42+H42</f>
        <v>388</v>
      </c>
      <c r="J42" s="261" t="n">
        <f aca="false">IF(L42&gt;0,L42,0)</f>
        <v>97.8562137635493</v>
      </c>
      <c r="K42" s="141" t="n">
        <f aca="false">I42+J42</f>
        <v>485.856213763549</v>
      </c>
      <c r="L42" s="141" t="n">
        <f aca="false">F42-(I42-AF42)</f>
        <v>97.8562137635493</v>
      </c>
      <c r="M42" s="284" t="n">
        <v>6.3</v>
      </c>
      <c r="N42" s="141" t="n">
        <v>0</v>
      </c>
      <c r="O42" s="141" t="n">
        <f aca="false">2.4*1.05</f>
        <v>2.52</v>
      </c>
      <c r="P42" s="258" t="n">
        <v>0</v>
      </c>
      <c r="Q42" s="408" t="n">
        <f aca="false">1.44*1.02</f>
        <v>1.4688</v>
      </c>
      <c r="R42" s="408" t="n">
        <f aca="false">2.3</f>
        <v>2.3</v>
      </c>
      <c r="S42" s="138" t="n">
        <v>0</v>
      </c>
      <c r="T42" s="104" t="n">
        <v>0</v>
      </c>
      <c r="U42" s="141" t="n">
        <v>0</v>
      </c>
      <c r="V42" s="141" t="n">
        <v>8.5</v>
      </c>
      <c r="W42" s="141" t="n">
        <f aca="false">M42-N42-O42-P42-Q42-R42-S42-T42+U42+V42</f>
        <v>8.5112</v>
      </c>
      <c r="X42" s="115"/>
      <c r="Y42" s="115"/>
      <c r="Z42" s="115"/>
      <c r="AA42" s="141" t="n">
        <v>0</v>
      </c>
      <c r="AB42" s="284"/>
      <c r="AC42" s="285"/>
      <c r="AD42" s="409" t="n">
        <v>40</v>
      </c>
      <c r="AE42" s="410" t="n">
        <f aca="false">AE41-AD42</f>
        <v>55</v>
      </c>
      <c r="AF42" s="140" t="n">
        <f aca="false">N42+O42+P42+Q42+R42+S42+T42+W42+AA42+AD42</f>
        <v>54.8</v>
      </c>
      <c r="AG42" s="141" t="n">
        <f aca="false">IF(L42&lt;0,L42*-1,0)</f>
        <v>0</v>
      </c>
      <c r="AH42" s="141" t="n">
        <f aca="false">AF42+AG42</f>
        <v>54.8</v>
      </c>
      <c r="AI42" s="263" t="n">
        <v>0</v>
      </c>
      <c r="AJ42" s="266" t="n">
        <v>56</v>
      </c>
      <c r="AK42" s="265" t="n">
        <v>23</v>
      </c>
      <c r="AL42" s="264" t="n">
        <f aca="false">AL41</f>
        <v>9974.66972</v>
      </c>
      <c r="AM42" s="261" t="n">
        <f aca="false">W42</f>
        <v>8.5112</v>
      </c>
      <c r="AN42" s="141"/>
      <c r="AO42" s="141"/>
      <c r="AP42" s="266"/>
    </row>
    <row r="43" customFormat="false" ht="3" hidden="false" customHeight="true" outlineLevel="0" collapsed="false">
      <c r="A43" s="404"/>
      <c r="B43" s="287"/>
      <c r="C43" s="272"/>
      <c r="D43" s="273"/>
      <c r="E43" s="272"/>
      <c r="F43" s="274"/>
      <c r="G43" s="273"/>
      <c r="H43" s="278"/>
      <c r="I43" s="273"/>
      <c r="J43" s="273"/>
      <c r="K43" s="273"/>
      <c r="L43" s="273"/>
      <c r="M43" s="276"/>
      <c r="N43" s="273"/>
      <c r="O43" s="273"/>
      <c r="P43" s="275"/>
      <c r="Q43" s="273"/>
      <c r="R43" s="273"/>
      <c r="S43" s="273"/>
      <c r="T43" s="405"/>
      <c r="U43" s="273"/>
      <c r="V43" s="273"/>
      <c r="W43" s="273"/>
      <c r="X43" s="272"/>
      <c r="Y43" s="272"/>
      <c r="Z43" s="272"/>
      <c r="AA43" s="273"/>
      <c r="AB43" s="276"/>
      <c r="AC43" s="279"/>
      <c r="AD43" s="273"/>
      <c r="AE43" s="273"/>
      <c r="AF43" s="273"/>
      <c r="AG43" s="273"/>
      <c r="AH43" s="273"/>
      <c r="AI43" s="280"/>
      <c r="AJ43" s="281"/>
      <c r="AK43" s="282"/>
      <c r="AL43" s="281"/>
      <c r="AM43" s="278"/>
      <c r="AN43" s="281"/>
      <c r="AO43" s="281"/>
      <c r="AP43" s="281"/>
      <c r="AQ43" s="406"/>
    </row>
    <row r="44" customFormat="false" ht="12.95" hidden="false" customHeight="true" outlineLevel="0" collapsed="false">
      <c r="A44" s="187" t="s">
        <v>77</v>
      </c>
      <c r="B44" s="256"/>
      <c r="C44" s="115"/>
      <c r="D44" s="115"/>
      <c r="E44" s="115"/>
      <c r="F44" s="257" t="n">
        <f aca="false">SUM(F12:F42)</f>
        <v>15983.866901941</v>
      </c>
      <c r="G44" s="115" t="n">
        <f aca="false">SUM(G12:G42)</f>
        <v>11260</v>
      </c>
      <c r="H44" s="261" t="n">
        <f aca="false">SUM(H12:H42)</f>
        <v>1276.9</v>
      </c>
      <c r="I44" s="115" t="n">
        <f aca="false">SUM(I12:I42)</f>
        <v>12536.9</v>
      </c>
      <c r="J44" s="115" t="n">
        <f aca="false">SUM(J12:J42)</f>
        <v>5591.21716662465</v>
      </c>
      <c r="K44" s="115" t="n">
        <f aca="false">SUM(K12:K42)</f>
        <v>18128.1171666247</v>
      </c>
      <c r="L44" s="115" t="n">
        <f aca="false">SUM(L12:L42)</f>
        <v>5569.06690194101</v>
      </c>
      <c r="M44" s="259" t="n">
        <f aca="false">SUM(M12:M42)</f>
        <v>361.2</v>
      </c>
      <c r="N44" s="115" t="n">
        <f aca="false">SUM(N12:N42)</f>
        <v>0</v>
      </c>
      <c r="O44" s="115" t="n">
        <f aca="false">SUM(O12:O42)</f>
        <v>55.41</v>
      </c>
      <c r="P44" s="258"/>
      <c r="Q44" s="115" t="n">
        <f aca="false">SUM(Q12:Q42)</f>
        <v>45.5328</v>
      </c>
      <c r="R44" s="115" t="n">
        <f aca="false">SUM(R12:R42)</f>
        <v>83.12</v>
      </c>
      <c r="S44" s="115" t="n">
        <f aca="false">SUM(S12:S42)</f>
        <v>0</v>
      </c>
      <c r="T44" s="260" t="n">
        <f aca="false">SUM(T12:T42)</f>
        <v>-16.0084</v>
      </c>
      <c r="U44" s="115" t="n">
        <f aca="false">SUM(U12:U42)</f>
        <v>684</v>
      </c>
      <c r="V44" s="115" t="n">
        <f aca="false">SUM(V12:V42)</f>
        <v>49.9</v>
      </c>
      <c r="W44" s="115" t="n">
        <f aca="false">SUM(W12:W42)</f>
        <v>927.0456</v>
      </c>
      <c r="X44" s="115"/>
      <c r="Y44" s="115"/>
      <c r="Z44" s="115"/>
      <c r="AA44" s="115"/>
      <c r="AB44" s="259"/>
      <c r="AC44" s="262"/>
      <c r="AD44" s="115" t="n">
        <f aca="false">SUM(AD12:AD42)</f>
        <v>1027</v>
      </c>
      <c r="AE44" s="115"/>
      <c r="AF44" s="115" t="n">
        <f aca="false">SUM(AF12:AF42)</f>
        <v>2122.1</v>
      </c>
      <c r="AG44" s="115" t="n">
        <f aca="false">SUM(AG12:AG42)</f>
        <v>22.15026468364</v>
      </c>
      <c r="AH44" s="115" t="n">
        <f aca="false">SUM(AH12:AH42)</f>
        <v>2144.25026468364</v>
      </c>
      <c r="AI44" s="263" t="n">
        <f aca="false">SUM(AI12:AI42)</f>
        <v>0.86</v>
      </c>
      <c r="AJ44" s="264" t="n">
        <f aca="false">AVERAGE(AJ12:AJ42)</f>
        <v>55.2258064516129</v>
      </c>
      <c r="AK44" s="265" t="n">
        <f aca="false">AVERAGE(AK12:AK42)</f>
        <v>29.0322580645161</v>
      </c>
      <c r="AL44" s="264" t="s">
        <v>99</v>
      </c>
      <c r="AM44" s="261" t="n">
        <f aca="false">SUM(AM12:AM42)</f>
        <v>264.7472</v>
      </c>
      <c r="AN44" s="141"/>
      <c r="AO44" s="141"/>
      <c r="AP44" s="266"/>
      <c r="AQ44" s="371" t="s">
        <v>94</v>
      </c>
    </row>
    <row r="45" customFormat="false" ht="12.95" hidden="false" customHeight="true" outlineLevel="0" collapsed="false">
      <c r="A45" s="187" t="s">
        <v>79</v>
      </c>
      <c r="B45" s="256"/>
      <c r="C45" s="115"/>
      <c r="D45" s="115" t="n">
        <f aca="false">SUM(D12:D42)</f>
        <v>31704</v>
      </c>
      <c r="E45" s="115"/>
      <c r="F45" s="257" t="n">
        <f aca="false">F44*$D$2</f>
        <v>31704</v>
      </c>
      <c r="G45" s="115" t="n">
        <f aca="false">G44*$D$2</f>
        <v>22334.21</v>
      </c>
      <c r="H45" s="261" t="n">
        <f aca="false">H44*$D$2</f>
        <v>2532.73115</v>
      </c>
      <c r="I45" s="115" t="n">
        <f aca="false">I44*$D$2</f>
        <v>24866.94115</v>
      </c>
      <c r="J45" s="115" t="n">
        <f aca="false">J44*$D$2</f>
        <v>11090.17925</v>
      </c>
      <c r="K45" s="115" t="n">
        <f aca="false">K44*$D$2</f>
        <v>35957.1204</v>
      </c>
      <c r="L45" s="115" t="n">
        <f aca="false">L44*$D$2</f>
        <v>11046.2442</v>
      </c>
      <c r="M45" s="259" t="n">
        <f aca="false">M44*$D$2</f>
        <v>716.4402</v>
      </c>
      <c r="N45" s="115" t="n">
        <f aca="false">N44*$D$2</f>
        <v>0</v>
      </c>
      <c r="O45" s="115" t="n">
        <f aca="false">O44*$D$2</f>
        <v>109.905735</v>
      </c>
      <c r="P45" s="258"/>
      <c r="Q45" s="115" t="n">
        <f aca="false">Q44*$D$2</f>
        <v>90.3143088</v>
      </c>
      <c r="R45" s="115" t="n">
        <f aca="false">R44*$D$2</f>
        <v>164.86852</v>
      </c>
      <c r="S45" s="115" t="n">
        <f aca="false">S44*$D$2</f>
        <v>0</v>
      </c>
      <c r="T45" s="260" t="n">
        <f aca="false">T44*$D$2</f>
        <v>-31.7526614</v>
      </c>
      <c r="U45" s="115" t="n">
        <f aca="false">U44*$D$2</f>
        <v>1356.714</v>
      </c>
      <c r="V45" s="115" t="n">
        <f aca="false">V44*$D$2</f>
        <v>98.97665</v>
      </c>
      <c r="W45" s="115" t="n">
        <f aca="false">W44*$D$2</f>
        <v>1838.7949476</v>
      </c>
      <c r="X45" s="115"/>
      <c r="Y45" s="115"/>
      <c r="Z45" s="115"/>
      <c r="AA45" s="115"/>
      <c r="AB45" s="259"/>
      <c r="AC45" s="262"/>
      <c r="AD45" s="115" t="n">
        <f aca="false">AD44*$D$2</f>
        <v>2037.0545</v>
      </c>
      <c r="AE45" s="115"/>
      <c r="AF45" s="115" t="n">
        <f aca="false">AF44*$D$2</f>
        <v>4209.18535</v>
      </c>
      <c r="AG45" s="115" t="n">
        <f aca="false">AG44*$D$2</f>
        <v>43.93505</v>
      </c>
      <c r="AH45" s="115" t="n">
        <f aca="false">AH44*$D$2</f>
        <v>4253.1204</v>
      </c>
      <c r="AI45" s="263"/>
      <c r="AJ45" s="264" t="n">
        <f aca="false">MAX(AJ12:AJ42)</f>
        <v>70</v>
      </c>
      <c r="AK45" s="265" t="n">
        <f aca="false">MAX(AK12:AK42)</f>
        <v>40</v>
      </c>
      <c r="AL45" s="264" t="s">
        <v>80</v>
      </c>
      <c r="AM45" s="261" t="n">
        <f aca="false">AM44*$D$2</f>
        <v>525.1260712</v>
      </c>
      <c r="AN45" s="141"/>
      <c r="AO45" s="141"/>
      <c r="AP45" s="266"/>
      <c r="AQ45" s="371"/>
    </row>
    <row r="46" customFormat="false" ht="3" hidden="false" customHeight="true" outlineLevel="0" collapsed="false">
      <c r="A46" s="290"/>
      <c r="B46" s="287"/>
      <c r="C46" s="272"/>
      <c r="D46" s="272"/>
      <c r="E46" s="272"/>
      <c r="F46" s="291"/>
      <c r="G46" s="272"/>
      <c r="H46" s="278"/>
      <c r="I46" s="272"/>
      <c r="J46" s="272"/>
      <c r="K46" s="272"/>
      <c r="L46" s="272"/>
      <c r="M46" s="292"/>
      <c r="N46" s="272"/>
      <c r="O46" s="272"/>
      <c r="P46" s="275"/>
      <c r="Q46" s="272"/>
      <c r="R46" s="272"/>
      <c r="S46" s="272"/>
      <c r="T46" s="405"/>
      <c r="U46" s="272"/>
      <c r="V46" s="272"/>
      <c r="W46" s="272"/>
      <c r="X46" s="272"/>
      <c r="Y46" s="272"/>
      <c r="Z46" s="272"/>
      <c r="AA46" s="272"/>
      <c r="AB46" s="292"/>
      <c r="AC46" s="293"/>
      <c r="AD46" s="272"/>
      <c r="AE46" s="273"/>
      <c r="AF46" s="272"/>
      <c r="AG46" s="272"/>
      <c r="AH46" s="272"/>
      <c r="AI46" s="294"/>
      <c r="AJ46" s="272"/>
      <c r="AK46" s="291"/>
      <c r="AL46" s="281"/>
      <c r="AM46" s="278"/>
      <c r="AN46" s="272"/>
      <c r="AO46" s="272"/>
      <c r="AP46" s="272"/>
      <c r="AQ46" s="411"/>
    </row>
    <row r="47" customFormat="false" ht="12.95" hidden="false" customHeight="true" outlineLevel="0" collapsed="false">
      <c r="A47" s="187" t="s">
        <v>81</v>
      </c>
      <c r="B47" s="256"/>
      <c r="C47" s="115"/>
      <c r="D47" s="115"/>
      <c r="E47" s="115"/>
      <c r="F47" s="257"/>
      <c r="G47" s="115"/>
      <c r="H47" s="261"/>
      <c r="I47" s="115"/>
      <c r="J47" s="115"/>
      <c r="K47" s="115"/>
      <c r="L47" s="115"/>
      <c r="M47" s="259"/>
      <c r="N47" s="115"/>
      <c r="O47" s="115" t="n">
        <f aca="false">O44</f>
        <v>55.41</v>
      </c>
      <c r="P47" s="258"/>
      <c r="Q47" s="115"/>
      <c r="R47" s="115"/>
      <c r="S47" s="115"/>
      <c r="T47" s="402"/>
      <c r="U47" s="115"/>
      <c r="V47" s="115"/>
      <c r="W47" s="115"/>
      <c r="X47" s="115"/>
      <c r="Y47" s="115"/>
      <c r="Z47" s="115"/>
      <c r="AA47" s="115"/>
      <c r="AB47" s="259"/>
      <c r="AC47" s="262"/>
      <c r="AD47" s="115"/>
      <c r="AE47" s="115"/>
      <c r="AF47" s="115"/>
      <c r="AG47" s="115"/>
      <c r="AH47" s="115"/>
      <c r="AI47" s="263"/>
      <c r="AJ47" s="264" t="n">
        <f aca="false">MIN(AJ12:AJ42)</f>
        <v>28</v>
      </c>
      <c r="AK47" s="265" t="n">
        <f aca="false">MIN(AK12:AK42)</f>
        <v>0</v>
      </c>
      <c r="AL47" s="264" t="s">
        <v>82</v>
      </c>
      <c r="AM47" s="261"/>
      <c r="AN47" s="141"/>
      <c r="AO47" s="141"/>
      <c r="AP47" s="266"/>
      <c r="AQ47" s="371"/>
    </row>
    <row r="48" customFormat="false" ht="12.95" hidden="false" customHeight="true" outlineLevel="0" collapsed="false">
      <c r="A48" s="187" t="s">
        <v>83</v>
      </c>
      <c r="B48" s="256"/>
      <c r="C48" s="115"/>
      <c r="D48" s="115"/>
      <c r="E48" s="115"/>
      <c r="F48" s="257"/>
      <c r="G48" s="115"/>
      <c r="H48" s="261"/>
      <c r="I48" s="115"/>
      <c r="J48" s="115"/>
      <c r="K48" s="115"/>
      <c r="L48" s="115"/>
      <c r="M48" s="259"/>
      <c r="N48" s="115"/>
      <c r="O48" s="115" t="n">
        <f aca="false">O47*D2</f>
        <v>109.905735</v>
      </c>
      <c r="P48" s="258"/>
      <c r="Q48" s="115"/>
      <c r="R48" s="115"/>
      <c r="S48" s="115"/>
      <c r="T48" s="402"/>
      <c r="U48" s="115"/>
      <c r="V48" s="115"/>
      <c r="W48" s="115" t="n">
        <f aca="false">W47*D2</f>
        <v>0</v>
      </c>
      <c r="X48" s="115"/>
      <c r="Y48" s="115"/>
      <c r="Z48" s="115"/>
      <c r="AA48" s="115"/>
      <c r="AB48" s="259"/>
      <c r="AC48" s="262"/>
      <c r="AD48" s="115"/>
      <c r="AE48" s="115"/>
      <c r="AF48" s="115"/>
      <c r="AG48" s="115"/>
      <c r="AH48" s="115"/>
      <c r="AI48" s="263"/>
      <c r="AJ48" s="264"/>
      <c r="AK48" s="265"/>
      <c r="AL48" s="264"/>
      <c r="AM48" s="261"/>
      <c r="AN48" s="141"/>
      <c r="AO48" s="141"/>
      <c r="AP48" s="266"/>
      <c r="AQ48" s="371"/>
    </row>
    <row r="49" customFormat="false" ht="3" hidden="false" customHeight="true" outlineLevel="0" collapsed="false">
      <c r="A49" s="290"/>
      <c r="B49" s="287"/>
      <c r="C49" s="272"/>
      <c r="D49" s="272"/>
      <c r="E49" s="272"/>
      <c r="F49" s="291"/>
      <c r="G49" s="272"/>
      <c r="H49" s="278"/>
      <c r="I49" s="272"/>
      <c r="J49" s="272"/>
      <c r="K49" s="272"/>
      <c r="L49" s="272"/>
      <c r="M49" s="292"/>
      <c r="N49" s="272"/>
      <c r="O49" s="272"/>
      <c r="P49" s="275"/>
      <c r="Q49" s="272"/>
      <c r="R49" s="272"/>
      <c r="S49" s="272"/>
      <c r="T49" s="405"/>
      <c r="U49" s="272"/>
      <c r="V49" s="272"/>
      <c r="W49" s="272"/>
      <c r="X49" s="272"/>
      <c r="Y49" s="272"/>
      <c r="Z49" s="272"/>
      <c r="AA49" s="272"/>
      <c r="AB49" s="292"/>
      <c r="AC49" s="293"/>
      <c r="AD49" s="272"/>
      <c r="AE49" s="272"/>
      <c r="AF49" s="272"/>
      <c r="AG49" s="272"/>
      <c r="AH49" s="272"/>
      <c r="AI49" s="280"/>
      <c r="AJ49" s="295"/>
      <c r="AK49" s="296"/>
      <c r="AL49" s="281"/>
      <c r="AM49" s="278"/>
      <c r="AN49" s="295"/>
      <c r="AO49" s="295"/>
      <c r="AP49" s="295"/>
      <c r="AQ49" s="411"/>
    </row>
    <row r="50" customFormat="false" ht="12.95" hidden="false" customHeight="true" outlineLevel="0" collapsed="false">
      <c r="A50" s="187" t="s">
        <v>84</v>
      </c>
      <c r="B50" s="256"/>
      <c r="C50" s="115"/>
      <c r="D50" s="115"/>
      <c r="E50" s="115"/>
      <c r="F50" s="257" t="n">
        <f aca="false">F10+F44</f>
        <v>19595.1600705823</v>
      </c>
      <c r="G50" s="115" t="n">
        <f aca="false">G10+G44</f>
        <v>22621</v>
      </c>
      <c r="H50" s="261" t="n">
        <f aca="false">H10+H44</f>
        <v>1487.58</v>
      </c>
      <c r="I50" s="115" t="n">
        <f aca="false">I10+I44</f>
        <v>24108.58</v>
      </c>
      <c r="J50" s="115" t="n">
        <f aca="false">J10+J44</f>
        <v>7088.93428283338</v>
      </c>
      <c r="K50" s="115" t="n">
        <f aca="false">K10+K44</f>
        <v>31197.5142828334</v>
      </c>
      <c r="L50" s="115" t="n">
        <f aca="false">L10+L44</f>
        <v>5748.0800705823</v>
      </c>
      <c r="M50" s="259" t="n">
        <f aca="false">M10+M44</f>
        <v>996.4</v>
      </c>
      <c r="N50" s="115" t="n">
        <f aca="false">N10+N44</f>
        <v>0</v>
      </c>
      <c r="O50" s="115" t="n">
        <f aca="false">O10+O44</f>
        <v>55.41</v>
      </c>
      <c r="P50" s="258"/>
      <c r="Q50" s="115" t="n">
        <f aca="false">Q10+Q44</f>
        <v>233.07</v>
      </c>
      <c r="R50" s="115" t="n">
        <f aca="false">R10+R44</f>
        <v>418.073</v>
      </c>
      <c r="S50" s="115" t="n">
        <f aca="false">S10+S44</f>
        <v>0.16</v>
      </c>
      <c r="T50" s="260" t="n">
        <f aca="false">T10+T44</f>
        <v>-61.236</v>
      </c>
      <c r="U50" s="115" t="n">
        <f aca="false">U10+U44</f>
        <v>5375</v>
      </c>
      <c r="V50" s="115" t="n">
        <f aca="false">V10+V44</f>
        <v>126.1</v>
      </c>
      <c r="W50" s="115" t="n">
        <f aca="false">W10+W44</f>
        <v>5374.8556</v>
      </c>
      <c r="X50" s="115"/>
      <c r="Y50" s="115"/>
      <c r="Z50" s="115"/>
      <c r="AA50" s="115"/>
      <c r="AB50" s="259"/>
      <c r="AC50" s="262"/>
      <c r="AD50" s="115" t="n">
        <f aca="false">AD10+AD44</f>
        <v>3764</v>
      </c>
      <c r="AE50" s="115" t="n">
        <f aca="false">AE42</f>
        <v>55</v>
      </c>
      <c r="AF50" s="115" t="n">
        <f aca="false">AF10+AF44</f>
        <v>10261.5</v>
      </c>
      <c r="AG50" s="115" t="n">
        <f aca="false">AG10+AG44</f>
        <v>1340.85421225107</v>
      </c>
      <c r="AH50" s="115" t="n">
        <f aca="false">AH10+AH44</f>
        <v>11602.3542122511</v>
      </c>
      <c r="AI50" s="263" t="n">
        <f aca="false">AI10+AI44</f>
        <v>4.69</v>
      </c>
      <c r="AJ50" s="264"/>
      <c r="AK50" s="265"/>
      <c r="AL50" s="264"/>
      <c r="AM50" s="261" t="n">
        <f aca="false">AM10+AM44</f>
        <v>264.7472</v>
      </c>
      <c r="AN50" s="141"/>
      <c r="AO50" s="141"/>
      <c r="AP50" s="266"/>
      <c r="AQ50" s="371"/>
    </row>
    <row r="51" customFormat="false" ht="12.95" hidden="false" customHeight="true" outlineLevel="0" collapsed="false">
      <c r="A51" s="187" t="s">
        <v>85</v>
      </c>
      <c r="B51" s="256"/>
      <c r="C51" s="115"/>
      <c r="D51" s="115" t="n">
        <f aca="false">D10+D45</f>
        <v>38867</v>
      </c>
      <c r="E51" s="115" t="n">
        <f aca="false">E42</f>
        <v>157788</v>
      </c>
      <c r="F51" s="257" t="n">
        <f aca="false">F50*$D$2</f>
        <v>38867</v>
      </c>
      <c r="G51" s="115" t="n">
        <f aca="false">G50*$D$2</f>
        <v>44868.7535</v>
      </c>
      <c r="H51" s="261" t="n">
        <f aca="false">H50*$D$2</f>
        <v>2950.61493</v>
      </c>
      <c r="I51" s="115" t="n">
        <f aca="false">I50*$D$2</f>
        <v>47819.36843</v>
      </c>
      <c r="J51" s="115" t="n">
        <f aca="false">J50*$D$2</f>
        <v>14060.90115</v>
      </c>
      <c r="K51" s="115" t="n">
        <f aca="false">K50*$D$2</f>
        <v>61880.26958</v>
      </c>
      <c r="L51" s="115" t="n">
        <f aca="false">L50*$D$2</f>
        <v>11401.31682</v>
      </c>
      <c r="M51" s="259" t="n">
        <f aca="false">M50*$D$2</f>
        <v>1976.3594</v>
      </c>
      <c r="N51" s="115" t="n">
        <f aca="false">N50*$D$2</f>
        <v>0</v>
      </c>
      <c r="O51" s="115" t="n">
        <f aca="false">O50*$D$2</f>
        <v>109.905735</v>
      </c>
      <c r="P51" s="258"/>
      <c r="Q51" s="115" t="n">
        <f aca="false">Q50*$D$2</f>
        <v>462.294345</v>
      </c>
      <c r="R51" s="115" t="n">
        <f aca="false">R50*$D$2</f>
        <v>829.2477955</v>
      </c>
      <c r="S51" s="115" t="n">
        <f aca="false">S50*$D$2</f>
        <v>0.31736</v>
      </c>
      <c r="T51" s="412" t="n">
        <f aca="false">T50*$D$2</f>
        <v>-121.461606</v>
      </c>
      <c r="U51" s="115" t="n">
        <f aca="false">U50*$D$2</f>
        <v>10661.3125</v>
      </c>
      <c r="V51" s="115" t="n">
        <f aca="false">V50*$D$2</f>
        <v>250.11935</v>
      </c>
      <c r="W51" s="115" t="n">
        <f aca="false">W50*$D$2</f>
        <v>10661.0260826</v>
      </c>
      <c r="X51" s="115"/>
      <c r="Y51" s="115"/>
      <c r="Z51" s="115"/>
      <c r="AA51" s="115"/>
      <c r="AB51" s="297"/>
      <c r="AC51" s="298"/>
      <c r="AD51" s="115" t="n">
        <f aca="false">AD50*$D$2</f>
        <v>7465.894</v>
      </c>
      <c r="AE51" s="115" t="n">
        <f aca="false">AE50*$D$2</f>
        <v>109.0925</v>
      </c>
      <c r="AF51" s="115" t="n">
        <f aca="false">AF50*$D$2</f>
        <v>20353.68525</v>
      </c>
      <c r="AG51" s="115" t="n">
        <f aca="false">AG50*$D$2</f>
        <v>2659.58433</v>
      </c>
      <c r="AH51" s="115" t="n">
        <f aca="false">AH50*$D$2</f>
        <v>23013.26958</v>
      </c>
      <c r="AI51" s="263"/>
      <c r="AJ51" s="264"/>
      <c r="AK51" s="265"/>
      <c r="AL51" s="264" t="n">
        <f aca="false">AL42</f>
        <v>9974.66972</v>
      </c>
      <c r="AM51" s="261" t="n">
        <f aca="false">AM50*$D$2</f>
        <v>525.1260712</v>
      </c>
      <c r="AN51" s="141"/>
      <c r="AO51" s="141"/>
      <c r="AP51" s="266"/>
      <c r="AQ51" s="371"/>
    </row>
    <row r="52" customFormat="false" ht="3" hidden="false" customHeight="true" outlineLevel="0" collapsed="false">
      <c r="A52" s="404"/>
      <c r="B52" s="287"/>
      <c r="C52" s="272"/>
      <c r="D52" s="273"/>
      <c r="E52" s="272"/>
      <c r="F52" s="274"/>
      <c r="G52" s="273"/>
      <c r="H52" s="278"/>
      <c r="I52" s="273"/>
      <c r="J52" s="273"/>
      <c r="K52" s="273"/>
      <c r="L52" s="273"/>
      <c r="M52" s="276"/>
      <c r="N52" s="273"/>
      <c r="O52" s="273"/>
      <c r="P52" s="275"/>
      <c r="Q52" s="273"/>
      <c r="R52" s="273"/>
      <c r="S52" s="273"/>
      <c r="T52" s="405"/>
      <c r="U52" s="273"/>
      <c r="V52" s="273"/>
      <c r="W52" s="273"/>
      <c r="X52" s="272"/>
      <c r="Y52" s="272"/>
      <c r="Z52" s="272"/>
      <c r="AA52" s="273"/>
      <c r="AB52" s="276"/>
      <c r="AC52" s="279"/>
      <c r="AD52" s="273"/>
      <c r="AE52" s="272"/>
      <c r="AF52" s="273"/>
      <c r="AG52" s="273"/>
      <c r="AH52" s="273"/>
      <c r="AI52" s="287"/>
      <c r="AJ52" s="273"/>
      <c r="AK52" s="274"/>
      <c r="AL52" s="281"/>
      <c r="AM52" s="278"/>
      <c r="AN52" s="273"/>
      <c r="AO52" s="273"/>
      <c r="AP52" s="273"/>
      <c r="AQ52" s="413"/>
    </row>
    <row r="53" customFormat="false" ht="11.1" hidden="false" customHeight="true" outlineLevel="0" collapsed="false">
      <c r="A53" s="179"/>
      <c r="B53" s="299"/>
      <c r="C53" s="180"/>
      <c r="D53" s="179"/>
      <c r="E53" s="180"/>
      <c r="F53" s="179"/>
      <c r="G53" s="179"/>
      <c r="H53" s="183"/>
      <c r="I53" s="179"/>
      <c r="J53" s="179"/>
      <c r="K53" s="179"/>
      <c r="L53" s="179"/>
      <c r="M53" s="179"/>
      <c r="N53" s="179"/>
      <c r="O53" s="179"/>
      <c r="P53" s="181"/>
      <c r="Q53" s="179"/>
      <c r="R53" s="179"/>
      <c r="S53" s="179"/>
      <c r="T53" s="246"/>
      <c r="U53" s="179"/>
      <c r="V53" s="179"/>
      <c r="W53" s="179"/>
      <c r="X53" s="180"/>
      <c r="Y53" s="180"/>
      <c r="Z53" s="180"/>
      <c r="AA53" s="179"/>
      <c r="AB53" s="179"/>
      <c r="AC53" s="179"/>
      <c r="AD53" s="179"/>
      <c r="AE53" s="180"/>
      <c r="AF53" s="179"/>
      <c r="AG53" s="179"/>
      <c r="AH53" s="179"/>
      <c r="AI53" s="184"/>
      <c r="AJ53" s="185"/>
      <c r="AK53" s="185"/>
      <c r="AL53" s="186"/>
      <c r="AM53" s="255"/>
      <c r="AN53" s="306"/>
      <c r="AO53" s="306"/>
    </row>
    <row r="54" customFormat="false" ht="11.1" hidden="false" customHeight="true" outlineLevel="0" collapsed="false">
      <c r="A54" s="179"/>
      <c r="B54" s="300"/>
      <c r="C54" s="180"/>
      <c r="D54" s="301"/>
      <c r="E54" s="180"/>
      <c r="F54" s="179"/>
      <c r="G54" s="179"/>
      <c r="H54" s="183"/>
      <c r="I54" s="302"/>
      <c r="J54" s="179"/>
      <c r="K54" s="169"/>
      <c r="L54" s="179"/>
      <c r="M54" s="179"/>
      <c r="N54" s="179"/>
      <c r="O54" s="179"/>
      <c r="P54" s="181"/>
      <c r="Q54" s="179"/>
      <c r="R54" s="179"/>
      <c r="S54" s="179"/>
      <c r="T54" s="246"/>
      <c r="U54" s="179"/>
      <c r="V54" s="179"/>
      <c r="W54" s="179"/>
      <c r="X54" s="180"/>
      <c r="Y54" s="180"/>
      <c r="Z54" s="180"/>
      <c r="AA54" s="179"/>
      <c r="AB54" s="179"/>
      <c r="AC54" s="179"/>
      <c r="AD54" s="179"/>
      <c r="AE54" s="180"/>
      <c r="AF54" s="179"/>
      <c r="AG54" s="179"/>
      <c r="AH54" s="179"/>
      <c r="AI54" s="184"/>
      <c r="AJ54" s="185"/>
      <c r="AK54" s="185"/>
      <c r="AL54" s="186"/>
      <c r="AM54" s="255"/>
      <c r="AN54" s="306"/>
      <c r="AO54" s="306"/>
    </row>
    <row r="55" customFormat="false" ht="11.1" hidden="false" customHeight="true" outlineLevel="0" collapsed="false">
      <c r="A55" s="301"/>
      <c r="B55" s="301"/>
      <c r="C55" s="180"/>
      <c r="D55" s="180"/>
      <c r="E55" s="180"/>
      <c r="F55" s="301"/>
      <c r="G55" s="301"/>
      <c r="H55" s="183"/>
      <c r="I55" s="301"/>
      <c r="J55" s="301"/>
      <c r="K55" s="301"/>
      <c r="L55" s="301"/>
      <c r="M55" s="183"/>
      <c r="N55" s="183"/>
      <c r="O55" s="183"/>
      <c r="P55" s="181"/>
      <c r="Q55" s="183"/>
      <c r="R55" s="183"/>
      <c r="S55" s="183"/>
      <c r="T55" s="246"/>
      <c r="U55" s="301"/>
      <c r="V55" s="301"/>
      <c r="W55" s="301"/>
      <c r="X55" s="180"/>
      <c r="Y55" s="180"/>
      <c r="Z55" s="180"/>
      <c r="AA55" s="301"/>
      <c r="AB55" s="301"/>
      <c r="AC55" s="301"/>
      <c r="AD55" s="301"/>
      <c r="AE55" s="180"/>
      <c r="AF55" s="301"/>
      <c r="AG55" s="301"/>
      <c r="AH55" s="301"/>
      <c r="AI55" s="184"/>
      <c r="AJ55" s="185"/>
      <c r="AK55" s="185"/>
      <c r="AL55" s="186"/>
      <c r="AM55" s="255"/>
      <c r="AN55" s="361"/>
      <c r="AO55" s="361"/>
    </row>
    <row r="56" customFormat="false" ht="11.1" hidden="false" customHeight="true" outlineLevel="0" collapsed="false">
      <c r="A56" s="301"/>
      <c r="B56" s="181"/>
      <c r="C56" s="180"/>
      <c r="D56" s="180"/>
      <c r="E56" s="180"/>
      <c r="F56" s="301"/>
      <c r="G56" s="301"/>
      <c r="H56" s="183"/>
      <c r="I56" s="301"/>
      <c r="J56" s="301"/>
      <c r="K56" s="301"/>
      <c r="L56" s="301"/>
      <c r="M56" s="183"/>
      <c r="N56" s="183"/>
      <c r="O56" s="183"/>
      <c r="P56" s="181"/>
      <c r="Q56" s="183"/>
      <c r="R56" s="183"/>
      <c r="S56" s="301"/>
      <c r="T56" s="246"/>
      <c r="U56" s="301"/>
      <c r="V56" s="301"/>
      <c r="W56" s="180"/>
      <c r="X56" s="301"/>
      <c r="Y56" s="301"/>
      <c r="Z56" s="301"/>
      <c r="AA56" s="301"/>
      <c r="AB56" s="301"/>
      <c r="AC56" s="301"/>
      <c r="AD56" s="180"/>
      <c r="AE56" s="301"/>
      <c r="AF56" s="301"/>
      <c r="AG56" s="301"/>
      <c r="AH56" s="181"/>
      <c r="AI56" s="184"/>
      <c r="AJ56" s="185"/>
      <c r="AK56" s="186"/>
      <c r="AL56" s="363"/>
      <c r="AM56" s="395"/>
      <c r="AN56" s="361"/>
    </row>
    <row r="57" customFormat="false" ht="11.1" hidden="false" customHeight="true" outlineLevel="0" collapsed="false">
      <c r="A57" s="301"/>
      <c r="B57" s="301"/>
      <c r="C57" s="180"/>
      <c r="D57" s="301"/>
      <c r="E57" s="180"/>
      <c r="F57" s="301"/>
      <c r="G57" s="303"/>
      <c r="H57" s="183"/>
      <c r="I57" s="301"/>
      <c r="J57" s="301"/>
      <c r="K57" s="301"/>
      <c r="L57" s="301"/>
      <c r="M57" s="183"/>
      <c r="N57" s="183"/>
      <c r="O57" s="183"/>
      <c r="P57" s="181"/>
      <c r="Q57" s="183"/>
      <c r="R57" s="183"/>
      <c r="S57" s="301"/>
      <c r="T57" s="246"/>
      <c r="U57" s="301"/>
      <c r="V57" s="301"/>
      <c r="W57" s="180"/>
      <c r="X57" s="301"/>
      <c r="Y57" s="301"/>
      <c r="Z57" s="301"/>
      <c r="AA57" s="301"/>
      <c r="AB57" s="301"/>
      <c r="AC57" s="301"/>
      <c r="AD57" s="180"/>
      <c r="AE57" s="301"/>
      <c r="AF57" s="301"/>
      <c r="AG57" s="301"/>
      <c r="AH57" s="181"/>
      <c r="AI57" s="184"/>
      <c r="AJ57" s="185"/>
      <c r="AK57" s="186"/>
      <c r="AL57" s="363"/>
      <c r="AM57" s="395"/>
      <c r="AN57" s="361"/>
    </row>
  </sheetData>
  <mergeCells count="2">
    <mergeCell ref="K2:S2"/>
    <mergeCell ref="M5:S5"/>
  </mergeCells>
  <printOptions headings="true" gridLines="true" gridLinesSet="true" horizontalCentered="true" verticalCentered="true"/>
  <pageMargins left="0.25" right="0.25" top="0.25" bottom="0" header="0.511811023622047" footer="0.511811023622047"/>
  <pageSetup paperSize="3" scale="67"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1" man="true" max="16383" min="0"/>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B18" activeCellId="0" sqref="AB18"/>
    </sheetView>
  </sheetViews>
  <sheetFormatPr defaultColWidth="9.2890625" defaultRowHeight="11.1" zeroHeight="false" outlineLevelRow="0" outlineLevelCol="0"/>
  <cols>
    <col collapsed="false" customWidth="true" hidden="false" outlineLevel="0" max="1" min="1" style="0" width="4.66"/>
    <col collapsed="false" customWidth="true" hidden="false" outlineLevel="0" max="2" min="2" style="0" width="6.99"/>
    <col collapsed="false" customWidth="true" hidden="false" outlineLevel="0" max="3" min="3" style="1" width="6.32"/>
    <col collapsed="false" customWidth="true" hidden="false" outlineLevel="0" max="4" min="4" style="0" width="6.99"/>
    <col collapsed="false" customWidth="true" hidden="false" outlineLevel="0" max="5" min="5" style="1" width="6.99"/>
    <col collapsed="false" customWidth="true" hidden="false" outlineLevel="0" max="6" min="6" style="0" width="7.32"/>
    <col collapsed="false" customWidth="true" hidden="false" outlineLevel="0" max="7" min="7" style="0" width="6.82"/>
    <col collapsed="false" customWidth="true" hidden="false" outlineLevel="0" max="8" min="8" style="414" width="5.66"/>
    <col collapsed="false" customWidth="true" hidden="false" outlineLevel="0" max="11" min="9" style="0" width="6.32"/>
    <col collapsed="false" customWidth="true" hidden="false" outlineLevel="0" max="12" min="12" style="0" width="7.16"/>
    <col collapsed="false" customWidth="true" hidden="false" outlineLevel="0" max="13" min="13" style="3" width="5.49"/>
    <col collapsed="false" customWidth="true" hidden="false" outlineLevel="0" max="14" min="14" style="3" width="4.49"/>
    <col collapsed="false" customWidth="true" hidden="false" outlineLevel="0" max="15" min="15" style="3" width="5.49"/>
    <col collapsed="false" customWidth="true" hidden="false" outlineLevel="0" max="16" min="16" style="4" width="4.82"/>
    <col collapsed="false" customWidth="true" hidden="false" outlineLevel="0" max="17" min="17" style="3" width="4.32"/>
    <col collapsed="false" customWidth="true" hidden="false" outlineLevel="0" max="18" min="18" style="3" width="4.99"/>
    <col collapsed="false" customWidth="true" hidden="false" outlineLevel="0" max="19" min="19" style="0" width="4.32"/>
    <col collapsed="false" customWidth="true" hidden="false" outlineLevel="0" max="20" min="20" style="4" width="5.49"/>
    <col collapsed="false" customWidth="true" hidden="false" outlineLevel="0" max="22" min="21" style="0" width="5.49"/>
    <col collapsed="false" customWidth="true" hidden="false" outlineLevel="0" max="23" min="23" style="1" width="6.32"/>
    <col collapsed="false" customWidth="true" hidden="false" outlineLevel="0" max="25" min="24" style="6" width="5.49"/>
    <col collapsed="false" customWidth="true" hidden="false" outlineLevel="0" max="26" min="26" style="3" width="5.49"/>
    <col collapsed="false" customWidth="true" hidden="false" outlineLevel="0" max="29" min="27" style="0" width="5.49"/>
    <col collapsed="false" customWidth="true" hidden="false" outlineLevel="0" max="30" min="30" style="1" width="6.16"/>
    <col collapsed="false" customWidth="true" hidden="false" outlineLevel="0" max="31" min="31" style="0" width="5.49"/>
    <col collapsed="false" customWidth="true" hidden="false" outlineLevel="0" max="32" min="32" style="0" width="6.32"/>
    <col collapsed="false" customWidth="true" hidden="false" outlineLevel="0" max="33" min="33" style="0" width="6.99"/>
    <col collapsed="false" customWidth="true" hidden="false" outlineLevel="0" max="34" min="34" style="415" width="6.99"/>
    <col collapsed="false" customWidth="true" hidden="false" outlineLevel="0" max="35" min="35" style="416" width="5.32"/>
    <col collapsed="false" customWidth="true" hidden="false" outlineLevel="0" max="36" min="36" style="417" width="3.82"/>
    <col collapsed="false" customWidth="true" hidden="false" outlineLevel="0" max="37" min="37" style="418" width="3.82"/>
    <col collapsed="false" customWidth="true" hidden="false" outlineLevel="0" max="38" min="38" style="419" width="5.49"/>
    <col collapsed="false" customWidth="true" hidden="false" outlineLevel="0" max="39" min="39" style="420" width="5.49"/>
    <col collapsed="false" customWidth="true" hidden="false" outlineLevel="0" max="40" min="40" style="6" width="6.32"/>
    <col collapsed="false" customWidth="true" hidden="false" outlineLevel="0" max="41" min="41" style="5" width="6.32"/>
    <col collapsed="false" customWidth="true" hidden="false" outlineLevel="0" max="42" min="42" style="0" width="6.32"/>
    <col collapsed="false" customWidth="true" hidden="false" outlineLevel="0" max="43" min="43" style="0" width="6.49"/>
  </cols>
  <sheetData>
    <row r="1" customFormat="false" ht="14.1" hidden="false" customHeight="true" outlineLevel="0" collapsed="false">
      <c r="A1" s="10"/>
      <c r="B1" s="10"/>
      <c r="C1" s="11"/>
      <c r="D1" s="10"/>
      <c r="E1" s="11"/>
      <c r="F1" s="137"/>
      <c r="G1" s="10"/>
      <c r="H1" s="10"/>
      <c r="I1" s="10"/>
      <c r="J1" s="10"/>
      <c r="K1" s="13" t="s">
        <v>104</v>
      </c>
      <c r="L1" s="10"/>
      <c r="M1" s="10"/>
      <c r="N1" s="10"/>
      <c r="O1" s="10"/>
      <c r="P1" s="14"/>
      <c r="Q1" s="10"/>
      <c r="R1" s="10"/>
      <c r="S1" s="10"/>
      <c r="T1" s="14"/>
      <c r="U1" s="10"/>
      <c r="V1" s="10"/>
      <c r="W1" s="11"/>
      <c r="X1" s="17"/>
      <c r="Y1" s="17"/>
      <c r="Z1" s="135"/>
      <c r="AA1" s="10"/>
      <c r="AB1" s="10"/>
      <c r="AC1" s="10"/>
      <c r="AD1" s="11"/>
      <c r="AE1" s="10"/>
      <c r="AF1" s="10"/>
      <c r="AG1" s="10"/>
      <c r="AH1" s="102"/>
      <c r="AI1" s="421"/>
      <c r="AJ1" s="133"/>
      <c r="AK1" s="96"/>
      <c r="AL1" s="94"/>
      <c r="AM1" s="97"/>
      <c r="AN1" s="422"/>
    </row>
    <row r="2" customFormat="false" ht="14.1" hidden="false" customHeight="true" outlineLevel="0" collapsed="false">
      <c r="A2" s="19" t="s">
        <v>1</v>
      </c>
      <c r="B2" s="10"/>
      <c r="C2" s="11"/>
      <c r="D2" s="20" t="n">
        <v>1.9835</v>
      </c>
      <c r="E2" s="11"/>
      <c r="F2" s="137"/>
      <c r="G2" s="10"/>
      <c r="H2" s="10"/>
      <c r="I2" s="10"/>
      <c r="J2" s="10"/>
      <c r="K2" s="423" t="s">
        <v>105</v>
      </c>
      <c r="L2" s="424"/>
      <c r="M2" s="78"/>
      <c r="N2" s="78"/>
      <c r="O2" s="78"/>
      <c r="P2" s="15"/>
      <c r="Q2" s="78"/>
      <c r="R2" s="78"/>
      <c r="S2" s="78"/>
      <c r="T2" s="15"/>
      <c r="U2" s="78"/>
      <c r="V2" s="78"/>
      <c r="W2" s="94"/>
      <c r="X2" s="18"/>
      <c r="Y2" s="18"/>
      <c r="Z2" s="97"/>
      <c r="AA2" s="78"/>
      <c r="AB2" s="78"/>
      <c r="AC2" s="78"/>
      <c r="AD2" s="94"/>
      <c r="AE2" s="10"/>
      <c r="AF2" s="10"/>
      <c r="AG2" s="10"/>
      <c r="AH2" s="102"/>
      <c r="AI2" s="421"/>
      <c r="AJ2" s="133"/>
      <c r="AK2" s="96"/>
      <c r="AL2" s="94"/>
      <c r="AM2" s="97"/>
      <c r="AN2" s="422"/>
    </row>
    <row r="3" customFormat="false" ht="14.1" hidden="false" customHeight="true" outlineLevel="0" collapsed="false">
      <c r="A3" s="10"/>
      <c r="B3" s="10"/>
      <c r="C3" s="11"/>
      <c r="D3" s="20"/>
      <c r="E3" s="11"/>
      <c r="F3" s="137"/>
      <c r="G3" s="10"/>
      <c r="H3" s="425"/>
      <c r="I3" s="10"/>
      <c r="J3" s="10"/>
      <c r="K3" s="426"/>
      <c r="L3" s="424"/>
      <c r="M3" s="78"/>
      <c r="N3" s="78"/>
      <c r="O3" s="78"/>
      <c r="P3" s="15"/>
      <c r="Q3" s="78"/>
      <c r="R3" s="78"/>
      <c r="S3" s="78"/>
      <c r="T3" s="15"/>
      <c r="U3" s="78"/>
      <c r="V3" s="78"/>
      <c r="W3" s="427"/>
      <c r="X3" s="18"/>
      <c r="Y3" s="18"/>
      <c r="Z3" s="97"/>
      <c r="AA3" s="78"/>
      <c r="AB3" s="78"/>
      <c r="AC3" s="78"/>
      <c r="AD3" s="94"/>
      <c r="AE3" s="10"/>
      <c r="AF3" s="10"/>
      <c r="AG3" s="10"/>
      <c r="AH3" s="102"/>
      <c r="AI3" s="421"/>
      <c r="AJ3" s="133"/>
      <c r="AK3" s="96"/>
      <c r="AL3" s="94"/>
      <c r="AM3" s="428"/>
      <c r="AN3" s="429"/>
      <c r="AO3" s="430"/>
    </row>
    <row r="4" s="9" customFormat="true" ht="14.1" hidden="false" customHeight="true" outlineLevel="0" collapsed="false">
      <c r="A4" s="38"/>
      <c r="B4" s="35"/>
      <c r="C4" s="36"/>
      <c r="D4" s="431" t="s">
        <v>3</v>
      </c>
      <c r="E4" s="36"/>
      <c r="F4" s="38"/>
      <c r="G4" s="432"/>
      <c r="H4" s="432"/>
      <c r="I4" s="432"/>
      <c r="J4" s="432"/>
      <c r="K4" s="432"/>
      <c r="L4" s="432"/>
      <c r="M4" s="432"/>
      <c r="N4" s="432"/>
      <c r="O4" s="432"/>
      <c r="P4" s="433"/>
      <c r="Q4" s="432"/>
      <c r="R4" s="432"/>
      <c r="S4" s="432"/>
      <c r="T4" s="433"/>
      <c r="U4" s="432"/>
      <c r="V4" s="432"/>
      <c r="W4" s="434" t="s">
        <v>4</v>
      </c>
      <c r="X4" s="435"/>
      <c r="Y4" s="435"/>
      <c r="Z4" s="436"/>
      <c r="AA4" s="432"/>
      <c r="AB4" s="432"/>
      <c r="AC4" s="432"/>
      <c r="AD4" s="36"/>
      <c r="AE4" s="432"/>
      <c r="AF4" s="432"/>
      <c r="AG4" s="432"/>
      <c r="AH4" s="433"/>
      <c r="AI4" s="44"/>
      <c r="AJ4" s="45" t="s">
        <v>5</v>
      </c>
      <c r="AK4" s="46"/>
      <c r="AL4" s="437"/>
      <c r="AM4" s="438"/>
      <c r="AN4" s="439" t="s">
        <v>6</v>
      </c>
      <c r="AO4" s="440"/>
      <c r="AP4" s="49"/>
      <c r="AQ4" s="49"/>
    </row>
    <row r="5" customFormat="false" ht="12.95" hidden="false" customHeight="true" outlineLevel="0" collapsed="false">
      <c r="A5" s="441" t="s">
        <v>7</v>
      </c>
      <c r="B5" s="442" t="s">
        <v>8</v>
      </c>
      <c r="C5" s="82" t="s">
        <v>8</v>
      </c>
      <c r="D5" s="71" t="s">
        <v>9</v>
      </c>
      <c r="E5" s="82" t="s">
        <v>10</v>
      </c>
      <c r="F5" s="443" t="s">
        <v>11</v>
      </c>
      <c r="G5" s="444" t="s">
        <v>12</v>
      </c>
      <c r="H5" s="444" t="s">
        <v>13</v>
      </c>
      <c r="I5" s="444" t="s">
        <v>14</v>
      </c>
      <c r="J5" s="444" t="s">
        <v>15</v>
      </c>
      <c r="K5" s="444" t="s">
        <v>16</v>
      </c>
      <c r="L5" s="441" t="s">
        <v>15</v>
      </c>
      <c r="M5" s="445" t="s">
        <v>17</v>
      </c>
      <c r="N5" s="445"/>
      <c r="O5" s="445"/>
      <c r="P5" s="445"/>
      <c r="Q5" s="445"/>
      <c r="R5" s="445"/>
      <c r="S5" s="445"/>
      <c r="T5" s="445"/>
      <c r="U5" s="441" t="s">
        <v>18</v>
      </c>
      <c r="V5" s="441" t="s">
        <v>19</v>
      </c>
      <c r="W5" s="441" t="s">
        <v>16</v>
      </c>
      <c r="X5" s="76" t="s">
        <v>20</v>
      </c>
      <c r="Y5" s="76" t="s">
        <v>21</v>
      </c>
      <c r="Z5" s="75" t="s">
        <v>20</v>
      </c>
      <c r="AA5" s="441" t="s">
        <v>22</v>
      </c>
      <c r="AB5" s="59" t="s">
        <v>23</v>
      </c>
      <c r="AC5" s="60"/>
      <c r="AD5" s="441" t="s">
        <v>24</v>
      </c>
      <c r="AE5" s="87" t="s">
        <v>25</v>
      </c>
      <c r="AF5" s="441" t="s">
        <v>14</v>
      </c>
      <c r="AG5" s="441" t="s">
        <v>15</v>
      </c>
      <c r="AH5" s="71" t="s">
        <v>16</v>
      </c>
      <c r="AI5" s="446" t="s">
        <v>26</v>
      </c>
      <c r="AJ5" s="91" t="s">
        <v>27</v>
      </c>
      <c r="AK5" s="447" t="s">
        <v>28</v>
      </c>
      <c r="AL5" s="87" t="s">
        <v>88</v>
      </c>
      <c r="AM5" s="75" t="s">
        <v>20</v>
      </c>
      <c r="AN5" s="76" t="s">
        <v>89</v>
      </c>
      <c r="AO5" s="448" t="s">
        <v>89</v>
      </c>
      <c r="AP5" s="67" t="s">
        <v>30</v>
      </c>
      <c r="AQ5" s="449" t="s">
        <v>31</v>
      </c>
    </row>
    <row r="6" customFormat="false" ht="12.95" hidden="false" customHeight="true" outlineLevel="0" collapsed="false">
      <c r="A6" s="450" t="s">
        <v>106</v>
      </c>
      <c r="B6" s="442" t="s">
        <v>33</v>
      </c>
      <c r="C6" s="82" t="s">
        <v>9</v>
      </c>
      <c r="D6" s="71" t="s">
        <v>34</v>
      </c>
      <c r="E6" s="82" t="s">
        <v>35</v>
      </c>
      <c r="F6" s="443" t="s">
        <v>36</v>
      </c>
      <c r="G6" s="444" t="s">
        <v>37</v>
      </c>
      <c r="H6" s="444" t="s">
        <v>38</v>
      </c>
      <c r="I6" s="444" t="s">
        <v>39</v>
      </c>
      <c r="J6" s="444" t="s">
        <v>39</v>
      </c>
      <c r="K6" s="444" t="s">
        <v>39</v>
      </c>
      <c r="L6" s="441" t="s">
        <v>40</v>
      </c>
      <c r="M6" s="451" t="s">
        <v>41</v>
      </c>
      <c r="N6" s="71" t="s">
        <v>42</v>
      </c>
      <c r="O6" s="71" t="s">
        <v>43</v>
      </c>
      <c r="P6" s="86" t="s">
        <v>44</v>
      </c>
      <c r="Q6" s="71" t="s">
        <v>45</v>
      </c>
      <c r="R6" s="71" t="s">
        <v>46</v>
      </c>
      <c r="S6" s="71" t="s">
        <v>47</v>
      </c>
      <c r="T6" s="72" t="s">
        <v>48</v>
      </c>
      <c r="U6" s="441" t="s">
        <v>49</v>
      </c>
      <c r="V6" s="441" t="s">
        <v>50</v>
      </c>
      <c r="W6" s="441" t="s">
        <v>20</v>
      </c>
      <c r="X6" s="76" t="s">
        <v>60</v>
      </c>
      <c r="Y6" s="76" t="s">
        <v>52</v>
      </c>
      <c r="Z6" s="75" t="s">
        <v>98</v>
      </c>
      <c r="AA6" s="441" t="s">
        <v>54</v>
      </c>
      <c r="AB6" s="69" t="s">
        <v>55</v>
      </c>
      <c r="AC6" s="73" t="s">
        <v>53</v>
      </c>
      <c r="AD6" s="441" t="s">
        <v>56</v>
      </c>
      <c r="AE6" s="87" t="s">
        <v>57</v>
      </c>
      <c r="AF6" s="441" t="s">
        <v>58</v>
      </c>
      <c r="AG6" s="441" t="s">
        <v>58</v>
      </c>
      <c r="AH6" s="71" t="s">
        <v>58</v>
      </c>
      <c r="AI6" s="452"/>
      <c r="AJ6" s="91" t="s">
        <v>59</v>
      </c>
      <c r="AK6" s="447" t="s">
        <v>59</v>
      </c>
      <c r="AL6" s="87" t="s">
        <v>60</v>
      </c>
      <c r="AM6" s="75" t="s">
        <v>61</v>
      </c>
      <c r="AN6" s="76" t="s">
        <v>62</v>
      </c>
      <c r="AO6" s="448" t="s">
        <v>62</v>
      </c>
      <c r="AP6" s="67" t="s">
        <v>63</v>
      </c>
      <c r="AQ6" s="449" t="s">
        <v>64</v>
      </c>
    </row>
    <row r="7" customFormat="false" ht="12.95" hidden="false" customHeight="true" outlineLevel="0" collapsed="false">
      <c r="A7" s="441"/>
      <c r="B7" s="442"/>
      <c r="C7" s="82"/>
      <c r="D7" s="71"/>
      <c r="E7" s="82" t="s">
        <v>65</v>
      </c>
      <c r="F7" s="443"/>
      <c r="G7" s="441"/>
      <c r="H7" s="441"/>
      <c r="I7" s="441"/>
      <c r="J7" s="441"/>
      <c r="K7" s="441"/>
      <c r="L7" s="441"/>
      <c r="M7" s="451"/>
      <c r="N7" s="71" t="s">
        <v>66</v>
      </c>
      <c r="O7" s="71" t="s">
        <v>67</v>
      </c>
      <c r="P7" s="86"/>
      <c r="Q7" s="71"/>
      <c r="R7" s="71"/>
      <c r="S7" s="71" t="s">
        <v>43</v>
      </c>
      <c r="T7" s="72" t="s">
        <v>68</v>
      </c>
      <c r="U7" s="441"/>
      <c r="V7" s="441"/>
      <c r="W7" s="441"/>
      <c r="X7" s="76"/>
      <c r="Y7" s="76"/>
      <c r="Z7" s="75"/>
      <c r="AA7" s="441"/>
      <c r="AB7" s="85"/>
      <c r="AC7" s="88"/>
      <c r="AD7" s="441"/>
      <c r="AE7" s="87"/>
      <c r="AF7" s="441"/>
      <c r="AG7" s="441"/>
      <c r="AH7" s="71"/>
      <c r="AI7" s="452"/>
      <c r="AJ7" s="91"/>
      <c r="AK7" s="447"/>
      <c r="AL7" s="87" t="s">
        <v>65</v>
      </c>
      <c r="AM7" s="75" t="s">
        <v>36</v>
      </c>
      <c r="AN7" s="76" t="s">
        <v>107</v>
      </c>
      <c r="AO7" s="448" t="s">
        <v>93</v>
      </c>
      <c r="AP7" s="67" t="s">
        <v>72</v>
      </c>
      <c r="AQ7" s="449" t="s">
        <v>73</v>
      </c>
    </row>
    <row r="8" customFormat="false" ht="12.95" hidden="false" customHeight="true" outlineLevel="0" collapsed="false">
      <c r="A8" s="441"/>
      <c r="B8" s="442"/>
      <c r="C8" s="82"/>
      <c r="D8" s="71"/>
      <c r="E8" s="82"/>
      <c r="F8" s="443"/>
      <c r="G8" s="441"/>
      <c r="H8" s="441"/>
      <c r="I8" s="441"/>
      <c r="J8" s="441"/>
      <c r="K8" s="441"/>
      <c r="L8" s="441"/>
      <c r="M8" s="451"/>
      <c r="N8" s="86" t="n">
        <v>1.03</v>
      </c>
      <c r="O8" s="86" t="n">
        <v>1.05</v>
      </c>
      <c r="P8" s="86" t="n">
        <v>1.02</v>
      </c>
      <c r="Q8" s="453" t="n">
        <v>1.02</v>
      </c>
      <c r="R8" s="86" t="n">
        <v>1.04</v>
      </c>
      <c r="S8" s="71" t="s">
        <v>53</v>
      </c>
      <c r="T8" s="72"/>
      <c r="U8" s="441"/>
      <c r="V8" s="441"/>
      <c r="W8" s="441"/>
      <c r="X8" s="76"/>
      <c r="Y8" s="76"/>
      <c r="Z8" s="76"/>
      <c r="AA8" s="87"/>
      <c r="AB8" s="85" t="n">
        <v>1.7</v>
      </c>
      <c r="AC8" s="88" t="n">
        <v>1.3</v>
      </c>
      <c r="AD8" s="441"/>
      <c r="AE8" s="105" t="n">
        <v>30638</v>
      </c>
      <c r="AF8" s="441"/>
      <c r="AG8" s="441"/>
      <c r="AH8" s="71"/>
      <c r="AI8" s="452"/>
      <c r="AJ8" s="91"/>
      <c r="AK8" s="447"/>
      <c r="AL8" s="87"/>
      <c r="AM8" s="75"/>
      <c r="AN8" s="76"/>
      <c r="AO8" s="448" t="s">
        <v>69</v>
      </c>
      <c r="AP8" s="454"/>
    </row>
    <row r="9" customFormat="false" ht="12.95" hidden="false" customHeight="true" outlineLevel="0" collapsed="false">
      <c r="A9" s="19" t="s">
        <v>75</v>
      </c>
      <c r="B9" s="455"/>
      <c r="C9" s="103"/>
      <c r="D9" s="103"/>
      <c r="E9" s="103"/>
      <c r="F9" s="150"/>
      <c r="G9" s="105"/>
      <c r="H9" s="140"/>
      <c r="I9" s="105"/>
      <c r="J9" s="105"/>
      <c r="K9" s="105"/>
      <c r="L9" s="105"/>
      <c r="M9" s="106"/>
      <c r="N9" s="103"/>
      <c r="O9" s="103" t="n">
        <f aca="false">MAR!O47</f>
        <v>55.41</v>
      </c>
      <c r="P9" s="380"/>
      <c r="Q9" s="103"/>
      <c r="R9" s="103"/>
      <c r="S9" s="103"/>
      <c r="T9" s="456"/>
      <c r="U9" s="105"/>
      <c r="V9" s="105"/>
      <c r="W9" s="105"/>
      <c r="X9" s="457"/>
      <c r="Y9" s="457"/>
      <c r="Z9" s="111"/>
      <c r="AA9" s="105"/>
      <c r="AB9" s="106"/>
      <c r="AC9" s="107"/>
      <c r="AD9" s="105"/>
      <c r="AE9" s="105"/>
      <c r="AF9" s="105"/>
      <c r="AG9" s="105"/>
      <c r="AH9" s="103"/>
      <c r="AI9" s="108"/>
      <c r="AJ9" s="109"/>
      <c r="AK9" s="110"/>
      <c r="AL9" s="105"/>
      <c r="AM9" s="111"/>
      <c r="AN9" s="457"/>
      <c r="AO9" s="458"/>
      <c r="AP9" s="112"/>
    </row>
    <row r="10" s="1" customFormat="true" ht="12.95" hidden="false" customHeight="true" outlineLevel="0" collapsed="false">
      <c r="A10" s="113" t="s">
        <v>76</v>
      </c>
      <c r="B10" s="459" t="n">
        <f aca="false">MAR!B42</f>
        <v>6906.91</v>
      </c>
      <c r="C10" s="103" t="n">
        <f aca="false">MAR!C42</f>
        <v>309788</v>
      </c>
      <c r="D10" s="103" t="n">
        <f aca="false">MAR!D51</f>
        <v>38867</v>
      </c>
      <c r="E10" s="103" t="n">
        <f aca="false">MAR!E51</f>
        <v>157788</v>
      </c>
      <c r="F10" s="150" t="n">
        <f aca="false">MAR!F50</f>
        <v>19595.1600705823</v>
      </c>
      <c r="G10" s="105" t="n">
        <f aca="false">MAR!G50</f>
        <v>22621</v>
      </c>
      <c r="H10" s="105" t="n">
        <f aca="false">MAR!H50</f>
        <v>1487.58</v>
      </c>
      <c r="I10" s="105" t="n">
        <f aca="false">MAR!I50</f>
        <v>24108.58</v>
      </c>
      <c r="J10" s="105" t="n">
        <f aca="false">MAR!J50</f>
        <v>7088.93428283338</v>
      </c>
      <c r="K10" s="105" t="n">
        <f aca="false">MAR!K50</f>
        <v>31197.5142828334</v>
      </c>
      <c r="L10" s="105" t="n">
        <f aca="false">MAR!L50</f>
        <v>5748.0800705823</v>
      </c>
      <c r="M10" s="106" t="n">
        <f aca="false">MAR!M50</f>
        <v>996.4</v>
      </c>
      <c r="N10" s="103" t="n">
        <f aca="false">MAR!N50</f>
        <v>0</v>
      </c>
      <c r="O10" s="103" t="n">
        <f aca="false">MAR!O50</f>
        <v>55.41</v>
      </c>
      <c r="P10" s="380"/>
      <c r="Q10" s="103" t="n">
        <f aca="false">MAR!Q50</f>
        <v>233.07</v>
      </c>
      <c r="R10" s="103" t="n">
        <f aca="false">MAR!R50</f>
        <v>418.073</v>
      </c>
      <c r="S10" s="103" t="n">
        <f aca="false">MAR!S50</f>
        <v>0.16</v>
      </c>
      <c r="T10" s="456" t="n">
        <f aca="false">MAR!T50</f>
        <v>-61.236</v>
      </c>
      <c r="U10" s="105" t="n">
        <f aca="false">MAR!U50</f>
        <v>5375</v>
      </c>
      <c r="V10" s="105" t="n">
        <f aca="false">MAR!V50</f>
        <v>126.1</v>
      </c>
      <c r="W10" s="105" t="n">
        <f aca="false">MAR!W50</f>
        <v>5374.8556</v>
      </c>
      <c r="X10" s="457"/>
      <c r="Y10" s="457"/>
      <c r="Z10" s="111"/>
      <c r="AA10" s="105" t="n">
        <f aca="false">MAR!AA50</f>
        <v>0</v>
      </c>
      <c r="AB10" s="105" t="n">
        <f aca="false">MAR!AB50</f>
        <v>0</v>
      </c>
      <c r="AC10" s="105" t="n">
        <f aca="false">MAR!AC50</f>
        <v>0</v>
      </c>
      <c r="AD10" s="105" t="n">
        <f aca="false">MAR!AD50</f>
        <v>3764</v>
      </c>
      <c r="AE10" s="105" t="n">
        <f aca="false">AE8/D2</f>
        <v>15446.433072851</v>
      </c>
      <c r="AF10" s="105" t="n">
        <f aca="false">MAR!AF50</f>
        <v>10261.5</v>
      </c>
      <c r="AG10" s="105" t="n">
        <f aca="false">MAR!AG50</f>
        <v>1340.85421225107</v>
      </c>
      <c r="AH10" s="103" t="n">
        <f aca="false">MAR!AH50</f>
        <v>11602.3542122511</v>
      </c>
      <c r="AI10" s="108" t="n">
        <f aca="false">MAR!AI50</f>
        <v>4.69</v>
      </c>
      <c r="AJ10" s="109"/>
      <c r="AK10" s="110"/>
      <c r="AL10" s="105" t="n">
        <f aca="false">MAR!AL51</f>
        <v>9974.66972</v>
      </c>
      <c r="AM10" s="111" t="n">
        <f aca="false">MAR!AM50</f>
        <v>264.7472</v>
      </c>
      <c r="AN10" s="457"/>
      <c r="AO10" s="458"/>
      <c r="AP10" s="105"/>
    </row>
    <row r="11" customFormat="false" ht="3" hidden="false" customHeight="true" outlineLevel="0" collapsed="false">
      <c r="A11" s="116"/>
      <c r="B11" s="460"/>
      <c r="C11" s="125"/>
      <c r="D11" s="123"/>
      <c r="E11" s="125"/>
      <c r="F11" s="461"/>
      <c r="G11" s="123"/>
      <c r="H11" s="123"/>
      <c r="I11" s="123"/>
      <c r="J11" s="123"/>
      <c r="K11" s="123"/>
      <c r="L11" s="123"/>
      <c r="M11" s="126"/>
      <c r="N11" s="123"/>
      <c r="O11" s="123"/>
      <c r="P11" s="462"/>
      <c r="Q11" s="123"/>
      <c r="R11" s="123"/>
      <c r="S11" s="123"/>
      <c r="T11" s="463"/>
      <c r="U11" s="123"/>
      <c r="V11" s="123"/>
      <c r="W11" s="123"/>
      <c r="X11" s="129"/>
      <c r="Y11" s="129"/>
      <c r="Z11" s="131"/>
      <c r="AA11" s="123"/>
      <c r="AB11" s="126"/>
      <c r="AC11" s="127"/>
      <c r="AD11" s="123"/>
      <c r="AE11" s="125"/>
      <c r="AF11" s="123"/>
      <c r="AG11" s="123"/>
      <c r="AH11" s="123"/>
      <c r="AI11" s="128"/>
      <c r="AJ11" s="129"/>
      <c r="AK11" s="130"/>
      <c r="AL11" s="125"/>
      <c r="AM11" s="131"/>
      <c r="AN11" s="129"/>
      <c r="AO11" s="462"/>
      <c r="AP11" s="462"/>
      <c r="AQ11" s="462"/>
    </row>
    <row r="12" customFormat="false" ht="12.95" hidden="false" customHeight="true" outlineLevel="0" collapsed="false">
      <c r="A12" s="18" t="n">
        <v>1</v>
      </c>
      <c r="B12" s="459" t="n">
        <v>6907.14</v>
      </c>
      <c r="C12" s="103" t="n">
        <v>310686</v>
      </c>
      <c r="D12" s="109" t="n">
        <f aca="false">C12-C10</f>
        <v>898</v>
      </c>
      <c r="E12" s="103" t="n">
        <f aca="false">C12-152000</f>
        <v>158686</v>
      </c>
      <c r="F12" s="464" t="n">
        <f aca="false">D12/$D$2</f>
        <v>452.735064280313</v>
      </c>
      <c r="G12" s="140" t="n">
        <v>401</v>
      </c>
      <c r="H12" s="140" t="n">
        <v>13</v>
      </c>
      <c r="I12" s="140" t="n">
        <f aca="false">G12+H12</f>
        <v>414</v>
      </c>
      <c r="J12" s="465" t="n">
        <f aca="false">IF(L12&gt;0,L12,0)</f>
        <v>87.0350642803126</v>
      </c>
      <c r="K12" s="140" t="n">
        <f aca="false">I12+J12</f>
        <v>501.035064280313</v>
      </c>
      <c r="L12" s="140" t="n">
        <f aca="false">F12-(I12-AF12)</f>
        <v>87.0350642803126</v>
      </c>
      <c r="M12" s="142" t="n">
        <v>6.3</v>
      </c>
      <c r="N12" s="258" t="n">
        <f aca="false">1.8299*1.03</f>
        <v>1.884797</v>
      </c>
      <c r="O12" s="466" t="n">
        <f aca="false">1.9*1.05</f>
        <v>1.995</v>
      </c>
      <c r="P12" s="380" t="n">
        <v>0</v>
      </c>
      <c r="Q12" s="408" t="n">
        <f aca="false">1.62*1.02</f>
        <v>1.6524</v>
      </c>
      <c r="R12" s="408" t="n">
        <v>2.55</v>
      </c>
      <c r="S12" s="138" t="n">
        <v>0</v>
      </c>
      <c r="T12" s="456" t="n">
        <v>0</v>
      </c>
      <c r="U12" s="140" t="n">
        <v>0</v>
      </c>
      <c r="V12" s="140" t="n">
        <v>3.9</v>
      </c>
      <c r="W12" s="141" t="n">
        <f aca="false">M12-N12-O12-P12-Q12-R12-S12-T12+U12+V12</f>
        <v>2.117803</v>
      </c>
      <c r="X12" s="115" t="n">
        <f aca="false">X9+AN12-(AO12/1.9835)</f>
        <v>405.581654946192</v>
      </c>
      <c r="Y12" s="457" t="n">
        <v>1714.14</v>
      </c>
      <c r="Z12" s="111"/>
      <c r="AA12" s="140" t="n">
        <v>0</v>
      </c>
      <c r="AB12" s="142" t="n">
        <v>1.7</v>
      </c>
      <c r="AC12" s="143" t="n">
        <v>1.3</v>
      </c>
      <c r="AD12" s="467" t="n">
        <v>38.1</v>
      </c>
      <c r="AE12" s="468" t="n">
        <f aca="false">AE10-AD12</f>
        <v>15408.333072851</v>
      </c>
      <c r="AF12" s="140" t="n">
        <f aca="false">N12+O12+P12+Q12+R12+S12+T12+W12+AA12+AD12</f>
        <v>48.3</v>
      </c>
      <c r="AG12" s="140" t="n">
        <f aca="false">IF(L12&lt;0,L12*-1,0)</f>
        <v>0</v>
      </c>
      <c r="AH12" s="466" t="n">
        <f aca="false">AF12+AG12</f>
        <v>48.3</v>
      </c>
      <c r="AI12" s="108" t="n">
        <v>0</v>
      </c>
      <c r="AJ12" s="109" t="n">
        <v>63</v>
      </c>
      <c r="AK12" s="110" t="n">
        <v>33</v>
      </c>
      <c r="AL12" s="115" t="n">
        <f aca="false">AL10</f>
        <v>9974.66972</v>
      </c>
      <c r="AM12" s="111"/>
      <c r="AN12" s="457" t="n">
        <f aca="false">I12-Q12-R12-W12-AB12</f>
        <v>405.979797</v>
      </c>
      <c r="AO12" s="458" t="n">
        <f aca="false">29.8*(AN12*1.9835+Y12*1.9835)/E12</f>
        <v>0.789714763728465</v>
      </c>
      <c r="AP12" s="112"/>
      <c r="AQ12" s="10"/>
    </row>
    <row r="13" customFormat="false" ht="12.95" hidden="false" customHeight="true" outlineLevel="0" collapsed="false">
      <c r="A13" s="18" t="n">
        <f aca="false">A12+1</f>
        <v>2</v>
      </c>
      <c r="B13" s="459" t="n">
        <v>6907.37</v>
      </c>
      <c r="C13" s="103" t="n">
        <v>311588</v>
      </c>
      <c r="D13" s="109" t="n">
        <f aca="false">C13-C12</f>
        <v>902</v>
      </c>
      <c r="E13" s="103" t="n">
        <f aca="false">C13-152000</f>
        <v>159588</v>
      </c>
      <c r="F13" s="464" t="n">
        <f aca="false">D13/$D$2</f>
        <v>454.751701537686</v>
      </c>
      <c r="G13" s="140" t="n">
        <v>403</v>
      </c>
      <c r="H13" s="140" t="n">
        <v>10</v>
      </c>
      <c r="I13" s="140" t="n">
        <f aca="false">G13+H13</f>
        <v>413</v>
      </c>
      <c r="J13" s="465" t="n">
        <f aca="false">IF(L13&gt;0,L13,0)</f>
        <v>117.851701537686</v>
      </c>
      <c r="K13" s="140" t="n">
        <f aca="false">I13+J13</f>
        <v>530.851701537686</v>
      </c>
      <c r="L13" s="140" t="n">
        <f aca="false">F13-(I13-AF13)</f>
        <v>117.851701537686</v>
      </c>
      <c r="M13" s="142" t="n">
        <v>38</v>
      </c>
      <c r="N13" s="258" t="n">
        <f aca="false">1.8299*1.03</f>
        <v>1.884797</v>
      </c>
      <c r="O13" s="466" t="n">
        <f aca="false">(7.2+7.1)*1.05</f>
        <v>15.015</v>
      </c>
      <c r="P13" s="380" t="n">
        <v>0</v>
      </c>
      <c r="Q13" s="408" t="n">
        <f aca="false">1.62*1.02</f>
        <v>1.6524</v>
      </c>
      <c r="R13" s="408" t="n">
        <v>3.1</v>
      </c>
      <c r="S13" s="138" t="n">
        <v>0</v>
      </c>
      <c r="T13" s="456" t="n">
        <v>0</v>
      </c>
      <c r="U13" s="140" t="n">
        <v>0</v>
      </c>
      <c r="V13" s="140" t="n">
        <v>0</v>
      </c>
      <c r="W13" s="141" t="n">
        <f aca="false">M13-N13-O13-P13-Q13-R13-S13-T13+U13+V13</f>
        <v>16.347803</v>
      </c>
      <c r="X13" s="115" t="n">
        <f aca="false">X12+AN13-(AO13/1.9835)</f>
        <v>795.312772225486</v>
      </c>
      <c r="Y13" s="457" t="n">
        <v>1714.14</v>
      </c>
      <c r="Z13" s="111"/>
      <c r="AA13" s="140" t="n">
        <v>0</v>
      </c>
      <c r="AB13" s="142" t="n">
        <v>1.7</v>
      </c>
      <c r="AC13" s="143" t="n">
        <v>1.3</v>
      </c>
      <c r="AD13" s="467" t="n">
        <v>38.1</v>
      </c>
      <c r="AE13" s="468" t="n">
        <f aca="false">AE12-AD13</f>
        <v>15370.233072851</v>
      </c>
      <c r="AF13" s="140" t="n">
        <f aca="false">N13+O13+P13+Q13+R13+S13+T13+W13+AA13+AD13</f>
        <v>76.1</v>
      </c>
      <c r="AG13" s="140" t="n">
        <f aca="false">IF(L13&lt;0,L13*-1,0)</f>
        <v>0</v>
      </c>
      <c r="AH13" s="466" t="n">
        <f aca="false">AF13+AG13</f>
        <v>76.1</v>
      </c>
      <c r="AI13" s="108" t="n">
        <v>0</v>
      </c>
      <c r="AJ13" s="109" t="n">
        <v>65</v>
      </c>
      <c r="AK13" s="110" t="n">
        <v>35</v>
      </c>
      <c r="AL13" s="115" t="n">
        <f aca="false">AL12</f>
        <v>9974.66972</v>
      </c>
      <c r="AM13" s="111"/>
      <c r="AN13" s="457" t="n">
        <f aca="false">I13-Q13-R13-W13-AB13</f>
        <v>390.199797</v>
      </c>
      <c r="AO13" s="458" t="n">
        <f aca="false">29.8*(X12*1.9835+AN13*1.9835+Y12*1.9835)/E13</f>
        <v>0.929626226019946</v>
      </c>
      <c r="AP13" s="112"/>
      <c r="AQ13" s="10"/>
    </row>
    <row r="14" customFormat="false" ht="12.95" hidden="false" customHeight="true" outlineLevel="0" collapsed="false">
      <c r="A14" s="18" t="n">
        <f aca="false">A13+1</f>
        <v>3</v>
      </c>
      <c r="B14" s="459" t="n">
        <v>6907.62</v>
      </c>
      <c r="C14" s="103" t="n">
        <v>312528</v>
      </c>
      <c r="D14" s="109" t="n">
        <f aca="false">C14-C13</f>
        <v>940</v>
      </c>
      <c r="E14" s="103" t="n">
        <f aca="false">C14-152000</f>
        <v>160528</v>
      </c>
      <c r="F14" s="464" t="n">
        <f aca="false">D14/$D$2</f>
        <v>473.909755482733</v>
      </c>
      <c r="G14" s="140" t="n">
        <v>419</v>
      </c>
      <c r="H14" s="140" t="n">
        <v>7.5</v>
      </c>
      <c r="I14" s="140" t="n">
        <f aca="false">G14+H14</f>
        <v>426.5</v>
      </c>
      <c r="J14" s="465" t="n">
        <f aca="false">IF(L14&gt;0,L14,0)</f>
        <v>165.519755482733</v>
      </c>
      <c r="K14" s="140" t="n">
        <f aca="false">I14+J14</f>
        <v>592.019755482733</v>
      </c>
      <c r="L14" s="140" t="n">
        <f aca="false">F14-(I14-AF14)</f>
        <v>165.519755482733</v>
      </c>
      <c r="M14" s="142" t="n">
        <v>73</v>
      </c>
      <c r="N14" s="258" t="n">
        <f aca="false">1.8299*1.03</f>
        <v>1.884797</v>
      </c>
      <c r="O14" s="466" t="n">
        <f aca="false">(21+21)*1.05</f>
        <v>44.1</v>
      </c>
      <c r="P14" s="380" t="n">
        <v>0</v>
      </c>
      <c r="Q14" s="408" t="n">
        <f aca="false">1.62*1.02</f>
        <v>1.6524</v>
      </c>
      <c r="R14" s="408" t="n">
        <v>3.32</v>
      </c>
      <c r="S14" s="138" t="n">
        <v>0</v>
      </c>
      <c r="T14" s="456" t="n">
        <v>0</v>
      </c>
      <c r="U14" s="140" t="n">
        <v>0</v>
      </c>
      <c r="V14" s="140" t="n">
        <v>0</v>
      </c>
      <c r="W14" s="141" t="n">
        <f aca="false">M14-N14-O14-P14-Q14-R14-S14-T14+U14+V14</f>
        <v>22.042803</v>
      </c>
      <c r="X14" s="115" t="n">
        <f aca="false">X13+AN14-(AO14/1.9835)</f>
        <v>1192.55787721186</v>
      </c>
      <c r="Y14" s="457" t="n">
        <v>1714.14</v>
      </c>
      <c r="Z14" s="111"/>
      <c r="AA14" s="140" t="n">
        <v>0</v>
      </c>
      <c r="AB14" s="142" t="n">
        <v>1.7</v>
      </c>
      <c r="AC14" s="143" t="n">
        <v>1.3</v>
      </c>
      <c r="AD14" s="467" t="n">
        <v>45.11</v>
      </c>
      <c r="AE14" s="468" t="n">
        <f aca="false">AE13-AD14</f>
        <v>15325.123072851</v>
      </c>
      <c r="AF14" s="140" t="n">
        <f aca="false">N14+O14+P14+Q14+R14+S14+T14+W14+AA14+AD14</f>
        <v>118.11</v>
      </c>
      <c r="AG14" s="140" t="n">
        <f aca="false">IF(L14&lt;0,L14*-1,0)</f>
        <v>0</v>
      </c>
      <c r="AH14" s="466" t="n">
        <f aca="false">AF14+AG14</f>
        <v>118.11</v>
      </c>
      <c r="AI14" s="108" t="n">
        <v>0</v>
      </c>
      <c r="AJ14" s="109" t="n">
        <v>68</v>
      </c>
      <c r="AK14" s="110" t="n">
        <v>36</v>
      </c>
      <c r="AL14" s="115" t="n">
        <f aca="false">AL13</f>
        <v>9974.66972</v>
      </c>
      <c r="AM14" s="111"/>
      <c r="AN14" s="457" t="n">
        <f aca="false">I14-Q14-R14-W14-AB14</f>
        <v>397.784797</v>
      </c>
      <c r="AO14" s="458" t="n">
        <f aca="false">29.8*(X13*1.9835+AN14*1.9835+Y13*1.9835)/E14</f>
        <v>1.0704791090218</v>
      </c>
      <c r="AP14" s="112"/>
      <c r="AQ14" s="10"/>
    </row>
    <row r="15" customFormat="false" ht="12.95" hidden="false" customHeight="true" outlineLevel="0" collapsed="false">
      <c r="A15" s="18" t="n">
        <f aca="false">A14+1</f>
        <v>4</v>
      </c>
      <c r="B15" s="459" t="n">
        <v>6907.85</v>
      </c>
      <c r="C15" s="103" t="n">
        <v>313468</v>
      </c>
      <c r="D15" s="109" t="n">
        <f aca="false">C15-C14</f>
        <v>940</v>
      </c>
      <c r="E15" s="103" t="n">
        <f aca="false">C15-152000</f>
        <v>161468</v>
      </c>
      <c r="F15" s="464" t="n">
        <f aca="false">D15/$D$2</f>
        <v>473.909755482733</v>
      </c>
      <c r="G15" s="140" t="n">
        <v>507</v>
      </c>
      <c r="H15" s="140" t="n">
        <v>13</v>
      </c>
      <c r="I15" s="140" t="n">
        <f aca="false">G15+H15</f>
        <v>520</v>
      </c>
      <c r="J15" s="465" t="n">
        <f aca="false">IF(L15&gt;0,L15,0)</f>
        <v>95.9097554827325</v>
      </c>
      <c r="K15" s="140" t="n">
        <f aca="false">I15+J15</f>
        <v>615.909755482733</v>
      </c>
      <c r="L15" s="140" t="n">
        <f aca="false">F15-(I15-AF15)</f>
        <v>95.9097554827325</v>
      </c>
      <c r="M15" s="142" t="n">
        <v>92</v>
      </c>
      <c r="N15" s="258" t="n">
        <f aca="false">1.8299*1.03</f>
        <v>1.884797</v>
      </c>
      <c r="O15" s="466" t="n">
        <f aca="false">(37+36)*1.05</f>
        <v>76.65</v>
      </c>
      <c r="P15" s="380" t="n">
        <v>0</v>
      </c>
      <c r="Q15" s="408" t="n">
        <f aca="false">1.62*1.02</f>
        <v>1.6524</v>
      </c>
      <c r="R15" s="408" t="n">
        <v>3.73</v>
      </c>
      <c r="S15" s="138" t="n">
        <v>0</v>
      </c>
      <c r="T15" s="456" t="n">
        <v>0</v>
      </c>
      <c r="U15" s="140" t="n">
        <v>0</v>
      </c>
      <c r="V15" s="140" t="n">
        <v>0</v>
      </c>
      <c r="W15" s="141" t="n">
        <f aca="false">M15-N15-O15-P15-Q15-R15-S15-T15+U15+V15</f>
        <v>8.08280299999999</v>
      </c>
      <c r="X15" s="115" t="n">
        <f aca="false">X14+AN15-(AO15/1.9835)</f>
        <v>1696.76305302567</v>
      </c>
      <c r="Y15" s="457" t="n">
        <v>1714.14</v>
      </c>
      <c r="Z15" s="111"/>
      <c r="AA15" s="140" t="n">
        <v>0</v>
      </c>
      <c r="AB15" s="142" t="n">
        <v>1.7</v>
      </c>
      <c r="AC15" s="143" t="n">
        <v>1.3</v>
      </c>
      <c r="AD15" s="467" t="n">
        <v>50</v>
      </c>
      <c r="AE15" s="468" t="n">
        <f aca="false">AE14-AD15</f>
        <v>15275.123072851</v>
      </c>
      <c r="AF15" s="140" t="n">
        <f aca="false">N15+O15+P15+Q15+R15+S15+T15+W15+AA15+AD15</f>
        <v>142</v>
      </c>
      <c r="AG15" s="140" t="n">
        <f aca="false">IF(L15&lt;0,L15*-1,0)</f>
        <v>0</v>
      </c>
      <c r="AH15" s="466" t="n">
        <f aca="false">AF15+AG15</f>
        <v>142</v>
      </c>
      <c r="AI15" s="108" t="n">
        <v>0</v>
      </c>
      <c r="AJ15" s="109" t="n">
        <v>68</v>
      </c>
      <c r="AK15" s="110" t="n">
        <v>37</v>
      </c>
      <c r="AL15" s="115" t="n">
        <f aca="false">AL14</f>
        <v>9974.66972</v>
      </c>
      <c r="AM15" s="111"/>
      <c r="AN15" s="457" t="n">
        <f aca="false">I15-Q15-R15-W15-AB15</f>
        <v>504.834797</v>
      </c>
      <c r="AO15" s="458" t="n">
        <f aca="false">29.8*(X14*1.9835+AN15*1.9835+Y14*1.9835)/E15</f>
        <v>1.24885362280524</v>
      </c>
      <c r="AP15" s="112"/>
      <c r="AQ15" s="10"/>
    </row>
    <row r="16" customFormat="false" ht="12.95" hidden="false" customHeight="true" outlineLevel="0" collapsed="false">
      <c r="A16" s="18" t="n">
        <f aca="false">A15+1</f>
        <v>5</v>
      </c>
      <c r="B16" s="459" t="n">
        <v>6908.14</v>
      </c>
      <c r="C16" s="103" t="n">
        <v>314609</v>
      </c>
      <c r="D16" s="109" t="n">
        <f aca="false">C16-C15</f>
        <v>1141</v>
      </c>
      <c r="E16" s="103" t="n">
        <f aca="false">C16-152000</f>
        <v>162609</v>
      </c>
      <c r="F16" s="464" t="n">
        <f aca="false">D16/$D$2</f>
        <v>575.245777665742</v>
      </c>
      <c r="G16" s="140" t="n">
        <v>570</v>
      </c>
      <c r="H16" s="140" t="n">
        <v>27</v>
      </c>
      <c r="I16" s="140" t="n">
        <f aca="false">G16+H16</f>
        <v>597</v>
      </c>
      <c r="J16" s="465" t="n">
        <f aca="false">IF(L16&gt;0,L16,0)</f>
        <v>142.375777665742</v>
      </c>
      <c r="K16" s="140" t="n">
        <f aca="false">I16+J16</f>
        <v>739.375777665742</v>
      </c>
      <c r="L16" s="140" t="n">
        <f aca="false">F16-(I16-AF16)</f>
        <v>142.375777665742</v>
      </c>
      <c r="M16" s="142" t="n">
        <v>114</v>
      </c>
      <c r="N16" s="258" t="n">
        <f aca="false">1.8299*1.03</f>
        <v>1.884797</v>
      </c>
      <c r="O16" s="466" t="n">
        <f aca="false">(54+55)*1.05</f>
        <v>114.45</v>
      </c>
      <c r="P16" s="380" t="n">
        <v>0</v>
      </c>
      <c r="Q16" s="408" t="n">
        <f aca="false">1.62*1.02</f>
        <v>1.6524</v>
      </c>
      <c r="R16" s="408" t="n">
        <v>4.2</v>
      </c>
      <c r="S16" s="138" t="n">
        <v>0.09</v>
      </c>
      <c r="T16" s="456" t="n">
        <v>0</v>
      </c>
      <c r="U16" s="140" t="n">
        <v>0</v>
      </c>
      <c r="V16" s="140" t="n">
        <v>0</v>
      </c>
      <c r="W16" s="141" t="n">
        <f aca="false">M16-N16-O16-P16-Q16-R16-S16-T16+U16+V16</f>
        <v>-8.27719700000001</v>
      </c>
      <c r="X16" s="115" t="n">
        <f aca="false">X15+AN16-(AO16/1.9835)</f>
        <v>2293.75322211498</v>
      </c>
      <c r="Y16" s="457" t="n">
        <v>1714.14</v>
      </c>
      <c r="Z16" s="111"/>
      <c r="AA16" s="140" t="n">
        <v>0</v>
      </c>
      <c r="AB16" s="142" t="n">
        <v>1.7</v>
      </c>
      <c r="AC16" s="143" t="n">
        <v>1.3</v>
      </c>
      <c r="AD16" s="467" t="n">
        <v>50.13</v>
      </c>
      <c r="AE16" s="468" t="n">
        <f aca="false">AE15-AD16</f>
        <v>15224.993072851</v>
      </c>
      <c r="AF16" s="140" t="n">
        <f aca="false">N16+O16+P16+Q16+R16+S16+T16+W16+AA16+AD16</f>
        <v>164.13</v>
      </c>
      <c r="AG16" s="140" t="n">
        <f aca="false">IF(L16&lt;0,L16*-1,0)</f>
        <v>0</v>
      </c>
      <c r="AH16" s="466" t="n">
        <f aca="false">AF16+AG16</f>
        <v>164.13</v>
      </c>
      <c r="AI16" s="108" t="n">
        <v>0</v>
      </c>
      <c r="AJ16" s="109" t="n">
        <v>67</v>
      </c>
      <c r="AK16" s="110" t="n">
        <v>39</v>
      </c>
      <c r="AL16" s="115" t="n">
        <f aca="false">AL15</f>
        <v>9974.66972</v>
      </c>
      <c r="AM16" s="111"/>
      <c r="AN16" s="457" t="n">
        <f aca="false">I16-Q16-R16-W16-AB16</f>
        <v>597.724797</v>
      </c>
      <c r="AO16" s="458" t="n">
        <f aca="false">29.8*(X15*1.9835+AN16*1.9835+Y15*1.9835)/E16</f>
        <v>1.45713446087039</v>
      </c>
      <c r="AP16" s="112"/>
      <c r="AQ16" s="10"/>
    </row>
    <row r="17" customFormat="false" ht="12.95" hidden="false" customHeight="true" outlineLevel="0" collapsed="false">
      <c r="A17" s="18" t="n">
        <f aca="false">A16+1</f>
        <v>6</v>
      </c>
      <c r="B17" s="459" t="n">
        <v>6908.45</v>
      </c>
      <c r="C17" s="103" t="n">
        <v>315833</v>
      </c>
      <c r="D17" s="109" t="n">
        <f aca="false">C17-C16</f>
        <v>1224</v>
      </c>
      <c r="E17" s="103" t="n">
        <f aca="false">C17-152000</f>
        <v>163833</v>
      </c>
      <c r="F17" s="464" t="n">
        <f aca="false">D17/$D$2</f>
        <v>617.091000756239</v>
      </c>
      <c r="G17" s="140" t="n">
        <v>700</v>
      </c>
      <c r="H17" s="140" t="n">
        <v>39</v>
      </c>
      <c r="I17" s="140" t="n">
        <f aca="false">G17+H17</f>
        <v>739</v>
      </c>
      <c r="J17" s="465" t="n">
        <f aca="false">IF(L17&gt;0,L17,0)</f>
        <v>53.261000756239</v>
      </c>
      <c r="K17" s="140" t="n">
        <f aca="false">I17+J17</f>
        <v>792.261000756239</v>
      </c>
      <c r="L17" s="140" t="n">
        <f aca="false">F17-(I17-AF17)</f>
        <v>53.261000756239</v>
      </c>
      <c r="M17" s="142" t="n">
        <v>125</v>
      </c>
      <c r="N17" s="258" t="n">
        <f aca="false">1.8299*1.03</f>
        <v>1.884797</v>
      </c>
      <c r="O17" s="466" t="n">
        <f aca="false">(51+53)*1.05</f>
        <v>109.2</v>
      </c>
      <c r="P17" s="380" t="n">
        <v>0</v>
      </c>
      <c r="Q17" s="408" t="n">
        <f aca="false">1.62*1.02</f>
        <v>1.6524</v>
      </c>
      <c r="R17" s="408" t="n">
        <v>4.2</v>
      </c>
      <c r="S17" s="138" t="n">
        <v>0</v>
      </c>
      <c r="T17" s="456" t="n">
        <v>0</v>
      </c>
      <c r="U17" s="140" t="n">
        <v>0</v>
      </c>
      <c r="V17" s="140" t="n">
        <v>0</v>
      </c>
      <c r="W17" s="141" t="n">
        <f aca="false">M17-N17-O17-P17-Q17-R17-S17-T17+U17+V17</f>
        <v>8.06280299999999</v>
      </c>
      <c r="X17" s="115" t="n">
        <f aca="false">X16+AN17-(AO17/1.9835)</f>
        <v>3016.27743495324</v>
      </c>
      <c r="Y17" s="457" t="n">
        <v>1714.14</v>
      </c>
      <c r="Z17" s="111"/>
      <c r="AA17" s="140" t="n">
        <v>0</v>
      </c>
      <c r="AB17" s="142" t="n">
        <v>1.7</v>
      </c>
      <c r="AC17" s="143" t="n">
        <v>1.3</v>
      </c>
      <c r="AD17" s="467" t="n">
        <v>50.17</v>
      </c>
      <c r="AE17" s="468" t="n">
        <f aca="false">AE16-AD17</f>
        <v>15174.823072851</v>
      </c>
      <c r="AF17" s="140" t="n">
        <f aca="false">N17+O17+P17+Q17+R17+S17+T17+W17+AA17+AD17</f>
        <v>175.17</v>
      </c>
      <c r="AG17" s="140" t="n">
        <f aca="false">IF(L17&lt;0,L17*-1,0)</f>
        <v>0</v>
      </c>
      <c r="AH17" s="466" t="n">
        <f aca="false">AF17+AG17</f>
        <v>175.17</v>
      </c>
      <c r="AI17" s="108" t="n">
        <v>0</v>
      </c>
      <c r="AJ17" s="109" t="n">
        <v>68</v>
      </c>
      <c r="AK17" s="110" t="n">
        <v>38</v>
      </c>
      <c r="AL17" s="115" t="n">
        <f aca="false">AL16</f>
        <v>9974.66972</v>
      </c>
      <c r="AM17" s="111"/>
      <c r="AN17" s="457" t="n">
        <f aca="false">I17-Q17-R17-W17-AB17</f>
        <v>723.384797</v>
      </c>
      <c r="AO17" s="458" t="n">
        <f aca="false">29.8*(X16*1.9835+AN17*1.9835+Y16*1.9835)/E17</f>
        <v>1.70696868480254</v>
      </c>
      <c r="AP17" s="112"/>
      <c r="AQ17" s="10"/>
    </row>
    <row r="18" customFormat="false" ht="12.95" hidden="false" customHeight="true" outlineLevel="0" collapsed="false">
      <c r="A18" s="18" t="n">
        <f aca="false">A17+1</f>
        <v>7</v>
      </c>
      <c r="B18" s="459" t="n">
        <v>6908.83</v>
      </c>
      <c r="C18" s="103" t="n">
        <v>317334</v>
      </c>
      <c r="D18" s="109" t="n">
        <f aca="false">C18-C17</f>
        <v>1501</v>
      </c>
      <c r="E18" s="103" t="n">
        <f aca="false">C18-152000</f>
        <v>165334</v>
      </c>
      <c r="F18" s="464" t="n">
        <f aca="false">D18/$D$2</f>
        <v>756.743130829342</v>
      </c>
      <c r="G18" s="140" t="n">
        <v>771</v>
      </c>
      <c r="H18" s="140" t="n">
        <v>39</v>
      </c>
      <c r="I18" s="140" t="n">
        <f aca="false">G18+H18</f>
        <v>810</v>
      </c>
      <c r="J18" s="465" t="n">
        <f aca="false">IF(L18&gt;0,L18,0)</f>
        <v>115.743130829342</v>
      </c>
      <c r="K18" s="140" t="n">
        <f aca="false">I18+J18</f>
        <v>925.743130829342</v>
      </c>
      <c r="L18" s="140" t="n">
        <f aca="false">F18-(I18-AF18)</f>
        <v>115.743130829342</v>
      </c>
      <c r="M18" s="142" t="n">
        <v>129</v>
      </c>
      <c r="N18" s="258" t="n">
        <f aca="false">1.8299*1.03</f>
        <v>1.884797</v>
      </c>
      <c r="O18" s="466" t="n">
        <f aca="false">(52+52)*1.05</f>
        <v>109.2</v>
      </c>
      <c r="P18" s="380" t="n">
        <v>0</v>
      </c>
      <c r="Q18" s="408" t="n">
        <f aca="false">1.62*1.02</f>
        <v>1.6524</v>
      </c>
      <c r="R18" s="408" t="n">
        <v>3.33</v>
      </c>
      <c r="S18" s="138" t="n">
        <v>0</v>
      </c>
      <c r="T18" s="456" t="n">
        <v>0</v>
      </c>
      <c r="U18" s="140" t="n">
        <v>0</v>
      </c>
      <c r="V18" s="140" t="n">
        <v>0</v>
      </c>
      <c r="W18" s="141" t="n">
        <f aca="false">M18-N18-O18-P18-Q18-R18-S18-T18+U18+V18</f>
        <v>12.932803</v>
      </c>
      <c r="X18" s="115" t="n">
        <f aca="false">X17+AN18-(AO18/1.9835)</f>
        <v>3797.35105506021</v>
      </c>
      <c r="Y18" s="457" t="n">
        <v>1714.14</v>
      </c>
      <c r="Z18" s="111"/>
      <c r="AA18" s="140" t="n">
        <v>0</v>
      </c>
      <c r="AB18" s="142" t="n">
        <v>1.7</v>
      </c>
      <c r="AC18" s="143" t="n">
        <v>1.3</v>
      </c>
      <c r="AD18" s="467" t="n">
        <v>40</v>
      </c>
      <c r="AE18" s="468" t="n">
        <f aca="false">AE17-AD18</f>
        <v>15134.823072851</v>
      </c>
      <c r="AF18" s="140" t="n">
        <f aca="false">N18+O18+P18+Q18+R18+S18+T18+W18+AA18+AD18</f>
        <v>169</v>
      </c>
      <c r="AG18" s="140" t="n">
        <f aca="false">IF(L18&lt;0,L18*-1,0)</f>
        <v>0</v>
      </c>
      <c r="AH18" s="466" t="n">
        <f aca="false">AF18+AG18</f>
        <v>169</v>
      </c>
      <c r="AI18" s="108" t="n">
        <v>0</v>
      </c>
      <c r="AJ18" s="109" t="n">
        <v>64</v>
      </c>
      <c r="AK18" s="110" t="n">
        <v>39</v>
      </c>
      <c r="AL18" s="115" t="n">
        <f aca="false">AL17</f>
        <v>9974.66972</v>
      </c>
      <c r="AM18" s="111"/>
      <c r="AN18" s="457" t="n">
        <f aca="false">795-W18</f>
        <v>782.067197</v>
      </c>
      <c r="AO18" s="458" t="n">
        <f aca="false">29.8*(X17*1.9835+AN18*1.9835+Y17*1.9835)/E18</f>
        <v>1.97075976732482</v>
      </c>
      <c r="AP18" s="112"/>
      <c r="AQ18" s="10"/>
    </row>
    <row r="19" customFormat="false" ht="12.95" hidden="false" customHeight="true" outlineLevel="0" collapsed="false">
      <c r="A19" s="18" t="n">
        <f aca="false">A18+1</f>
        <v>8</v>
      </c>
      <c r="B19" s="459" t="n">
        <v>6908.21</v>
      </c>
      <c r="C19" s="103" t="n">
        <v>318841</v>
      </c>
      <c r="D19" s="109" t="n">
        <f aca="false">C19-C18</f>
        <v>1507</v>
      </c>
      <c r="E19" s="103" t="n">
        <f aca="false">C19-152000</f>
        <v>166841</v>
      </c>
      <c r="F19" s="464" t="n">
        <f aca="false">D19/$D$2</f>
        <v>759.768086715402</v>
      </c>
      <c r="G19" s="140" t="n">
        <v>779</v>
      </c>
      <c r="H19" s="140" t="n">
        <v>29</v>
      </c>
      <c r="I19" s="140" t="n">
        <f aca="false">G19+H19</f>
        <v>808</v>
      </c>
      <c r="J19" s="465" t="n">
        <f aca="false">IF(L19&gt;0,L19,0)</f>
        <v>122.768086715402</v>
      </c>
      <c r="K19" s="140" t="n">
        <f aca="false">I19+J19</f>
        <v>930.768086715402</v>
      </c>
      <c r="L19" s="140" t="n">
        <f aca="false">F19-(I19-AF19)</f>
        <v>122.768086715402</v>
      </c>
      <c r="M19" s="142" t="n">
        <v>131</v>
      </c>
      <c r="N19" s="258" t="n">
        <f aca="false">1.8299*1.03</f>
        <v>1.884797</v>
      </c>
      <c r="O19" s="466" t="n">
        <f aca="false">(56+58)*1.05</f>
        <v>119.7</v>
      </c>
      <c r="P19" s="380" t="n">
        <v>0</v>
      </c>
      <c r="Q19" s="408" t="n">
        <f aca="false">1.62*1.02</f>
        <v>1.6524</v>
      </c>
      <c r="R19" s="408" t="n">
        <v>4</v>
      </c>
      <c r="S19" s="138" t="n">
        <v>0</v>
      </c>
      <c r="T19" s="456" t="n">
        <v>0</v>
      </c>
      <c r="U19" s="140" t="n">
        <v>0</v>
      </c>
      <c r="V19" s="140" t="n">
        <v>0</v>
      </c>
      <c r="W19" s="141" t="n">
        <f aca="false">M19-N19-O19-P19-Q19-R19-S19-T19+U19+V19</f>
        <v>3.76280300000001</v>
      </c>
      <c r="X19" s="115" t="n">
        <f aca="false">X18+AN19-(AO19/1.9835)</f>
        <v>4587.46250178353</v>
      </c>
      <c r="Y19" s="457" t="n">
        <v>1714.14</v>
      </c>
      <c r="Z19" s="111"/>
      <c r="AA19" s="140" t="n">
        <v>0</v>
      </c>
      <c r="AB19" s="142" t="n">
        <v>1.7</v>
      </c>
      <c r="AC19" s="143" t="n">
        <v>1.3</v>
      </c>
      <c r="AD19" s="467" t="n">
        <v>40</v>
      </c>
      <c r="AE19" s="468" t="n">
        <f aca="false">AE18-AD19</f>
        <v>15094.823072851</v>
      </c>
      <c r="AF19" s="140" t="n">
        <f aca="false">N19+O19+P19+Q19+R19+S19+T19+W19+AA19+AD19</f>
        <v>171</v>
      </c>
      <c r="AG19" s="140" t="n">
        <f aca="false">IF(L19&lt;0,L19*-1,0)</f>
        <v>0</v>
      </c>
      <c r="AH19" s="466" t="n">
        <f aca="false">AF19+AG19</f>
        <v>171</v>
      </c>
      <c r="AI19" s="108" t="n">
        <v>0.1</v>
      </c>
      <c r="AJ19" s="109" t="n">
        <v>58</v>
      </c>
      <c r="AK19" s="110" t="n">
        <v>41</v>
      </c>
      <c r="AL19" s="115" t="n">
        <f aca="false">AL18</f>
        <v>9974.66972</v>
      </c>
      <c r="AM19" s="111"/>
      <c r="AN19" s="457" t="n">
        <f aca="false">795-W19</f>
        <v>791.237197</v>
      </c>
      <c r="AO19" s="458" t="n">
        <f aca="false">29.8*(X18*1.9835+AN19*1.9835+Y18*1.9835)/E19</f>
        <v>2.23292567379272</v>
      </c>
      <c r="AP19" s="112"/>
      <c r="AQ19" s="10"/>
    </row>
    <row r="20" customFormat="false" ht="12.95" hidden="false" customHeight="true" outlineLevel="0" collapsed="false">
      <c r="A20" s="18" t="n">
        <f aca="false">A19+1</f>
        <v>9</v>
      </c>
      <c r="B20" s="459" t="n">
        <v>6909.67</v>
      </c>
      <c r="C20" s="103" t="n">
        <v>320673</v>
      </c>
      <c r="D20" s="109" t="n">
        <f aca="false">C20-C19</f>
        <v>1832</v>
      </c>
      <c r="E20" s="103" t="n">
        <f aca="false">C20-152000</f>
        <v>168673</v>
      </c>
      <c r="F20" s="464" t="n">
        <f aca="false">D20/$D$2</f>
        <v>923.619863876985</v>
      </c>
      <c r="G20" s="140" t="n">
        <v>806</v>
      </c>
      <c r="H20" s="140" t="n">
        <v>41</v>
      </c>
      <c r="I20" s="140" t="n">
        <f aca="false">G20+H20</f>
        <v>847</v>
      </c>
      <c r="J20" s="465" t="n">
        <f aca="false">IF(L20&gt;0,L20,0)</f>
        <v>246.619863876985</v>
      </c>
      <c r="K20" s="140" t="n">
        <f aca="false">I20+J20</f>
        <v>1093.61986387699</v>
      </c>
      <c r="L20" s="140" t="n">
        <f aca="false">F20-(I20-AF20)</f>
        <v>246.619863876985</v>
      </c>
      <c r="M20" s="142" t="n">
        <v>123</v>
      </c>
      <c r="N20" s="258" t="n">
        <f aca="false">1.8299*1.03</f>
        <v>1.884797</v>
      </c>
      <c r="O20" s="466" t="n">
        <f aca="false">(49+50)*1.05</f>
        <v>103.95</v>
      </c>
      <c r="P20" s="380" t="n">
        <v>0</v>
      </c>
      <c r="Q20" s="408" t="n">
        <f aca="false">1.62*1.02</f>
        <v>1.6524</v>
      </c>
      <c r="R20" s="408" t="n">
        <v>4.17</v>
      </c>
      <c r="S20" s="138" t="n">
        <v>0</v>
      </c>
      <c r="T20" s="456" t="n">
        <v>0</v>
      </c>
      <c r="U20" s="140" t="n">
        <v>0</v>
      </c>
      <c r="V20" s="140" t="n">
        <v>0</v>
      </c>
      <c r="W20" s="141" t="n">
        <f aca="false">M20-N20-O20-P20-Q20-R20-S20-T20+U20+V20</f>
        <v>11.342803</v>
      </c>
      <c r="X20" s="115" t="n">
        <f aca="false">X19+AN20-(AO20/1.9835)</f>
        <v>5369.86792322358</v>
      </c>
      <c r="Y20" s="457" t="n">
        <v>1714.14</v>
      </c>
      <c r="Z20" s="111"/>
      <c r="AA20" s="140" t="n">
        <v>0</v>
      </c>
      <c r="AB20" s="142" t="n">
        <v>1.7</v>
      </c>
      <c r="AC20" s="143" t="n">
        <v>1.3</v>
      </c>
      <c r="AD20" s="467" t="n">
        <v>47</v>
      </c>
      <c r="AE20" s="468" t="n">
        <f aca="false">AE19-AD20</f>
        <v>15047.823072851</v>
      </c>
      <c r="AF20" s="140" t="n">
        <f aca="false">N20+O20+P20+Q20+R20+S20+T20+W20+AA20+AD20</f>
        <v>170</v>
      </c>
      <c r="AG20" s="140" t="n">
        <f aca="false">IF(L20&lt;0,L20*-1,0)</f>
        <v>0</v>
      </c>
      <c r="AH20" s="466" t="n">
        <f aca="false">AF20+AG20</f>
        <v>170</v>
      </c>
      <c r="AI20" s="108" t="n">
        <v>0.15</v>
      </c>
      <c r="AJ20" s="147" t="n">
        <v>56</v>
      </c>
      <c r="AK20" s="110" t="n">
        <v>34</v>
      </c>
      <c r="AL20" s="115" t="n">
        <f aca="false">AL19</f>
        <v>9974.66972</v>
      </c>
      <c r="AM20" s="111"/>
      <c r="AN20" s="457" t="n">
        <f aca="false">795-W20</f>
        <v>783.657197</v>
      </c>
      <c r="AO20" s="458" t="n">
        <f aca="false">29.8*(X19*1.9835+AN20*1.9835+Y19*1.9835)/E20</f>
        <v>2.48289682316439</v>
      </c>
      <c r="AP20" s="112"/>
      <c r="AQ20" s="10"/>
    </row>
    <row r="21" customFormat="false" ht="12.95" hidden="false" customHeight="true" outlineLevel="0" collapsed="false">
      <c r="A21" s="18" t="n">
        <f aca="false">A20+1</f>
        <v>10</v>
      </c>
      <c r="B21" s="459" t="n">
        <v>6910.14</v>
      </c>
      <c r="C21" s="103" t="n">
        <v>322548</v>
      </c>
      <c r="D21" s="109" t="n">
        <f aca="false">C21-C20</f>
        <v>1875</v>
      </c>
      <c r="E21" s="103" t="n">
        <f aca="false">C21-152000</f>
        <v>170548</v>
      </c>
      <c r="F21" s="464" t="n">
        <f aca="false">D21/$D$2</f>
        <v>945.298714393748</v>
      </c>
      <c r="G21" s="140" t="n">
        <v>792</v>
      </c>
      <c r="H21" s="140" t="n">
        <v>50</v>
      </c>
      <c r="I21" s="140" t="n">
        <f aca="false">G21+H21</f>
        <v>842</v>
      </c>
      <c r="J21" s="465" t="n">
        <f aca="false">IF(L21&gt;0,L21,0)</f>
        <v>287.498714393748</v>
      </c>
      <c r="K21" s="140" t="n">
        <f aca="false">I21+J21</f>
        <v>1129.49871439375</v>
      </c>
      <c r="L21" s="140" t="n">
        <f aca="false">F21-(I21-AF21)</f>
        <v>287.498714393748</v>
      </c>
      <c r="M21" s="142" t="n">
        <v>129</v>
      </c>
      <c r="N21" s="258" t="n">
        <f aca="false">1.8299*1.03</f>
        <v>1.884797</v>
      </c>
      <c r="O21" s="466" t="n">
        <f aca="false">(50+53)*1.05</f>
        <v>108.15</v>
      </c>
      <c r="P21" s="380" t="n">
        <v>0</v>
      </c>
      <c r="Q21" s="408" t="n">
        <f aca="false">1.62*1.02</f>
        <v>1.6524</v>
      </c>
      <c r="R21" s="408" t="n">
        <v>2.75</v>
      </c>
      <c r="S21" s="138" t="n">
        <v>0</v>
      </c>
      <c r="T21" s="456" t="n">
        <v>0</v>
      </c>
      <c r="U21" s="140" t="n">
        <v>0</v>
      </c>
      <c r="V21" s="140" t="n">
        <v>3.2</v>
      </c>
      <c r="W21" s="141" t="n">
        <f aca="false">M21-N21-O21-P21-Q21-R21-S21-T21+U21+V21</f>
        <v>17.762803</v>
      </c>
      <c r="X21" s="115" t="n">
        <f aca="false">X20+AN21-(AO21/1.9835)</f>
        <v>6145.73151804365</v>
      </c>
      <c r="Y21" s="457" t="n">
        <v>1714.14</v>
      </c>
      <c r="Z21" s="111"/>
      <c r="AA21" s="140" t="n">
        <v>0</v>
      </c>
      <c r="AB21" s="142" t="n">
        <v>1.7</v>
      </c>
      <c r="AC21" s="143" t="n">
        <v>1.3</v>
      </c>
      <c r="AD21" s="467" t="n">
        <v>52</v>
      </c>
      <c r="AE21" s="468" t="n">
        <f aca="false">AE20-AD21</f>
        <v>14995.823072851</v>
      </c>
      <c r="AF21" s="140" t="n">
        <f aca="false">N21+O21+P21+Q21+R21+S21+T21+W21+AA21+AD21</f>
        <v>184.2</v>
      </c>
      <c r="AG21" s="140" t="n">
        <f aca="false">IF(L21&lt;0,L21*-1,0)</f>
        <v>0</v>
      </c>
      <c r="AH21" s="466" t="n">
        <f aca="false">AF21+AG21</f>
        <v>184.2</v>
      </c>
      <c r="AI21" s="108" t="n">
        <v>0.01</v>
      </c>
      <c r="AJ21" s="109" t="n">
        <v>46</v>
      </c>
      <c r="AK21" s="110" t="n">
        <v>33</v>
      </c>
      <c r="AL21" s="115" t="n">
        <f aca="false">AL20</f>
        <v>9974.66972</v>
      </c>
      <c r="AM21" s="111"/>
      <c r="AN21" s="457" t="n">
        <f aca="false">795-W21</f>
        <v>777.237197</v>
      </c>
      <c r="AO21" s="458" t="n">
        <f aca="false">29.8*(X20*1.9835+AN21*1.9835+Y20*1.9835)/E21</f>
        <v>2.7245399238907</v>
      </c>
      <c r="AP21" s="112"/>
      <c r="AQ21" s="10"/>
    </row>
    <row r="22" customFormat="false" ht="12.95" hidden="false" customHeight="true" outlineLevel="0" collapsed="false">
      <c r="A22" s="18" t="n">
        <f aca="false">A21+1</f>
        <v>11</v>
      </c>
      <c r="B22" s="459" t="n">
        <v>6910.39</v>
      </c>
      <c r="C22" s="103" t="n">
        <v>323551</v>
      </c>
      <c r="D22" s="109" t="n">
        <f aca="false">C22-C21</f>
        <v>1003</v>
      </c>
      <c r="E22" s="103" t="n">
        <f aca="false">C22-152000</f>
        <v>171551</v>
      </c>
      <c r="F22" s="464" t="n">
        <f aca="false">D22/$D$2</f>
        <v>505.671792286362</v>
      </c>
      <c r="G22" s="140" t="n">
        <v>635</v>
      </c>
      <c r="H22" s="140" t="n">
        <v>23</v>
      </c>
      <c r="I22" s="140" t="n">
        <f aca="false">G22+H22</f>
        <v>658</v>
      </c>
      <c r="J22" s="465" t="n">
        <f aca="false">IF(L22&gt;0,L22,0)</f>
        <v>40.8717922863625</v>
      </c>
      <c r="K22" s="140" t="n">
        <f aca="false">I22+J22</f>
        <v>698.871792286363</v>
      </c>
      <c r="L22" s="140" t="n">
        <f aca="false">F22-(I22-AF22)</f>
        <v>40.8717922863625</v>
      </c>
      <c r="M22" s="142" t="n">
        <v>134</v>
      </c>
      <c r="N22" s="258" t="n">
        <f aca="false">1.8299*1.03</f>
        <v>1.884797</v>
      </c>
      <c r="O22" s="466" t="n">
        <f aca="false">(53+53)*1.05</f>
        <v>111.3</v>
      </c>
      <c r="P22" s="380" t="n">
        <v>0</v>
      </c>
      <c r="Q22" s="408" t="n">
        <f aca="false">1.62*1.02</f>
        <v>1.6524</v>
      </c>
      <c r="R22" s="408" t="n">
        <v>2.3</v>
      </c>
      <c r="S22" s="138" t="n">
        <v>0</v>
      </c>
      <c r="T22" s="456" t="n">
        <v>0</v>
      </c>
      <c r="U22" s="140" t="n">
        <v>0</v>
      </c>
      <c r="V22" s="140" t="n">
        <v>6.2</v>
      </c>
      <c r="W22" s="141" t="n">
        <f aca="false">M22-N22-O22-P22-Q22-R22-S22-T22+U22+V22</f>
        <v>23.062803</v>
      </c>
      <c r="X22" s="115" t="n">
        <f aca="false">X21+AN22-(AO22/1.9835)</f>
        <v>6773.54166984666</v>
      </c>
      <c r="Y22" s="457" t="n">
        <v>1714.14</v>
      </c>
      <c r="Z22" s="111"/>
      <c r="AA22" s="140" t="n">
        <v>0</v>
      </c>
      <c r="AB22" s="142" t="n">
        <v>1.7</v>
      </c>
      <c r="AC22" s="143" t="n">
        <v>1.3</v>
      </c>
      <c r="AD22" s="467" t="n">
        <v>53</v>
      </c>
      <c r="AE22" s="468" t="n">
        <f aca="false">AE21-AD22</f>
        <v>14942.823072851</v>
      </c>
      <c r="AF22" s="140" t="n">
        <f aca="false">N22+O22+P22+Q22+R22+S22+T22+W22+AA22+AD22</f>
        <v>193.2</v>
      </c>
      <c r="AG22" s="140" t="n">
        <f aca="false">IF(L22&lt;0,L22*-1,0)</f>
        <v>0</v>
      </c>
      <c r="AH22" s="466" t="n">
        <f aca="false">AF22+AG22</f>
        <v>193.2</v>
      </c>
      <c r="AI22" s="108" t="n">
        <v>0</v>
      </c>
      <c r="AJ22" s="109" t="n">
        <v>46</v>
      </c>
      <c r="AK22" s="110" t="n">
        <v>19</v>
      </c>
      <c r="AL22" s="115" t="n">
        <f aca="false">AL21</f>
        <v>9974.66972</v>
      </c>
      <c r="AM22" s="111"/>
      <c r="AN22" s="457" t="n">
        <f aca="false">I22-Q22-R22-W22-AB22</f>
        <v>629.284797</v>
      </c>
      <c r="AO22" s="458" t="n">
        <f aca="false">29.8*(X21*1.9835+AN22*1.9835+Y21*1.9835)/E22</f>
        <v>2.92495874822353</v>
      </c>
      <c r="AP22" s="112"/>
      <c r="AQ22" s="10"/>
    </row>
    <row r="23" customFormat="false" ht="12.95" hidden="false" customHeight="true" outlineLevel="0" collapsed="false">
      <c r="A23" s="18" t="n">
        <f aca="false">A22+1</f>
        <v>12</v>
      </c>
      <c r="B23" s="459" t="n">
        <v>6910.62</v>
      </c>
      <c r="C23" s="103" t="n">
        <v>324474</v>
      </c>
      <c r="D23" s="109" t="n">
        <f aca="false">C23-C22</f>
        <v>923</v>
      </c>
      <c r="E23" s="103" t="n">
        <f aca="false">C23-152000</f>
        <v>172474</v>
      </c>
      <c r="F23" s="464" t="n">
        <f aca="false">D23/$D$2</f>
        <v>465.339047138896</v>
      </c>
      <c r="G23" s="140" t="n">
        <v>597</v>
      </c>
      <c r="H23" s="140" t="n">
        <v>14</v>
      </c>
      <c r="I23" s="140" t="n">
        <f aca="false">G23+H23</f>
        <v>611</v>
      </c>
      <c r="J23" s="465" t="n">
        <f aca="false">IF(L23&gt;0,L23,0)</f>
        <v>45.5390471388959</v>
      </c>
      <c r="K23" s="140" t="n">
        <f aca="false">I23+J23</f>
        <v>656.539047138896</v>
      </c>
      <c r="L23" s="140" t="n">
        <f aca="false">F23-(I23-AF23)</f>
        <v>45.5390471388959</v>
      </c>
      <c r="M23" s="142" t="n">
        <v>132</v>
      </c>
      <c r="N23" s="258" t="n">
        <f aca="false">1.8299*1.03</f>
        <v>1.884797</v>
      </c>
      <c r="O23" s="466" t="n">
        <f aca="false">(53+52)*1.05</f>
        <v>110.25</v>
      </c>
      <c r="P23" s="380" t="n">
        <v>0</v>
      </c>
      <c r="Q23" s="408" t="n">
        <f aca="false">1.62*1.02</f>
        <v>1.6524</v>
      </c>
      <c r="R23" s="408" t="n">
        <v>2.54</v>
      </c>
      <c r="S23" s="138" t="n">
        <v>0</v>
      </c>
      <c r="T23" s="456" t="n">
        <v>0</v>
      </c>
      <c r="U23" s="140" t="n">
        <v>0</v>
      </c>
      <c r="V23" s="140" t="n">
        <v>6.2</v>
      </c>
      <c r="W23" s="141" t="n">
        <f aca="false">M23-N23-O23-P23-Q23-R23-S23-T23+U23+V23</f>
        <v>21.872803</v>
      </c>
      <c r="X23" s="115" t="n">
        <f aca="false">X22+AN23-(AO23/1.9835)</f>
        <v>7355.20919693519</v>
      </c>
      <c r="Y23" s="457" t="n">
        <v>1714.14</v>
      </c>
      <c r="Z23" s="111"/>
      <c r="AA23" s="140" t="n">
        <v>0</v>
      </c>
      <c r="AB23" s="142" t="n">
        <v>1.7</v>
      </c>
      <c r="AC23" s="143" t="n">
        <v>1.3</v>
      </c>
      <c r="AD23" s="467" t="n">
        <v>53</v>
      </c>
      <c r="AE23" s="468" t="n">
        <f aca="false">AE22-AD23</f>
        <v>14889.823072851</v>
      </c>
      <c r="AF23" s="140" t="n">
        <f aca="false">N23+O23+P23+Q23+R23+S23+T23+W23+AA23+AD23</f>
        <v>191.2</v>
      </c>
      <c r="AG23" s="140" t="n">
        <f aca="false">IF(L23&lt;0,L23*-1,0)</f>
        <v>0</v>
      </c>
      <c r="AH23" s="466" t="n">
        <f aca="false">AF23+AG23</f>
        <v>191.2</v>
      </c>
      <c r="AI23" s="108" t="n">
        <v>0.2</v>
      </c>
      <c r="AJ23" s="109" t="n">
        <v>46</v>
      </c>
      <c r="AK23" s="110" t="n">
        <v>19</v>
      </c>
      <c r="AL23" s="115" t="n">
        <f aca="false">AL22</f>
        <v>9974.66972</v>
      </c>
      <c r="AM23" s="111"/>
      <c r="AN23" s="457" t="n">
        <f aca="false">I23-Q23-R23-W23-AB23</f>
        <v>583.234797</v>
      </c>
      <c r="AO23" s="458" t="n">
        <f aca="false">29.8*(X22*1.9835+AN23*1.9835+Y22*1.9835)/E23</f>
        <v>3.10867986941401</v>
      </c>
      <c r="AP23" s="112"/>
      <c r="AQ23" s="10"/>
    </row>
    <row r="24" customFormat="false" ht="12.95" hidden="false" customHeight="true" outlineLevel="0" collapsed="false">
      <c r="A24" s="18" t="n">
        <f aca="false">A23+1</f>
        <v>13</v>
      </c>
      <c r="B24" s="459" t="n">
        <v>6910.94</v>
      </c>
      <c r="C24" s="103" t="n">
        <v>325759</v>
      </c>
      <c r="D24" s="109" t="n">
        <f aca="false">C24-C23</f>
        <v>1285</v>
      </c>
      <c r="E24" s="103" t="n">
        <f aca="false">C24-152000</f>
        <v>173759</v>
      </c>
      <c r="F24" s="464" t="n">
        <f aca="false">D24/$D$2</f>
        <v>647.844718931182</v>
      </c>
      <c r="G24" s="140" t="n">
        <v>543</v>
      </c>
      <c r="H24" s="140" t="n">
        <v>12</v>
      </c>
      <c r="I24" s="140" t="n">
        <f aca="false">G24+H24</f>
        <v>555</v>
      </c>
      <c r="J24" s="465" t="n">
        <f aca="false">IF(L24&gt;0,L24,0)</f>
        <v>222.944718931182</v>
      </c>
      <c r="K24" s="140" t="n">
        <f aca="false">I24+J24</f>
        <v>777.944718931182</v>
      </c>
      <c r="L24" s="140" t="n">
        <f aca="false">F24-(I24-AF24)</f>
        <v>222.944718931182</v>
      </c>
      <c r="M24" s="142" t="n">
        <v>71</v>
      </c>
      <c r="N24" s="258" t="n">
        <f aca="false">1.8299*1.03</f>
        <v>1.884797</v>
      </c>
      <c r="O24" s="466" t="n">
        <f aca="false">(34+34)*1.05</f>
        <v>71.4</v>
      </c>
      <c r="P24" s="380" t="n">
        <v>0</v>
      </c>
      <c r="Q24" s="408" t="n">
        <f aca="false">1.62*1.02</f>
        <v>1.6524</v>
      </c>
      <c r="R24" s="408" t="n">
        <v>2.31</v>
      </c>
      <c r="S24" s="138" t="n">
        <v>0</v>
      </c>
      <c r="T24" s="456" t="n">
        <v>0</v>
      </c>
      <c r="U24" s="140" t="n">
        <v>0</v>
      </c>
      <c r="V24" s="140" t="n">
        <v>6.1</v>
      </c>
      <c r="W24" s="141" t="n">
        <f aca="false">M24-N24-O24-P24-Q24-R24-S24-T24+U24+V24</f>
        <v>-0.147197000000013</v>
      </c>
      <c r="X24" s="115" t="n">
        <f aca="false">X23+AN24-(AO24/1.9835)</f>
        <v>7903.04434555427</v>
      </c>
      <c r="Y24" s="457" t="n">
        <v>1714.14</v>
      </c>
      <c r="Z24" s="111"/>
      <c r="AA24" s="140" t="n">
        <v>0</v>
      </c>
      <c r="AB24" s="142" t="n">
        <v>1.7</v>
      </c>
      <c r="AC24" s="143" t="n">
        <v>1.3</v>
      </c>
      <c r="AD24" s="467" t="n">
        <v>53</v>
      </c>
      <c r="AE24" s="468" t="n">
        <f aca="false">AE23-AD24</f>
        <v>14836.823072851</v>
      </c>
      <c r="AF24" s="140" t="n">
        <f aca="false">N24+O24+P24+Q24+R24+S24+T24+W24+AA24+AD24</f>
        <v>130.1</v>
      </c>
      <c r="AG24" s="140" t="n">
        <f aca="false">IF(L24&lt;0,L24*-1,0)</f>
        <v>0</v>
      </c>
      <c r="AH24" s="466" t="n">
        <f aca="false">AF24+AG24</f>
        <v>130.1</v>
      </c>
      <c r="AI24" s="108" t="n">
        <v>0</v>
      </c>
      <c r="AJ24" s="109" t="n">
        <v>54</v>
      </c>
      <c r="AK24" s="110" t="n">
        <v>31</v>
      </c>
      <c r="AL24" s="115" t="n">
        <f aca="false">AL23</f>
        <v>9974.66972</v>
      </c>
      <c r="AM24" s="111"/>
      <c r="AN24" s="457" t="n">
        <f aca="false">I24-Q24-R24-W24-AB24</f>
        <v>549.484797</v>
      </c>
      <c r="AO24" s="458" t="n">
        <f aca="false">29.8*(X23*1.9835+AN24*1.9835+Y23*1.9835)/E24</f>
        <v>3.27207756354329</v>
      </c>
      <c r="AP24" s="112"/>
      <c r="AQ24" s="10"/>
    </row>
    <row r="25" customFormat="false" ht="12.95" hidden="false" customHeight="true" outlineLevel="0" collapsed="false">
      <c r="A25" s="18" t="n">
        <f aca="false">A24+1</f>
        <v>14</v>
      </c>
      <c r="B25" s="459" t="n">
        <v>6911.17</v>
      </c>
      <c r="C25" s="103" t="n">
        <v>326687</v>
      </c>
      <c r="D25" s="109" t="n">
        <f aca="false">C25-C24</f>
        <v>928</v>
      </c>
      <c r="E25" s="103" t="n">
        <f aca="false">C25-152000</f>
        <v>174687</v>
      </c>
      <c r="F25" s="464" t="n">
        <f aca="false">D25/$D$2</f>
        <v>467.859843710613</v>
      </c>
      <c r="G25" s="140" t="n">
        <v>488</v>
      </c>
      <c r="H25" s="140" t="n">
        <v>11</v>
      </c>
      <c r="I25" s="140" t="n">
        <f aca="false">G25+H25</f>
        <v>499</v>
      </c>
      <c r="J25" s="465" t="n">
        <f aca="false">IF(L25&gt;0,L25,0)</f>
        <v>74.0598437106125</v>
      </c>
      <c r="K25" s="140" t="n">
        <f aca="false">I25+J25</f>
        <v>573.059843710613</v>
      </c>
      <c r="L25" s="140" t="n">
        <f aca="false">F25-(I25-AF25)</f>
        <v>74.0598437106125</v>
      </c>
      <c r="M25" s="142" t="n">
        <v>46</v>
      </c>
      <c r="N25" s="258" t="n">
        <f aca="false">1.8299*1.03</f>
        <v>1.884797</v>
      </c>
      <c r="O25" s="466" t="n">
        <f aca="false">(10+10)*1.05</f>
        <v>21</v>
      </c>
      <c r="P25" s="380" t="n">
        <v>0</v>
      </c>
      <c r="Q25" s="408" t="n">
        <f aca="false">1.62*1.02</f>
        <v>1.6524</v>
      </c>
      <c r="R25" s="408" t="n">
        <v>2.56</v>
      </c>
      <c r="S25" s="138" t="n">
        <v>0</v>
      </c>
      <c r="T25" s="456" t="n">
        <v>0</v>
      </c>
      <c r="U25" s="140" t="n">
        <v>0</v>
      </c>
      <c r="V25" s="140" t="n">
        <v>6.2</v>
      </c>
      <c r="W25" s="141" t="n">
        <f aca="false">M25-N25-O25-P25-Q25-R25-S25-T25+U25+V25</f>
        <v>25.102803</v>
      </c>
      <c r="X25" s="115" t="n">
        <f aca="false">X24+AN25-(AO25/1.9835)</f>
        <v>8369.30870519804</v>
      </c>
      <c r="Y25" s="457" t="n">
        <v>1714.14</v>
      </c>
      <c r="Z25" s="111"/>
      <c r="AA25" s="140" t="n">
        <v>0</v>
      </c>
      <c r="AB25" s="142" t="n">
        <v>1.7</v>
      </c>
      <c r="AC25" s="143" t="n">
        <v>1.3</v>
      </c>
      <c r="AD25" s="467" t="n">
        <v>53</v>
      </c>
      <c r="AE25" s="468" t="n">
        <f aca="false">AE24-AD25</f>
        <v>14783.823072851</v>
      </c>
      <c r="AF25" s="140" t="n">
        <f aca="false">N25+O25+P25+Q25+R25+S25+T25+W25+AA25+AD25</f>
        <v>105.2</v>
      </c>
      <c r="AG25" s="140" t="n">
        <f aca="false">IF(L25&lt;0,L25*-1,0)</f>
        <v>0</v>
      </c>
      <c r="AH25" s="466" t="n">
        <f aca="false">AF25+AG25</f>
        <v>105.2</v>
      </c>
      <c r="AI25" s="108" t="n">
        <v>0</v>
      </c>
      <c r="AJ25" s="147" t="n">
        <v>57</v>
      </c>
      <c r="AK25" s="110" t="n">
        <v>25</v>
      </c>
      <c r="AL25" s="115" t="n">
        <f aca="false">AL24</f>
        <v>9974.66972</v>
      </c>
      <c r="AM25" s="111"/>
      <c r="AN25" s="457" t="n">
        <f aca="false">I25-Q25-R25-W25-AB25</f>
        <v>467.984797</v>
      </c>
      <c r="AO25" s="458" t="n">
        <f aca="false">29.8*(X24*1.9835+AN25*1.9835+Y24*1.9835)/E25</f>
        <v>3.41248749608638</v>
      </c>
      <c r="AP25" s="112"/>
      <c r="AQ25" s="10"/>
    </row>
    <row r="26" customFormat="false" ht="12.95" hidden="false" customHeight="true" outlineLevel="0" collapsed="false">
      <c r="A26" s="18" t="n">
        <f aca="false">A25+1</f>
        <v>15</v>
      </c>
      <c r="B26" s="459" t="n">
        <v>6911.39</v>
      </c>
      <c r="C26" s="103" t="n">
        <v>327577</v>
      </c>
      <c r="D26" s="109" t="n">
        <f aca="false">C26-C25</f>
        <v>890</v>
      </c>
      <c r="E26" s="103" t="n">
        <f aca="false">C26-152000</f>
        <v>175577</v>
      </c>
      <c r="F26" s="464" t="n">
        <f aca="false">D26/$D$2</f>
        <v>448.701789765566</v>
      </c>
      <c r="G26" s="140" t="n">
        <v>493</v>
      </c>
      <c r="H26" s="140" t="n">
        <v>8.9</v>
      </c>
      <c r="I26" s="140" t="n">
        <f aca="false">G26+H26</f>
        <v>501.9</v>
      </c>
      <c r="J26" s="465" t="n">
        <f aca="false">IF(L26&gt;0,L26,0)</f>
        <v>35.801789765566</v>
      </c>
      <c r="K26" s="140" t="n">
        <f aca="false">I26+J26</f>
        <v>537.701789765566</v>
      </c>
      <c r="L26" s="140" t="n">
        <f aca="false">F26-(I26-AF26)</f>
        <v>35.801789765566</v>
      </c>
      <c r="M26" s="142" t="n">
        <v>30</v>
      </c>
      <c r="N26" s="258" t="n">
        <f aca="false">1.8299*1.03</f>
        <v>1.884797</v>
      </c>
      <c r="O26" s="466" t="n">
        <f aca="false">(4.2+5.5)*1.05</f>
        <v>10.185</v>
      </c>
      <c r="P26" s="380" t="n">
        <v>0</v>
      </c>
      <c r="Q26" s="408" t="n">
        <f aca="false">1.62*1.02</f>
        <v>1.6524</v>
      </c>
      <c r="R26" s="408" t="n">
        <v>3.27</v>
      </c>
      <c r="S26" s="138" t="n">
        <v>0</v>
      </c>
      <c r="T26" s="456" t="n">
        <v>0</v>
      </c>
      <c r="U26" s="140" t="n">
        <v>0</v>
      </c>
      <c r="V26" s="140" t="n">
        <v>6</v>
      </c>
      <c r="W26" s="141" t="n">
        <f aca="false">M26-N26-O26-P26-Q26-R26-S26-T26+U26+V26</f>
        <v>19.007803</v>
      </c>
      <c r="X26" s="115" t="n">
        <f aca="false">X25+AN26-(AO26/1.9835)</f>
        <v>8843.78624232707</v>
      </c>
      <c r="Y26" s="457" t="n">
        <v>1714.14</v>
      </c>
      <c r="Z26" s="111"/>
      <c r="AA26" s="140" t="n">
        <v>0</v>
      </c>
      <c r="AB26" s="142" t="n">
        <v>1.7</v>
      </c>
      <c r="AC26" s="143" t="n">
        <v>1.3</v>
      </c>
      <c r="AD26" s="467" t="n">
        <v>53</v>
      </c>
      <c r="AE26" s="468" t="n">
        <f aca="false">AE25-AD26</f>
        <v>14730.823072851</v>
      </c>
      <c r="AF26" s="140" t="n">
        <f aca="false">N26+O26+P26+Q26+R26+S26+T26+W26+AA26+AD26</f>
        <v>89</v>
      </c>
      <c r="AG26" s="140" t="n">
        <f aca="false">IF(L26&lt;0,L26*-1,0)</f>
        <v>0</v>
      </c>
      <c r="AH26" s="466" t="n">
        <f aca="false">AF26+AG26</f>
        <v>89</v>
      </c>
      <c r="AI26" s="108" t="n">
        <v>0</v>
      </c>
      <c r="AJ26" s="147" t="n">
        <v>63</v>
      </c>
      <c r="AK26" s="110" t="n">
        <v>35</v>
      </c>
      <c r="AL26" s="115" t="n">
        <f aca="false">AL25</f>
        <v>9974.66972</v>
      </c>
      <c r="AM26" s="111"/>
      <c r="AN26" s="457" t="n">
        <f aca="false">I26-Q26-R26-W26-AB26</f>
        <v>476.269797</v>
      </c>
      <c r="AO26" s="458" t="n">
        <f aca="false">29.8*(X25*1.9835+AN26*1.9835+Y25*1.9835)/E26</f>
        <v>3.55494745407127</v>
      </c>
      <c r="AP26" s="112"/>
      <c r="AQ26" s="10"/>
    </row>
    <row r="27" customFormat="false" ht="12.95" hidden="false" customHeight="true" outlineLevel="0" collapsed="false">
      <c r="A27" s="18" t="n">
        <f aca="false">A26+1</f>
        <v>16</v>
      </c>
      <c r="B27" s="459" t="n">
        <v>6911.66</v>
      </c>
      <c r="C27" s="103" t="n">
        <v>328669</v>
      </c>
      <c r="D27" s="109" t="n">
        <f aca="false">C27-C26</f>
        <v>1092</v>
      </c>
      <c r="E27" s="103" t="n">
        <f aca="false">C27-152000</f>
        <v>176669</v>
      </c>
      <c r="F27" s="464" t="n">
        <f aca="false">D27/$D$2</f>
        <v>550.541971262919</v>
      </c>
      <c r="G27" s="140" t="n">
        <v>507</v>
      </c>
      <c r="H27" s="140" t="n">
        <v>7.6</v>
      </c>
      <c r="I27" s="140" t="n">
        <f aca="false">G27+H27</f>
        <v>514.6</v>
      </c>
      <c r="J27" s="465" t="n">
        <f aca="false">IF(L27&gt;0,L27,0)</f>
        <v>116.241971262919</v>
      </c>
      <c r="K27" s="140" t="n">
        <f aca="false">I27+J27</f>
        <v>630.841971262919</v>
      </c>
      <c r="L27" s="140" t="n">
        <f aca="false">F27-(I27-AF27)</f>
        <v>116.241971262919</v>
      </c>
      <c r="M27" s="142" t="n">
        <v>20</v>
      </c>
      <c r="N27" s="258" t="n">
        <f aca="false">1.8299*1.03</f>
        <v>1.884797</v>
      </c>
      <c r="O27" s="466" t="n">
        <f aca="false">(0.04+3.4)*1.05</f>
        <v>3.612</v>
      </c>
      <c r="P27" s="380" t="n">
        <v>0</v>
      </c>
      <c r="Q27" s="408" t="n">
        <f aca="false">1.62*1.02</f>
        <v>1.6524</v>
      </c>
      <c r="R27" s="408" t="n">
        <v>3.22</v>
      </c>
      <c r="S27" s="138" t="n">
        <v>0</v>
      </c>
      <c r="T27" s="456" t="n">
        <v>0</v>
      </c>
      <c r="U27" s="140" t="n">
        <v>0</v>
      </c>
      <c r="V27" s="140" t="n">
        <v>7.3</v>
      </c>
      <c r="W27" s="141" t="n">
        <f aca="false">M27-N27-O27-P27-Q27-R27-S27-T27+U27+V27</f>
        <v>16.930803</v>
      </c>
      <c r="X27" s="115" t="n">
        <f aca="false">X26+AN27-(AO27/1.9835)</f>
        <v>9333.0193230748</v>
      </c>
      <c r="Y27" s="457" t="n">
        <v>1714.14</v>
      </c>
      <c r="Z27" s="111"/>
      <c r="AA27" s="140" t="n">
        <v>0</v>
      </c>
      <c r="AB27" s="142" t="n">
        <v>1.7</v>
      </c>
      <c r="AC27" s="143" t="n">
        <v>1.3</v>
      </c>
      <c r="AD27" s="467" t="n">
        <v>53</v>
      </c>
      <c r="AE27" s="468" t="n">
        <f aca="false">AE26-AD27</f>
        <v>14677.823072851</v>
      </c>
      <c r="AF27" s="140" t="n">
        <f aca="false">N27+O27+P27+Q27+R27+S27+T27+W27+AA27+AD27</f>
        <v>80.3</v>
      </c>
      <c r="AG27" s="140" t="n">
        <f aca="false">IF(L27&lt;0,L27*-1,0)</f>
        <v>0</v>
      </c>
      <c r="AH27" s="466" t="n">
        <f aca="false">AF27+AG27</f>
        <v>80.3</v>
      </c>
      <c r="AI27" s="108" t="n">
        <v>0.04</v>
      </c>
      <c r="AJ27" s="147" t="n">
        <v>62</v>
      </c>
      <c r="AK27" s="110" t="n">
        <v>34</v>
      </c>
      <c r="AL27" s="115" t="n">
        <f aca="false">AL26</f>
        <v>9974.66972</v>
      </c>
      <c r="AM27" s="111"/>
      <c r="AN27" s="457" t="n">
        <f aca="false">I27-Q27-R27-W27-AB27</f>
        <v>491.096797</v>
      </c>
      <c r="AO27" s="458" t="n">
        <f aca="false">29.8*(X26*1.9835+AN27*1.9835+Y26*1.9835)/E27</f>
        <v>3.6966811863737</v>
      </c>
      <c r="AP27" s="112"/>
      <c r="AQ27" s="10"/>
    </row>
    <row r="28" customFormat="false" ht="12.95" hidden="false" customHeight="true" outlineLevel="0" collapsed="false">
      <c r="A28" s="18" t="n">
        <f aca="false">A27+1</f>
        <v>17</v>
      </c>
      <c r="B28" s="459" t="n">
        <v>6911.95</v>
      </c>
      <c r="C28" s="103" t="n">
        <v>329842</v>
      </c>
      <c r="D28" s="109" t="n">
        <f aca="false">C28-C27</f>
        <v>1173</v>
      </c>
      <c r="E28" s="103" t="n">
        <f aca="false">C28-152000</f>
        <v>177842</v>
      </c>
      <c r="F28" s="464" t="n">
        <f aca="false">D28/$D$2</f>
        <v>591.378875724729</v>
      </c>
      <c r="G28" s="140" t="n">
        <v>520</v>
      </c>
      <c r="H28" s="140" t="n">
        <v>6</v>
      </c>
      <c r="I28" s="140" t="n">
        <f aca="false">G28+H28</f>
        <v>526</v>
      </c>
      <c r="J28" s="465" t="n">
        <f aca="false">IF(L28&gt;0,L28,0)</f>
        <v>147.078875724729</v>
      </c>
      <c r="K28" s="140" t="n">
        <f aca="false">I28+J28</f>
        <v>673.078875724729</v>
      </c>
      <c r="L28" s="140" t="n">
        <f aca="false">F28-(I28-AF28)</f>
        <v>147.078875724729</v>
      </c>
      <c r="M28" s="142" t="n">
        <v>20</v>
      </c>
      <c r="N28" s="258" t="n">
        <f aca="false">1.8299*1.03</f>
        <v>1.884797</v>
      </c>
      <c r="O28" s="466" t="n">
        <f aca="false">(3.1+0.07)*1.05</f>
        <v>3.3285</v>
      </c>
      <c r="P28" s="380" t="n">
        <v>0</v>
      </c>
      <c r="Q28" s="408" t="n">
        <f aca="false">1.62*1.02</f>
        <v>1.6524</v>
      </c>
      <c r="R28" s="408" t="n">
        <v>3.25</v>
      </c>
      <c r="S28" s="138" t="n">
        <v>0</v>
      </c>
      <c r="T28" s="456" t="n">
        <v>0</v>
      </c>
      <c r="U28" s="140" t="n">
        <v>0</v>
      </c>
      <c r="V28" s="140" t="n">
        <v>8.7</v>
      </c>
      <c r="W28" s="141" t="n">
        <f aca="false">M28-N28-O28-P28-Q28-R28-S28-T28+U28+V28</f>
        <v>18.584303</v>
      </c>
      <c r="X28" s="115" t="n">
        <f aca="false">X27+AN28-(AO28/1.9835)</f>
        <v>9831.8975901939</v>
      </c>
      <c r="Y28" s="457" t="n">
        <v>1714.14</v>
      </c>
      <c r="Z28" s="111"/>
      <c r="AA28" s="140" t="n">
        <v>0</v>
      </c>
      <c r="AB28" s="142" t="n">
        <v>1.7</v>
      </c>
      <c r="AC28" s="143" t="n">
        <v>1.3</v>
      </c>
      <c r="AD28" s="467" t="n">
        <v>53</v>
      </c>
      <c r="AE28" s="468" t="n">
        <f aca="false">AE27-AD28</f>
        <v>14624.823072851</v>
      </c>
      <c r="AF28" s="140" t="n">
        <f aca="false">N28+O28+P28+Q28+R28+S28+T28+W28+AA28+AD28</f>
        <v>81.7</v>
      </c>
      <c r="AG28" s="140" t="n">
        <f aca="false">IF(L28&lt;0,L28*-1,0)</f>
        <v>0</v>
      </c>
      <c r="AH28" s="466" t="n">
        <f aca="false">AF28+AG28</f>
        <v>81.7</v>
      </c>
      <c r="AI28" s="108" t="n">
        <v>0</v>
      </c>
      <c r="AJ28" s="147" t="n">
        <v>58</v>
      </c>
      <c r="AK28" s="110" t="n">
        <v>30</v>
      </c>
      <c r="AL28" s="115" t="n">
        <f aca="false">AL27</f>
        <v>9974.66972</v>
      </c>
      <c r="AM28" s="111"/>
      <c r="AN28" s="457" t="n">
        <f aca="false">I28-Q28-R28-W28-AB28</f>
        <v>500.813297</v>
      </c>
      <c r="AO28" s="458" t="n">
        <f aca="false">29.8*(X27*1.9835+AN28*1.9835+Y27*1.9835)/E28</f>
        <v>3.83813176875635</v>
      </c>
      <c r="AP28" s="112"/>
      <c r="AQ28" s="10"/>
    </row>
    <row r="29" customFormat="false" ht="12.95" hidden="false" customHeight="true" outlineLevel="0" collapsed="false">
      <c r="A29" s="18" t="n">
        <f aca="false">A28+1</f>
        <v>18</v>
      </c>
      <c r="B29" s="459" t="n">
        <v>6912.21</v>
      </c>
      <c r="C29" s="103" t="n">
        <v>330900</v>
      </c>
      <c r="D29" s="109" t="n">
        <f aca="false">C29-C28</f>
        <v>1058</v>
      </c>
      <c r="E29" s="103" t="n">
        <f aca="false">C29-152000</f>
        <v>178900</v>
      </c>
      <c r="F29" s="464" t="n">
        <f aca="false">D29/$D$2</f>
        <v>533.400554575246</v>
      </c>
      <c r="G29" s="140" t="n">
        <v>543</v>
      </c>
      <c r="H29" s="140" t="n">
        <v>55</v>
      </c>
      <c r="I29" s="140" t="n">
        <f aca="false">G29+H29</f>
        <v>598</v>
      </c>
      <c r="J29" s="465" t="n">
        <f aca="false">IF(L29&gt;0,L29,0)</f>
        <v>21.4005545752458</v>
      </c>
      <c r="K29" s="140" t="n">
        <f aca="false">I29+J29</f>
        <v>619.400554575246</v>
      </c>
      <c r="L29" s="140" t="n">
        <f aca="false">F29-(I29-AF29)</f>
        <v>21.4005545752458</v>
      </c>
      <c r="M29" s="142" t="n">
        <v>21</v>
      </c>
      <c r="N29" s="258" t="n">
        <f aca="false">1.8299*1.03</f>
        <v>1.884797</v>
      </c>
      <c r="O29" s="466" t="n">
        <f aca="false">4.4*1.05</f>
        <v>4.62</v>
      </c>
      <c r="P29" s="380" t="n">
        <v>0</v>
      </c>
      <c r="Q29" s="408" t="n">
        <f aca="false">1.62*1.02</f>
        <v>1.6524</v>
      </c>
      <c r="R29" s="408" t="n">
        <v>3.36</v>
      </c>
      <c r="S29" s="138" t="n">
        <v>0</v>
      </c>
      <c r="T29" s="456" t="n">
        <v>0</v>
      </c>
      <c r="U29" s="140" t="n">
        <v>0</v>
      </c>
      <c r="V29" s="140" t="n">
        <v>12</v>
      </c>
      <c r="W29" s="141" t="n">
        <f aca="false">M29-N29-O29-P29-Q29-R29-S29-T29+U29+V29</f>
        <v>21.482803</v>
      </c>
      <c r="X29" s="115" t="n">
        <f aca="false">X28+AN29-(AO29/1.9835)</f>
        <v>10399.6842088645</v>
      </c>
      <c r="Y29" s="457" t="n">
        <v>1714</v>
      </c>
      <c r="Z29" s="111"/>
      <c r="AA29" s="140" t="n">
        <v>0</v>
      </c>
      <c r="AB29" s="142" t="n">
        <v>1.7</v>
      </c>
      <c r="AC29" s="143" t="n">
        <v>1.3</v>
      </c>
      <c r="AD29" s="467" t="n">
        <v>53</v>
      </c>
      <c r="AE29" s="468" t="n">
        <f aca="false">AE28-AD29</f>
        <v>14571.823072851</v>
      </c>
      <c r="AF29" s="140" t="n">
        <f aca="false">N29+O29+P29+Q29+R29+S29+T29+W29+AA29+AD29</f>
        <v>86</v>
      </c>
      <c r="AG29" s="140" t="n">
        <f aca="false">IF(L29&lt;0,L29*-1,0)</f>
        <v>0</v>
      </c>
      <c r="AH29" s="466" t="n">
        <f aca="false">AF29+AG29</f>
        <v>86</v>
      </c>
      <c r="AI29" s="108" t="n">
        <v>0</v>
      </c>
      <c r="AJ29" s="147" t="n">
        <v>62</v>
      </c>
      <c r="AK29" s="110" t="n">
        <v>34</v>
      </c>
      <c r="AL29" s="115" t="n">
        <f aca="false">AL28</f>
        <v>9974.66972</v>
      </c>
      <c r="AM29" s="111"/>
      <c r="AN29" s="457" t="n">
        <f aca="false">I29-Q29-R29-W29-AB29</f>
        <v>569.804797</v>
      </c>
      <c r="AO29" s="458" t="n">
        <f aca="false">29.8*(X28*1.9835+AN29*1.9835+Y28*1.9835)/E29</f>
        <v>4.00305671646156</v>
      </c>
      <c r="AP29" s="112"/>
      <c r="AQ29" s="10"/>
    </row>
    <row r="30" customFormat="false" ht="12.95" hidden="false" customHeight="true" outlineLevel="0" collapsed="false">
      <c r="A30" s="18" t="n">
        <f aca="false">A29+1</f>
        <v>19</v>
      </c>
      <c r="B30" s="459" t="n">
        <v>6912.48</v>
      </c>
      <c r="C30" s="103" t="n">
        <v>332001</v>
      </c>
      <c r="D30" s="109" t="n">
        <f aca="false">C30-C29</f>
        <v>1101</v>
      </c>
      <c r="E30" s="103" t="n">
        <f aca="false">C30-152000</f>
        <v>180001</v>
      </c>
      <c r="F30" s="464" t="n">
        <f aca="false">D30/$D$2</f>
        <v>555.079405092009</v>
      </c>
      <c r="G30" s="140" t="n">
        <v>539</v>
      </c>
      <c r="H30" s="140" t="n">
        <v>54</v>
      </c>
      <c r="I30" s="140" t="n">
        <f aca="false">G30+H30</f>
        <v>593</v>
      </c>
      <c r="J30" s="465" t="n">
        <f aca="false">IF(L30&gt;0,L30,0)</f>
        <v>112.079405092009</v>
      </c>
      <c r="K30" s="140" t="n">
        <f aca="false">I30+J30</f>
        <v>705.079405092009</v>
      </c>
      <c r="L30" s="140" t="n">
        <f aca="false">F30-(I30-AF30)</f>
        <v>112.079405092009</v>
      </c>
      <c r="M30" s="142" t="n">
        <v>50</v>
      </c>
      <c r="N30" s="258" t="n">
        <f aca="false">1.8299*1.03</f>
        <v>1.884797</v>
      </c>
      <c r="O30" s="466" t="n">
        <f aca="false">(9.6+7.7)*1.05</f>
        <v>18.165</v>
      </c>
      <c r="P30" s="380" t="n">
        <v>0</v>
      </c>
      <c r="Q30" s="408" t="n">
        <f aca="false">1.62*1.02</f>
        <v>1.6524</v>
      </c>
      <c r="R30" s="408" t="n">
        <v>3.08</v>
      </c>
      <c r="S30" s="138" t="n">
        <v>0</v>
      </c>
      <c r="T30" s="456" t="n">
        <v>0</v>
      </c>
      <c r="U30" s="140" t="n">
        <v>32</v>
      </c>
      <c r="V30" s="140" t="n">
        <v>15</v>
      </c>
      <c r="W30" s="141" t="n">
        <f aca="false">M30-N30-O30-P30-Q30-R30-S30-T30+U30+V30</f>
        <v>72.217803</v>
      </c>
      <c r="X30" s="115" t="n">
        <f aca="false">X29+AN30-(AO30/1.9835)</f>
        <v>10911.9433762937</v>
      </c>
      <c r="Y30" s="457" t="n">
        <v>1714</v>
      </c>
      <c r="Z30" s="111"/>
      <c r="AA30" s="140" t="n">
        <v>0</v>
      </c>
      <c r="AB30" s="142" t="n">
        <v>1.7</v>
      </c>
      <c r="AC30" s="143" t="n">
        <v>1.3</v>
      </c>
      <c r="AD30" s="467" t="n">
        <v>53</v>
      </c>
      <c r="AE30" s="468" t="n">
        <f aca="false">AE29-AD30</f>
        <v>14518.823072851</v>
      </c>
      <c r="AF30" s="140" t="n">
        <f aca="false">N30+O30+P30+Q30+R30+S30+T30+W30+AA30+AD30</f>
        <v>150</v>
      </c>
      <c r="AG30" s="140" t="n">
        <f aca="false">IF(L30&lt;0,L30*-1,0)</f>
        <v>0</v>
      </c>
      <c r="AH30" s="466" t="n">
        <f aca="false">AF30+AG30</f>
        <v>150</v>
      </c>
      <c r="AI30" s="108" t="n">
        <v>0</v>
      </c>
      <c r="AJ30" s="147" t="n">
        <v>53</v>
      </c>
      <c r="AK30" s="110" t="n">
        <v>21</v>
      </c>
      <c r="AL30" s="115" t="n">
        <f aca="false">AL29+(U30*1.9835)</f>
        <v>10038.14172</v>
      </c>
      <c r="AM30" s="111"/>
      <c r="AN30" s="457" t="n">
        <f aca="false">I30-Q30-R30-W30-AB30</f>
        <v>514.349797</v>
      </c>
      <c r="AO30" s="458" t="n">
        <f aca="false">29.8*(X29*1.9835+AN30*1.9835+Y29*1.9835)/E30</f>
        <v>4.14676375369491</v>
      </c>
      <c r="AP30" s="112"/>
      <c r="AQ30" s="10"/>
    </row>
    <row r="31" customFormat="false" ht="12.95" hidden="false" customHeight="true" outlineLevel="0" collapsed="false">
      <c r="A31" s="18" t="n">
        <f aca="false">A30+1</f>
        <v>20</v>
      </c>
      <c r="B31" s="459" t="n">
        <v>6912.7</v>
      </c>
      <c r="C31" s="103" t="n">
        <v>332898</v>
      </c>
      <c r="D31" s="109" t="n">
        <f aca="false">C31-C30</f>
        <v>897</v>
      </c>
      <c r="E31" s="103" t="n">
        <f aca="false">C31-152000</f>
        <v>180898</v>
      </c>
      <c r="F31" s="464" t="n">
        <f aca="false">D31/$D$2</f>
        <v>452.230904965969</v>
      </c>
      <c r="G31" s="140" t="n">
        <v>615</v>
      </c>
      <c r="H31" s="140" t="n">
        <v>56</v>
      </c>
      <c r="I31" s="140" t="n">
        <f aca="false">G31+H31</f>
        <v>671</v>
      </c>
      <c r="J31" s="465" t="n">
        <f aca="false">IF(L31&gt;0,L31,0)</f>
        <v>37.2309049659692</v>
      </c>
      <c r="K31" s="140" t="n">
        <f aca="false">I31+J31</f>
        <v>708.230904965969</v>
      </c>
      <c r="L31" s="140" t="n">
        <f aca="false">F31-(I31-AF31)</f>
        <v>37.2309049659692</v>
      </c>
      <c r="M31" s="142" t="n">
        <v>118</v>
      </c>
      <c r="N31" s="258" t="n">
        <f aca="false">1.8299*1.03</f>
        <v>1.884797</v>
      </c>
      <c r="O31" s="466" t="n">
        <f aca="false">(31+32)*1.05</f>
        <v>66.15</v>
      </c>
      <c r="P31" s="380" t="n">
        <v>0</v>
      </c>
      <c r="Q31" s="408" t="n">
        <f aca="false">1.62*1.02</f>
        <v>1.6524</v>
      </c>
      <c r="R31" s="408" t="n">
        <v>3.39</v>
      </c>
      <c r="S31" s="138" t="n">
        <v>0</v>
      </c>
      <c r="T31" s="456" t="n">
        <v>0</v>
      </c>
      <c r="U31" s="140" t="n">
        <v>65</v>
      </c>
      <c r="V31" s="140" t="n">
        <v>20</v>
      </c>
      <c r="W31" s="141" t="n">
        <f aca="false">M31-N31-O31-P31-Q31-R31-S31-T31+U31+V31</f>
        <v>129.922803</v>
      </c>
      <c r="X31" s="115" t="n">
        <f aca="false">X30+AN31-(AO31/1.9835)</f>
        <v>11444.1102317489</v>
      </c>
      <c r="Y31" s="457" t="n">
        <v>1714</v>
      </c>
      <c r="Z31" s="111"/>
      <c r="AA31" s="140" t="n">
        <v>0</v>
      </c>
      <c r="AB31" s="142" t="n">
        <v>1.7</v>
      </c>
      <c r="AC31" s="143" t="n">
        <v>1.3</v>
      </c>
      <c r="AD31" s="467" t="n">
        <v>53</v>
      </c>
      <c r="AE31" s="468" t="n">
        <f aca="false">AE30-AD31</f>
        <v>14465.823072851</v>
      </c>
      <c r="AF31" s="140" t="n">
        <f aca="false">N31+O31+P31+Q31+R31+S31+T31+W31+AA31+AD31</f>
        <v>256</v>
      </c>
      <c r="AG31" s="140" t="n">
        <f aca="false">IF(L31&lt;0,L31*-1,0)</f>
        <v>0</v>
      </c>
      <c r="AH31" s="466" t="n">
        <f aca="false">AF31+AG31</f>
        <v>256</v>
      </c>
      <c r="AI31" s="108" t="n">
        <v>0</v>
      </c>
      <c r="AJ31" s="147" t="n">
        <v>62</v>
      </c>
      <c r="AK31" s="110" t="n">
        <v>34</v>
      </c>
      <c r="AL31" s="115" t="n">
        <f aca="false">AL30+(U31*1.9835)</f>
        <v>10167.06922</v>
      </c>
      <c r="AM31" s="111"/>
      <c r="AN31" s="457" t="n">
        <f aca="false">I31-Q31-R31-W31-AB31</f>
        <v>534.334797</v>
      </c>
      <c r="AO31" s="458" t="n">
        <f aca="false">29.8*(X30*1.9835+AN31*1.9835+Y30*1.9835)/E31</f>
        <v>4.30011205403318</v>
      </c>
      <c r="AP31" s="112"/>
      <c r="AQ31" s="10"/>
    </row>
    <row r="32" customFormat="false" ht="12.95" hidden="false" customHeight="true" outlineLevel="0" collapsed="false">
      <c r="A32" s="18" t="n">
        <f aca="false">A31+1</f>
        <v>21</v>
      </c>
      <c r="B32" s="459" t="n">
        <v>6912.94</v>
      </c>
      <c r="C32" s="103" t="n">
        <v>333877</v>
      </c>
      <c r="D32" s="109" t="n">
        <f aca="false">C32-C31</f>
        <v>979</v>
      </c>
      <c r="E32" s="103" t="n">
        <f aca="false">C32-152000</f>
        <v>181877</v>
      </c>
      <c r="F32" s="464" t="n">
        <f aca="false">D32/$D$2</f>
        <v>493.571968742123</v>
      </c>
      <c r="G32" s="140" t="n">
        <v>648</v>
      </c>
      <c r="H32" s="140" t="n">
        <v>56</v>
      </c>
      <c r="I32" s="140" t="n">
        <f aca="false">G32+H32</f>
        <v>704</v>
      </c>
      <c r="J32" s="465" t="n">
        <f aca="false">IF(L32&gt;0,L32,0)</f>
        <v>66.5719687421225</v>
      </c>
      <c r="K32" s="140" t="n">
        <f aca="false">I32+J32</f>
        <v>770.571968742123</v>
      </c>
      <c r="L32" s="140" t="n">
        <f aca="false">F32-(I32-AF32)</f>
        <v>66.5719687421225</v>
      </c>
      <c r="M32" s="142" t="n">
        <v>134</v>
      </c>
      <c r="N32" s="258" t="n">
        <f aca="false">1.8299*1.03</f>
        <v>1.884797</v>
      </c>
      <c r="O32" s="466" t="n">
        <f aca="false">(44+44)*1.05</f>
        <v>92.4</v>
      </c>
      <c r="P32" s="380" t="n">
        <v>0</v>
      </c>
      <c r="Q32" s="408" t="n">
        <f aca="false">1.62*1.02</f>
        <v>1.6524</v>
      </c>
      <c r="R32" s="408" t="n">
        <v>3.83</v>
      </c>
      <c r="S32" s="138" t="n">
        <v>0</v>
      </c>
      <c r="T32" s="456" t="n">
        <v>0</v>
      </c>
      <c r="U32" s="140" t="n">
        <v>66</v>
      </c>
      <c r="V32" s="140" t="n">
        <v>24</v>
      </c>
      <c r="W32" s="141" t="n">
        <f aca="false">M32-N32-O32-P32-Q32-R32-S32-T32+U32+V32</f>
        <v>124.232803</v>
      </c>
      <c r="X32" s="115" t="n">
        <f aca="false">X31+AN32-(AO32/1.9835)</f>
        <v>12014.4452956223</v>
      </c>
      <c r="Y32" s="457" t="n">
        <v>1714</v>
      </c>
      <c r="Z32" s="111"/>
      <c r="AA32" s="140" t="n">
        <v>0</v>
      </c>
      <c r="AB32" s="142" t="n">
        <v>1.7</v>
      </c>
      <c r="AC32" s="143" t="n">
        <v>1.3</v>
      </c>
      <c r="AD32" s="467" t="n">
        <v>53</v>
      </c>
      <c r="AE32" s="468" t="n">
        <f aca="false">AE31-AD32</f>
        <v>14412.823072851</v>
      </c>
      <c r="AF32" s="140" t="n">
        <f aca="false">N32+O32+P32+Q32+R32+S32+T32+W32+AA32+AD32</f>
        <v>277</v>
      </c>
      <c r="AG32" s="140" t="n">
        <f aca="false">IF(L32&lt;0,L32*-1,0)</f>
        <v>0</v>
      </c>
      <c r="AH32" s="466" t="n">
        <f aca="false">AF32+AG32</f>
        <v>277</v>
      </c>
      <c r="AI32" s="108" t="n">
        <v>0.01</v>
      </c>
      <c r="AJ32" s="109" t="n">
        <v>49</v>
      </c>
      <c r="AK32" s="110" t="n">
        <v>33</v>
      </c>
      <c r="AL32" s="115" t="n">
        <f aca="false">AL31+(U32*1.9835)</f>
        <v>10297.98022</v>
      </c>
      <c r="AM32" s="111"/>
      <c r="AN32" s="457" t="n">
        <f aca="false">I32-Q32-R32-W32-AB32</f>
        <v>572.584797</v>
      </c>
      <c r="AO32" s="458" t="n">
        <f aca="false">29.8*(X31*1.9835+AN32*1.9835+Y31*1.9835)/E32</f>
        <v>4.46234565650301</v>
      </c>
      <c r="AP32" s="112"/>
      <c r="AQ32" s="10"/>
    </row>
    <row r="33" customFormat="false" ht="12.95" hidden="false" customHeight="true" outlineLevel="0" collapsed="false">
      <c r="A33" s="18" t="n">
        <f aca="false">A32+1</f>
        <v>22</v>
      </c>
      <c r="B33" s="459" t="n">
        <v>6913.16</v>
      </c>
      <c r="C33" s="103" t="n">
        <v>334779</v>
      </c>
      <c r="D33" s="109" t="n">
        <f aca="false">C33-C32</f>
        <v>902</v>
      </c>
      <c r="E33" s="103" t="n">
        <f aca="false">C33-152000</f>
        <v>182779</v>
      </c>
      <c r="F33" s="464" t="n">
        <f aca="false">D33/$D$2</f>
        <v>454.751701537686</v>
      </c>
      <c r="G33" s="140" t="n">
        <v>594</v>
      </c>
      <c r="H33" s="140" t="n">
        <v>50</v>
      </c>
      <c r="I33" s="140" t="n">
        <f aca="false">G33+H33</f>
        <v>644</v>
      </c>
      <c r="J33" s="465" t="n">
        <f aca="false">IF(L33&gt;0,L33,0)</f>
        <v>63.7517015376859</v>
      </c>
      <c r="K33" s="140" t="n">
        <f aca="false">I33+J33</f>
        <v>707.751701537686</v>
      </c>
      <c r="L33" s="140" t="n">
        <f aca="false">F33-(I33-AF33)</f>
        <v>63.7517015376859</v>
      </c>
      <c r="M33" s="142" t="n">
        <v>109</v>
      </c>
      <c r="N33" s="258" t="n">
        <f aca="false">1.8299*1.03</f>
        <v>1.884797</v>
      </c>
      <c r="O33" s="466" t="n">
        <f aca="false">(38+37)*1.05</f>
        <v>78.75</v>
      </c>
      <c r="P33" s="380" t="n">
        <v>0</v>
      </c>
      <c r="Q33" s="408" t="n">
        <f aca="false">1.62*1.02</f>
        <v>1.6524</v>
      </c>
      <c r="R33" s="408" t="n">
        <v>3.53</v>
      </c>
      <c r="S33" s="138" t="n">
        <v>0</v>
      </c>
      <c r="T33" s="456" t="n">
        <v>0</v>
      </c>
      <c r="U33" s="140" t="n">
        <v>66</v>
      </c>
      <c r="V33" s="140" t="n">
        <v>25</v>
      </c>
      <c r="W33" s="141" t="n">
        <f aca="false">M33-N33-O33-P33-Q33-R33-S33-T33+U33+V33</f>
        <v>114.182803</v>
      </c>
      <c r="X33" s="115" t="n">
        <f aca="false">X32+AN33-(AO33/1.9835)</f>
        <v>12535.05657008</v>
      </c>
      <c r="Y33" s="457" t="n">
        <v>1714</v>
      </c>
      <c r="Z33" s="111"/>
      <c r="AA33" s="140" t="n">
        <v>0</v>
      </c>
      <c r="AB33" s="142" t="n">
        <v>1.7</v>
      </c>
      <c r="AC33" s="143" t="n">
        <v>1.3</v>
      </c>
      <c r="AD33" s="467" t="n">
        <v>53</v>
      </c>
      <c r="AE33" s="468" t="n">
        <f aca="false">AE32-AD33</f>
        <v>14359.823072851</v>
      </c>
      <c r="AF33" s="140" t="n">
        <f aca="false">N33+O33+P33+Q33+R33+S33+T33+W33+AA33+AD33</f>
        <v>253</v>
      </c>
      <c r="AG33" s="140" t="n">
        <f aca="false">IF(L33&lt;0,L33*-1,0)</f>
        <v>0</v>
      </c>
      <c r="AH33" s="466" t="n">
        <f aca="false">AF33+AG33</f>
        <v>253</v>
      </c>
      <c r="AI33" s="108" t="n">
        <v>0</v>
      </c>
      <c r="AJ33" s="109" t="n">
        <v>57</v>
      </c>
      <c r="AK33" s="110" t="n">
        <v>30</v>
      </c>
      <c r="AL33" s="115" t="n">
        <f aca="false">AL32+(U33*1.9835)</f>
        <v>10428.89122</v>
      </c>
      <c r="AM33" s="111"/>
      <c r="AN33" s="457" t="n">
        <f aca="false">I33-Q33-R33-W33-AB33</f>
        <v>522.934797</v>
      </c>
      <c r="AO33" s="458" t="n">
        <f aca="false">29.8*(X32*1.9835+AN33*1.9835+Y32*1.9835)/E33</f>
        <v>4.60870696266392</v>
      </c>
      <c r="AP33" s="112"/>
      <c r="AQ33" s="10"/>
    </row>
    <row r="34" customFormat="false" ht="12.95" hidden="false" customHeight="true" outlineLevel="0" collapsed="false">
      <c r="A34" s="18" t="n">
        <f aca="false">A33+1</f>
        <v>23</v>
      </c>
      <c r="B34" s="459" t="n">
        <v>6913.39</v>
      </c>
      <c r="C34" s="103" t="n">
        <v>335724</v>
      </c>
      <c r="D34" s="109" t="n">
        <f aca="false">C34-C33</f>
        <v>945</v>
      </c>
      <c r="E34" s="103" t="n">
        <f aca="false">C34-152000</f>
        <v>183724</v>
      </c>
      <c r="F34" s="464" t="n">
        <f aca="false">D34/$D$2</f>
        <v>476.430552054449</v>
      </c>
      <c r="G34" s="140" t="n">
        <v>580</v>
      </c>
      <c r="H34" s="140" t="n">
        <v>48</v>
      </c>
      <c r="I34" s="140" t="n">
        <f aca="false">G34+H34</f>
        <v>628</v>
      </c>
      <c r="J34" s="465" t="n">
        <f aca="false">IF(L34&gt;0,L34,0)</f>
        <v>130.430552054449</v>
      </c>
      <c r="K34" s="140" t="n">
        <f aca="false">I34+J34</f>
        <v>758.430552054449</v>
      </c>
      <c r="L34" s="140" t="n">
        <f aca="false">F34-(I34-AF34)</f>
        <v>130.430552054449</v>
      </c>
      <c r="M34" s="142" t="n">
        <v>125</v>
      </c>
      <c r="N34" s="258" t="n">
        <f aca="false">1.8299*1.03</f>
        <v>1.884797</v>
      </c>
      <c r="O34" s="466" t="n">
        <f aca="false">(42+40)*1.05</f>
        <v>86.1</v>
      </c>
      <c r="P34" s="380" t="n">
        <v>0</v>
      </c>
      <c r="Q34" s="408" t="n">
        <f aca="false">1.62*1.02</f>
        <v>1.6524</v>
      </c>
      <c r="R34" s="408" t="n">
        <v>3.78</v>
      </c>
      <c r="S34" s="138" t="n">
        <v>0</v>
      </c>
      <c r="T34" s="456" t="n">
        <v>0</v>
      </c>
      <c r="U34" s="140" t="n">
        <v>66</v>
      </c>
      <c r="V34" s="140" t="n">
        <v>27</v>
      </c>
      <c r="W34" s="141" t="n">
        <f aca="false">M34-N34-O34-P34-Q34-R34-S34-T34+U34+V34</f>
        <v>124.582803</v>
      </c>
      <c r="X34" s="115" t="n">
        <f aca="false">X33+AN34-(AO34/1.9835)</f>
        <v>13028.9496753428</v>
      </c>
      <c r="Y34" s="457" t="n">
        <v>1714</v>
      </c>
      <c r="Z34" s="111"/>
      <c r="AA34" s="140" t="n">
        <v>11</v>
      </c>
      <c r="AB34" s="142" t="n">
        <v>1.7</v>
      </c>
      <c r="AC34" s="143" t="n">
        <v>1.3</v>
      </c>
      <c r="AD34" s="467" t="n">
        <v>53</v>
      </c>
      <c r="AE34" s="468" t="n">
        <f aca="false">AE33-AD34</f>
        <v>14306.823072851</v>
      </c>
      <c r="AF34" s="140" t="n">
        <f aca="false">N34+O34+P34+Q34+R34+S34+T34+W34+AA34+AD34</f>
        <v>282</v>
      </c>
      <c r="AG34" s="140" t="n">
        <f aca="false">IF(L34&lt;0,L34*-1,0)</f>
        <v>0</v>
      </c>
      <c r="AH34" s="466" t="n">
        <f aca="false">AF34+AG34</f>
        <v>282</v>
      </c>
      <c r="AI34" s="108" t="n">
        <v>0.08</v>
      </c>
      <c r="AJ34" s="109" t="n">
        <v>47</v>
      </c>
      <c r="AK34" s="148" t="n">
        <v>30</v>
      </c>
      <c r="AL34" s="115" t="n">
        <f aca="false">AL33+53.03</f>
        <v>10481.92122</v>
      </c>
      <c r="AM34" s="111"/>
      <c r="AN34" s="457" t="n">
        <f aca="false">I34-Q34-R34-W34-AB34</f>
        <v>496.284797</v>
      </c>
      <c r="AO34" s="458" t="n">
        <f aca="false">29.8*(X33*1.9835+AN34*1.9835+Y33*1.9835)/E34</f>
        <v>4.74392056088359</v>
      </c>
      <c r="AP34" s="112"/>
      <c r="AQ34" s="10"/>
    </row>
    <row r="35" customFormat="false" ht="12.95" hidden="false" customHeight="true" outlineLevel="0" collapsed="false">
      <c r="A35" s="18" t="n">
        <f aca="false">A34+1</f>
        <v>24</v>
      </c>
      <c r="B35" s="459" t="n">
        <v>6913.57</v>
      </c>
      <c r="C35" s="103" t="n">
        <v>336464</v>
      </c>
      <c r="D35" s="109" t="n">
        <f aca="false">C35-C34</f>
        <v>740</v>
      </c>
      <c r="E35" s="103" t="n">
        <f aca="false">C35-152000</f>
        <v>184464</v>
      </c>
      <c r="F35" s="464" t="n">
        <f aca="false">D35/$D$2</f>
        <v>373.077892614066</v>
      </c>
      <c r="G35" s="140" t="n">
        <v>556</v>
      </c>
      <c r="H35" s="140" t="n">
        <v>46</v>
      </c>
      <c r="I35" s="140" t="n">
        <f aca="false">G35+H35</f>
        <v>602</v>
      </c>
      <c r="J35" s="465" t="n">
        <f aca="false">IF(L35&gt;0,L35,0)</f>
        <v>67.0778926140661</v>
      </c>
      <c r="K35" s="140" t="n">
        <f aca="false">I35+J35</f>
        <v>669.077892614066</v>
      </c>
      <c r="L35" s="140" t="n">
        <f aca="false">F35-(I35-AF35)</f>
        <v>67.0778926140661</v>
      </c>
      <c r="M35" s="142" t="n">
        <v>155</v>
      </c>
      <c r="N35" s="258" t="n">
        <f aca="false">1.8299*1.03</f>
        <v>1.884797</v>
      </c>
      <c r="O35" s="466" t="n">
        <f aca="false">(53+55)*1.05</f>
        <v>113.4</v>
      </c>
      <c r="P35" s="380" t="n">
        <v>0</v>
      </c>
      <c r="Q35" s="408" t="n">
        <f aca="false">1.62*1.02</f>
        <v>1.6524</v>
      </c>
      <c r="R35" s="408" t="n">
        <v>3.44</v>
      </c>
      <c r="S35" s="138" t="n">
        <v>0</v>
      </c>
      <c r="T35" s="456" t="n">
        <v>0</v>
      </c>
      <c r="U35" s="140" t="n">
        <v>29</v>
      </c>
      <c r="V35" s="140" t="n">
        <v>29</v>
      </c>
      <c r="W35" s="141" t="n">
        <f aca="false">M35-N35-O35-P35-Q35-R35-S35-T35+U35+V35</f>
        <v>92.622803</v>
      </c>
      <c r="X35" s="115" t="n">
        <f aca="false">X34+AN35-(AO35/1.9835)</f>
        <v>13529.0715694063</v>
      </c>
      <c r="Y35" s="457" t="n">
        <v>1714</v>
      </c>
      <c r="Z35" s="111"/>
      <c r="AA35" s="140" t="n">
        <v>30</v>
      </c>
      <c r="AB35" s="142" t="n">
        <v>1.7</v>
      </c>
      <c r="AC35" s="143" t="n">
        <v>1.3</v>
      </c>
      <c r="AD35" s="467" t="n">
        <v>53</v>
      </c>
      <c r="AE35" s="468" t="n">
        <f aca="false">AE34-AD35</f>
        <v>14253.823072851</v>
      </c>
      <c r="AF35" s="140" t="n">
        <f aca="false">N35+O35+P35+Q35+R35+S35+T35+W35+AA35+AD35</f>
        <v>296</v>
      </c>
      <c r="AG35" s="140" t="n">
        <f aca="false">IF(L35&lt;0,L35*-1,0)</f>
        <v>0</v>
      </c>
      <c r="AH35" s="466" t="n">
        <f aca="false">AF35+AG35</f>
        <v>296</v>
      </c>
      <c r="AI35" s="108" t="n">
        <v>0.01</v>
      </c>
      <c r="AJ35" s="109" t="n">
        <v>54</v>
      </c>
      <c r="AK35" s="148" t="n">
        <v>31</v>
      </c>
      <c r="AL35" s="115" t="n">
        <f aca="false">AL34</f>
        <v>10481.92122</v>
      </c>
      <c r="AM35" s="111"/>
      <c r="AN35" s="457" t="n">
        <f aca="false">I35-Q35-R35-W35-AB35</f>
        <v>502.584797</v>
      </c>
      <c r="AO35" s="458" t="n">
        <f aca="false">29.8*(X34*1.9835+AN35*1.9835+Y34*1.9835)/E35</f>
        <v>4.88516797451848</v>
      </c>
      <c r="AP35" s="112"/>
      <c r="AQ35" s="10"/>
    </row>
    <row r="36" customFormat="false" ht="12.95" hidden="false" customHeight="true" outlineLevel="0" collapsed="false">
      <c r="A36" s="18" t="n">
        <f aca="false">A35+1</f>
        <v>25</v>
      </c>
      <c r="B36" s="459" t="n">
        <v>6913.74</v>
      </c>
      <c r="C36" s="103" t="n">
        <v>337162</v>
      </c>
      <c r="D36" s="109" t="n">
        <f aca="false">C36-C35</f>
        <v>698</v>
      </c>
      <c r="E36" s="103" t="n">
        <f aca="false">C36-152000</f>
        <v>185162</v>
      </c>
      <c r="F36" s="464" t="n">
        <f aca="false">D36/$D$2</f>
        <v>351.903201411646</v>
      </c>
      <c r="G36" s="140" t="n">
        <v>529</v>
      </c>
      <c r="H36" s="140" t="n">
        <v>45</v>
      </c>
      <c r="I36" s="140" t="n">
        <f aca="false">G36+H36</f>
        <v>574</v>
      </c>
      <c r="J36" s="465" t="n">
        <f aca="false">IF(L36&gt;0,L36,0)</f>
        <v>85.9032014116461</v>
      </c>
      <c r="K36" s="140" t="n">
        <f aca="false">I36+J36</f>
        <v>659.903201411646</v>
      </c>
      <c r="L36" s="140" t="n">
        <f aca="false">F36-(I36-AF36)</f>
        <v>85.9032014116461</v>
      </c>
      <c r="M36" s="142" t="n">
        <v>165</v>
      </c>
      <c r="N36" s="258" t="n">
        <f aca="false">1.8299*1.03</f>
        <v>1.884797</v>
      </c>
      <c r="O36" s="466" t="n">
        <f aca="false">(51+48)*1.05</f>
        <v>103.95</v>
      </c>
      <c r="P36" s="380" t="n">
        <v>0</v>
      </c>
      <c r="Q36" s="408" t="n">
        <f aca="false">1.62*1.02</f>
        <v>1.6524</v>
      </c>
      <c r="R36" s="408" t="n">
        <v>4.05</v>
      </c>
      <c r="S36" s="138" t="n">
        <v>0</v>
      </c>
      <c r="T36" s="456" t="n">
        <v>0</v>
      </c>
      <c r="U36" s="140" t="n">
        <v>16</v>
      </c>
      <c r="V36" s="140" t="n">
        <v>28</v>
      </c>
      <c r="W36" s="141" t="n">
        <f aca="false">M36-N36-O36-P36-Q36-R36-S36-T36+U36+V36</f>
        <v>97.462803</v>
      </c>
      <c r="X36" s="115" t="n">
        <f aca="false">X35+AN36-(AO36/1.9835)</f>
        <v>13995.6776415614</v>
      </c>
      <c r="Y36" s="457" t="n">
        <v>1714</v>
      </c>
      <c r="Z36" s="111"/>
      <c r="AA36" s="140" t="n">
        <v>47</v>
      </c>
      <c r="AB36" s="142" t="n">
        <v>1.7</v>
      </c>
      <c r="AC36" s="143" t="n">
        <v>1.3</v>
      </c>
      <c r="AD36" s="467" t="n">
        <v>52</v>
      </c>
      <c r="AE36" s="468" t="n">
        <f aca="false">AE35-AD36</f>
        <v>14201.823072851</v>
      </c>
      <c r="AF36" s="140" t="n">
        <f aca="false">N36+O36+P36+Q36+R36+S36+T36+W36+AA36+AD36</f>
        <v>308</v>
      </c>
      <c r="AG36" s="140" t="n">
        <f aca="false">IF(L36&lt;0,L36*-1,0)</f>
        <v>0</v>
      </c>
      <c r="AH36" s="466" t="n">
        <f aca="false">AF36+AG36</f>
        <v>308</v>
      </c>
      <c r="AI36" s="108" t="n">
        <v>0</v>
      </c>
      <c r="AJ36" s="109" t="n">
        <v>65</v>
      </c>
      <c r="AK36" s="148" t="n">
        <v>29</v>
      </c>
      <c r="AL36" s="115" t="n">
        <f aca="false">AL35</f>
        <v>10481.92122</v>
      </c>
      <c r="AM36" s="111"/>
      <c r="AN36" s="457" t="n">
        <f aca="false">I36-Q36-R36-W36-AB36</f>
        <v>469.134797</v>
      </c>
      <c r="AO36" s="458" t="n">
        <f aca="false">29.8*(X35*1.9835+AN36*1.9835+Y35*1.9835)/E36</f>
        <v>5.0157257297256</v>
      </c>
      <c r="AP36" s="112"/>
      <c r="AQ36" s="10"/>
    </row>
    <row r="37" customFormat="false" ht="12.95" hidden="false" customHeight="true" outlineLevel="0" collapsed="false">
      <c r="A37" s="18" t="n">
        <f aca="false">A36+1</f>
        <v>26</v>
      </c>
      <c r="B37" s="459" t="n">
        <v>6913.98</v>
      </c>
      <c r="C37" s="103" t="n">
        <v>338148</v>
      </c>
      <c r="D37" s="109" t="n">
        <f aca="false">C37-C36</f>
        <v>986</v>
      </c>
      <c r="E37" s="103" t="n">
        <f aca="false">C37-152000</f>
        <v>186148</v>
      </c>
      <c r="F37" s="464" t="n">
        <f aca="false">D37/$D$2</f>
        <v>497.101083942526</v>
      </c>
      <c r="G37" s="140" t="n">
        <v>574</v>
      </c>
      <c r="H37" s="140" t="n">
        <v>45</v>
      </c>
      <c r="I37" s="140" t="n">
        <f aca="false">G37+H37</f>
        <v>619</v>
      </c>
      <c r="J37" s="465" t="n">
        <f aca="false">IF(L37&gt;0,L37,0)</f>
        <v>185.101083942526</v>
      </c>
      <c r="K37" s="140" t="n">
        <f aca="false">I37+J37</f>
        <v>804.101083942526</v>
      </c>
      <c r="L37" s="140" t="n">
        <f aca="false">F37-(I37-AF37)</f>
        <v>185.101083942526</v>
      </c>
      <c r="M37" s="142" t="n">
        <v>174</v>
      </c>
      <c r="N37" s="258" t="n">
        <f aca="false">1.8299*1.03</f>
        <v>1.884797</v>
      </c>
      <c r="O37" s="466" t="n">
        <f aca="false">(54+46)*1.09835</f>
        <v>109.835</v>
      </c>
      <c r="P37" s="380" t="n">
        <v>0</v>
      </c>
      <c r="Q37" s="408" t="n">
        <f aca="false">1.62*1.02</f>
        <v>1.6524</v>
      </c>
      <c r="R37" s="408" t="n">
        <v>3.42</v>
      </c>
      <c r="S37" s="138" t="n">
        <v>0</v>
      </c>
      <c r="T37" s="456" t="n">
        <v>0</v>
      </c>
      <c r="U37" s="140" t="n">
        <v>26</v>
      </c>
      <c r="V37" s="140" t="n">
        <v>27</v>
      </c>
      <c r="W37" s="141" t="n">
        <f aca="false">M37-N37-O37-P37-Q37-R37-S37-T37+U37+V37</f>
        <v>110.207803</v>
      </c>
      <c r="X37" s="115" t="n">
        <f aca="false">X36+AN37-(AO37/1.9835)</f>
        <v>14495.1021456565</v>
      </c>
      <c r="Y37" s="457" t="n">
        <v>1714</v>
      </c>
      <c r="Z37" s="111"/>
      <c r="AA37" s="140" t="n">
        <v>30</v>
      </c>
      <c r="AB37" s="142" t="n">
        <v>1.7</v>
      </c>
      <c r="AC37" s="143" t="n">
        <v>1.3</v>
      </c>
      <c r="AD37" s="467" t="n">
        <v>50</v>
      </c>
      <c r="AE37" s="468" t="n">
        <f aca="false">AE36-AD37</f>
        <v>14151.823072851</v>
      </c>
      <c r="AF37" s="140" t="n">
        <f aca="false">N37+O37+P37+Q37+R37+S37+T37+W37+AA37+AD37</f>
        <v>307</v>
      </c>
      <c r="AG37" s="140" t="n">
        <f aca="false">IF(L37&lt;0,L37*-1,0)</f>
        <v>0</v>
      </c>
      <c r="AH37" s="466" t="n">
        <f aca="false">AF37+AG37</f>
        <v>307</v>
      </c>
      <c r="AI37" s="108" t="n">
        <v>0</v>
      </c>
      <c r="AJ37" s="109" t="n">
        <v>66</v>
      </c>
      <c r="AK37" s="110" t="n">
        <v>33</v>
      </c>
      <c r="AL37" s="115" t="n">
        <f aca="false">AL36</f>
        <v>10481.92122</v>
      </c>
      <c r="AM37" s="111"/>
      <c r="AN37" s="457" t="n">
        <f aca="false">I37-Q37-R37-W37-AB37</f>
        <v>502.019797</v>
      </c>
      <c r="AO37" s="458" t="n">
        <f aca="false">29.8*(X36*1.9835+AN37*1.9835+Y36*1.9835)/E37</f>
        <v>5.14776347695233</v>
      </c>
      <c r="AP37" s="112"/>
      <c r="AQ37" s="3"/>
    </row>
    <row r="38" customFormat="false" ht="12.95" hidden="false" customHeight="true" outlineLevel="0" collapsed="false">
      <c r="A38" s="18" t="n">
        <f aca="false">A37+1</f>
        <v>27</v>
      </c>
      <c r="B38" s="459" t="n">
        <v>6914.2</v>
      </c>
      <c r="C38" s="103" t="n">
        <v>339059</v>
      </c>
      <c r="D38" s="109" t="n">
        <f aca="false">C38-C37</f>
        <v>911</v>
      </c>
      <c r="E38" s="103" t="n">
        <f aca="false">C38-152000</f>
        <v>187059</v>
      </c>
      <c r="F38" s="464" t="n">
        <f aca="false">D38/$D$2</f>
        <v>459.289135366776</v>
      </c>
      <c r="G38" s="140" t="n">
        <v>595</v>
      </c>
      <c r="H38" s="140" t="n">
        <v>24</v>
      </c>
      <c r="I38" s="140" t="n">
        <f aca="false">G38+H38</f>
        <v>619</v>
      </c>
      <c r="J38" s="465" t="n">
        <f aca="false">IF(L38&gt;0,L38,0)</f>
        <v>112.289135366776</v>
      </c>
      <c r="K38" s="140" t="n">
        <f aca="false">I38+J38</f>
        <v>731.289135366776</v>
      </c>
      <c r="L38" s="140" t="n">
        <f aca="false">F38-(I38-AF38)</f>
        <v>112.289135366776</v>
      </c>
      <c r="M38" s="142" t="n">
        <v>157</v>
      </c>
      <c r="N38" s="258" t="n">
        <f aca="false">1.8299*1.03</f>
        <v>1.884797</v>
      </c>
      <c r="O38" s="466" t="n">
        <f aca="false">(33+31)*1.05</f>
        <v>67.2</v>
      </c>
      <c r="P38" s="380" t="n">
        <v>0</v>
      </c>
      <c r="Q38" s="408" t="n">
        <f aca="false">1.62*1.02</f>
        <v>1.6524</v>
      </c>
      <c r="R38" s="408" t="n">
        <v>4.2</v>
      </c>
      <c r="S38" s="138" t="n">
        <v>0.64</v>
      </c>
      <c r="T38" s="456" t="n">
        <v>0</v>
      </c>
      <c r="U38" s="140" t="n">
        <v>26</v>
      </c>
      <c r="V38" s="140" t="n">
        <v>28</v>
      </c>
      <c r="W38" s="141" t="n">
        <f aca="false">M38-N38-O38-P38-Q38-R38-S38-T38+U38+V38</f>
        <v>135.422803</v>
      </c>
      <c r="X38" s="115" t="n">
        <f aca="false">X37+AN38-(AO38/1.9835)</f>
        <v>14968.4688680229</v>
      </c>
      <c r="Y38" s="457" t="n">
        <v>1714</v>
      </c>
      <c r="Z38" s="111"/>
      <c r="AA38" s="140" t="n">
        <v>11</v>
      </c>
      <c r="AB38" s="142" t="n">
        <v>1.7</v>
      </c>
      <c r="AC38" s="143" t="n">
        <v>1.3</v>
      </c>
      <c r="AD38" s="467" t="n">
        <v>50</v>
      </c>
      <c r="AE38" s="468" t="n">
        <f aca="false">AE37-AD38</f>
        <v>14101.823072851</v>
      </c>
      <c r="AF38" s="140" t="n">
        <f aca="false">N38+O38+P38+Q38+R38+S38+T38+W38+AA38+AD38</f>
        <v>272</v>
      </c>
      <c r="AG38" s="140" t="n">
        <f aca="false">IF(L38&lt;0,L38*-1,0)</f>
        <v>0</v>
      </c>
      <c r="AH38" s="466" t="n">
        <f aca="false">AF38+AG38</f>
        <v>272</v>
      </c>
      <c r="AI38" s="108" t="n">
        <v>0</v>
      </c>
      <c r="AJ38" s="109" t="n">
        <v>72</v>
      </c>
      <c r="AK38" s="110" t="n">
        <v>39</v>
      </c>
      <c r="AL38" s="115" t="n">
        <f aca="false">AL37</f>
        <v>10481.92122</v>
      </c>
      <c r="AM38" s="111"/>
      <c r="AN38" s="457" t="n">
        <f aca="false">I38-Q38-R38-W38-AB38</f>
        <v>476.024797</v>
      </c>
      <c r="AO38" s="458" t="n">
        <f aca="false">29.8*(X37*1.9835+AN38*1.9835+Y37*1.9835)/E38</f>
        <v>5.27229103579418</v>
      </c>
      <c r="AP38" s="112"/>
      <c r="AQ38" s="10"/>
    </row>
    <row r="39" customFormat="false" ht="12.95" hidden="false" customHeight="true" outlineLevel="0" collapsed="false">
      <c r="A39" s="18" t="n">
        <f aca="false">A38+1</f>
        <v>28</v>
      </c>
      <c r="B39" s="459" t="n">
        <v>6914.48</v>
      </c>
      <c r="C39" s="103" t="n">
        <v>340219</v>
      </c>
      <c r="D39" s="109" t="n">
        <f aca="false">C39-C38</f>
        <v>1160</v>
      </c>
      <c r="E39" s="103" t="n">
        <f aca="false">C39-152000</f>
        <v>188219</v>
      </c>
      <c r="F39" s="464" t="n">
        <f aca="false">D39/$D$2</f>
        <v>584.824804638266</v>
      </c>
      <c r="G39" s="140" t="n">
        <v>762</v>
      </c>
      <c r="H39" s="140" t="n">
        <v>23</v>
      </c>
      <c r="I39" s="140" t="n">
        <f aca="false">G39+H39</f>
        <v>785</v>
      </c>
      <c r="J39" s="465" t="n">
        <f aca="false">IF(L39&gt;0,L39,0)</f>
        <v>81.9248046382658</v>
      </c>
      <c r="K39" s="140" t="n">
        <f aca="false">I39+J39</f>
        <v>866.924804638266</v>
      </c>
      <c r="L39" s="140" t="n">
        <f aca="false">F39-(I39-AF39)</f>
        <v>81.9248046382658</v>
      </c>
      <c r="M39" s="142" t="n">
        <v>169</v>
      </c>
      <c r="N39" s="258" t="n">
        <f aca="false">1.8299*1.03</f>
        <v>1.884797</v>
      </c>
      <c r="O39" s="466" t="n">
        <f aca="false">(17+19)*1.05</f>
        <v>37.8</v>
      </c>
      <c r="P39" s="380" t="n">
        <v>0</v>
      </c>
      <c r="Q39" s="408" t="n">
        <f aca="false">1.62*1.02</f>
        <v>1.6524</v>
      </c>
      <c r="R39" s="408" t="n">
        <v>4.2</v>
      </c>
      <c r="S39" s="138" t="n">
        <v>0.96</v>
      </c>
      <c r="T39" s="456" t="n">
        <v>0</v>
      </c>
      <c r="U39" s="140" t="n">
        <v>26</v>
      </c>
      <c r="V39" s="140" t="n">
        <v>33</v>
      </c>
      <c r="W39" s="141" t="n">
        <f aca="false">M39-N39-O39-P39-Q39-R39-S39-T39+U39+V39</f>
        <v>181.502803</v>
      </c>
      <c r="X39" s="115" t="n">
        <f aca="false">X38+AN39-(AO39/1.9835)</f>
        <v>15561.6780393569</v>
      </c>
      <c r="Y39" s="457" t="n">
        <v>1714</v>
      </c>
      <c r="Z39" s="111"/>
      <c r="AA39" s="140" t="n">
        <v>4.1</v>
      </c>
      <c r="AB39" s="142" t="n">
        <v>1.7</v>
      </c>
      <c r="AC39" s="143" t="n">
        <v>1.3</v>
      </c>
      <c r="AD39" s="467" t="n">
        <v>50</v>
      </c>
      <c r="AE39" s="468" t="n">
        <f aca="false">AE38-AD39</f>
        <v>14051.823072851</v>
      </c>
      <c r="AF39" s="140" t="n">
        <f aca="false">N39+O39+P39+Q39+R39+S39+T39+W39+AA39+AD39</f>
        <v>282.1</v>
      </c>
      <c r="AG39" s="140" t="n">
        <f aca="false">IF(L39&lt;0,L39*-1,0)</f>
        <v>0</v>
      </c>
      <c r="AH39" s="466" t="n">
        <f aca="false">AF39+AG39</f>
        <v>282.1</v>
      </c>
      <c r="AI39" s="108" t="n">
        <v>0</v>
      </c>
      <c r="AJ39" s="109" t="n">
        <v>74</v>
      </c>
      <c r="AK39" s="110" t="n">
        <v>41</v>
      </c>
      <c r="AL39" s="115" t="n">
        <f aca="false">AL38</f>
        <v>10481.92122</v>
      </c>
      <c r="AM39" s="111"/>
      <c r="AN39" s="457" t="n">
        <f aca="false">I39-Q39-R39-W39-AB39</f>
        <v>595.944797</v>
      </c>
      <c r="AO39" s="458" t="n">
        <f aca="false">29.8*(X38*1.9835+AN39*1.9835+Y38*1.9835)/E39</f>
        <v>5.42611350839327</v>
      </c>
      <c r="AP39" s="112"/>
      <c r="AQ39" s="10"/>
    </row>
    <row r="40" customFormat="false" ht="12.95" hidden="false" customHeight="true" outlineLevel="0" collapsed="false">
      <c r="A40" s="18" t="n">
        <f aca="false">A39+1</f>
        <v>29</v>
      </c>
      <c r="B40" s="459" t="n">
        <v>6914.87</v>
      </c>
      <c r="C40" s="103" t="n">
        <v>341834</v>
      </c>
      <c r="D40" s="109" t="n">
        <f aca="false">C40-C39</f>
        <v>1615</v>
      </c>
      <c r="E40" s="103" t="n">
        <f aca="false">C40-152000</f>
        <v>189834</v>
      </c>
      <c r="F40" s="464" t="n">
        <f aca="false">D40/$D$2</f>
        <v>814.217292664482</v>
      </c>
      <c r="G40" s="140" t="n">
        <v>988</v>
      </c>
      <c r="H40" s="140" t="n">
        <v>43</v>
      </c>
      <c r="I40" s="140" t="n">
        <f aca="false">G40+H40</f>
        <v>1031</v>
      </c>
      <c r="J40" s="465" t="n">
        <f aca="false">IF(L40&gt;0,L40,0)</f>
        <v>63.217292664482</v>
      </c>
      <c r="K40" s="140" t="n">
        <f aca="false">I40+J40</f>
        <v>1094.21729266448</v>
      </c>
      <c r="L40" s="140" t="n">
        <f aca="false">F40-(I40-AF40)</f>
        <v>63.217292664482</v>
      </c>
      <c r="M40" s="142" t="n">
        <v>170</v>
      </c>
      <c r="N40" s="258" t="n">
        <f aca="false">1.8299*1.03</f>
        <v>1.884797</v>
      </c>
      <c r="O40" s="466" t="n">
        <f aca="false">(16+16)*1.05</f>
        <v>33.6</v>
      </c>
      <c r="P40" s="380" t="n">
        <v>0</v>
      </c>
      <c r="Q40" s="408" t="n">
        <f aca="false">1.62*1.02</f>
        <v>1.6524</v>
      </c>
      <c r="R40" s="408" t="n">
        <v>4.02</v>
      </c>
      <c r="S40" s="138" t="n">
        <v>0.82</v>
      </c>
      <c r="T40" s="456" t="n">
        <v>0</v>
      </c>
      <c r="U40" s="140" t="n">
        <v>26</v>
      </c>
      <c r="V40" s="140" t="n">
        <v>34</v>
      </c>
      <c r="W40" s="141" t="n">
        <f aca="false">M40-N40-O40-P40-Q40-R40-S40-T40+U40+V40</f>
        <v>188.022803</v>
      </c>
      <c r="X40" s="115" t="n">
        <f aca="false">X39+AN40-(AO40/1.9835)</f>
        <v>16165.8480304505</v>
      </c>
      <c r="Y40" s="457" t="n">
        <v>1714</v>
      </c>
      <c r="Z40" s="111"/>
      <c r="AA40" s="140" t="n">
        <v>0</v>
      </c>
      <c r="AB40" s="142" t="n">
        <v>1.7</v>
      </c>
      <c r="AC40" s="143" t="n">
        <v>1.3</v>
      </c>
      <c r="AD40" s="467" t="n">
        <v>50</v>
      </c>
      <c r="AE40" s="468" t="n">
        <f aca="false">AE39-AD40</f>
        <v>14001.823072851</v>
      </c>
      <c r="AF40" s="140" t="n">
        <f aca="false">N40+O40+P40+Q40+R40+S40+T40+W40+AA40+AD40</f>
        <v>280</v>
      </c>
      <c r="AG40" s="140" t="n">
        <f aca="false">IF(L40&lt;0,L40*-1,0)</f>
        <v>0</v>
      </c>
      <c r="AH40" s="466" t="n">
        <f aca="false">AF40+AG40</f>
        <v>280</v>
      </c>
      <c r="AI40" s="108" t="n">
        <v>0</v>
      </c>
      <c r="AJ40" s="147" t="n">
        <v>72</v>
      </c>
      <c r="AK40" s="110" t="n">
        <v>45</v>
      </c>
      <c r="AL40" s="115" t="n">
        <f aca="false">AL39</f>
        <v>10481.92122</v>
      </c>
      <c r="AM40" s="111"/>
      <c r="AN40" s="457" t="n">
        <f aca="false">795-W40</f>
        <v>606.977197</v>
      </c>
      <c r="AO40" s="458" t="n">
        <f aca="false">29.8*(X39*1.9835+AN40*1.9835+Y39*1.9835)/E40</f>
        <v>5.56809291542693</v>
      </c>
      <c r="AP40" s="112"/>
      <c r="AQ40" s="10"/>
    </row>
    <row r="41" customFormat="false" ht="12.95" hidden="false" customHeight="true" outlineLevel="0" collapsed="false">
      <c r="A41" s="18" t="n">
        <v>30</v>
      </c>
      <c r="B41" s="459" t="n">
        <v>6915.35</v>
      </c>
      <c r="C41" s="103" t="n">
        <v>343833</v>
      </c>
      <c r="D41" s="109" t="n">
        <f aca="false">C41-C40</f>
        <v>1999</v>
      </c>
      <c r="E41" s="103" t="n">
        <f aca="false">C41-152000</f>
        <v>191833</v>
      </c>
      <c r="F41" s="464" t="n">
        <f aca="false">D41/$D$2</f>
        <v>1007.81446937232</v>
      </c>
      <c r="G41" s="140" t="n">
        <v>1190</v>
      </c>
      <c r="H41" s="140" t="n">
        <v>39</v>
      </c>
      <c r="I41" s="140" t="n">
        <f aca="false">G41+H41</f>
        <v>1229</v>
      </c>
      <c r="J41" s="465" t="n">
        <f aca="false">IF(L41&gt;0,L41,0)</f>
        <v>123.814469372322</v>
      </c>
      <c r="K41" s="140" t="n">
        <f aca="false">I41+J41</f>
        <v>1352.81446937232</v>
      </c>
      <c r="L41" s="140" t="n">
        <f aca="false">F41-(I41-AF41)</f>
        <v>123.814469372322</v>
      </c>
      <c r="M41" s="142" t="n">
        <v>230</v>
      </c>
      <c r="N41" s="258" t="n">
        <f aca="false">1.8299*1.03</f>
        <v>1.884797</v>
      </c>
      <c r="O41" s="466" t="n">
        <f aca="false">(30+31)*1.05</f>
        <v>64.05</v>
      </c>
      <c r="P41" s="380" t="n">
        <v>0</v>
      </c>
      <c r="Q41" s="408" t="n">
        <f aca="false">1.62*1.02</f>
        <v>1.6524</v>
      </c>
      <c r="R41" s="408" t="n">
        <v>4.2</v>
      </c>
      <c r="S41" s="138" t="n">
        <v>4.85</v>
      </c>
      <c r="T41" s="456" t="n">
        <v>0</v>
      </c>
      <c r="U41" s="140" t="n">
        <v>26</v>
      </c>
      <c r="V41" s="140" t="n">
        <v>39</v>
      </c>
      <c r="W41" s="141" t="n">
        <f aca="false">M41-N41-O41-P41-Q41-R41-S41-T41+U41+V41</f>
        <v>218.362803</v>
      </c>
      <c r="X41" s="115" t="n">
        <f aca="false">X40+AN41-(AO41/1.9835)</f>
        <v>16739.6181333646</v>
      </c>
      <c r="Y41" s="457" t="n">
        <v>1714</v>
      </c>
      <c r="Z41" s="111"/>
      <c r="AA41" s="140" t="n">
        <v>0</v>
      </c>
      <c r="AB41" s="142" t="n">
        <v>1.7</v>
      </c>
      <c r="AC41" s="143" t="n">
        <v>1.3</v>
      </c>
      <c r="AD41" s="467" t="n">
        <v>50</v>
      </c>
      <c r="AE41" s="468" t="n">
        <f aca="false">AE40-AD41</f>
        <v>13951.823072851</v>
      </c>
      <c r="AF41" s="140" t="n">
        <f aca="false">N41+O41+P41+Q41+R41+S41+T41+W41+AA41+AD41</f>
        <v>345</v>
      </c>
      <c r="AG41" s="140" t="n">
        <f aca="false">IF(L41&lt;0,L41*-1,0)</f>
        <v>0</v>
      </c>
      <c r="AH41" s="466" t="n">
        <f aca="false">AF41+AG41</f>
        <v>345</v>
      </c>
      <c r="AI41" s="108" t="n">
        <v>0</v>
      </c>
      <c r="AJ41" s="147" t="n">
        <v>77</v>
      </c>
      <c r="AK41" s="110" t="n">
        <v>43</v>
      </c>
      <c r="AL41" s="115" t="n">
        <f aca="false">AL40</f>
        <v>10481.92122</v>
      </c>
      <c r="AM41" s="111"/>
      <c r="AN41" s="457" t="n">
        <f aca="false">795-W41</f>
        <v>576.637197</v>
      </c>
      <c r="AO41" s="458" t="n">
        <f aca="false">29.8*(X40*1.9835+AN41*1.9835+Y40*1.9835)/E41</f>
        <v>5.68688111935753</v>
      </c>
      <c r="AP41" s="112"/>
      <c r="AQ41" s="10"/>
    </row>
    <row r="42" customFormat="false" ht="3" hidden="false" customHeight="true" outlineLevel="0" collapsed="false">
      <c r="A42" s="116"/>
      <c r="B42" s="469"/>
      <c r="C42" s="125"/>
      <c r="D42" s="123"/>
      <c r="E42" s="125"/>
      <c r="F42" s="461"/>
      <c r="G42" s="123"/>
      <c r="H42" s="123"/>
      <c r="I42" s="123"/>
      <c r="J42" s="123"/>
      <c r="K42" s="123"/>
      <c r="L42" s="123"/>
      <c r="M42" s="126"/>
      <c r="N42" s="123"/>
      <c r="O42" s="123"/>
      <c r="P42" s="462"/>
      <c r="Q42" s="123"/>
      <c r="R42" s="123"/>
      <c r="S42" s="123"/>
      <c r="T42" s="463"/>
      <c r="U42" s="123"/>
      <c r="V42" s="123"/>
      <c r="W42" s="123"/>
      <c r="X42" s="129"/>
      <c r="Y42" s="129"/>
      <c r="Z42" s="131"/>
      <c r="AA42" s="123"/>
      <c r="AB42" s="126"/>
      <c r="AC42" s="127"/>
      <c r="AD42" s="123"/>
      <c r="AE42" s="123"/>
      <c r="AF42" s="123"/>
      <c r="AG42" s="123"/>
      <c r="AH42" s="123"/>
      <c r="AI42" s="128"/>
      <c r="AJ42" s="129"/>
      <c r="AK42" s="130"/>
      <c r="AL42" s="125"/>
      <c r="AM42" s="131"/>
      <c r="AN42" s="129"/>
      <c r="AO42" s="462"/>
      <c r="AP42" s="462"/>
      <c r="AQ42" s="462"/>
    </row>
    <row r="43" customFormat="false" ht="12.95" hidden="false" customHeight="true" outlineLevel="0" collapsed="false">
      <c r="A43" s="19" t="s">
        <v>77</v>
      </c>
      <c r="B43" s="455"/>
      <c r="C43" s="103"/>
      <c r="D43" s="103"/>
      <c r="E43" s="103"/>
      <c r="F43" s="150" t="n">
        <f aca="false">SUM(F12:F41)</f>
        <v>17164.1038568188</v>
      </c>
      <c r="G43" s="105" t="n">
        <f aca="false">SUM(G12:G41)</f>
        <v>18644</v>
      </c>
      <c r="H43" s="140" t="n">
        <f aca="false">SUM(H12:H41)</f>
        <v>935</v>
      </c>
      <c r="I43" s="105" t="n">
        <f aca="false">SUM(I12:I41)</f>
        <v>19579</v>
      </c>
      <c r="J43" s="105" t="n">
        <f aca="false">SUM(J12:J41)</f>
        <v>3267.91385681875</v>
      </c>
      <c r="K43" s="105" t="n">
        <f aca="false">SUM(K12:K41)</f>
        <v>22846.9138568188</v>
      </c>
      <c r="L43" s="105" t="n">
        <f aca="false">SUM(L12:L41)</f>
        <v>3267.91385681875</v>
      </c>
      <c r="M43" s="106" t="n">
        <f aca="false">SUM(M12:M41)</f>
        <v>3190.3</v>
      </c>
      <c r="N43" s="103" t="n">
        <f aca="false">SUM(N12:N41)</f>
        <v>56.54391</v>
      </c>
      <c r="O43" s="103" t="n">
        <f aca="false">SUM(O12:O41)</f>
        <v>2009.5055</v>
      </c>
      <c r="P43" s="380" t="n">
        <f aca="false">SUM(P12:P41)</f>
        <v>0</v>
      </c>
      <c r="Q43" s="103" t="n">
        <f aca="false">SUM(Q12:Q41)</f>
        <v>49.572</v>
      </c>
      <c r="R43" s="103" t="n">
        <f aca="false">SUM(R12:R41)</f>
        <v>103.3</v>
      </c>
      <c r="S43" s="103" t="n">
        <f aca="false">SUM(S12:S41)</f>
        <v>7.36</v>
      </c>
      <c r="T43" s="456" t="n">
        <f aca="false">SUM(T12:T41)</f>
        <v>0</v>
      </c>
      <c r="U43" s="105" t="n">
        <f aca="false">SUM(U12:U41)</f>
        <v>470</v>
      </c>
      <c r="V43" s="105" t="n">
        <f aca="false">SUM(V12:V41)</f>
        <v>394.8</v>
      </c>
      <c r="W43" s="105" t="n">
        <f aca="false">SUM(W12:W41)</f>
        <v>1828.81859</v>
      </c>
      <c r="X43" s="457"/>
      <c r="Y43" s="457"/>
      <c r="Z43" s="111"/>
      <c r="AA43" s="105" t="n">
        <f aca="false">SUM(AA12:AA41)</f>
        <v>133.1</v>
      </c>
      <c r="AB43" s="105" t="n">
        <f aca="false">SUM(AB12:AB41)</f>
        <v>51</v>
      </c>
      <c r="AC43" s="105" t="n">
        <f aca="false">SUM(AC12:AC41)</f>
        <v>39</v>
      </c>
      <c r="AD43" s="105" t="n">
        <f aca="false">SUM(AD12:AD41)</f>
        <v>1494.61</v>
      </c>
      <c r="AE43" s="105"/>
      <c r="AF43" s="105" t="n">
        <f aca="false">SUM(AF12:AF41)</f>
        <v>5682.81</v>
      </c>
      <c r="AG43" s="105" t="n">
        <f aca="false">SUM(AG12:AG41)</f>
        <v>0</v>
      </c>
      <c r="AH43" s="103" t="n">
        <f aca="false">SUM(AH12:AH41)</f>
        <v>5682.81</v>
      </c>
      <c r="AI43" s="108" t="n">
        <f aca="false">SUM(AI12:AI41)</f>
        <v>0.6</v>
      </c>
      <c r="AJ43" s="109" t="n">
        <f aca="false">AVERAGE(AJ12:AJ41)</f>
        <v>60.6333333333333</v>
      </c>
      <c r="AK43" s="110" t="n">
        <f aca="false">AVERAGE(AK12:AK41)</f>
        <v>33.3666666666667</v>
      </c>
      <c r="AL43" s="105" t="s">
        <v>108</v>
      </c>
      <c r="AM43" s="470" t="n">
        <f aca="false">SUM(AM12:AM41)</f>
        <v>0</v>
      </c>
      <c r="AN43" s="457"/>
      <c r="AO43" s="458"/>
      <c r="AP43" s="112"/>
    </row>
    <row r="44" customFormat="false" ht="12.95" hidden="false" customHeight="true" outlineLevel="0" collapsed="false">
      <c r="A44" s="19" t="s">
        <v>79</v>
      </c>
      <c r="B44" s="455"/>
      <c r="C44" s="103"/>
      <c r="D44" s="103" t="n">
        <f aca="false">SUM(D12:D41)</f>
        <v>34045</v>
      </c>
      <c r="E44" s="103"/>
      <c r="F44" s="150" t="n">
        <f aca="false">F43*$D$2</f>
        <v>34045</v>
      </c>
      <c r="G44" s="105" t="n">
        <f aca="false">G43*$D$2</f>
        <v>36980.374</v>
      </c>
      <c r="H44" s="105" t="n">
        <f aca="false">H43*$D$2</f>
        <v>1854.5725</v>
      </c>
      <c r="I44" s="105" t="n">
        <f aca="false">I43*$D$2</f>
        <v>38834.9465</v>
      </c>
      <c r="J44" s="105" t="n">
        <f aca="false">J43*$D$2</f>
        <v>6481.907135</v>
      </c>
      <c r="K44" s="105" t="n">
        <f aca="false">K43*$D$2</f>
        <v>45316.853635</v>
      </c>
      <c r="L44" s="105" t="n">
        <f aca="false">L43*$D$2</f>
        <v>6481.907135</v>
      </c>
      <c r="M44" s="106" t="n">
        <f aca="false">M43*$D$2</f>
        <v>6327.96005</v>
      </c>
      <c r="N44" s="103" t="n">
        <f aca="false">N43*$D$2</f>
        <v>112.154845485</v>
      </c>
      <c r="O44" s="103" t="n">
        <f aca="false">O43*$D$2</f>
        <v>3985.85415925</v>
      </c>
      <c r="P44" s="380" t="n">
        <f aca="false">P43*$D$2</f>
        <v>0</v>
      </c>
      <c r="Q44" s="103" t="n">
        <f aca="false">Q43*$D$2</f>
        <v>98.326062</v>
      </c>
      <c r="R44" s="103" t="n">
        <f aca="false">R43*$D$2</f>
        <v>204.89555</v>
      </c>
      <c r="S44" s="103" t="n">
        <f aca="false">S43*$D$2</f>
        <v>14.59856</v>
      </c>
      <c r="T44" s="456" t="n">
        <f aca="false">T43*$D$2</f>
        <v>0</v>
      </c>
      <c r="U44" s="105" t="n">
        <f aca="false">U43*$D$2</f>
        <v>932.245</v>
      </c>
      <c r="V44" s="105" t="n">
        <f aca="false">V43*$D$2</f>
        <v>783.0858</v>
      </c>
      <c r="W44" s="105" t="n">
        <f aca="false">W43*$D$2</f>
        <v>3627.461673265</v>
      </c>
      <c r="X44" s="457"/>
      <c r="Y44" s="457"/>
      <c r="Z44" s="111"/>
      <c r="AA44" s="105" t="n">
        <f aca="false">AA43*$D$2</f>
        <v>264.00385</v>
      </c>
      <c r="AB44" s="105" t="n">
        <f aca="false">AB43*$D$2</f>
        <v>101.1585</v>
      </c>
      <c r="AC44" s="105" t="n">
        <f aca="false">AC43*$D$2</f>
        <v>77.3565</v>
      </c>
      <c r="AD44" s="105" t="n">
        <f aca="false">AD43*$D$2</f>
        <v>2964.558935</v>
      </c>
      <c r="AE44" s="105"/>
      <c r="AF44" s="105" t="n">
        <f aca="false">AF43*$D$2</f>
        <v>11271.853635</v>
      </c>
      <c r="AG44" s="105" t="n">
        <f aca="false">AG43*$D$2</f>
        <v>0</v>
      </c>
      <c r="AH44" s="103" t="n">
        <f aca="false">AH43*$D$2</f>
        <v>11271.853635</v>
      </c>
      <c r="AI44" s="108"/>
      <c r="AJ44" s="109" t="n">
        <f aca="false">MAX(AJ12:AJ41)</f>
        <v>77</v>
      </c>
      <c r="AK44" s="110" t="n">
        <f aca="false">MAX(AK12:AK41)</f>
        <v>45</v>
      </c>
      <c r="AL44" s="105" t="s">
        <v>80</v>
      </c>
      <c r="AM44" s="470" t="n">
        <f aca="false">AM43*$D$2</f>
        <v>0</v>
      </c>
      <c r="AN44" s="457"/>
      <c r="AO44" s="458" t="n">
        <f aca="false">SUM(AO12:AO41)</f>
        <v>103.688804606298</v>
      </c>
      <c r="AP44" s="112"/>
    </row>
    <row r="45" customFormat="false" ht="3" hidden="false" customHeight="true" outlineLevel="0" collapsed="false">
      <c r="A45" s="152"/>
      <c r="B45" s="469"/>
      <c r="C45" s="125"/>
      <c r="D45" s="125"/>
      <c r="E45" s="125"/>
      <c r="F45" s="157"/>
      <c r="G45" s="125"/>
      <c r="H45" s="123"/>
      <c r="I45" s="125"/>
      <c r="J45" s="125"/>
      <c r="K45" s="125"/>
      <c r="L45" s="125"/>
      <c r="M45" s="155"/>
      <c r="N45" s="125"/>
      <c r="O45" s="125"/>
      <c r="P45" s="462"/>
      <c r="Q45" s="125"/>
      <c r="R45" s="125"/>
      <c r="S45" s="125"/>
      <c r="T45" s="463"/>
      <c r="U45" s="125"/>
      <c r="V45" s="125"/>
      <c r="W45" s="125"/>
      <c r="X45" s="129"/>
      <c r="Y45" s="129"/>
      <c r="Z45" s="131"/>
      <c r="AA45" s="125"/>
      <c r="AB45" s="125"/>
      <c r="AC45" s="125"/>
      <c r="AD45" s="125"/>
      <c r="AE45" s="123"/>
      <c r="AF45" s="125"/>
      <c r="AG45" s="125"/>
      <c r="AH45" s="125"/>
      <c r="AI45" s="471"/>
      <c r="AJ45" s="125"/>
      <c r="AK45" s="157"/>
      <c r="AL45" s="125"/>
      <c r="AM45" s="131"/>
      <c r="AN45" s="129"/>
      <c r="AO45" s="462"/>
      <c r="AP45" s="462"/>
      <c r="AQ45" s="462"/>
    </row>
    <row r="46" customFormat="false" ht="12.95" hidden="false" customHeight="true" outlineLevel="0" collapsed="false">
      <c r="A46" s="19" t="s">
        <v>81</v>
      </c>
      <c r="B46" s="455"/>
      <c r="C46" s="103"/>
      <c r="D46" s="103"/>
      <c r="E46" s="103"/>
      <c r="F46" s="150" t="n">
        <f aca="false">F43</f>
        <v>17164.1038568188</v>
      </c>
      <c r="G46" s="105" t="n">
        <f aca="false">G43</f>
        <v>18644</v>
      </c>
      <c r="H46" s="140" t="n">
        <f aca="false">H43</f>
        <v>935</v>
      </c>
      <c r="I46" s="105" t="n">
        <f aca="false">I43</f>
        <v>19579</v>
      </c>
      <c r="J46" s="105" t="n">
        <f aca="false">J43</f>
        <v>3267.91385681875</v>
      </c>
      <c r="K46" s="105" t="n">
        <f aca="false">K43</f>
        <v>22846.9138568188</v>
      </c>
      <c r="L46" s="105" t="n">
        <f aca="false">L43</f>
        <v>3267.91385681875</v>
      </c>
      <c r="M46" s="106" t="n">
        <f aca="false">M43</f>
        <v>3190.3</v>
      </c>
      <c r="N46" s="103" t="n">
        <f aca="false">N43</f>
        <v>56.54391</v>
      </c>
      <c r="O46" s="103" t="n">
        <f aca="false">O9+O43</f>
        <v>2064.9155</v>
      </c>
      <c r="P46" s="380" t="n">
        <f aca="false">P9+P43</f>
        <v>0</v>
      </c>
      <c r="Q46" s="103"/>
      <c r="R46" s="103"/>
      <c r="S46" s="103"/>
      <c r="T46" s="456"/>
      <c r="U46" s="105" t="n">
        <f aca="false">U43</f>
        <v>470</v>
      </c>
      <c r="V46" s="105" t="n">
        <f aca="false">V43</f>
        <v>394.8</v>
      </c>
      <c r="W46" s="105" t="n">
        <f aca="false">W9+W43-262.16</f>
        <v>1566.65859</v>
      </c>
      <c r="X46" s="457" t="n">
        <f aca="false">X41</f>
        <v>16739.6181333646</v>
      </c>
      <c r="Y46" s="457" t="n">
        <f aca="false">Y41</f>
        <v>1714</v>
      </c>
      <c r="Z46" s="111"/>
      <c r="AA46" s="105" t="n">
        <f aca="false">AA43</f>
        <v>133.1</v>
      </c>
      <c r="AB46" s="105" t="n">
        <f aca="false">AB43</f>
        <v>51</v>
      </c>
      <c r="AC46" s="105" t="n">
        <f aca="false">AC43</f>
        <v>39</v>
      </c>
      <c r="AD46" s="105"/>
      <c r="AE46" s="105"/>
      <c r="AF46" s="105" t="n">
        <f aca="false">AF43</f>
        <v>5682.81</v>
      </c>
      <c r="AG46" s="105" t="n">
        <f aca="false">AG43</f>
        <v>0</v>
      </c>
      <c r="AH46" s="103" t="n">
        <f aca="false">AH43</f>
        <v>5682.81</v>
      </c>
      <c r="AI46" s="108"/>
      <c r="AJ46" s="109" t="n">
        <f aca="false">MIN(AJ12:AJ41)</f>
        <v>46</v>
      </c>
      <c r="AK46" s="110" t="n">
        <f aca="false">MIN(AK12:AK41)</f>
        <v>19</v>
      </c>
      <c r="AL46" s="105" t="s">
        <v>82</v>
      </c>
      <c r="AM46" s="111"/>
      <c r="AN46" s="457"/>
      <c r="AO46" s="458"/>
      <c r="AP46" s="112"/>
    </row>
    <row r="47" customFormat="false" ht="12.95" hidden="false" customHeight="true" outlineLevel="0" collapsed="false">
      <c r="A47" s="19" t="s">
        <v>83</v>
      </c>
      <c r="B47" s="455"/>
      <c r="C47" s="103"/>
      <c r="D47" s="103"/>
      <c r="E47" s="103"/>
      <c r="F47" s="150" t="n">
        <f aca="false">F46*$D$2</f>
        <v>34045</v>
      </c>
      <c r="G47" s="105" t="n">
        <f aca="false">G46*$D$2</f>
        <v>36980.374</v>
      </c>
      <c r="H47" s="105" t="n">
        <f aca="false">H46*$D$2</f>
        <v>1854.5725</v>
      </c>
      <c r="I47" s="105" t="n">
        <f aca="false">I46*$D$2</f>
        <v>38834.9465</v>
      </c>
      <c r="J47" s="105" t="n">
        <f aca="false">J46*$D$2</f>
        <v>6481.907135</v>
      </c>
      <c r="K47" s="105" t="n">
        <f aca="false">K46*$D$2</f>
        <v>45316.853635</v>
      </c>
      <c r="L47" s="105" t="n">
        <f aca="false">L46*$D$2</f>
        <v>6481.907135</v>
      </c>
      <c r="M47" s="106" t="n">
        <f aca="false">M46*$D$2</f>
        <v>6327.96005</v>
      </c>
      <c r="N47" s="103" t="n">
        <f aca="false">N46*$D$2</f>
        <v>112.154845485</v>
      </c>
      <c r="O47" s="103" t="n">
        <f aca="false">O46*$D$2</f>
        <v>4095.75989425</v>
      </c>
      <c r="P47" s="380" t="n">
        <f aca="false">P46*$D$2</f>
        <v>0</v>
      </c>
      <c r="Q47" s="103"/>
      <c r="R47" s="103"/>
      <c r="S47" s="103"/>
      <c r="T47" s="456"/>
      <c r="U47" s="105" t="n">
        <f aca="false">U46*$D$2</f>
        <v>932.245</v>
      </c>
      <c r="V47" s="105" t="n">
        <f aca="false">V46*$D$2</f>
        <v>783.0858</v>
      </c>
      <c r="W47" s="105" t="n">
        <f aca="false">W46*$D$2</f>
        <v>3107.467313265</v>
      </c>
      <c r="X47" s="457" t="n">
        <f aca="false">X46*$D$2</f>
        <v>33203.0325675287</v>
      </c>
      <c r="Y47" s="457" t="n">
        <f aca="false">Y46*$D$2</f>
        <v>3399.719</v>
      </c>
      <c r="Z47" s="111"/>
      <c r="AA47" s="105" t="n">
        <f aca="false">AA46*$D$2</f>
        <v>264.00385</v>
      </c>
      <c r="AB47" s="105" t="n">
        <f aca="false">AB46*$D$2</f>
        <v>101.1585</v>
      </c>
      <c r="AC47" s="105" t="n">
        <f aca="false">AC46*$D$2</f>
        <v>77.3565</v>
      </c>
      <c r="AD47" s="105"/>
      <c r="AE47" s="105"/>
      <c r="AF47" s="105" t="n">
        <f aca="false">AF46*$D$2</f>
        <v>11271.853635</v>
      </c>
      <c r="AG47" s="105" t="n">
        <f aca="false">AG46*$D$2</f>
        <v>0</v>
      </c>
      <c r="AH47" s="103" t="n">
        <f aca="false">AH46*$D$2</f>
        <v>11271.853635</v>
      </c>
      <c r="AI47" s="108"/>
      <c r="AJ47" s="109"/>
      <c r="AK47" s="110"/>
      <c r="AL47" s="105"/>
      <c r="AM47" s="111"/>
      <c r="AN47" s="457"/>
      <c r="AO47" s="458" t="n">
        <f aca="false">AO44</f>
        <v>103.688804606298</v>
      </c>
      <c r="AP47" s="112"/>
    </row>
    <row r="48" customFormat="false" ht="3" hidden="false" customHeight="true" outlineLevel="0" collapsed="false">
      <c r="A48" s="152"/>
      <c r="B48" s="469"/>
      <c r="C48" s="125"/>
      <c r="D48" s="125"/>
      <c r="E48" s="125"/>
      <c r="F48" s="157"/>
      <c r="G48" s="125"/>
      <c r="H48" s="123"/>
      <c r="I48" s="125"/>
      <c r="J48" s="125"/>
      <c r="K48" s="125"/>
      <c r="L48" s="125"/>
      <c r="M48" s="155"/>
      <c r="N48" s="125"/>
      <c r="O48" s="125"/>
      <c r="P48" s="462"/>
      <c r="Q48" s="125"/>
      <c r="R48" s="125"/>
      <c r="S48" s="125"/>
      <c r="T48" s="463"/>
      <c r="U48" s="125"/>
      <c r="V48" s="125"/>
      <c r="W48" s="125"/>
      <c r="X48" s="129"/>
      <c r="Y48" s="129"/>
      <c r="Z48" s="131"/>
      <c r="AA48" s="125"/>
      <c r="AB48" s="125"/>
      <c r="AC48" s="125"/>
      <c r="AD48" s="125"/>
      <c r="AE48" s="125"/>
      <c r="AF48" s="125"/>
      <c r="AG48" s="125"/>
      <c r="AH48" s="125"/>
      <c r="AI48" s="128"/>
      <c r="AJ48" s="472"/>
      <c r="AK48" s="473"/>
      <c r="AL48" s="125"/>
      <c r="AM48" s="131"/>
      <c r="AN48" s="129"/>
      <c r="AO48" s="462"/>
      <c r="AP48" s="462"/>
      <c r="AQ48" s="462"/>
    </row>
    <row r="49" customFormat="false" ht="12.95" hidden="false" customHeight="true" outlineLevel="0" collapsed="false">
      <c r="A49" s="19" t="s">
        <v>84</v>
      </c>
      <c r="B49" s="455"/>
      <c r="C49" s="103"/>
      <c r="D49" s="103"/>
      <c r="E49" s="103"/>
      <c r="F49" s="150" t="n">
        <f aca="false">F10+F43</f>
        <v>36759.2639274011</v>
      </c>
      <c r="G49" s="105" t="n">
        <f aca="false">G10+G43</f>
        <v>41265</v>
      </c>
      <c r="H49" s="105" t="n">
        <f aca="false">H10+H43</f>
        <v>2422.58</v>
      </c>
      <c r="I49" s="105" t="n">
        <f aca="false">I10+I43</f>
        <v>43687.58</v>
      </c>
      <c r="J49" s="105" t="n">
        <f aca="false">J10+J43</f>
        <v>10356.8481396521</v>
      </c>
      <c r="K49" s="105" t="n">
        <f aca="false">K10+K43</f>
        <v>54044.4281396521</v>
      </c>
      <c r="L49" s="105" t="n">
        <f aca="false">L10+L43</f>
        <v>9015.99392740106</v>
      </c>
      <c r="M49" s="106" t="n">
        <f aca="false">M10+M43</f>
        <v>4186.7</v>
      </c>
      <c r="N49" s="103" t="n">
        <f aca="false">N10+N43</f>
        <v>56.54391</v>
      </c>
      <c r="O49" s="103" t="n">
        <f aca="false">O10+O43</f>
        <v>2064.9155</v>
      </c>
      <c r="P49" s="380"/>
      <c r="Q49" s="103" t="n">
        <f aca="false">Q10+Q43</f>
        <v>282.642</v>
      </c>
      <c r="R49" s="103" t="n">
        <f aca="false">R10+R43</f>
        <v>521.373</v>
      </c>
      <c r="S49" s="103" t="n">
        <f aca="false">S10+S43</f>
        <v>7.52</v>
      </c>
      <c r="T49" s="456" t="n">
        <f aca="false">T10+T43</f>
        <v>-61.236</v>
      </c>
      <c r="U49" s="105" t="n">
        <f aca="false">U10+U43</f>
        <v>5845</v>
      </c>
      <c r="V49" s="105" t="n">
        <f aca="false">V10+V43</f>
        <v>520.9</v>
      </c>
      <c r="W49" s="105" t="n">
        <f aca="false">W10+W43</f>
        <v>7203.67419</v>
      </c>
      <c r="X49" s="457"/>
      <c r="Y49" s="457"/>
      <c r="Z49" s="111"/>
      <c r="AA49" s="105"/>
      <c r="AB49" s="105"/>
      <c r="AC49" s="105"/>
      <c r="AD49" s="105" t="n">
        <f aca="false">AD10+AD43</f>
        <v>5258.61</v>
      </c>
      <c r="AE49" s="105" t="n">
        <f aca="false">AE41</f>
        <v>13951.823072851</v>
      </c>
      <c r="AF49" s="105" t="n">
        <f aca="false">AF10+AF43</f>
        <v>15944.31</v>
      </c>
      <c r="AG49" s="105" t="n">
        <f aca="false">AG10+AG43</f>
        <v>1340.85421225107</v>
      </c>
      <c r="AH49" s="103" t="n">
        <f aca="false">AH10+AH43</f>
        <v>17285.1642122511</v>
      </c>
      <c r="AI49" s="108" t="n">
        <f aca="false">AI10+AI43</f>
        <v>5.29</v>
      </c>
      <c r="AJ49" s="109"/>
      <c r="AK49" s="110"/>
      <c r="AL49" s="105"/>
      <c r="AM49" s="470" t="n">
        <f aca="false">AM10+AM43</f>
        <v>264.7472</v>
      </c>
      <c r="AN49" s="457"/>
      <c r="AO49" s="458"/>
      <c r="AP49" s="112"/>
    </row>
    <row r="50" customFormat="false" ht="12.95" hidden="false" customHeight="true" outlineLevel="0" collapsed="false">
      <c r="A50" s="19" t="s">
        <v>85</v>
      </c>
      <c r="B50" s="455"/>
      <c r="C50" s="103"/>
      <c r="D50" s="103" t="n">
        <f aca="false">D10+D44</f>
        <v>72912</v>
      </c>
      <c r="E50" s="103" t="n">
        <f aca="false">E41</f>
        <v>191833</v>
      </c>
      <c r="F50" s="150" t="n">
        <f aca="false">F49*$D$2</f>
        <v>72912</v>
      </c>
      <c r="G50" s="105" t="n">
        <f aca="false">G49*$D$2</f>
        <v>81849.1275</v>
      </c>
      <c r="H50" s="105" t="n">
        <f aca="false">H49*$D$2</f>
        <v>4805.18743</v>
      </c>
      <c r="I50" s="105" t="n">
        <f aca="false">I49*$D$2</f>
        <v>86654.31493</v>
      </c>
      <c r="J50" s="105" t="n">
        <f aca="false">J49*$D$2</f>
        <v>20542.808285</v>
      </c>
      <c r="K50" s="105" t="n">
        <f aca="false">K49*$D$2</f>
        <v>107197.123215</v>
      </c>
      <c r="L50" s="105" t="n">
        <f aca="false">L49*$D$2</f>
        <v>17883.223955</v>
      </c>
      <c r="M50" s="106" t="n">
        <f aca="false">M49*$D$2</f>
        <v>8304.31945</v>
      </c>
      <c r="N50" s="103" t="n">
        <f aca="false">N49*$D$2</f>
        <v>112.154845485</v>
      </c>
      <c r="O50" s="103" t="n">
        <f aca="false">O49*$D$2</f>
        <v>4095.75989425</v>
      </c>
      <c r="P50" s="380"/>
      <c r="Q50" s="103" t="n">
        <f aca="false">Q49*$D$2</f>
        <v>560.620407</v>
      </c>
      <c r="R50" s="103" t="n">
        <f aca="false">R49*$D$2</f>
        <v>1034.1433455</v>
      </c>
      <c r="S50" s="103" t="n">
        <f aca="false">S49*$D$2</f>
        <v>14.91592</v>
      </c>
      <c r="T50" s="474" t="n">
        <f aca="false">T49*$D$2</f>
        <v>-121.461606</v>
      </c>
      <c r="U50" s="105" t="n">
        <f aca="false">U49*$D$2</f>
        <v>11593.5575</v>
      </c>
      <c r="V50" s="105" t="n">
        <f aca="false">V49*$D$2</f>
        <v>1033.20515</v>
      </c>
      <c r="W50" s="105" t="n">
        <f aca="false">W49*$D$2</f>
        <v>14288.487755865</v>
      </c>
      <c r="X50" s="457"/>
      <c r="Y50" s="457"/>
      <c r="Z50" s="111"/>
      <c r="AA50" s="105"/>
      <c r="AB50" s="105"/>
      <c r="AC50" s="105"/>
      <c r="AD50" s="105" t="n">
        <f aca="false">AD49*$D$2</f>
        <v>10430.452935</v>
      </c>
      <c r="AE50" s="105" t="n">
        <f aca="false">AE49*$D$2</f>
        <v>27673.441065</v>
      </c>
      <c r="AF50" s="105" t="n">
        <f aca="false">AF49*$D$2</f>
        <v>31625.538885</v>
      </c>
      <c r="AG50" s="105" t="n">
        <f aca="false">AG49*$D$2</f>
        <v>2659.58433</v>
      </c>
      <c r="AH50" s="103" t="n">
        <f aca="false">AH49*$D$2</f>
        <v>34285.123215</v>
      </c>
      <c r="AI50" s="108"/>
      <c r="AJ50" s="109"/>
      <c r="AK50" s="110"/>
      <c r="AL50" s="105" t="n">
        <f aca="false">AL41</f>
        <v>10481.92122</v>
      </c>
      <c r="AM50" s="470" t="n">
        <f aca="false">AM49*$D$2</f>
        <v>525.1260712</v>
      </c>
      <c r="AN50" s="457"/>
      <c r="AO50" s="458" t="n">
        <f aca="false">AO44</f>
        <v>103.688804606298</v>
      </c>
      <c r="AP50" s="112"/>
    </row>
    <row r="51" customFormat="false" ht="3" hidden="false" customHeight="true" outlineLevel="0" collapsed="false">
      <c r="A51" s="116"/>
      <c r="B51" s="149"/>
      <c r="C51" s="118"/>
      <c r="D51" s="116"/>
      <c r="E51" s="118"/>
      <c r="F51" s="119"/>
      <c r="G51" s="116"/>
      <c r="H51" s="116"/>
      <c r="I51" s="116"/>
      <c r="J51" s="116"/>
      <c r="K51" s="116"/>
      <c r="L51" s="116"/>
      <c r="M51" s="121"/>
      <c r="N51" s="116"/>
      <c r="O51" s="116"/>
      <c r="P51" s="122"/>
      <c r="Q51" s="116"/>
      <c r="R51" s="116"/>
      <c r="S51" s="116"/>
      <c r="T51" s="475"/>
      <c r="U51" s="116"/>
      <c r="V51" s="116"/>
      <c r="W51" s="116"/>
      <c r="X51" s="158"/>
      <c r="Y51" s="158"/>
      <c r="Z51" s="162"/>
      <c r="AA51" s="116"/>
      <c r="AB51" s="121"/>
      <c r="AC51" s="160"/>
      <c r="AD51" s="116"/>
      <c r="AE51" s="118"/>
      <c r="AF51" s="116"/>
      <c r="AG51" s="116"/>
      <c r="AH51" s="116"/>
      <c r="AI51" s="149"/>
      <c r="AJ51" s="116"/>
      <c r="AK51" s="119"/>
      <c r="AL51" s="118"/>
      <c r="AM51" s="162"/>
      <c r="AN51" s="158"/>
      <c r="AO51" s="122"/>
      <c r="AP51" s="122"/>
      <c r="AQ51" s="122"/>
    </row>
    <row r="52" customFormat="false" ht="14.1" hidden="false" customHeight="true" outlineLevel="0" collapsed="false">
      <c r="A52" s="165"/>
      <c r="B52" s="166"/>
      <c r="C52" s="11"/>
      <c r="D52" s="10"/>
      <c r="E52" s="11"/>
      <c r="F52" s="10"/>
      <c r="G52" s="10"/>
      <c r="H52" s="10"/>
      <c r="I52" s="10"/>
      <c r="J52" s="10"/>
      <c r="K52" s="10"/>
      <c r="L52" s="10"/>
      <c r="M52" s="10"/>
      <c r="N52" s="10"/>
      <c r="O52" s="10"/>
      <c r="P52" s="14"/>
      <c r="Q52" s="10"/>
      <c r="R52" s="10"/>
      <c r="S52" s="10"/>
      <c r="T52" s="14"/>
      <c r="U52" s="10"/>
      <c r="V52" s="10"/>
      <c r="W52" s="10"/>
      <c r="X52" s="17"/>
      <c r="Y52" s="17"/>
      <c r="Z52" s="135"/>
      <c r="AA52" s="10"/>
      <c r="AB52" s="10"/>
      <c r="AC52" s="10"/>
      <c r="AD52" s="10"/>
      <c r="AE52" s="11"/>
      <c r="AF52" s="10"/>
      <c r="AG52" s="10"/>
      <c r="AH52" s="33"/>
      <c r="AI52" s="421"/>
      <c r="AJ52" s="133"/>
      <c r="AK52" s="133"/>
      <c r="AL52" s="11"/>
      <c r="AM52" s="135"/>
      <c r="AN52" s="422"/>
      <c r="AO52" s="476"/>
    </row>
    <row r="53" customFormat="false" ht="11.1" hidden="false" customHeight="true" outlineLevel="0" collapsed="false">
      <c r="A53" s="10"/>
      <c r="B53" s="167"/>
      <c r="C53" s="11"/>
      <c r="D53" s="168"/>
      <c r="E53" s="11"/>
      <c r="F53" s="10"/>
      <c r="G53" s="10"/>
      <c r="H53" s="10"/>
      <c r="I53" s="12"/>
      <c r="J53" s="10"/>
      <c r="K53" s="169"/>
      <c r="L53" s="10"/>
      <c r="M53" s="10"/>
      <c r="N53" s="10"/>
      <c r="O53" s="10"/>
      <c r="P53" s="14"/>
      <c r="Q53" s="10"/>
      <c r="R53" s="10"/>
      <c r="S53" s="10"/>
      <c r="T53" s="14"/>
      <c r="U53" s="10"/>
      <c r="V53" s="10"/>
      <c r="W53" s="10"/>
      <c r="X53" s="17"/>
      <c r="Y53" s="17"/>
      <c r="Z53" s="135"/>
      <c r="AA53" s="10"/>
      <c r="AB53" s="10"/>
      <c r="AC53" s="10"/>
      <c r="AD53" s="10"/>
      <c r="AE53" s="11"/>
      <c r="AF53" s="10"/>
      <c r="AG53" s="10"/>
      <c r="AH53" s="137"/>
      <c r="AI53" s="421"/>
      <c r="AJ53" s="133"/>
      <c r="AK53" s="133"/>
      <c r="AL53" s="11"/>
      <c r="AM53" s="135"/>
      <c r="AN53" s="422"/>
      <c r="AO53" s="476"/>
    </row>
    <row r="54" customFormat="false" ht="11.1" hidden="false" customHeight="true" outlineLevel="0" collapsed="false">
      <c r="B54" s="168"/>
      <c r="C54" s="11"/>
      <c r="D54" s="11"/>
      <c r="E54" s="11"/>
      <c r="F54" s="168"/>
      <c r="G54" s="168"/>
      <c r="H54" s="10"/>
      <c r="I54" s="168"/>
      <c r="J54" s="168"/>
      <c r="K54" s="168"/>
      <c r="L54" s="168"/>
      <c r="M54" s="135"/>
      <c r="N54" s="135"/>
      <c r="O54" s="135"/>
      <c r="P54" s="14"/>
      <c r="Q54" s="135"/>
      <c r="R54" s="135"/>
      <c r="S54" s="135"/>
      <c r="T54" s="14"/>
      <c r="U54" s="168"/>
      <c r="V54" s="168"/>
      <c r="W54" s="168"/>
      <c r="X54" s="17"/>
      <c r="Y54" s="17"/>
      <c r="Z54" s="135"/>
      <c r="AA54" s="168"/>
      <c r="AB54" s="168"/>
      <c r="AC54" s="168"/>
      <c r="AD54" s="168"/>
      <c r="AE54" s="11"/>
      <c r="AF54" s="168"/>
      <c r="AG54" s="168"/>
      <c r="AH54" s="477"/>
      <c r="AI54" s="421"/>
      <c r="AJ54" s="133"/>
      <c r="AK54" s="133"/>
      <c r="AL54" s="11"/>
      <c r="AM54" s="135"/>
      <c r="AN54" s="422"/>
      <c r="AO54" s="476"/>
    </row>
    <row r="55" customFormat="false" ht="11.1" hidden="false" customHeight="true" outlineLevel="0" collapsed="false">
      <c r="A55" s="168"/>
      <c r="B55" s="14"/>
      <c r="C55" s="11"/>
      <c r="D55" s="11"/>
      <c r="E55" s="11"/>
      <c r="F55" s="168"/>
      <c r="G55" s="168"/>
      <c r="H55" s="10"/>
      <c r="I55" s="168"/>
      <c r="J55" s="168"/>
      <c r="K55" s="168"/>
      <c r="L55" s="168"/>
      <c r="M55" s="135"/>
      <c r="N55" s="135"/>
      <c r="O55" s="135"/>
      <c r="P55" s="14"/>
      <c r="Q55" s="135"/>
      <c r="R55" s="135"/>
      <c r="S55" s="135"/>
      <c r="T55" s="14"/>
      <c r="U55" s="168"/>
      <c r="V55" s="168"/>
      <c r="W55" s="168"/>
      <c r="X55" s="17"/>
      <c r="Y55" s="17"/>
      <c r="Z55" s="135"/>
      <c r="AA55" s="168"/>
      <c r="AB55" s="168"/>
      <c r="AC55" s="168"/>
      <c r="AD55" s="168"/>
      <c r="AE55" s="11"/>
      <c r="AF55" s="168"/>
      <c r="AG55" s="168"/>
      <c r="AH55" s="33"/>
      <c r="AI55" s="421"/>
      <c r="AJ55" s="133"/>
      <c r="AK55" s="133"/>
      <c r="AL55" s="11"/>
      <c r="AM55" s="135"/>
      <c r="AN55" s="422"/>
      <c r="AO55" s="476"/>
    </row>
    <row r="56" customFormat="false" ht="11.1" hidden="false" customHeight="true" outlineLevel="0" collapsed="false">
      <c r="A56" s="168"/>
      <c r="B56" s="168"/>
      <c r="C56" s="11"/>
      <c r="D56" s="168"/>
      <c r="E56" s="11"/>
      <c r="F56" s="168"/>
      <c r="G56" s="170"/>
      <c r="H56" s="10"/>
      <c r="I56" s="168"/>
      <c r="J56" s="168"/>
      <c r="K56" s="168"/>
      <c r="L56" s="168"/>
      <c r="M56" s="135"/>
      <c r="N56" s="135"/>
      <c r="O56" s="135"/>
      <c r="P56" s="14"/>
      <c r="Q56" s="135"/>
      <c r="R56" s="135"/>
      <c r="S56" s="168"/>
      <c r="T56" s="14"/>
      <c r="U56" s="168"/>
      <c r="V56" s="168"/>
      <c r="W56" s="11"/>
      <c r="X56" s="17"/>
      <c r="Y56" s="17"/>
      <c r="Z56" s="135"/>
      <c r="AA56" s="168"/>
      <c r="AB56" s="168"/>
      <c r="AC56" s="168"/>
      <c r="AD56" s="11"/>
      <c r="AE56" s="168"/>
      <c r="AF56" s="168"/>
      <c r="AG56" s="168"/>
      <c r="AH56" s="102"/>
      <c r="AI56" s="421"/>
      <c r="AJ56" s="133"/>
      <c r="AK56" s="96"/>
      <c r="AL56" s="94"/>
      <c r="AM56" s="97"/>
      <c r="AN56" s="422"/>
    </row>
    <row r="57" customFormat="false" ht="11.1" hidden="false" customHeight="true" outlineLevel="0" collapsed="false">
      <c r="AK57" s="96"/>
      <c r="AL57" s="94"/>
      <c r="AM57" s="97"/>
    </row>
  </sheetData>
  <mergeCells count="1">
    <mergeCell ref="M5:T5"/>
  </mergeCells>
  <printOptions headings="true" gridLines="true" gridLinesSet="true" horizontalCentered="true" verticalCentered="true"/>
  <pageMargins left="0.25" right="0.25" top="0.25" bottom="0" header="0.511811023622047" footer="0.511811023622047"/>
  <pageSetup paperSize="3" scale="67"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32" activePane="bottomRight" state="frozen"/>
      <selection pane="topLeft" activeCell="A1" activeCellId="0" sqref="A1"/>
      <selection pane="topRight" activeCell="B1" activeCellId="0" sqref="B1"/>
      <selection pane="bottomLeft" activeCell="A32" activeCellId="0" sqref="A32"/>
      <selection pane="bottomRight" activeCell="AD23" activeCellId="0" sqref="AD23"/>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174" width="6.66"/>
    <col collapsed="false" customWidth="true" hidden="false" outlineLevel="0" max="11" min="9" style="171" width="6.32"/>
    <col collapsed="false" customWidth="true" hidden="false" outlineLevel="0" max="12" min="12" style="171" width="7.16"/>
    <col collapsed="false" customWidth="true" hidden="false" outlineLevel="0" max="13" min="13" style="174" width="5.49"/>
    <col collapsed="false" customWidth="true" hidden="false" outlineLevel="0" max="14" min="14" style="173" width="4.49"/>
    <col collapsed="false" customWidth="true" hidden="false" outlineLevel="0" max="15" min="15" style="174" width="5.49"/>
    <col collapsed="false" customWidth="true" hidden="false" outlineLevel="0" max="16" min="16" style="173" width="4.82"/>
    <col collapsed="false" customWidth="true" hidden="false" outlineLevel="0" max="17" min="17" style="174" width="4.32"/>
    <col collapsed="false" customWidth="true" hidden="false" outlineLevel="0" max="18" min="18" style="174" width="4.82"/>
    <col collapsed="false" customWidth="true" hidden="false" outlineLevel="0" max="19" min="19" style="171" width="4.32"/>
    <col collapsed="false" customWidth="true" hidden="false" outlineLevel="0" max="20" min="20" style="173" width="5.49"/>
    <col collapsed="false" customWidth="true" hidden="false" outlineLevel="0" max="22" min="21" style="171" width="5.49"/>
    <col collapsed="false" customWidth="true" hidden="false" outlineLevel="0" max="23" min="23" style="172" width="6.32"/>
    <col collapsed="false" customWidth="true" hidden="false" outlineLevel="0" max="29" min="24" style="171" width="5.49"/>
    <col collapsed="false" customWidth="true" hidden="false" outlineLevel="0" max="30" min="30" style="176" width="5.82"/>
    <col collapsed="false" customWidth="true" hidden="false" outlineLevel="0" max="31" min="31" style="171" width="5.49"/>
    <col collapsed="false" customWidth="true" hidden="false" outlineLevel="0" max="32" min="32" style="171" width="6.32"/>
    <col collapsed="false" customWidth="true" hidden="false" outlineLevel="0" max="33" min="33" style="171" width="6.99"/>
    <col collapsed="false" customWidth="true" hidden="false" outlineLevel="0" max="34" min="34" style="173" width="6.99"/>
    <col collapsed="false" customWidth="true" hidden="false" outlineLevel="0" max="35" min="35" style="175" width="5.32"/>
    <col collapsed="false" customWidth="true" hidden="false" outlineLevel="0" max="36" min="36" style="176" width="3.82"/>
    <col collapsed="false" customWidth="true" hidden="false" outlineLevel="0" max="37" min="37" style="177" width="3.82"/>
    <col collapsed="false" customWidth="true" hidden="false" outlineLevel="0" max="38" min="38" style="176" width="5.49"/>
    <col collapsed="false" customWidth="true" hidden="false" outlineLevel="0" max="39" min="39" style="171" width="5.49"/>
    <col collapsed="false" customWidth="true" hidden="false" outlineLevel="0" max="40" min="40" style="171" width="6.32"/>
    <col collapsed="false" customWidth="true" hidden="false" outlineLevel="0" max="41" min="41" style="394" width="6.32"/>
    <col collapsed="false" customWidth="true" hidden="false" outlineLevel="0" max="42" min="42" style="171" width="6.32"/>
    <col collapsed="false" customWidth="true" hidden="false" outlineLevel="0" max="43" min="43" style="174" width="6.49"/>
    <col collapsed="false" customWidth="false" hidden="false" outlineLevel="0" max="257" min="44" style="171" width="9.32"/>
  </cols>
  <sheetData>
    <row r="1" customFormat="false" ht="14.1" hidden="false" customHeight="true" outlineLevel="0" collapsed="false">
      <c r="A1" s="179"/>
      <c r="B1" s="179"/>
      <c r="C1" s="180"/>
      <c r="D1" s="179"/>
      <c r="E1" s="180"/>
      <c r="F1" s="179"/>
      <c r="G1" s="179"/>
      <c r="H1" s="183"/>
      <c r="I1" s="179"/>
      <c r="J1" s="179"/>
      <c r="K1" s="182" t="s">
        <v>0</v>
      </c>
      <c r="L1" s="179"/>
      <c r="M1" s="179"/>
      <c r="N1" s="181"/>
      <c r="O1" s="179"/>
      <c r="P1" s="181"/>
      <c r="Q1" s="179"/>
      <c r="R1" s="179"/>
      <c r="S1" s="179"/>
      <c r="T1" s="181"/>
      <c r="U1" s="179"/>
      <c r="V1" s="179"/>
      <c r="W1" s="180"/>
      <c r="X1" s="179"/>
      <c r="Y1" s="179"/>
      <c r="Z1" s="179"/>
      <c r="AA1" s="179"/>
      <c r="AB1" s="179"/>
      <c r="AC1" s="179"/>
      <c r="AD1" s="185"/>
      <c r="AE1" s="179"/>
      <c r="AF1" s="179"/>
      <c r="AG1" s="179"/>
      <c r="AH1" s="181"/>
      <c r="AI1" s="184"/>
      <c r="AJ1" s="185"/>
      <c r="AK1" s="186"/>
      <c r="AL1" s="363"/>
      <c r="AM1" s="306"/>
      <c r="AN1" s="306"/>
    </row>
    <row r="2" customFormat="false" ht="14.1" hidden="false" customHeight="true" outlineLevel="0" collapsed="false">
      <c r="A2" s="187" t="s">
        <v>1</v>
      </c>
      <c r="B2" s="179"/>
      <c r="C2" s="180"/>
      <c r="D2" s="188" t="n">
        <v>1.9835</v>
      </c>
      <c r="E2" s="180"/>
      <c r="F2" s="179"/>
      <c r="G2" s="179"/>
      <c r="H2" s="183"/>
      <c r="I2" s="179"/>
      <c r="J2" s="179"/>
      <c r="K2" s="189" t="s">
        <v>109</v>
      </c>
      <c r="L2" s="189"/>
      <c r="M2" s="189"/>
      <c r="N2" s="189"/>
      <c r="O2" s="189"/>
      <c r="P2" s="189"/>
      <c r="Q2" s="189"/>
      <c r="R2" s="189"/>
      <c r="S2" s="189"/>
      <c r="T2" s="189"/>
      <c r="U2" s="189"/>
      <c r="V2" s="189"/>
      <c r="W2" s="189"/>
      <c r="X2" s="189"/>
      <c r="Y2" s="189"/>
      <c r="Z2" s="189"/>
      <c r="AA2" s="179"/>
      <c r="AB2" s="179"/>
      <c r="AC2" s="179"/>
      <c r="AD2" s="185"/>
      <c r="AE2" s="179"/>
      <c r="AF2" s="179"/>
      <c r="AG2" s="179"/>
      <c r="AH2" s="181"/>
      <c r="AI2" s="184"/>
      <c r="AJ2" s="185"/>
      <c r="AK2" s="186"/>
      <c r="AL2" s="363"/>
      <c r="AM2" s="306"/>
      <c r="AN2" s="306"/>
    </row>
    <row r="3" customFormat="false" ht="14.1" hidden="false" customHeight="true" outlineLevel="0" collapsed="false">
      <c r="A3" s="179"/>
      <c r="B3" s="179"/>
      <c r="C3" s="180"/>
      <c r="D3" s="478"/>
      <c r="E3" s="180"/>
      <c r="F3" s="179"/>
      <c r="G3" s="179"/>
      <c r="H3" s="183"/>
      <c r="I3" s="179"/>
      <c r="J3" s="179"/>
      <c r="K3" s="179"/>
      <c r="L3" s="179"/>
      <c r="M3" s="179"/>
      <c r="N3" s="181"/>
      <c r="O3" s="179"/>
      <c r="P3" s="181"/>
      <c r="Q3" s="179"/>
      <c r="R3" s="179"/>
      <c r="S3" s="179"/>
      <c r="T3" s="181"/>
      <c r="U3" s="179"/>
      <c r="V3" s="179"/>
      <c r="W3" s="180"/>
      <c r="X3" s="179"/>
      <c r="Y3" s="179"/>
      <c r="Z3" s="179"/>
      <c r="AA3" s="179"/>
      <c r="AB3" s="179"/>
      <c r="AC3" s="179"/>
      <c r="AD3" s="185"/>
      <c r="AE3" s="179"/>
      <c r="AF3" s="179"/>
      <c r="AG3" s="179"/>
      <c r="AH3" s="181"/>
      <c r="AI3" s="184"/>
      <c r="AJ3" s="185"/>
      <c r="AK3" s="186"/>
      <c r="AL3" s="363"/>
      <c r="AM3" s="309"/>
      <c r="AN3" s="309"/>
    </row>
    <row r="4" s="213" customFormat="true" ht="14.1" hidden="false" customHeight="true" outlineLevel="0" collapsed="false">
      <c r="A4" s="479"/>
      <c r="B4" s="202"/>
      <c r="C4" s="203"/>
      <c r="D4" s="311" t="s">
        <v>3</v>
      </c>
      <c r="E4" s="203"/>
      <c r="F4" s="479"/>
      <c r="G4" s="202"/>
      <c r="H4" s="480"/>
      <c r="I4" s="479"/>
      <c r="J4" s="479"/>
      <c r="K4" s="479"/>
      <c r="L4" s="479"/>
      <c r="M4" s="479"/>
      <c r="N4" s="481"/>
      <c r="O4" s="479"/>
      <c r="P4" s="481"/>
      <c r="Q4" s="479"/>
      <c r="R4" s="479"/>
      <c r="S4" s="479"/>
      <c r="T4" s="481"/>
      <c r="U4" s="482" t="s">
        <v>4</v>
      </c>
      <c r="V4" s="479"/>
      <c r="W4" s="203"/>
      <c r="X4" s="479"/>
      <c r="Y4" s="479"/>
      <c r="Z4" s="479"/>
      <c r="AA4" s="479"/>
      <c r="AB4" s="479"/>
      <c r="AC4" s="479"/>
      <c r="AD4" s="483"/>
      <c r="AE4" s="479"/>
      <c r="AF4" s="479"/>
      <c r="AG4" s="479"/>
      <c r="AH4" s="481"/>
      <c r="AI4" s="210"/>
      <c r="AJ4" s="211" t="s">
        <v>5</v>
      </c>
      <c r="AK4" s="212"/>
      <c r="AL4" s="484"/>
      <c r="AM4" s="485"/>
      <c r="AN4" s="207" t="s">
        <v>6</v>
      </c>
      <c r="AO4" s="486"/>
      <c r="AP4" s="49"/>
      <c r="AQ4" s="480"/>
    </row>
    <row r="5" customFormat="false" ht="12.95" hidden="false" customHeight="true" outlineLevel="0" collapsed="false">
      <c r="A5" s="248" t="s">
        <v>7</v>
      </c>
      <c r="B5" s="487" t="s">
        <v>8</v>
      </c>
      <c r="C5" s="244" t="s">
        <v>8</v>
      </c>
      <c r="D5" s="248" t="s">
        <v>9</v>
      </c>
      <c r="E5" s="244" t="s">
        <v>10</v>
      </c>
      <c r="F5" s="248" t="s">
        <v>11</v>
      </c>
      <c r="G5" s="488" t="s">
        <v>12</v>
      </c>
      <c r="H5" s="489" t="s">
        <v>13</v>
      </c>
      <c r="I5" s="490" t="s">
        <v>14</v>
      </c>
      <c r="J5" s="490" t="s">
        <v>15</v>
      </c>
      <c r="K5" s="490" t="s">
        <v>16</v>
      </c>
      <c r="L5" s="248" t="s">
        <v>15</v>
      </c>
      <c r="M5" s="223" t="s">
        <v>17</v>
      </c>
      <c r="N5" s="223"/>
      <c r="O5" s="223"/>
      <c r="P5" s="223"/>
      <c r="Q5" s="223"/>
      <c r="R5" s="223"/>
      <c r="S5" s="223"/>
      <c r="T5" s="223"/>
      <c r="U5" s="248" t="s">
        <v>18</v>
      </c>
      <c r="V5" s="248" t="s">
        <v>19</v>
      </c>
      <c r="W5" s="248" t="s">
        <v>16</v>
      </c>
      <c r="X5" s="244" t="s">
        <v>20</v>
      </c>
      <c r="Y5" s="244" t="s">
        <v>21</v>
      </c>
      <c r="Z5" s="244" t="s">
        <v>20</v>
      </c>
      <c r="AA5" s="248" t="s">
        <v>22</v>
      </c>
      <c r="AB5" s="225" t="s">
        <v>96</v>
      </c>
      <c r="AC5" s="226"/>
      <c r="AD5" s="238" t="s">
        <v>24</v>
      </c>
      <c r="AE5" s="244" t="s">
        <v>110</v>
      </c>
      <c r="AF5" s="248" t="s">
        <v>14</v>
      </c>
      <c r="AG5" s="248" t="s">
        <v>15</v>
      </c>
      <c r="AH5" s="248" t="s">
        <v>16</v>
      </c>
      <c r="AI5" s="367" t="s">
        <v>26</v>
      </c>
      <c r="AJ5" s="238" t="s">
        <v>27</v>
      </c>
      <c r="AK5" s="368" t="s">
        <v>28</v>
      </c>
      <c r="AL5" s="76" t="s">
        <v>88</v>
      </c>
      <c r="AM5" s="76" t="s">
        <v>20</v>
      </c>
      <c r="AN5" s="448" t="s">
        <v>89</v>
      </c>
      <c r="AO5" s="448" t="s">
        <v>89</v>
      </c>
      <c r="AP5" s="67" t="s">
        <v>30</v>
      </c>
      <c r="AQ5" s="491" t="s">
        <v>31</v>
      </c>
    </row>
    <row r="6" customFormat="false" ht="12.95" hidden="false" customHeight="true" outlineLevel="0" collapsed="false">
      <c r="A6" s="492" t="s">
        <v>111</v>
      </c>
      <c r="B6" s="487" t="s">
        <v>33</v>
      </c>
      <c r="C6" s="244" t="s">
        <v>9</v>
      </c>
      <c r="D6" s="248" t="s">
        <v>34</v>
      </c>
      <c r="E6" s="244" t="s">
        <v>35</v>
      </c>
      <c r="F6" s="248" t="s">
        <v>36</v>
      </c>
      <c r="G6" s="488" t="s">
        <v>37</v>
      </c>
      <c r="H6" s="489" t="s">
        <v>38</v>
      </c>
      <c r="I6" s="490" t="s">
        <v>39</v>
      </c>
      <c r="J6" s="490" t="s">
        <v>39</v>
      </c>
      <c r="K6" s="490" t="s">
        <v>39</v>
      </c>
      <c r="L6" s="248" t="s">
        <v>40</v>
      </c>
      <c r="M6" s="493" t="s">
        <v>41</v>
      </c>
      <c r="N6" s="249" t="s">
        <v>42</v>
      </c>
      <c r="O6" s="248" t="s">
        <v>43</v>
      </c>
      <c r="P6" s="249" t="s">
        <v>44</v>
      </c>
      <c r="Q6" s="248" t="s">
        <v>45</v>
      </c>
      <c r="R6" s="248" t="s">
        <v>46</v>
      </c>
      <c r="S6" s="248" t="s">
        <v>47</v>
      </c>
      <c r="T6" s="250" t="s">
        <v>48</v>
      </c>
      <c r="U6" s="248" t="s">
        <v>49</v>
      </c>
      <c r="V6" s="248" t="s">
        <v>50</v>
      </c>
      <c r="W6" s="248" t="s">
        <v>20</v>
      </c>
      <c r="X6" s="244" t="s">
        <v>60</v>
      </c>
      <c r="Y6" s="244" t="s">
        <v>52</v>
      </c>
      <c r="Z6" s="244" t="s">
        <v>98</v>
      </c>
      <c r="AA6" s="248" t="s">
        <v>54</v>
      </c>
      <c r="AB6" s="234"/>
      <c r="AC6" s="236"/>
      <c r="AD6" s="238" t="s">
        <v>56</v>
      </c>
      <c r="AE6" s="244" t="s">
        <v>57</v>
      </c>
      <c r="AF6" s="248" t="s">
        <v>58</v>
      </c>
      <c r="AG6" s="248" t="s">
        <v>58</v>
      </c>
      <c r="AH6" s="248" t="s">
        <v>58</v>
      </c>
      <c r="AI6" s="369"/>
      <c r="AJ6" s="238" t="s">
        <v>59</v>
      </c>
      <c r="AK6" s="368" t="s">
        <v>59</v>
      </c>
      <c r="AL6" s="76" t="s">
        <v>60</v>
      </c>
      <c r="AM6" s="76" t="s">
        <v>61</v>
      </c>
      <c r="AN6" s="448" t="s">
        <v>62</v>
      </c>
      <c r="AO6" s="448" t="s">
        <v>62</v>
      </c>
      <c r="AP6" s="67" t="s">
        <v>63</v>
      </c>
      <c r="AQ6" s="491" t="s">
        <v>64</v>
      </c>
    </row>
    <row r="7" customFormat="false" ht="12.95" hidden="false" customHeight="true" outlineLevel="0" collapsed="false">
      <c r="A7" s="248"/>
      <c r="B7" s="487"/>
      <c r="C7" s="244"/>
      <c r="D7" s="248"/>
      <c r="E7" s="244" t="s">
        <v>65</v>
      </c>
      <c r="F7" s="248"/>
      <c r="G7" s="487"/>
      <c r="H7" s="239"/>
      <c r="I7" s="248"/>
      <c r="J7" s="248"/>
      <c r="K7" s="248"/>
      <c r="L7" s="248"/>
      <c r="M7" s="493"/>
      <c r="N7" s="249" t="s">
        <v>66</v>
      </c>
      <c r="O7" s="248" t="s">
        <v>67</v>
      </c>
      <c r="P7" s="249"/>
      <c r="Q7" s="248"/>
      <c r="R7" s="248"/>
      <c r="S7" s="248" t="s">
        <v>43</v>
      </c>
      <c r="T7" s="250" t="s">
        <v>68</v>
      </c>
      <c r="U7" s="248"/>
      <c r="V7" s="248"/>
      <c r="W7" s="248"/>
      <c r="X7" s="244"/>
      <c r="Y7" s="244"/>
      <c r="Z7" s="244"/>
      <c r="AA7" s="248"/>
      <c r="AB7" s="247"/>
      <c r="AC7" s="251"/>
      <c r="AD7" s="238"/>
      <c r="AE7" s="244"/>
      <c r="AF7" s="248"/>
      <c r="AG7" s="248"/>
      <c r="AH7" s="248"/>
      <c r="AI7" s="369"/>
      <c r="AJ7" s="238"/>
      <c r="AK7" s="368"/>
      <c r="AL7" s="76" t="s">
        <v>65</v>
      </c>
      <c r="AM7" s="76" t="s">
        <v>36</v>
      </c>
      <c r="AN7" s="448" t="s">
        <v>107</v>
      </c>
      <c r="AO7" s="448" t="s">
        <v>93</v>
      </c>
      <c r="AP7" s="67" t="s">
        <v>72</v>
      </c>
      <c r="AQ7" s="491" t="s">
        <v>73</v>
      </c>
    </row>
    <row r="8" customFormat="false" ht="12.95" hidden="false" customHeight="true" outlineLevel="0" collapsed="false">
      <c r="A8" s="248"/>
      <c r="B8" s="487"/>
      <c r="C8" s="244"/>
      <c r="D8" s="248"/>
      <c r="E8" s="244"/>
      <c r="F8" s="248"/>
      <c r="G8" s="487"/>
      <c r="H8" s="239"/>
      <c r="I8" s="248"/>
      <c r="J8" s="248"/>
      <c r="K8" s="248"/>
      <c r="L8" s="248"/>
      <c r="M8" s="493"/>
      <c r="N8" s="249" t="n">
        <v>1.03</v>
      </c>
      <c r="O8" s="254" t="n">
        <v>1.05</v>
      </c>
      <c r="P8" s="249" t="n">
        <v>1.02</v>
      </c>
      <c r="Q8" s="254" t="n">
        <v>1.02</v>
      </c>
      <c r="R8" s="254" t="n">
        <v>1.04</v>
      </c>
      <c r="S8" s="248" t="s">
        <v>53</v>
      </c>
      <c r="T8" s="250"/>
      <c r="U8" s="248"/>
      <c r="V8" s="248"/>
      <c r="W8" s="248"/>
      <c r="X8" s="244"/>
      <c r="Y8" s="244"/>
      <c r="Z8" s="244"/>
      <c r="AA8" s="248"/>
      <c r="AB8" s="247"/>
      <c r="AC8" s="251"/>
      <c r="AD8" s="238"/>
      <c r="AE8" s="244"/>
      <c r="AF8" s="248"/>
      <c r="AG8" s="248"/>
      <c r="AH8" s="248"/>
      <c r="AI8" s="369"/>
      <c r="AJ8" s="238"/>
      <c r="AK8" s="368"/>
      <c r="AL8" s="76"/>
      <c r="AM8" s="76"/>
      <c r="AN8" s="448"/>
      <c r="AO8" s="448" t="s">
        <v>69</v>
      </c>
      <c r="AP8" s="454"/>
    </row>
    <row r="9" customFormat="false" ht="12.95" hidden="false" customHeight="true" outlineLevel="0" collapsed="false">
      <c r="A9" s="187" t="s">
        <v>75</v>
      </c>
      <c r="B9" s="256"/>
      <c r="C9" s="115"/>
      <c r="D9" s="115"/>
      <c r="E9" s="115"/>
      <c r="F9" s="115" t="n">
        <f aca="false">APR!F46</f>
        <v>17164.1038568188</v>
      </c>
      <c r="G9" s="494" t="n">
        <f aca="false">APR!G46</f>
        <v>18644</v>
      </c>
      <c r="H9" s="261" t="n">
        <f aca="false">APR!H46</f>
        <v>935</v>
      </c>
      <c r="I9" s="115" t="n">
        <f aca="false">APR!I46</f>
        <v>19579</v>
      </c>
      <c r="J9" s="115" t="n">
        <f aca="false">APR!J46</f>
        <v>3267.91385681875</v>
      </c>
      <c r="K9" s="115" t="n">
        <f aca="false">APR!K46</f>
        <v>22846.9138568188</v>
      </c>
      <c r="L9" s="115" t="n">
        <f aca="false">APR!L46</f>
        <v>3267.91385681875</v>
      </c>
      <c r="M9" s="259" t="n">
        <f aca="false">APR!M46</f>
        <v>3190.3</v>
      </c>
      <c r="N9" s="261" t="n">
        <f aca="false">APR!N46</f>
        <v>56.54391</v>
      </c>
      <c r="O9" s="115" t="n">
        <f aca="false">APR!O46</f>
        <v>2064.9155</v>
      </c>
      <c r="P9" s="258" t="n">
        <f aca="false">APR!P46</f>
        <v>0</v>
      </c>
      <c r="Q9" s="115"/>
      <c r="R9" s="115"/>
      <c r="S9" s="115"/>
      <c r="T9" s="260"/>
      <c r="U9" s="115" t="n">
        <f aca="false">APR!U46</f>
        <v>470</v>
      </c>
      <c r="V9" s="115" t="n">
        <f aca="false">APR!V46</f>
        <v>394.8</v>
      </c>
      <c r="W9" s="115" t="n">
        <f aca="false">APR!W46</f>
        <v>1566.65859</v>
      </c>
      <c r="X9" s="115" t="n">
        <f aca="false">APR!X46</f>
        <v>16739.6181333646</v>
      </c>
      <c r="Y9" s="115" t="n">
        <f aca="false">APR!Y46</f>
        <v>1714</v>
      </c>
      <c r="Z9" s="115"/>
      <c r="AA9" s="115" t="n">
        <f aca="false">APR!AA46</f>
        <v>133.1</v>
      </c>
      <c r="AB9" s="115" t="n">
        <f aca="false">APR!AB46</f>
        <v>51</v>
      </c>
      <c r="AC9" s="115" t="n">
        <f aca="false">APR!AC46</f>
        <v>39</v>
      </c>
      <c r="AD9" s="264"/>
      <c r="AE9" s="115"/>
      <c r="AF9" s="115" t="n">
        <f aca="false">APR!AF46</f>
        <v>5682.81</v>
      </c>
      <c r="AG9" s="115" t="n">
        <f aca="false">APR!AG46</f>
        <v>0</v>
      </c>
      <c r="AH9" s="115" t="n">
        <f aca="false">APR!AH46</f>
        <v>5682.81</v>
      </c>
      <c r="AI9" s="263"/>
      <c r="AJ9" s="264"/>
      <c r="AK9" s="265"/>
      <c r="AL9" s="264"/>
      <c r="AM9" s="264"/>
      <c r="AN9" s="141"/>
      <c r="AO9" s="258" t="n">
        <f aca="false">APR!AO47</f>
        <v>103.688804606298</v>
      </c>
      <c r="AP9" s="115" t="n">
        <f aca="false">APR!AP46</f>
        <v>0</v>
      </c>
    </row>
    <row r="10" s="172" customFormat="true" ht="12.95" hidden="false" customHeight="true" outlineLevel="0" collapsed="false">
      <c r="A10" s="267" t="s">
        <v>76</v>
      </c>
      <c r="B10" s="114" t="n">
        <f aca="false">APR!B41</f>
        <v>6915.35</v>
      </c>
      <c r="C10" s="115" t="n">
        <f aca="false">APR!C41</f>
        <v>343833</v>
      </c>
      <c r="D10" s="115" t="n">
        <f aca="false">APR!D50</f>
        <v>72912</v>
      </c>
      <c r="E10" s="115" t="n">
        <f aca="false">APR!E50</f>
        <v>191833</v>
      </c>
      <c r="F10" s="115" t="n">
        <f aca="false">APR!F49</f>
        <v>36759.2639274011</v>
      </c>
      <c r="G10" s="494" t="n">
        <f aca="false">APR!G49</f>
        <v>41265</v>
      </c>
      <c r="H10" s="261" t="n">
        <f aca="false">APR!H49</f>
        <v>2422.58</v>
      </c>
      <c r="I10" s="115" t="n">
        <f aca="false">APR!I49</f>
        <v>43687.58</v>
      </c>
      <c r="J10" s="115" t="n">
        <f aca="false">APR!J49</f>
        <v>10356.8481396521</v>
      </c>
      <c r="K10" s="115" t="n">
        <f aca="false">APR!K49</f>
        <v>54044.4281396521</v>
      </c>
      <c r="L10" s="115" t="n">
        <f aca="false">APR!L49</f>
        <v>9015.99392740106</v>
      </c>
      <c r="M10" s="259" t="n">
        <f aca="false">APR!M49</f>
        <v>4186.7</v>
      </c>
      <c r="N10" s="261" t="n">
        <f aca="false">APR!N49</f>
        <v>56.54391</v>
      </c>
      <c r="O10" s="115" t="n">
        <f aca="false">APR!O49</f>
        <v>2064.9155</v>
      </c>
      <c r="P10" s="258"/>
      <c r="Q10" s="115" t="n">
        <f aca="false">APR!Q49</f>
        <v>282.642</v>
      </c>
      <c r="R10" s="115" t="n">
        <f aca="false">APR!R49</f>
        <v>521.373</v>
      </c>
      <c r="S10" s="268" t="n">
        <f aca="false">APR!S49</f>
        <v>7.52</v>
      </c>
      <c r="T10" s="269" t="n">
        <f aca="false">APR!T49</f>
        <v>-61.236</v>
      </c>
      <c r="U10" s="115" t="n">
        <f aca="false">APR!U49</f>
        <v>5845</v>
      </c>
      <c r="V10" s="115" t="n">
        <f aca="false">APR!V49</f>
        <v>520.9</v>
      </c>
      <c r="W10" s="115" t="n">
        <f aca="false">APR!W49</f>
        <v>7203.67419</v>
      </c>
      <c r="X10" s="115"/>
      <c r="Y10" s="115"/>
      <c r="Z10" s="115"/>
      <c r="AA10" s="115"/>
      <c r="AB10" s="259"/>
      <c r="AC10" s="262"/>
      <c r="AD10" s="264" t="n">
        <f aca="false">APR!AD49</f>
        <v>5258.61</v>
      </c>
      <c r="AE10" s="115" t="n">
        <f aca="false">APR!AE49</f>
        <v>13951.823072851</v>
      </c>
      <c r="AF10" s="115" t="n">
        <f aca="false">APR!AF49</f>
        <v>15944.31</v>
      </c>
      <c r="AG10" s="115" t="n">
        <f aca="false">APR!AG49</f>
        <v>1340.85421225107</v>
      </c>
      <c r="AH10" s="115" t="n">
        <f aca="false">APR!AH49</f>
        <v>17285.1642122511</v>
      </c>
      <c r="AI10" s="263" t="n">
        <f aca="false">APR!AI49</f>
        <v>5.29</v>
      </c>
      <c r="AJ10" s="264"/>
      <c r="AK10" s="265"/>
      <c r="AL10" s="495" t="n">
        <f aca="false">APR!AL50</f>
        <v>10481.92122</v>
      </c>
      <c r="AM10" s="377" t="n">
        <f aca="false">APR!AM49</f>
        <v>264.7472</v>
      </c>
      <c r="AN10" s="115"/>
      <c r="AO10" s="258" t="n">
        <f aca="false">APR!AO50</f>
        <v>103.688804606298</v>
      </c>
      <c r="AP10" s="115" t="n">
        <f aca="false">APR!AP49</f>
        <v>0</v>
      </c>
      <c r="AQ10" s="174"/>
    </row>
    <row r="11" customFormat="false" ht="2.25" hidden="false" customHeight="true" outlineLevel="0" collapsed="false">
      <c r="A11" s="270"/>
      <c r="B11" s="271"/>
      <c r="C11" s="272"/>
      <c r="D11" s="273"/>
      <c r="E11" s="272"/>
      <c r="F11" s="273"/>
      <c r="G11" s="287"/>
      <c r="H11" s="278"/>
      <c r="I11" s="273"/>
      <c r="J11" s="273"/>
      <c r="K11" s="273"/>
      <c r="L11" s="273"/>
      <c r="M11" s="276"/>
      <c r="N11" s="275"/>
      <c r="O11" s="273"/>
      <c r="P11" s="275"/>
      <c r="Q11" s="273"/>
      <c r="R11" s="273"/>
      <c r="S11" s="273"/>
      <c r="T11" s="277"/>
      <c r="U11" s="273"/>
      <c r="V11" s="273"/>
      <c r="W11" s="273"/>
      <c r="X11" s="272"/>
      <c r="Y11" s="272"/>
      <c r="Z11" s="272"/>
      <c r="AA11" s="273"/>
      <c r="AB11" s="276"/>
      <c r="AC11" s="279"/>
      <c r="AD11" s="281"/>
      <c r="AE11" s="272"/>
      <c r="AF11" s="273"/>
      <c r="AG11" s="273"/>
      <c r="AH11" s="273"/>
      <c r="AI11" s="280"/>
      <c r="AJ11" s="281"/>
      <c r="AK11" s="282"/>
      <c r="AL11" s="281"/>
      <c r="AM11" s="281"/>
      <c r="AN11" s="281"/>
      <c r="AO11" s="275"/>
      <c r="AP11" s="275"/>
      <c r="AQ11" s="278"/>
    </row>
    <row r="12" customFormat="false" ht="12.95" hidden="false" customHeight="true" outlineLevel="0" collapsed="false">
      <c r="A12" s="186" t="n">
        <v>1</v>
      </c>
      <c r="B12" s="114" t="n">
        <v>6915.98</v>
      </c>
      <c r="C12" s="115" t="n">
        <v>346463</v>
      </c>
      <c r="D12" s="264" t="n">
        <f aca="false">C12-C10</f>
        <v>2630</v>
      </c>
      <c r="E12" s="115" t="n">
        <f aca="false">C12-152000</f>
        <v>194463</v>
      </c>
      <c r="F12" s="141" t="n">
        <f aca="false">D12/$D$2</f>
        <v>1325.93899672296</v>
      </c>
      <c r="G12" s="256" t="n">
        <v>1530</v>
      </c>
      <c r="H12" s="261" t="n">
        <v>44</v>
      </c>
      <c r="I12" s="141" t="n">
        <f aca="false">G12+H12</f>
        <v>1574</v>
      </c>
      <c r="J12" s="261" t="n">
        <f aca="false">IF(L12&gt;0,L12,0)</f>
        <v>161.938996722964</v>
      </c>
      <c r="K12" s="141" t="n">
        <f aca="false">I12+J12</f>
        <v>1735.93899672296</v>
      </c>
      <c r="L12" s="141" t="n">
        <f aca="false">F12-(I12-AF12)</f>
        <v>161.938996722964</v>
      </c>
      <c r="M12" s="284" t="n">
        <v>270</v>
      </c>
      <c r="N12" s="258" t="n">
        <f aca="false">1.8299*1.03</f>
        <v>1.884797</v>
      </c>
      <c r="O12" s="141" t="n">
        <f aca="false">(40+40)*1.05</f>
        <v>84</v>
      </c>
      <c r="P12" s="258" t="n">
        <v>0</v>
      </c>
      <c r="Q12" s="408" t="n">
        <f aca="false">2.03*1.02</f>
        <v>2.0706</v>
      </c>
      <c r="R12" s="408" t="n">
        <v>4.2</v>
      </c>
      <c r="S12" s="138" t="n">
        <v>2.71</v>
      </c>
      <c r="T12" s="456" t="n">
        <v>0</v>
      </c>
      <c r="U12" s="141" t="n">
        <v>26</v>
      </c>
      <c r="V12" s="141" t="n">
        <v>52</v>
      </c>
      <c r="W12" s="141" t="n">
        <f aca="false">M12-N12-O12-P12-Q12-R12-S12-T12+U12+V12-AQ12</f>
        <v>253.134603</v>
      </c>
      <c r="X12" s="115" t="n">
        <f aca="false">X9+AN12-(AO12/1.9835)</f>
        <v>17276.8631842269</v>
      </c>
      <c r="Y12" s="115" t="n">
        <v>1714</v>
      </c>
      <c r="Z12" s="115"/>
      <c r="AA12" s="141" t="n">
        <v>13</v>
      </c>
      <c r="AB12" s="284" t="n">
        <v>1.7</v>
      </c>
      <c r="AC12" s="285" t="n">
        <v>1.3</v>
      </c>
      <c r="AD12" s="496" t="n">
        <v>49</v>
      </c>
      <c r="AE12" s="497" t="n">
        <f aca="false">AE10-AD12</f>
        <v>13902.823072851</v>
      </c>
      <c r="AF12" s="140" t="n">
        <f aca="false">N12+O12+P12+Q12+R12+S12+T12+W12+AA12+AD12</f>
        <v>410</v>
      </c>
      <c r="AG12" s="141" t="n">
        <f aca="false">IF(L12&lt;0,L12*-1,0)</f>
        <v>0</v>
      </c>
      <c r="AH12" s="141" t="n">
        <f aca="false">AF12+AG12</f>
        <v>410</v>
      </c>
      <c r="AI12" s="263" t="n">
        <v>0.3</v>
      </c>
      <c r="AJ12" s="264" t="n">
        <v>74</v>
      </c>
      <c r="AK12" s="265" t="n">
        <v>40</v>
      </c>
      <c r="AL12" s="264" t="n">
        <f aca="false">AL10</f>
        <v>10481.92122</v>
      </c>
      <c r="AM12" s="264"/>
      <c r="AN12" s="457" t="n">
        <f aca="false">795-W12</f>
        <v>541.865397</v>
      </c>
      <c r="AO12" s="258" t="n">
        <f aca="false">47.3*(X9*1.9835+AN12*1.9835+Y12*1.9835)/E12</f>
        <v>9.164456564237</v>
      </c>
      <c r="AP12" s="266"/>
    </row>
    <row r="13" customFormat="false" ht="12.95" hidden="false" customHeight="true" outlineLevel="0" collapsed="false">
      <c r="A13" s="186" t="n">
        <f aca="false">A12+1</f>
        <v>2</v>
      </c>
      <c r="B13" s="114" t="n">
        <v>6916.86</v>
      </c>
      <c r="C13" s="115" t="n">
        <v>350165</v>
      </c>
      <c r="D13" s="264" t="n">
        <f aca="false">C13-C12</f>
        <v>3702</v>
      </c>
      <c r="E13" s="115" t="n">
        <f aca="false">C13-152000</f>
        <v>198165</v>
      </c>
      <c r="F13" s="141" t="n">
        <f aca="false">D13/$D$2</f>
        <v>1866.39778169902</v>
      </c>
      <c r="G13" s="256" t="n">
        <v>2120</v>
      </c>
      <c r="H13" s="261" t="n">
        <v>73</v>
      </c>
      <c r="I13" s="141" t="n">
        <f aca="false">G13+H13</f>
        <v>2193</v>
      </c>
      <c r="J13" s="261" t="n">
        <f aca="false">IF(L13&gt;0,L13,0)</f>
        <v>70.4977816990167</v>
      </c>
      <c r="K13" s="141" t="n">
        <f aca="false">I13+J13</f>
        <v>2263.49778169902</v>
      </c>
      <c r="L13" s="141" t="n">
        <f aca="false">F13-(I13-AF13)</f>
        <v>70.4977816990167</v>
      </c>
      <c r="M13" s="284" t="n">
        <v>265</v>
      </c>
      <c r="N13" s="258" t="n">
        <f aca="false">1.8299*1.03</f>
        <v>1.884797</v>
      </c>
      <c r="O13" s="141" t="n">
        <f aca="false">(37+41)*1.05</f>
        <v>81.9</v>
      </c>
      <c r="P13" s="258" t="n">
        <v>0</v>
      </c>
      <c r="Q13" s="408" t="n">
        <f aca="false">2.03*1.02</f>
        <v>2.0706</v>
      </c>
      <c r="R13" s="408" t="n">
        <v>3.43</v>
      </c>
      <c r="S13" s="138" t="n">
        <v>0</v>
      </c>
      <c r="T13" s="456" t="n">
        <v>0</v>
      </c>
      <c r="U13" s="141" t="n">
        <v>26</v>
      </c>
      <c r="V13" s="141" t="n">
        <v>55</v>
      </c>
      <c r="W13" s="141" t="n">
        <f aca="false">M13-N13-O13-P13-Q13-R13-S13-T13+U13+V13-AQ13</f>
        <v>256.714603</v>
      </c>
      <c r="X13" s="115" t="n">
        <f aca="false">X12+AN13-(AO13/1.9835)</f>
        <v>17810.4871691314</v>
      </c>
      <c r="Y13" s="115" t="n">
        <v>1714</v>
      </c>
      <c r="Z13" s="115"/>
      <c r="AA13" s="141" t="n">
        <v>1.1</v>
      </c>
      <c r="AB13" s="284" t="n">
        <v>1.7</v>
      </c>
      <c r="AC13" s="285" t="n">
        <v>1.3</v>
      </c>
      <c r="AD13" s="496" t="n">
        <v>50</v>
      </c>
      <c r="AE13" s="497" t="n">
        <f aca="false">AE12-AD13</f>
        <v>13852.823072851</v>
      </c>
      <c r="AF13" s="140" t="n">
        <f aca="false">N13+O13+P13+Q13+R13+S13+T13+W13+AA13+AD13</f>
        <v>397.1</v>
      </c>
      <c r="AG13" s="141" t="n">
        <f aca="false">IF(L13&lt;0,L13*-1,0)</f>
        <v>0</v>
      </c>
      <c r="AH13" s="141" t="n">
        <f aca="false">AF13+AG13</f>
        <v>397.1</v>
      </c>
      <c r="AI13" s="263" t="n">
        <v>0.21</v>
      </c>
      <c r="AJ13" s="264" t="n">
        <v>58</v>
      </c>
      <c r="AK13" s="265" t="n">
        <v>42</v>
      </c>
      <c r="AL13" s="264" t="n">
        <f aca="false">AL12</f>
        <v>10481.92122</v>
      </c>
      <c r="AM13" s="264"/>
      <c r="AN13" s="457" t="n">
        <f aca="false">795-W13</f>
        <v>538.285397</v>
      </c>
      <c r="AO13" s="258" t="n">
        <f aca="false">47.3*(X12*1.9835+AN13*1.9835+Y13*1.9835)/E13</f>
        <v>9.24591089129686</v>
      </c>
      <c r="AP13" s="266"/>
    </row>
    <row r="14" customFormat="false" ht="12.95" hidden="false" customHeight="true" outlineLevel="0" collapsed="false">
      <c r="A14" s="186" t="n">
        <f aca="false">A13+1</f>
        <v>3</v>
      </c>
      <c r="B14" s="114" t="n">
        <v>6917.73</v>
      </c>
      <c r="C14" s="115" t="n">
        <v>353849</v>
      </c>
      <c r="D14" s="264" t="n">
        <f aca="false">C14-C13</f>
        <v>3684</v>
      </c>
      <c r="E14" s="115" t="n">
        <f aca="false">C14-152000</f>
        <v>201849</v>
      </c>
      <c r="F14" s="141" t="n">
        <f aca="false">D14/$D$2</f>
        <v>1857.32291404084</v>
      </c>
      <c r="G14" s="256" t="n">
        <v>2040</v>
      </c>
      <c r="H14" s="261" t="n">
        <v>61</v>
      </c>
      <c r="I14" s="141" t="n">
        <f aca="false">G14+H14</f>
        <v>2101</v>
      </c>
      <c r="J14" s="261" t="n">
        <f aca="false">IF(L14&gt;0,L14,0)</f>
        <v>59.3229140408369</v>
      </c>
      <c r="K14" s="141" t="n">
        <f aca="false">I14+J14</f>
        <v>2160.32291404084</v>
      </c>
      <c r="L14" s="141" t="n">
        <f aca="false">F14-(I14-AF14)</f>
        <v>59.3229140408369</v>
      </c>
      <c r="M14" s="284" t="n">
        <v>172</v>
      </c>
      <c r="N14" s="258" t="n">
        <f aca="false">1.8299*1.03</f>
        <v>1.884797</v>
      </c>
      <c r="O14" s="141" t="n">
        <f aca="false">(6.4+6.5)*1.05</f>
        <v>13.545</v>
      </c>
      <c r="P14" s="258" t="n">
        <v>0</v>
      </c>
      <c r="Q14" s="408" t="n">
        <f aca="false">2.03*1.02</f>
        <v>2.0706</v>
      </c>
      <c r="R14" s="408" t="n">
        <v>4.06</v>
      </c>
      <c r="S14" s="138" t="n">
        <v>0</v>
      </c>
      <c r="T14" s="456" t="n">
        <v>0</v>
      </c>
      <c r="U14" s="141" t="n">
        <v>27</v>
      </c>
      <c r="V14" s="141" t="n">
        <v>54</v>
      </c>
      <c r="W14" s="141" t="n">
        <f aca="false">M14-N14-O14-P14-Q14-R14-S14-T14+U14+V14-AQ14</f>
        <v>231.439603</v>
      </c>
      <c r="X14" s="115" t="n">
        <f aca="false">X13+AN14-(AO14/1.9835)</f>
        <v>18369.3402619096</v>
      </c>
      <c r="Y14" s="115" t="n">
        <v>1714</v>
      </c>
      <c r="Z14" s="115"/>
      <c r="AA14" s="141" t="n">
        <v>0</v>
      </c>
      <c r="AB14" s="284" t="n">
        <v>1.7</v>
      </c>
      <c r="AC14" s="285" t="n">
        <v>1.3</v>
      </c>
      <c r="AD14" s="496" t="n">
        <v>50</v>
      </c>
      <c r="AE14" s="497" t="n">
        <f aca="false">AE13-AD14</f>
        <v>13802.823072851</v>
      </c>
      <c r="AF14" s="140" t="n">
        <f aca="false">N14+O14+P14+Q14+R14+S14+T14+W14+AA14+AD14</f>
        <v>303</v>
      </c>
      <c r="AG14" s="141" t="n">
        <f aca="false">IF(L14&lt;0,L14*-1,0)</f>
        <v>0</v>
      </c>
      <c r="AH14" s="141" t="n">
        <f aca="false">AF14+AG14</f>
        <v>303</v>
      </c>
      <c r="AI14" s="263" t="n">
        <v>0</v>
      </c>
      <c r="AJ14" s="264" t="n">
        <v>69</v>
      </c>
      <c r="AK14" s="265" t="n">
        <v>41</v>
      </c>
      <c r="AL14" s="264" t="n">
        <f aca="false">AL13</f>
        <v>10481.92122</v>
      </c>
      <c r="AM14" s="264"/>
      <c r="AN14" s="457" t="n">
        <f aca="false">795-W14</f>
        <v>563.560397</v>
      </c>
      <c r="AO14" s="258" t="n">
        <f aca="false">47.3*(X13*1.9835+AN14*1.9835+Y14*1.9835)/E14</f>
        <v>9.33693792405732</v>
      </c>
      <c r="AP14" s="266"/>
    </row>
    <row r="15" customFormat="false" ht="12.95" hidden="false" customHeight="true" outlineLevel="0" collapsed="false">
      <c r="A15" s="186" t="n">
        <f aca="false">A14+1</f>
        <v>4</v>
      </c>
      <c r="B15" s="114" t="n">
        <v>6918.46</v>
      </c>
      <c r="C15" s="115" t="n">
        <v>356959</v>
      </c>
      <c r="D15" s="264" t="n">
        <f aca="false">C15-C14</f>
        <v>3110</v>
      </c>
      <c r="E15" s="115" t="n">
        <f aca="false">C15-152000</f>
        <v>204959</v>
      </c>
      <c r="F15" s="141" t="n">
        <f aca="false">D15/$D$2</f>
        <v>1567.93546760776</v>
      </c>
      <c r="G15" s="256" t="n">
        <v>1940</v>
      </c>
      <c r="H15" s="261" t="n">
        <v>50</v>
      </c>
      <c r="I15" s="141" t="n">
        <f aca="false">G15+H15</f>
        <v>1990</v>
      </c>
      <c r="J15" s="261" t="n">
        <f aca="false">IF(L15&gt;0,L15,0)</f>
        <v>0</v>
      </c>
      <c r="K15" s="141" t="n">
        <f aca="false">I15+J15</f>
        <v>1990</v>
      </c>
      <c r="L15" s="141" t="n">
        <f aca="false">F15-(I15-AF15)</f>
        <v>-58.5645323922361</v>
      </c>
      <c r="M15" s="284" t="n">
        <v>223</v>
      </c>
      <c r="N15" s="258" t="n">
        <f aca="false">1.8299*1.03</f>
        <v>1.884797</v>
      </c>
      <c r="O15" s="141" t="n">
        <f aca="false">(20+20)*1.05</f>
        <v>42</v>
      </c>
      <c r="P15" s="258" t="n">
        <v>0</v>
      </c>
      <c r="Q15" s="408" t="n">
        <f aca="false">2.03*1.02</f>
        <v>2.0706</v>
      </c>
      <c r="R15" s="408" t="n">
        <v>4.2</v>
      </c>
      <c r="S15" s="138" t="n">
        <v>0.29</v>
      </c>
      <c r="T15" s="456" t="n">
        <v>0</v>
      </c>
      <c r="U15" s="141" t="n">
        <v>27</v>
      </c>
      <c r="V15" s="141" t="n">
        <v>54</v>
      </c>
      <c r="W15" s="141" t="n">
        <f aca="false">M15-N15-O15-P15-Q15-R15-S15-T15+U15+V15-AQ15</f>
        <v>253.554603</v>
      </c>
      <c r="X15" s="115" t="n">
        <f aca="false">X14+AN15-(AO15/1.9835)</f>
        <v>18906.0259149526</v>
      </c>
      <c r="Y15" s="115" t="n">
        <v>1714</v>
      </c>
      <c r="Z15" s="115"/>
      <c r="AA15" s="141" t="n">
        <v>9.5</v>
      </c>
      <c r="AB15" s="284" t="n">
        <v>1.7</v>
      </c>
      <c r="AC15" s="285" t="n">
        <v>1.3</v>
      </c>
      <c r="AD15" s="496" t="n">
        <v>50</v>
      </c>
      <c r="AE15" s="497" t="n">
        <f aca="false">AE14-AD15</f>
        <v>13752.823072851</v>
      </c>
      <c r="AF15" s="140" t="n">
        <f aca="false">N15+O15+P15+Q15+R15+S15+T15+W15+AA15+AD15</f>
        <v>363.5</v>
      </c>
      <c r="AG15" s="141" t="n">
        <f aca="false">IF(L15&lt;0,L15*-1,0)</f>
        <v>58.5645323922361</v>
      </c>
      <c r="AH15" s="141" t="n">
        <f aca="false">AF15+AG15</f>
        <v>422.064532392236</v>
      </c>
      <c r="AI15" s="263" t="n">
        <v>0</v>
      </c>
      <c r="AJ15" s="264" t="n">
        <v>62</v>
      </c>
      <c r="AK15" s="265" t="n">
        <v>39</v>
      </c>
      <c r="AL15" s="264" t="n">
        <f aca="false">AL14</f>
        <v>10481.92122</v>
      </c>
      <c r="AM15" s="264"/>
      <c r="AN15" s="457" t="n">
        <f aca="false">795-W15</f>
        <v>541.445397</v>
      </c>
      <c r="AO15" s="258" t="n">
        <f aca="false">47.3*(X14*1.9835+AN15*1.9835+Y15*1.9835)/E15</f>
        <v>9.44095213855136</v>
      </c>
      <c r="AP15" s="266"/>
    </row>
    <row r="16" customFormat="false" ht="12.95" hidden="false" customHeight="true" outlineLevel="0" collapsed="false">
      <c r="A16" s="186" t="n">
        <f aca="false">A15+1</f>
        <v>5</v>
      </c>
      <c r="B16" s="114" t="n">
        <v>6919.14</v>
      </c>
      <c r="C16" s="115" t="n">
        <v>359870</v>
      </c>
      <c r="D16" s="264" t="n">
        <f aca="false">C16-C15</f>
        <v>2911</v>
      </c>
      <c r="E16" s="115" t="n">
        <f aca="false">C16-152000</f>
        <v>207870</v>
      </c>
      <c r="F16" s="141" t="n">
        <f aca="false">D16/$D$2</f>
        <v>1467.60776405344</v>
      </c>
      <c r="G16" s="256" t="n">
        <v>1480</v>
      </c>
      <c r="H16" s="261" t="n">
        <v>68</v>
      </c>
      <c r="I16" s="141" t="n">
        <f aca="false">G16+H16</f>
        <v>1548</v>
      </c>
      <c r="J16" s="261" t="n">
        <f aca="false">IF(L16&gt;0,L16,0)</f>
        <v>288.607764053441</v>
      </c>
      <c r="K16" s="141" t="n">
        <f aca="false">I16+J16</f>
        <v>1836.60776405344</v>
      </c>
      <c r="L16" s="141" t="n">
        <f aca="false">F16-(I16-AF16)</f>
        <v>288.607764053441</v>
      </c>
      <c r="M16" s="284" t="n">
        <v>225</v>
      </c>
      <c r="N16" s="258" t="n">
        <f aca="false">1.8299*1.03</f>
        <v>1.884797</v>
      </c>
      <c r="O16" s="141" t="n">
        <f aca="false">(40+39)*1.05</f>
        <v>82.95</v>
      </c>
      <c r="P16" s="258" t="n">
        <v>0</v>
      </c>
      <c r="Q16" s="408" t="n">
        <f aca="false">2.03*1.02</f>
        <v>2.0706</v>
      </c>
      <c r="R16" s="408" t="n">
        <v>3.48</v>
      </c>
      <c r="S16" s="138" t="n">
        <v>0</v>
      </c>
      <c r="T16" s="456" t="n">
        <v>0</v>
      </c>
      <c r="U16" s="141" t="n">
        <v>27</v>
      </c>
      <c r="V16" s="141" t="n">
        <v>54</v>
      </c>
      <c r="W16" s="141" t="n">
        <f aca="false">M16-N16-O16-P16-Q16-R16-S16-T16+U16+V16-AQ16</f>
        <v>215.614603</v>
      </c>
      <c r="X16" s="115" t="n">
        <f aca="false">X15+AN16-(AO16/1.9835)</f>
        <v>19480.5874693825</v>
      </c>
      <c r="Y16" s="115" t="n">
        <v>1714</v>
      </c>
      <c r="Z16" s="115"/>
      <c r="AA16" s="141" t="n">
        <v>13</v>
      </c>
      <c r="AB16" s="284" t="n">
        <v>1.7</v>
      </c>
      <c r="AC16" s="285" t="n">
        <v>1.3</v>
      </c>
      <c r="AD16" s="496" t="n">
        <v>50</v>
      </c>
      <c r="AE16" s="497" t="n">
        <f aca="false">AE15-AD16</f>
        <v>13702.823072851</v>
      </c>
      <c r="AF16" s="140" t="n">
        <f aca="false">N16+O16+P16+Q16+R16+S16+T16+W16+AA16+AD16</f>
        <v>369</v>
      </c>
      <c r="AG16" s="141" t="n">
        <f aca="false">IF(L16&lt;0,L16*-1,0)</f>
        <v>0</v>
      </c>
      <c r="AH16" s="141" t="n">
        <f aca="false">AF16+AG16</f>
        <v>369</v>
      </c>
      <c r="AI16" s="263" t="n">
        <v>0.35</v>
      </c>
      <c r="AJ16" s="264" t="n">
        <v>42</v>
      </c>
      <c r="AK16" s="265" t="n">
        <v>33</v>
      </c>
      <c r="AL16" s="264" t="n">
        <f aca="false">AL15</f>
        <v>10481.92122</v>
      </c>
      <c r="AM16" s="264"/>
      <c r="AN16" s="457" t="n">
        <f aca="false">795-W16</f>
        <v>579.385397</v>
      </c>
      <c r="AO16" s="258" t="n">
        <f aca="false">47.3*(X15*1.9835+AN16*1.9835+Y16*1.9835)/E16</f>
        <v>9.56809173787611</v>
      </c>
      <c r="AP16" s="266"/>
    </row>
    <row r="17" customFormat="false" ht="12.95" hidden="false" customHeight="true" outlineLevel="0" collapsed="false">
      <c r="A17" s="186" t="n">
        <f aca="false">A16+1</f>
        <v>6</v>
      </c>
      <c r="B17" s="114" t="n">
        <v>6919.64</v>
      </c>
      <c r="C17" s="115" t="n">
        <v>362023</v>
      </c>
      <c r="D17" s="264" t="n">
        <f aca="false">C17-C16</f>
        <v>2153</v>
      </c>
      <c r="E17" s="115" t="n">
        <f aca="false">C17-152000</f>
        <v>210023</v>
      </c>
      <c r="F17" s="141" t="n">
        <f aca="false">D17/$D$2</f>
        <v>1085.45500378119</v>
      </c>
      <c r="G17" s="256" t="n">
        <v>1140</v>
      </c>
      <c r="H17" s="261" t="n">
        <v>62</v>
      </c>
      <c r="I17" s="141" t="n">
        <f aca="false">G17+H17</f>
        <v>1202</v>
      </c>
      <c r="J17" s="261" t="n">
        <f aca="false">IF(L17&gt;0,L17,0)</f>
        <v>143.655003781195</v>
      </c>
      <c r="K17" s="141" t="n">
        <f aca="false">I17+J17</f>
        <v>1345.6550037812</v>
      </c>
      <c r="L17" s="141" t="n">
        <f aca="false">F17-(I17-AF17)</f>
        <v>143.655003781195</v>
      </c>
      <c r="M17" s="284" t="n">
        <v>122</v>
      </c>
      <c r="N17" s="258" t="n">
        <f aca="false">1.8299*1.03</f>
        <v>1.884797</v>
      </c>
      <c r="O17" s="141" t="n">
        <f aca="false">(19+18)*1.05</f>
        <v>38.85</v>
      </c>
      <c r="P17" s="258" t="n">
        <v>0</v>
      </c>
      <c r="Q17" s="408" t="n">
        <f aca="false">2.03*1.02</f>
        <v>2.0706</v>
      </c>
      <c r="R17" s="408" t="n">
        <v>3.32</v>
      </c>
      <c r="S17" s="138" t="n">
        <v>0</v>
      </c>
      <c r="T17" s="456" t="n">
        <v>0</v>
      </c>
      <c r="U17" s="141" t="n">
        <v>27</v>
      </c>
      <c r="V17" s="141" t="n">
        <v>53</v>
      </c>
      <c r="W17" s="141" t="n">
        <f aca="false">M17-N17-O17-P17-Q17-R17-S17-T17+U17+V17-AQ17</f>
        <v>155.874603</v>
      </c>
      <c r="X17" s="115" t="n">
        <f aca="false">X16+AN17-(AO17/1.9835)</f>
        <v>20114.7956210399</v>
      </c>
      <c r="Y17" s="115" t="n">
        <v>1714</v>
      </c>
      <c r="Z17" s="115"/>
      <c r="AA17" s="141" t="n">
        <v>8.2</v>
      </c>
      <c r="AB17" s="284" t="n">
        <v>1.7</v>
      </c>
      <c r="AC17" s="285" t="n">
        <v>1.3</v>
      </c>
      <c r="AD17" s="496" t="n">
        <v>50</v>
      </c>
      <c r="AE17" s="497" t="n">
        <f aca="false">AE16-AD17</f>
        <v>13652.823072851</v>
      </c>
      <c r="AF17" s="140" t="n">
        <f aca="false">N17+O17+P17+Q17+R17+S17+T17+W17+AA17+AD17</f>
        <v>260.2</v>
      </c>
      <c r="AG17" s="141" t="n">
        <f aca="false">IF(L17&lt;0,L17*-1,0)</f>
        <v>0</v>
      </c>
      <c r="AH17" s="141" t="n">
        <f aca="false">AF17+AG17</f>
        <v>260.2</v>
      </c>
      <c r="AI17" s="263" t="n">
        <v>0.03</v>
      </c>
      <c r="AJ17" s="264" t="n">
        <v>49</v>
      </c>
      <c r="AK17" s="265" t="n">
        <v>31</v>
      </c>
      <c r="AL17" s="264" t="n">
        <f aca="false">AL16</f>
        <v>10481.92122</v>
      </c>
      <c r="AM17" s="264"/>
      <c r="AN17" s="457" t="n">
        <f aca="false">795-W17</f>
        <v>639.125397</v>
      </c>
      <c r="AO17" s="258" t="n">
        <f aca="false">47.3*(X16*1.9835+AN17*1.9835+Y17*1.9835)/E17</f>
        <v>9.75335613696222</v>
      </c>
      <c r="AP17" s="266"/>
    </row>
    <row r="18" customFormat="false" ht="12.95" hidden="false" customHeight="true" outlineLevel="0" collapsed="false">
      <c r="A18" s="186" t="n">
        <f aca="false">A17+1</f>
        <v>7</v>
      </c>
      <c r="B18" s="114" t="n">
        <v>6920.05</v>
      </c>
      <c r="C18" s="115" t="n">
        <v>363790</v>
      </c>
      <c r="D18" s="264" t="n">
        <f aca="false">C18-C17</f>
        <v>1767</v>
      </c>
      <c r="E18" s="115" t="n">
        <f aca="false">C18-152000</f>
        <v>211790</v>
      </c>
      <c r="F18" s="141" t="n">
        <f aca="false">D18/$D$2</f>
        <v>890.849508444668</v>
      </c>
      <c r="G18" s="256" t="n">
        <v>973</v>
      </c>
      <c r="H18" s="261" t="n">
        <v>53</v>
      </c>
      <c r="I18" s="141" t="n">
        <f aca="false">G18+H18</f>
        <v>1026</v>
      </c>
      <c r="J18" s="261" t="n">
        <f aca="false">IF(L18&gt;0,L18,0)</f>
        <v>122.849508444668</v>
      </c>
      <c r="K18" s="141" t="n">
        <f aca="false">I18+J18</f>
        <v>1148.84950844467</v>
      </c>
      <c r="L18" s="141" t="n">
        <f aca="false">F18-(I18-AF18)</f>
        <v>122.849508444668</v>
      </c>
      <c r="M18" s="284" t="n">
        <v>121</v>
      </c>
      <c r="N18" s="258" t="n">
        <f aca="false">1.8299*1.03</f>
        <v>1.884797</v>
      </c>
      <c r="O18" s="141" t="n">
        <f aca="false">(0.48*1.05)</f>
        <v>0.504</v>
      </c>
      <c r="P18" s="258" t="n">
        <v>2.11</v>
      </c>
      <c r="Q18" s="408" t="n">
        <f aca="false">2.03*1.02</f>
        <v>2.0706</v>
      </c>
      <c r="R18" s="408" t="n">
        <v>3.28</v>
      </c>
      <c r="S18" s="138" t="n">
        <v>0</v>
      </c>
      <c r="T18" s="456" t="n">
        <v>0</v>
      </c>
      <c r="U18" s="141" t="n">
        <v>27</v>
      </c>
      <c r="V18" s="141" t="n">
        <v>55</v>
      </c>
      <c r="W18" s="141" t="n">
        <f aca="false">M18-N18-O18-P18-Q18-R18-S18-T18+U18+V18-AQ18</f>
        <v>193.150603</v>
      </c>
      <c r="X18" s="115" t="n">
        <f aca="false">X17+AN18-(AO18/1.9835)</f>
        <v>20711.6354826069</v>
      </c>
      <c r="Y18" s="115" t="n">
        <v>1714</v>
      </c>
      <c r="Z18" s="115"/>
      <c r="AA18" s="141" t="n">
        <v>5</v>
      </c>
      <c r="AB18" s="284" t="n">
        <v>1.7</v>
      </c>
      <c r="AC18" s="285" t="n">
        <v>1.3</v>
      </c>
      <c r="AD18" s="496" t="n">
        <v>50</v>
      </c>
      <c r="AE18" s="497" t="n">
        <f aca="false">AE17-AD18</f>
        <v>13602.823072851</v>
      </c>
      <c r="AF18" s="140" t="n">
        <f aca="false">N18+O18+P18+Q18+R18+S18+T18+W18+AA18+AD18</f>
        <v>258</v>
      </c>
      <c r="AG18" s="141" t="n">
        <f aca="false">IF(L18&lt;0,L18*-1,0)</f>
        <v>0</v>
      </c>
      <c r="AH18" s="141" t="n">
        <f aca="false">AF18+AG18</f>
        <v>258</v>
      </c>
      <c r="AI18" s="263" t="n">
        <v>0</v>
      </c>
      <c r="AJ18" s="264" t="n">
        <v>58</v>
      </c>
      <c r="AK18" s="265" t="n">
        <v>31</v>
      </c>
      <c r="AL18" s="264" t="n">
        <f aca="false">AL17</f>
        <v>10481.92122</v>
      </c>
      <c r="AM18" s="264"/>
      <c r="AN18" s="457" t="n">
        <f aca="false">795-W18</f>
        <v>601.849397</v>
      </c>
      <c r="AO18" s="258" t="n">
        <f aca="false">47.3*(X17*1.9835+AN18*1.9835+Y18*1.9835)/E18</f>
        <v>9.93641353133882</v>
      </c>
      <c r="AP18" s="266"/>
    </row>
    <row r="19" customFormat="false" ht="12.95" hidden="false" customHeight="true" outlineLevel="0" collapsed="false">
      <c r="A19" s="186" t="n">
        <f aca="false">A18+1</f>
        <v>8</v>
      </c>
      <c r="B19" s="114" t="n">
        <v>6920.42</v>
      </c>
      <c r="C19" s="115" t="n">
        <v>365397</v>
      </c>
      <c r="D19" s="264" t="n">
        <f aca="false">C19-C18</f>
        <v>1607</v>
      </c>
      <c r="E19" s="115" t="n">
        <f aca="false">C19-152000</f>
        <v>213397</v>
      </c>
      <c r="F19" s="141" t="n">
        <f aca="false">D19/$D$2</f>
        <v>810.184018149735</v>
      </c>
      <c r="G19" s="256" t="n">
        <v>993</v>
      </c>
      <c r="H19" s="261" t="n">
        <v>65</v>
      </c>
      <c r="I19" s="141" t="n">
        <f aca="false">G19+H19</f>
        <v>1058</v>
      </c>
      <c r="J19" s="261" t="n">
        <f aca="false">IF(L19&gt;0,L19,0)</f>
        <v>47.1840181497353</v>
      </c>
      <c r="K19" s="141" t="n">
        <f aca="false">I19+J19</f>
        <v>1105.18401814974</v>
      </c>
      <c r="L19" s="141" t="n">
        <f aca="false">F19-(I19-AF19)</f>
        <v>47.1840181497353</v>
      </c>
      <c r="M19" s="284" t="n">
        <v>142</v>
      </c>
      <c r="N19" s="258" t="n">
        <f aca="false">1.8299*1.03</f>
        <v>1.884797</v>
      </c>
      <c r="O19" s="141" t="n">
        <v>0</v>
      </c>
      <c r="P19" s="258" t="n">
        <v>4.86</v>
      </c>
      <c r="Q19" s="408" t="n">
        <f aca="false">2.03*1.02</f>
        <v>2.0706</v>
      </c>
      <c r="R19" s="408" t="n">
        <v>1.84</v>
      </c>
      <c r="S19" s="138" t="n">
        <v>0</v>
      </c>
      <c r="T19" s="456" t="n">
        <v>0</v>
      </c>
      <c r="U19" s="141" t="n">
        <v>27</v>
      </c>
      <c r="V19" s="141" t="n">
        <v>57</v>
      </c>
      <c r="W19" s="141" t="n">
        <f aca="false">M19-N19-O19-P19-Q19-R19-S19-T19+U19+V19-AQ19</f>
        <v>215.344603</v>
      </c>
      <c r="X19" s="115" t="n">
        <f aca="false">X18+AN19-(AO19/1.9835)</f>
        <v>21286.191697057</v>
      </c>
      <c r="Y19" s="115" t="n">
        <v>1714</v>
      </c>
      <c r="Z19" s="115"/>
      <c r="AA19" s="141" t="n">
        <v>19</v>
      </c>
      <c r="AB19" s="284" t="n">
        <v>1.7</v>
      </c>
      <c r="AC19" s="285" t="n">
        <v>1.3</v>
      </c>
      <c r="AD19" s="496" t="n">
        <v>50</v>
      </c>
      <c r="AE19" s="497" t="n">
        <f aca="false">AE18-AD19</f>
        <v>13552.823072851</v>
      </c>
      <c r="AF19" s="140" t="n">
        <f aca="false">N19+O19+P19+Q19+R19+S19+T19+W19+AA19+AD19</f>
        <v>295</v>
      </c>
      <c r="AG19" s="141" t="n">
        <f aca="false">IF(L19&lt;0,L19*-1,0)</f>
        <v>0</v>
      </c>
      <c r="AH19" s="141" t="n">
        <f aca="false">AF19+AG19</f>
        <v>295</v>
      </c>
      <c r="AI19" s="263" t="n">
        <v>0</v>
      </c>
      <c r="AJ19" s="264" t="n">
        <v>65</v>
      </c>
      <c r="AK19" s="265" t="n">
        <v>32</v>
      </c>
      <c r="AL19" s="264" t="n">
        <f aca="false">AL18</f>
        <v>10481.92122</v>
      </c>
      <c r="AM19" s="264"/>
      <c r="AN19" s="457" t="n">
        <f aca="false">795-W19</f>
        <v>579.655397</v>
      </c>
      <c r="AO19" s="258" t="n">
        <f aca="false">47.3*(X18*1.9835+AN19*1.9835+Y19*1.9835)/E19</f>
        <v>10.1142285877675</v>
      </c>
      <c r="AP19" s="266"/>
    </row>
    <row r="20" customFormat="false" ht="12.95" hidden="false" customHeight="true" outlineLevel="0" collapsed="false">
      <c r="A20" s="186" t="n">
        <f aca="false">A19+1</f>
        <v>9</v>
      </c>
      <c r="B20" s="114" t="n">
        <v>6920.81</v>
      </c>
      <c r="C20" s="115" t="n">
        <v>367090</v>
      </c>
      <c r="D20" s="264" t="n">
        <f aca="false">C20-C19</f>
        <v>1693</v>
      </c>
      <c r="E20" s="115" t="n">
        <f aca="false">C20-152000</f>
        <v>215090</v>
      </c>
      <c r="F20" s="141" t="n">
        <f aca="false">D20/$D$2</f>
        <v>853.541719183262</v>
      </c>
      <c r="G20" s="256" t="n">
        <v>979</v>
      </c>
      <c r="H20" s="261" t="n">
        <v>70</v>
      </c>
      <c r="I20" s="141" t="n">
        <f aca="false">G20+H20</f>
        <v>1049</v>
      </c>
      <c r="J20" s="261" t="n">
        <f aca="false">IF(L20&gt;0,L20,0)</f>
        <v>131.541719183262</v>
      </c>
      <c r="K20" s="141" t="n">
        <f aca="false">I20+J20</f>
        <v>1180.54171918326</v>
      </c>
      <c r="L20" s="141" t="n">
        <f aca="false">F20-(I20-AF20)</f>
        <v>131.541719183262</v>
      </c>
      <c r="M20" s="284" t="n">
        <v>180</v>
      </c>
      <c r="N20" s="258" t="n">
        <f aca="false">1.8299*1.03</f>
        <v>1.884797</v>
      </c>
      <c r="O20" s="141" t="n">
        <f aca="false">(4+5)*1.05</f>
        <v>9.45</v>
      </c>
      <c r="P20" s="258" t="n">
        <v>0.35</v>
      </c>
      <c r="Q20" s="408" t="n">
        <f aca="false">2.03*1.02</f>
        <v>2.0706</v>
      </c>
      <c r="R20" s="408" t="n">
        <v>2.38</v>
      </c>
      <c r="S20" s="138" t="n">
        <v>0</v>
      </c>
      <c r="T20" s="456" t="n">
        <v>0</v>
      </c>
      <c r="U20" s="141" t="n">
        <v>27</v>
      </c>
      <c r="V20" s="141" t="n">
        <v>58</v>
      </c>
      <c r="W20" s="141" t="n">
        <f aca="false">M20-N20-O20-P20-Q20-R20-S20-T20+U20+V20-AQ20</f>
        <v>248.864603</v>
      </c>
      <c r="X20" s="115" t="n">
        <f aca="false">X19+AN20-(AO20/1.9835)</f>
        <v>21827.1490696414</v>
      </c>
      <c r="Y20" s="115" t="n">
        <v>1714</v>
      </c>
      <c r="Z20" s="115"/>
      <c r="AA20" s="141" t="n">
        <v>12</v>
      </c>
      <c r="AB20" s="284" t="n">
        <v>1.7</v>
      </c>
      <c r="AC20" s="285" t="n">
        <v>1.3</v>
      </c>
      <c r="AD20" s="496" t="n">
        <v>50</v>
      </c>
      <c r="AE20" s="497" t="n">
        <f aca="false">AE19-AD20</f>
        <v>13502.823072851</v>
      </c>
      <c r="AF20" s="140" t="n">
        <f aca="false">N20+O20+P20+Q20+R20+S20+T20+W20+AA20+AD20</f>
        <v>327</v>
      </c>
      <c r="AG20" s="141" t="n">
        <f aca="false">IF(L20&lt;0,L20*-1,0)</f>
        <v>0</v>
      </c>
      <c r="AH20" s="141" t="n">
        <f aca="false">AF20+AG20</f>
        <v>327</v>
      </c>
      <c r="AI20" s="263" t="n">
        <v>0</v>
      </c>
      <c r="AJ20" s="264" t="n">
        <v>70</v>
      </c>
      <c r="AK20" s="265" t="n">
        <v>37</v>
      </c>
      <c r="AL20" s="264" t="n">
        <f aca="false">AL19</f>
        <v>10481.92122</v>
      </c>
      <c r="AM20" s="264"/>
      <c r="AN20" s="457" t="n">
        <f aca="false">795-W20</f>
        <v>546.135397</v>
      </c>
      <c r="AO20" s="258" t="n">
        <f aca="false">47.3*(X19*1.9835+AN20*1.9835+Y20*1.9835)/E20</f>
        <v>10.2706114283195</v>
      </c>
      <c r="AP20" s="266"/>
    </row>
    <row r="21" customFormat="false" ht="12.95" hidden="false" customHeight="true" outlineLevel="0" collapsed="false">
      <c r="A21" s="186" t="n">
        <f aca="false">A20+1</f>
        <v>10</v>
      </c>
      <c r="B21" s="114" t="n">
        <v>6921.23</v>
      </c>
      <c r="C21" s="115" t="n">
        <v>368922</v>
      </c>
      <c r="D21" s="264" t="n">
        <f aca="false">C21-C20</f>
        <v>1832</v>
      </c>
      <c r="E21" s="115" t="n">
        <f aca="false">C21-152000</f>
        <v>216922</v>
      </c>
      <c r="F21" s="141" t="n">
        <f aca="false">D21/$D$2</f>
        <v>923.619863876985</v>
      </c>
      <c r="G21" s="256" t="n">
        <v>1070</v>
      </c>
      <c r="H21" s="261" t="n">
        <v>70</v>
      </c>
      <c r="I21" s="141" t="n">
        <f aca="false">G21+H21</f>
        <v>1140</v>
      </c>
      <c r="J21" s="261" t="n">
        <f aca="false">IF(L21&gt;0,L21,0)</f>
        <v>127.619863876985</v>
      </c>
      <c r="K21" s="141" t="n">
        <f aca="false">I21+J21</f>
        <v>1267.61986387699</v>
      </c>
      <c r="L21" s="141" t="n">
        <f aca="false">F21-(I21-AF21)</f>
        <v>127.619863876985</v>
      </c>
      <c r="M21" s="284" t="n">
        <v>176</v>
      </c>
      <c r="N21" s="258" t="n">
        <f aca="false">1.8299*1.03</f>
        <v>1.884797</v>
      </c>
      <c r="O21" s="141" t="n">
        <f aca="false">(6.6+8)*1.05</f>
        <v>15.33</v>
      </c>
      <c r="P21" s="258" t="n">
        <v>0</v>
      </c>
      <c r="Q21" s="408" t="n">
        <f aca="false">2.03*1.02</f>
        <v>2.0706</v>
      </c>
      <c r="R21" s="408" t="n">
        <v>4.2</v>
      </c>
      <c r="S21" s="138" t="n">
        <v>0.82</v>
      </c>
      <c r="T21" s="456" t="n">
        <v>0</v>
      </c>
      <c r="U21" s="141" t="n">
        <v>28</v>
      </c>
      <c r="V21" s="141" t="n">
        <v>63</v>
      </c>
      <c r="W21" s="141" t="n">
        <f aca="false">M21-N21-O21-P21-Q21-R21-S21-T21+U21+V21-AQ21</f>
        <v>242.694603</v>
      </c>
      <c r="X21" s="115" t="n">
        <f aca="false">X20+AN21-(AO21/1.9835)</f>
        <v>22374.2008713571</v>
      </c>
      <c r="Y21" s="115" t="n">
        <v>1714</v>
      </c>
      <c r="Z21" s="115"/>
      <c r="AA21" s="141" t="n">
        <v>27</v>
      </c>
      <c r="AB21" s="284" t="n">
        <v>1.7</v>
      </c>
      <c r="AC21" s="285" t="n">
        <v>1.3</v>
      </c>
      <c r="AD21" s="496" t="n">
        <v>50</v>
      </c>
      <c r="AE21" s="497" t="n">
        <f aca="false">AE20-AD21</f>
        <v>13452.823072851</v>
      </c>
      <c r="AF21" s="140" t="n">
        <f aca="false">N21+O21+P21+Q21+R21+S21+T21+W21+AA21+AD21</f>
        <v>344</v>
      </c>
      <c r="AG21" s="141" t="n">
        <f aca="false">IF(L21&lt;0,L21*-1,0)</f>
        <v>0</v>
      </c>
      <c r="AH21" s="141" t="n">
        <f aca="false">AF21+AG21</f>
        <v>344</v>
      </c>
      <c r="AI21" s="263" t="n">
        <v>0</v>
      </c>
      <c r="AJ21" s="264" t="n">
        <v>78</v>
      </c>
      <c r="AK21" s="265" t="n">
        <v>38</v>
      </c>
      <c r="AL21" s="264" t="n">
        <f aca="false">AL20</f>
        <v>10481.92122</v>
      </c>
      <c r="AM21" s="264"/>
      <c r="AN21" s="457" t="n">
        <f aca="false">795-W21</f>
        <v>552.305397</v>
      </c>
      <c r="AO21" s="258" t="n">
        <f aca="false">47.3*(X20*1.9835+AN21*1.9835+Y21*1.9835)/E21</f>
        <v>10.4205062465116</v>
      </c>
      <c r="AP21" s="266"/>
    </row>
    <row r="22" customFormat="false" ht="12.95" hidden="false" customHeight="true" outlineLevel="0" collapsed="false">
      <c r="A22" s="186" t="n">
        <f aca="false">A21+1</f>
        <v>11</v>
      </c>
      <c r="B22" s="114" t="n">
        <v>6921.69</v>
      </c>
      <c r="C22" s="115" t="n">
        <v>370936</v>
      </c>
      <c r="D22" s="264" t="n">
        <f aca="false">C22-C21</f>
        <v>2014</v>
      </c>
      <c r="E22" s="115" t="n">
        <f aca="false">C22-152000</f>
        <v>218936</v>
      </c>
      <c r="F22" s="141" t="n">
        <f aca="false">D22/$D$2</f>
        <v>1015.37685908747</v>
      </c>
      <c r="G22" s="256" t="n">
        <v>1430</v>
      </c>
      <c r="H22" s="261" t="n">
        <v>74</v>
      </c>
      <c r="I22" s="141" t="n">
        <f aca="false">G22+H22</f>
        <v>1504</v>
      </c>
      <c r="J22" s="261" t="n">
        <f aca="false">IF(L22&gt;0,L22,0)</f>
        <v>0</v>
      </c>
      <c r="K22" s="141" t="n">
        <f aca="false">I22+J22</f>
        <v>1504</v>
      </c>
      <c r="L22" s="141" t="n">
        <f aca="false">F22-(I22-AF22)</f>
        <v>-15.6231409125284</v>
      </c>
      <c r="M22" s="284" t="n">
        <v>219</v>
      </c>
      <c r="N22" s="258" t="n">
        <f aca="false">1.8299*1.03</f>
        <v>1.884797</v>
      </c>
      <c r="O22" s="141" t="n">
        <f aca="false">(10+10)*1.05</f>
        <v>21</v>
      </c>
      <c r="P22" s="258" t="n">
        <v>0</v>
      </c>
      <c r="Q22" s="408" t="n">
        <f aca="false">2.03*1.02</f>
        <v>2.0706</v>
      </c>
      <c r="R22" s="408" t="n">
        <v>2.58</v>
      </c>
      <c r="S22" s="138" t="n">
        <v>0</v>
      </c>
      <c r="T22" s="456" t="n">
        <v>0</v>
      </c>
      <c r="U22" s="141" t="n">
        <v>83</v>
      </c>
      <c r="V22" s="141" t="n">
        <v>64</v>
      </c>
      <c r="W22" s="141" t="n">
        <f aca="false">M22-N22-O22-P22-Q22-R22-S22-T22+U22+V22-AQ22</f>
        <v>338.464603</v>
      </c>
      <c r="X22" s="115" t="n">
        <f aca="false">X21+AN22-(AO22/1.9835)</f>
        <v>22825.4335039625</v>
      </c>
      <c r="Y22" s="115" t="n">
        <v>1714</v>
      </c>
      <c r="Z22" s="115"/>
      <c r="AA22" s="141" t="n">
        <v>57</v>
      </c>
      <c r="AB22" s="284" t="n">
        <v>1.7</v>
      </c>
      <c r="AC22" s="285" t="n">
        <v>1.3</v>
      </c>
      <c r="AD22" s="496" t="n">
        <v>50</v>
      </c>
      <c r="AE22" s="497" t="n">
        <f aca="false">AE21-AD22</f>
        <v>13402.823072851</v>
      </c>
      <c r="AF22" s="140" t="n">
        <f aca="false">N22+O22+P22+Q22+R22+S22+T22+W22+AA22+AD22</f>
        <v>473</v>
      </c>
      <c r="AG22" s="141" t="n">
        <f aca="false">IF(L22&lt;0,L22*-1,0)</f>
        <v>15.6231409125284</v>
      </c>
      <c r="AH22" s="141" t="n">
        <f aca="false">AF22+AG22</f>
        <v>488.623140912528</v>
      </c>
      <c r="AI22" s="263" t="n">
        <v>0</v>
      </c>
      <c r="AJ22" s="264" t="n">
        <v>78</v>
      </c>
      <c r="AK22" s="265" t="n">
        <v>39</v>
      </c>
      <c r="AL22" s="264" t="n">
        <f aca="false">AL21</f>
        <v>10481.92122</v>
      </c>
      <c r="AM22" s="264"/>
      <c r="AN22" s="457" t="n">
        <f aca="false">795-W22</f>
        <v>456.535397</v>
      </c>
      <c r="AO22" s="258" t="n">
        <f aca="false">47.3*(X21*1.9835+AN22*1.9835+Y22*1.9835)/E22</f>
        <v>10.5180331766632</v>
      </c>
      <c r="AP22" s="266"/>
    </row>
    <row r="23" customFormat="false" ht="12.95" hidden="false" customHeight="true" outlineLevel="0" collapsed="false">
      <c r="A23" s="186" t="n">
        <f aca="false">A22+1</f>
        <v>12</v>
      </c>
      <c r="B23" s="114" t="n">
        <v>6921.89</v>
      </c>
      <c r="C23" s="115" t="n">
        <v>371812</v>
      </c>
      <c r="D23" s="264" t="n">
        <f aca="false">C23-C22</f>
        <v>876</v>
      </c>
      <c r="E23" s="115" t="n">
        <f aca="false">C23-152000</f>
        <v>219812</v>
      </c>
      <c r="F23" s="141" t="n">
        <f aca="false">D23/$D$2</f>
        <v>441.643559364759</v>
      </c>
      <c r="G23" s="256" t="n">
        <v>1680</v>
      </c>
      <c r="H23" s="261" t="n">
        <v>72</v>
      </c>
      <c r="I23" s="141" t="n">
        <f aca="false">G23+H23</f>
        <v>1752</v>
      </c>
      <c r="J23" s="261" t="n">
        <f aca="false">IF(L23&gt;0,L23,0)</f>
        <v>0</v>
      </c>
      <c r="K23" s="141" t="n">
        <f aca="false">I23+J23</f>
        <v>1752</v>
      </c>
      <c r="L23" s="141" t="n">
        <f aca="false">F23-(I23-AF23)</f>
        <v>-78.3564406352407</v>
      </c>
      <c r="M23" s="284" t="n">
        <v>296</v>
      </c>
      <c r="N23" s="258" t="n">
        <f aca="false">1.8299*1.03</f>
        <v>1.884797</v>
      </c>
      <c r="O23" s="141" t="n">
        <f aca="false">(35+37)*1.05</f>
        <v>75.6</v>
      </c>
      <c r="P23" s="258" t="n">
        <v>0</v>
      </c>
      <c r="Q23" s="408" t="n">
        <f aca="false">2.03*1.02</f>
        <v>2.0706</v>
      </c>
      <c r="R23" s="408" t="n">
        <v>2.35</v>
      </c>
      <c r="S23" s="138" t="n">
        <v>0</v>
      </c>
      <c r="T23" s="456" t="n">
        <v>0</v>
      </c>
      <c r="U23" s="141" t="n">
        <v>117</v>
      </c>
      <c r="V23" s="141" t="n">
        <v>65</v>
      </c>
      <c r="W23" s="141" t="n">
        <f aca="false">M23-N23-O23-P23-Q23-R23-S23-T23+U23+V23-AQ23</f>
        <v>396.094603</v>
      </c>
      <c r="X23" s="115" t="n">
        <f aca="false">X22+AN23-AD23-(AO23/1.9835)</f>
        <v>22537.972572327</v>
      </c>
      <c r="Y23" s="115" t="n">
        <v>1714</v>
      </c>
      <c r="Z23" s="115"/>
      <c r="AA23" s="141" t="n">
        <v>73</v>
      </c>
      <c r="AB23" s="284" t="n">
        <v>1.7</v>
      </c>
      <c r="AC23" s="285" t="n">
        <v>1.3</v>
      </c>
      <c r="AD23" s="498" t="n">
        <v>681</v>
      </c>
      <c r="AE23" s="499" t="n">
        <f aca="false">AE22</f>
        <v>13402.823072851</v>
      </c>
      <c r="AF23" s="140" t="n">
        <f aca="false">N23+O23+P23+Q23+R23+S23+T23+W23+AA23+AD23</f>
        <v>1232</v>
      </c>
      <c r="AG23" s="141" t="n">
        <f aca="false">IF(L23&lt;0,L23*-1,0)</f>
        <v>78.3564406352407</v>
      </c>
      <c r="AH23" s="141" t="n">
        <f aca="false">AF23+AG23</f>
        <v>1310.35644063524</v>
      </c>
      <c r="AI23" s="263" t="n">
        <v>0</v>
      </c>
      <c r="AJ23" s="264" t="n">
        <v>80</v>
      </c>
      <c r="AK23" s="265" t="n">
        <v>42</v>
      </c>
      <c r="AL23" s="264" t="n">
        <f aca="false">AL22</f>
        <v>10481.92122</v>
      </c>
      <c r="AM23" s="264"/>
      <c r="AN23" s="457" t="n">
        <f aca="false">795-W23</f>
        <v>398.905397</v>
      </c>
      <c r="AO23" s="258" t="n">
        <f aca="false">47.3*(X22*1.9835+AN23*1.9835+Y23*1.9835)/E23</f>
        <v>10.644112848415</v>
      </c>
      <c r="AP23" s="266"/>
    </row>
    <row r="24" customFormat="false" ht="12.95" hidden="false" customHeight="true" outlineLevel="0" collapsed="false">
      <c r="A24" s="186" t="n">
        <f aca="false">A23+1</f>
        <v>13</v>
      </c>
      <c r="B24" s="114" t="n">
        <v>6922.24</v>
      </c>
      <c r="C24" s="115" t="n">
        <v>373353</v>
      </c>
      <c r="D24" s="264" t="n">
        <f aca="false">C24-C23</f>
        <v>1541</v>
      </c>
      <c r="E24" s="115" t="n">
        <f aca="false">C24-152000</f>
        <v>221353</v>
      </c>
      <c r="F24" s="141" t="n">
        <f aca="false">D24/$D$2</f>
        <v>776.909503403075</v>
      </c>
      <c r="G24" s="256" t="n">
        <v>1930</v>
      </c>
      <c r="H24" s="261" t="n">
        <v>72</v>
      </c>
      <c r="I24" s="141" t="n">
        <f aca="false">G24+H24</f>
        <v>2002</v>
      </c>
      <c r="J24" s="261" t="n">
        <f aca="false">IF(L24&gt;0,L24,0)</f>
        <v>18.9095034030754</v>
      </c>
      <c r="K24" s="141" t="n">
        <f aca="false">I24+J24</f>
        <v>2020.90950340308</v>
      </c>
      <c r="L24" s="141" t="n">
        <f aca="false">F24-(I24-AF24)</f>
        <v>18.9095034030754</v>
      </c>
      <c r="M24" s="284" t="n">
        <v>284</v>
      </c>
      <c r="N24" s="258" t="n">
        <f aca="false">1.8299*1.03</f>
        <v>1.884797</v>
      </c>
      <c r="O24" s="141" t="n">
        <f aca="false">(42+46)*1.05</f>
        <v>92.4</v>
      </c>
      <c r="P24" s="258" t="n">
        <v>0</v>
      </c>
      <c r="Q24" s="408" t="n">
        <f aca="false">2.03*1.02</f>
        <v>2.0706</v>
      </c>
      <c r="R24" s="408" t="n">
        <v>4.2</v>
      </c>
      <c r="S24" s="138" t="n">
        <v>1.44</v>
      </c>
      <c r="T24" s="456" t="n">
        <v>0</v>
      </c>
      <c r="U24" s="141" t="n">
        <v>117</v>
      </c>
      <c r="V24" s="141" t="n">
        <v>67</v>
      </c>
      <c r="W24" s="141" t="n">
        <f aca="false">M24-N24-O24-P24-Q24-R24-S24-T24+U24+V24-AQ24</f>
        <v>366.004603</v>
      </c>
      <c r="X24" s="115" t="n">
        <f aca="false">X23+AN24-AD24-(AO24/1.9835)</f>
        <v>22253.6939961487</v>
      </c>
      <c r="Y24" s="115" t="n">
        <v>1714</v>
      </c>
      <c r="Z24" s="115"/>
      <c r="AA24" s="141" t="n">
        <v>68</v>
      </c>
      <c r="AB24" s="284" t="n">
        <v>1.7</v>
      </c>
      <c r="AC24" s="285" t="n">
        <v>1.3</v>
      </c>
      <c r="AD24" s="498" t="n">
        <v>708</v>
      </c>
      <c r="AE24" s="499" t="n">
        <f aca="false">AE23</f>
        <v>13402.823072851</v>
      </c>
      <c r="AF24" s="140" t="n">
        <f aca="false">N24+O24+P24+Q24+R24+S24+T24+W24+AA24+AD24</f>
        <v>1244</v>
      </c>
      <c r="AG24" s="141" t="n">
        <f aca="false">IF(L24&lt;0,L24*-1,0)</f>
        <v>0</v>
      </c>
      <c r="AH24" s="141" t="n">
        <f aca="false">AF24+AG24</f>
        <v>1244</v>
      </c>
      <c r="AI24" s="263" t="n">
        <v>0</v>
      </c>
      <c r="AJ24" s="264" t="n">
        <v>78</v>
      </c>
      <c r="AK24" s="265" t="n">
        <v>42</v>
      </c>
      <c r="AL24" s="264" t="n">
        <f aca="false">AL23</f>
        <v>10481.92122</v>
      </c>
      <c r="AM24" s="264"/>
      <c r="AN24" s="457" t="n">
        <f aca="false">795-W24</f>
        <v>428.995397</v>
      </c>
      <c r="AO24" s="258" t="n">
        <f aca="false">47.3*(X23*1.9835+AN24*1.9835+Y24*1.9835)/E24</f>
        <v>10.4609257992739</v>
      </c>
      <c r="AP24" s="266"/>
    </row>
    <row r="25" customFormat="false" ht="12.95" hidden="false" customHeight="true" outlineLevel="0" collapsed="false">
      <c r="A25" s="186" t="n">
        <f aca="false">A24+1</f>
        <v>14</v>
      </c>
      <c r="B25" s="114" t="n">
        <v>6922.88</v>
      </c>
      <c r="C25" s="115" t="n">
        <v>376179</v>
      </c>
      <c r="D25" s="264" t="n">
        <f aca="false">C25-C24</f>
        <v>2826</v>
      </c>
      <c r="E25" s="115" t="n">
        <f aca="false">C25-152000</f>
        <v>224179</v>
      </c>
      <c r="F25" s="141" t="n">
        <f aca="false">D25/$D$2</f>
        <v>1424.75422233426</v>
      </c>
      <c r="G25" s="256" t="n">
        <v>2290</v>
      </c>
      <c r="H25" s="261" t="n">
        <v>74</v>
      </c>
      <c r="I25" s="141" t="n">
        <f aca="false">G25+H25</f>
        <v>2364</v>
      </c>
      <c r="J25" s="261" t="n">
        <f aca="false">IF(L25&gt;0,L25,0)</f>
        <v>0</v>
      </c>
      <c r="K25" s="141" t="n">
        <f aca="false">I25+J25</f>
        <v>2364</v>
      </c>
      <c r="L25" s="141" t="n">
        <f aca="false">F25-(I25-AF25)</f>
        <v>-88.2457776657425</v>
      </c>
      <c r="M25" s="284" t="n">
        <v>227</v>
      </c>
      <c r="N25" s="258" t="n">
        <f aca="false">1.8299*1.03</f>
        <v>1.884797</v>
      </c>
      <c r="O25" s="141" t="n">
        <f aca="false">(18+17)*1.05</f>
        <v>36.75</v>
      </c>
      <c r="P25" s="258" t="n">
        <v>0</v>
      </c>
      <c r="Q25" s="408" t="n">
        <f aca="false">2.03*1.02</f>
        <v>2.0706</v>
      </c>
      <c r="R25" s="408" t="n">
        <v>4.2</v>
      </c>
      <c r="S25" s="138" t="n">
        <v>1.3</v>
      </c>
      <c r="T25" s="456" t="n">
        <v>0</v>
      </c>
      <c r="U25" s="141" t="n">
        <v>117</v>
      </c>
      <c r="V25" s="141" t="n">
        <v>69</v>
      </c>
      <c r="W25" s="141" t="n">
        <f aca="false">M25-N25-O25-P25-Q25-R25-S25-T25+U25+V25-AQ25</f>
        <v>355.794603</v>
      </c>
      <c r="X25" s="115" t="n">
        <f aca="false">X24+AN25-AD25-(AO25/1.9835)</f>
        <v>22342.749729972</v>
      </c>
      <c r="Y25" s="115" t="n">
        <v>1714</v>
      </c>
      <c r="Z25" s="115"/>
      <c r="AA25" s="141" t="n">
        <v>104</v>
      </c>
      <c r="AB25" s="284" t="n">
        <v>1.7</v>
      </c>
      <c r="AC25" s="285" t="n">
        <v>1.3</v>
      </c>
      <c r="AD25" s="498" t="n">
        <v>345</v>
      </c>
      <c r="AE25" s="499" t="n">
        <f aca="false">AE24</f>
        <v>13402.823072851</v>
      </c>
      <c r="AF25" s="140" t="n">
        <f aca="false">N25+O25+P25+Q25+R25+S25+T25+W25+AA25+AD25</f>
        <v>851</v>
      </c>
      <c r="AG25" s="141" t="n">
        <f aca="false">IF(L25&lt;0,L25*-1,0)</f>
        <v>88.2457776657425</v>
      </c>
      <c r="AH25" s="141" t="n">
        <f aca="false">AF25+AG25</f>
        <v>939.245777665743</v>
      </c>
      <c r="AI25" s="263" t="n">
        <v>0</v>
      </c>
      <c r="AJ25" s="264" t="n">
        <v>77</v>
      </c>
      <c r="AK25" s="265" t="n">
        <v>47</v>
      </c>
      <c r="AL25" s="264" t="n">
        <f aca="false">AL24</f>
        <v>10481.92122</v>
      </c>
      <c r="AM25" s="264"/>
      <c r="AN25" s="457" t="n">
        <f aca="false">795-W25</f>
        <v>439.205397</v>
      </c>
      <c r="AO25" s="258" t="n">
        <f aca="false">47.3*(X24*1.9835+AN25*1.9835+Y25*1.9835)/E25</f>
        <v>10.214356911042</v>
      </c>
      <c r="AP25" s="266"/>
      <c r="AQ25" s="174" t="n">
        <v>11</v>
      </c>
    </row>
    <row r="26" customFormat="false" ht="12.95" hidden="false" customHeight="true" outlineLevel="0" collapsed="false">
      <c r="A26" s="186" t="n">
        <f aca="false">A25+1</f>
        <v>15</v>
      </c>
      <c r="B26" s="114" t="n">
        <v>6922.86</v>
      </c>
      <c r="C26" s="115" t="n">
        <v>376091</v>
      </c>
      <c r="D26" s="264" t="n">
        <f aca="false">C26-C25</f>
        <v>-88</v>
      </c>
      <c r="E26" s="115" t="n">
        <f aca="false">C26-152000</f>
        <v>224091</v>
      </c>
      <c r="F26" s="141" t="n">
        <f aca="false">D26/$D$2</f>
        <v>-44.3660196622133</v>
      </c>
      <c r="G26" s="256" t="n">
        <v>2420</v>
      </c>
      <c r="H26" s="261" t="n">
        <v>68</v>
      </c>
      <c r="I26" s="141" t="n">
        <f aca="false">G26+H26</f>
        <v>2488</v>
      </c>
      <c r="J26" s="261" t="n">
        <f aca="false">IF(L26&gt;0,L26,0)</f>
        <v>0</v>
      </c>
      <c r="K26" s="409" t="n">
        <f aca="false">I26+J26</f>
        <v>2488</v>
      </c>
      <c r="L26" s="141" t="n">
        <f aca="false">F26-(I26-AF26)</f>
        <v>-45.3660196622133</v>
      </c>
      <c r="M26" s="284" t="n">
        <v>295</v>
      </c>
      <c r="N26" s="258" t="n">
        <f aca="false">1.8299*1.03</f>
        <v>1.884797</v>
      </c>
      <c r="O26" s="141" t="n">
        <f aca="false">(12+13)*1.05</f>
        <v>26.25</v>
      </c>
      <c r="P26" s="258" t="n">
        <v>0</v>
      </c>
      <c r="Q26" s="408" t="n">
        <f aca="false">2.03*1.02</f>
        <v>2.0706</v>
      </c>
      <c r="R26" s="408" t="n">
        <v>4.2</v>
      </c>
      <c r="S26" s="138" t="n">
        <v>1.5</v>
      </c>
      <c r="T26" s="456" t="n">
        <v>0</v>
      </c>
      <c r="U26" s="141" t="n">
        <v>127</v>
      </c>
      <c r="V26" s="141" t="n">
        <v>72</v>
      </c>
      <c r="W26" s="141" t="n">
        <f aca="false">M26-N26-O26-P26-Q26-R26-S26-T26+U26+V26-AQ26</f>
        <v>435.094603</v>
      </c>
      <c r="X26" s="115" t="n">
        <f aca="false">X25+AN26-AD26-(AO26/1.9835)</f>
        <v>20827.5013823436</v>
      </c>
      <c r="Y26" s="115" t="n">
        <v>1714</v>
      </c>
      <c r="Z26" s="115"/>
      <c r="AA26" s="141" t="n">
        <v>146</v>
      </c>
      <c r="AB26" s="284" t="n">
        <v>1.7</v>
      </c>
      <c r="AC26" s="285" t="n">
        <v>1.3</v>
      </c>
      <c r="AD26" s="498" t="n">
        <v>1870</v>
      </c>
      <c r="AE26" s="499" t="n">
        <f aca="false">AE25</f>
        <v>13402.823072851</v>
      </c>
      <c r="AF26" s="140" t="n">
        <f aca="false">N26+O26+P26+Q26+R26+S26+T26+W26+AA26+AD26</f>
        <v>2487</v>
      </c>
      <c r="AG26" s="141" t="n">
        <f aca="false">IF(L26&lt;0,L26*-1,0)</f>
        <v>45.3660196622133</v>
      </c>
      <c r="AH26" s="141" t="n">
        <f aca="false">AF26+AG26</f>
        <v>2532.36601966221</v>
      </c>
      <c r="AI26" s="263" t="n">
        <v>0</v>
      </c>
      <c r="AJ26" s="264" t="n">
        <v>77</v>
      </c>
      <c r="AK26" s="265" t="n">
        <v>45</v>
      </c>
      <c r="AL26" s="264" t="n">
        <f aca="false">AL25</f>
        <v>10481.92122</v>
      </c>
      <c r="AM26" s="264"/>
      <c r="AN26" s="457" t="n">
        <f aca="false">795-W26</f>
        <v>359.905397</v>
      </c>
      <c r="AO26" s="258" t="n">
        <f aca="false">47.3*(X25*1.9835+AN26*1.9835+Y26*1.9835)/E26</f>
        <v>10.2224524702808</v>
      </c>
      <c r="AP26" s="266"/>
      <c r="AQ26" s="174" t="n">
        <v>23</v>
      </c>
    </row>
    <row r="27" customFormat="false" ht="12.95" hidden="false" customHeight="true" outlineLevel="0" collapsed="false">
      <c r="A27" s="186" t="n">
        <f aca="false">A26+1</f>
        <v>16</v>
      </c>
      <c r="B27" s="114" t="n">
        <v>6922.77</v>
      </c>
      <c r="C27" s="115" t="n">
        <v>375693</v>
      </c>
      <c r="D27" s="264" t="n">
        <f aca="false">C27-C26</f>
        <v>-398</v>
      </c>
      <c r="E27" s="115" t="n">
        <f aca="false">C27-152000</f>
        <v>223693</v>
      </c>
      <c r="F27" s="141" t="n">
        <f aca="false">D27/$D$2</f>
        <v>-200.655407108646</v>
      </c>
      <c r="G27" s="256" t="n">
        <v>2300</v>
      </c>
      <c r="H27" s="261" t="n">
        <v>46</v>
      </c>
      <c r="I27" s="141" t="n">
        <f aca="false">G27+H27</f>
        <v>2346</v>
      </c>
      <c r="J27" s="261" t="n">
        <f aca="false">IF(L27&gt;0,L27,0)</f>
        <v>0</v>
      </c>
      <c r="K27" s="141" t="n">
        <f aca="false">I27+J27</f>
        <v>2346</v>
      </c>
      <c r="L27" s="141" t="n">
        <f aca="false">F27-(I27-AF27)</f>
        <v>-52.6554071086463</v>
      </c>
      <c r="M27" s="284" t="n">
        <v>296</v>
      </c>
      <c r="N27" s="258" t="n">
        <f aca="false">1.8299*1.03</f>
        <v>1.884797</v>
      </c>
      <c r="O27" s="141" t="n">
        <f aca="false">(32+30)*1.02</f>
        <v>63.24</v>
      </c>
      <c r="P27" s="258" t="n">
        <v>0</v>
      </c>
      <c r="Q27" s="408" t="n">
        <f aca="false">2.03*1.02</f>
        <v>2.0706</v>
      </c>
      <c r="R27" s="408" t="n">
        <v>4.2</v>
      </c>
      <c r="S27" s="138" t="n">
        <v>3.27</v>
      </c>
      <c r="T27" s="456" t="n">
        <v>0</v>
      </c>
      <c r="U27" s="141" t="n">
        <v>135</v>
      </c>
      <c r="V27" s="141" t="n">
        <v>72</v>
      </c>
      <c r="W27" s="141" t="n">
        <f aca="false">M27-N27-O27-P27-Q27-R27-S27-T27+U27+V27-AQ27</f>
        <v>405.334603</v>
      </c>
      <c r="X27" s="115" t="n">
        <f aca="false">X26+AN27-AD27-(AO27/1.9835)</f>
        <v>19332.3179723239</v>
      </c>
      <c r="Y27" s="115" t="n">
        <v>1714</v>
      </c>
      <c r="Z27" s="115"/>
      <c r="AA27" s="141" t="n">
        <v>134</v>
      </c>
      <c r="AB27" s="284" t="n">
        <v>1.7</v>
      </c>
      <c r="AC27" s="285" t="n">
        <v>1.3</v>
      </c>
      <c r="AD27" s="498" t="n">
        <v>1880</v>
      </c>
      <c r="AE27" s="499" t="n">
        <f aca="false">AE26</f>
        <v>13402.823072851</v>
      </c>
      <c r="AF27" s="140" t="n">
        <f aca="false">N27+O27+P27+Q27+R27+S27+T27+W27+AA27+AD27</f>
        <v>2494</v>
      </c>
      <c r="AG27" s="141" t="n">
        <f aca="false">IF(L27&lt;0,L27*-1,0)</f>
        <v>52.6554071086463</v>
      </c>
      <c r="AH27" s="141" t="n">
        <f aca="false">AF27+AG27</f>
        <v>2546.65540710865</v>
      </c>
      <c r="AI27" s="263" t="n">
        <v>0.17</v>
      </c>
      <c r="AJ27" s="264" t="n">
        <v>65</v>
      </c>
      <c r="AK27" s="265" t="n">
        <v>43</v>
      </c>
      <c r="AL27" s="264" t="n">
        <f aca="false">AL26</f>
        <v>10481.92122</v>
      </c>
      <c r="AM27" s="264"/>
      <c r="AN27" s="457" t="n">
        <f aca="false">795-W27</f>
        <v>389.665397</v>
      </c>
      <c r="AO27" s="258" t="n">
        <f aca="false">47.3*(X26*1.9835+AN27*1.9835+Y27*1.9835)/E27</f>
        <v>9.61760872362107</v>
      </c>
      <c r="AP27" s="266"/>
      <c r="AQ27" s="174" t="n">
        <v>23</v>
      </c>
    </row>
    <row r="28" customFormat="false" ht="12.95" hidden="false" customHeight="true" outlineLevel="0" collapsed="false">
      <c r="A28" s="186" t="n">
        <f aca="false">A27+1</f>
        <v>17</v>
      </c>
      <c r="B28" s="114" t="n">
        <v>6922.78</v>
      </c>
      <c r="C28" s="115" t="n">
        <v>375737</v>
      </c>
      <c r="D28" s="264" t="n">
        <f aca="false">C28-C27</f>
        <v>44</v>
      </c>
      <c r="E28" s="115" t="n">
        <f aca="false">C28-152000</f>
        <v>223737</v>
      </c>
      <c r="F28" s="141" t="n">
        <f aca="false">D28/$D$2</f>
        <v>22.1830098311066</v>
      </c>
      <c r="G28" s="256" t="n">
        <v>2020</v>
      </c>
      <c r="H28" s="261" t="n">
        <v>8.5</v>
      </c>
      <c r="I28" s="141" t="n">
        <f aca="false">G28+H28</f>
        <v>2028.5</v>
      </c>
      <c r="J28" s="261" t="n">
        <f aca="false">IF(L28&gt;0,L28,0)</f>
        <v>0</v>
      </c>
      <c r="K28" s="409" t="n">
        <f aca="false">I28+J28</f>
        <v>2028.5</v>
      </c>
      <c r="L28" s="141" t="n">
        <f aca="false">F28-(I28-AF28)</f>
        <v>-105.316990168893</v>
      </c>
      <c r="M28" s="284" t="n">
        <v>328</v>
      </c>
      <c r="N28" s="258" t="n">
        <f aca="false">1.8299*1.03</f>
        <v>1.884797</v>
      </c>
      <c r="O28" s="141" t="n">
        <f aca="false">(42+43)*1.05</f>
        <v>89.25</v>
      </c>
      <c r="P28" s="258" t="n">
        <v>0</v>
      </c>
      <c r="Q28" s="408" t="n">
        <f aca="false">2.03*1.02</f>
        <v>2.0706</v>
      </c>
      <c r="R28" s="408" t="n">
        <v>4.2</v>
      </c>
      <c r="S28" s="138" t="n">
        <v>1.22</v>
      </c>
      <c r="T28" s="456" t="n">
        <v>0</v>
      </c>
      <c r="U28" s="141" t="n">
        <v>357</v>
      </c>
      <c r="V28" s="141" t="n">
        <v>71</v>
      </c>
      <c r="W28" s="141" t="n">
        <f aca="false">M28-N28-O28-P28-Q28-R28-S28-T28+U28+V28-AQ28</f>
        <v>633.374603</v>
      </c>
      <c r="X28" s="115" t="n">
        <f aca="false">X27+AN28-AD28-(AO28/1.9835)</f>
        <v>18512.459820687</v>
      </c>
      <c r="Y28" s="115" t="n">
        <v>1714</v>
      </c>
      <c r="Z28" s="115"/>
      <c r="AA28" s="141" t="n">
        <v>192</v>
      </c>
      <c r="AB28" s="284" t="n">
        <v>1.7</v>
      </c>
      <c r="AC28" s="285" t="n">
        <v>1.3</v>
      </c>
      <c r="AD28" s="498" t="n">
        <v>977</v>
      </c>
      <c r="AE28" s="499" t="n">
        <f aca="false">AE27</f>
        <v>13402.823072851</v>
      </c>
      <c r="AF28" s="140" t="n">
        <f aca="false">N28+O28+P28+Q28+R28+S28+T28+W28+AA28+AD28</f>
        <v>1901</v>
      </c>
      <c r="AG28" s="141" t="n">
        <f aca="false">IF(L28&lt;0,L28*-1,0)</f>
        <v>105.316990168893</v>
      </c>
      <c r="AH28" s="141" t="n">
        <f aca="false">AF28+AG28</f>
        <v>2006.31699016889</v>
      </c>
      <c r="AI28" s="263" t="n">
        <v>0</v>
      </c>
      <c r="AJ28" s="264" t="n">
        <v>68</v>
      </c>
      <c r="AK28" s="265" t="n">
        <v>41</v>
      </c>
      <c r="AL28" s="264" t="n">
        <f aca="false">AL27</f>
        <v>10481.92122</v>
      </c>
      <c r="AM28" s="264"/>
      <c r="AN28" s="457" t="n">
        <f aca="false">795-W28</f>
        <v>161.625397</v>
      </c>
      <c r="AO28" s="258" t="n">
        <f aca="false">47.3*(X27*1.9835+AN28*1.9835+Y28*1.9835)/E28</f>
        <v>8.89311872124616</v>
      </c>
      <c r="AP28" s="266"/>
      <c r="AQ28" s="174" t="n">
        <v>24</v>
      </c>
    </row>
    <row r="29" customFormat="false" ht="12.95" hidden="false" customHeight="true" outlineLevel="0" collapsed="false">
      <c r="A29" s="186" t="n">
        <f aca="false">A28+1</f>
        <v>18</v>
      </c>
      <c r="B29" s="114" t="n">
        <v>6922.89</v>
      </c>
      <c r="C29" s="115" t="n">
        <v>376223</v>
      </c>
      <c r="D29" s="264" t="n">
        <f aca="false">C29-C28</f>
        <v>486</v>
      </c>
      <c r="E29" s="115" t="n">
        <f aca="false">C29-152000</f>
        <v>224223</v>
      </c>
      <c r="F29" s="141" t="n">
        <f aca="false">D29/$D$2</f>
        <v>245.02142677086</v>
      </c>
      <c r="G29" s="256" t="n">
        <v>1650</v>
      </c>
      <c r="H29" s="261" t="n">
        <v>4</v>
      </c>
      <c r="I29" s="141" t="n">
        <f aca="false">G29+H29</f>
        <v>1654</v>
      </c>
      <c r="J29" s="261" t="n">
        <f aca="false">IF(L29&gt;0,L29,0)</f>
        <v>111.52142677086</v>
      </c>
      <c r="K29" s="141" t="n">
        <f aca="false">I29+J29</f>
        <v>1765.52142677086</v>
      </c>
      <c r="L29" s="141" t="n">
        <f aca="false">F29-(I29-AF29)</f>
        <v>111.52142677086</v>
      </c>
      <c r="M29" s="284" t="n">
        <v>323</v>
      </c>
      <c r="N29" s="258" t="n">
        <f aca="false">1.8299*1.03</f>
        <v>1.884797</v>
      </c>
      <c r="O29" s="141" t="n">
        <f aca="false">(36+38)*1.05</f>
        <v>77.7</v>
      </c>
      <c r="P29" s="258" t="n">
        <v>0</v>
      </c>
      <c r="Q29" s="408" t="n">
        <f aca="false">2.03*1.02</f>
        <v>2.0706</v>
      </c>
      <c r="R29" s="408" t="n">
        <v>4.2</v>
      </c>
      <c r="S29" s="138" t="n">
        <v>1.06</v>
      </c>
      <c r="T29" s="456" t="n">
        <v>0</v>
      </c>
      <c r="U29" s="141" t="n">
        <v>475</v>
      </c>
      <c r="V29" s="141" t="n">
        <v>72</v>
      </c>
      <c r="W29" s="141" t="n">
        <f aca="false">M29-N29-O29-P29-Q29-R29-S29-T29+U29+V29-AQ29+37.5</f>
        <v>794.984603</v>
      </c>
      <c r="X29" s="115" t="n">
        <f aca="false">X28+AN29-AD29-(AO29/1.9835)</f>
        <v>17994.2222246498</v>
      </c>
      <c r="Y29" s="115" t="n">
        <f aca="false">1714-65.4</f>
        <v>1648.6</v>
      </c>
      <c r="Z29" s="115"/>
      <c r="AA29" s="141" t="n">
        <v>190</v>
      </c>
      <c r="AB29" s="284" t="n">
        <v>1.7</v>
      </c>
      <c r="AC29" s="285" t="n">
        <v>1.3</v>
      </c>
      <c r="AD29" s="498" t="n">
        <v>514</v>
      </c>
      <c r="AE29" s="499" t="n">
        <f aca="false">AE28</f>
        <v>13402.823072851</v>
      </c>
      <c r="AF29" s="140" t="n">
        <f aca="false">N29+O29+P29+Q29+R29+S29+T29+W29+AA29+AD29-65.4</f>
        <v>1520.5</v>
      </c>
      <c r="AG29" s="141" t="n">
        <f aca="false">IF(L29&lt;0,L29*-1,0)</f>
        <v>0</v>
      </c>
      <c r="AH29" s="141" t="n">
        <f aca="false">AF29+AG29</f>
        <v>1520.5</v>
      </c>
      <c r="AI29" s="263" t="n">
        <v>0.03</v>
      </c>
      <c r="AJ29" s="264" t="n">
        <v>75</v>
      </c>
      <c r="AK29" s="265" t="n">
        <v>41</v>
      </c>
      <c r="AL29" s="264" t="n">
        <f aca="false">AL28</f>
        <v>10481.92122</v>
      </c>
      <c r="AM29" s="264"/>
      <c r="AN29" s="457" t="n">
        <f aca="false">795-W29</f>
        <v>0.0153970000000072</v>
      </c>
      <c r="AO29" s="258" t="n">
        <f aca="false">47.3*(X28*1.9835+AN29*1.9835+Y29*1.9835)/E29</f>
        <v>8.43581168943217</v>
      </c>
      <c r="AP29" s="266"/>
      <c r="AQ29" s="209" t="n">
        <v>25.6</v>
      </c>
    </row>
    <row r="30" customFormat="false" ht="12.95" hidden="false" customHeight="true" outlineLevel="0" collapsed="false">
      <c r="A30" s="186" t="n">
        <f aca="false">A29+1</f>
        <v>19</v>
      </c>
      <c r="B30" s="114" t="n">
        <v>6923.12</v>
      </c>
      <c r="C30" s="382" t="n">
        <v>377243</v>
      </c>
      <c r="D30" s="264" t="n">
        <f aca="false">C30-C29</f>
        <v>1020</v>
      </c>
      <c r="E30" s="115" t="n">
        <f aca="false">C30-152000</f>
        <v>225243</v>
      </c>
      <c r="F30" s="141" t="n">
        <f aca="false">D30/$D$2</f>
        <v>514.242500630199</v>
      </c>
      <c r="G30" s="256" t="n">
        <v>1800</v>
      </c>
      <c r="H30" s="261" t="n">
        <v>2.8</v>
      </c>
      <c r="I30" s="141" t="n">
        <f aca="false">G30+H30</f>
        <v>1802.8</v>
      </c>
      <c r="J30" s="261" t="n">
        <f aca="false">IF(L30&gt;0,L30,0)</f>
        <v>8.94250063019922</v>
      </c>
      <c r="K30" s="141" t="n">
        <f aca="false">I30+J30</f>
        <v>1811.7425006302</v>
      </c>
      <c r="L30" s="141" t="n">
        <f aca="false">F30-(I30-AF30)</f>
        <v>8.94250063019922</v>
      </c>
      <c r="M30" s="284" t="n">
        <v>314</v>
      </c>
      <c r="N30" s="258" t="n">
        <f aca="false">1.8299*1.03</f>
        <v>1.884797</v>
      </c>
      <c r="O30" s="141" t="n">
        <f aca="false">(25+29)*1.05</f>
        <v>56.7</v>
      </c>
      <c r="P30" s="258" t="n">
        <v>0</v>
      </c>
      <c r="Q30" s="408" t="n">
        <f aca="false">2.03*1.02</f>
        <v>2.0706</v>
      </c>
      <c r="R30" s="408" t="n">
        <v>4.2</v>
      </c>
      <c r="S30" s="138" t="n">
        <v>1.94</v>
      </c>
      <c r="T30" s="456" t="n">
        <v>0</v>
      </c>
      <c r="U30" s="141" t="n">
        <v>364</v>
      </c>
      <c r="V30" s="141" t="n">
        <v>74</v>
      </c>
      <c r="W30" s="141" t="n">
        <f aca="false">M30-N30-O30-P30-Q30-R30-S30-T30+U30+V30-AQ30</f>
        <v>658.704603</v>
      </c>
      <c r="X30" s="115" t="n">
        <f aca="false">X29+AN30-AD30-(AO30/1.9835)</f>
        <v>17773.3640973959</v>
      </c>
      <c r="Y30" s="115" t="n">
        <f aca="false">Y29</f>
        <v>1648.6</v>
      </c>
      <c r="Z30" s="115"/>
      <c r="AA30" s="141" t="n">
        <v>219</v>
      </c>
      <c r="AB30" s="284" t="n">
        <v>1.7</v>
      </c>
      <c r="AC30" s="285" t="n">
        <v>1.3</v>
      </c>
      <c r="AD30" s="498" t="n">
        <v>353</v>
      </c>
      <c r="AE30" s="499" t="n">
        <f aca="false">AE29</f>
        <v>13402.823072851</v>
      </c>
      <c r="AF30" s="140" t="n">
        <f aca="false">N30+O30+P30+Q30+R30+S30+T30+W30+AA30+AD30</f>
        <v>1297.5</v>
      </c>
      <c r="AG30" s="141" t="n">
        <f aca="false">IF(L30&lt;0,L30*-1,0)</f>
        <v>0</v>
      </c>
      <c r="AH30" s="141" t="n">
        <f aca="false">AF30+AG30</f>
        <v>1297.5</v>
      </c>
      <c r="AI30" s="263" t="n">
        <v>0.01</v>
      </c>
      <c r="AJ30" s="264" t="n">
        <v>75</v>
      </c>
      <c r="AK30" s="265" t="n">
        <v>41</v>
      </c>
      <c r="AL30" s="264" t="n">
        <f aca="false">AL29</f>
        <v>10481.92122</v>
      </c>
      <c r="AM30" s="264"/>
      <c r="AN30" s="457" t="n">
        <f aca="false">795-W30</f>
        <v>136.295397</v>
      </c>
      <c r="AO30" s="258" t="n">
        <f aca="false">47.3*(X29*1.9835+AN30*1.9835+Y30*1.9835)/E30</f>
        <v>8.2385153574595</v>
      </c>
      <c r="AP30" s="266"/>
      <c r="AQ30" s="209" t="n">
        <v>26.5</v>
      </c>
    </row>
    <row r="31" customFormat="false" ht="12.95" hidden="false" customHeight="true" outlineLevel="0" collapsed="false">
      <c r="A31" s="186" t="n">
        <f aca="false">A30+1</f>
        <v>20</v>
      </c>
      <c r="B31" s="114" t="n">
        <v>6923.29</v>
      </c>
      <c r="C31" s="115" t="n">
        <v>378000</v>
      </c>
      <c r="D31" s="264" t="n">
        <f aca="false">C31-C30</f>
        <v>757</v>
      </c>
      <c r="E31" s="115" t="n">
        <f aca="false">C31-152000</f>
        <v>226000</v>
      </c>
      <c r="F31" s="141" t="n">
        <f aca="false">D31/$D$2</f>
        <v>381.648600957903</v>
      </c>
      <c r="G31" s="256" t="n">
        <v>1660</v>
      </c>
      <c r="H31" s="261" t="n">
        <v>2.2</v>
      </c>
      <c r="I31" s="141" t="n">
        <f aca="false">G31+H31</f>
        <v>1662.2</v>
      </c>
      <c r="J31" s="261" t="n">
        <f aca="false">IF(L31&gt;0,L31,0)</f>
        <v>0</v>
      </c>
      <c r="K31" s="141" t="n">
        <f aca="false">I31+J31</f>
        <v>1662.2</v>
      </c>
      <c r="L31" s="141" t="n">
        <f aca="false">F31-(I31-AF31)</f>
        <v>-85.3513990420973</v>
      </c>
      <c r="M31" s="284" t="n">
        <v>299</v>
      </c>
      <c r="N31" s="258" t="n">
        <f aca="false">1.8299*1.03</f>
        <v>1.884797</v>
      </c>
      <c r="O31" s="141" t="n">
        <f aca="false">(25+29)*1.05</f>
        <v>56.7</v>
      </c>
      <c r="P31" s="258" t="n">
        <v>0</v>
      </c>
      <c r="Q31" s="408" t="n">
        <f aca="false">2.03*1.02</f>
        <v>2.0706</v>
      </c>
      <c r="R31" s="408" t="n">
        <v>4.2</v>
      </c>
      <c r="S31" s="138" t="n">
        <v>2.55</v>
      </c>
      <c r="T31" s="456" t="n">
        <v>0</v>
      </c>
      <c r="U31" s="141" t="n">
        <v>309</v>
      </c>
      <c r="V31" s="141" t="n">
        <v>75</v>
      </c>
      <c r="W31" s="141" t="n">
        <f aca="false">M31-N31-O31-P31-Q31-R31-S31-T31+U31+V31-AQ31</f>
        <v>588.794603</v>
      </c>
      <c r="X31" s="115" t="n">
        <f aca="false">X30+AN31-AD31-(AO31/1.9835)</f>
        <v>17655.4614748513</v>
      </c>
      <c r="Y31" s="115" t="n">
        <f aca="false">Y30</f>
        <v>1648.6</v>
      </c>
      <c r="Z31" s="115"/>
      <c r="AA31" s="141" t="n">
        <v>219</v>
      </c>
      <c r="AB31" s="284" t="n">
        <v>1.7</v>
      </c>
      <c r="AC31" s="285" t="n">
        <v>1.3</v>
      </c>
      <c r="AD31" s="498" t="n">
        <v>320</v>
      </c>
      <c r="AE31" s="499" t="n">
        <f aca="false">AE30</f>
        <v>13402.823072851</v>
      </c>
      <c r="AF31" s="140" t="n">
        <f aca="false">N31+O31+P31+Q31+R31+S31+T31+W31+AA31+AD31</f>
        <v>1195.2</v>
      </c>
      <c r="AG31" s="141" t="n">
        <f aca="false">IF(L31&lt;0,L31*-1,0)</f>
        <v>85.3513990420973</v>
      </c>
      <c r="AH31" s="141" t="n">
        <f aca="false">AF31+AG31</f>
        <v>1280.5513990421</v>
      </c>
      <c r="AI31" s="263" t="n">
        <v>0.01</v>
      </c>
      <c r="AJ31" s="264" t="n">
        <v>71</v>
      </c>
      <c r="AK31" s="265" t="n">
        <v>43</v>
      </c>
      <c r="AL31" s="264" t="n">
        <f aca="false">AL30</f>
        <v>10481.92122</v>
      </c>
      <c r="AM31" s="264"/>
      <c r="AN31" s="457" t="n">
        <f aca="false">795-W31</f>
        <v>206.205397</v>
      </c>
      <c r="AO31" s="258" t="n">
        <f aca="false">47.3*(X30*1.9835+AN31*1.9835+Y31*1.9835)/E31</f>
        <v>8.14825676676086</v>
      </c>
      <c r="AP31" s="266"/>
      <c r="AQ31" s="209" t="n">
        <v>26.8</v>
      </c>
    </row>
    <row r="32" customFormat="false" ht="12.95" hidden="false" customHeight="true" outlineLevel="0" collapsed="false">
      <c r="A32" s="186" t="n">
        <f aca="false">A31+1</f>
        <v>21</v>
      </c>
      <c r="B32" s="500" t="n">
        <v>6923.52</v>
      </c>
      <c r="C32" s="115" t="n">
        <v>379023</v>
      </c>
      <c r="D32" s="264" t="n">
        <f aca="false">C32-C31</f>
        <v>1023</v>
      </c>
      <c r="E32" s="115" t="n">
        <f aca="false">C32-152000</f>
        <v>227023</v>
      </c>
      <c r="F32" s="141" t="n">
        <f aca="false">D32/$D$2</f>
        <v>515.754978573229</v>
      </c>
      <c r="G32" s="256" t="n">
        <v>1480</v>
      </c>
      <c r="H32" s="261" t="n">
        <v>20</v>
      </c>
      <c r="I32" s="141" t="n">
        <f aca="false">G32+H32</f>
        <v>1500</v>
      </c>
      <c r="J32" s="261" t="n">
        <f aca="false">IF(L32&gt;0,L32,0)</f>
        <v>41.0549785732291</v>
      </c>
      <c r="K32" s="141" t="n">
        <f aca="false">I32+J32</f>
        <v>1541.05497857323</v>
      </c>
      <c r="L32" s="141" t="n">
        <f aca="false">F32-(I32-AF32)</f>
        <v>41.0549785732291</v>
      </c>
      <c r="M32" s="284" t="n">
        <v>288</v>
      </c>
      <c r="N32" s="258" t="n">
        <f aca="false">1.8299*1.03</f>
        <v>1.884797</v>
      </c>
      <c r="O32" s="141" t="n">
        <f aca="false">(28+34)*1.05</f>
        <v>65.1</v>
      </c>
      <c r="P32" s="258" t="n">
        <v>0</v>
      </c>
      <c r="Q32" s="408" t="n">
        <f aca="false">2.03*1.02</f>
        <v>2.0706</v>
      </c>
      <c r="R32" s="408" t="n">
        <v>4.2</v>
      </c>
      <c r="S32" s="138" t="n">
        <v>3.24</v>
      </c>
      <c r="T32" s="456" t="n">
        <v>0</v>
      </c>
      <c r="U32" s="141" t="n">
        <v>238</v>
      </c>
      <c r="V32" s="141" t="n">
        <v>76</v>
      </c>
      <c r="W32" s="141" t="n">
        <f aca="false">M32-N32-O32-P32-Q32-R32-S32-T32+U32+V32-AQ32</f>
        <v>499.804603</v>
      </c>
      <c r="X32" s="115" t="n">
        <f aca="false">X31+AN32-AD32-(AO32/1.9835)</f>
        <v>17712.5733875786</v>
      </c>
      <c r="Y32" s="115" t="n">
        <f aca="false">Y31</f>
        <v>1648.6</v>
      </c>
      <c r="Z32" s="115"/>
      <c r="AA32" s="141" t="n">
        <v>215</v>
      </c>
      <c r="AB32" s="284" t="n">
        <v>1.7</v>
      </c>
      <c r="AC32" s="285" t="n">
        <v>1.3</v>
      </c>
      <c r="AD32" s="498" t="n">
        <v>234</v>
      </c>
      <c r="AE32" s="499" t="n">
        <f aca="false">AE31</f>
        <v>13402.823072851</v>
      </c>
      <c r="AF32" s="140" t="n">
        <f aca="false">N32+O32+P32+Q32+R32+S32+T32+W32+AA32+AD32</f>
        <v>1025.3</v>
      </c>
      <c r="AG32" s="141" t="n">
        <f aca="false">IF(L32&lt;0,L32*-1,0)</f>
        <v>0</v>
      </c>
      <c r="AH32" s="141" t="n">
        <f aca="false">AF32+AG32</f>
        <v>1025.3</v>
      </c>
      <c r="AI32" s="263" t="n">
        <v>0</v>
      </c>
      <c r="AJ32" s="264" t="n">
        <v>73</v>
      </c>
      <c r="AK32" s="265" t="n">
        <v>42</v>
      </c>
      <c r="AL32" s="264" t="n">
        <f aca="false">AL31</f>
        <v>10481.92122</v>
      </c>
      <c r="AM32" s="264"/>
      <c r="AN32" s="457" t="n">
        <f aca="false">795-W32</f>
        <v>295.195397</v>
      </c>
      <c r="AO32" s="258" t="n">
        <f aca="false">47.3*(X31*1.9835+AN32*1.9835+Y32*1.9835)/E32</f>
        <v>8.09959105487769</v>
      </c>
      <c r="AP32" s="266"/>
      <c r="AQ32" s="209" t="n">
        <v>25.7</v>
      </c>
    </row>
    <row r="33" customFormat="false" ht="12.95" hidden="false" customHeight="true" outlineLevel="0" collapsed="false">
      <c r="A33" s="186" t="n">
        <f aca="false">A32+1</f>
        <v>22</v>
      </c>
      <c r="B33" s="114" t="n">
        <v>6923.84</v>
      </c>
      <c r="C33" s="115" t="n">
        <v>380448</v>
      </c>
      <c r="D33" s="264" t="n">
        <f aca="false">C33-C32</f>
        <v>1425</v>
      </c>
      <c r="E33" s="115" t="n">
        <f aca="false">C33-152000</f>
        <v>228448</v>
      </c>
      <c r="F33" s="141" t="n">
        <f aca="false">D33/$D$2</f>
        <v>718.427022939249</v>
      </c>
      <c r="G33" s="256" t="n">
        <v>1650</v>
      </c>
      <c r="H33" s="261" t="n">
        <v>3.7</v>
      </c>
      <c r="I33" s="141" t="n">
        <f aca="false">G33+H33</f>
        <v>1653.7</v>
      </c>
      <c r="J33" s="261" t="n">
        <f aca="false">IF(L33&gt;0,L33,0)</f>
        <v>198.927022939249</v>
      </c>
      <c r="K33" s="141" t="n">
        <f aca="false">I33+J33</f>
        <v>1852.62702293925</v>
      </c>
      <c r="L33" s="141" t="n">
        <f aca="false">F33-(I33-AF33)</f>
        <v>198.927022939249</v>
      </c>
      <c r="M33" s="284" t="n">
        <v>340</v>
      </c>
      <c r="N33" s="258" t="n">
        <f aca="false">1.8299*1.03</f>
        <v>1.884797</v>
      </c>
      <c r="O33" s="141" t="n">
        <f aca="false">(37+38)*1.05</f>
        <v>78.75</v>
      </c>
      <c r="P33" s="258" t="n">
        <v>0</v>
      </c>
      <c r="Q33" s="408" t="n">
        <f aca="false">2.03*1.02</f>
        <v>2.0706</v>
      </c>
      <c r="R33" s="408" t="n">
        <v>4.2</v>
      </c>
      <c r="S33" s="138" t="n">
        <v>0.94</v>
      </c>
      <c r="T33" s="456" t="n">
        <v>0</v>
      </c>
      <c r="U33" s="141" t="n">
        <v>161</v>
      </c>
      <c r="V33" s="141" t="n">
        <v>74</v>
      </c>
      <c r="W33" s="141" t="n">
        <f aca="false">M33-N33-O33-P33-Q33-R33-S33-T33+U33+V33-AQ33</f>
        <v>462.354603</v>
      </c>
      <c r="X33" s="115" t="n">
        <f aca="false">X32+AN33-AD33-(AO33/1.9835)</f>
        <v>17643.1411930545</v>
      </c>
      <c r="Y33" s="115" t="n">
        <f aca="false">Y32</f>
        <v>1648.6</v>
      </c>
      <c r="Z33" s="115"/>
      <c r="AA33" s="141" t="n">
        <v>186</v>
      </c>
      <c r="AB33" s="284" t="n">
        <v>1.7</v>
      </c>
      <c r="AC33" s="285" t="n">
        <v>1.3</v>
      </c>
      <c r="AD33" s="498" t="n">
        <v>398</v>
      </c>
      <c r="AE33" s="499" t="n">
        <f aca="false">AE32</f>
        <v>13402.823072851</v>
      </c>
      <c r="AF33" s="140" t="n">
        <f aca="false">N33+O33+P33+Q33+R33+S33+T33+W33+AA33+AD33</f>
        <v>1134.2</v>
      </c>
      <c r="AG33" s="141" t="n">
        <f aca="false">IF(L33&lt;0,L33*-1,0)</f>
        <v>0</v>
      </c>
      <c r="AH33" s="141" t="n">
        <f aca="false">AF33+AG33</f>
        <v>1134.2</v>
      </c>
      <c r="AI33" s="263" t="n">
        <v>0.08</v>
      </c>
      <c r="AJ33" s="264" t="n">
        <v>61</v>
      </c>
      <c r="AK33" s="265" t="n">
        <v>37</v>
      </c>
      <c r="AL33" s="264" t="n">
        <f aca="false">AL32</f>
        <v>10481.92122</v>
      </c>
      <c r="AM33" s="264"/>
      <c r="AN33" s="457" t="n">
        <f aca="false">795-W33</f>
        <v>332.645397</v>
      </c>
      <c r="AO33" s="258" t="n">
        <f aca="false">47.3*(X32*1.9835+AN33*1.9835+Y33*1.9835)/E33</f>
        <v>8.08790278816498</v>
      </c>
      <c r="AP33" s="266"/>
      <c r="AQ33" s="209" t="n">
        <v>24.8</v>
      </c>
    </row>
    <row r="34" customFormat="false" ht="12.95" hidden="false" customHeight="true" outlineLevel="0" collapsed="false">
      <c r="A34" s="186" t="n">
        <f aca="false">A33+1</f>
        <v>23</v>
      </c>
      <c r="B34" s="114" t="n">
        <v>6923.97</v>
      </c>
      <c r="C34" s="115" t="n">
        <v>381026</v>
      </c>
      <c r="D34" s="264" t="n">
        <f aca="false">C34-C33</f>
        <v>578</v>
      </c>
      <c r="E34" s="115" t="n">
        <f aca="false">C34-152000</f>
        <v>229026</v>
      </c>
      <c r="F34" s="141" t="n">
        <f aca="false">D34/$D$2</f>
        <v>291.404083690446</v>
      </c>
      <c r="G34" s="256" t="n">
        <v>1290</v>
      </c>
      <c r="H34" s="261" t="n">
        <v>2.7</v>
      </c>
      <c r="I34" s="141" t="n">
        <f aca="false">G34+H34</f>
        <v>1292.7</v>
      </c>
      <c r="J34" s="261" t="n">
        <f aca="false">IF(L34&gt;0,L34,0)</f>
        <v>74.1040836904462</v>
      </c>
      <c r="K34" s="141" t="n">
        <f aca="false">I34+J34</f>
        <v>1366.80408369045</v>
      </c>
      <c r="L34" s="141" t="n">
        <f aca="false">F34-(I34-AF34)</f>
        <v>74.1040836904462</v>
      </c>
      <c r="M34" s="284" t="n">
        <v>255</v>
      </c>
      <c r="N34" s="258" t="n">
        <f aca="false">1.8299*1.03</f>
        <v>1.884797</v>
      </c>
      <c r="O34" s="141" t="n">
        <f aca="false">(34+35)*1.05</f>
        <v>72.45</v>
      </c>
      <c r="P34" s="258" t="n">
        <v>0</v>
      </c>
      <c r="Q34" s="408" t="n">
        <f aca="false">2.03*1.02</f>
        <v>2.0706</v>
      </c>
      <c r="R34" s="408" t="n">
        <v>4.2</v>
      </c>
      <c r="S34" s="138" t="n">
        <v>0.36</v>
      </c>
      <c r="T34" s="456" t="n">
        <v>0</v>
      </c>
      <c r="U34" s="141" t="n">
        <v>281</v>
      </c>
      <c r="V34" s="141" t="n">
        <v>70</v>
      </c>
      <c r="W34" s="141" t="n">
        <f aca="false">M34-N34-O34-P34-Q34-R34-S34-T34+U34+V34-AQ34</f>
        <v>498.434603</v>
      </c>
      <c r="X34" s="115" t="n">
        <f aca="false">X33+AN34-AD34-(AO34/1.9835)</f>
        <v>17586.6610803669</v>
      </c>
      <c r="Y34" s="115" t="n">
        <f aca="false">Y33</f>
        <v>1648.6</v>
      </c>
      <c r="Z34" s="115"/>
      <c r="AA34" s="141" t="n">
        <v>147</v>
      </c>
      <c r="AB34" s="284" t="n">
        <v>1.7</v>
      </c>
      <c r="AC34" s="285" t="n">
        <v>1.3</v>
      </c>
      <c r="AD34" s="498" t="n">
        <v>349</v>
      </c>
      <c r="AE34" s="499" t="n">
        <f aca="false">AE33</f>
        <v>13402.823072851</v>
      </c>
      <c r="AF34" s="140" t="n">
        <f aca="false">N34+O34+P34+Q34+R34+S34+T34+W34+AA34+AD34</f>
        <v>1075.4</v>
      </c>
      <c r="AG34" s="141" t="n">
        <f aca="false">IF(L34&lt;0,L34*-1,0)</f>
        <v>0</v>
      </c>
      <c r="AH34" s="141" t="n">
        <f aca="false">AF34+AG34</f>
        <v>1075.4</v>
      </c>
      <c r="AI34" s="263" t="n">
        <v>0.31</v>
      </c>
      <c r="AJ34" s="264" t="n">
        <v>47</v>
      </c>
      <c r="AK34" s="265" t="n">
        <v>36</v>
      </c>
      <c r="AL34" s="264" t="n">
        <f aca="false">AL33</f>
        <v>10481.92122</v>
      </c>
      <c r="AM34" s="264"/>
      <c r="AN34" s="457" t="n">
        <f aca="false">795-W34</f>
        <v>296.565397</v>
      </c>
      <c r="AO34" s="258" t="n">
        <f aca="false">47.3*(X33*1.9835+AN34*1.9835+Y34*1.9835)/E34</f>
        <v>8.02426846533121</v>
      </c>
      <c r="AP34" s="266"/>
      <c r="AQ34" s="209" t="n">
        <v>26.6</v>
      </c>
    </row>
    <row r="35" customFormat="false" ht="12.95" hidden="false" customHeight="true" outlineLevel="0" collapsed="false">
      <c r="A35" s="186" t="n">
        <f aca="false">A34+1</f>
        <v>24</v>
      </c>
      <c r="B35" s="114" t="n">
        <v>6923.94</v>
      </c>
      <c r="C35" s="115" t="n">
        <v>380893</v>
      </c>
      <c r="D35" s="264" t="n">
        <f aca="false">C35-C34</f>
        <v>-133</v>
      </c>
      <c r="E35" s="115" t="n">
        <f aca="false">C35-152000</f>
        <v>228893</v>
      </c>
      <c r="F35" s="141" t="n">
        <f aca="false">D35/$D$2</f>
        <v>-67.0531888076632</v>
      </c>
      <c r="G35" s="256" t="n">
        <v>1050</v>
      </c>
      <c r="H35" s="261" t="n">
        <v>2.7</v>
      </c>
      <c r="I35" s="141" t="n">
        <f aca="false">G35+H35</f>
        <v>1052.7</v>
      </c>
      <c r="J35" s="261" t="n">
        <f aca="false">IF(L35&gt;0,L35,0)</f>
        <v>0</v>
      </c>
      <c r="K35" s="141" t="n">
        <f aca="false">I35+J35</f>
        <v>1052.7</v>
      </c>
      <c r="L35" s="141" t="n">
        <f aca="false">F35-(I35-AF35)</f>
        <v>-33.4531888076633</v>
      </c>
      <c r="M35" s="284" t="n">
        <v>175</v>
      </c>
      <c r="N35" s="258" t="n">
        <f aca="false">1.8299*1.03</f>
        <v>1.884797</v>
      </c>
      <c r="O35" s="141" t="n">
        <f aca="false">(8.7+9.9)*1.05</f>
        <v>19.53</v>
      </c>
      <c r="P35" s="258" t="n">
        <v>0</v>
      </c>
      <c r="Q35" s="408" t="n">
        <f aca="false">2.03*1.02</f>
        <v>2.0706</v>
      </c>
      <c r="R35" s="408" t="n">
        <v>3.7</v>
      </c>
      <c r="S35" s="138" t="n">
        <v>0</v>
      </c>
      <c r="T35" s="456" t="n">
        <v>0</v>
      </c>
      <c r="U35" s="141" t="n">
        <v>370</v>
      </c>
      <c r="V35" s="141" t="n">
        <v>67</v>
      </c>
      <c r="W35" s="141" t="n">
        <f aca="false">M35-N35-O35-P35-Q35-R35-S35-T35+U35+V35-AQ35</f>
        <v>569.114603</v>
      </c>
      <c r="X35" s="115" t="n">
        <f aca="false">X34+AN35-AD35-(AO35/1.9835)</f>
        <v>17454.5248942325</v>
      </c>
      <c r="Y35" s="115" t="n">
        <f aca="false">Y34</f>
        <v>1648.6</v>
      </c>
      <c r="Z35" s="115"/>
      <c r="AA35" s="141" t="n">
        <v>136</v>
      </c>
      <c r="AB35" s="284" t="n">
        <v>1.7</v>
      </c>
      <c r="AC35" s="285" t="n">
        <v>1.3</v>
      </c>
      <c r="AD35" s="498" t="n">
        <v>354</v>
      </c>
      <c r="AE35" s="499" t="n">
        <f aca="false">AE34</f>
        <v>13402.823072851</v>
      </c>
      <c r="AF35" s="140" t="n">
        <f aca="false">N35+O35+P35+Q35+R35+S35+T35+W35+AA35+AD35</f>
        <v>1086.3</v>
      </c>
      <c r="AG35" s="141" t="n">
        <f aca="false">IF(L35&lt;0,L35*-1,0)</f>
        <v>33.4531888076633</v>
      </c>
      <c r="AH35" s="141" t="n">
        <f aca="false">AF35+AG35</f>
        <v>1119.75318880766</v>
      </c>
      <c r="AI35" s="263" t="n">
        <v>0</v>
      </c>
      <c r="AJ35" s="264" t="n">
        <v>62</v>
      </c>
      <c r="AK35" s="265" t="n">
        <v>31</v>
      </c>
      <c r="AL35" s="264" t="n">
        <f aca="false">AL34</f>
        <v>10481.92122</v>
      </c>
      <c r="AM35" s="264"/>
      <c r="AN35" s="457" t="n">
        <f aca="false">795-W35</f>
        <v>225.885397</v>
      </c>
      <c r="AO35" s="258" t="n">
        <f aca="false">47.3*(X34*1.9835+AN35*1.9835+Y35*1.9835)/E35</f>
        <v>7.97681014705843</v>
      </c>
      <c r="AP35" s="266"/>
      <c r="AQ35" s="209" t="n">
        <v>15.7</v>
      </c>
    </row>
    <row r="36" customFormat="false" ht="12.95" hidden="false" customHeight="true" outlineLevel="0" collapsed="false">
      <c r="A36" s="186" t="n">
        <f aca="false">A35+1</f>
        <v>25</v>
      </c>
      <c r="B36" s="114" t="n">
        <v>6924.02</v>
      </c>
      <c r="C36" s="115" t="n">
        <v>381250</v>
      </c>
      <c r="D36" s="264" t="n">
        <f aca="false">C36-C35</f>
        <v>357</v>
      </c>
      <c r="E36" s="115" t="n">
        <f aca="false">C36-152000</f>
        <v>229250</v>
      </c>
      <c r="F36" s="141" t="n">
        <f aca="false">D36/$D$2</f>
        <v>179.98487522057</v>
      </c>
      <c r="G36" s="256" t="n">
        <v>1030</v>
      </c>
      <c r="H36" s="261" t="n">
        <v>2.1</v>
      </c>
      <c r="I36" s="141" t="n">
        <f aca="false">G36+H36</f>
        <v>1032.1</v>
      </c>
      <c r="J36" s="261" t="n">
        <f aca="false">IF(L36&gt;0,L36,0)</f>
        <v>210.88487522057</v>
      </c>
      <c r="K36" s="141" t="n">
        <f aca="false">I36+J36</f>
        <v>1242.98487522057</v>
      </c>
      <c r="L36" s="141" t="n">
        <f aca="false">F36-(I36-AF36)</f>
        <v>210.88487522057</v>
      </c>
      <c r="M36" s="284" t="n">
        <v>141</v>
      </c>
      <c r="N36" s="258" t="n">
        <f aca="false">1.8299*1.03</f>
        <v>1.884797</v>
      </c>
      <c r="O36" s="141" t="n">
        <f aca="false">(2.8+3.1)*1.05</f>
        <v>6.195</v>
      </c>
      <c r="P36" s="258" t="n">
        <v>0</v>
      </c>
      <c r="Q36" s="408" t="n">
        <f aca="false">2.03*1.02</f>
        <v>2.0706</v>
      </c>
      <c r="R36" s="408" t="n">
        <v>4.04</v>
      </c>
      <c r="S36" s="138" t="n">
        <v>0</v>
      </c>
      <c r="T36" s="456" t="n">
        <v>0</v>
      </c>
      <c r="U36" s="141" t="n">
        <v>368</v>
      </c>
      <c r="V36" s="141" t="n">
        <v>69</v>
      </c>
      <c r="W36" s="141" t="n">
        <f aca="false">M36-N36-O36-P36-Q36-R36-S36-T36+U36+V36-AQ36</f>
        <v>563.809603</v>
      </c>
      <c r="X36" s="115" t="n">
        <f aca="false">X35+AN36-AD36-(AO36/1.9835)</f>
        <v>17384.7261391571</v>
      </c>
      <c r="Y36" s="115" t="n">
        <f aca="false">Y35</f>
        <v>1648.6</v>
      </c>
      <c r="Z36" s="115"/>
      <c r="AA36" s="141" t="n">
        <v>188</v>
      </c>
      <c r="AB36" s="284" t="n">
        <v>1.7</v>
      </c>
      <c r="AC36" s="285" t="n">
        <v>1.3</v>
      </c>
      <c r="AD36" s="498" t="n">
        <v>297</v>
      </c>
      <c r="AE36" s="499" t="n">
        <f aca="false">AE35</f>
        <v>13402.823072851</v>
      </c>
      <c r="AF36" s="140" t="n">
        <f aca="false">N36+O36+P36+Q36+R36+S36+T36+W36+AA36+AD36</f>
        <v>1063</v>
      </c>
      <c r="AG36" s="141" t="n">
        <f aca="false">IF(L36&lt;0,L36*-1,0)</f>
        <v>0</v>
      </c>
      <c r="AH36" s="141" t="n">
        <f aca="false">AF36+AG36</f>
        <v>1063</v>
      </c>
      <c r="AI36" s="263" t="n">
        <v>0</v>
      </c>
      <c r="AJ36" s="264" t="n">
        <v>73</v>
      </c>
      <c r="AK36" s="265" t="n">
        <v>42</v>
      </c>
      <c r="AL36" s="264" t="n">
        <f aca="false">AL35</f>
        <v>10481.92122</v>
      </c>
      <c r="AM36" s="264"/>
      <c r="AN36" s="457" t="n">
        <f aca="false">795-W36</f>
        <v>231.190397</v>
      </c>
      <c r="AO36" s="258" t="n">
        <f aca="false">47.3*(X35*1.9835+AN36*1.9835+Y36*1.9835)/E36</f>
        <v>7.91248314146805</v>
      </c>
      <c r="AP36" s="266"/>
      <c r="AQ36" s="209"/>
    </row>
    <row r="37" customFormat="false" ht="12.95" hidden="false" customHeight="true" outlineLevel="0" collapsed="false">
      <c r="A37" s="186" t="n">
        <f aca="false">A36+1</f>
        <v>26</v>
      </c>
      <c r="B37" s="114" t="n">
        <v>6924.03</v>
      </c>
      <c r="C37" s="115" t="n">
        <v>381294</v>
      </c>
      <c r="D37" s="264" t="n">
        <f aca="false">C37-C36</f>
        <v>44</v>
      </c>
      <c r="E37" s="115" t="n">
        <f aca="false">C37-152000</f>
        <v>229294</v>
      </c>
      <c r="F37" s="141" t="n">
        <f aca="false">D37/$D$2</f>
        <v>22.1830098311066</v>
      </c>
      <c r="G37" s="256" t="n">
        <v>944</v>
      </c>
      <c r="H37" s="261" t="n">
        <v>2</v>
      </c>
      <c r="I37" s="141" t="n">
        <f aca="false">G37+H37</f>
        <v>946</v>
      </c>
      <c r="J37" s="261" t="n">
        <f aca="false">IF(L37&gt;0,L37,0)</f>
        <v>87.1830098311066</v>
      </c>
      <c r="K37" s="141" t="n">
        <f aca="false">I37+J37</f>
        <v>1033.18300983111</v>
      </c>
      <c r="L37" s="141" t="n">
        <f aca="false">F37-(I37-AF37)</f>
        <v>87.1830098311066</v>
      </c>
      <c r="M37" s="284" t="n">
        <v>176</v>
      </c>
      <c r="N37" s="258" t="n">
        <f aca="false">1.8299*1.03</f>
        <v>1.884797</v>
      </c>
      <c r="O37" s="141" t="n">
        <f aca="false">(2.2+2.3)*1.05</f>
        <v>4.725</v>
      </c>
      <c r="P37" s="258" t="n">
        <v>0</v>
      </c>
      <c r="Q37" s="408" t="n">
        <f aca="false">2.03*1.02</f>
        <v>2.0706</v>
      </c>
      <c r="R37" s="408" t="n">
        <v>4.2</v>
      </c>
      <c r="S37" s="138" t="n">
        <v>0.2</v>
      </c>
      <c r="T37" s="456" t="n">
        <v>0</v>
      </c>
      <c r="U37" s="141" t="n">
        <v>252</v>
      </c>
      <c r="V37" s="141" t="n">
        <v>71</v>
      </c>
      <c r="W37" s="141" t="n">
        <f aca="false">M37-N37-O37-P37-Q37-R37-S37-T37+U37+V37-AQ37</f>
        <v>485.919603</v>
      </c>
      <c r="X37" s="115" t="n">
        <f aca="false">X36+AN37-AD37-(AO37/1.9835)</f>
        <v>17392.8164804681</v>
      </c>
      <c r="Y37" s="115" t="n">
        <f aca="false">Y36</f>
        <v>1648.6</v>
      </c>
      <c r="Z37" s="115"/>
      <c r="AA37" s="141" t="n">
        <v>215</v>
      </c>
      <c r="AB37" s="284" t="n">
        <v>1.7</v>
      </c>
      <c r="AC37" s="285" t="n">
        <v>1.3</v>
      </c>
      <c r="AD37" s="498" t="n">
        <v>297</v>
      </c>
      <c r="AE37" s="499" t="n">
        <f aca="false">AE36</f>
        <v>13402.823072851</v>
      </c>
      <c r="AF37" s="140" t="n">
        <f aca="false">N37+O37+P37+Q37+R37+S37+T37+W37+AA37+AD37</f>
        <v>1011</v>
      </c>
      <c r="AG37" s="141" t="n">
        <f aca="false">IF(L37&lt;0,L37*-1,0)</f>
        <v>0</v>
      </c>
      <c r="AH37" s="141" t="n">
        <f aca="false">AF37+AG37</f>
        <v>1011</v>
      </c>
      <c r="AI37" s="263" t="n">
        <v>0</v>
      </c>
      <c r="AJ37" s="264" t="n">
        <v>74</v>
      </c>
      <c r="AK37" s="265" t="n">
        <v>40</v>
      </c>
      <c r="AL37" s="264" t="n">
        <f aca="false">AL36</f>
        <v>10481.92122</v>
      </c>
      <c r="AM37" s="264"/>
      <c r="AN37" s="457" t="n">
        <f aca="false">795-W37</f>
        <v>309.080397</v>
      </c>
      <c r="AO37" s="258" t="n">
        <f aca="false">47.3*(X36*1.9835+AN37*1.9835+Y37*1.9835)/E37</f>
        <v>7.91427545918917</v>
      </c>
      <c r="AP37" s="266"/>
      <c r="AQ37" s="209"/>
    </row>
    <row r="38" customFormat="false" ht="12.95" hidden="false" customHeight="true" outlineLevel="0" collapsed="false">
      <c r="A38" s="186" t="n">
        <f aca="false">A37+1</f>
        <v>27</v>
      </c>
      <c r="B38" s="114" t="n">
        <v>6924.06</v>
      </c>
      <c r="C38" s="115" t="n">
        <v>381429</v>
      </c>
      <c r="D38" s="264" t="n">
        <f aca="false">C38-C37</f>
        <v>135</v>
      </c>
      <c r="E38" s="115" t="n">
        <f aca="false">C38-152000</f>
        <v>229429</v>
      </c>
      <c r="F38" s="141" t="n">
        <f aca="false">D38/$D$2</f>
        <v>68.0615074363499</v>
      </c>
      <c r="G38" s="256" t="n">
        <v>950</v>
      </c>
      <c r="H38" s="261" t="n">
        <v>1.7</v>
      </c>
      <c r="I38" s="141" t="n">
        <f aca="false">G38+H38</f>
        <v>951.7</v>
      </c>
      <c r="J38" s="261" t="n">
        <f aca="false">IF(L38&gt;0,L38,0)</f>
        <v>82.3615074363498</v>
      </c>
      <c r="K38" s="141" t="n">
        <f aca="false">I38+J38</f>
        <v>1034.06150743635</v>
      </c>
      <c r="L38" s="141" t="n">
        <f aca="false">F38-(I38-AF38)</f>
        <v>82.3615074363498</v>
      </c>
      <c r="M38" s="284" t="n">
        <v>235</v>
      </c>
      <c r="N38" s="258" t="n">
        <f aca="false">1.8299*1.03</f>
        <v>1.884797</v>
      </c>
      <c r="O38" s="141" t="n">
        <f aca="false">(17+19)*1.05</f>
        <v>37.8</v>
      </c>
      <c r="P38" s="258" t="n">
        <v>0</v>
      </c>
      <c r="Q38" s="408" t="n">
        <f aca="false">2.03*1.02</f>
        <v>2.0706</v>
      </c>
      <c r="R38" s="408" t="n">
        <v>4.2</v>
      </c>
      <c r="S38" s="138" t="n">
        <v>1.66</v>
      </c>
      <c r="T38" s="456" t="n">
        <v>0</v>
      </c>
      <c r="U38" s="141" t="n">
        <v>182</v>
      </c>
      <c r="V38" s="141" t="n">
        <v>72</v>
      </c>
      <c r="W38" s="141" t="n">
        <f aca="false">M38-N38-O38-P38-Q38-R38-S38-T38+U38+V38-AQ38</f>
        <v>441.384603</v>
      </c>
      <c r="X38" s="115" t="n">
        <f aca="false">X37+AN38-AD38-(AO38/1.9835)</f>
        <v>17445.4333201462</v>
      </c>
      <c r="Y38" s="115" t="n">
        <f aca="false">Y37</f>
        <v>1648.6</v>
      </c>
      <c r="Z38" s="115"/>
      <c r="AA38" s="141" t="n">
        <v>180</v>
      </c>
      <c r="AB38" s="284" t="n">
        <v>1.7</v>
      </c>
      <c r="AC38" s="285" t="n">
        <v>1.3</v>
      </c>
      <c r="AD38" s="498" t="n">
        <v>297</v>
      </c>
      <c r="AE38" s="499" t="n">
        <f aca="false">AE37</f>
        <v>13402.823072851</v>
      </c>
      <c r="AF38" s="140" t="n">
        <f aca="false">N38+O38+P38+Q38+R38+S38+T38+W38+AA38+AD38</f>
        <v>966</v>
      </c>
      <c r="AG38" s="141" t="n">
        <f aca="false">IF(L38&lt;0,L38*-1,0)</f>
        <v>0</v>
      </c>
      <c r="AH38" s="141" t="n">
        <f aca="false">AF38+AG38</f>
        <v>966</v>
      </c>
      <c r="AI38" s="263" t="n">
        <v>0</v>
      </c>
      <c r="AJ38" s="264" t="n">
        <v>75</v>
      </c>
      <c r="AK38" s="265" t="n">
        <v>42</v>
      </c>
      <c r="AL38" s="264" t="n">
        <f aca="false">AL37</f>
        <v>10481.92122</v>
      </c>
      <c r="AM38" s="264"/>
      <c r="AN38" s="457" t="n">
        <f aca="false">795-W38</f>
        <v>353.615397</v>
      </c>
      <c r="AO38" s="258" t="n">
        <f aca="false">47.3*(X37*1.9835+AN38*1.9835+Y38*1.9835)/E38</f>
        <v>7.93113844797176</v>
      </c>
      <c r="AP38" s="266"/>
      <c r="AQ38" s="209"/>
    </row>
    <row r="39" customFormat="false" ht="12.95" hidden="false" customHeight="true" outlineLevel="0" collapsed="false">
      <c r="A39" s="186" t="n">
        <v>28</v>
      </c>
      <c r="B39" s="114" t="n">
        <v>6924.1</v>
      </c>
      <c r="C39" s="115" t="n">
        <v>381608</v>
      </c>
      <c r="D39" s="264" t="n">
        <f aca="false">C39-C38</f>
        <v>179</v>
      </c>
      <c r="E39" s="115" t="n">
        <f aca="false">C39-152000</f>
        <v>229608</v>
      </c>
      <c r="F39" s="141" t="n">
        <f aca="false">D39/$D$2</f>
        <v>90.2445172674565</v>
      </c>
      <c r="G39" s="256" t="n">
        <v>1040</v>
      </c>
      <c r="H39" s="261" t="n">
        <v>1.4</v>
      </c>
      <c r="I39" s="141" t="n">
        <f aca="false">G39+H39</f>
        <v>1041.4</v>
      </c>
      <c r="J39" s="261" t="n">
        <f aca="false">IF(L39&gt;0,L39,0)</f>
        <v>91.8445172674564</v>
      </c>
      <c r="K39" s="141" t="n">
        <f aca="false">I39+J39</f>
        <v>1133.24451726746</v>
      </c>
      <c r="L39" s="141" t="n">
        <f aca="false">F39-(I39-AF39)</f>
        <v>91.8445172674564</v>
      </c>
      <c r="M39" s="284" t="n">
        <v>269</v>
      </c>
      <c r="N39" s="258" t="n">
        <f aca="false">1.8299*1.03</f>
        <v>1.884797</v>
      </c>
      <c r="O39" s="141" t="n">
        <f aca="false">(32+30)*1.05</f>
        <v>65.1</v>
      </c>
      <c r="P39" s="258" t="n">
        <v>0</v>
      </c>
      <c r="Q39" s="408" t="n">
        <f aca="false">2.03*1.02</f>
        <v>2.0706</v>
      </c>
      <c r="R39" s="408" t="n">
        <v>4.2</v>
      </c>
      <c r="S39" s="138" t="n">
        <v>3.36</v>
      </c>
      <c r="T39" s="456" t="n">
        <v>0</v>
      </c>
      <c r="U39" s="141" t="n">
        <v>181</v>
      </c>
      <c r="V39" s="141" t="n">
        <v>72</v>
      </c>
      <c r="W39" s="141" t="n">
        <f aca="false">M39-N39-O39-P39-Q39-R39-S39-T39+U39+V39-AQ39</f>
        <v>445.384603</v>
      </c>
      <c r="X39" s="115" t="n">
        <f aca="false">X38+AN39-AD39-(AO39/1.9835)</f>
        <v>17494.0432618297</v>
      </c>
      <c r="Y39" s="115" t="n">
        <f aca="false">Y38</f>
        <v>1648.6</v>
      </c>
      <c r="Z39" s="115"/>
      <c r="AA39" s="141" t="n">
        <v>224</v>
      </c>
      <c r="AB39" s="284" t="n">
        <v>1.7</v>
      </c>
      <c r="AC39" s="285" t="n">
        <v>1.3</v>
      </c>
      <c r="AD39" s="498" t="n">
        <v>297</v>
      </c>
      <c r="AE39" s="499" t="n">
        <f aca="false">AE38</f>
        <v>13402.823072851</v>
      </c>
      <c r="AF39" s="140" t="n">
        <f aca="false">N39+O39+P39+Q39+R39+S39+T39+W39+AA39+AD39</f>
        <v>1043</v>
      </c>
      <c r="AG39" s="141" t="n">
        <f aca="false">IF(L39&lt;0,L39*-1,0)</f>
        <v>0</v>
      </c>
      <c r="AH39" s="141" t="n">
        <f aca="false">AF39+AG39</f>
        <v>1043</v>
      </c>
      <c r="AI39" s="263" t="n">
        <v>0</v>
      </c>
      <c r="AJ39" s="264" t="n">
        <v>78</v>
      </c>
      <c r="AK39" s="265" t="n">
        <v>41</v>
      </c>
      <c r="AL39" s="264" t="n">
        <f aca="false">AL38</f>
        <v>10481.92122</v>
      </c>
      <c r="AM39" s="264"/>
      <c r="AN39" s="457" t="n">
        <f aca="false">795-W39</f>
        <v>349.615397</v>
      </c>
      <c r="AO39" s="258" t="n">
        <f aca="false">47.3*(X38*1.9835+AN39*1.9835+Y39*1.9835)/E39</f>
        <v>7.94482062036486</v>
      </c>
      <c r="AP39" s="266"/>
      <c r="AQ39" s="209"/>
    </row>
    <row r="40" customFormat="false" ht="12.95" hidden="false" customHeight="true" outlineLevel="0" collapsed="false">
      <c r="A40" s="186" t="n">
        <v>29</v>
      </c>
      <c r="B40" s="114" t="n">
        <v>6924.22</v>
      </c>
      <c r="C40" s="115" t="n">
        <v>382147</v>
      </c>
      <c r="D40" s="264" t="n">
        <f aca="false">C40-C39</f>
        <v>539</v>
      </c>
      <c r="E40" s="115" t="n">
        <f aca="false">C40-152000</f>
        <v>230147</v>
      </c>
      <c r="F40" s="141" t="n">
        <f aca="false">D40/$D$2</f>
        <v>271.741870431056</v>
      </c>
      <c r="G40" s="256" t="n">
        <v>1270</v>
      </c>
      <c r="H40" s="261" t="n">
        <v>1.2</v>
      </c>
      <c r="I40" s="141" t="n">
        <f aca="false">G40+H40</f>
        <v>1271.2</v>
      </c>
      <c r="J40" s="261" t="n">
        <f aca="false">IF(L40&gt;0,L40,0)</f>
        <v>59.5418704310562</v>
      </c>
      <c r="K40" s="141" t="n">
        <f aca="false">I40+J40</f>
        <v>1330.74187043106</v>
      </c>
      <c r="L40" s="141" t="n">
        <f aca="false">F40-(I40-AF40)</f>
        <v>59.5418704310562</v>
      </c>
      <c r="M40" s="284" t="n">
        <v>282</v>
      </c>
      <c r="N40" s="258" t="n">
        <f aca="false">1.8299*1.03</f>
        <v>1.884797</v>
      </c>
      <c r="O40" s="141" t="n">
        <f aca="false">(34+38)*1.05</f>
        <v>75.6</v>
      </c>
      <c r="P40" s="258" t="n">
        <v>0</v>
      </c>
      <c r="Q40" s="408" t="n">
        <f aca="false">2.03*1.02</f>
        <v>2.0706</v>
      </c>
      <c r="R40" s="408" t="n">
        <v>4.2</v>
      </c>
      <c r="S40" s="138" t="n">
        <v>3.92</v>
      </c>
      <c r="T40" s="456" t="n">
        <v>0</v>
      </c>
      <c r="U40" s="141" t="n">
        <v>168</v>
      </c>
      <c r="V40" s="141" t="n">
        <v>72</v>
      </c>
      <c r="W40" s="141" t="n">
        <f aca="false">M40-N40-O40-P40-Q40-R40-S40-T40+U40+V40-AQ40</f>
        <v>434.324603</v>
      </c>
      <c r="X40" s="115" t="n">
        <f aca="false">X39+AN40-AD40-(AO40/1.9835)</f>
        <v>17544.7103207998</v>
      </c>
      <c r="Y40" s="115" t="n">
        <f aca="false">Y39</f>
        <v>1648.6</v>
      </c>
      <c r="Z40" s="115"/>
      <c r="AA40" s="141" t="n">
        <v>231</v>
      </c>
      <c r="AB40" s="284" t="n">
        <v>1.7</v>
      </c>
      <c r="AC40" s="285" t="n">
        <v>1.3</v>
      </c>
      <c r="AD40" s="498" t="n">
        <v>306</v>
      </c>
      <c r="AE40" s="499" t="n">
        <f aca="false">AE39</f>
        <v>13402.823072851</v>
      </c>
      <c r="AF40" s="140" t="n">
        <f aca="false">N40+O40+P40+Q40+R40+S40+T40+W40+AA40+AD40</f>
        <v>1059</v>
      </c>
      <c r="AG40" s="141" t="n">
        <f aca="false">IF(L40&lt;0,L40*-1,0)</f>
        <v>0</v>
      </c>
      <c r="AH40" s="141" t="n">
        <f aca="false">AF40+AG40</f>
        <v>1059</v>
      </c>
      <c r="AI40" s="263" t="n">
        <v>0</v>
      </c>
      <c r="AJ40" s="264" t="n">
        <v>77</v>
      </c>
      <c r="AK40" s="265" t="n">
        <v>37</v>
      </c>
      <c r="AL40" s="264" t="n">
        <f aca="false">AL39</f>
        <v>10481.92122</v>
      </c>
      <c r="AM40" s="264"/>
      <c r="AN40" s="457" t="n">
        <f aca="false">795-W40</f>
        <v>360.675397</v>
      </c>
      <c r="AO40" s="258" t="n">
        <f aca="false">47.3*(X39*1.9835+AN40*1.9835+Y40*1.9835)/E40</f>
        <v>7.9505384822657</v>
      </c>
      <c r="AP40" s="266"/>
      <c r="AQ40" s="209"/>
    </row>
    <row r="41" customFormat="false" ht="12.95" hidden="false" customHeight="true" outlineLevel="0" collapsed="false">
      <c r="A41" s="186" t="n">
        <v>30</v>
      </c>
      <c r="B41" s="114" t="n">
        <v>6924.3</v>
      </c>
      <c r="C41" s="115" t="n">
        <v>382506</v>
      </c>
      <c r="D41" s="264" t="n">
        <f aca="false">C41-C40</f>
        <v>359</v>
      </c>
      <c r="E41" s="115" t="n">
        <f aca="false">C41-152000</f>
        <v>230506</v>
      </c>
      <c r="F41" s="141" t="n">
        <f aca="false">D41/$D$2</f>
        <v>180.993193849256</v>
      </c>
      <c r="G41" s="256" t="n">
        <v>1280</v>
      </c>
      <c r="H41" s="261" t="n">
        <v>0.94</v>
      </c>
      <c r="I41" s="141" t="n">
        <f aca="false">G41+H41</f>
        <v>1280.94</v>
      </c>
      <c r="J41" s="261" t="n">
        <f aca="false">IF(L41&gt;0,L41,0)</f>
        <v>188.053193849256</v>
      </c>
      <c r="K41" s="141" t="n">
        <f aca="false">I41+J41</f>
        <v>1468.99319384926</v>
      </c>
      <c r="L41" s="141" t="n">
        <f aca="false">F41-(I41-AF41)</f>
        <v>188.053193849256</v>
      </c>
      <c r="M41" s="284" t="n">
        <v>256</v>
      </c>
      <c r="N41" s="258" t="n">
        <f aca="false">1.8299*1.03</f>
        <v>1.884797</v>
      </c>
      <c r="O41" s="141" t="n">
        <f aca="false">(28+32)*1.05</f>
        <v>63</v>
      </c>
      <c r="P41" s="258" t="n">
        <v>0</v>
      </c>
      <c r="Q41" s="408" t="n">
        <f aca="false">2.03*1.02</f>
        <v>2.0706</v>
      </c>
      <c r="R41" s="408" t="n">
        <v>4.2</v>
      </c>
      <c r="S41" s="138" t="n">
        <v>2.22</v>
      </c>
      <c r="T41" s="456" t="n">
        <v>0</v>
      </c>
      <c r="U41" s="141" t="n">
        <v>158</v>
      </c>
      <c r="V41" s="141" t="n">
        <v>72</v>
      </c>
      <c r="W41" s="141" t="n">
        <f aca="false">M41-N41-O41-P41-Q41-R41-S41-T41+U41+V41-AQ41</f>
        <v>412.624603</v>
      </c>
      <c r="X41" s="115" t="n">
        <f aca="false">X40+AN41-AD41-(AO41/1.9835)</f>
        <v>17355.0687727552</v>
      </c>
      <c r="Y41" s="115" t="n">
        <f aca="false">Y40</f>
        <v>1648.6</v>
      </c>
      <c r="Z41" s="115"/>
      <c r="AA41" s="141" t="n">
        <v>234</v>
      </c>
      <c r="AB41" s="284" t="n">
        <v>1.7</v>
      </c>
      <c r="AC41" s="285" t="n">
        <v>1.3</v>
      </c>
      <c r="AD41" s="498" t="n">
        <v>568</v>
      </c>
      <c r="AE41" s="499" t="n">
        <f aca="false">AE40</f>
        <v>13402.823072851</v>
      </c>
      <c r="AF41" s="140" t="n">
        <f aca="false">N41+O41+P41+Q41+R41+S41+T41+W41+AA41+AD41</f>
        <v>1288</v>
      </c>
      <c r="AG41" s="141" t="n">
        <f aca="false">IF(L41&lt;0,L41*-1,0)</f>
        <v>0</v>
      </c>
      <c r="AH41" s="141" t="n">
        <f aca="false">AF41+AG41</f>
        <v>1288</v>
      </c>
      <c r="AI41" s="263" t="n">
        <v>0</v>
      </c>
      <c r="AJ41" s="264" t="n">
        <v>73</v>
      </c>
      <c r="AK41" s="265" t="n">
        <v>39</v>
      </c>
      <c r="AL41" s="264" t="n">
        <f aca="false">AL40</f>
        <v>10481.92122</v>
      </c>
      <c r="AM41" s="264"/>
      <c r="AN41" s="457" t="n">
        <f aca="false">795-W41</f>
        <v>382.375397</v>
      </c>
      <c r="AO41" s="258" t="n">
        <f aca="false">47.3*(X40*1.9835+AN41*1.9835+Y41*1.9835)/E41</f>
        <v>7.96761049597583</v>
      </c>
      <c r="AP41" s="266"/>
      <c r="AQ41" s="209"/>
    </row>
    <row r="42" customFormat="false" ht="12.95" hidden="false" customHeight="true" outlineLevel="0" collapsed="false">
      <c r="A42" s="186" t="n">
        <v>31</v>
      </c>
      <c r="B42" s="114" t="n">
        <v>6924.16</v>
      </c>
      <c r="C42" s="115" t="n">
        <v>381878</v>
      </c>
      <c r="D42" s="264" t="n">
        <f aca="false">C42-C41</f>
        <v>-628</v>
      </c>
      <c r="E42" s="115" t="n">
        <f aca="false">C42-152000</f>
        <v>229878</v>
      </c>
      <c r="F42" s="141" t="n">
        <f aca="false">D42/$D$2</f>
        <v>-316.612049407613</v>
      </c>
      <c r="G42" s="256" t="n">
        <v>1270</v>
      </c>
      <c r="H42" s="261" t="n">
        <v>0.81</v>
      </c>
      <c r="I42" s="141" t="n">
        <f aca="false">G42+H42</f>
        <v>1270.81</v>
      </c>
      <c r="J42" s="261" t="n">
        <f aca="false">IF(L42&gt;0,L42,0)</f>
        <v>0</v>
      </c>
      <c r="K42" s="141" t="n">
        <f aca="false">I42+J42</f>
        <v>1270.81</v>
      </c>
      <c r="L42" s="141" t="n">
        <f aca="false">F42-(I42-AF42)</f>
        <v>-134.422049407613</v>
      </c>
      <c r="M42" s="284" t="n">
        <v>274</v>
      </c>
      <c r="N42" s="258" t="n">
        <f aca="false">1.8299*1.03</f>
        <v>1.884797</v>
      </c>
      <c r="O42" s="141" t="n">
        <f aca="false">(34+35)*1.05</f>
        <v>72.45</v>
      </c>
      <c r="P42" s="258" t="n">
        <v>0</v>
      </c>
      <c r="Q42" s="408" t="n">
        <f aca="false">2.03*1.02</f>
        <v>2.0706</v>
      </c>
      <c r="R42" s="408" t="n">
        <v>4.2</v>
      </c>
      <c r="S42" s="138" t="n">
        <v>2.96</v>
      </c>
      <c r="T42" s="456" t="n">
        <v>0</v>
      </c>
      <c r="U42" s="141" t="n">
        <v>158</v>
      </c>
      <c r="V42" s="141" t="n">
        <v>72</v>
      </c>
      <c r="W42" s="141" t="n">
        <f aca="false">M42-N42-O42-P42-Q42-R42-S42-T42+U42+V42-AQ42</f>
        <v>420.434603</v>
      </c>
      <c r="X42" s="115" t="n">
        <f aca="false">X41+AN42-AD42-(AO42/1.9835)</f>
        <v>16996.6468787738</v>
      </c>
      <c r="Y42" s="115" t="n">
        <f aca="false">Y41</f>
        <v>1648.6</v>
      </c>
      <c r="Z42" s="115"/>
      <c r="AA42" s="141" t="n">
        <v>220</v>
      </c>
      <c r="AB42" s="284" t="n">
        <v>1.7</v>
      </c>
      <c r="AC42" s="285" t="n">
        <v>1.3</v>
      </c>
      <c r="AD42" s="498" t="n">
        <v>729</v>
      </c>
      <c r="AE42" s="499" t="n">
        <f aca="false">AE41</f>
        <v>13402.823072851</v>
      </c>
      <c r="AF42" s="140" t="n">
        <f aca="false">N42+O42+P42+Q42+R42+S42+T42+W42+AA42+AD42</f>
        <v>1453</v>
      </c>
      <c r="AG42" s="141" t="n">
        <f aca="false">IF(L42&lt;0,L42*-1,0)</f>
        <v>134.422049407613</v>
      </c>
      <c r="AH42" s="141" t="n">
        <f aca="false">AF42+AG42</f>
        <v>1587.42204940761</v>
      </c>
      <c r="AI42" s="263" t="n">
        <v>0</v>
      </c>
      <c r="AJ42" s="264" t="n">
        <v>81</v>
      </c>
      <c r="AK42" s="265" t="n">
        <v>33</v>
      </c>
      <c r="AL42" s="264" t="n">
        <f aca="false">AL41</f>
        <v>10481.92122</v>
      </c>
      <c r="AM42" s="264"/>
      <c r="AN42" s="457" t="n">
        <f aca="false">795-W42</f>
        <v>374.565397</v>
      </c>
      <c r="AO42" s="258" t="n">
        <f aca="false">47.3*(X41*1.9835+AN42*1.9835+Y42*1.9835)/E42</f>
        <v>7.9087916616686</v>
      </c>
      <c r="AP42" s="266"/>
      <c r="AQ42" s="209"/>
    </row>
    <row r="43" customFormat="false" ht="3" hidden="false" customHeight="true" outlineLevel="0" collapsed="false">
      <c r="A43" s="270"/>
      <c r="B43" s="287"/>
      <c r="C43" s="272"/>
      <c r="D43" s="273"/>
      <c r="E43" s="272"/>
      <c r="F43" s="273"/>
      <c r="G43" s="287"/>
      <c r="H43" s="278"/>
      <c r="I43" s="273"/>
      <c r="J43" s="273"/>
      <c r="K43" s="273"/>
      <c r="L43" s="273"/>
      <c r="M43" s="276"/>
      <c r="N43" s="275"/>
      <c r="O43" s="273"/>
      <c r="P43" s="275"/>
      <c r="Q43" s="273"/>
      <c r="R43" s="273"/>
      <c r="S43" s="273"/>
      <c r="T43" s="277"/>
      <c r="U43" s="273"/>
      <c r="V43" s="273"/>
      <c r="W43" s="273"/>
      <c r="X43" s="272"/>
      <c r="Y43" s="272"/>
      <c r="Z43" s="272"/>
      <c r="AA43" s="273"/>
      <c r="AB43" s="276"/>
      <c r="AC43" s="279"/>
      <c r="AD43" s="281"/>
      <c r="AE43" s="273"/>
      <c r="AF43" s="273"/>
      <c r="AG43" s="273"/>
      <c r="AH43" s="273"/>
      <c r="AI43" s="280"/>
      <c r="AJ43" s="281"/>
      <c r="AK43" s="282"/>
      <c r="AL43" s="281"/>
      <c r="AM43" s="281"/>
      <c r="AN43" s="281"/>
      <c r="AO43" s="275"/>
      <c r="AP43" s="275"/>
      <c r="AQ43" s="278"/>
    </row>
    <row r="44" customFormat="false" ht="12.95" hidden="false" customHeight="true" outlineLevel="0" collapsed="false">
      <c r="A44" s="187" t="s">
        <v>77</v>
      </c>
      <c r="B44" s="256"/>
      <c r="C44" s="115"/>
      <c r="D44" s="115"/>
      <c r="E44" s="115"/>
      <c r="F44" s="115" t="n">
        <f aca="false">SUM(F12:F42)</f>
        <v>19180.7411141921</v>
      </c>
      <c r="G44" s="494" t="n">
        <f aca="false">SUM(G12:G42)</f>
        <v>46699</v>
      </c>
      <c r="H44" s="261" t="n">
        <f aca="false">SUM(H12:H42)</f>
        <v>1078.75</v>
      </c>
      <c r="I44" s="115" t="n">
        <f aca="false">SUM(I12:I42)</f>
        <v>47777.75</v>
      </c>
      <c r="J44" s="115" t="n">
        <f aca="false">SUM(J12:J42)</f>
        <v>2326.54605999496</v>
      </c>
      <c r="K44" s="115" t="n">
        <f aca="false">SUM(K12:K42)</f>
        <v>50104.296059995</v>
      </c>
      <c r="L44" s="115" t="n">
        <f aca="false">SUM(L12:L42)</f>
        <v>1629.19111419208</v>
      </c>
      <c r="M44" s="259" t="n">
        <f aca="false">SUM(M12:M42)</f>
        <v>7468</v>
      </c>
      <c r="N44" s="261" t="n">
        <f aca="false">SUM(N12:N42)</f>
        <v>58.428707</v>
      </c>
      <c r="O44" s="115" t="n">
        <f aca="false">SUM(O12:O42)</f>
        <v>1524.819</v>
      </c>
      <c r="P44" s="258" t="n">
        <f aca="false">SUM(P12:P42)</f>
        <v>7.32</v>
      </c>
      <c r="Q44" s="115" t="n">
        <f aca="false">SUM(Q12:Q42)</f>
        <v>64.1886</v>
      </c>
      <c r="R44" s="115" t="n">
        <f aca="false">SUM(R12:R42)</f>
        <v>118.46</v>
      </c>
      <c r="S44" s="115" t="n">
        <f aca="false">SUM(S12:S42)</f>
        <v>36.96</v>
      </c>
      <c r="T44" s="262" t="n">
        <f aca="false">SUM(T12:T42)</f>
        <v>0</v>
      </c>
      <c r="U44" s="115" t="n">
        <f aca="false">SUM(U12:U42)</f>
        <v>4987</v>
      </c>
      <c r="V44" s="115" t="n">
        <f aca="false">SUM(V12:V42)</f>
        <v>2043</v>
      </c>
      <c r="W44" s="115" t="n">
        <f aca="false">SUM(W12:W42)</f>
        <v>12472.623693</v>
      </c>
      <c r="X44" s="115"/>
      <c r="Y44" s="115"/>
      <c r="Z44" s="115"/>
      <c r="AA44" s="115" t="n">
        <f aca="false">SUM(AA12:AA42)</f>
        <v>3685.8</v>
      </c>
      <c r="AB44" s="115" t="n">
        <f aca="false">SUM(AB12:AB42)</f>
        <v>52.7</v>
      </c>
      <c r="AC44" s="115" t="n">
        <f aca="false">SUM(AC12:AC42)</f>
        <v>40.3</v>
      </c>
      <c r="AD44" s="264" t="n">
        <f aca="false">SUM(AD12:AD42)</f>
        <v>12323</v>
      </c>
      <c r="AE44" s="115"/>
      <c r="AF44" s="115" t="n">
        <f aca="false">SUM(AF12:AF42)</f>
        <v>30226.2</v>
      </c>
      <c r="AG44" s="115" t="n">
        <f aca="false">SUM(AG12:AG42)</f>
        <v>697.354945802874</v>
      </c>
      <c r="AH44" s="115" t="n">
        <f aca="false">SUM(AH12:AH42)</f>
        <v>30923.5549458029</v>
      </c>
      <c r="AI44" s="263" t="n">
        <f aca="false">SUM(AI12:AI42)</f>
        <v>1.5</v>
      </c>
      <c r="AJ44" s="264" t="n">
        <f aca="false">AVERAGE(AJ12:AJ42)</f>
        <v>69.1290322580645</v>
      </c>
      <c r="AK44" s="265" t="n">
        <f aca="false">AVERAGE(AK12:AK42)</f>
        <v>38.9677419354839</v>
      </c>
      <c r="AL44" s="264" t="s">
        <v>108</v>
      </c>
      <c r="AM44" s="115" t="n">
        <f aca="false">SUM(AM12:AM42)</f>
        <v>0</v>
      </c>
      <c r="AN44" s="141"/>
      <c r="AO44" s="258"/>
      <c r="AP44" s="266" t="n">
        <f aca="false">SUM(AP12:AP42)</f>
        <v>0</v>
      </c>
      <c r="AQ44" s="261" t="n">
        <f aca="false">SUM(AQ12:AQ42)</f>
        <v>252.7</v>
      </c>
    </row>
    <row r="45" customFormat="false" ht="12.95" hidden="false" customHeight="true" outlineLevel="0" collapsed="false">
      <c r="A45" s="187" t="s">
        <v>79</v>
      </c>
      <c r="B45" s="256"/>
      <c r="C45" s="115"/>
      <c r="D45" s="115" t="n">
        <f aca="false">SUM(D12:D42)</f>
        <v>38045</v>
      </c>
      <c r="E45" s="115"/>
      <c r="F45" s="115" t="n">
        <f aca="false">F44*$D$2</f>
        <v>38045</v>
      </c>
      <c r="G45" s="494" t="n">
        <f aca="false">G44*$D$2</f>
        <v>92627.4665</v>
      </c>
      <c r="H45" s="261" t="n">
        <f aca="false">H44*$D$2</f>
        <v>2139.700625</v>
      </c>
      <c r="I45" s="115" t="n">
        <f aca="false">I44*$D$2</f>
        <v>94767.167125</v>
      </c>
      <c r="J45" s="115" t="n">
        <f aca="false">J44*$D$2</f>
        <v>4614.70411</v>
      </c>
      <c r="K45" s="115" t="n">
        <f aca="false">K44*$D$2</f>
        <v>99381.871235</v>
      </c>
      <c r="L45" s="115" t="n">
        <f aca="false">L44*$D$2</f>
        <v>3231.500575</v>
      </c>
      <c r="M45" s="259" t="n">
        <f aca="false">M44*$D$2</f>
        <v>14812.778</v>
      </c>
      <c r="N45" s="264" t="n">
        <f aca="false">N44*$D$2</f>
        <v>115.8933403345</v>
      </c>
      <c r="O45" s="115" t="n">
        <f aca="false">O44*$D$2</f>
        <v>3024.4784865</v>
      </c>
      <c r="P45" s="258" t="n">
        <f aca="false">P44*$D$2</f>
        <v>14.51922</v>
      </c>
      <c r="Q45" s="115" t="n">
        <f aca="false">Q44*$D$2</f>
        <v>127.3180881</v>
      </c>
      <c r="R45" s="115" t="n">
        <f aca="false">R44*$D$2</f>
        <v>234.96541</v>
      </c>
      <c r="S45" s="115" t="n">
        <f aca="false">S44*$D$2</f>
        <v>73.31016</v>
      </c>
      <c r="T45" s="262" t="n">
        <f aca="false">T44*$D$2</f>
        <v>0</v>
      </c>
      <c r="U45" s="115" t="n">
        <f aca="false">U44*$D$2</f>
        <v>9891.7145</v>
      </c>
      <c r="V45" s="115" t="n">
        <f aca="false">V44*$D$2</f>
        <v>4052.2905</v>
      </c>
      <c r="W45" s="115" t="n">
        <f aca="false">W44*$D$2</f>
        <v>24739.4490950655</v>
      </c>
      <c r="X45" s="115"/>
      <c r="Y45" s="115"/>
      <c r="Z45" s="115"/>
      <c r="AA45" s="115" t="n">
        <f aca="false">AA44*$D$2</f>
        <v>7310.7843</v>
      </c>
      <c r="AB45" s="115" t="n">
        <f aca="false">AB44*$D$2</f>
        <v>104.53045</v>
      </c>
      <c r="AC45" s="115" t="n">
        <f aca="false">AC44*$D$2</f>
        <v>79.93505</v>
      </c>
      <c r="AD45" s="264" t="n">
        <f aca="false">AD44*$D$2</f>
        <v>24442.6705</v>
      </c>
      <c r="AE45" s="115"/>
      <c r="AF45" s="410" t="n">
        <f aca="false">AF44*$D$2</f>
        <v>59953.6677</v>
      </c>
      <c r="AG45" s="115" t="n">
        <f aca="false">AG44*$D$2</f>
        <v>1383.203535</v>
      </c>
      <c r="AH45" s="115" t="n">
        <f aca="false">AH44*$D$2</f>
        <v>61336.871235</v>
      </c>
      <c r="AI45" s="263"/>
      <c r="AJ45" s="264" t="n">
        <f aca="false">MAX(AJ12:AJ42)</f>
        <v>81</v>
      </c>
      <c r="AK45" s="265" t="n">
        <f aca="false">MAX(AK12:AK42)</f>
        <v>47</v>
      </c>
      <c r="AL45" s="264" t="s">
        <v>80</v>
      </c>
      <c r="AM45" s="115" t="n">
        <f aca="false">AM44*$D$2</f>
        <v>0</v>
      </c>
      <c r="AN45" s="141"/>
      <c r="AO45" s="258" t="n">
        <f aca="false">SUM(AO12:AO42)</f>
        <v>280.362888415449</v>
      </c>
      <c r="AP45" s="115" t="n">
        <f aca="false">AP44*$D$2</f>
        <v>0</v>
      </c>
      <c r="AQ45" s="261" t="n">
        <f aca="false">AQ44*$D$2</f>
        <v>501.23045</v>
      </c>
    </row>
    <row r="46" customFormat="false" ht="3" hidden="false" customHeight="true" outlineLevel="0" collapsed="false">
      <c r="A46" s="290"/>
      <c r="B46" s="287"/>
      <c r="C46" s="272"/>
      <c r="D46" s="272"/>
      <c r="E46" s="272"/>
      <c r="F46" s="272"/>
      <c r="G46" s="294"/>
      <c r="H46" s="278"/>
      <c r="I46" s="272"/>
      <c r="J46" s="272"/>
      <c r="K46" s="272"/>
      <c r="L46" s="272"/>
      <c r="M46" s="292"/>
      <c r="N46" s="275"/>
      <c r="O46" s="272"/>
      <c r="P46" s="275"/>
      <c r="Q46" s="272"/>
      <c r="R46" s="272"/>
      <c r="S46" s="272"/>
      <c r="T46" s="293"/>
      <c r="U46" s="272"/>
      <c r="V46" s="272"/>
      <c r="W46" s="272"/>
      <c r="X46" s="272"/>
      <c r="Y46" s="272"/>
      <c r="Z46" s="272"/>
      <c r="AA46" s="272"/>
      <c r="AB46" s="272"/>
      <c r="AC46" s="272"/>
      <c r="AD46" s="281"/>
      <c r="AE46" s="273"/>
      <c r="AF46" s="272"/>
      <c r="AG46" s="272"/>
      <c r="AH46" s="272"/>
      <c r="AI46" s="272"/>
      <c r="AJ46" s="272"/>
      <c r="AK46" s="272"/>
      <c r="AL46" s="281"/>
      <c r="AM46" s="272"/>
      <c r="AN46" s="272"/>
      <c r="AO46" s="275"/>
      <c r="AP46" s="275"/>
      <c r="AQ46" s="278"/>
    </row>
    <row r="47" customFormat="false" ht="12.95" hidden="false" customHeight="true" outlineLevel="0" collapsed="false">
      <c r="A47" s="187" t="s">
        <v>81</v>
      </c>
      <c r="B47" s="256"/>
      <c r="C47" s="115"/>
      <c r="D47" s="115"/>
      <c r="E47" s="115"/>
      <c r="F47" s="115" t="n">
        <f aca="false">F9+F44</f>
        <v>36344.8449710108</v>
      </c>
      <c r="G47" s="494" t="n">
        <f aca="false">G9+G44</f>
        <v>65343</v>
      </c>
      <c r="H47" s="261" t="n">
        <f aca="false">H9+H44</f>
        <v>2013.75</v>
      </c>
      <c r="I47" s="115" t="n">
        <f aca="false">I9+I44</f>
        <v>67356.75</v>
      </c>
      <c r="J47" s="115" t="n">
        <f aca="false">J9+J44</f>
        <v>5594.45991681371</v>
      </c>
      <c r="K47" s="115" t="n">
        <f aca="false">K9+K44</f>
        <v>72951.2099168137</v>
      </c>
      <c r="L47" s="115" t="n">
        <f aca="false">L9+L44</f>
        <v>4897.10497101084</v>
      </c>
      <c r="M47" s="259" t="n">
        <f aca="false">M9+M44</f>
        <v>10658.3</v>
      </c>
      <c r="N47" s="264" t="n">
        <f aca="false">N9+N44</f>
        <v>114.972617</v>
      </c>
      <c r="O47" s="115" t="n">
        <f aca="false">O9+O44</f>
        <v>3589.7345</v>
      </c>
      <c r="P47" s="258" t="n">
        <f aca="false">P9+P44</f>
        <v>7.32</v>
      </c>
      <c r="Q47" s="115"/>
      <c r="R47" s="115"/>
      <c r="S47" s="115"/>
      <c r="T47" s="262"/>
      <c r="U47" s="115" t="n">
        <f aca="false">U9+U44</f>
        <v>5457</v>
      </c>
      <c r="V47" s="115" t="n">
        <f aca="false">V9+V44</f>
        <v>2437.8</v>
      </c>
      <c r="W47" s="115" t="n">
        <f aca="false">W9+W44</f>
        <v>14039.282283</v>
      </c>
      <c r="X47" s="115" t="n">
        <f aca="false">X42</f>
        <v>16996.6468787738</v>
      </c>
      <c r="Y47" s="115" t="n">
        <f aca="false">Y42+Y44</f>
        <v>1648.6</v>
      </c>
      <c r="Z47" s="115"/>
      <c r="AA47" s="115" t="n">
        <f aca="false">AA9+AA44</f>
        <v>3818.9</v>
      </c>
      <c r="AB47" s="115" t="n">
        <f aca="false">AB9+AB44</f>
        <v>103.7</v>
      </c>
      <c r="AC47" s="115" t="n">
        <f aca="false">AC9+AC44</f>
        <v>79.3</v>
      </c>
      <c r="AD47" s="264"/>
      <c r="AE47" s="115"/>
      <c r="AF47" s="115" t="n">
        <f aca="false">AF9+AF44</f>
        <v>35909.01</v>
      </c>
      <c r="AG47" s="115" t="n">
        <f aca="false">AG9+AG44</f>
        <v>697.354945802874</v>
      </c>
      <c r="AH47" s="115" t="n">
        <f aca="false">AH9+AH44</f>
        <v>36606.3649458029</v>
      </c>
      <c r="AI47" s="263"/>
      <c r="AJ47" s="264" t="n">
        <f aca="false">MIN(AJ12:AJ42)</f>
        <v>42</v>
      </c>
      <c r="AK47" s="265" t="n">
        <f aca="false">MIN(AK12:AK42)</f>
        <v>31</v>
      </c>
      <c r="AL47" s="264" t="s">
        <v>82</v>
      </c>
      <c r="AM47" s="264"/>
      <c r="AN47" s="141"/>
      <c r="AO47" s="258"/>
      <c r="AP47" s="115" t="n">
        <f aca="false">AP9+AP44</f>
        <v>0</v>
      </c>
      <c r="AQ47" s="261" t="n">
        <f aca="false">AQ9+AQ44</f>
        <v>252.7</v>
      </c>
    </row>
    <row r="48" customFormat="false" ht="12.95" hidden="false" customHeight="true" outlineLevel="0" collapsed="false">
      <c r="A48" s="187" t="s">
        <v>83</v>
      </c>
      <c r="B48" s="256"/>
      <c r="C48" s="115"/>
      <c r="D48" s="115"/>
      <c r="E48" s="115"/>
      <c r="F48" s="115" t="n">
        <f aca="false">F47*$D$2</f>
        <v>72090</v>
      </c>
      <c r="G48" s="494" t="n">
        <f aca="false">G47*$D$2</f>
        <v>129607.8405</v>
      </c>
      <c r="H48" s="261" t="n">
        <f aca="false">H47*$D$2</f>
        <v>3994.273125</v>
      </c>
      <c r="I48" s="115" t="n">
        <f aca="false">I47*$D$2</f>
        <v>133602.113625</v>
      </c>
      <c r="J48" s="115" t="n">
        <f aca="false">J47*$D$2</f>
        <v>11096.611245</v>
      </c>
      <c r="K48" s="115" t="n">
        <f aca="false">K47*$D$2</f>
        <v>144698.72487</v>
      </c>
      <c r="L48" s="115" t="n">
        <f aca="false">L47*$D$2</f>
        <v>9713.40771</v>
      </c>
      <c r="M48" s="259" t="n">
        <f aca="false">M47*$D$2</f>
        <v>21140.73805</v>
      </c>
      <c r="N48" s="264" t="n">
        <f aca="false">N47*$D$2</f>
        <v>228.0481858195</v>
      </c>
      <c r="O48" s="115" t="n">
        <f aca="false">O47*$D$2</f>
        <v>7120.23838075</v>
      </c>
      <c r="P48" s="258" t="n">
        <f aca="false">P47*$D$2</f>
        <v>14.51922</v>
      </c>
      <c r="Q48" s="115"/>
      <c r="R48" s="115"/>
      <c r="S48" s="115"/>
      <c r="T48" s="262"/>
      <c r="U48" s="115" t="n">
        <f aca="false">U47*$D$2</f>
        <v>10823.9595</v>
      </c>
      <c r="V48" s="115" t="n">
        <f aca="false">V47*$D$2</f>
        <v>4835.3763</v>
      </c>
      <c r="W48" s="115" t="n">
        <f aca="false">W47*$D$2</f>
        <v>27846.9164083305</v>
      </c>
      <c r="X48" s="115" t="n">
        <f aca="false">X47*$D$2</f>
        <v>33712.8490840478</v>
      </c>
      <c r="Y48" s="115" t="n">
        <f aca="false">Y47*$D$2</f>
        <v>3269.9981</v>
      </c>
      <c r="Z48" s="115"/>
      <c r="AA48" s="115" t="n">
        <f aca="false">AA47*$D$2</f>
        <v>7574.78815</v>
      </c>
      <c r="AB48" s="115" t="n">
        <f aca="false">AB47*$D$2</f>
        <v>205.68895</v>
      </c>
      <c r="AC48" s="115" t="n">
        <f aca="false">AC47*$D$2</f>
        <v>157.29155</v>
      </c>
      <c r="AD48" s="264"/>
      <c r="AE48" s="115"/>
      <c r="AF48" s="115" t="n">
        <f aca="false">AF47*$D$2</f>
        <v>71225.521335</v>
      </c>
      <c r="AG48" s="115" t="n">
        <f aca="false">AG47*$D$2</f>
        <v>1383.203535</v>
      </c>
      <c r="AH48" s="115" t="n">
        <f aca="false">AH47*$D$2</f>
        <v>72608.72487</v>
      </c>
      <c r="AI48" s="263"/>
      <c r="AJ48" s="264"/>
      <c r="AK48" s="265"/>
      <c r="AL48" s="264"/>
      <c r="AM48" s="264"/>
      <c r="AN48" s="141"/>
      <c r="AO48" s="258" t="n">
        <f aca="false">AO9+AO45</f>
        <v>384.051693021747</v>
      </c>
      <c r="AP48" s="115" t="n">
        <f aca="false">AP47*$D$2</f>
        <v>0</v>
      </c>
      <c r="AQ48" s="261" t="n">
        <f aca="false">AQ47*$D$2</f>
        <v>501.23045</v>
      </c>
    </row>
    <row r="49" customFormat="false" ht="3" hidden="false" customHeight="true" outlineLevel="0" collapsed="false">
      <c r="A49" s="290"/>
      <c r="B49" s="287"/>
      <c r="C49" s="272"/>
      <c r="D49" s="272"/>
      <c r="E49" s="272"/>
      <c r="F49" s="272"/>
      <c r="G49" s="294"/>
      <c r="H49" s="278"/>
      <c r="I49" s="272"/>
      <c r="J49" s="272"/>
      <c r="K49" s="272"/>
      <c r="L49" s="272"/>
      <c r="M49" s="292"/>
      <c r="N49" s="278"/>
      <c r="O49" s="272"/>
      <c r="P49" s="275"/>
      <c r="Q49" s="272"/>
      <c r="R49" s="272"/>
      <c r="S49" s="272"/>
      <c r="T49" s="293"/>
      <c r="U49" s="272"/>
      <c r="V49" s="272"/>
      <c r="W49" s="272"/>
      <c r="X49" s="272"/>
      <c r="Y49" s="272"/>
      <c r="Z49" s="272"/>
      <c r="AA49" s="272"/>
      <c r="AB49" s="292"/>
      <c r="AC49" s="293"/>
      <c r="AD49" s="281"/>
      <c r="AE49" s="272"/>
      <c r="AF49" s="272"/>
      <c r="AG49" s="272"/>
      <c r="AH49" s="272"/>
      <c r="AI49" s="280"/>
      <c r="AJ49" s="501"/>
      <c r="AK49" s="295"/>
      <c r="AL49" s="389"/>
      <c r="AM49" s="295"/>
      <c r="AN49" s="295"/>
      <c r="AO49" s="275"/>
      <c r="AP49" s="275"/>
      <c r="AQ49" s="278"/>
    </row>
    <row r="50" customFormat="false" ht="12.95" hidden="false" customHeight="true" outlineLevel="0" collapsed="false">
      <c r="A50" s="187" t="s">
        <v>84</v>
      </c>
      <c r="B50" s="256"/>
      <c r="C50" s="115"/>
      <c r="D50" s="115"/>
      <c r="E50" s="115"/>
      <c r="F50" s="115" t="n">
        <f aca="false">F10+F44</f>
        <v>55940.0050415931</v>
      </c>
      <c r="G50" s="494" t="n">
        <f aca="false">G10+G44</f>
        <v>87964</v>
      </c>
      <c r="H50" s="261" t="n">
        <f aca="false">H10+H44</f>
        <v>3501.33</v>
      </c>
      <c r="I50" s="115" t="n">
        <f aca="false">I10+I44</f>
        <v>91465.33</v>
      </c>
      <c r="J50" s="115" t="n">
        <f aca="false">J10+J44</f>
        <v>12683.3941996471</v>
      </c>
      <c r="K50" s="115" t="n">
        <f aca="false">K10+K44</f>
        <v>104148.724199647</v>
      </c>
      <c r="L50" s="115" t="n">
        <f aca="false">L10+L44</f>
        <v>10645.1850415931</v>
      </c>
      <c r="M50" s="259" t="n">
        <f aca="false">M10+M44</f>
        <v>11654.7</v>
      </c>
      <c r="N50" s="264" t="n">
        <f aca="false">N10+N44</f>
        <v>114.972617</v>
      </c>
      <c r="O50" s="115" t="n">
        <f aca="false">O10+O44</f>
        <v>3589.7345</v>
      </c>
      <c r="P50" s="408" t="n">
        <f aca="false">P10+P44</f>
        <v>7.32</v>
      </c>
      <c r="Q50" s="115" t="n">
        <f aca="false">Q10+Q44</f>
        <v>346.8306</v>
      </c>
      <c r="R50" s="115" t="n">
        <f aca="false">R10+R44</f>
        <v>639.833</v>
      </c>
      <c r="S50" s="115" t="n">
        <f aca="false">S10+S44</f>
        <v>44.48</v>
      </c>
      <c r="T50" s="262" t="n">
        <f aca="false">T10+T44</f>
        <v>-61.236</v>
      </c>
      <c r="U50" s="115" t="n">
        <f aca="false">U10+U44</f>
        <v>10832</v>
      </c>
      <c r="V50" s="115" t="n">
        <f aca="false">V10+V44</f>
        <v>2563.9</v>
      </c>
      <c r="W50" s="115" t="n">
        <f aca="false">W10+W44</f>
        <v>19676.297883</v>
      </c>
      <c r="X50" s="115"/>
      <c r="Y50" s="115"/>
      <c r="Z50" s="115"/>
      <c r="AA50" s="115"/>
      <c r="AB50" s="259"/>
      <c r="AC50" s="262"/>
      <c r="AD50" s="264" t="n">
        <f aca="false">AD10+AD44</f>
        <v>17581.61</v>
      </c>
      <c r="AE50" s="115" t="n">
        <f aca="false">AE42</f>
        <v>13402.823072851</v>
      </c>
      <c r="AF50" s="115" t="n">
        <f aca="false">AF10+AF44</f>
        <v>46170.51</v>
      </c>
      <c r="AG50" s="115" t="n">
        <f aca="false">AG10+AG44</f>
        <v>2038.20915805395</v>
      </c>
      <c r="AH50" s="115" t="n">
        <f aca="false">AH10+AH44</f>
        <v>48208.7191580539</v>
      </c>
      <c r="AI50" s="263" t="n">
        <f aca="false">AI10+AI44</f>
        <v>6.79</v>
      </c>
      <c r="AJ50" s="264"/>
      <c r="AK50" s="265"/>
      <c r="AL50" s="264"/>
      <c r="AM50" s="115" t="n">
        <f aca="false">AM10+AM44</f>
        <v>264.7472</v>
      </c>
      <c r="AN50" s="141"/>
      <c r="AO50" s="258"/>
      <c r="AP50" s="115" t="n">
        <f aca="false">AP10+AP44</f>
        <v>0</v>
      </c>
      <c r="AQ50" s="261"/>
    </row>
    <row r="51" customFormat="false" ht="12.95" hidden="false" customHeight="true" outlineLevel="0" collapsed="false">
      <c r="A51" s="187" t="s">
        <v>85</v>
      </c>
      <c r="B51" s="256"/>
      <c r="C51" s="115"/>
      <c r="D51" s="115" t="n">
        <f aca="false">D10+D45</f>
        <v>110957</v>
      </c>
      <c r="E51" s="115" t="n">
        <f aca="false">E42</f>
        <v>229878</v>
      </c>
      <c r="F51" s="115" t="n">
        <f aca="false">F50*$D$2</f>
        <v>110957</v>
      </c>
      <c r="G51" s="494" t="n">
        <f aca="false">G50*$D$2</f>
        <v>174476.594</v>
      </c>
      <c r="H51" s="261" t="n">
        <f aca="false">H50*$D$2</f>
        <v>6944.888055</v>
      </c>
      <c r="I51" s="115" t="n">
        <f aca="false">I50*$D$2</f>
        <v>181421.482055</v>
      </c>
      <c r="J51" s="115" t="n">
        <f aca="false">J50*$D$2</f>
        <v>25157.512395</v>
      </c>
      <c r="K51" s="115" t="n">
        <f aca="false">K50*$D$2</f>
        <v>206578.99445</v>
      </c>
      <c r="L51" s="115" t="n">
        <f aca="false">L50*$D$2</f>
        <v>21114.72453</v>
      </c>
      <c r="M51" s="259" t="n">
        <f aca="false">M50*$D$2</f>
        <v>23117.09745</v>
      </c>
      <c r="N51" s="264" t="n">
        <f aca="false">N50*$D$2</f>
        <v>228.0481858195</v>
      </c>
      <c r="O51" s="115" t="n">
        <f aca="false">O50*$D$2</f>
        <v>7120.23838075</v>
      </c>
      <c r="P51" s="408" t="n">
        <f aca="false">P50*$D$2</f>
        <v>14.51922</v>
      </c>
      <c r="Q51" s="115" t="n">
        <f aca="false">Q50*$D$2</f>
        <v>687.9384951</v>
      </c>
      <c r="R51" s="115" t="n">
        <f aca="false">R50*$D$2</f>
        <v>1269.1087555</v>
      </c>
      <c r="S51" s="115" t="n">
        <f aca="false">S50*$D$2</f>
        <v>88.22608</v>
      </c>
      <c r="T51" s="262" t="n">
        <f aca="false">T50*$D$2</f>
        <v>-121.461606</v>
      </c>
      <c r="U51" s="115" t="n">
        <f aca="false">U50*$D$2</f>
        <v>21485.272</v>
      </c>
      <c r="V51" s="115" t="n">
        <f aca="false">V50*$D$2</f>
        <v>5085.49565</v>
      </c>
      <c r="W51" s="115" t="n">
        <f aca="false">W50*$D$2</f>
        <v>39027.9368509305</v>
      </c>
      <c r="X51" s="115"/>
      <c r="Y51" s="115"/>
      <c r="Z51" s="115"/>
      <c r="AA51" s="115"/>
      <c r="AB51" s="297"/>
      <c r="AC51" s="298"/>
      <c r="AD51" s="264" t="n">
        <f aca="false">AD50*$D$2</f>
        <v>34873.123435</v>
      </c>
      <c r="AE51" s="115" t="n">
        <f aca="false">AE50*$D$2</f>
        <v>26584.499565</v>
      </c>
      <c r="AF51" s="115" t="n">
        <f aca="false">AF50*$D$2</f>
        <v>91579.206585</v>
      </c>
      <c r="AG51" s="115" t="n">
        <f aca="false">AG50*$D$2</f>
        <v>4042.787865</v>
      </c>
      <c r="AH51" s="115" t="n">
        <f aca="false">AH50*$D$2</f>
        <v>95621.99445</v>
      </c>
      <c r="AI51" s="263"/>
      <c r="AJ51" s="264"/>
      <c r="AK51" s="265"/>
      <c r="AL51" s="264" t="n">
        <f aca="false">AL42</f>
        <v>10481.92122</v>
      </c>
      <c r="AM51" s="115" t="n">
        <f aca="false">AM50*$D$2</f>
        <v>525.1260712</v>
      </c>
      <c r="AN51" s="141"/>
      <c r="AO51" s="258" t="n">
        <f aca="false">AO10+AO45</f>
        <v>384.051693021747</v>
      </c>
      <c r="AP51" s="115" t="n">
        <f aca="false">AP50*$D$2</f>
        <v>0</v>
      </c>
      <c r="AQ51" s="261"/>
    </row>
    <row r="52" customFormat="false" ht="3" hidden="false" customHeight="true" outlineLevel="0" collapsed="false">
      <c r="A52" s="270"/>
      <c r="B52" s="287"/>
      <c r="C52" s="272"/>
      <c r="D52" s="273"/>
      <c r="E52" s="272"/>
      <c r="F52" s="502"/>
      <c r="G52" s="503"/>
      <c r="H52" s="504"/>
      <c r="I52" s="273"/>
      <c r="J52" s="273"/>
      <c r="K52" s="273"/>
      <c r="L52" s="273"/>
      <c r="M52" s="276"/>
      <c r="N52" s="275"/>
      <c r="O52" s="273"/>
      <c r="P52" s="275"/>
      <c r="Q52" s="273"/>
      <c r="R52" s="273"/>
      <c r="S52" s="273"/>
      <c r="T52" s="277"/>
      <c r="U52" s="273"/>
      <c r="V52" s="273"/>
      <c r="W52" s="273"/>
      <c r="X52" s="272"/>
      <c r="Y52" s="272"/>
      <c r="Z52" s="272"/>
      <c r="AA52" s="273"/>
      <c r="AB52" s="276"/>
      <c r="AC52" s="279"/>
      <c r="AD52" s="281"/>
      <c r="AE52" s="272"/>
      <c r="AF52" s="273"/>
      <c r="AG52" s="273"/>
      <c r="AH52" s="273"/>
      <c r="AI52" s="273"/>
      <c r="AJ52" s="273"/>
      <c r="AK52" s="273"/>
      <c r="AL52" s="281"/>
      <c r="AM52" s="273"/>
      <c r="AN52" s="273"/>
      <c r="AO52" s="275"/>
      <c r="AP52" s="275"/>
      <c r="AQ52" s="278"/>
    </row>
    <row r="53" customFormat="false" ht="11.1" hidden="false" customHeight="true" outlineLevel="0" collapsed="false">
      <c r="A53" s="505"/>
      <c r="B53" s="299"/>
      <c r="C53" s="180"/>
      <c r="D53" s="179"/>
      <c r="E53" s="180"/>
      <c r="F53" s="506"/>
      <c r="G53" s="506"/>
      <c r="H53" s="507"/>
      <c r="I53" s="179"/>
      <c r="J53" s="179"/>
      <c r="K53" s="179"/>
      <c r="L53" s="179"/>
      <c r="M53" s="179"/>
      <c r="N53" s="181"/>
      <c r="O53" s="179"/>
      <c r="P53" s="181"/>
      <c r="Q53" s="179"/>
      <c r="R53" s="179"/>
      <c r="S53" s="179"/>
      <c r="T53" s="181"/>
      <c r="U53" s="179"/>
      <c r="V53" s="179"/>
      <c r="W53" s="179"/>
      <c r="X53" s="180"/>
      <c r="Y53" s="180"/>
      <c r="Z53" s="180"/>
      <c r="AA53" s="179"/>
      <c r="AB53" s="179"/>
      <c r="AC53" s="179"/>
      <c r="AD53" s="185"/>
      <c r="AE53" s="180"/>
      <c r="AF53" s="179"/>
      <c r="AG53" s="179"/>
      <c r="AH53" s="179"/>
      <c r="AI53" s="184"/>
      <c r="AJ53" s="185"/>
      <c r="AK53" s="185"/>
      <c r="AL53" s="186"/>
      <c r="AM53" s="186"/>
      <c r="AN53" s="306"/>
      <c r="AO53" s="508"/>
    </row>
    <row r="54" customFormat="false" ht="11.1" hidden="false" customHeight="true" outlineLevel="0" collapsed="false">
      <c r="A54" s="179"/>
      <c r="B54" s="180"/>
      <c r="E54" s="509"/>
      <c r="F54" s="510"/>
      <c r="G54" s="511"/>
      <c r="H54" s="183"/>
      <c r="I54" s="512"/>
      <c r="J54" s="179"/>
      <c r="K54" s="169"/>
      <c r="L54" s="179"/>
      <c r="M54" s="179"/>
      <c r="N54" s="181"/>
      <c r="O54" s="33"/>
      <c r="P54" s="415"/>
      <c r="Q54" s="33"/>
      <c r="R54" s="33"/>
      <c r="S54" s="179"/>
      <c r="T54" s="181"/>
      <c r="U54" s="179"/>
      <c r="V54" s="180"/>
      <c r="W54" s="33"/>
      <c r="X54" s="180"/>
      <c r="Y54" s="180"/>
      <c r="Z54" s="180"/>
      <c r="AA54" s="180"/>
      <c r="AB54" s="180"/>
      <c r="AC54" s="180"/>
      <c r="AD54" s="185"/>
      <c r="AE54" s="513"/>
      <c r="AF54" s="179"/>
      <c r="AG54" s="179"/>
      <c r="AH54" s="181"/>
      <c r="AI54" s="184"/>
      <c r="AJ54" s="185"/>
      <c r="AK54" s="186"/>
      <c r="AL54" s="363"/>
      <c r="AM54" s="306"/>
      <c r="AN54" s="306"/>
    </row>
    <row r="56" customFormat="false" ht="11.1" hidden="false" customHeight="true" outlineLevel="0" collapsed="false">
      <c r="A56" s="301"/>
      <c r="B56" s="181"/>
      <c r="C56" s="180"/>
      <c r="D56" s="180"/>
      <c r="F56" s="514"/>
      <c r="G56" s="301"/>
      <c r="I56" s="301"/>
      <c r="J56" s="301"/>
      <c r="K56" s="301"/>
      <c r="L56" s="301"/>
      <c r="M56" s="183"/>
      <c r="N56" s="181"/>
      <c r="O56" s="183"/>
      <c r="P56" s="181"/>
      <c r="Q56" s="183"/>
      <c r="R56" s="183"/>
      <c r="S56" s="301"/>
      <c r="T56" s="181"/>
      <c r="U56" s="301"/>
      <c r="V56" s="301"/>
      <c r="W56" s="180"/>
      <c r="X56" s="301"/>
      <c r="Y56" s="301"/>
      <c r="Z56" s="301"/>
      <c r="AA56" s="180"/>
      <c r="AB56" s="180"/>
      <c r="AC56" s="180"/>
      <c r="AD56" s="185"/>
      <c r="AE56" s="301"/>
      <c r="AF56" s="301"/>
      <c r="AG56" s="301"/>
      <c r="AH56" s="181"/>
      <c r="AI56" s="184"/>
      <c r="AJ56" s="185"/>
      <c r="AK56" s="186"/>
      <c r="AL56" s="363"/>
      <c r="AM56" s="361"/>
      <c r="AN56" s="361"/>
    </row>
    <row r="57" customFormat="false" ht="11.1" hidden="false" customHeight="true" outlineLevel="0" collapsed="false">
      <c r="A57" s="301"/>
      <c r="B57" s="0"/>
      <c r="C57" s="180"/>
      <c r="D57" s="0"/>
      <c r="E57" s="180"/>
      <c r="F57" s="301"/>
      <c r="G57" s="515"/>
      <c r="H57" s="516"/>
      <c r="I57" s="517"/>
      <c r="J57" s="301"/>
      <c r="K57" s="301"/>
      <c r="L57" s="301"/>
      <c r="M57" s="183"/>
      <c r="N57" s="181"/>
      <c r="O57" s="183"/>
      <c r="P57" s="181"/>
      <c r="Q57" s="183"/>
      <c r="R57" s="183"/>
      <c r="S57" s="301"/>
      <c r="T57" s="181"/>
      <c r="U57" s="301"/>
      <c r="V57" s="301"/>
      <c r="W57" s="180"/>
      <c r="X57" s="301"/>
      <c r="Y57" s="301"/>
      <c r="Z57" s="301"/>
      <c r="AA57" s="301"/>
      <c r="AB57" s="301"/>
      <c r="AC57" s="301"/>
      <c r="AD57" s="185"/>
      <c r="AE57" s="301"/>
      <c r="AF57" s="301"/>
      <c r="AG57" s="301"/>
      <c r="AH57" s="181"/>
      <c r="AI57" s="184"/>
      <c r="AJ57" s="185"/>
      <c r="AK57" s="186"/>
      <c r="AL57" s="363"/>
      <c r="AM57" s="361"/>
      <c r="AN57" s="361"/>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6"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1" man="true" max="16383" min="0"/>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M43" activeCellId="0" sqref="M43"/>
    </sheetView>
  </sheetViews>
  <sheetFormatPr defaultColWidth="9.2890625" defaultRowHeight="11.1" zeroHeight="false" outlineLevelRow="0" outlineLevelCol="0"/>
  <cols>
    <col collapsed="false" customWidth="true" hidden="false" outlineLevel="0" max="1" min="1" style="0" width="4.66"/>
    <col collapsed="false" customWidth="true" hidden="false" outlineLevel="0" max="2" min="2" style="0" width="6.99"/>
    <col collapsed="false" customWidth="true" hidden="false" outlineLevel="0" max="3" min="3" style="1" width="6.82"/>
    <col collapsed="false" customWidth="true" hidden="false" outlineLevel="0" max="4" min="4" style="0" width="6.82"/>
    <col collapsed="false" customWidth="true" hidden="false" outlineLevel="0" max="5" min="5" style="1" width="6.99"/>
    <col collapsed="false" customWidth="true" hidden="false" outlineLevel="0" max="6" min="6" style="0" width="7.32"/>
    <col collapsed="false" customWidth="true" hidden="false" outlineLevel="0" max="7" min="7" style="0" width="6.82"/>
    <col collapsed="false" customWidth="true" hidden="false" outlineLevel="0" max="8" min="8" style="3" width="5.66"/>
    <col collapsed="false" customWidth="true" hidden="false" outlineLevel="0" max="11" min="9" style="0" width="6.32"/>
    <col collapsed="false" customWidth="true" hidden="false" outlineLevel="0" max="12" min="12" style="0" width="7.16"/>
    <col collapsed="false" customWidth="true" hidden="false" outlineLevel="0" max="13" min="13" style="3" width="5.49"/>
    <col collapsed="false" customWidth="true" hidden="false" outlineLevel="0" max="14" min="14" style="3" width="4.49"/>
    <col collapsed="false" customWidth="true" hidden="false" outlineLevel="0" max="15" min="15" style="3" width="5.49"/>
    <col collapsed="false" customWidth="true" hidden="false" outlineLevel="0" max="16" min="16" style="4" width="4.82"/>
    <col collapsed="false" customWidth="true" hidden="false" outlineLevel="0" max="18" min="17" style="3" width="4.32"/>
    <col collapsed="false" customWidth="true" hidden="false" outlineLevel="0" max="19" min="19" style="0" width="4.32"/>
    <col collapsed="false" customWidth="true" hidden="false" outlineLevel="0" max="20" min="20" style="4" width="5.49"/>
    <col collapsed="false" customWidth="true" hidden="false" outlineLevel="0" max="22" min="21" style="0" width="5.49"/>
    <col collapsed="false" customWidth="true" hidden="false" outlineLevel="0" max="23" min="23" style="1" width="6.32"/>
    <col collapsed="false" customWidth="true" hidden="false" outlineLevel="0" max="29" min="24" style="0" width="5.49"/>
    <col collapsed="false" customWidth="true" hidden="false" outlineLevel="0" max="30" min="30" style="1" width="6.66"/>
    <col collapsed="false" customWidth="true" hidden="false" outlineLevel="0" max="31" min="31" style="0" width="5.49"/>
    <col collapsed="false" customWidth="true" hidden="false" outlineLevel="0" max="32" min="32" style="0" width="6.32"/>
    <col collapsed="false" customWidth="true" hidden="false" outlineLevel="0" max="33" min="33" style="0" width="6.99"/>
    <col collapsed="false" customWidth="true" hidden="false" outlineLevel="0" max="34" min="34" style="4" width="6.99"/>
    <col collapsed="false" customWidth="true" hidden="false" outlineLevel="0" max="35" min="35" style="2" width="5.32"/>
    <col collapsed="false" customWidth="true" hidden="false" outlineLevel="0" max="36" min="36" style="6" width="3.82"/>
    <col collapsed="false" customWidth="true" hidden="false" outlineLevel="0" max="37" min="37" style="7" width="3.82"/>
    <col collapsed="false" customWidth="true" hidden="false" outlineLevel="0" max="39" min="38" style="0" width="5.49"/>
    <col collapsed="false" customWidth="true" hidden="false" outlineLevel="0" max="40" min="40" style="0" width="6.32"/>
    <col collapsed="false" customWidth="true" hidden="false" outlineLevel="0" max="41" min="41" style="394" width="6.32"/>
    <col collapsed="false" customWidth="true" hidden="false" outlineLevel="0" max="42" min="42" style="5" width="6.32"/>
    <col collapsed="false" customWidth="true" hidden="false" outlineLevel="0" max="43" min="43" style="0" width="6.49"/>
  </cols>
  <sheetData>
    <row r="1" customFormat="false" ht="14.1" hidden="false" customHeight="true" outlineLevel="0" collapsed="false">
      <c r="A1" s="10" t="s">
        <v>94</v>
      </c>
      <c r="B1" s="10"/>
      <c r="C1" s="11"/>
      <c r="D1" s="10"/>
      <c r="E1" s="11"/>
      <c r="F1" s="10"/>
      <c r="G1" s="10"/>
      <c r="H1" s="135"/>
      <c r="I1" s="10"/>
      <c r="J1" s="10"/>
      <c r="K1" s="13" t="s">
        <v>0</v>
      </c>
      <c r="L1" s="10"/>
      <c r="M1" s="10"/>
      <c r="N1" s="10"/>
      <c r="O1" s="135"/>
      <c r="P1" s="14"/>
      <c r="Q1" s="135"/>
      <c r="R1" s="135"/>
      <c r="S1" s="10"/>
      <c r="T1" s="14"/>
      <c r="U1" s="10"/>
      <c r="V1" s="10"/>
      <c r="W1" s="11"/>
      <c r="X1" s="10"/>
      <c r="Y1" s="10"/>
      <c r="Z1" s="10"/>
      <c r="AA1" s="10"/>
      <c r="AB1" s="10"/>
      <c r="AC1" s="10"/>
      <c r="AD1" s="11"/>
      <c r="AE1" s="10"/>
      <c r="AF1" s="10"/>
      <c r="AG1" s="10"/>
      <c r="AH1" s="14"/>
      <c r="AI1" s="16"/>
      <c r="AJ1" s="17"/>
      <c r="AK1" s="18"/>
      <c r="AL1" s="518"/>
      <c r="AM1" s="518"/>
      <c r="AN1" s="518"/>
    </row>
    <row r="2" customFormat="false" ht="14.1" hidden="false" customHeight="true" outlineLevel="0" collapsed="false">
      <c r="A2" s="19" t="s">
        <v>1</v>
      </c>
      <c r="B2" s="10"/>
      <c r="C2" s="11"/>
      <c r="D2" s="20" t="n">
        <v>1.9835</v>
      </c>
      <c r="E2" s="11"/>
      <c r="F2" s="10"/>
      <c r="G2" s="10"/>
      <c r="H2" s="135"/>
      <c r="I2" s="10"/>
      <c r="J2" s="10"/>
      <c r="K2" s="519" t="s">
        <v>112</v>
      </c>
      <c r="L2" s="519"/>
      <c r="M2" s="519"/>
      <c r="N2" s="519"/>
      <c r="O2" s="519"/>
      <c r="P2" s="519"/>
      <c r="Q2" s="519"/>
      <c r="R2" s="519"/>
      <c r="S2" s="519"/>
      <c r="T2" s="519"/>
      <c r="U2" s="519"/>
      <c r="V2" s="519"/>
      <c r="W2" s="519"/>
      <c r="X2" s="519"/>
      <c r="Y2" s="519"/>
      <c r="Z2" s="519"/>
      <c r="AA2" s="519"/>
      <c r="AB2" s="519"/>
      <c r="AC2" s="519"/>
      <c r="AD2" s="519"/>
      <c r="AE2" s="10"/>
      <c r="AF2" s="10"/>
      <c r="AG2" s="10"/>
      <c r="AH2" s="14"/>
      <c r="AI2" s="16"/>
      <c r="AJ2" s="17"/>
      <c r="AK2" s="18"/>
      <c r="AL2" s="518"/>
      <c r="AM2" s="518"/>
      <c r="AN2" s="518"/>
    </row>
    <row r="3" customFormat="false" ht="14.1" hidden="false" customHeight="true" outlineLevel="0" collapsed="false">
      <c r="A3" s="21"/>
      <c r="B3" s="21"/>
      <c r="C3" s="22"/>
      <c r="D3" s="23"/>
      <c r="E3" s="22"/>
      <c r="F3" s="21"/>
      <c r="G3" s="21"/>
      <c r="H3" s="520"/>
      <c r="I3" s="21"/>
      <c r="J3" s="21"/>
      <c r="K3" s="21"/>
      <c r="L3" s="21"/>
      <c r="M3" s="21"/>
      <c r="N3" s="21"/>
      <c r="O3" s="520"/>
      <c r="P3" s="25"/>
      <c r="Q3" s="520"/>
      <c r="R3" s="520"/>
      <c r="S3" s="21"/>
      <c r="T3" s="25"/>
      <c r="U3" s="21"/>
      <c r="V3" s="21"/>
      <c r="W3" s="22"/>
      <c r="X3" s="21"/>
      <c r="Y3" s="21"/>
      <c r="Z3" s="21"/>
      <c r="AA3" s="21"/>
      <c r="AB3" s="21"/>
      <c r="AC3" s="21"/>
      <c r="AD3" s="22"/>
      <c r="AE3" s="21"/>
      <c r="AF3" s="21"/>
      <c r="AG3" s="21"/>
      <c r="AH3" s="25"/>
      <c r="AI3" s="27"/>
      <c r="AJ3" s="28"/>
      <c r="AK3" s="29"/>
      <c r="AL3" s="521"/>
      <c r="AM3" s="521"/>
      <c r="AN3" s="521"/>
    </row>
    <row r="4" s="9" customFormat="true" ht="14.1" hidden="false" customHeight="true" outlineLevel="0" collapsed="false">
      <c r="A4" s="34"/>
      <c r="B4" s="35"/>
      <c r="C4" s="36"/>
      <c r="D4" s="431" t="s">
        <v>3</v>
      </c>
      <c r="E4" s="36"/>
      <c r="F4" s="38"/>
      <c r="G4" s="34"/>
      <c r="H4" s="47"/>
      <c r="I4" s="34"/>
      <c r="J4" s="34"/>
      <c r="K4" s="34"/>
      <c r="L4" s="34"/>
      <c r="M4" s="34"/>
      <c r="N4" s="34"/>
      <c r="O4" s="47"/>
      <c r="P4" s="40"/>
      <c r="Q4" s="47"/>
      <c r="R4" s="47"/>
      <c r="S4" s="34"/>
      <c r="T4" s="40"/>
      <c r="U4" s="42" t="s">
        <v>4</v>
      </c>
      <c r="V4" s="34"/>
      <c r="W4" s="43"/>
      <c r="X4" s="34"/>
      <c r="Y4" s="34"/>
      <c r="Z4" s="34"/>
      <c r="AA4" s="34"/>
      <c r="AB4" s="34"/>
      <c r="AC4" s="34"/>
      <c r="AD4" s="43"/>
      <c r="AE4" s="34"/>
      <c r="AF4" s="34"/>
      <c r="AG4" s="34"/>
      <c r="AH4" s="40"/>
      <c r="AI4" s="44"/>
      <c r="AJ4" s="45" t="s">
        <v>5</v>
      </c>
      <c r="AK4" s="46"/>
      <c r="AL4" s="484"/>
      <c r="AM4" s="484"/>
      <c r="AN4" s="207" t="s">
        <v>6</v>
      </c>
      <c r="AO4" s="486"/>
      <c r="AP4" s="433"/>
      <c r="AQ4" s="49"/>
    </row>
    <row r="5" customFormat="false" ht="12.95" hidden="false" customHeight="true" outlineLevel="0" collapsed="false">
      <c r="A5" s="441" t="s">
        <v>7</v>
      </c>
      <c r="B5" s="442" t="s">
        <v>8</v>
      </c>
      <c r="C5" s="82" t="s">
        <v>8</v>
      </c>
      <c r="D5" s="71" t="s">
        <v>9</v>
      </c>
      <c r="E5" s="82" t="s">
        <v>10</v>
      </c>
      <c r="F5" s="443" t="s">
        <v>11</v>
      </c>
      <c r="G5" s="444" t="s">
        <v>12</v>
      </c>
      <c r="H5" s="522" t="s">
        <v>13</v>
      </c>
      <c r="I5" s="444" t="s">
        <v>14</v>
      </c>
      <c r="J5" s="444" t="s">
        <v>15</v>
      </c>
      <c r="K5" s="444" t="s">
        <v>16</v>
      </c>
      <c r="L5" s="441" t="s">
        <v>15</v>
      </c>
      <c r="M5" s="223" t="s">
        <v>17</v>
      </c>
      <c r="N5" s="223"/>
      <c r="O5" s="223"/>
      <c r="P5" s="223"/>
      <c r="Q5" s="223"/>
      <c r="R5" s="223"/>
      <c r="S5" s="223"/>
      <c r="T5" s="223"/>
      <c r="U5" s="441" t="s">
        <v>18</v>
      </c>
      <c r="V5" s="441" t="s">
        <v>19</v>
      </c>
      <c r="W5" s="441" t="s">
        <v>16</v>
      </c>
      <c r="X5" s="87" t="s">
        <v>20</v>
      </c>
      <c r="Y5" s="87" t="s">
        <v>21</v>
      </c>
      <c r="Z5" s="244" t="s">
        <v>20</v>
      </c>
      <c r="AA5" s="441" t="s">
        <v>22</v>
      </c>
      <c r="AB5" s="59" t="s">
        <v>23</v>
      </c>
      <c r="AC5" s="60"/>
      <c r="AD5" s="441" t="s">
        <v>24</v>
      </c>
      <c r="AE5" s="244" t="s">
        <v>110</v>
      </c>
      <c r="AF5" s="248" t="s">
        <v>14</v>
      </c>
      <c r="AG5" s="248" t="s">
        <v>15</v>
      </c>
      <c r="AH5" s="248" t="s">
        <v>16</v>
      </c>
      <c r="AI5" s="446" t="s">
        <v>26</v>
      </c>
      <c r="AJ5" s="91" t="s">
        <v>27</v>
      </c>
      <c r="AK5" s="447" t="s">
        <v>28</v>
      </c>
      <c r="AL5" s="76" t="s">
        <v>88</v>
      </c>
      <c r="AM5" s="76" t="s">
        <v>20</v>
      </c>
      <c r="AN5" s="448" t="s">
        <v>89</v>
      </c>
      <c r="AO5" s="448" t="s">
        <v>89</v>
      </c>
      <c r="AP5" s="448" t="s">
        <v>30</v>
      </c>
      <c r="AQ5" s="449" t="s">
        <v>31</v>
      </c>
    </row>
    <row r="6" customFormat="false" ht="12.95" hidden="false" customHeight="true" outlineLevel="0" collapsed="false">
      <c r="A6" s="450" t="s">
        <v>113</v>
      </c>
      <c r="B6" s="442" t="s">
        <v>33</v>
      </c>
      <c r="C6" s="82" t="s">
        <v>9</v>
      </c>
      <c r="D6" s="71" t="s">
        <v>34</v>
      </c>
      <c r="E6" s="82" t="s">
        <v>35</v>
      </c>
      <c r="F6" s="443" t="s">
        <v>36</v>
      </c>
      <c r="G6" s="444" t="s">
        <v>37</v>
      </c>
      <c r="H6" s="522" t="s">
        <v>38</v>
      </c>
      <c r="I6" s="444" t="s">
        <v>39</v>
      </c>
      <c r="J6" s="444" t="s">
        <v>39</v>
      </c>
      <c r="K6" s="444" t="s">
        <v>39</v>
      </c>
      <c r="L6" s="441" t="s">
        <v>40</v>
      </c>
      <c r="M6" s="493" t="s">
        <v>41</v>
      </c>
      <c r="N6" s="248" t="s">
        <v>42</v>
      </c>
      <c r="O6" s="248" t="s">
        <v>43</v>
      </c>
      <c r="P6" s="249" t="s">
        <v>44</v>
      </c>
      <c r="Q6" s="248" t="s">
        <v>45</v>
      </c>
      <c r="R6" s="248" t="s">
        <v>46</v>
      </c>
      <c r="S6" s="248" t="s">
        <v>47</v>
      </c>
      <c r="T6" s="250" t="s">
        <v>48</v>
      </c>
      <c r="U6" s="441" t="s">
        <v>49</v>
      </c>
      <c r="V6" s="441" t="s">
        <v>50</v>
      </c>
      <c r="W6" s="441" t="s">
        <v>20</v>
      </c>
      <c r="X6" s="87" t="s">
        <v>60</v>
      </c>
      <c r="Y6" s="87" t="s">
        <v>52</v>
      </c>
      <c r="Z6" s="244" t="s">
        <v>53</v>
      </c>
      <c r="AA6" s="441" t="s">
        <v>54</v>
      </c>
      <c r="AB6" s="69" t="s">
        <v>55</v>
      </c>
      <c r="AC6" s="73" t="s">
        <v>53</v>
      </c>
      <c r="AD6" s="441" t="s">
        <v>56</v>
      </c>
      <c r="AE6" s="244" t="s">
        <v>57</v>
      </c>
      <c r="AF6" s="248" t="s">
        <v>58</v>
      </c>
      <c r="AG6" s="248" t="s">
        <v>58</v>
      </c>
      <c r="AH6" s="248" t="s">
        <v>58</v>
      </c>
      <c r="AI6" s="452"/>
      <c r="AJ6" s="91" t="s">
        <v>59</v>
      </c>
      <c r="AK6" s="447" t="s">
        <v>59</v>
      </c>
      <c r="AL6" s="76" t="s">
        <v>60</v>
      </c>
      <c r="AM6" s="76" t="s">
        <v>61</v>
      </c>
      <c r="AN6" s="448" t="s">
        <v>62</v>
      </c>
      <c r="AO6" s="448" t="s">
        <v>62</v>
      </c>
      <c r="AP6" s="448" t="s">
        <v>63</v>
      </c>
      <c r="AQ6" s="449" t="s">
        <v>64</v>
      </c>
    </row>
    <row r="7" customFormat="false" ht="12.95" hidden="false" customHeight="true" outlineLevel="0" collapsed="false">
      <c r="A7" s="441"/>
      <c r="B7" s="442"/>
      <c r="C7" s="82"/>
      <c r="D7" s="71"/>
      <c r="E7" s="82" t="s">
        <v>65</v>
      </c>
      <c r="F7" s="443"/>
      <c r="G7" s="441"/>
      <c r="H7" s="75"/>
      <c r="I7" s="441"/>
      <c r="J7" s="441"/>
      <c r="K7" s="441"/>
      <c r="L7" s="441"/>
      <c r="M7" s="493"/>
      <c r="N7" s="248" t="s">
        <v>66</v>
      </c>
      <c r="O7" s="248" t="s">
        <v>67</v>
      </c>
      <c r="P7" s="249"/>
      <c r="Q7" s="248"/>
      <c r="R7" s="248"/>
      <c r="S7" s="248" t="s">
        <v>43</v>
      </c>
      <c r="T7" s="250" t="s">
        <v>68</v>
      </c>
      <c r="U7" s="441"/>
      <c r="V7" s="441"/>
      <c r="W7" s="441"/>
      <c r="X7" s="87"/>
      <c r="Y7" s="87"/>
      <c r="Z7" s="87"/>
      <c r="AA7" s="441"/>
      <c r="AB7" s="85"/>
      <c r="AC7" s="88"/>
      <c r="AD7" s="441"/>
      <c r="AE7" s="87"/>
      <c r="AF7" s="441"/>
      <c r="AG7" s="441"/>
      <c r="AH7" s="441"/>
      <c r="AI7" s="452"/>
      <c r="AJ7" s="91"/>
      <c r="AK7" s="447"/>
      <c r="AL7" s="76" t="s">
        <v>65</v>
      </c>
      <c r="AM7" s="76" t="s">
        <v>36</v>
      </c>
      <c r="AN7" s="448" t="s">
        <v>107</v>
      </c>
      <c r="AO7" s="448" t="s">
        <v>93</v>
      </c>
      <c r="AP7" s="448" t="s">
        <v>72</v>
      </c>
      <c r="AQ7" s="449" t="s">
        <v>73</v>
      </c>
    </row>
    <row r="8" customFormat="false" ht="12.95" hidden="false" customHeight="true" outlineLevel="0" collapsed="false">
      <c r="A8" s="441"/>
      <c r="B8" s="442"/>
      <c r="C8" s="82"/>
      <c r="D8" s="71"/>
      <c r="E8" s="82"/>
      <c r="F8" s="443"/>
      <c r="G8" s="441"/>
      <c r="H8" s="75"/>
      <c r="I8" s="441"/>
      <c r="J8" s="441"/>
      <c r="K8" s="441"/>
      <c r="L8" s="441"/>
      <c r="M8" s="493"/>
      <c r="N8" s="254" t="n">
        <v>1.03</v>
      </c>
      <c r="O8" s="254" t="n">
        <v>1.05</v>
      </c>
      <c r="P8" s="249" t="n">
        <v>1.02</v>
      </c>
      <c r="Q8" s="254" t="n">
        <v>1.02</v>
      </c>
      <c r="R8" s="254" t="n">
        <v>1.04</v>
      </c>
      <c r="S8" s="248" t="s">
        <v>53</v>
      </c>
      <c r="T8" s="250"/>
      <c r="U8" s="441"/>
      <c r="V8" s="441"/>
      <c r="W8" s="441"/>
      <c r="X8" s="87"/>
      <c r="Y8" s="87"/>
      <c r="Z8" s="87"/>
      <c r="AA8" s="441"/>
      <c r="AB8" s="85"/>
      <c r="AC8" s="88"/>
      <c r="AD8" s="441"/>
      <c r="AE8" s="87"/>
      <c r="AF8" s="441"/>
      <c r="AG8" s="441"/>
      <c r="AH8" s="441"/>
      <c r="AI8" s="452"/>
      <c r="AJ8" s="91"/>
      <c r="AK8" s="447"/>
      <c r="AL8" s="76"/>
      <c r="AM8" s="76"/>
      <c r="AN8" s="448" t="s">
        <v>114</v>
      </c>
      <c r="AO8" s="448" t="s">
        <v>69</v>
      </c>
      <c r="AP8" s="523"/>
    </row>
    <row r="9" customFormat="false" ht="12.95" hidden="false" customHeight="true" outlineLevel="0" collapsed="false">
      <c r="A9" s="19" t="s">
        <v>75</v>
      </c>
      <c r="B9" s="455"/>
      <c r="C9" s="103"/>
      <c r="D9" s="103"/>
      <c r="E9" s="103"/>
      <c r="F9" s="103" t="n">
        <f aca="false">MAY!F47</f>
        <v>36344.8449710108</v>
      </c>
      <c r="G9" s="103" t="n">
        <f aca="false">MAY!G47</f>
        <v>65343</v>
      </c>
      <c r="H9" s="103" t="n">
        <f aca="false">MAY!H47</f>
        <v>2013.75</v>
      </c>
      <c r="I9" s="103" t="n">
        <f aca="false">MAY!I47</f>
        <v>67356.75</v>
      </c>
      <c r="J9" s="103" t="n">
        <f aca="false">MAY!J47</f>
        <v>5594.45991681371</v>
      </c>
      <c r="K9" s="103" t="n">
        <f aca="false">MAY!K47</f>
        <v>72951.2099168137</v>
      </c>
      <c r="L9" s="103" t="n">
        <f aca="false">MAY!L47</f>
        <v>4897.10497101084</v>
      </c>
      <c r="M9" s="103" t="n">
        <f aca="false">MAY!M47</f>
        <v>10658.3</v>
      </c>
      <c r="N9" s="103" t="n">
        <f aca="false">MAY!N47</f>
        <v>114.972617</v>
      </c>
      <c r="O9" s="103" t="n">
        <f aca="false">MAY!O47</f>
        <v>3589.7345</v>
      </c>
      <c r="P9" s="380" t="n">
        <f aca="false">MAY!P47</f>
        <v>7.32</v>
      </c>
      <c r="Q9" s="470"/>
      <c r="R9" s="470"/>
      <c r="S9" s="103"/>
      <c r="T9" s="456"/>
      <c r="U9" s="103" t="n">
        <f aca="false">MAY!U47</f>
        <v>5457</v>
      </c>
      <c r="V9" s="103" t="n">
        <f aca="false">MAY!V47</f>
        <v>2437.8</v>
      </c>
      <c r="W9" s="103" t="n">
        <f aca="false">MAY!W47</f>
        <v>14039.282283</v>
      </c>
      <c r="X9" s="103" t="n">
        <f aca="false">MAY!X47</f>
        <v>16996.6468787738</v>
      </c>
      <c r="Y9" s="103" t="n">
        <f aca="false">MAY!Y47</f>
        <v>1648.6</v>
      </c>
      <c r="Z9" s="105"/>
      <c r="AA9" s="103" t="n">
        <f aca="false">MAY!AA47</f>
        <v>3818.9</v>
      </c>
      <c r="AB9" s="103" t="n">
        <f aca="false">MAY!AB47</f>
        <v>103.7</v>
      </c>
      <c r="AC9" s="103" t="n">
        <f aca="false">MAY!AC47</f>
        <v>79.3</v>
      </c>
      <c r="AD9" s="105"/>
      <c r="AE9" s="105"/>
      <c r="AF9" s="103" t="n">
        <f aca="false">MAY!AF47</f>
        <v>35909.01</v>
      </c>
      <c r="AG9" s="103" t="n">
        <f aca="false">MAY!AG47</f>
        <v>697.354945802874</v>
      </c>
      <c r="AH9" s="103" t="n">
        <f aca="false">MAY!AH47</f>
        <v>36606.3649458029</v>
      </c>
      <c r="AI9" s="108"/>
      <c r="AJ9" s="109"/>
      <c r="AK9" s="110"/>
      <c r="AL9" s="457"/>
      <c r="AM9" s="457"/>
      <c r="AN9" s="105"/>
      <c r="AO9" s="103" t="n">
        <f aca="false">MAY!AO48</f>
        <v>384.051693021747</v>
      </c>
      <c r="AP9" s="380" t="n">
        <f aca="false">MAY!AP47</f>
        <v>0</v>
      </c>
      <c r="AQ9" s="103" t="n">
        <f aca="false">MAY!AQ47</f>
        <v>252.7</v>
      </c>
    </row>
    <row r="10" s="1" customFormat="true" ht="12.95" hidden="false" customHeight="true" outlineLevel="0" collapsed="false">
      <c r="A10" s="113" t="s">
        <v>76</v>
      </c>
      <c r="B10" s="138" t="n">
        <f aca="false">MAY!B42</f>
        <v>6924.16</v>
      </c>
      <c r="C10" s="103" t="n">
        <f aca="false">MAY!C42</f>
        <v>381878</v>
      </c>
      <c r="D10" s="103" t="n">
        <f aca="false">MAY!D51</f>
        <v>110957</v>
      </c>
      <c r="E10" s="103" t="n">
        <f aca="false">MAY!E51</f>
        <v>229878</v>
      </c>
      <c r="F10" s="103" t="n">
        <f aca="false">MAY!F50</f>
        <v>55940.0050415931</v>
      </c>
      <c r="G10" s="103" t="n">
        <f aca="false">MAY!G50</f>
        <v>87964</v>
      </c>
      <c r="H10" s="103" t="n">
        <f aca="false">MAY!H50</f>
        <v>3501.33</v>
      </c>
      <c r="I10" s="103" t="n">
        <f aca="false">MAY!I50</f>
        <v>91465.33</v>
      </c>
      <c r="J10" s="103" t="n">
        <f aca="false">MAY!J50</f>
        <v>12683.3941996471</v>
      </c>
      <c r="K10" s="103" t="n">
        <f aca="false">MAY!K50</f>
        <v>104148.724199647</v>
      </c>
      <c r="L10" s="103" t="n">
        <f aca="false">MAY!L50</f>
        <v>10645.1850415931</v>
      </c>
      <c r="M10" s="103" t="n">
        <f aca="false">MAY!M50</f>
        <v>11654.7</v>
      </c>
      <c r="N10" s="103" t="n">
        <f aca="false">MAY!N50</f>
        <v>114.972617</v>
      </c>
      <c r="O10" s="103" t="n">
        <f aca="false">MAY!O50</f>
        <v>3589.7345</v>
      </c>
      <c r="P10" s="380"/>
      <c r="Q10" s="103" t="n">
        <f aca="false">MAY!Q50</f>
        <v>346.8306</v>
      </c>
      <c r="R10" s="103" t="n">
        <f aca="false">MAY!R50</f>
        <v>639.833</v>
      </c>
      <c r="S10" s="103" t="n">
        <f aca="false">MAY!S50</f>
        <v>44.48</v>
      </c>
      <c r="T10" s="456" t="n">
        <f aca="false">MAY!T50</f>
        <v>-61.236</v>
      </c>
      <c r="U10" s="103" t="n">
        <f aca="false">MAY!U50</f>
        <v>10832</v>
      </c>
      <c r="V10" s="103" t="n">
        <f aca="false">MAY!V50</f>
        <v>2563.9</v>
      </c>
      <c r="W10" s="103" t="n">
        <f aca="false">MAY!W50</f>
        <v>19676.297883</v>
      </c>
      <c r="X10" s="105"/>
      <c r="Y10" s="105"/>
      <c r="Z10" s="105"/>
      <c r="AA10" s="103"/>
      <c r="AB10" s="106"/>
      <c r="AC10" s="107"/>
      <c r="AD10" s="103" t="n">
        <f aca="false">MAY!AD50</f>
        <v>17581.61</v>
      </c>
      <c r="AE10" s="103" t="n">
        <f aca="false">MAY!AE50</f>
        <v>13402.823072851</v>
      </c>
      <c r="AF10" s="103" t="n">
        <f aca="false">MAY!AF50</f>
        <v>46170.51</v>
      </c>
      <c r="AG10" s="103" t="n">
        <f aca="false">MAY!AG50</f>
        <v>2038.20915805395</v>
      </c>
      <c r="AH10" s="103" t="n">
        <f aca="false">MAY!AH50</f>
        <v>48208.7191580539</v>
      </c>
      <c r="AI10" s="138" t="n">
        <f aca="false">MAY!AI50</f>
        <v>6.79</v>
      </c>
      <c r="AJ10" s="109"/>
      <c r="AK10" s="110"/>
      <c r="AL10" s="103" t="n">
        <f aca="false">MAY!AL51</f>
        <v>10481.92122</v>
      </c>
      <c r="AM10" s="103" t="n">
        <f aca="false">MAY!AM50</f>
        <v>264.7472</v>
      </c>
      <c r="AN10" s="140"/>
      <c r="AO10" s="103" t="n">
        <f aca="false">MAY!AO51</f>
        <v>384.051693021747</v>
      </c>
      <c r="AP10" s="380" t="n">
        <f aca="false">MAY!AP50</f>
        <v>0</v>
      </c>
      <c r="AQ10" s="103" t="n">
        <f aca="false">MAY!AQ50</f>
        <v>0</v>
      </c>
    </row>
    <row r="11" customFormat="false" ht="3" hidden="false" customHeight="true" outlineLevel="0" collapsed="false">
      <c r="A11" s="116"/>
      <c r="B11" s="460"/>
      <c r="C11" s="125"/>
      <c r="D11" s="123"/>
      <c r="E11" s="125"/>
      <c r="F11" s="461"/>
      <c r="G11" s="123"/>
      <c r="H11" s="131"/>
      <c r="I11" s="123"/>
      <c r="J11" s="123"/>
      <c r="K11" s="123"/>
      <c r="L11" s="123"/>
      <c r="M11" s="126"/>
      <c r="N11" s="123"/>
      <c r="O11" s="131" t="n">
        <v>0</v>
      </c>
      <c r="P11" s="462"/>
      <c r="Q11" s="131"/>
      <c r="R11" s="131"/>
      <c r="S11" s="123"/>
      <c r="T11" s="463"/>
      <c r="U11" s="123"/>
      <c r="V11" s="123" t="n">
        <v>0</v>
      </c>
      <c r="W11" s="123"/>
      <c r="X11" s="125"/>
      <c r="Y11" s="125"/>
      <c r="Z11" s="125"/>
      <c r="AA11" s="123"/>
      <c r="AB11" s="126"/>
      <c r="AC11" s="127"/>
      <c r="AD11" s="123"/>
      <c r="AE11" s="125"/>
      <c r="AF11" s="123"/>
      <c r="AG11" s="123"/>
      <c r="AH11" s="123"/>
      <c r="AI11" s="128"/>
      <c r="AJ11" s="129"/>
      <c r="AK11" s="130"/>
      <c r="AL11" s="129"/>
      <c r="AM11" s="129"/>
      <c r="AN11" s="129"/>
      <c r="AO11" s="275"/>
      <c r="AP11" s="275"/>
      <c r="AQ11" s="281"/>
    </row>
    <row r="12" customFormat="false" ht="12.95" hidden="false" customHeight="true" outlineLevel="0" collapsed="false">
      <c r="A12" s="18" t="n">
        <v>1</v>
      </c>
      <c r="B12" s="459" t="n">
        <v>6924.16</v>
      </c>
      <c r="C12" s="103" t="n">
        <v>381878</v>
      </c>
      <c r="D12" s="109" t="n">
        <f aca="false">C12-C10</f>
        <v>0</v>
      </c>
      <c r="E12" s="103" t="n">
        <f aca="false">C12-152000</f>
        <v>229878</v>
      </c>
      <c r="F12" s="464" t="n">
        <f aca="false">D12/$D$2</f>
        <v>0</v>
      </c>
      <c r="G12" s="140" t="n">
        <v>1360</v>
      </c>
      <c r="H12" s="111" t="n">
        <v>0.75</v>
      </c>
      <c r="I12" s="140" t="n">
        <f aca="false">G12+H12</f>
        <v>1360.75</v>
      </c>
      <c r="J12" s="465" t="n">
        <f aca="false">IF(L12&gt;0,L12,0)</f>
        <v>35.25</v>
      </c>
      <c r="K12" s="140" t="n">
        <f aca="false">I12+J12</f>
        <v>1396</v>
      </c>
      <c r="L12" s="140" t="n">
        <f aca="false">F12-(I12-AF12)</f>
        <v>35.25</v>
      </c>
      <c r="M12" s="142" t="n">
        <v>270</v>
      </c>
      <c r="N12" s="258" t="n">
        <f aca="false">1.8299*1.03</f>
        <v>1.884797</v>
      </c>
      <c r="O12" s="261" t="n">
        <f aca="false">(34+34)*1.05</f>
        <v>71.4</v>
      </c>
      <c r="P12" s="258" t="n">
        <v>0</v>
      </c>
      <c r="Q12" s="258" t="n">
        <f aca="false">2.93*1.02</f>
        <v>2.9886</v>
      </c>
      <c r="R12" s="258" t="n">
        <v>4.2</v>
      </c>
      <c r="S12" s="380" t="n">
        <v>2.9</v>
      </c>
      <c r="T12" s="456" t="n">
        <v>0</v>
      </c>
      <c r="U12" s="140" t="n">
        <v>158</v>
      </c>
      <c r="V12" s="140" t="n">
        <v>71</v>
      </c>
      <c r="W12" s="141" t="n">
        <f aca="false">M12-N12-O12-P12-Q12-R12-S12-T12+U12+V12-AQ12</f>
        <v>415.626603</v>
      </c>
      <c r="X12" s="115" t="n">
        <f aca="false">X9+AN12-AD12-(AO12/1.9835)</f>
        <v>16696.7236588828</v>
      </c>
      <c r="Y12" s="105" t="n">
        <f aca="false">Y9</f>
        <v>1648.6</v>
      </c>
      <c r="Z12" s="105"/>
      <c r="AA12" s="140" t="n">
        <v>223</v>
      </c>
      <c r="AB12" s="142" t="n">
        <v>1.7</v>
      </c>
      <c r="AC12" s="143" t="n">
        <v>1.3</v>
      </c>
      <c r="AD12" s="524" t="n">
        <v>674</v>
      </c>
      <c r="AE12" s="525" t="n">
        <f aca="false">AE10</f>
        <v>13402.823072851</v>
      </c>
      <c r="AF12" s="140" t="n">
        <f aca="false">N12+O12+P12+Q12+R12+S12+T12+W12+AA12+AD12</f>
        <v>1396</v>
      </c>
      <c r="AG12" s="140" t="n">
        <f aca="false">IF(L12&lt;0,L12*-1,0)</f>
        <v>0</v>
      </c>
      <c r="AH12" s="140" t="n">
        <f aca="false">AF12+AG12</f>
        <v>1396</v>
      </c>
      <c r="AI12" s="108" t="n">
        <v>0</v>
      </c>
      <c r="AJ12" s="109" t="n">
        <v>81</v>
      </c>
      <c r="AK12" s="110" t="n">
        <v>34</v>
      </c>
      <c r="AL12" s="457" t="n">
        <f aca="false">AL10</f>
        <v>10481.92122</v>
      </c>
      <c r="AM12" s="457"/>
      <c r="AN12" s="457" t="n">
        <f aca="false">795-W12</f>
        <v>379.373397</v>
      </c>
      <c r="AO12" s="258" t="n">
        <f aca="false">64*(X9*1.9835+Y12*1.9835+AN12*1.9835)/E12</f>
        <v>10.5058396031278</v>
      </c>
      <c r="AP12" s="458"/>
      <c r="AQ12" s="10"/>
    </row>
    <row r="13" customFormat="false" ht="12.95" hidden="false" customHeight="true" outlineLevel="0" collapsed="false">
      <c r="A13" s="18" t="n">
        <f aca="false">A12+1</f>
        <v>2</v>
      </c>
      <c r="B13" s="459" t="n">
        <v>6924.25</v>
      </c>
      <c r="C13" s="103" t="n">
        <v>382281</v>
      </c>
      <c r="D13" s="109" t="n">
        <f aca="false">C13-C12</f>
        <v>403</v>
      </c>
      <c r="E13" s="103" t="n">
        <f aca="false">C13-152000</f>
        <v>230281</v>
      </c>
      <c r="F13" s="464" t="n">
        <f aca="false">D13/$D$2</f>
        <v>203.176203680363</v>
      </c>
      <c r="G13" s="140" t="n">
        <v>1470</v>
      </c>
      <c r="H13" s="111" t="n">
        <v>0.67</v>
      </c>
      <c r="I13" s="140" t="n">
        <f aca="false">G13+H13</f>
        <v>1470.67</v>
      </c>
      <c r="J13" s="465" t="n">
        <f aca="false">IF(L13&gt;0,L13,0)</f>
        <v>61.5062036803629</v>
      </c>
      <c r="K13" s="140" t="n">
        <f aca="false">I13+J13</f>
        <v>1532.17620368036</v>
      </c>
      <c r="L13" s="140" t="n">
        <f aca="false">F13-(I13-AF13)</f>
        <v>61.5062036803629</v>
      </c>
      <c r="M13" s="142" t="n">
        <v>266</v>
      </c>
      <c r="N13" s="258" t="n">
        <f aca="false">1.8299*1.03</f>
        <v>1.884797</v>
      </c>
      <c r="O13" s="261" t="n">
        <f aca="false">(32+33)*1.05</f>
        <v>68.25</v>
      </c>
      <c r="P13" s="258" t="n">
        <v>0</v>
      </c>
      <c r="Q13" s="258" t="n">
        <f aca="false">2.93*1.02</f>
        <v>2.9886</v>
      </c>
      <c r="R13" s="258" t="n">
        <v>4.2</v>
      </c>
      <c r="S13" s="380" t="n">
        <v>3.39</v>
      </c>
      <c r="T13" s="456" t="n">
        <v>0</v>
      </c>
      <c r="U13" s="140" t="n">
        <v>159</v>
      </c>
      <c r="V13" s="140" t="n">
        <v>69</v>
      </c>
      <c r="W13" s="141" t="n">
        <f aca="false">M13-N13-O13-P13-Q13-R13-S13-T13+U13+V13-AQ13</f>
        <v>413.286603</v>
      </c>
      <c r="X13" s="115" t="n">
        <f aca="false">X12+AN13-AD13-(AO13/1.9835)</f>
        <v>16446.2324129832</v>
      </c>
      <c r="Y13" s="115" t="n">
        <f aca="false">Y12</f>
        <v>1648.6</v>
      </c>
      <c r="Z13" s="115"/>
      <c r="AA13" s="140" t="n">
        <v>208</v>
      </c>
      <c r="AB13" s="142" t="n">
        <v>1.7</v>
      </c>
      <c r="AC13" s="143" t="n">
        <v>1.3</v>
      </c>
      <c r="AD13" s="524" t="n">
        <v>627</v>
      </c>
      <c r="AE13" s="525" t="n">
        <f aca="false">AE12</f>
        <v>13402.823072851</v>
      </c>
      <c r="AF13" s="140" t="n">
        <f aca="false">N13+O13+P13+Q13+R13+S13+T13+W13+AA13+AD13</f>
        <v>1329</v>
      </c>
      <c r="AG13" s="140" t="n">
        <f aca="false">IF(L13&lt;0,L13*-1,0)</f>
        <v>0</v>
      </c>
      <c r="AH13" s="140" t="n">
        <f aca="false">AF13+AG13</f>
        <v>1329</v>
      </c>
      <c r="AI13" s="108" t="n">
        <v>0</v>
      </c>
      <c r="AJ13" s="109" t="n">
        <v>81</v>
      </c>
      <c r="AK13" s="110" t="n">
        <v>42</v>
      </c>
      <c r="AL13" s="457" t="n">
        <f aca="false">AL12</f>
        <v>10481.92122</v>
      </c>
      <c r="AM13" s="457"/>
      <c r="AN13" s="457" t="n">
        <f aca="false">795-W13</f>
        <v>381.713397</v>
      </c>
      <c r="AO13" s="258" t="n">
        <f aca="false">64*(X12*1.9835+Y13*1.9835+AN13*1.9835)/E13</f>
        <v>10.3234091914747</v>
      </c>
      <c r="AP13" s="458"/>
      <c r="AQ13" s="10"/>
    </row>
    <row r="14" customFormat="false" ht="12.95" hidden="false" customHeight="true" outlineLevel="0" collapsed="false">
      <c r="A14" s="18" t="n">
        <f aca="false">A13+1</f>
        <v>3</v>
      </c>
      <c r="B14" s="459" t="n">
        <v>6924.3</v>
      </c>
      <c r="C14" s="103" t="n">
        <v>382506</v>
      </c>
      <c r="D14" s="109" t="n">
        <f aca="false">C14-C13</f>
        <v>225</v>
      </c>
      <c r="E14" s="103" t="n">
        <f aca="false">C14-152000</f>
        <v>230506</v>
      </c>
      <c r="F14" s="464" t="n">
        <f aca="false">D14/$D$2</f>
        <v>113.43584572725</v>
      </c>
      <c r="G14" s="140" t="n">
        <v>1440</v>
      </c>
      <c r="H14" s="111" t="n">
        <v>0.64</v>
      </c>
      <c r="I14" s="140" t="n">
        <f aca="false">G14+H14</f>
        <v>1440.64</v>
      </c>
      <c r="J14" s="465" t="n">
        <f aca="false">IF(L14&gt;0,L14,0)</f>
        <v>13.7958457272497</v>
      </c>
      <c r="K14" s="140" t="n">
        <f aca="false">I14+J14</f>
        <v>1454.43584572725</v>
      </c>
      <c r="L14" s="140" t="n">
        <f aca="false">F14-(I14-AF14)</f>
        <v>13.7958457272497</v>
      </c>
      <c r="M14" s="142" t="n">
        <v>267</v>
      </c>
      <c r="N14" s="258" t="n">
        <f aca="false">1.8299*1.03</f>
        <v>1.884797</v>
      </c>
      <c r="O14" s="470" t="n">
        <f aca="false">(31+31)*1.05</f>
        <v>65.1</v>
      </c>
      <c r="P14" s="380" t="n">
        <v>0</v>
      </c>
      <c r="Q14" s="258" t="n">
        <f aca="false">2.93*1.02</f>
        <v>2.9886</v>
      </c>
      <c r="R14" s="258" t="n">
        <v>4.2</v>
      </c>
      <c r="S14" s="380" t="n">
        <v>3.81</v>
      </c>
      <c r="T14" s="456" t="n">
        <v>0</v>
      </c>
      <c r="U14" s="140" t="n">
        <v>159</v>
      </c>
      <c r="V14" s="140" t="n">
        <v>69</v>
      </c>
      <c r="W14" s="141" t="n">
        <f aca="false">M14-N14-O14-P14-Q14-R14-S14-T14+U14+V14-AQ14</f>
        <v>417.016603</v>
      </c>
      <c r="X14" s="115" t="n">
        <f aca="false">X13+AN14-AD14-(AO14/1.9835)</f>
        <v>16165.0868319443</v>
      </c>
      <c r="Y14" s="115" t="n">
        <f aca="false">Y13</f>
        <v>1648.6</v>
      </c>
      <c r="Z14" s="115"/>
      <c r="AA14" s="140" t="n">
        <v>192</v>
      </c>
      <c r="AB14" s="142" t="n">
        <v>1.7</v>
      </c>
      <c r="AC14" s="143" t="n">
        <v>1.3</v>
      </c>
      <c r="AD14" s="524" t="n">
        <v>654</v>
      </c>
      <c r="AE14" s="525" t="n">
        <f aca="false">AE13</f>
        <v>13402.823072851</v>
      </c>
      <c r="AF14" s="140" t="n">
        <f aca="false">N14+O14+P14+Q14+R14+S14+T14+W14+AA14+AD14</f>
        <v>1341</v>
      </c>
      <c r="AG14" s="140" t="n">
        <f aca="false">IF(L14&lt;0,L14*-1,0)</f>
        <v>0</v>
      </c>
      <c r="AH14" s="140" t="n">
        <f aca="false">AF14+AG14</f>
        <v>1341</v>
      </c>
      <c r="AI14" s="108" t="n">
        <v>0</v>
      </c>
      <c r="AJ14" s="109" t="n">
        <v>81</v>
      </c>
      <c r="AK14" s="110" t="n">
        <v>45</v>
      </c>
      <c r="AL14" s="457" t="n">
        <f aca="false">AL13</f>
        <v>10481.92122</v>
      </c>
      <c r="AM14" s="457"/>
      <c r="AN14" s="457" t="n">
        <f aca="false">795-W14</f>
        <v>377.983397</v>
      </c>
      <c r="AO14" s="258" t="n">
        <f aca="false">64*(X13*1.9835+Y14*1.9835+AN14*1.9835)/E14</f>
        <v>10.1733279401946</v>
      </c>
      <c r="AP14" s="458"/>
      <c r="AQ14" s="10"/>
    </row>
    <row r="15" customFormat="false" ht="12.95" hidden="false" customHeight="true" outlineLevel="0" collapsed="false">
      <c r="A15" s="18" t="n">
        <f aca="false">A14+1</f>
        <v>4</v>
      </c>
      <c r="B15" s="459" t="n">
        <v>6924.22</v>
      </c>
      <c r="C15" s="103" t="n">
        <v>382147</v>
      </c>
      <c r="D15" s="109" t="n">
        <f aca="false">C15-C14</f>
        <v>-359</v>
      </c>
      <c r="E15" s="103" t="n">
        <f aca="false">C15-152000</f>
        <v>230147</v>
      </c>
      <c r="F15" s="464" t="n">
        <f aca="false">D15/$D$2</f>
        <v>-180.993193849256</v>
      </c>
      <c r="G15" s="140" t="n">
        <v>1310</v>
      </c>
      <c r="H15" s="111" t="n">
        <v>0.4</v>
      </c>
      <c r="I15" s="140" t="n">
        <f aca="false">G15+H15</f>
        <v>1310.4</v>
      </c>
      <c r="J15" s="465" t="n">
        <f aca="false">IF(L15&gt;0,L15,0)</f>
        <v>37.6068061507436</v>
      </c>
      <c r="K15" s="140" t="n">
        <f aca="false">I15+J15</f>
        <v>1348.00680615074</v>
      </c>
      <c r="L15" s="140" t="n">
        <f aca="false">F15-(I15-AF15)</f>
        <v>37.6068061507436</v>
      </c>
      <c r="M15" s="142" t="n">
        <v>300</v>
      </c>
      <c r="N15" s="258" t="n">
        <f aca="false">1.8299*1.03</f>
        <v>1.884797</v>
      </c>
      <c r="O15" s="380" t="n">
        <f aca="false">(36+36)*1.05</f>
        <v>75.6</v>
      </c>
      <c r="P15" s="380" t="n">
        <v>0</v>
      </c>
      <c r="Q15" s="258" t="n">
        <f aca="false">2.93*1.02</f>
        <v>2.9886</v>
      </c>
      <c r="R15" s="258" t="n">
        <v>4.2</v>
      </c>
      <c r="S15" s="380" t="n">
        <v>3.31</v>
      </c>
      <c r="T15" s="456" t="n">
        <v>0</v>
      </c>
      <c r="U15" s="140" t="n">
        <v>163</v>
      </c>
      <c r="V15" s="140" t="n">
        <v>69</v>
      </c>
      <c r="W15" s="141" t="n">
        <f aca="false">M15-N15-O15-P15-Q15-R15-S15-T15+U15+V15-AQ15</f>
        <v>444.016603</v>
      </c>
      <c r="X15" s="115" t="n">
        <f aca="false">X14+AN15-AD15-(AO15/1.9835)</f>
        <v>15722.0189404432</v>
      </c>
      <c r="Y15" s="115" t="n">
        <f aca="false">Y14</f>
        <v>1648.6</v>
      </c>
      <c r="Z15" s="115"/>
      <c r="AA15" s="140" t="n">
        <v>208</v>
      </c>
      <c r="AB15" s="142" t="n">
        <v>1.7</v>
      </c>
      <c r="AC15" s="143" t="n">
        <v>1.3</v>
      </c>
      <c r="AD15" s="524" t="n">
        <v>789</v>
      </c>
      <c r="AE15" s="525" t="n">
        <f aca="false">AE14</f>
        <v>13402.823072851</v>
      </c>
      <c r="AF15" s="140" t="n">
        <f aca="false">N15+O15+P15+Q15+R15+S15+T15+W15+AA15+AD15</f>
        <v>1529</v>
      </c>
      <c r="AG15" s="140" t="n">
        <f aca="false">IF(L15&lt;0,L15*-1,0)</f>
        <v>0</v>
      </c>
      <c r="AH15" s="140" t="n">
        <f aca="false">AF15+AG15</f>
        <v>1529</v>
      </c>
      <c r="AI15" s="108" t="n">
        <v>0</v>
      </c>
      <c r="AJ15" s="109" t="n">
        <v>76</v>
      </c>
      <c r="AK15" s="110" t="n">
        <v>45</v>
      </c>
      <c r="AL15" s="457" t="n">
        <f aca="false">AL14</f>
        <v>10481.92122</v>
      </c>
      <c r="AM15" s="457"/>
      <c r="AN15" s="457" t="n">
        <f aca="false">795-W15</f>
        <v>350.983397</v>
      </c>
      <c r="AO15" s="258" t="n">
        <f aca="false">64*(X14*1.9835+Y15*1.9835+AN15*1.9835)/E15</f>
        <v>10.0192307418437</v>
      </c>
      <c r="AP15" s="458"/>
      <c r="AQ15" s="10"/>
    </row>
    <row r="16" customFormat="false" ht="12.95" hidden="false" customHeight="true" outlineLevel="0" collapsed="false">
      <c r="A16" s="18" t="n">
        <f aca="false">A15+1</f>
        <v>5</v>
      </c>
      <c r="B16" s="459" t="n">
        <v>6924.23</v>
      </c>
      <c r="C16" s="103" t="n">
        <v>382192</v>
      </c>
      <c r="D16" s="109" t="n">
        <f aca="false">C16-C15</f>
        <v>45</v>
      </c>
      <c r="E16" s="103" t="n">
        <f aca="false">C16-152000</f>
        <v>230192</v>
      </c>
      <c r="F16" s="464" t="n">
        <f aca="false">D16/$D$2</f>
        <v>22.68716914545</v>
      </c>
      <c r="G16" s="140" t="n">
        <v>1230</v>
      </c>
      <c r="H16" s="111" t="n">
        <v>0.38</v>
      </c>
      <c r="I16" s="140" t="n">
        <f aca="false">G16+H16</f>
        <v>1230.38</v>
      </c>
      <c r="J16" s="465" t="n">
        <f aca="false">IF(L16&gt;0,L16,0)</f>
        <v>58.3071691454498</v>
      </c>
      <c r="K16" s="140" t="n">
        <f aca="false">I16+J16</f>
        <v>1288.68716914545</v>
      </c>
      <c r="L16" s="140" t="n">
        <f aca="false">F16-(I16-AF16)</f>
        <v>58.3071691454498</v>
      </c>
      <c r="M16" s="142" t="n">
        <v>271</v>
      </c>
      <c r="N16" s="258" t="n">
        <f aca="false">1.8299*1.03</f>
        <v>1.884797</v>
      </c>
      <c r="O16" s="470" t="n">
        <f aca="false">(38+39)*1.05</f>
        <v>80.85</v>
      </c>
      <c r="P16" s="380" t="n">
        <v>0</v>
      </c>
      <c r="Q16" s="258" t="n">
        <f aca="false">2.93*1.02</f>
        <v>2.9886</v>
      </c>
      <c r="R16" s="258" t="n">
        <v>4.2</v>
      </c>
      <c r="S16" s="380" t="n">
        <v>2.69</v>
      </c>
      <c r="T16" s="456" t="n">
        <v>0</v>
      </c>
      <c r="U16" s="140" t="n">
        <v>166</v>
      </c>
      <c r="V16" s="140" t="n">
        <v>70</v>
      </c>
      <c r="W16" s="141" t="n">
        <f aca="false">M16-N16-O16-P16-Q16-R16-S16-T16+U16+V16-AQ16</f>
        <v>414.386603</v>
      </c>
      <c r="X16" s="115" t="n">
        <f aca="false">X15+AN16-AD16-(AO16/1.9835)</f>
        <v>15530.6969840443</v>
      </c>
      <c r="Y16" s="115" t="n">
        <f aca="false">Y15</f>
        <v>1648.6</v>
      </c>
      <c r="Z16" s="115"/>
      <c r="AA16" s="140" t="n">
        <v>192</v>
      </c>
      <c r="AB16" s="142" t="n">
        <v>1.7</v>
      </c>
      <c r="AC16" s="143" t="n">
        <v>1.3</v>
      </c>
      <c r="AD16" s="524" t="n">
        <v>567</v>
      </c>
      <c r="AE16" s="525" t="n">
        <f aca="false">AE15</f>
        <v>13402.823072851</v>
      </c>
      <c r="AF16" s="140" t="n">
        <f aca="false">N16+O16+P16+Q16+R16+S16+T16+W16+AA16+AD16</f>
        <v>1266</v>
      </c>
      <c r="AG16" s="140" t="n">
        <f aca="false">IF(L16&lt;0,L16*-1,0)</f>
        <v>0</v>
      </c>
      <c r="AH16" s="140" t="n">
        <f aca="false">AF16+AG16</f>
        <v>1266</v>
      </c>
      <c r="AI16" s="108" t="n">
        <v>0</v>
      </c>
      <c r="AJ16" s="109" t="n">
        <v>82</v>
      </c>
      <c r="AK16" s="110" t="n">
        <v>45</v>
      </c>
      <c r="AL16" s="457" t="n">
        <f aca="false">AL15</f>
        <v>10481.92122</v>
      </c>
      <c r="AM16" s="457"/>
      <c r="AN16" s="457" t="n">
        <f aca="false">795-W16</f>
        <v>380.613397</v>
      </c>
      <c r="AO16" s="258" t="n">
        <f aca="false">64*(X15*1.9835+Y16*1.9835+AN16*1.9835)/E16</f>
        <v>9.78927346669038</v>
      </c>
      <c r="AP16" s="458"/>
      <c r="AQ16" s="10"/>
    </row>
    <row r="17" customFormat="false" ht="12.95" hidden="false" customHeight="true" outlineLevel="0" collapsed="false">
      <c r="A17" s="18" t="n">
        <f aca="false">A16+1</f>
        <v>6</v>
      </c>
      <c r="B17" s="459" t="n">
        <v>6924.32</v>
      </c>
      <c r="C17" s="103" t="n">
        <v>382595</v>
      </c>
      <c r="D17" s="109" t="n">
        <f aca="false">C17-C16</f>
        <v>403</v>
      </c>
      <c r="E17" s="103" t="n">
        <f aca="false">C17-152000</f>
        <v>230595</v>
      </c>
      <c r="F17" s="464" t="n">
        <f aca="false">D17/$D$2</f>
        <v>203.176203680363</v>
      </c>
      <c r="G17" s="140" t="n">
        <v>1280</v>
      </c>
      <c r="H17" s="111" t="n">
        <v>0.37</v>
      </c>
      <c r="I17" s="140" t="n">
        <f aca="false">G17+H17</f>
        <v>1280.37</v>
      </c>
      <c r="J17" s="465" t="n">
        <f aca="false">IF(L17&gt;0,L17,0)</f>
        <v>96.8062036803631</v>
      </c>
      <c r="K17" s="140" t="n">
        <f aca="false">I17+J17</f>
        <v>1377.17620368036</v>
      </c>
      <c r="L17" s="140" t="n">
        <f aca="false">F17-(I17-AF17)</f>
        <v>96.8062036803631</v>
      </c>
      <c r="M17" s="142" t="n">
        <v>281</v>
      </c>
      <c r="N17" s="258" t="n">
        <f aca="false">1.8299*1.03</f>
        <v>1.884797</v>
      </c>
      <c r="O17" s="470" t="n">
        <f aca="false">(35+38)*1.05</f>
        <v>76.65</v>
      </c>
      <c r="P17" s="380" t="n">
        <v>0</v>
      </c>
      <c r="Q17" s="258" t="n">
        <f aca="false">2.93*1.02</f>
        <v>2.9886</v>
      </c>
      <c r="R17" s="258" t="n">
        <v>4.2</v>
      </c>
      <c r="S17" s="380" t="n">
        <v>3.58</v>
      </c>
      <c r="T17" s="456" t="n">
        <v>0</v>
      </c>
      <c r="U17" s="140" t="n">
        <v>166</v>
      </c>
      <c r="V17" s="140" t="n">
        <v>71</v>
      </c>
      <c r="W17" s="141" t="n">
        <f aca="false">M17-N17-O17-P17-Q17-R17-S17-T17+U17+V17-AQ17</f>
        <v>428.696603</v>
      </c>
      <c r="X17" s="115" t="n">
        <f aca="false">X16+AN17-AD17-(AO17/1.9835)</f>
        <v>15398.1307246147</v>
      </c>
      <c r="Y17" s="115" t="n">
        <f aca="false">Y16</f>
        <v>1648.6</v>
      </c>
      <c r="Z17" s="115"/>
      <c r="AA17" s="140" t="n">
        <v>162</v>
      </c>
      <c r="AB17" s="142" t="n">
        <v>1.7</v>
      </c>
      <c r="AC17" s="143" t="n">
        <v>1.3</v>
      </c>
      <c r="AD17" s="524" t="n">
        <v>494</v>
      </c>
      <c r="AE17" s="525" t="n">
        <f aca="false">AE16</f>
        <v>13402.823072851</v>
      </c>
      <c r="AF17" s="140" t="n">
        <f aca="false">N17+O17+P17+Q17+R17+S17+T17+W17+AA17+AD17</f>
        <v>1174</v>
      </c>
      <c r="AG17" s="140" t="n">
        <f aca="false">IF(L17&lt;0,L17*-1,0)</f>
        <v>0</v>
      </c>
      <c r="AH17" s="140" t="n">
        <f aca="false">AF17+AG17</f>
        <v>1174</v>
      </c>
      <c r="AI17" s="108" t="n">
        <v>0</v>
      </c>
      <c r="AJ17" s="109" t="n">
        <v>72</v>
      </c>
      <c r="AK17" s="110" t="n">
        <v>46</v>
      </c>
      <c r="AL17" s="457" t="n">
        <f aca="false">AL16</f>
        <v>10481.92122</v>
      </c>
      <c r="AM17" s="457"/>
      <c r="AN17" s="457" t="n">
        <f aca="false">795-W17</f>
        <v>366.303397</v>
      </c>
      <c r="AO17" s="258" t="n">
        <f aca="false">64*(X16*1.9835+Y17*1.9835+AN17*1.9835)/E17</f>
        <v>9.65896352813934</v>
      </c>
      <c r="AP17" s="458"/>
      <c r="AQ17" s="10"/>
    </row>
    <row r="18" customFormat="false" ht="12.95" hidden="false" customHeight="true" outlineLevel="0" collapsed="false">
      <c r="A18" s="18" t="n">
        <f aca="false">A17+1</f>
        <v>7</v>
      </c>
      <c r="B18" s="459" t="n">
        <v>6924.3</v>
      </c>
      <c r="C18" s="103" t="n">
        <v>382506</v>
      </c>
      <c r="D18" s="109" t="n">
        <f aca="false">C18-C17</f>
        <v>-89</v>
      </c>
      <c r="E18" s="103" t="n">
        <f aca="false">C18-152000</f>
        <v>230506</v>
      </c>
      <c r="F18" s="464" t="n">
        <f aca="false">D18/$D$2</f>
        <v>-44.8701789765566</v>
      </c>
      <c r="G18" s="140" t="n">
        <v>955</v>
      </c>
      <c r="H18" s="111" t="n">
        <v>0.3</v>
      </c>
      <c r="I18" s="140" t="n">
        <f aca="false">G18+H18</f>
        <v>955.3</v>
      </c>
      <c r="J18" s="465" t="n">
        <f aca="false">IF(L18&gt;0,L18,0)</f>
        <v>156.829821023443</v>
      </c>
      <c r="K18" s="140" t="n">
        <f aca="false">I18+J18</f>
        <v>1112.12982102344</v>
      </c>
      <c r="L18" s="140" t="n">
        <f aca="false">F18-(I18-AF18)</f>
        <v>156.829821023443</v>
      </c>
      <c r="M18" s="142" t="n">
        <v>263</v>
      </c>
      <c r="N18" s="258" t="n">
        <f aca="false">1.8299*1.03</f>
        <v>1.884797</v>
      </c>
      <c r="O18" s="470" t="n">
        <f aca="false">(34+37)*1.05</f>
        <v>74.55</v>
      </c>
      <c r="P18" s="380" t="n">
        <v>0</v>
      </c>
      <c r="Q18" s="258" t="n">
        <f aca="false">2.93*1.02</f>
        <v>2.9886</v>
      </c>
      <c r="R18" s="258" t="n">
        <v>4.2</v>
      </c>
      <c r="S18" s="380" t="n">
        <v>2.49</v>
      </c>
      <c r="T18" s="456" t="n">
        <v>0</v>
      </c>
      <c r="U18" s="140" t="n">
        <v>170</v>
      </c>
      <c r="V18" s="140" t="n">
        <v>70</v>
      </c>
      <c r="W18" s="141" t="n">
        <f aca="false">M18-N18-O18-P18-Q18-R18-S18-T18+U18+V18-AQ18</f>
        <v>416.886603</v>
      </c>
      <c r="X18" s="115" t="n">
        <f aca="false">X17+AN18-AD18-(AO18/1.9835)</f>
        <v>15220.4061129564</v>
      </c>
      <c r="Y18" s="115" t="n">
        <f aca="false">Y17</f>
        <v>1648.6</v>
      </c>
      <c r="Z18" s="115"/>
      <c r="AA18" s="140" t="n">
        <v>103</v>
      </c>
      <c r="AB18" s="142" t="n">
        <v>1.7</v>
      </c>
      <c r="AC18" s="143" t="n">
        <v>1.3</v>
      </c>
      <c r="AD18" s="524" t="n">
        <v>551</v>
      </c>
      <c r="AE18" s="525" t="n">
        <f aca="false">AE17</f>
        <v>13402.823072851</v>
      </c>
      <c r="AF18" s="140" t="n">
        <f aca="false">N18+O18+P18+Q18+R18+S18+T18+W18+AA18+AD18</f>
        <v>1157</v>
      </c>
      <c r="AG18" s="140" t="n">
        <f aca="false">IF(L18&lt;0,L18*-1,0)</f>
        <v>0</v>
      </c>
      <c r="AH18" s="140" t="n">
        <f aca="false">AF18+AG18</f>
        <v>1157</v>
      </c>
      <c r="AI18" s="108" t="n">
        <v>0</v>
      </c>
      <c r="AJ18" s="109" t="n">
        <v>63</v>
      </c>
      <c r="AK18" s="110" t="n">
        <v>32</v>
      </c>
      <c r="AL18" s="457" t="n">
        <f aca="false">AL17</f>
        <v>10481.92122</v>
      </c>
      <c r="AM18" s="457"/>
      <c r="AN18" s="457" t="n">
        <f aca="false">795-W18</f>
        <v>378.113397</v>
      </c>
      <c r="AO18" s="258" t="n">
        <f aca="false">64*(X17*1.9835+Y18*1.9835+AN18*1.9835)/E18</f>
        <v>9.5961901736799</v>
      </c>
      <c r="AP18" s="458"/>
      <c r="AQ18" s="10"/>
    </row>
    <row r="19" customFormat="false" ht="12.95" hidden="false" customHeight="true" outlineLevel="0" collapsed="false">
      <c r="A19" s="18" t="n">
        <f aca="false">A18+1</f>
        <v>8</v>
      </c>
      <c r="B19" s="459" t="n">
        <v>6924.17</v>
      </c>
      <c r="C19" s="103" t="n">
        <v>381923</v>
      </c>
      <c r="D19" s="109" t="n">
        <f aca="false">C19-C18</f>
        <v>-583</v>
      </c>
      <c r="E19" s="103" t="n">
        <f aca="false">C19-152000</f>
        <v>229923</v>
      </c>
      <c r="F19" s="464" t="n">
        <f aca="false">D19/$D$2</f>
        <v>-293.924880262163</v>
      </c>
      <c r="G19" s="140" t="n">
        <v>788</v>
      </c>
      <c r="H19" s="111" t="n">
        <v>0.23</v>
      </c>
      <c r="I19" s="140" t="n">
        <f aca="false">G19+H19</f>
        <v>788.23</v>
      </c>
      <c r="J19" s="465" t="n">
        <f aca="false">IF(L19&gt;0,L19,0)</f>
        <v>0</v>
      </c>
      <c r="K19" s="140" t="n">
        <f aca="false">I19+J19</f>
        <v>788.23</v>
      </c>
      <c r="L19" s="140" t="n">
        <f aca="false">F19-(I19-AF19)</f>
        <v>-14.1548802621629</v>
      </c>
      <c r="M19" s="142" t="n">
        <v>284</v>
      </c>
      <c r="N19" s="258" t="n">
        <f aca="false">1.8299*1.03</f>
        <v>1.884797</v>
      </c>
      <c r="O19" s="470" t="n">
        <f aca="false">(41+44)*1.05</f>
        <v>89.25</v>
      </c>
      <c r="P19" s="380" t="n">
        <v>0</v>
      </c>
      <c r="Q19" s="258" t="n">
        <f aca="false">2.93*1.02</f>
        <v>2.9886</v>
      </c>
      <c r="R19" s="258" t="n">
        <v>4.2</v>
      </c>
      <c r="S19" s="380" t="n">
        <v>2.21</v>
      </c>
      <c r="T19" s="456" t="n">
        <v>0</v>
      </c>
      <c r="U19" s="140" t="n">
        <v>172</v>
      </c>
      <c r="V19" s="140" t="n">
        <v>70</v>
      </c>
      <c r="W19" s="141" t="n">
        <f aca="false">M19-N19-O19-P19-Q19-R19-S19-T19+U19+V19-AQ19</f>
        <v>425.466603</v>
      </c>
      <c r="X19" s="115" t="n">
        <f aca="false">X18+AN19-AD19-(AO19/1.9835)</f>
        <v>15175.4868511705</v>
      </c>
      <c r="Y19" s="115" t="n">
        <f aca="false">Y18</f>
        <v>1648.6</v>
      </c>
      <c r="Z19" s="115"/>
      <c r="AA19" s="140" t="n">
        <v>148</v>
      </c>
      <c r="AB19" s="142" t="n">
        <v>1.7</v>
      </c>
      <c r="AC19" s="143" t="n">
        <v>1.3</v>
      </c>
      <c r="AD19" s="524" t="n">
        <v>394</v>
      </c>
      <c r="AE19" s="525" t="n">
        <f aca="false">AE18</f>
        <v>13402.823072851</v>
      </c>
      <c r="AF19" s="140" t="n">
        <f aca="false">N19+O19+P19+Q19+R19+S19+T19+W19+AA19+AD19</f>
        <v>1068</v>
      </c>
      <c r="AG19" s="140" t="n">
        <f aca="false">IF(L19&lt;0,L19*-1,0)</f>
        <v>14.1548802621629</v>
      </c>
      <c r="AH19" s="140" t="n">
        <f aca="false">AF19+AG19</f>
        <v>1082.15488026216</v>
      </c>
      <c r="AI19" s="108" t="n">
        <v>0</v>
      </c>
      <c r="AJ19" s="109" t="n">
        <v>76</v>
      </c>
      <c r="AK19" s="110" t="n">
        <v>30</v>
      </c>
      <c r="AL19" s="457" t="n">
        <f aca="false">AL18</f>
        <v>10481.92122</v>
      </c>
      <c r="AM19" s="457"/>
      <c r="AN19" s="457" t="n">
        <f aca="false">I19-Q19-R19-W19-AB19</f>
        <v>353.874797</v>
      </c>
      <c r="AO19" s="258" t="n">
        <f aca="false">64*(X18*1.9835+Y19*1.9835+AN19*1.9835)/E19</f>
        <v>9.50901560189068</v>
      </c>
      <c r="AP19" s="458"/>
      <c r="AQ19" s="10"/>
    </row>
    <row r="20" customFormat="false" ht="12.95" hidden="false" customHeight="true" outlineLevel="0" collapsed="false">
      <c r="A20" s="18" t="n">
        <f aca="false">A19+1</f>
        <v>9</v>
      </c>
      <c r="B20" s="459" t="n">
        <v>6924.11</v>
      </c>
      <c r="C20" s="103" t="n">
        <v>381653</v>
      </c>
      <c r="D20" s="109" t="n">
        <f aca="false">C20-C19</f>
        <v>-270</v>
      </c>
      <c r="E20" s="103" t="n">
        <f aca="false">C20-152000</f>
        <v>229653</v>
      </c>
      <c r="F20" s="464" t="n">
        <f aca="false">D20/$D$2</f>
        <v>-136.1230148727</v>
      </c>
      <c r="G20" s="140" t="n">
        <v>782</v>
      </c>
      <c r="H20" s="111" t="n">
        <v>0.21</v>
      </c>
      <c r="I20" s="140" t="n">
        <f aca="false">G20+H20</f>
        <v>782.21</v>
      </c>
      <c r="J20" s="465" t="n">
        <f aca="false">IF(L20&gt;0,L20,0)</f>
        <v>11.6669851273003</v>
      </c>
      <c r="K20" s="140" t="n">
        <f aca="false">I20+J20</f>
        <v>793.8769851273</v>
      </c>
      <c r="L20" s="140" t="n">
        <f aca="false">F20-(I20-AF20)</f>
        <v>11.6669851273003</v>
      </c>
      <c r="M20" s="142" t="n">
        <v>296</v>
      </c>
      <c r="N20" s="258" t="n">
        <f aca="false">1.8299*1.03</f>
        <v>1.884797</v>
      </c>
      <c r="O20" s="470" t="n">
        <f aca="false">(46+48)*1.05</f>
        <v>98.7</v>
      </c>
      <c r="P20" s="380" t="n">
        <v>0</v>
      </c>
      <c r="Q20" s="258" t="n">
        <f aca="false">2.93*1.02</f>
        <v>2.9886</v>
      </c>
      <c r="R20" s="258" t="n">
        <v>4.2</v>
      </c>
      <c r="S20" s="380" t="n">
        <v>3.12</v>
      </c>
      <c r="T20" s="456" t="n">
        <v>0</v>
      </c>
      <c r="U20" s="140" t="n">
        <v>172</v>
      </c>
      <c r="V20" s="140" t="n">
        <v>70</v>
      </c>
      <c r="W20" s="141" t="n">
        <f aca="false">M20-N20-O20-P20-Q20-R20-S20-T20+U20+V20-AQ20</f>
        <v>427.106603</v>
      </c>
      <c r="X20" s="115" t="n">
        <f aca="false">X19+AN20-AD20-(AO20/1.9835)</f>
        <v>15288.9166059308</v>
      </c>
      <c r="Y20" s="115" t="n">
        <f aca="false">Y19</f>
        <v>1648.6</v>
      </c>
      <c r="Z20" s="115"/>
      <c r="AA20" s="140" t="n">
        <v>164</v>
      </c>
      <c r="AB20" s="142" t="n">
        <v>1.7</v>
      </c>
      <c r="AC20" s="143" t="n">
        <v>1.3</v>
      </c>
      <c r="AD20" s="524" t="n">
        <v>228</v>
      </c>
      <c r="AE20" s="525" t="n">
        <f aca="false">AE19</f>
        <v>13402.823072851</v>
      </c>
      <c r="AF20" s="140" t="n">
        <f aca="false">N20+O20+P20+Q20+R20+S20+T20+W20+AA20+AD20</f>
        <v>930</v>
      </c>
      <c r="AG20" s="140" t="n">
        <f aca="false">IF(L20&lt;0,L20*-1,0)</f>
        <v>0</v>
      </c>
      <c r="AH20" s="140" t="n">
        <f aca="false">AF20+AG20</f>
        <v>930</v>
      </c>
      <c r="AI20" s="108" t="n">
        <v>0</v>
      </c>
      <c r="AJ20" s="109" t="n">
        <v>81</v>
      </c>
      <c r="AK20" s="110" t="n">
        <v>43</v>
      </c>
      <c r="AL20" s="457" t="n">
        <f aca="false">AL19</f>
        <v>10481.92122</v>
      </c>
      <c r="AM20" s="457"/>
      <c r="AN20" s="457" t="n">
        <f aca="false">I20-Q20-R20-W20-AB20</f>
        <v>346.214797</v>
      </c>
      <c r="AO20" s="258" t="n">
        <f aca="false">64*(X19*1.9835+Y20*1.9835+AN20*1.9835)/E20</f>
        <v>9.49113128252345</v>
      </c>
      <c r="AP20" s="458"/>
      <c r="AQ20" s="10"/>
    </row>
    <row r="21" customFormat="false" ht="12.95" hidden="false" customHeight="true" outlineLevel="0" collapsed="false">
      <c r="A21" s="18" t="n">
        <f aca="false">A20+1</f>
        <v>10</v>
      </c>
      <c r="B21" s="459" t="n">
        <v>6924.1</v>
      </c>
      <c r="C21" s="103" t="n">
        <v>381608</v>
      </c>
      <c r="D21" s="109" t="n">
        <f aca="false">C21-C20</f>
        <v>-45</v>
      </c>
      <c r="E21" s="103" t="n">
        <f aca="false">C21-152000</f>
        <v>229608</v>
      </c>
      <c r="F21" s="464" t="n">
        <f aca="false">D21/$D$2</f>
        <v>-22.68716914545</v>
      </c>
      <c r="G21" s="140" t="n">
        <v>835</v>
      </c>
      <c r="H21" s="111" t="n">
        <v>0.28</v>
      </c>
      <c r="I21" s="140" t="n">
        <f aca="false">G21+H21</f>
        <v>835.28</v>
      </c>
      <c r="J21" s="465" t="n">
        <f aca="false">IF(L21&gt;0,L21,0)</f>
        <v>0</v>
      </c>
      <c r="K21" s="140" t="n">
        <f aca="false">I21+J21</f>
        <v>835.28</v>
      </c>
      <c r="L21" s="140" t="n">
        <f aca="false">F21-(I21-AF21)</f>
        <v>-34.9671691454499</v>
      </c>
      <c r="M21" s="142" t="n">
        <v>268</v>
      </c>
      <c r="N21" s="258" t="n">
        <f aca="false">1.8299*1.03</f>
        <v>1.884797</v>
      </c>
      <c r="O21" s="470" t="n">
        <f aca="false">(36+36)*1.05</f>
        <v>75.6</v>
      </c>
      <c r="P21" s="380" t="n">
        <v>0</v>
      </c>
      <c r="Q21" s="258" t="n">
        <f aca="false">2.93*1.02</f>
        <v>2.9886</v>
      </c>
      <c r="R21" s="258" t="n">
        <v>4.2</v>
      </c>
      <c r="S21" s="380" t="n">
        <v>3.59</v>
      </c>
      <c r="T21" s="456" t="n">
        <v>0</v>
      </c>
      <c r="U21" s="140" t="n">
        <v>172</v>
      </c>
      <c r="V21" s="140" t="n">
        <v>70</v>
      </c>
      <c r="W21" s="141" t="n">
        <f aca="false">M21-N21-O21-P21-Q21-R21-S21-T21+U21+V21-AQ21</f>
        <v>421.736603</v>
      </c>
      <c r="X21" s="115" t="n">
        <f aca="false">X20+AN21-AD21-(AO21/1.9835)</f>
        <v>15466.3548665236</v>
      </c>
      <c r="Y21" s="115" t="n">
        <f aca="false">Y20</f>
        <v>1648.6</v>
      </c>
      <c r="Z21" s="115"/>
      <c r="AA21" s="140" t="n">
        <v>122</v>
      </c>
      <c r="AB21" s="142" t="n">
        <v>1.7</v>
      </c>
      <c r="AC21" s="143" t="n">
        <v>1.3</v>
      </c>
      <c r="AD21" s="524" t="n">
        <v>191</v>
      </c>
      <c r="AE21" s="525" t="n">
        <f aca="false">AE20</f>
        <v>13402.823072851</v>
      </c>
      <c r="AF21" s="140" t="n">
        <f aca="false">N21+O21+P21+Q21+R21+S21+T21+W21+AA21+AD21</f>
        <v>823</v>
      </c>
      <c r="AG21" s="140" t="n">
        <f aca="false">IF(L21&lt;0,L21*-1,0)</f>
        <v>34.9671691454499</v>
      </c>
      <c r="AH21" s="140" t="n">
        <f aca="false">AF21+AG21</f>
        <v>857.96716914545</v>
      </c>
      <c r="AI21" s="108" t="n">
        <v>0</v>
      </c>
      <c r="AJ21" s="109" t="n">
        <v>82</v>
      </c>
      <c r="AK21" s="110" t="n">
        <v>43</v>
      </c>
      <c r="AL21" s="457" t="n">
        <f aca="false">AL20</f>
        <v>10481.92122</v>
      </c>
      <c r="AM21" s="457"/>
      <c r="AN21" s="457" t="n">
        <f aca="false">795-W21</f>
        <v>373.263397</v>
      </c>
      <c r="AO21" s="258" t="n">
        <f aca="false">64*(X20*1.9835+Y21*1.9835+AN21*1.9835)/E21</f>
        <v>9.57065806370878</v>
      </c>
      <c r="AP21" s="458"/>
      <c r="AQ21" s="10"/>
    </row>
    <row r="22" customFormat="false" ht="12.95" hidden="false" customHeight="true" outlineLevel="0" collapsed="false">
      <c r="A22" s="18" t="n">
        <f aca="false">A21+1</f>
        <v>11</v>
      </c>
      <c r="B22" s="459" t="n">
        <v>6924.21</v>
      </c>
      <c r="C22" s="103" t="n">
        <v>382102</v>
      </c>
      <c r="D22" s="109" t="n">
        <f aca="false">C22-C21</f>
        <v>494</v>
      </c>
      <c r="E22" s="103" t="n">
        <f aca="false">C22-152000</f>
        <v>230102</v>
      </c>
      <c r="F22" s="464" t="n">
        <f aca="false">D22/$D$2</f>
        <v>249.054701285606</v>
      </c>
      <c r="G22" s="140" t="n">
        <v>906</v>
      </c>
      <c r="H22" s="111" t="n">
        <v>0.38</v>
      </c>
      <c r="I22" s="140" t="n">
        <f aca="false">G22+H22</f>
        <v>906.38</v>
      </c>
      <c r="J22" s="465" t="n">
        <f aca="false">IF(L22&gt;0,L22,0)</f>
        <v>75.6747012856064</v>
      </c>
      <c r="K22" s="140" t="n">
        <f aca="false">I22+J22</f>
        <v>982.054701285606</v>
      </c>
      <c r="L22" s="140" t="n">
        <f aca="false">F22-(I22-AF22)</f>
        <v>75.6747012856064</v>
      </c>
      <c r="M22" s="142" t="n">
        <v>291</v>
      </c>
      <c r="N22" s="258" t="n">
        <f aca="false">1.8299*1.03</f>
        <v>1.884797</v>
      </c>
      <c r="O22" s="470" t="n">
        <f aca="false">(40+38)*1.05</f>
        <v>81.9</v>
      </c>
      <c r="P22" s="380" t="n">
        <v>0</v>
      </c>
      <c r="Q22" s="258" t="n">
        <f aca="false">2.93*1.02</f>
        <v>2.9886</v>
      </c>
      <c r="R22" s="258" t="n">
        <v>4.2</v>
      </c>
      <c r="S22" s="380" t="n">
        <v>4.92</v>
      </c>
      <c r="T22" s="456" t="n">
        <v>0</v>
      </c>
      <c r="U22" s="140" t="n">
        <v>173</v>
      </c>
      <c r="V22" s="140" t="n">
        <v>72</v>
      </c>
      <c r="W22" s="141" t="n">
        <f aca="false">M22-N22-O22-P22-Q22-R22-S22-T22+U22+V22-AQ22</f>
        <v>440.106603</v>
      </c>
      <c r="X22" s="115" t="n">
        <f aca="false">X21+AN22-AD22-(AO22/1.9835)</f>
        <v>15725.3892432245</v>
      </c>
      <c r="Y22" s="115" t="n">
        <f aca="false">Y21</f>
        <v>1648.6</v>
      </c>
      <c r="Z22" s="115"/>
      <c r="AA22" s="140" t="n">
        <v>106</v>
      </c>
      <c r="AB22" s="142" t="n">
        <v>1.7</v>
      </c>
      <c r="AC22" s="143" t="n">
        <v>1.3</v>
      </c>
      <c r="AD22" s="524" t="n">
        <v>91</v>
      </c>
      <c r="AE22" s="525" t="n">
        <f aca="false">AE21</f>
        <v>13402.823072851</v>
      </c>
      <c r="AF22" s="140" t="n">
        <f aca="false">N22+O22+P22+Q22+R22+S22+T22+W22+AA22+AD22</f>
        <v>733</v>
      </c>
      <c r="AG22" s="140" t="n">
        <f aca="false">IF(L22&lt;0,L22*-1,0)</f>
        <v>0</v>
      </c>
      <c r="AH22" s="140" t="n">
        <f aca="false">AF22+AG22</f>
        <v>733</v>
      </c>
      <c r="AI22" s="108" t="n">
        <v>0</v>
      </c>
      <c r="AJ22" s="109" t="n">
        <v>80</v>
      </c>
      <c r="AK22" s="110" t="n">
        <v>49</v>
      </c>
      <c r="AL22" s="457" t="n">
        <f aca="false">AL21</f>
        <v>10481.92122</v>
      </c>
      <c r="AM22" s="457"/>
      <c r="AN22" s="457" t="n">
        <f aca="false">795-W22</f>
        <v>354.893397</v>
      </c>
      <c r="AO22" s="258" t="n">
        <f aca="false">64*(X21*1.9835+Y22*1.9835+AN22*1.9835)/E22</f>
        <v>9.63786676328209</v>
      </c>
      <c r="AP22" s="458"/>
      <c r="AQ22" s="10"/>
    </row>
    <row r="23" customFormat="false" ht="12.95" hidden="false" customHeight="true" outlineLevel="0" collapsed="false">
      <c r="A23" s="18" t="n">
        <f aca="false">A22+1</f>
        <v>12</v>
      </c>
      <c r="B23" s="459" t="n">
        <v>6924.3</v>
      </c>
      <c r="C23" s="103" t="n">
        <v>382506</v>
      </c>
      <c r="D23" s="109" t="n">
        <f aca="false">C23-C22</f>
        <v>404</v>
      </c>
      <c r="E23" s="103" t="n">
        <f aca="false">C23-152000</f>
        <v>230506</v>
      </c>
      <c r="F23" s="464" t="n">
        <f aca="false">D23/$D$2</f>
        <v>203.680362994706</v>
      </c>
      <c r="G23" s="140" t="n">
        <v>865</v>
      </c>
      <c r="H23" s="111" t="n">
        <v>0.39</v>
      </c>
      <c r="I23" s="140" t="n">
        <f aca="false">G23+H23</f>
        <v>865.39</v>
      </c>
      <c r="J23" s="465" t="n">
        <f aca="false">IF(L23&gt;0,L23,0)</f>
        <v>20.2903629947063</v>
      </c>
      <c r="K23" s="140" t="n">
        <f aca="false">I23+J23</f>
        <v>885.680362994706</v>
      </c>
      <c r="L23" s="140" t="n">
        <f aca="false">F23-(I23-AF23)</f>
        <v>20.2903629947063</v>
      </c>
      <c r="M23" s="142" t="n">
        <v>268</v>
      </c>
      <c r="N23" s="258" t="n">
        <f aca="false">1.8299*1.03</f>
        <v>1.884797</v>
      </c>
      <c r="O23" s="470" t="n">
        <f aca="false">(38+35)*1.05</f>
        <v>76.65</v>
      </c>
      <c r="P23" s="380" t="n">
        <v>0</v>
      </c>
      <c r="Q23" s="258" t="n">
        <f aca="false">2.93*1.02</f>
        <v>2.9886</v>
      </c>
      <c r="R23" s="258" t="n">
        <v>4.2</v>
      </c>
      <c r="S23" s="380" t="n">
        <v>2.2</v>
      </c>
      <c r="T23" s="456" t="n">
        <v>0</v>
      </c>
      <c r="U23" s="140" t="n">
        <v>177</v>
      </c>
      <c r="V23" s="140" t="n">
        <v>74</v>
      </c>
      <c r="W23" s="141" t="n">
        <f aca="false">M23-N23-O23-P23-Q23-R23-S23-T23+U23+V23-AQ23</f>
        <v>431.076603</v>
      </c>
      <c r="X23" s="115" t="n">
        <f aca="false">X22+AN23-(AO23/1.9835)</f>
        <v>16084.3877080796</v>
      </c>
      <c r="Y23" s="115" t="n">
        <f aca="false">Y22</f>
        <v>1648.6</v>
      </c>
      <c r="Z23" s="115"/>
      <c r="AA23" s="140" t="n">
        <v>95</v>
      </c>
      <c r="AB23" s="142" t="n">
        <v>1.7</v>
      </c>
      <c r="AC23" s="143" t="n">
        <v>1.3</v>
      </c>
      <c r="AD23" s="467" t="n">
        <v>68</v>
      </c>
      <c r="AE23" s="468" t="n">
        <f aca="false">AE22-AD23</f>
        <v>13334.823072851</v>
      </c>
      <c r="AF23" s="140" t="n">
        <f aca="false">N23+O23+P23+Q23+R23+S23+T23+W23+AA23+AD23</f>
        <v>682</v>
      </c>
      <c r="AG23" s="140" t="n">
        <f aca="false">IF(L23&lt;0,L23*-1,0)</f>
        <v>0</v>
      </c>
      <c r="AH23" s="140" t="n">
        <f aca="false">AF23+AG23</f>
        <v>682</v>
      </c>
      <c r="AI23" s="108" t="n">
        <v>0.08</v>
      </c>
      <c r="AJ23" s="109" t="n">
        <v>68</v>
      </c>
      <c r="AK23" s="110" t="n">
        <v>50</v>
      </c>
      <c r="AL23" s="457" t="n">
        <f aca="false">AL22</f>
        <v>10481.92122</v>
      </c>
      <c r="AM23" s="457"/>
      <c r="AN23" s="457" t="n">
        <f aca="false">795-W23</f>
        <v>363.923397</v>
      </c>
      <c r="AO23" s="258" t="n">
        <f aca="false">64*(X22*1.9835+Y23*1.9835+AN23*1.9835)/E23</f>
        <v>9.76860290925466</v>
      </c>
      <c r="AP23" s="458"/>
      <c r="AQ23" s="10"/>
    </row>
    <row r="24" customFormat="false" ht="12.95" hidden="false" customHeight="true" outlineLevel="0" collapsed="false">
      <c r="A24" s="18" t="n">
        <f aca="false">A23+1</f>
        <v>13</v>
      </c>
      <c r="B24" s="459" t="n">
        <v>6924.34</v>
      </c>
      <c r="C24" s="103" t="n">
        <v>382685</v>
      </c>
      <c r="D24" s="109" t="n">
        <f aca="false">C24-C23</f>
        <v>179</v>
      </c>
      <c r="E24" s="103" t="n">
        <f aca="false">C24-152000</f>
        <v>230685</v>
      </c>
      <c r="F24" s="464" t="n">
        <f aca="false">D24/$D$2</f>
        <v>90.2445172674565</v>
      </c>
      <c r="G24" s="140" t="n">
        <v>813</v>
      </c>
      <c r="H24" s="111" t="n">
        <v>0.49</v>
      </c>
      <c r="I24" s="140" t="n">
        <f aca="false">G24+H24</f>
        <v>813.49</v>
      </c>
      <c r="J24" s="465" t="n">
        <f aca="false">IF(L24&gt;0,L24,0)</f>
        <v>0</v>
      </c>
      <c r="K24" s="140" t="n">
        <f aca="false">I24+J24</f>
        <v>813.49</v>
      </c>
      <c r="L24" s="140" t="n">
        <f aca="false">F24-(I24-AF24)</f>
        <v>-28.2454827325435</v>
      </c>
      <c r="M24" s="142" t="n">
        <v>284</v>
      </c>
      <c r="N24" s="258" t="n">
        <f aca="false">1.8299*1.03</f>
        <v>1.884797</v>
      </c>
      <c r="O24" s="470" t="n">
        <f aca="false">(42+41)*1.05</f>
        <v>87.15</v>
      </c>
      <c r="P24" s="380" t="n">
        <v>0</v>
      </c>
      <c r="Q24" s="258" t="n">
        <f aca="false">2.93*1.02</f>
        <v>2.9886</v>
      </c>
      <c r="R24" s="258" t="n">
        <v>4.2</v>
      </c>
      <c r="S24" s="380" t="n">
        <v>3</v>
      </c>
      <c r="T24" s="456" t="n">
        <v>0</v>
      </c>
      <c r="U24" s="140" t="n">
        <v>182</v>
      </c>
      <c r="V24" s="140" t="n">
        <v>74</v>
      </c>
      <c r="W24" s="141" t="n">
        <f aca="false">M24-N24-O24-P24-Q24-R24-S24-T24+U24+V24-AQ24</f>
        <v>440.776603</v>
      </c>
      <c r="X24" s="115" t="n">
        <f aca="false">X23+AN24-(AO24/1.9835)</f>
        <v>16433.5930869565</v>
      </c>
      <c r="Y24" s="115" t="n">
        <f aca="false">Y23</f>
        <v>1648.6</v>
      </c>
      <c r="Z24" s="115"/>
      <c r="AA24" s="140" t="n">
        <v>72</v>
      </c>
      <c r="AB24" s="142" t="n">
        <v>1.7</v>
      </c>
      <c r="AC24" s="143" t="n">
        <v>1.3</v>
      </c>
      <c r="AD24" s="467" t="n">
        <v>83</v>
      </c>
      <c r="AE24" s="468" t="n">
        <f aca="false">AE23-68</f>
        <v>13266.823072851</v>
      </c>
      <c r="AF24" s="140" t="n">
        <f aca="false">N24+O24+P24+Q24+R24+S24+T24+W24+AA24+AD24</f>
        <v>695</v>
      </c>
      <c r="AG24" s="140" t="n">
        <f aca="false">IF(L24&lt;0,L24*-1,0)</f>
        <v>28.2454827325435</v>
      </c>
      <c r="AH24" s="140" t="n">
        <f aca="false">AF24+AG24</f>
        <v>723.245482732543</v>
      </c>
      <c r="AI24" s="108" t="n">
        <v>0</v>
      </c>
      <c r="AJ24" s="109" t="n">
        <v>81</v>
      </c>
      <c r="AK24" s="110" t="n">
        <v>45</v>
      </c>
      <c r="AL24" s="457" t="n">
        <f aca="false">AL23</f>
        <v>10481.92122</v>
      </c>
      <c r="AM24" s="457"/>
      <c r="AN24" s="457" t="n">
        <f aca="false">795-W24</f>
        <v>354.223397</v>
      </c>
      <c r="AO24" s="258" t="n">
        <f aca="false">64*(X23*1.9835+Y24*1.9835+AN24*1.9835)/E24</f>
        <v>9.9532389471497</v>
      </c>
      <c r="AP24" s="458"/>
      <c r="AQ24" s="10"/>
    </row>
    <row r="25" customFormat="false" ht="12.95" hidden="false" customHeight="true" outlineLevel="0" collapsed="false">
      <c r="A25" s="18" t="n">
        <f aca="false">A24+1</f>
        <v>14</v>
      </c>
      <c r="B25" s="459" t="n">
        <v>6924.32</v>
      </c>
      <c r="C25" s="103" t="n">
        <v>382595</v>
      </c>
      <c r="D25" s="109" t="n">
        <f aca="false">C25-C24</f>
        <v>-90</v>
      </c>
      <c r="E25" s="103" t="n">
        <f aca="false">C25-152000</f>
        <v>230595</v>
      </c>
      <c r="F25" s="464" t="n">
        <f aca="false">D25/$D$2</f>
        <v>-45.3743382908999</v>
      </c>
      <c r="G25" s="140" t="n">
        <v>795</v>
      </c>
      <c r="H25" s="111" t="n">
        <v>0.58</v>
      </c>
      <c r="I25" s="140" t="n">
        <f aca="false">G25+H25</f>
        <v>795.58</v>
      </c>
      <c r="J25" s="465" t="n">
        <f aca="false">IF(L25&gt;0,L25,0)</f>
        <v>0</v>
      </c>
      <c r="K25" s="140" t="n">
        <f aca="false">I25+J25</f>
        <v>795.58</v>
      </c>
      <c r="L25" s="140" t="n">
        <f aca="false">F25-(I25-AF25)</f>
        <v>-73.9543382909</v>
      </c>
      <c r="M25" s="142" t="n">
        <v>308</v>
      </c>
      <c r="N25" s="258" t="n">
        <f aca="false">1.8299*1.03</f>
        <v>1.884797</v>
      </c>
      <c r="O25" s="470" t="n">
        <f aca="false">(44+43)*1.05</f>
        <v>91.35</v>
      </c>
      <c r="P25" s="380" t="n">
        <v>0</v>
      </c>
      <c r="Q25" s="258" t="n">
        <f aca="false">2.93*1.02</f>
        <v>2.9886</v>
      </c>
      <c r="R25" s="258" t="n">
        <v>4.2</v>
      </c>
      <c r="S25" s="380" t="n">
        <v>3.46</v>
      </c>
      <c r="T25" s="456" t="n">
        <v>0</v>
      </c>
      <c r="U25" s="140" t="n">
        <v>193</v>
      </c>
      <c r="V25" s="140" t="n">
        <v>73</v>
      </c>
      <c r="W25" s="141" t="n">
        <f aca="false">M25-N25-O25-P25-Q25-R25-S25-T25+U25+V25-AQ25</f>
        <v>470.116603</v>
      </c>
      <c r="X25" s="115" t="n">
        <f aca="false">X24-(AO25/1.9835)-179.98</f>
        <v>16248.5945030429</v>
      </c>
      <c r="Y25" s="115" t="n">
        <f aca="false">Y24</f>
        <v>1648.6</v>
      </c>
      <c r="Z25" s="115"/>
      <c r="AA25" s="140" t="n">
        <v>107</v>
      </c>
      <c r="AB25" s="142" t="n">
        <v>1.7</v>
      </c>
      <c r="AC25" s="143" t="n">
        <v>1.3</v>
      </c>
      <c r="AD25" s="467" t="n">
        <v>86</v>
      </c>
      <c r="AE25" s="468" t="n">
        <f aca="false">AE24-68</f>
        <v>13198.823072851</v>
      </c>
      <c r="AF25" s="140" t="n">
        <f aca="false">N25+O25+P25+Q25+R25+S25+T25+W25+AA25+AD25</f>
        <v>767</v>
      </c>
      <c r="AG25" s="140" t="n">
        <f aca="false">IF(L25&lt;0,L25*-1,0)</f>
        <v>73.9543382909</v>
      </c>
      <c r="AH25" s="140" t="n">
        <f aca="false">AF25+AG25</f>
        <v>840.9543382909</v>
      </c>
      <c r="AI25" s="108" t="n">
        <v>0</v>
      </c>
      <c r="AJ25" s="109" t="n">
        <v>83</v>
      </c>
      <c r="AK25" s="110" t="n">
        <v>45</v>
      </c>
      <c r="AL25" s="457" t="n">
        <f aca="false">AL24</f>
        <v>10481.92122</v>
      </c>
      <c r="AM25" s="457"/>
      <c r="AN25" s="457" t="n">
        <v>0</v>
      </c>
      <c r="AO25" s="258" t="n">
        <f aca="false">64*(X24*1.9835+Y25*1.9835+AN25*1.9835)/E25</f>
        <v>9.95436119269981</v>
      </c>
      <c r="AP25" s="458"/>
      <c r="AQ25" s="10"/>
    </row>
    <row r="26" customFormat="false" ht="12.95" hidden="false" customHeight="true" outlineLevel="0" collapsed="false">
      <c r="A26" s="18" t="n">
        <f aca="false">A25+1</f>
        <v>15</v>
      </c>
      <c r="B26" s="459" t="n">
        <v>6924.31</v>
      </c>
      <c r="C26" s="103" t="n">
        <v>382551</v>
      </c>
      <c r="D26" s="109" t="n">
        <f aca="false">C26-C25</f>
        <v>-44</v>
      </c>
      <c r="E26" s="103" t="n">
        <f aca="false">C26-152000</f>
        <v>230551</v>
      </c>
      <c r="F26" s="464" t="n">
        <f aca="false">D26/$D$2</f>
        <v>-22.1830098311066</v>
      </c>
      <c r="G26" s="140" t="n">
        <v>798</v>
      </c>
      <c r="H26" s="111" t="n">
        <v>0.59</v>
      </c>
      <c r="I26" s="140" t="n">
        <f aca="false">G26+H26</f>
        <v>798.59</v>
      </c>
      <c r="J26" s="465" t="n">
        <f aca="false">IF(L26&gt;0,L26,0)</f>
        <v>0</v>
      </c>
      <c r="K26" s="140" t="n">
        <f aca="false">I26+J26</f>
        <v>798.59</v>
      </c>
      <c r="L26" s="140" t="n">
        <f aca="false">F26-(I26-AF26)</f>
        <v>-54.7730098311067</v>
      </c>
      <c r="M26" s="142" t="n">
        <v>299</v>
      </c>
      <c r="N26" s="258" t="n">
        <f aca="false">1.8299*1.03</f>
        <v>1.884797</v>
      </c>
      <c r="O26" s="470" t="n">
        <f aca="false">(37+38)*1.05</f>
        <v>78.75</v>
      </c>
      <c r="P26" s="380" t="n">
        <v>0</v>
      </c>
      <c r="Q26" s="258" t="n">
        <f aca="false">2.93*1.02</f>
        <v>2.9886</v>
      </c>
      <c r="R26" s="258" t="n">
        <v>4.2</v>
      </c>
      <c r="S26" s="380" t="n">
        <v>4.01</v>
      </c>
      <c r="T26" s="456" t="n">
        <v>0</v>
      </c>
      <c r="U26" s="140" t="n">
        <v>200</v>
      </c>
      <c r="V26" s="140" t="n">
        <v>72</v>
      </c>
      <c r="W26" s="141" t="n">
        <f aca="false">M26-N26-O26-P26-Q26-R26-S26-T26+U26+V26-AQ26</f>
        <v>479.166603</v>
      </c>
      <c r="X26" s="115" t="n">
        <f aca="false">X25-W26-(AO26/1.9835)</f>
        <v>15764.4597131854</v>
      </c>
      <c r="Y26" s="115" t="n">
        <f aca="false">Y25</f>
        <v>1648.6</v>
      </c>
      <c r="Z26" s="115"/>
      <c r="AA26" s="140" t="n">
        <v>117</v>
      </c>
      <c r="AB26" s="142" t="n">
        <v>1.7</v>
      </c>
      <c r="AC26" s="143" t="n">
        <v>1.3</v>
      </c>
      <c r="AD26" s="467" t="n">
        <v>78</v>
      </c>
      <c r="AE26" s="468" t="n">
        <f aca="false">AE25-AD26</f>
        <v>13120.823072851</v>
      </c>
      <c r="AF26" s="140" t="n">
        <f aca="false">N26+O26+P26+Q26+R26+S26+T26+W26+AA26+AD26</f>
        <v>766</v>
      </c>
      <c r="AG26" s="140" t="n">
        <f aca="false">IF(L26&lt;0,L26*-1,0)</f>
        <v>54.7730098311067</v>
      </c>
      <c r="AH26" s="140" t="n">
        <f aca="false">AF26+AG26</f>
        <v>820.773009831107</v>
      </c>
      <c r="AI26" s="108" t="n">
        <v>0</v>
      </c>
      <c r="AJ26" s="109" t="n">
        <v>91</v>
      </c>
      <c r="AK26" s="110" t="n">
        <v>50</v>
      </c>
      <c r="AL26" s="457" t="n">
        <f aca="false">AL25</f>
        <v>10481.92122</v>
      </c>
      <c r="AM26" s="457"/>
      <c r="AN26" s="457" t="n">
        <v>0</v>
      </c>
      <c r="AO26" s="258" t="n">
        <f aca="false">64*(X25*1.9835+Y26*1.9835+AN26*1.9835)/E26</f>
        <v>9.85439863194816</v>
      </c>
      <c r="AP26" s="458"/>
      <c r="AQ26" s="10"/>
    </row>
    <row r="27" customFormat="false" ht="12.95" hidden="false" customHeight="true" outlineLevel="0" collapsed="false">
      <c r="A27" s="18" t="n">
        <f aca="false">A26+1</f>
        <v>16</v>
      </c>
      <c r="B27" s="459" t="n">
        <v>6924.3</v>
      </c>
      <c r="C27" s="103" t="n">
        <v>382506</v>
      </c>
      <c r="D27" s="109" t="n">
        <f aca="false">C27-C26</f>
        <v>-45</v>
      </c>
      <c r="E27" s="103" t="n">
        <f aca="false">C27-152000</f>
        <v>230506</v>
      </c>
      <c r="F27" s="464" t="n">
        <f aca="false">D27/$D$2</f>
        <v>-22.68716914545</v>
      </c>
      <c r="G27" s="140" t="n">
        <v>798</v>
      </c>
      <c r="H27" s="111" t="n">
        <v>0.53</v>
      </c>
      <c r="I27" s="140" t="n">
        <f aca="false">G27+H27</f>
        <v>798.53</v>
      </c>
      <c r="J27" s="465" t="n">
        <f aca="false">IF(L27&gt;0,L27,0)</f>
        <v>0</v>
      </c>
      <c r="K27" s="140" t="n">
        <f aca="false">I27+J27</f>
        <v>798.53</v>
      </c>
      <c r="L27" s="140" t="n">
        <f aca="false">F27-(I27-AF27)</f>
        <v>-43.2171691454498</v>
      </c>
      <c r="M27" s="142" t="n">
        <v>298</v>
      </c>
      <c r="N27" s="258" t="n">
        <f aca="false">1.8299*1.03</f>
        <v>1.884797</v>
      </c>
      <c r="O27" s="470" t="n">
        <f aca="false">(32+34)*1.05</f>
        <v>69.3</v>
      </c>
      <c r="P27" s="380" t="n">
        <v>0</v>
      </c>
      <c r="Q27" s="258" t="n">
        <f aca="false">2.93*1.02</f>
        <v>2.9886</v>
      </c>
      <c r="R27" s="258" t="n">
        <v>4.2</v>
      </c>
      <c r="S27" s="380" t="n">
        <v>4.64</v>
      </c>
      <c r="T27" s="456" t="n">
        <v>0</v>
      </c>
      <c r="U27" s="140" t="n">
        <v>199</v>
      </c>
      <c r="V27" s="140" t="n">
        <v>71</v>
      </c>
      <c r="W27" s="141" t="n">
        <f aca="false">M27-N27-O27-P27-Q27-R27-S27-T27+U27+V27-AQ27</f>
        <v>484.986603</v>
      </c>
      <c r="X27" s="115" t="n">
        <f aca="false">X26-W27-(AO27/1.9835)</f>
        <v>15274.6383734686</v>
      </c>
      <c r="Y27" s="115" t="n">
        <f aca="false">Y26</f>
        <v>1648.6</v>
      </c>
      <c r="Z27" s="115"/>
      <c r="AA27" s="140" t="n">
        <v>132</v>
      </c>
      <c r="AB27" s="142" t="n">
        <v>1.7</v>
      </c>
      <c r="AC27" s="143" t="n">
        <v>1.3</v>
      </c>
      <c r="AD27" s="467" t="n">
        <v>78</v>
      </c>
      <c r="AE27" s="468" t="n">
        <f aca="false">AE26-AD27</f>
        <v>13042.823072851</v>
      </c>
      <c r="AF27" s="140" t="n">
        <f aca="false">N27+O27+P27+Q27+R27+S27+T27+W27+AA27+AD27</f>
        <v>778</v>
      </c>
      <c r="AG27" s="140" t="n">
        <f aca="false">IF(L27&lt;0,L27*-1,0)</f>
        <v>43.2171691454498</v>
      </c>
      <c r="AH27" s="140" t="n">
        <f aca="false">AF27+AG27</f>
        <v>821.21716914545</v>
      </c>
      <c r="AI27" s="108" t="n">
        <v>0</v>
      </c>
      <c r="AJ27" s="109" t="n">
        <v>89</v>
      </c>
      <c r="AK27" s="110" t="n">
        <v>52</v>
      </c>
      <c r="AL27" s="457" t="n">
        <f aca="false">AL26</f>
        <v>10481.92122</v>
      </c>
      <c r="AM27" s="457"/>
      <c r="AN27" s="457" t="n">
        <v>0</v>
      </c>
      <c r="AO27" s="258" t="n">
        <f aca="false">64*(X26*1.9835+Y27*1.9835+AN27*1.9835)/E27</f>
        <v>9.5897002777828</v>
      </c>
      <c r="AP27" s="458"/>
      <c r="AQ27" s="10"/>
    </row>
    <row r="28" customFormat="false" ht="12.95" hidden="false" customHeight="true" outlineLevel="0" collapsed="false">
      <c r="A28" s="18" t="n">
        <f aca="false">A27+1</f>
        <v>17</v>
      </c>
      <c r="B28" s="459" t="n">
        <v>6924.27</v>
      </c>
      <c r="C28" s="103" t="n">
        <v>382326</v>
      </c>
      <c r="D28" s="109" t="n">
        <f aca="false">C28-C27</f>
        <v>-180</v>
      </c>
      <c r="E28" s="103" t="n">
        <f aca="false">C28-152000</f>
        <v>230326</v>
      </c>
      <c r="F28" s="464" t="n">
        <f aca="false">D28/$D$2</f>
        <v>-90.7486765817998</v>
      </c>
      <c r="G28" s="140" t="n">
        <v>710</v>
      </c>
      <c r="H28" s="111" t="n">
        <v>0.29</v>
      </c>
      <c r="I28" s="140" t="n">
        <f aca="false">G28+H28</f>
        <v>710.29</v>
      </c>
      <c r="J28" s="465" t="n">
        <f aca="false">IF(L28&gt;0,L28,0)</f>
        <v>0</v>
      </c>
      <c r="K28" s="140" t="n">
        <f aca="false">I28+J28</f>
        <v>710.29</v>
      </c>
      <c r="L28" s="140" t="n">
        <f aca="false">F28-(I28-AF28)</f>
        <v>-5.03867658179981</v>
      </c>
      <c r="M28" s="142" t="n">
        <v>305</v>
      </c>
      <c r="N28" s="258" t="n">
        <f aca="false">1.8299*1.03</f>
        <v>1.884797</v>
      </c>
      <c r="O28" s="470" t="n">
        <f aca="false">(35+35)*1.05</f>
        <v>73.5</v>
      </c>
      <c r="P28" s="380" t="n">
        <v>0</v>
      </c>
      <c r="Q28" s="258" t="n">
        <f aca="false">2.93*1.02</f>
        <v>2.9886</v>
      </c>
      <c r="R28" s="258" t="n">
        <v>4.2</v>
      </c>
      <c r="S28" s="380" t="n">
        <v>4.04</v>
      </c>
      <c r="T28" s="456" t="n">
        <v>0</v>
      </c>
      <c r="U28" s="140" t="n">
        <v>192</v>
      </c>
      <c r="V28" s="140" t="n">
        <v>72</v>
      </c>
      <c r="W28" s="141" t="n">
        <f aca="false">M28-N28-O28-P28-Q28-R28-S28-T28+U28+V28-AQ28</f>
        <v>482.386603</v>
      </c>
      <c r="X28" s="115" t="n">
        <f aca="false">X27-W28-(AO28/1.9835)</f>
        <v>14787.5493605978</v>
      </c>
      <c r="Y28" s="115" t="n">
        <f aca="false">Y27</f>
        <v>1648.6</v>
      </c>
      <c r="Z28" s="115"/>
      <c r="AA28" s="140" t="n">
        <v>149</v>
      </c>
      <c r="AB28" s="142" t="n">
        <v>1.7</v>
      </c>
      <c r="AC28" s="143" t="n">
        <v>1.3</v>
      </c>
      <c r="AD28" s="467" t="n">
        <v>78</v>
      </c>
      <c r="AE28" s="468" t="n">
        <f aca="false">AE27-AD28</f>
        <v>12964.823072851</v>
      </c>
      <c r="AF28" s="140" t="n">
        <f aca="false">N28+O28+P28+Q28+R28+S28+T28+W28+AA28+AD28</f>
        <v>796</v>
      </c>
      <c r="AG28" s="140" t="n">
        <f aca="false">IF(L28&lt;0,L28*-1,0)</f>
        <v>5.03867658179981</v>
      </c>
      <c r="AH28" s="140" t="n">
        <f aca="false">AF28+AG28</f>
        <v>801.0386765818</v>
      </c>
      <c r="AI28" s="108" t="n">
        <v>0</v>
      </c>
      <c r="AJ28" s="109" t="n">
        <v>88</v>
      </c>
      <c r="AK28" s="110" t="n">
        <v>51</v>
      </c>
      <c r="AL28" s="457" t="n">
        <f aca="false">AL27</f>
        <v>10481.92122</v>
      </c>
      <c r="AM28" s="457"/>
      <c r="AN28" s="457" t="n">
        <v>0</v>
      </c>
      <c r="AO28" s="258" t="n">
        <f aca="false">64*(X27*1.9835+Y28*1.9835+AN28*1.9835)/E28</f>
        <v>9.32722997873272</v>
      </c>
      <c r="AP28" s="458"/>
      <c r="AQ28" s="10"/>
    </row>
    <row r="29" customFormat="false" ht="12.95" hidden="false" customHeight="true" outlineLevel="0" collapsed="false">
      <c r="A29" s="18" t="n">
        <f aca="false">A28+1</f>
        <v>18</v>
      </c>
      <c r="B29" s="459" t="n">
        <v>6924.23</v>
      </c>
      <c r="C29" s="103" t="n">
        <v>382192</v>
      </c>
      <c r="D29" s="109" t="n">
        <f aca="false">C29-C28</f>
        <v>-134</v>
      </c>
      <c r="E29" s="103" t="n">
        <f aca="false">C29-152000</f>
        <v>230192</v>
      </c>
      <c r="F29" s="464" t="n">
        <f aca="false">D29/$D$2</f>
        <v>-67.5573481220066</v>
      </c>
      <c r="G29" s="140" t="n">
        <v>699</v>
      </c>
      <c r="H29" s="111" t="n">
        <v>0.2</v>
      </c>
      <c r="I29" s="140" t="n">
        <f aca="false">G29+H29</f>
        <v>699.2</v>
      </c>
      <c r="J29" s="465" t="n">
        <f aca="false">IF(L29&gt;0,L29,0)</f>
        <v>40.2426518779934</v>
      </c>
      <c r="K29" s="140" t="n">
        <f aca="false">I29+J29</f>
        <v>739.442651877993</v>
      </c>
      <c r="L29" s="140" t="n">
        <f aca="false">F29-(I29-AF29)</f>
        <v>40.2426518779934</v>
      </c>
      <c r="M29" s="142" t="n">
        <v>293</v>
      </c>
      <c r="N29" s="258" t="n">
        <f aca="false">1.8299*1.03</f>
        <v>1.884797</v>
      </c>
      <c r="O29" s="470" t="n">
        <f aca="false">(29+31)*1.05</f>
        <v>63</v>
      </c>
      <c r="P29" s="380" t="n">
        <v>0</v>
      </c>
      <c r="Q29" s="258" t="n">
        <f aca="false">2.93*1.02</f>
        <v>2.9886</v>
      </c>
      <c r="R29" s="258" t="n">
        <v>4.2</v>
      </c>
      <c r="S29" s="380" t="n">
        <v>3.84</v>
      </c>
      <c r="T29" s="456" t="n">
        <v>0</v>
      </c>
      <c r="U29" s="140" t="n">
        <v>158</v>
      </c>
      <c r="V29" s="140" t="n">
        <v>72</v>
      </c>
      <c r="W29" s="141" t="n">
        <f aca="false">M29-N29-O29-P29-Q29-R29-S29-T29+U29+V29-AQ29</f>
        <v>447.086603</v>
      </c>
      <c r="X29" s="115" t="n">
        <f aca="false">X28-W29-(AO29/1.9835)</f>
        <v>14335.8930351092</v>
      </c>
      <c r="Y29" s="115" t="n">
        <f aca="false">Y28</f>
        <v>1648.6</v>
      </c>
      <c r="Z29" s="115"/>
      <c r="AA29" s="140" t="n">
        <v>184</v>
      </c>
      <c r="AB29" s="142" t="n">
        <v>1.7</v>
      </c>
      <c r="AC29" s="143" t="n">
        <v>1.3</v>
      </c>
      <c r="AD29" s="467" t="n">
        <v>100</v>
      </c>
      <c r="AE29" s="468" t="n">
        <f aca="false">AE28-68</f>
        <v>12896.823072851</v>
      </c>
      <c r="AF29" s="140" t="n">
        <f aca="false">N29+O29+P29+Q29+R29+S29+T29+W29+AA29+AD29</f>
        <v>807</v>
      </c>
      <c r="AG29" s="140" t="n">
        <f aca="false">IF(L29&lt;0,L29*-1,0)</f>
        <v>0</v>
      </c>
      <c r="AH29" s="140" t="n">
        <f aca="false">AF29+AG29</f>
        <v>807</v>
      </c>
      <c r="AI29" s="108" t="n">
        <v>0</v>
      </c>
      <c r="AJ29" s="109" t="n">
        <v>84</v>
      </c>
      <c r="AK29" s="110" t="n">
        <v>46</v>
      </c>
      <c r="AL29" s="457" t="n">
        <v>10571</v>
      </c>
      <c r="AM29" s="457"/>
      <c r="AN29" s="457" t="n">
        <v>0</v>
      </c>
      <c r="AO29" s="258" t="n">
        <f aca="false">64*(X28*1.9835+Y29*1.9835+AN29*1.9835)/E29</f>
        <v>9.06404455598684</v>
      </c>
      <c r="AP29" s="458"/>
      <c r="AQ29" s="10"/>
    </row>
    <row r="30" customFormat="false" ht="12.95" hidden="false" customHeight="true" outlineLevel="0" collapsed="false">
      <c r="A30" s="18" t="n">
        <f aca="false">A29+1</f>
        <v>19</v>
      </c>
      <c r="B30" s="459" t="n">
        <v>6924.12</v>
      </c>
      <c r="C30" s="103" t="n">
        <v>381698</v>
      </c>
      <c r="D30" s="109" t="n">
        <f aca="false">C30-C29</f>
        <v>-494</v>
      </c>
      <c r="E30" s="103" t="n">
        <f aca="false">C30-152000</f>
        <v>229698</v>
      </c>
      <c r="F30" s="464" t="n">
        <f aca="false">D30/$D$2</f>
        <v>-249.054701285606</v>
      </c>
      <c r="G30" s="140" t="n">
        <v>612</v>
      </c>
      <c r="H30" s="111" t="n">
        <v>0.14</v>
      </c>
      <c r="I30" s="140" t="n">
        <f aca="false">G30+H30</f>
        <v>612.14</v>
      </c>
      <c r="J30" s="465" t="n">
        <f aca="false">IF(L30&gt;0,L30,0)</f>
        <v>0</v>
      </c>
      <c r="K30" s="140" t="n">
        <f aca="false">I30+J30</f>
        <v>612.14</v>
      </c>
      <c r="L30" s="140" t="n">
        <f aca="false">F30-(I30-AF30)</f>
        <v>-58.1947012856061</v>
      </c>
      <c r="M30" s="142" t="n">
        <v>320</v>
      </c>
      <c r="N30" s="258" t="n">
        <f aca="false">1.8299*1.03</f>
        <v>1.884797</v>
      </c>
      <c r="O30" s="470" t="n">
        <f aca="false">(34+35)*1.05</f>
        <v>72.45</v>
      </c>
      <c r="P30" s="380" t="n">
        <v>0</v>
      </c>
      <c r="Q30" s="258" t="n">
        <f aca="false">2.93*1.02</f>
        <v>2.9886</v>
      </c>
      <c r="R30" s="258" t="n">
        <v>4.2</v>
      </c>
      <c r="S30" s="380" t="n">
        <v>2.48</v>
      </c>
      <c r="T30" s="456" t="n">
        <v>0</v>
      </c>
      <c r="U30" s="140" t="n">
        <v>157</v>
      </c>
      <c r="V30" s="140" t="n">
        <v>72</v>
      </c>
      <c r="W30" s="141" t="n">
        <f aca="false">M30-N30-O30-P30-Q30-R30-S30-T30+U30+V30-AQ30</f>
        <v>464.996603</v>
      </c>
      <c r="X30" s="115" t="n">
        <f aca="false">X29-W30-(AO30/1.9835)</f>
        <v>13866.442725267</v>
      </c>
      <c r="Y30" s="115" t="n">
        <f aca="false">Y29</f>
        <v>1648.6</v>
      </c>
      <c r="Z30" s="115"/>
      <c r="AA30" s="140" t="n">
        <v>175</v>
      </c>
      <c r="AB30" s="142" t="n">
        <v>1.7</v>
      </c>
      <c r="AC30" s="143" t="n">
        <v>1.3</v>
      </c>
      <c r="AD30" s="467" t="n">
        <v>79</v>
      </c>
      <c r="AE30" s="468" t="n">
        <f aca="false">AE29-AD30</f>
        <v>12817.823072851</v>
      </c>
      <c r="AF30" s="140" t="n">
        <f aca="false">N30+O30+P30+Q30+R30+S30+T30+W30+AA30+AD30</f>
        <v>803</v>
      </c>
      <c r="AG30" s="140" t="n">
        <f aca="false">IF(L30&lt;0,L30*-1,0)</f>
        <v>58.1947012856061</v>
      </c>
      <c r="AH30" s="140" t="n">
        <f aca="false">AF30+AG30</f>
        <v>861.194701285606</v>
      </c>
      <c r="AI30" s="108" t="n">
        <v>0</v>
      </c>
      <c r="AJ30" s="109" t="n">
        <v>89</v>
      </c>
      <c r="AK30" s="110" t="n">
        <v>44</v>
      </c>
      <c r="AL30" s="457" t="n">
        <v>10571</v>
      </c>
      <c r="AM30" s="457"/>
      <c r="AN30" s="457" t="n">
        <v>0</v>
      </c>
      <c r="AO30" s="258" t="n">
        <f aca="false">64*(X29*1.9835+Y30*1.9835+AN30*1.9835)/E30</f>
        <v>8.83392752156704</v>
      </c>
      <c r="AP30" s="458"/>
      <c r="AQ30" s="10"/>
    </row>
    <row r="31" customFormat="false" ht="12.95" hidden="false" customHeight="true" outlineLevel="0" collapsed="false">
      <c r="A31" s="18" t="n">
        <f aca="false">A30+1</f>
        <v>20</v>
      </c>
      <c r="B31" s="459" t="n">
        <v>6923.98</v>
      </c>
      <c r="C31" s="103" t="n">
        <v>381071</v>
      </c>
      <c r="D31" s="109" t="n">
        <f aca="false">C31-C30</f>
        <v>-627</v>
      </c>
      <c r="E31" s="103" t="n">
        <f aca="false">C31-152000</f>
        <v>229071</v>
      </c>
      <c r="F31" s="464" t="n">
        <f aca="false">D31/$D$2</f>
        <v>-316.107890093269</v>
      </c>
      <c r="G31" s="140" t="n">
        <v>549</v>
      </c>
      <c r="H31" s="111" t="n">
        <v>0.13</v>
      </c>
      <c r="I31" s="140" t="n">
        <f aca="false">G31+H31</f>
        <v>549.13</v>
      </c>
      <c r="J31" s="465" t="n">
        <f aca="false">IF(L31&gt;0,L31,0)</f>
        <v>0</v>
      </c>
      <c r="K31" s="140" t="n">
        <f aca="false">I31+J31</f>
        <v>549.13</v>
      </c>
      <c r="L31" s="140" t="n">
        <f aca="false">F31-(I31-AF31)</f>
        <v>-66.2378900932695</v>
      </c>
      <c r="M31" s="142" t="n">
        <v>315</v>
      </c>
      <c r="N31" s="258" t="n">
        <f aca="false">1.8299*1.03</f>
        <v>1.884797</v>
      </c>
      <c r="O31" s="111" t="n">
        <f aca="false">(38+41)*1.05</f>
        <v>82.95</v>
      </c>
      <c r="P31" s="380" t="n">
        <v>0</v>
      </c>
      <c r="Q31" s="258" t="n">
        <f aca="false">2.93*1.02</f>
        <v>2.9886</v>
      </c>
      <c r="R31" s="258" t="n">
        <v>4.2</v>
      </c>
      <c r="S31" s="380" t="n">
        <v>1.91</v>
      </c>
      <c r="T31" s="456" t="n">
        <v>0</v>
      </c>
      <c r="U31" s="140" t="n">
        <v>154</v>
      </c>
      <c r="V31" s="140" t="n">
        <v>72</v>
      </c>
      <c r="W31" s="141" t="n">
        <f aca="false">M31-N31-O31-P31-Q31-R31-S31-T31+U31+V31-AQ31</f>
        <v>447.066603</v>
      </c>
      <c r="X31" s="115" t="n">
        <f aca="false">X30-W31-(AO31/1.9835)</f>
        <v>13415.0413844153</v>
      </c>
      <c r="Y31" s="115" t="n">
        <f aca="false">Y30</f>
        <v>1648.6</v>
      </c>
      <c r="Z31" s="115"/>
      <c r="AA31" s="140" t="n">
        <v>190</v>
      </c>
      <c r="AB31" s="142" t="n">
        <v>1.7</v>
      </c>
      <c r="AC31" s="143" t="n">
        <v>1.3</v>
      </c>
      <c r="AD31" s="467" t="n">
        <v>68</v>
      </c>
      <c r="AE31" s="468" t="n">
        <f aca="false">AE30</f>
        <v>12817.823072851</v>
      </c>
      <c r="AF31" s="140" t="n">
        <f aca="false">N31+O31+P31+Q31+R31+S31+T31+W31+AA31+AD31</f>
        <v>799</v>
      </c>
      <c r="AG31" s="140" t="n">
        <f aca="false">IF(L31&lt;0,L31*-1,0)</f>
        <v>66.2378900932695</v>
      </c>
      <c r="AH31" s="140" t="n">
        <f aca="false">AF31+AG31</f>
        <v>865.237890093269</v>
      </c>
      <c r="AI31" s="108" t="n">
        <v>0</v>
      </c>
      <c r="AJ31" s="109" t="n">
        <v>92</v>
      </c>
      <c r="AK31" s="110" t="n">
        <v>46</v>
      </c>
      <c r="AL31" s="457" t="n">
        <v>10571</v>
      </c>
      <c r="AM31" s="457"/>
      <c r="AN31" s="457" t="n">
        <v>0</v>
      </c>
      <c r="AO31" s="258" t="n">
        <f aca="false">64*(X30*1.9835+Y31*1.9835+AN31*1.9835)/E31</f>
        <v>8.59795252876311</v>
      </c>
      <c r="AP31" s="458"/>
      <c r="AQ31" s="10"/>
    </row>
    <row r="32" customFormat="false" ht="12.95" hidden="false" customHeight="true" outlineLevel="0" collapsed="false">
      <c r="A32" s="18" t="n">
        <f aca="false">A31+1</f>
        <v>21</v>
      </c>
      <c r="B32" s="459" t="n">
        <v>6923.82</v>
      </c>
      <c r="C32" s="103" t="n">
        <v>380359</v>
      </c>
      <c r="D32" s="109" t="n">
        <f aca="false">C32-C31</f>
        <v>-712</v>
      </c>
      <c r="E32" s="103" t="n">
        <f aca="false">C32-152000</f>
        <v>228359</v>
      </c>
      <c r="F32" s="464" t="n">
        <f aca="false">D32/$D$2</f>
        <v>-358.961431812453</v>
      </c>
      <c r="G32" s="140" t="n">
        <v>505</v>
      </c>
      <c r="H32" s="111" t="n">
        <v>0.12</v>
      </c>
      <c r="I32" s="140" t="n">
        <f aca="false">G32+H32</f>
        <v>505.12</v>
      </c>
      <c r="J32" s="465" t="n">
        <f aca="false">IF(L32&gt;0,L32,0)</f>
        <v>0</v>
      </c>
      <c r="K32" s="140" t="n">
        <f aca="false">I32+J32</f>
        <v>505.12</v>
      </c>
      <c r="L32" s="140" t="n">
        <f aca="false">F32-(I32-AF32)</f>
        <v>-64.0814318124527</v>
      </c>
      <c r="M32" s="142" t="n">
        <v>331</v>
      </c>
      <c r="N32" s="258" t="n">
        <f aca="false">1.8299*1.03</f>
        <v>1.884797</v>
      </c>
      <c r="O32" s="470" t="n">
        <f aca="false">(40+40)*1.05</f>
        <v>84</v>
      </c>
      <c r="P32" s="380" t="n">
        <v>0</v>
      </c>
      <c r="Q32" s="258" t="n">
        <f aca="false">2.93*1.02</f>
        <v>2.9886</v>
      </c>
      <c r="R32" s="258" t="n">
        <v>4.2</v>
      </c>
      <c r="S32" s="380" t="n">
        <v>2.41</v>
      </c>
      <c r="T32" s="456" t="n">
        <v>0</v>
      </c>
      <c r="U32" s="140" t="n">
        <v>147</v>
      </c>
      <c r="V32" s="140" t="n">
        <v>72</v>
      </c>
      <c r="W32" s="141" t="n">
        <f aca="false">M32-N32-O32-P32-Q32-R32-S32-T32+U32+V32-AQ32</f>
        <v>454.516603</v>
      </c>
      <c r="X32" s="115" t="n">
        <f aca="false">X31-W32-(AO32/1.9835)</f>
        <v>12956.3030382452</v>
      </c>
      <c r="Y32" s="115" t="n">
        <f aca="false">Y31</f>
        <v>1648.6</v>
      </c>
      <c r="Z32" s="115"/>
      <c r="AA32" s="140" t="n">
        <v>185</v>
      </c>
      <c r="AB32" s="142" t="n">
        <v>1.7</v>
      </c>
      <c r="AC32" s="143" t="n">
        <v>1.3</v>
      </c>
      <c r="AD32" s="467" t="n">
        <v>65</v>
      </c>
      <c r="AE32" s="468" t="n">
        <f aca="false">AE31</f>
        <v>12817.823072851</v>
      </c>
      <c r="AF32" s="140" t="n">
        <f aca="false">N32+O32+P32+Q32+R32+S32+T32+W32+AA32+AD32</f>
        <v>800</v>
      </c>
      <c r="AG32" s="140" t="n">
        <f aca="false">IF(L32&lt;0,L32*-1,0)</f>
        <v>64.0814318124527</v>
      </c>
      <c r="AH32" s="140" t="n">
        <f aca="false">AF32+AG32</f>
        <v>864.081431812453</v>
      </c>
      <c r="AI32" s="108" t="n">
        <v>0</v>
      </c>
      <c r="AJ32" s="109" t="n">
        <v>89</v>
      </c>
      <c r="AK32" s="110" t="n">
        <v>54</v>
      </c>
      <c r="AL32" s="457" t="n">
        <v>10571</v>
      </c>
      <c r="AM32" s="457"/>
      <c r="AN32" s="457" t="n">
        <v>0</v>
      </c>
      <c r="AO32" s="258" t="n">
        <f aca="false">64*(X31*1.9835+Y32*1.9835+AN32*1.9835)/E32</f>
        <v>8.37382757808197</v>
      </c>
      <c r="AP32" s="458"/>
      <c r="AQ32" s="10"/>
    </row>
    <row r="33" customFormat="false" ht="12.95" hidden="false" customHeight="true" outlineLevel="0" collapsed="false">
      <c r="A33" s="18" t="n">
        <f aca="false">A32+1</f>
        <v>22</v>
      </c>
      <c r="B33" s="459" t="n">
        <v>6923.65</v>
      </c>
      <c r="C33" s="103" t="n">
        <v>379602</v>
      </c>
      <c r="D33" s="109" t="n">
        <f aca="false">C33-C32</f>
        <v>-757</v>
      </c>
      <c r="E33" s="103" t="n">
        <f aca="false">C33-152000</f>
        <v>227602</v>
      </c>
      <c r="F33" s="464" t="n">
        <f aca="false">D33/$D$2</f>
        <v>-381.648600957903</v>
      </c>
      <c r="G33" s="140" t="n">
        <v>451</v>
      </c>
      <c r="H33" s="111" t="n">
        <v>0.1</v>
      </c>
      <c r="I33" s="140" t="n">
        <f aca="false">G33+H33</f>
        <v>451.1</v>
      </c>
      <c r="J33" s="465" t="n">
        <f aca="false">IF(L33&gt;0,L33,0)</f>
        <v>19.2513990420973</v>
      </c>
      <c r="K33" s="140" t="n">
        <f aca="false">I33+J33</f>
        <v>470.351399042097</v>
      </c>
      <c r="L33" s="140" t="n">
        <f aca="false">F33-(I33-AF33)</f>
        <v>19.2513990420973</v>
      </c>
      <c r="M33" s="142" t="n">
        <v>340</v>
      </c>
      <c r="N33" s="258" t="n">
        <f aca="false">1.8299*1.03</f>
        <v>1.884797</v>
      </c>
      <c r="O33" s="470" t="n">
        <f aca="false">(45+44)*1.05</f>
        <v>93.45</v>
      </c>
      <c r="P33" s="380" t="n">
        <v>0</v>
      </c>
      <c r="Q33" s="258" t="n">
        <f aca="false">2.93*1.02</f>
        <v>2.9886</v>
      </c>
      <c r="R33" s="258" t="n">
        <v>4.2</v>
      </c>
      <c r="S33" s="380" t="n">
        <v>3.06</v>
      </c>
      <c r="T33" s="456" t="n">
        <v>0</v>
      </c>
      <c r="U33" s="140" t="n">
        <v>142</v>
      </c>
      <c r="V33" s="140" t="n">
        <v>73</v>
      </c>
      <c r="W33" s="141" t="n">
        <f aca="false">M33-N33-O33-P33-Q33-R33-S33-T33+U33+V33-AQ33</f>
        <v>449.416603</v>
      </c>
      <c r="X33" s="115" t="n">
        <f aca="false">X32-W33-(AO33/1.9835)</f>
        <v>12502.7796444681</v>
      </c>
      <c r="Y33" s="115" t="n">
        <f aca="false">Y32</f>
        <v>1648.6</v>
      </c>
      <c r="Z33" s="115"/>
      <c r="AA33" s="140" t="n">
        <v>231</v>
      </c>
      <c r="AB33" s="142" t="n">
        <v>1.7</v>
      </c>
      <c r="AC33" s="143" t="n">
        <v>1.3</v>
      </c>
      <c r="AD33" s="467" t="n">
        <v>66</v>
      </c>
      <c r="AE33" s="468" t="n">
        <f aca="false">AE32</f>
        <v>12817.823072851</v>
      </c>
      <c r="AF33" s="140" t="n">
        <f aca="false">N33+O33+P33+Q33+R33+S33+T33+W33+AA33+AD33</f>
        <v>852</v>
      </c>
      <c r="AG33" s="140" t="n">
        <f aca="false">IF(L33&lt;0,L33*-1,0)</f>
        <v>0</v>
      </c>
      <c r="AH33" s="140" t="n">
        <f aca="false">AF33+AG33</f>
        <v>852</v>
      </c>
      <c r="AI33" s="108" t="n">
        <v>0</v>
      </c>
      <c r="AJ33" s="109" t="n">
        <v>90</v>
      </c>
      <c r="AK33" s="110" t="n">
        <v>55</v>
      </c>
      <c r="AL33" s="457" t="n">
        <v>10571</v>
      </c>
      <c r="AM33" s="457"/>
      <c r="AN33" s="457" t="n">
        <v>0</v>
      </c>
      <c r="AO33" s="258" t="n">
        <f aca="false">64*(X32*1.9835+Y33*1.9835+AN33*1.9835)/E33</f>
        <v>8.14581950636195</v>
      </c>
      <c r="AP33" s="458"/>
      <c r="AQ33" s="10"/>
    </row>
    <row r="34" customFormat="false" ht="12.95" hidden="false" customHeight="true" outlineLevel="0" collapsed="false">
      <c r="A34" s="18" t="n">
        <f aca="false">A33+1</f>
        <v>23</v>
      </c>
      <c r="B34" s="459" t="n">
        <v>6923.43</v>
      </c>
      <c r="C34" s="103" t="n">
        <v>378623</v>
      </c>
      <c r="D34" s="109" t="n">
        <f aca="false">C34-C33</f>
        <v>-979</v>
      </c>
      <c r="E34" s="103" t="n">
        <f aca="false">C34-152000</f>
        <v>226623</v>
      </c>
      <c r="F34" s="464" t="n">
        <f aca="false">D34/$D$2</f>
        <v>-493.571968742123</v>
      </c>
      <c r="G34" s="140" t="n">
        <v>412</v>
      </c>
      <c r="H34" s="111" t="n">
        <v>0.09</v>
      </c>
      <c r="I34" s="140" t="n">
        <f aca="false">G34+H34</f>
        <v>412.09</v>
      </c>
      <c r="J34" s="465" t="n">
        <f aca="false">IF(L34&gt;0,L34,0)</f>
        <v>0</v>
      </c>
      <c r="K34" s="140" t="n">
        <f aca="false">I34+J34</f>
        <v>412.09</v>
      </c>
      <c r="L34" s="140" t="n">
        <f aca="false">F34-(I34-AF34)</f>
        <v>-77.6619687421225</v>
      </c>
      <c r="M34" s="142" t="n">
        <v>323</v>
      </c>
      <c r="N34" s="258" t="n">
        <f aca="false">1.8299*1.03</f>
        <v>1.884797</v>
      </c>
      <c r="O34" s="470" t="n">
        <f aca="false">(40+41)*1.05</f>
        <v>85.05</v>
      </c>
      <c r="P34" s="380" t="n">
        <v>0</v>
      </c>
      <c r="Q34" s="258" t="n">
        <f aca="false">2.93*1.02</f>
        <v>2.9886</v>
      </c>
      <c r="R34" s="258" t="n">
        <v>4.2</v>
      </c>
      <c r="S34" s="380" t="n">
        <v>3.17</v>
      </c>
      <c r="T34" s="456" t="n">
        <v>0</v>
      </c>
      <c r="U34" s="140" t="n">
        <v>148</v>
      </c>
      <c r="V34" s="140" t="n">
        <v>73</v>
      </c>
      <c r="W34" s="141" t="n">
        <f aca="false">M34-N34-O34-P34-Q34-R34-S34-T34+U34+V34-AQ34</f>
        <v>446.706603</v>
      </c>
      <c r="X34" s="115" t="n">
        <f aca="false">X33-W34-(AO34/1.9835)</f>
        <v>12052.0765878987</v>
      </c>
      <c r="Y34" s="115" t="n">
        <f aca="false">Y33</f>
        <v>1648.6</v>
      </c>
      <c r="Z34" s="115"/>
      <c r="AA34" s="140" t="n">
        <v>218</v>
      </c>
      <c r="AB34" s="142" t="n">
        <v>1.7</v>
      </c>
      <c r="AC34" s="143" t="n">
        <v>1.3</v>
      </c>
      <c r="AD34" s="467" t="n">
        <v>66</v>
      </c>
      <c r="AE34" s="468" t="n">
        <f aca="false">AE33</f>
        <v>12817.823072851</v>
      </c>
      <c r="AF34" s="140" t="n">
        <f aca="false">N34+O34+P34+Q34+R34+S34+T34+W34+AA34+AD34</f>
        <v>828</v>
      </c>
      <c r="AG34" s="140" t="n">
        <f aca="false">IF(L34&lt;0,L34*-1,0)</f>
        <v>77.6619687421225</v>
      </c>
      <c r="AH34" s="140" t="n">
        <f aca="false">AF34+AG34</f>
        <v>905.661968742123</v>
      </c>
      <c r="AI34" s="108" t="n">
        <v>0</v>
      </c>
      <c r="AJ34" s="109" t="n">
        <v>91</v>
      </c>
      <c r="AK34" s="110" t="n">
        <v>50</v>
      </c>
      <c r="AL34" s="457" t="n">
        <v>10571</v>
      </c>
      <c r="AM34" s="457"/>
      <c r="AN34" s="457" t="n">
        <v>0</v>
      </c>
      <c r="AO34" s="258" t="n">
        <f aca="false">64*(X33*1.9835+Y34*1.9835+AN34*1.9835)/E34</f>
        <v>7.92696565479829</v>
      </c>
      <c r="AP34" s="458"/>
      <c r="AQ34" s="10"/>
    </row>
    <row r="35" customFormat="false" ht="12.95" hidden="false" customHeight="true" outlineLevel="0" collapsed="false">
      <c r="A35" s="18" t="n">
        <f aca="false">A34+1</f>
        <v>24</v>
      </c>
      <c r="B35" s="459" t="n">
        <v>6923.24</v>
      </c>
      <c r="C35" s="103" t="n">
        <v>377777</v>
      </c>
      <c r="D35" s="109" t="n">
        <f aca="false">C35-C34</f>
        <v>-846</v>
      </c>
      <c r="E35" s="103" t="n">
        <f aca="false">C35-152000</f>
        <v>225777</v>
      </c>
      <c r="F35" s="464" t="n">
        <f aca="false">D35/$D$2</f>
        <v>-426.518779934459</v>
      </c>
      <c r="G35" s="140" t="n">
        <v>387</v>
      </c>
      <c r="H35" s="111" t="n">
        <v>0.08</v>
      </c>
      <c r="I35" s="140" t="n">
        <f aca="false">G35+H35</f>
        <v>387.08</v>
      </c>
      <c r="J35" s="465" t="n">
        <f aca="false">IF(L35&gt;0,L35,0)</f>
        <v>23.4012200655408</v>
      </c>
      <c r="K35" s="140" t="n">
        <f aca="false">I35+J35</f>
        <v>410.481220065541</v>
      </c>
      <c r="L35" s="140" t="n">
        <f aca="false">F35-(I35-AF35)</f>
        <v>23.4012200655408</v>
      </c>
      <c r="M35" s="142" t="n">
        <v>334</v>
      </c>
      <c r="N35" s="258" t="n">
        <f aca="false">1.8299*1.03</f>
        <v>1.884797</v>
      </c>
      <c r="O35" s="470" t="n">
        <f aca="false">(39+40)*1.05</f>
        <v>82.95</v>
      </c>
      <c r="P35" s="380" t="n">
        <v>0</v>
      </c>
      <c r="Q35" s="258" t="n">
        <f aca="false">2.93*1.02</f>
        <v>2.9886</v>
      </c>
      <c r="R35" s="258" t="n">
        <v>4.2</v>
      </c>
      <c r="S35" s="380" t="n">
        <v>5.87</v>
      </c>
      <c r="T35" s="456" t="n">
        <v>0</v>
      </c>
      <c r="U35" s="140" t="n">
        <v>152</v>
      </c>
      <c r="V35" s="140" t="n">
        <v>73</v>
      </c>
      <c r="W35" s="141" t="n">
        <f aca="false">M35-N35-O35-P35-Q35-R35-S35-T35+U35+V35-AQ35</f>
        <v>461.106603</v>
      </c>
      <c r="X35" s="115" t="n">
        <f aca="false">X34-W35-(AO35/1.9835)</f>
        <v>11587.0863151643</v>
      </c>
      <c r="Y35" s="115" t="n">
        <f aca="false">Y34</f>
        <v>1648.6</v>
      </c>
      <c r="Z35" s="115"/>
      <c r="AA35" s="140" t="n">
        <v>212</v>
      </c>
      <c r="AB35" s="142" t="n">
        <v>1.7</v>
      </c>
      <c r="AC35" s="143" t="n">
        <v>1.3</v>
      </c>
      <c r="AD35" s="467" t="n">
        <v>66</v>
      </c>
      <c r="AE35" s="468" t="n">
        <f aca="false">AE34</f>
        <v>12817.823072851</v>
      </c>
      <c r="AF35" s="140" t="n">
        <f aca="false">N35+O35+P35+Q35+R35+S35+T35+W35+AA35+AD35</f>
        <v>837</v>
      </c>
      <c r="AG35" s="140" t="n">
        <f aca="false">IF(L35&lt;0,L35*-1,0)</f>
        <v>0</v>
      </c>
      <c r="AH35" s="140" t="n">
        <f aca="false">AF35+AG35</f>
        <v>837</v>
      </c>
      <c r="AI35" s="108" t="n">
        <v>0</v>
      </c>
      <c r="AJ35" s="109" t="n">
        <v>92</v>
      </c>
      <c r="AK35" s="110" t="n">
        <v>52</v>
      </c>
      <c r="AL35" s="457" t="n">
        <v>10571</v>
      </c>
      <c r="AM35" s="457"/>
      <c r="AN35" s="457" t="n">
        <v>0</v>
      </c>
      <c r="AO35" s="258" t="n">
        <f aca="false">64*(X34*1.9835+Y35*1.9835+AN35*1.9835)/E35</f>
        <v>7.70325891819899</v>
      </c>
      <c r="AP35" s="458"/>
      <c r="AQ35" s="10"/>
    </row>
    <row r="36" customFormat="false" ht="12.95" hidden="false" customHeight="true" outlineLevel="0" collapsed="false">
      <c r="A36" s="18" t="n">
        <f aca="false">A35+1</f>
        <v>25</v>
      </c>
      <c r="B36" s="459" t="n">
        <v>6922.98</v>
      </c>
      <c r="C36" s="103" t="n">
        <v>376620</v>
      </c>
      <c r="D36" s="109" t="n">
        <f aca="false">C36-C35</f>
        <v>-1157</v>
      </c>
      <c r="E36" s="103" t="n">
        <f aca="false">C36-152000</f>
        <v>224620</v>
      </c>
      <c r="F36" s="464" t="n">
        <f aca="false">D36/$D$2</f>
        <v>-583.312326695236</v>
      </c>
      <c r="G36" s="140" t="n">
        <v>364</v>
      </c>
      <c r="H36" s="111" t="n">
        <v>0.07</v>
      </c>
      <c r="I36" s="140" t="n">
        <f aca="false">G36+H36</f>
        <v>364.07</v>
      </c>
      <c r="J36" s="465" t="n">
        <f aca="false">IF(L36&gt;0,L36,0)</f>
        <v>0</v>
      </c>
      <c r="K36" s="140" t="n">
        <f aca="false">I36+J36</f>
        <v>364.07</v>
      </c>
      <c r="L36" s="140" t="n">
        <f aca="false">F36-(I36-AF36)</f>
        <v>-51.3823266952356</v>
      </c>
      <c r="M36" s="142" t="n">
        <v>352</v>
      </c>
      <c r="N36" s="258" t="n">
        <f aca="false">1.8299*1.03</f>
        <v>1.884797</v>
      </c>
      <c r="O36" s="470" t="n">
        <f aca="false">(39+40)*1.05</f>
        <v>82.95</v>
      </c>
      <c r="P36" s="380" t="n">
        <v>0</v>
      </c>
      <c r="Q36" s="258" t="n">
        <f aca="false">2.93*1.02</f>
        <v>2.9886</v>
      </c>
      <c r="R36" s="258" t="n">
        <v>4.2</v>
      </c>
      <c r="S36" s="380" t="n">
        <v>3.76</v>
      </c>
      <c r="T36" s="456" t="n">
        <v>0</v>
      </c>
      <c r="U36" s="140" t="n">
        <v>151</v>
      </c>
      <c r="V36" s="140" t="n">
        <v>72</v>
      </c>
      <c r="W36" s="141" t="n">
        <f aca="false">M36-N36-O36-P36-Q36-R36-S36-T36+U36+V36-AQ36</f>
        <v>479.216603</v>
      </c>
      <c r="X36" s="115" t="n">
        <f aca="false">X35-W36-(AO36/1.9835)</f>
        <v>11104.0985256085</v>
      </c>
      <c r="Y36" s="115" t="n">
        <f aca="false">Y35</f>
        <v>1648.6</v>
      </c>
      <c r="Z36" s="115"/>
      <c r="AA36" s="140" t="n">
        <v>255</v>
      </c>
      <c r="AB36" s="142" t="n">
        <v>1.7</v>
      </c>
      <c r="AC36" s="143" t="n">
        <v>1.3</v>
      </c>
      <c r="AD36" s="467" t="n">
        <v>66</v>
      </c>
      <c r="AE36" s="468" t="n">
        <f aca="false">AE35</f>
        <v>12817.823072851</v>
      </c>
      <c r="AF36" s="140" t="n">
        <f aca="false">N36+O36+P36+Q36+R36+S36+T36+W36+AA36+AD36</f>
        <v>896</v>
      </c>
      <c r="AG36" s="140" t="n">
        <f aca="false">IF(L36&lt;0,L36*-1,0)</f>
        <v>51.3823266952356</v>
      </c>
      <c r="AH36" s="140" t="n">
        <f aca="false">AF36+AG36</f>
        <v>947.382326695236</v>
      </c>
      <c r="AI36" s="108" t="n">
        <v>0</v>
      </c>
      <c r="AJ36" s="109" t="n">
        <v>90</v>
      </c>
      <c r="AK36" s="110" t="n">
        <v>48</v>
      </c>
      <c r="AL36" s="457" t="n">
        <v>10571</v>
      </c>
      <c r="AM36" s="457"/>
      <c r="AN36" s="457" t="n">
        <v>0</v>
      </c>
      <c r="AO36" s="258" t="n">
        <f aca="false">64*(X35*1.9835+Y36*1.9835+AN36*1.9835)/E36</f>
        <v>7.48014853348863</v>
      </c>
      <c r="AP36" s="458"/>
      <c r="AQ36" s="10"/>
    </row>
    <row r="37" customFormat="false" ht="12.95" hidden="false" customHeight="true" outlineLevel="0" collapsed="false">
      <c r="A37" s="18" t="n">
        <f aca="false">A36+1</f>
        <v>26</v>
      </c>
      <c r="B37" s="459" t="n">
        <v>6922.69</v>
      </c>
      <c r="C37" s="103" t="n">
        <v>375340</v>
      </c>
      <c r="D37" s="109" t="n">
        <f aca="false">C37-C36</f>
        <v>-1280</v>
      </c>
      <c r="E37" s="103" t="n">
        <f aca="false">C37-152000</f>
        <v>223340</v>
      </c>
      <c r="F37" s="464" t="n">
        <f aca="false">D37/$D$2</f>
        <v>-645.323922359466</v>
      </c>
      <c r="G37" s="140" t="n">
        <v>329</v>
      </c>
      <c r="H37" s="111" t="n">
        <v>0.05</v>
      </c>
      <c r="I37" s="140" t="n">
        <f aca="false">G37+H37</f>
        <v>329.05</v>
      </c>
      <c r="J37" s="465" t="n">
        <f aca="false">IF(L37&gt;0,L37,0)</f>
        <v>0</v>
      </c>
      <c r="K37" s="140" t="n">
        <f aca="false">I37+J37</f>
        <v>329.05</v>
      </c>
      <c r="L37" s="140" t="n">
        <f aca="false">F37-(I37-AF37)</f>
        <v>-87.3739223594655</v>
      </c>
      <c r="M37" s="142" t="n">
        <v>328</v>
      </c>
      <c r="N37" s="258" t="n">
        <f aca="false">1.8299*1.03</f>
        <v>1.884797</v>
      </c>
      <c r="O37" s="111" t="n">
        <f aca="false">(40+34)*1.05</f>
        <v>77.7</v>
      </c>
      <c r="P37" s="380" t="n">
        <v>0</v>
      </c>
      <c r="Q37" s="258" t="n">
        <f aca="false">2.93*1.02</f>
        <v>2.9886</v>
      </c>
      <c r="R37" s="258" t="n">
        <v>4.2</v>
      </c>
      <c r="S37" s="380" t="n">
        <v>3.51</v>
      </c>
      <c r="T37" s="456" t="n">
        <v>0</v>
      </c>
      <c r="U37" s="140" t="n">
        <v>151</v>
      </c>
      <c r="V37" s="140" t="n">
        <v>72</v>
      </c>
      <c r="W37" s="141" t="n">
        <f aca="false">M37-N37-O37-P37-Q37-R37-S37-T37+U37+V37-AQ37</f>
        <v>460.716603</v>
      </c>
      <c r="X37" s="115" t="n">
        <f aca="false">X36-W37-(AO37/1.9835)</f>
        <v>10639.7275270428</v>
      </c>
      <c r="Y37" s="115" t="n">
        <f aca="false">Y36</f>
        <v>1648.6</v>
      </c>
      <c r="Z37" s="115"/>
      <c r="AA37" s="526" t="n">
        <v>270</v>
      </c>
      <c r="AB37" s="142" t="n">
        <v>1.7</v>
      </c>
      <c r="AC37" s="143" t="n">
        <v>1.3</v>
      </c>
      <c r="AD37" s="467" t="n">
        <v>66</v>
      </c>
      <c r="AE37" s="468" t="n">
        <f aca="false">AE36</f>
        <v>12817.823072851</v>
      </c>
      <c r="AF37" s="140" t="n">
        <f aca="false">N37+O37+P37+Q37+R37+S37+T37+W37+AA37+AD37</f>
        <v>887</v>
      </c>
      <c r="AG37" s="140" t="n">
        <f aca="false">IF(L37&lt;0,L37*-1,0)</f>
        <v>87.3739223594655</v>
      </c>
      <c r="AH37" s="140" t="n">
        <f aca="false">AF37+AG37</f>
        <v>974.373922359466</v>
      </c>
      <c r="AI37" s="108" t="n">
        <v>0</v>
      </c>
      <c r="AJ37" s="109" t="n">
        <v>91</v>
      </c>
      <c r="AK37" s="110" t="n">
        <v>45</v>
      </c>
      <c r="AL37" s="457" t="n">
        <v>10571</v>
      </c>
      <c r="AM37" s="457"/>
      <c r="AN37" s="457" t="n">
        <v>0</v>
      </c>
      <c r="AO37" s="258" t="n">
        <f aca="false">64*(X36*1.9835+Y37*1.9835+AN37*1.9835)/E37</f>
        <v>7.24849360452602</v>
      </c>
      <c r="AP37" s="458"/>
      <c r="AQ37" s="3"/>
    </row>
    <row r="38" customFormat="false" ht="12.95" hidden="false" customHeight="true" outlineLevel="0" collapsed="false">
      <c r="A38" s="18" t="n">
        <f aca="false">A37+1</f>
        <v>27</v>
      </c>
      <c r="B38" s="459" t="n">
        <v>6922.35</v>
      </c>
      <c r="C38" s="103" t="n">
        <v>373839</v>
      </c>
      <c r="D38" s="109" t="n">
        <f aca="false">C38-C37</f>
        <v>-1501</v>
      </c>
      <c r="E38" s="103" t="n">
        <f aca="false">C38-152000</f>
        <v>221839</v>
      </c>
      <c r="F38" s="464" t="n">
        <f aca="false">D38/$D$2</f>
        <v>-756.743130829342</v>
      </c>
      <c r="G38" s="140" t="n">
        <v>305</v>
      </c>
      <c r="H38" s="111" t="n">
        <v>0.04</v>
      </c>
      <c r="I38" s="140" t="n">
        <f aca="false">G38+H38</f>
        <v>305.04</v>
      </c>
      <c r="J38" s="465" t="n">
        <f aca="false">IF(L38&gt;0,L38,0)</f>
        <v>0</v>
      </c>
      <c r="K38" s="140" t="n">
        <f aca="false">I38+J38</f>
        <v>305.04</v>
      </c>
      <c r="L38" s="140" t="n">
        <f aca="false">F38-(I38-AF38)</f>
        <v>-141.783130829342</v>
      </c>
      <c r="M38" s="142" t="n">
        <v>352</v>
      </c>
      <c r="N38" s="258" t="n">
        <f aca="false">1.8299*1.03</f>
        <v>1.884797</v>
      </c>
      <c r="O38" s="470" t="n">
        <f aca="false">(43+41)*1.05</f>
        <v>88.2</v>
      </c>
      <c r="P38" s="380" t="n">
        <v>0</v>
      </c>
      <c r="Q38" s="258" t="n">
        <f aca="false">2.93*1.02</f>
        <v>2.9886</v>
      </c>
      <c r="R38" s="258" t="n">
        <v>4.2</v>
      </c>
      <c r="S38" s="380" t="n">
        <v>2.72</v>
      </c>
      <c r="T38" s="456" t="n">
        <v>0</v>
      </c>
      <c r="U38" s="140" t="n">
        <v>156</v>
      </c>
      <c r="V38" s="140" t="n">
        <v>72</v>
      </c>
      <c r="W38" s="141" t="n">
        <f aca="false">M38-N38-O38-P38-Q38-R38-S38-T38+U38+V38-AQ38</f>
        <v>480.006603</v>
      </c>
      <c r="X38" s="115" t="n">
        <f aca="false">X37-W38-(AO38/1.9835)</f>
        <v>10156.1757721005</v>
      </c>
      <c r="Y38" s="115" t="n">
        <f aca="false">Y37</f>
        <v>1648.6</v>
      </c>
      <c r="Z38" s="115"/>
      <c r="AA38" s="140" t="n">
        <v>274</v>
      </c>
      <c r="AB38" s="142" t="n">
        <v>1.7</v>
      </c>
      <c r="AC38" s="143" t="n">
        <v>1.3</v>
      </c>
      <c r="AD38" s="467" t="n">
        <v>66</v>
      </c>
      <c r="AE38" s="468" t="n">
        <f aca="false">AE37</f>
        <v>12817.823072851</v>
      </c>
      <c r="AF38" s="140" t="n">
        <f aca="false">N38+O38+P38+Q38+R38+S38+T38+W38+AA38+AD38</f>
        <v>920</v>
      </c>
      <c r="AG38" s="140" t="n">
        <f aca="false">IF(L38&lt;0,L38*-1,0)</f>
        <v>141.783130829342</v>
      </c>
      <c r="AH38" s="140" t="n">
        <f aca="false">AF38+AG38</f>
        <v>1061.78313082934</v>
      </c>
      <c r="AI38" s="108" t="n">
        <v>0</v>
      </c>
      <c r="AJ38" s="109" t="n">
        <v>88</v>
      </c>
      <c r="AK38" s="110" t="n">
        <v>49</v>
      </c>
      <c r="AL38" s="457" t="n">
        <v>10571</v>
      </c>
      <c r="AM38" s="457"/>
      <c r="AN38" s="457" t="n">
        <v>0</v>
      </c>
      <c r="AO38" s="258" t="n">
        <f aca="false">64*(X37*1.9835+Y38*1.9835+AN38*1.9835)/E38</f>
        <v>7.03180887757752</v>
      </c>
      <c r="AP38" s="458"/>
      <c r="AQ38" s="10"/>
    </row>
    <row r="39" customFormat="false" ht="12.95" hidden="false" customHeight="true" outlineLevel="0" collapsed="false">
      <c r="A39" s="18" t="n">
        <f aca="false">A38+1</f>
        <v>28</v>
      </c>
      <c r="B39" s="459" t="n">
        <v>6922.04</v>
      </c>
      <c r="C39" s="103" t="n">
        <v>372470</v>
      </c>
      <c r="D39" s="109" t="n">
        <f aca="false">C39-C38</f>
        <v>-1369</v>
      </c>
      <c r="E39" s="103" t="n">
        <f aca="false">C39-152000</f>
        <v>220470</v>
      </c>
      <c r="F39" s="464" t="n">
        <f aca="false">D39/$D$2</f>
        <v>-690.194101336022</v>
      </c>
      <c r="G39" s="140" t="n">
        <v>288</v>
      </c>
      <c r="H39" s="111" t="n">
        <v>0.02</v>
      </c>
      <c r="I39" s="140" t="n">
        <f aca="false">G39+H39</f>
        <v>288.02</v>
      </c>
      <c r="J39" s="465" t="n">
        <f aca="false">IF(L39&gt;0,L39,0)</f>
        <v>0</v>
      </c>
      <c r="K39" s="140" t="n">
        <f aca="false">I39+J39</f>
        <v>288.02</v>
      </c>
      <c r="L39" s="140" t="n">
        <f aca="false">F39-(I39-AF39)</f>
        <v>-59.2141013360222</v>
      </c>
      <c r="M39" s="142" t="n">
        <v>346</v>
      </c>
      <c r="N39" s="258" t="n">
        <f aca="false">1.8299*1.03</f>
        <v>1.884797</v>
      </c>
      <c r="O39" s="470" t="n">
        <f aca="false">(39+41)*1.05</f>
        <v>84</v>
      </c>
      <c r="P39" s="380" t="n">
        <v>0</v>
      </c>
      <c r="Q39" s="258" t="n">
        <f aca="false">2.93*1.02</f>
        <v>2.9886</v>
      </c>
      <c r="R39" s="258" t="n">
        <v>4.2</v>
      </c>
      <c r="S39" s="380" t="n">
        <v>2.92</v>
      </c>
      <c r="T39" s="456" t="n">
        <v>0</v>
      </c>
      <c r="U39" s="140" t="n">
        <v>162</v>
      </c>
      <c r="V39" s="140" t="n">
        <v>73</v>
      </c>
      <c r="W39" s="141" t="n">
        <f aca="false">M39-N39-O39-P39-Q39-R39-S39-T39+U39+V39-AQ39</f>
        <v>485.006603</v>
      </c>
      <c r="X39" s="115" t="n">
        <f aca="false">X38-W39-(AO39/1.9835)</f>
        <v>9667.7348897454</v>
      </c>
      <c r="Y39" s="115" t="n">
        <f aca="false">Y38+AP39</f>
        <v>1674.38</v>
      </c>
      <c r="Z39" s="115"/>
      <c r="AA39" s="140" t="n">
        <v>272</v>
      </c>
      <c r="AB39" s="142" t="n">
        <v>1.7</v>
      </c>
      <c r="AC39" s="143" t="n">
        <v>1.3</v>
      </c>
      <c r="AD39" s="467" t="n">
        <v>66</v>
      </c>
      <c r="AE39" s="468" t="n">
        <f aca="false">AE38</f>
        <v>12817.823072851</v>
      </c>
      <c r="AF39" s="140" t="n">
        <f aca="false">N39+O39+P39+Q39+R39+S39+T39+W39+AA39+AD39</f>
        <v>919</v>
      </c>
      <c r="AG39" s="140" t="n">
        <f aca="false">IF(L39&lt;0,L39*-1,0)</f>
        <v>59.2141013360222</v>
      </c>
      <c r="AH39" s="140" t="n">
        <f aca="false">AF39+AG39</f>
        <v>978.214101336022</v>
      </c>
      <c r="AI39" s="108" t="n">
        <v>0</v>
      </c>
      <c r="AJ39" s="109" t="n">
        <v>90</v>
      </c>
      <c r="AK39" s="110" t="n">
        <v>56</v>
      </c>
      <c r="AL39" s="457" t="n">
        <v>10571</v>
      </c>
      <c r="AM39" s="457"/>
      <c r="AN39" s="457" t="n">
        <v>0</v>
      </c>
      <c r="AO39" s="258" t="n">
        <f aca="false">64*(X38*1.9835+Y39*1.9835+AN39*1.9835)/E39</f>
        <v>6.81189310080067</v>
      </c>
      <c r="AP39" s="458" t="n">
        <v>25.78</v>
      </c>
      <c r="AQ39" s="10"/>
    </row>
    <row r="40" customFormat="false" ht="12.95" hidden="false" customHeight="true" outlineLevel="0" collapsed="false">
      <c r="A40" s="18" t="n">
        <f aca="false">A39+1</f>
        <v>29</v>
      </c>
      <c r="B40" s="459" t="n">
        <v>6921.75</v>
      </c>
      <c r="C40" s="103" t="n">
        <v>371199</v>
      </c>
      <c r="D40" s="109" t="n">
        <f aca="false">C40-C39</f>
        <v>-1271</v>
      </c>
      <c r="E40" s="103" t="n">
        <f aca="false">C40-152000</f>
        <v>219199</v>
      </c>
      <c r="F40" s="464" t="n">
        <f aca="false">D40/$D$2</f>
        <v>-640.786488530376</v>
      </c>
      <c r="G40" s="140" t="n">
        <v>289</v>
      </c>
      <c r="H40" s="111" t="n">
        <v>0</v>
      </c>
      <c r="I40" s="140" t="n">
        <f aca="false">G40+H40</f>
        <v>289</v>
      </c>
      <c r="J40" s="465" t="n">
        <f aca="false">IF(L40&gt;0,L40,0)</f>
        <v>4.21351146962445</v>
      </c>
      <c r="K40" s="140" t="n">
        <f aca="false">I40+J40</f>
        <v>293.213511469624</v>
      </c>
      <c r="L40" s="140" t="n">
        <f aca="false">F40-(I40-AF40)</f>
        <v>4.21351146962445</v>
      </c>
      <c r="M40" s="142" t="n">
        <v>329</v>
      </c>
      <c r="N40" s="258" t="n">
        <f aca="false">1.8299*1.03</f>
        <v>1.884797</v>
      </c>
      <c r="O40" s="470" t="n">
        <f aca="false">(36+38)*1.05</f>
        <v>77.7</v>
      </c>
      <c r="P40" s="380" t="n">
        <v>0</v>
      </c>
      <c r="Q40" s="258" t="n">
        <f aca="false">2.93*1.02</f>
        <v>2.9886</v>
      </c>
      <c r="R40" s="258" t="n">
        <v>4.2</v>
      </c>
      <c r="S40" s="380" t="n">
        <v>3.18</v>
      </c>
      <c r="T40" s="456" t="n">
        <v>0</v>
      </c>
      <c r="U40" s="140" t="n">
        <v>163</v>
      </c>
      <c r="V40" s="140" t="n">
        <v>74</v>
      </c>
      <c r="W40" s="141" t="n">
        <f aca="false">M40-N40-O40-P40-Q40-R40-S40-T40+U40+V40-AQ40</f>
        <v>476.046603</v>
      </c>
      <c r="X40" s="115" t="n">
        <f aca="false">X39-W40-(AO40/1.9835)</f>
        <v>9188.36575629159</v>
      </c>
      <c r="Y40" s="115" t="n">
        <f aca="false">Y39+AP40</f>
        <v>1711.88</v>
      </c>
      <c r="Z40" s="115"/>
      <c r="AA40" s="140" t="n">
        <v>302</v>
      </c>
      <c r="AB40" s="142" t="n">
        <v>1.7</v>
      </c>
      <c r="AC40" s="143" t="n">
        <v>1.3</v>
      </c>
      <c r="AD40" s="467" t="n">
        <v>66</v>
      </c>
      <c r="AE40" s="468" t="n">
        <f aca="false">AE39</f>
        <v>12817.823072851</v>
      </c>
      <c r="AF40" s="140" t="n">
        <f aca="false">N40+O40+P40+Q40+R40+S40+T40+W40+AA40+AD40</f>
        <v>934</v>
      </c>
      <c r="AG40" s="140" t="n">
        <f aca="false">IF(L40&lt;0,L40*-1,0)</f>
        <v>0</v>
      </c>
      <c r="AH40" s="140" t="n">
        <f aca="false">AF40+AG40</f>
        <v>934</v>
      </c>
      <c r="AI40" s="108" t="n">
        <v>0</v>
      </c>
      <c r="AJ40" s="109" t="n">
        <v>90</v>
      </c>
      <c r="AK40" s="110" t="n">
        <v>54</v>
      </c>
      <c r="AL40" s="457" t="n">
        <v>10571</v>
      </c>
      <c r="AM40" s="457"/>
      <c r="AN40" s="457" t="n">
        <v>0</v>
      </c>
      <c r="AO40" s="258" t="n">
        <f aca="false">64*(X39*1.9835+Y40*1.9835+AN40*1.9835)/E40</f>
        <v>6.59023915512315</v>
      </c>
      <c r="AP40" s="458" t="n">
        <v>37.5</v>
      </c>
      <c r="AQ40" s="10"/>
    </row>
    <row r="41" customFormat="false" ht="12.95" hidden="false" customHeight="true" outlineLevel="0" collapsed="false">
      <c r="A41" s="18" t="n">
        <v>30</v>
      </c>
      <c r="B41" s="459" t="n">
        <v>6921.41</v>
      </c>
      <c r="C41" s="103" t="n">
        <v>369710</v>
      </c>
      <c r="D41" s="109" t="n">
        <f aca="false">C41-C40</f>
        <v>-1489</v>
      </c>
      <c r="E41" s="103" t="n">
        <f aca="false">C41-152000</f>
        <v>217710</v>
      </c>
      <c r="F41" s="464" t="n">
        <f aca="false">D41/$D$2</f>
        <v>-750.693219057222</v>
      </c>
      <c r="G41" s="140" t="n">
        <v>274</v>
      </c>
      <c r="H41" s="111" t="n">
        <v>0.02</v>
      </c>
      <c r="I41" s="140" t="n">
        <f aca="false">G41+H41</f>
        <v>274.02</v>
      </c>
      <c r="J41" s="465" t="n">
        <f aca="false">IF(L41&gt;0,L41,0)</f>
        <v>0</v>
      </c>
      <c r="K41" s="140" t="n">
        <f aca="false">I41+J41</f>
        <v>274.02</v>
      </c>
      <c r="L41" s="140" t="n">
        <f aca="false">F41-(I41-AF41)</f>
        <v>-65.7132190572221</v>
      </c>
      <c r="M41" s="142" t="n">
        <v>358</v>
      </c>
      <c r="N41" s="258" t="n">
        <f aca="false">1.8299*1.03</f>
        <v>1.884797</v>
      </c>
      <c r="O41" s="470" t="n">
        <f aca="false">(40+42)*1.05</f>
        <v>86.1</v>
      </c>
      <c r="P41" s="380" t="n">
        <v>0</v>
      </c>
      <c r="Q41" s="258" t="n">
        <f aca="false">2.93*1.02</f>
        <v>2.9886</v>
      </c>
      <c r="R41" s="258" t="n">
        <v>4.2</v>
      </c>
      <c r="S41" s="380" t="n">
        <v>3.18</v>
      </c>
      <c r="T41" s="456" t="n">
        <v>0</v>
      </c>
      <c r="U41" s="140" t="n">
        <v>162</v>
      </c>
      <c r="V41" s="140" t="n">
        <v>74</v>
      </c>
      <c r="W41" s="141" t="n">
        <f aca="false">M41-N41-O41-P41-Q41-R41-S41-T41+U41+V41-AQ41</f>
        <v>495.646603</v>
      </c>
      <c r="X41" s="115" t="n">
        <f aca="false">X40-W41-(AO41/1.9835)</f>
        <v>8689.5037946567</v>
      </c>
      <c r="Y41" s="115" t="n">
        <f aca="false">Y40+AP41</f>
        <v>1749.38</v>
      </c>
      <c r="Z41" s="115"/>
      <c r="AA41" s="140" t="n">
        <v>299</v>
      </c>
      <c r="AB41" s="142" t="n">
        <v>1.7</v>
      </c>
      <c r="AC41" s="143" t="n">
        <v>1.3</v>
      </c>
      <c r="AD41" s="467" t="n">
        <v>66</v>
      </c>
      <c r="AE41" s="468" t="n">
        <f aca="false">AE40-AD41</f>
        <v>12751.823072851</v>
      </c>
      <c r="AF41" s="140" t="n">
        <f aca="false">N41+O41+P41+Q41+R41+S41+T41+W41+AA41+AD41</f>
        <v>959</v>
      </c>
      <c r="AG41" s="140" t="n">
        <f aca="false">IF(L41&lt;0,L41*-1,0)</f>
        <v>65.7132190572221</v>
      </c>
      <c r="AH41" s="140" t="n">
        <f aca="false">AF41+AG41</f>
        <v>1024.71321905722</v>
      </c>
      <c r="AI41" s="108" t="n">
        <v>0</v>
      </c>
      <c r="AJ41" s="109" t="n">
        <v>92</v>
      </c>
      <c r="AK41" s="110" t="n">
        <v>52</v>
      </c>
      <c r="AL41" s="457" t="n">
        <v>10571</v>
      </c>
      <c r="AM41" s="457"/>
      <c r="AN41" s="457" t="n">
        <v>0</v>
      </c>
      <c r="AO41" s="258" t="n">
        <f aca="false">64*(X40*1.9835+Y41*1.9835+AN41*1.9835)/E41</f>
        <v>6.37766385231124</v>
      </c>
      <c r="AP41" s="458" t="n">
        <v>37.5</v>
      </c>
      <c r="AQ41" s="10"/>
    </row>
    <row r="42" customFormat="false" ht="3" hidden="false" customHeight="true" outlineLevel="0" collapsed="false">
      <c r="A42" s="116"/>
      <c r="B42" s="469"/>
      <c r="C42" s="125"/>
      <c r="D42" s="123"/>
      <c r="E42" s="125"/>
      <c r="F42" s="461"/>
      <c r="G42" s="123"/>
      <c r="H42" s="131"/>
      <c r="I42" s="123"/>
      <c r="J42" s="123"/>
      <c r="K42" s="123"/>
      <c r="L42" s="123"/>
      <c r="M42" s="126"/>
      <c r="N42" s="123"/>
      <c r="O42" s="131"/>
      <c r="P42" s="462"/>
      <c r="Q42" s="131"/>
      <c r="R42" s="131"/>
      <c r="S42" s="123"/>
      <c r="T42" s="463"/>
      <c r="U42" s="123"/>
      <c r="V42" s="123"/>
      <c r="W42" s="123"/>
      <c r="X42" s="125"/>
      <c r="Y42" s="125"/>
      <c r="Z42" s="125"/>
      <c r="AA42" s="123"/>
      <c r="AB42" s="126"/>
      <c r="AC42" s="127"/>
      <c r="AD42" s="123"/>
      <c r="AE42" s="123"/>
      <c r="AF42" s="123"/>
      <c r="AG42" s="123"/>
      <c r="AH42" s="123"/>
      <c r="AI42" s="128"/>
      <c r="AJ42" s="129"/>
      <c r="AK42" s="130"/>
      <c r="AL42" s="129"/>
      <c r="AM42" s="129"/>
      <c r="AN42" s="129"/>
      <c r="AO42" s="275"/>
      <c r="AP42" s="275"/>
      <c r="AQ42" s="281"/>
    </row>
    <row r="43" customFormat="false" ht="12.95" hidden="false" customHeight="true" outlineLevel="0" collapsed="false">
      <c r="A43" s="19" t="s">
        <v>77</v>
      </c>
      <c r="B43" s="455"/>
      <c r="C43" s="103"/>
      <c r="D43" s="103"/>
      <c r="E43" s="103"/>
      <c r="F43" s="150" t="n">
        <f aca="false">SUM(F12:F41)</f>
        <v>-6134.61053692967</v>
      </c>
      <c r="G43" s="105" t="n">
        <f aca="false">SUM(G12:G41)</f>
        <v>22599</v>
      </c>
      <c r="H43" s="457" t="n">
        <f aca="false">SUM(H12:H41)</f>
        <v>8.54</v>
      </c>
      <c r="I43" s="105" t="n">
        <f aca="false">SUM(I12:I41)</f>
        <v>22607.54</v>
      </c>
      <c r="J43" s="105" t="n">
        <f aca="false">SUM(J12:J41)</f>
        <v>654.842881270482</v>
      </c>
      <c r="K43" s="105" t="n">
        <f aca="false">SUM(K12:K41)</f>
        <v>23262.3828812705</v>
      </c>
      <c r="L43" s="105" t="n">
        <f aca="false">SUM(L12:L41)</f>
        <v>-271.150536929669</v>
      </c>
      <c r="M43" s="106" t="n">
        <f aca="false">SUM(M12:M41)</f>
        <v>9140</v>
      </c>
      <c r="N43" s="103" t="n">
        <f aca="false">SUM(N12:N41)</f>
        <v>56.54391</v>
      </c>
      <c r="O43" s="109" t="n">
        <f aca="false">SUM(O12:O41)</f>
        <v>2395.05</v>
      </c>
      <c r="P43" s="380" t="n">
        <f aca="false">SUM(P12:P41)</f>
        <v>0</v>
      </c>
      <c r="Q43" s="109" t="n">
        <f aca="false">SUM(Q12:Q41)</f>
        <v>89.658</v>
      </c>
      <c r="R43" s="109" t="n">
        <f aca="false">SUM(R12:R41)</f>
        <v>126</v>
      </c>
      <c r="S43" s="109" t="n">
        <f aca="false">SUM(S12:S41)</f>
        <v>99.37</v>
      </c>
      <c r="T43" s="474" t="n">
        <f aca="false">SUM(T12:T41)</f>
        <v>0</v>
      </c>
      <c r="U43" s="105" t="n">
        <f aca="false">SUM(U12:U41)</f>
        <v>4976</v>
      </c>
      <c r="V43" s="105" t="n">
        <f aca="false">SUM(V12:V41)</f>
        <v>2151</v>
      </c>
      <c r="W43" s="105" t="n">
        <f aca="false">SUM(W12:W41)</f>
        <v>13500.37809</v>
      </c>
      <c r="X43" s="105"/>
      <c r="Y43" s="105"/>
      <c r="Z43" s="105"/>
      <c r="AA43" s="105" t="n">
        <f aca="false">SUM(AA12:AA41)</f>
        <v>5567</v>
      </c>
      <c r="AB43" s="105" t="n">
        <f aca="false">SUM(AB12:AB41)</f>
        <v>51</v>
      </c>
      <c r="AC43" s="105" t="n">
        <f aca="false">SUM(AC12:AC41)</f>
        <v>39</v>
      </c>
      <c r="AD43" s="105" t="n">
        <f aca="false">SUM(AD12:AD41)</f>
        <v>6637</v>
      </c>
      <c r="AE43" s="105"/>
      <c r="AF43" s="105" t="n">
        <f aca="false">SUM(AF12:AF41)</f>
        <v>28471</v>
      </c>
      <c r="AG43" s="105" t="n">
        <f aca="false">SUM(AG12:AG41)</f>
        <v>925.993418200151</v>
      </c>
      <c r="AH43" s="105" t="n">
        <f aca="false">SUM(AH12:AH41)</f>
        <v>29396.9934182002</v>
      </c>
      <c r="AI43" s="108" t="n">
        <f aca="false">SUM(AI12:AI41)</f>
        <v>0.08</v>
      </c>
      <c r="AJ43" s="109" t="n">
        <f aca="false">AVERAGE(AJ12:AJ41)</f>
        <v>84.1</v>
      </c>
      <c r="AK43" s="110" t="n">
        <f aca="false">AVERAGE(AK12:AK41)</f>
        <v>46.6</v>
      </c>
      <c r="AL43" s="457" t="s">
        <v>108</v>
      </c>
      <c r="AM43" s="105" t="n">
        <f aca="false">SUM(AM12:AM41)</f>
        <v>0</v>
      </c>
      <c r="AN43" s="140"/>
      <c r="AO43" s="258"/>
      <c r="AP43" s="458" t="n">
        <f aca="false">SUM(AP12:AP41)</f>
        <v>100.78</v>
      </c>
      <c r="AQ43" s="457" t="n">
        <f aca="false">SUM(AQ12:AQ41)</f>
        <v>0</v>
      </c>
    </row>
    <row r="44" customFormat="false" ht="12.95" hidden="false" customHeight="true" outlineLevel="0" collapsed="false">
      <c r="A44" s="19" t="s">
        <v>79</v>
      </c>
      <c r="B44" s="455"/>
      <c r="C44" s="103"/>
      <c r="D44" s="103" t="n">
        <f aca="false">SUM(D12:D41)</f>
        <v>-12168</v>
      </c>
      <c r="E44" s="103"/>
      <c r="F44" s="150" t="n">
        <f aca="false">F43*$D$2</f>
        <v>-12168</v>
      </c>
      <c r="G44" s="105" t="n">
        <f aca="false">G43*$D$2</f>
        <v>44825.1165</v>
      </c>
      <c r="H44" s="457" t="n">
        <f aca="false">H43*$D$2</f>
        <v>16.93909</v>
      </c>
      <c r="I44" s="105" t="n">
        <f aca="false">I43*$D$2</f>
        <v>44842.05559</v>
      </c>
      <c r="J44" s="105" t="n">
        <f aca="false">J43*$D$2</f>
        <v>1298.880855</v>
      </c>
      <c r="K44" s="105" t="n">
        <f aca="false">K43*$D$2</f>
        <v>46140.936445</v>
      </c>
      <c r="L44" s="105" t="n">
        <f aca="false">L43*$D$2</f>
        <v>-537.827089999999</v>
      </c>
      <c r="M44" s="106" t="n">
        <f aca="false">M43*$D$2</f>
        <v>18129.19</v>
      </c>
      <c r="N44" s="103" t="n">
        <f aca="false">N43*$D$2</f>
        <v>112.154845485</v>
      </c>
      <c r="O44" s="109" t="n">
        <f aca="false">O43*$D$2</f>
        <v>4750.581675</v>
      </c>
      <c r="P44" s="380" t="n">
        <f aca="false">P43*$D$2</f>
        <v>0</v>
      </c>
      <c r="Q44" s="109" t="n">
        <f aca="false">Q43*$D$2</f>
        <v>177.836643</v>
      </c>
      <c r="R44" s="109" t="n">
        <f aca="false">R43*$D$2</f>
        <v>249.921</v>
      </c>
      <c r="S44" s="109" t="n">
        <f aca="false">S43*$D$2</f>
        <v>197.100395</v>
      </c>
      <c r="T44" s="474" t="n">
        <f aca="false">T43*$D$2</f>
        <v>0</v>
      </c>
      <c r="U44" s="105" t="n">
        <f aca="false">U43*$D$2</f>
        <v>9869.896</v>
      </c>
      <c r="V44" s="105" t="n">
        <f aca="false">V43*$D$2</f>
        <v>4266.5085</v>
      </c>
      <c r="W44" s="105" t="n">
        <f aca="false">W43*$D$2</f>
        <v>26777.999941515</v>
      </c>
      <c r="X44" s="105"/>
      <c r="Y44" s="105"/>
      <c r="Z44" s="105"/>
      <c r="AA44" s="105" t="n">
        <f aca="false">AA43*$D$2</f>
        <v>11042.1445</v>
      </c>
      <c r="AB44" s="105" t="n">
        <f aca="false">AB43*$D$2</f>
        <v>101.1585</v>
      </c>
      <c r="AC44" s="105" t="n">
        <f aca="false">AC43*$D$2</f>
        <v>77.3565</v>
      </c>
      <c r="AD44" s="105" t="n">
        <f aca="false">AD43*$D$2</f>
        <v>13164.4895</v>
      </c>
      <c r="AE44" s="105"/>
      <c r="AF44" s="105" t="n">
        <f aca="false">AF43*$D$2</f>
        <v>56472.2285</v>
      </c>
      <c r="AG44" s="105" t="n">
        <f aca="false">AG43*$D$2</f>
        <v>1836.707945</v>
      </c>
      <c r="AH44" s="105" t="n">
        <f aca="false">AH43*$D$2</f>
        <v>58308.936445</v>
      </c>
      <c r="AI44" s="108"/>
      <c r="AJ44" s="109" t="n">
        <f aca="false">MAX(AJ12:AJ41)</f>
        <v>92</v>
      </c>
      <c r="AK44" s="110" t="n">
        <f aca="false">MAX(AK12:AK41)</f>
        <v>56</v>
      </c>
      <c r="AL44" s="457" t="s">
        <v>80</v>
      </c>
      <c r="AM44" s="105" t="n">
        <f aca="false">AM43*$D$2</f>
        <v>0</v>
      </c>
      <c r="AN44" s="140"/>
      <c r="AO44" s="258" t="n">
        <f aca="false">SUM(AO12:AO41)</f>
        <v>266.908481681709</v>
      </c>
      <c r="AP44" s="258" t="n">
        <f aca="false">AP43*$D$2</f>
        <v>199.89713</v>
      </c>
      <c r="AQ44" s="264" t="n">
        <f aca="false">AQ43*$D$2</f>
        <v>0</v>
      </c>
    </row>
    <row r="45" customFormat="false" ht="3" hidden="false" customHeight="true" outlineLevel="0" collapsed="false">
      <c r="A45" s="152"/>
      <c r="B45" s="469"/>
      <c r="C45" s="125"/>
      <c r="D45" s="125"/>
      <c r="E45" s="125"/>
      <c r="F45" s="157"/>
      <c r="G45" s="125"/>
      <c r="H45" s="129"/>
      <c r="I45" s="125"/>
      <c r="J45" s="125"/>
      <c r="K45" s="125"/>
      <c r="L45" s="125"/>
      <c r="M45" s="155"/>
      <c r="N45" s="125"/>
      <c r="O45" s="129"/>
      <c r="P45" s="462"/>
      <c r="Q45" s="131"/>
      <c r="R45" s="131"/>
      <c r="S45" s="125"/>
      <c r="T45" s="156"/>
      <c r="U45" s="125"/>
      <c r="V45" s="125"/>
      <c r="W45" s="125"/>
      <c r="X45" s="125"/>
      <c r="Y45" s="125"/>
      <c r="Z45" s="125"/>
      <c r="AA45" s="125"/>
      <c r="AB45" s="125"/>
      <c r="AC45" s="125"/>
      <c r="AD45" s="125"/>
      <c r="AE45" s="123"/>
      <c r="AF45" s="125"/>
      <c r="AG45" s="125"/>
      <c r="AH45" s="125"/>
      <c r="AI45" s="471"/>
      <c r="AJ45" s="125"/>
      <c r="AK45" s="157"/>
      <c r="AL45" s="125"/>
      <c r="AM45" s="125"/>
      <c r="AN45" s="125"/>
      <c r="AO45" s="275"/>
      <c r="AP45" s="275"/>
      <c r="AQ45" s="281"/>
    </row>
    <row r="46" customFormat="false" ht="12.95" hidden="false" customHeight="true" outlineLevel="0" collapsed="false">
      <c r="A46" s="19" t="s">
        <v>81</v>
      </c>
      <c r="B46" s="455"/>
      <c r="C46" s="103"/>
      <c r="D46" s="103"/>
      <c r="E46" s="103"/>
      <c r="F46" s="150" t="n">
        <f aca="false">F9+F43</f>
        <v>30210.2344340812</v>
      </c>
      <c r="G46" s="105" t="n">
        <f aca="false">G9+G43</f>
        <v>87942</v>
      </c>
      <c r="H46" s="457" t="n">
        <f aca="false">H9+H43</f>
        <v>2022.29</v>
      </c>
      <c r="I46" s="105" t="n">
        <f aca="false">I9+I43</f>
        <v>89964.29</v>
      </c>
      <c r="J46" s="105" t="n">
        <f aca="false">J9+J43</f>
        <v>6249.30279808419</v>
      </c>
      <c r="K46" s="105" t="n">
        <f aca="false">K9+K43</f>
        <v>96213.5927980842</v>
      </c>
      <c r="L46" s="105" t="n">
        <f aca="false">L9+L43</f>
        <v>4625.95443408117</v>
      </c>
      <c r="M46" s="106" t="n">
        <f aca="false">M9+M43</f>
        <v>19798.3</v>
      </c>
      <c r="N46" s="103" t="n">
        <f aca="false">N9+N43</f>
        <v>171.516527</v>
      </c>
      <c r="O46" s="109" t="n">
        <f aca="false">O9+O43</f>
        <v>5984.7845</v>
      </c>
      <c r="P46" s="380" t="n">
        <f aca="false">P9+P43</f>
        <v>7.32</v>
      </c>
      <c r="Q46" s="470"/>
      <c r="R46" s="470"/>
      <c r="S46" s="103"/>
      <c r="T46" s="107"/>
      <c r="U46" s="105" t="n">
        <f aca="false">U9+U43</f>
        <v>10433</v>
      </c>
      <c r="V46" s="105" t="n">
        <f aca="false">V9+V43</f>
        <v>4588.8</v>
      </c>
      <c r="W46" s="105" t="n">
        <f aca="false">W9+W43</f>
        <v>27539.660373</v>
      </c>
      <c r="X46" s="527" t="n">
        <f aca="false">X41</f>
        <v>8689.5037946567</v>
      </c>
      <c r="Y46" s="527" t="n">
        <f aca="false">Y41</f>
        <v>1749.38</v>
      </c>
      <c r="Z46" s="527"/>
      <c r="AA46" s="105" t="n">
        <f aca="false">AA9+AA43</f>
        <v>9385.9</v>
      </c>
      <c r="AB46" s="105" t="n">
        <f aca="false">AB9+AB43</f>
        <v>154.7</v>
      </c>
      <c r="AC46" s="105" t="n">
        <f aca="false">AC9+AC43</f>
        <v>118.3</v>
      </c>
      <c r="AD46" s="105"/>
      <c r="AE46" s="527"/>
      <c r="AF46" s="105" t="n">
        <f aca="false">AF9+AF43</f>
        <v>64380.01</v>
      </c>
      <c r="AG46" s="105" t="n">
        <f aca="false">AG9+AG43</f>
        <v>1623.34836400302</v>
      </c>
      <c r="AH46" s="105" t="n">
        <f aca="false">AH9+AH43</f>
        <v>66003.358364003</v>
      </c>
      <c r="AI46" s="108"/>
      <c r="AJ46" s="109" t="n">
        <f aca="false">MIN(AJ12:AJ41)</f>
        <v>63</v>
      </c>
      <c r="AK46" s="110" t="n">
        <f aca="false">MIN(AK12:AK41)</f>
        <v>30</v>
      </c>
      <c r="AL46" s="457" t="s">
        <v>82</v>
      </c>
      <c r="AM46" s="457"/>
      <c r="AN46" s="140"/>
      <c r="AO46" s="258"/>
      <c r="AP46" s="258" t="n">
        <f aca="false">AP9+AP43</f>
        <v>100.78</v>
      </c>
      <c r="AQ46" s="258" t="n">
        <f aca="false">AQ9+AQ43</f>
        <v>252.7</v>
      </c>
    </row>
    <row r="47" customFormat="false" ht="12.95" hidden="false" customHeight="true" outlineLevel="0" collapsed="false">
      <c r="A47" s="19" t="s">
        <v>83</v>
      </c>
      <c r="B47" s="455"/>
      <c r="C47" s="103"/>
      <c r="D47" s="103"/>
      <c r="E47" s="103"/>
      <c r="F47" s="150" t="n">
        <f aca="false">F46*$D$2</f>
        <v>59922</v>
      </c>
      <c r="G47" s="105" t="n">
        <f aca="false">G46*$D$2</f>
        <v>174432.957</v>
      </c>
      <c r="H47" s="457" t="n">
        <f aca="false">H46*$D$2</f>
        <v>4011.212215</v>
      </c>
      <c r="I47" s="105" t="n">
        <f aca="false">I46*$D$2</f>
        <v>178444.169215</v>
      </c>
      <c r="J47" s="105" t="n">
        <f aca="false">J46*$D$2</f>
        <v>12395.4921</v>
      </c>
      <c r="K47" s="105" t="n">
        <f aca="false">K46*$D$2</f>
        <v>190839.661315</v>
      </c>
      <c r="L47" s="105" t="n">
        <f aca="false">L46*$D$2</f>
        <v>9175.58062</v>
      </c>
      <c r="M47" s="106" t="n">
        <f aca="false">M46*$D$2</f>
        <v>39269.92805</v>
      </c>
      <c r="N47" s="103" t="n">
        <f aca="false">N46*$D$2</f>
        <v>340.2030313045</v>
      </c>
      <c r="O47" s="109" t="n">
        <f aca="false">O46*$D$2</f>
        <v>11870.82005575</v>
      </c>
      <c r="P47" s="380" t="n">
        <f aca="false">P46*$D$2</f>
        <v>14.51922</v>
      </c>
      <c r="Q47" s="470"/>
      <c r="R47" s="470"/>
      <c r="S47" s="103"/>
      <c r="T47" s="107"/>
      <c r="U47" s="105" t="n">
        <f aca="false">U46*$D$2</f>
        <v>20693.8555</v>
      </c>
      <c r="V47" s="105" t="n">
        <f aca="false">V46*$D$2</f>
        <v>9101.8848</v>
      </c>
      <c r="W47" s="105" t="n">
        <f aca="false">W46*$D$2</f>
        <v>54624.9163498455</v>
      </c>
      <c r="X47" s="105" t="n">
        <f aca="false">X46*$D$2</f>
        <v>17235.6307767016</v>
      </c>
      <c r="Y47" s="105" t="n">
        <f aca="false">Y46*$D$2</f>
        <v>3469.89523</v>
      </c>
      <c r="Z47" s="105"/>
      <c r="AA47" s="105" t="n">
        <f aca="false">AA46*$D$2</f>
        <v>18616.93265</v>
      </c>
      <c r="AB47" s="105" t="n">
        <f aca="false">AB46*$D$2</f>
        <v>306.84745</v>
      </c>
      <c r="AC47" s="105" t="n">
        <f aca="false">AC46*$D$2</f>
        <v>234.64805</v>
      </c>
      <c r="AD47" s="105"/>
      <c r="AE47" s="105"/>
      <c r="AF47" s="105" t="n">
        <f aca="false">AF46*$D$2</f>
        <v>127697.749835</v>
      </c>
      <c r="AG47" s="105" t="n">
        <f aca="false">AG46*$D$2</f>
        <v>3219.91148</v>
      </c>
      <c r="AH47" s="105" t="n">
        <f aca="false">AH46*$D$2</f>
        <v>130917.661315</v>
      </c>
      <c r="AI47" s="108"/>
      <c r="AJ47" s="109"/>
      <c r="AK47" s="110"/>
      <c r="AL47" s="457"/>
      <c r="AM47" s="457"/>
      <c r="AN47" s="140"/>
      <c r="AO47" s="258" t="n">
        <f aca="false">AO9+AO44</f>
        <v>650.960174703456</v>
      </c>
      <c r="AP47" s="458" t="n">
        <f aca="false">AP46*$D$2</f>
        <v>199.89713</v>
      </c>
      <c r="AQ47" s="457" t="n">
        <f aca="false">AQ46*$D$2</f>
        <v>501.23045</v>
      </c>
    </row>
    <row r="48" customFormat="false" ht="3" hidden="false" customHeight="true" outlineLevel="0" collapsed="false">
      <c r="A48" s="152"/>
      <c r="B48" s="469"/>
      <c r="C48" s="125"/>
      <c r="D48" s="125"/>
      <c r="E48" s="125"/>
      <c r="F48" s="157"/>
      <c r="G48" s="125"/>
      <c r="H48" s="129"/>
      <c r="I48" s="125"/>
      <c r="J48" s="125"/>
      <c r="K48" s="125"/>
      <c r="L48" s="125"/>
      <c r="M48" s="155"/>
      <c r="N48" s="125"/>
      <c r="O48" s="129"/>
      <c r="P48" s="462"/>
      <c r="Q48" s="131"/>
      <c r="R48" s="131"/>
      <c r="S48" s="125"/>
      <c r="T48" s="156"/>
      <c r="U48" s="125"/>
      <c r="V48" s="125"/>
      <c r="W48" s="125"/>
      <c r="X48" s="125"/>
      <c r="Y48" s="125"/>
      <c r="Z48" s="125"/>
      <c r="AA48" s="125"/>
      <c r="AB48" s="125"/>
      <c r="AC48" s="125"/>
      <c r="AD48" s="125"/>
      <c r="AE48" s="125"/>
      <c r="AF48" s="125"/>
      <c r="AG48" s="125"/>
      <c r="AH48" s="125"/>
      <c r="AI48" s="128"/>
      <c r="AJ48" s="472"/>
      <c r="AK48" s="473"/>
      <c r="AL48" s="472"/>
      <c r="AM48" s="472"/>
      <c r="AN48" s="472"/>
      <c r="AO48" s="275"/>
      <c r="AP48" s="275"/>
      <c r="AQ48" s="281"/>
    </row>
    <row r="49" customFormat="false" ht="12.95" hidden="false" customHeight="true" outlineLevel="0" collapsed="false">
      <c r="A49" s="19" t="s">
        <v>84</v>
      </c>
      <c r="B49" s="455"/>
      <c r="C49" s="103"/>
      <c r="D49" s="103"/>
      <c r="E49" s="103"/>
      <c r="F49" s="150" t="n">
        <f aca="false">F10+F43</f>
        <v>49805.3945046635</v>
      </c>
      <c r="G49" s="105" t="n">
        <f aca="false">G10+G43</f>
        <v>110563</v>
      </c>
      <c r="H49" s="457" t="n">
        <f aca="false">H10+H43</f>
        <v>3509.87</v>
      </c>
      <c r="I49" s="105" t="n">
        <f aca="false">I10+I43</f>
        <v>114072.87</v>
      </c>
      <c r="J49" s="105" t="n">
        <f aca="false">J10+J43</f>
        <v>13338.2370809176</v>
      </c>
      <c r="K49" s="105" t="n">
        <f aca="false">K10+K43</f>
        <v>127411.107080918</v>
      </c>
      <c r="L49" s="105" t="n">
        <f aca="false">L10+L43</f>
        <v>10374.0345046635</v>
      </c>
      <c r="M49" s="106" t="n">
        <f aca="false">M10+M43</f>
        <v>20794.7</v>
      </c>
      <c r="N49" s="103" t="n">
        <f aca="false">N10+N43</f>
        <v>171.516527</v>
      </c>
      <c r="O49" s="109" t="n">
        <f aca="false">O10+O43</f>
        <v>5984.7845</v>
      </c>
      <c r="P49" s="380"/>
      <c r="Q49" s="109" t="n">
        <f aca="false">Q10+Q43</f>
        <v>436.4886</v>
      </c>
      <c r="R49" s="109" t="n">
        <f aca="false">R10+R43</f>
        <v>765.833</v>
      </c>
      <c r="S49" s="109" t="n">
        <f aca="false">S10+S43</f>
        <v>143.85</v>
      </c>
      <c r="T49" s="474" t="n">
        <f aca="false">T10+T43</f>
        <v>-61.236</v>
      </c>
      <c r="U49" s="105" t="n">
        <f aca="false">U10+U43</f>
        <v>15808</v>
      </c>
      <c r="V49" s="105" t="n">
        <f aca="false">V10+V43</f>
        <v>4714.9</v>
      </c>
      <c r="W49" s="105" t="n">
        <f aca="false">W10+W43</f>
        <v>33176.675973</v>
      </c>
      <c r="X49" s="105"/>
      <c r="Y49" s="105"/>
      <c r="Z49" s="105"/>
      <c r="AA49" s="105"/>
      <c r="AB49" s="105"/>
      <c r="AC49" s="105"/>
      <c r="AD49" s="105" t="n">
        <f aca="false">AD10+AD43</f>
        <v>24218.61</v>
      </c>
      <c r="AE49" s="105" t="n">
        <f aca="false">AE41</f>
        <v>12751.823072851</v>
      </c>
      <c r="AF49" s="105" t="n">
        <f aca="false">AF10+AF43</f>
        <v>74641.51</v>
      </c>
      <c r="AG49" s="105" t="n">
        <f aca="false">AG10+AG43</f>
        <v>2964.2025762541</v>
      </c>
      <c r="AH49" s="105" t="n">
        <f aca="false">AH10+AH43</f>
        <v>77605.7125762541</v>
      </c>
      <c r="AI49" s="108" t="n">
        <f aca="false">AI10+AI43</f>
        <v>6.87</v>
      </c>
      <c r="AJ49" s="109"/>
      <c r="AK49" s="110"/>
      <c r="AL49" s="457"/>
      <c r="AM49" s="105" t="n">
        <f aca="false">AM10+AM43</f>
        <v>264.7472</v>
      </c>
      <c r="AN49" s="140"/>
      <c r="AO49" s="258"/>
      <c r="AP49" s="458" t="n">
        <f aca="false">AP10+AP43</f>
        <v>100.78</v>
      </c>
      <c r="AQ49" s="457"/>
    </row>
    <row r="50" customFormat="false" ht="12.95" hidden="false" customHeight="true" outlineLevel="0" collapsed="false">
      <c r="A50" s="19" t="s">
        <v>85</v>
      </c>
      <c r="B50" s="455"/>
      <c r="C50" s="103"/>
      <c r="D50" s="103" t="n">
        <f aca="false">D10+D44</f>
        <v>98789</v>
      </c>
      <c r="E50" s="103" t="n">
        <f aca="false">E41</f>
        <v>217710</v>
      </c>
      <c r="F50" s="150" t="n">
        <f aca="false">F49*$D$2</f>
        <v>98789</v>
      </c>
      <c r="G50" s="105" t="n">
        <f aca="false">G49*$D$2</f>
        <v>219301.7105</v>
      </c>
      <c r="H50" s="457" t="n">
        <f aca="false">H49*$D$2</f>
        <v>6961.827145</v>
      </c>
      <c r="I50" s="105" t="n">
        <f aca="false">I49*$D$2</f>
        <v>226263.537645</v>
      </c>
      <c r="J50" s="105" t="n">
        <f aca="false">J49*$D$2</f>
        <v>26456.39325</v>
      </c>
      <c r="K50" s="105" t="n">
        <f aca="false">K49*$D$2</f>
        <v>252719.930895</v>
      </c>
      <c r="L50" s="105" t="n">
        <f aca="false">L49*$D$2</f>
        <v>20576.89744</v>
      </c>
      <c r="M50" s="106" t="n">
        <f aca="false">M49*$D$2</f>
        <v>41246.28745</v>
      </c>
      <c r="N50" s="103" t="n">
        <f aca="false">N49*$D$2</f>
        <v>340.2030313045</v>
      </c>
      <c r="O50" s="109" t="n">
        <f aca="false">O49*$D$2</f>
        <v>11870.82005575</v>
      </c>
      <c r="P50" s="380"/>
      <c r="Q50" s="109" t="n">
        <f aca="false">Q49*$D$2</f>
        <v>865.7751381</v>
      </c>
      <c r="R50" s="109" t="n">
        <f aca="false">R49*$D$2</f>
        <v>1519.0297555</v>
      </c>
      <c r="S50" s="109" t="n">
        <f aca="false">S49*$D$2</f>
        <v>285.326475</v>
      </c>
      <c r="T50" s="474" t="n">
        <f aca="false">T49*$D$2</f>
        <v>-121.461606</v>
      </c>
      <c r="U50" s="105" t="n">
        <f aca="false">U49*$D$2</f>
        <v>31355.168</v>
      </c>
      <c r="V50" s="105" t="n">
        <f aca="false">V49*$D$2</f>
        <v>9352.00415</v>
      </c>
      <c r="W50" s="105" t="n">
        <f aca="false">W49*$D$2</f>
        <v>65805.9367924455</v>
      </c>
      <c r="X50" s="105"/>
      <c r="Y50" s="105"/>
      <c r="Z50" s="105"/>
      <c r="AA50" s="105"/>
      <c r="AB50" s="105"/>
      <c r="AC50" s="105"/>
      <c r="AD50" s="105" t="n">
        <f aca="false">AD49*$D$2</f>
        <v>48037.612935</v>
      </c>
      <c r="AE50" s="105" t="n">
        <f aca="false">AE49*$D$2</f>
        <v>25293.241065</v>
      </c>
      <c r="AF50" s="105" t="n">
        <f aca="false">AF49*$D$2</f>
        <v>148051.435085</v>
      </c>
      <c r="AG50" s="105" t="n">
        <f aca="false">AG49*$D$2</f>
        <v>5879.49581</v>
      </c>
      <c r="AH50" s="105" t="n">
        <f aca="false">AH49*$D$2</f>
        <v>153930.930895</v>
      </c>
      <c r="AI50" s="108"/>
      <c r="AJ50" s="109"/>
      <c r="AK50" s="110"/>
      <c r="AL50" s="457" t="n">
        <f aca="false">AL41</f>
        <v>10571</v>
      </c>
      <c r="AM50" s="105" t="n">
        <f aca="false">AM49*$D$2</f>
        <v>525.1260712</v>
      </c>
      <c r="AN50" s="140"/>
      <c r="AO50" s="258" t="n">
        <f aca="false">AO10+AO44</f>
        <v>650.960174703456</v>
      </c>
      <c r="AP50" s="458" t="n">
        <f aca="false">AP49*$D$2</f>
        <v>199.89713</v>
      </c>
      <c r="AQ50" s="457"/>
    </row>
    <row r="51" customFormat="false" ht="3" hidden="false" customHeight="true" outlineLevel="0" collapsed="false">
      <c r="A51" s="116"/>
      <c r="B51" s="469"/>
      <c r="C51" s="125"/>
      <c r="D51" s="123"/>
      <c r="E51" s="125"/>
      <c r="F51" s="461"/>
      <c r="G51" s="123"/>
      <c r="H51" s="131"/>
      <c r="I51" s="123"/>
      <c r="J51" s="123"/>
      <c r="K51" s="528"/>
      <c r="L51" s="123"/>
      <c r="M51" s="126"/>
      <c r="N51" s="123"/>
      <c r="O51" s="131"/>
      <c r="P51" s="462"/>
      <c r="Q51" s="131"/>
      <c r="R51" s="131"/>
      <c r="S51" s="123"/>
      <c r="T51" s="463"/>
      <c r="U51" s="123"/>
      <c r="V51" s="123"/>
      <c r="W51" s="123"/>
      <c r="X51" s="125"/>
      <c r="Y51" s="125"/>
      <c r="Z51" s="125"/>
      <c r="AA51" s="123"/>
      <c r="AB51" s="121"/>
      <c r="AC51" s="160"/>
      <c r="AD51" s="123"/>
      <c r="AE51" s="125"/>
      <c r="AF51" s="123"/>
      <c r="AG51" s="123"/>
      <c r="AH51" s="123"/>
      <c r="AI51" s="469"/>
      <c r="AJ51" s="123"/>
      <c r="AK51" s="461"/>
      <c r="AL51" s="123"/>
      <c r="AM51" s="123"/>
      <c r="AN51" s="123"/>
      <c r="AO51" s="275"/>
      <c r="AP51" s="275"/>
      <c r="AQ51" s="275"/>
    </row>
    <row r="52" customFormat="false" ht="14.1" hidden="false" customHeight="true" outlineLevel="0" collapsed="false">
      <c r="A52" s="165"/>
      <c r="B52" s="167"/>
      <c r="C52" s="11"/>
      <c r="D52" s="10"/>
      <c r="E52" s="529"/>
      <c r="H52" s="135"/>
      <c r="I52" s="10"/>
      <c r="J52" s="10"/>
      <c r="K52" s="530"/>
      <c r="L52" s="180"/>
      <c r="M52" s="10"/>
      <c r="N52" s="10"/>
      <c r="O52" s="135"/>
      <c r="P52" s="14"/>
      <c r="Q52" s="135"/>
      <c r="R52" s="135"/>
      <c r="S52" s="10"/>
      <c r="T52" s="14"/>
      <c r="U52" s="10"/>
      <c r="V52" s="10"/>
      <c r="W52" s="10"/>
      <c r="X52" s="531"/>
      <c r="Y52" s="531"/>
      <c r="Z52" s="531"/>
      <c r="AA52" s="10"/>
      <c r="AB52" s="10"/>
      <c r="AC52" s="10"/>
      <c r="AD52" s="10"/>
      <c r="AE52" s="529"/>
      <c r="AF52" s="10"/>
      <c r="AG52" s="10"/>
      <c r="AH52" s="10"/>
      <c r="AI52" s="16"/>
      <c r="AJ52" s="17"/>
      <c r="AK52" s="17"/>
      <c r="AL52" s="18"/>
      <c r="AM52" s="18"/>
      <c r="AN52" s="518"/>
      <c r="AO52" s="508"/>
    </row>
    <row r="53" customFormat="false" ht="11.1" hidden="false" customHeight="true" outlineLevel="0" collapsed="false">
      <c r="A53" s="10"/>
      <c r="B53" s="167"/>
      <c r="C53" s="11"/>
      <c r="D53" s="168"/>
      <c r="E53" s="509"/>
      <c r="F53" s="532"/>
      <c r="H53" s="135"/>
      <c r="I53" s="12"/>
      <c r="J53" s="10"/>
      <c r="K53" s="169"/>
      <c r="L53" s="183"/>
      <c r="M53" s="10"/>
      <c r="N53" s="10"/>
      <c r="O53" s="135"/>
      <c r="P53" s="14"/>
      <c r="Q53" s="135"/>
      <c r="R53" s="135"/>
      <c r="S53" s="137"/>
      <c r="T53" s="102"/>
      <c r="U53" s="533"/>
      <c r="V53" s="137"/>
      <c r="W53" s="534"/>
      <c r="X53" s="180"/>
      <c r="Y53" s="180"/>
      <c r="Z53" s="180"/>
      <c r="AA53" s="533"/>
      <c r="AB53" s="533"/>
      <c r="AC53" s="533"/>
      <c r="AD53" s="10"/>
      <c r="AE53" s="11"/>
      <c r="AF53" s="10"/>
      <c r="AG53" s="10"/>
      <c r="AH53" s="10"/>
      <c r="AI53" s="16"/>
      <c r="AJ53" s="17"/>
      <c r="AK53" s="17"/>
      <c r="AL53" s="18"/>
      <c r="AM53" s="18"/>
      <c r="AN53" s="518"/>
    </row>
    <row r="54" customFormat="false" ht="11.1" hidden="false" customHeight="true" outlineLevel="0" collapsed="false">
      <c r="B54" s="180"/>
      <c r="C54" s="172"/>
      <c r="D54" s="171"/>
      <c r="E54" s="509"/>
      <c r="F54" s="510"/>
      <c r="H54" s="135"/>
      <c r="I54" s="168"/>
      <c r="J54" s="168"/>
      <c r="K54" s="535"/>
      <c r="L54" s="513"/>
      <c r="M54" s="536"/>
      <c r="N54" s="536"/>
      <c r="O54" s="537"/>
      <c r="P54" s="538"/>
      <c r="Q54" s="537"/>
      <c r="R54" s="537"/>
      <c r="S54" s="477"/>
      <c r="T54" s="102"/>
      <c r="U54" s="533"/>
      <c r="V54" s="137"/>
      <c r="W54" s="99"/>
      <c r="X54" s="180"/>
      <c r="Y54" s="180"/>
      <c r="Z54" s="180"/>
      <c r="AA54" s="180"/>
      <c r="AB54" s="180"/>
      <c r="AC54" s="180"/>
      <c r="AD54" s="11"/>
      <c r="AE54" s="533"/>
      <c r="AF54" s="168"/>
      <c r="AG54" s="168"/>
      <c r="AH54" s="14"/>
      <c r="AI54" s="16"/>
      <c r="AJ54" s="17"/>
      <c r="AK54" s="18"/>
      <c r="AL54" s="539"/>
      <c r="AM54" s="539"/>
      <c r="AN54" s="539"/>
    </row>
    <row r="55" customFormat="false" ht="11.1" hidden="false" customHeight="true" outlineLevel="0" collapsed="false">
      <c r="A55" s="168"/>
      <c r="B55" s="301"/>
      <c r="C55" s="180"/>
      <c r="D55" s="180"/>
      <c r="E55" s="509"/>
      <c r="H55" s="183"/>
      <c r="J55" s="168"/>
      <c r="K55" s="535"/>
      <c r="L55" s="183"/>
      <c r="M55" s="135"/>
      <c r="N55" s="135"/>
      <c r="O55" s="183"/>
      <c r="P55" s="181"/>
      <c r="Q55" s="183"/>
      <c r="R55" s="183"/>
      <c r="S55" s="477"/>
      <c r="T55" s="102"/>
      <c r="U55" s="477"/>
      <c r="V55" s="477"/>
      <c r="W55" s="99"/>
      <c r="X55" s="185"/>
      <c r="Y55" s="185"/>
      <c r="Z55" s="185"/>
      <c r="AA55" s="180"/>
      <c r="AB55" s="180"/>
      <c r="AC55" s="180"/>
      <c r="AD55" s="11"/>
      <c r="AE55" s="180"/>
      <c r="AF55" s="168"/>
      <c r="AG55" s="168"/>
      <c r="AH55" s="14"/>
      <c r="AI55" s="16"/>
      <c r="AJ55" s="17"/>
      <c r="AK55" s="18"/>
      <c r="AL55" s="539"/>
      <c r="AM55" s="539"/>
      <c r="AN55" s="539"/>
    </row>
    <row r="56" customFormat="false" ht="11.1" hidden="false" customHeight="true" outlineLevel="0" collapsed="false">
      <c r="A56" s="168"/>
      <c r="B56" s="181"/>
      <c r="C56" s="180"/>
      <c r="D56" s="180"/>
      <c r="E56" s="509"/>
      <c r="F56" s="514"/>
      <c r="G56" s="301"/>
      <c r="H56" s="135"/>
      <c r="I56" s="168"/>
      <c r="J56" s="168"/>
      <c r="K56" s="169"/>
      <c r="L56" s="168"/>
      <c r="M56" s="135"/>
      <c r="N56" s="135"/>
      <c r="O56" s="135"/>
      <c r="P56" s="14"/>
      <c r="Q56" s="135"/>
      <c r="R56" s="135"/>
      <c r="S56" s="168"/>
      <c r="T56" s="14"/>
      <c r="U56" s="168"/>
      <c r="V56" s="168"/>
      <c r="W56" s="11"/>
      <c r="X56" s="11"/>
      <c r="Y56" s="11"/>
      <c r="Z56" s="11"/>
      <c r="AA56" s="168"/>
      <c r="AB56" s="168"/>
      <c r="AC56" s="168"/>
      <c r="AD56" s="11"/>
      <c r="AE56" s="168"/>
      <c r="AF56" s="168"/>
      <c r="AG56" s="168"/>
      <c r="AH56" s="14"/>
      <c r="AI56" s="16"/>
      <c r="AJ56" s="17"/>
      <c r="AK56" s="18"/>
      <c r="AL56" s="539"/>
      <c r="AM56" s="539"/>
      <c r="AN56" s="539"/>
    </row>
    <row r="57" customFormat="false" ht="11.1" hidden="false" customHeight="true" outlineLevel="0" collapsed="false">
      <c r="V57" s="168"/>
      <c r="W57" s="11"/>
    </row>
    <row r="58" customFormat="false" ht="11.1" hidden="false" customHeight="true" outlineLevel="0" collapsed="false">
      <c r="B58" s="166"/>
    </row>
  </sheetData>
  <mergeCells count="2">
    <mergeCell ref="K2:AD2"/>
    <mergeCell ref="M5:T5"/>
  </mergeCells>
  <printOptions headings="true" gridLines="true" gridLinesSet="true" horizontalCentered="true" verticalCentered="true"/>
  <pageMargins left="0.25" right="0.25" top="0.25"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V12" activePane="bottomRight" state="frozen"/>
      <selection pane="topLeft" activeCell="A1" activeCellId="0" sqref="A1"/>
      <selection pane="topRight" activeCell="V1" activeCellId="0" sqref="V1"/>
      <selection pane="bottomLeft" activeCell="A12" activeCellId="0" sqref="A12"/>
      <selection pane="bottomRight" activeCell="AV29" activeCellId="0" sqref="AV29"/>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174" width="5.66"/>
    <col collapsed="false" customWidth="true" hidden="false" outlineLevel="0" max="11" min="9" style="171" width="6.32"/>
    <col collapsed="false" customWidth="true" hidden="false" outlineLevel="0" max="12" min="12" style="171" width="7.16"/>
    <col collapsed="false" customWidth="true" hidden="false" outlineLevel="0" max="13" min="13" style="174" width="5.49"/>
    <col collapsed="false" customWidth="true" hidden="false" outlineLevel="0" max="14" min="14" style="174" width="4.49"/>
    <col collapsed="false" customWidth="true" hidden="false" outlineLevel="0" max="15" min="15" style="174" width="5.49"/>
    <col collapsed="false" customWidth="true" hidden="false" outlineLevel="0" max="16" min="16" style="173" width="4.82"/>
    <col collapsed="false" customWidth="true" hidden="false" outlineLevel="0" max="17" min="17" style="174" width="4.66"/>
    <col collapsed="false" customWidth="true" hidden="false" outlineLevel="0" max="18" min="18" style="174" width="4.99"/>
    <col collapsed="false" customWidth="true" hidden="false" outlineLevel="0" max="19" min="19" style="171" width="4.32"/>
    <col collapsed="false" customWidth="true" hidden="false" outlineLevel="0" max="20" min="20" style="173" width="5.49"/>
    <col collapsed="false" customWidth="true" hidden="false" outlineLevel="0" max="22" min="21" style="171" width="5.49"/>
    <col collapsed="false" customWidth="true" hidden="false" outlineLevel="0" max="23" min="23" style="172" width="6.32"/>
    <col collapsed="false" customWidth="true" hidden="false" outlineLevel="0" max="29" min="24" style="171" width="5.49"/>
    <col collapsed="false" customWidth="true" hidden="false" outlineLevel="0" max="30" min="30" style="172" width="6.49"/>
    <col collapsed="false" customWidth="true" hidden="false" outlineLevel="0" max="31" min="31" style="171" width="5.49"/>
    <col collapsed="false" customWidth="true" hidden="false" outlineLevel="0" max="32" min="32" style="171" width="6.32"/>
    <col collapsed="false" customWidth="true" hidden="false" outlineLevel="0" max="33" min="33" style="171" width="6.99"/>
    <col collapsed="false" customWidth="true" hidden="false" outlineLevel="0" max="34" min="34" style="173" width="6.99"/>
    <col collapsed="false" customWidth="true" hidden="false" outlineLevel="0" max="35" min="35" style="176" width="5.32"/>
    <col collapsed="false" customWidth="true" hidden="false" outlineLevel="0" max="36" min="36" style="176" width="3.82"/>
    <col collapsed="false" customWidth="true" hidden="false" outlineLevel="0" max="37" min="37" style="177" width="3.82"/>
    <col collapsed="false" customWidth="true" hidden="false" outlineLevel="0" max="39" min="38" style="171" width="5.49"/>
    <col collapsed="false" customWidth="true" hidden="false" outlineLevel="0" max="40" min="40" style="174" width="6.32"/>
    <col collapsed="false" customWidth="true" hidden="false" outlineLevel="0" max="41" min="41" style="398" width="6.32"/>
    <col collapsed="false" customWidth="true" hidden="false" outlineLevel="0" max="42" min="42" style="394" width="6.32"/>
    <col collapsed="false" customWidth="true" hidden="false" outlineLevel="0" max="43" min="43" style="173" width="6.49"/>
    <col collapsed="false" customWidth="false" hidden="false" outlineLevel="0" max="257" min="44" style="171" width="9.32"/>
  </cols>
  <sheetData>
    <row r="1" customFormat="false" ht="14.1" hidden="false" customHeight="true" outlineLevel="0" collapsed="false">
      <c r="A1" s="10"/>
      <c r="B1" s="10"/>
      <c r="C1" s="11"/>
      <c r="D1" s="10"/>
      <c r="E1" s="11"/>
      <c r="F1" s="10"/>
      <c r="G1" s="10"/>
      <c r="H1" s="135"/>
      <c r="I1" s="10"/>
      <c r="J1" s="10"/>
      <c r="K1" s="13" t="s">
        <v>0</v>
      </c>
      <c r="L1" s="10"/>
      <c r="M1" s="10"/>
      <c r="N1" s="10"/>
      <c r="O1" s="10"/>
      <c r="P1" s="14"/>
      <c r="Q1" s="10"/>
      <c r="R1" s="10"/>
      <c r="S1" s="10"/>
      <c r="T1" s="14"/>
      <c r="U1" s="10"/>
      <c r="V1" s="10"/>
      <c r="W1" s="11"/>
      <c r="X1" s="10"/>
      <c r="Y1" s="10"/>
      <c r="Z1" s="10"/>
      <c r="AA1" s="10"/>
      <c r="AB1" s="10"/>
      <c r="AC1" s="10"/>
      <c r="AD1" s="11"/>
      <c r="AE1" s="10"/>
      <c r="AF1" s="10"/>
      <c r="AG1" s="10"/>
      <c r="AH1" s="14"/>
      <c r="AI1" s="16"/>
      <c r="AJ1" s="17"/>
      <c r="AK1" s="18"/>
      <c r="AL1" s="518"/>
      <c r="AM1" s="518"/>
      <c r="AN1" s="540"/>
      <c r="AP1" s="5"/>
      <c r="AQ1" s="4"/>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9" t="s">
        <v>1</v>
      </c>
      <c r="B2" s="10"/>
      <c r="C2" s="11"/>
      <c r="D2" s="20" t="n">
        <v>1.9835</v>
      </c>
      <c r="E2" s="11"/>
      <c r="F2" s="10"/>
      <c r="G2" s="10"/>
      <c r="H2" s="135"/>
      <c r="I2" s="10"/>
      <c r="J2" s="10"/>
      <c r="K2" s="519" t="s">
        <v>115</v>
      </c>
      <c r="L2" s="519"/>
      <c r="M2" s="519"/>
      <c r="N2" s="519"/>
      <c r="O2" s="519"/>
      <c r="P2" s="519"/>
      <c r="Q2" s="519"/>
      <c r="R2" s="519"/>
      <c r="S2" s="519"/>
      <c r="T2" s="519"/>
      <c r="U2" s="519"/>
      <c r="V2" s="519"/>
      <c r="W2" s="519"/>
      <c r="X2" s="519"/>
      <c r="Y2" s="519"/>
      <c r="Z2" s="519"/>
      <c r="AA2" s="519"/>
      <c r="AB2" s="519"/>
      <c r="AC2" s="519"/>
      <c r="AD2" s="519"/>
      <c r="AE2" s="10"/>
      <c r="AF2" s="10"/>
      <c r="AG2" s="10"/>
      <c r="AH2" s="14"/>
      <c r="AI2" s="16"/>
      <c r="AJ2" s="17"/>
      <c r="AK2" s="18"/>
      <c r="AL2" s="518"/>
      <c r="AM2" s="518"/>
      <c r="AN2" s="540"/>
      <c r="AP2" s="5"/>
      <c r="AQ2" s="4"/>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4.1" hidden="false" customHeight="true" outlineLevel="0" collapsed="false">
      <c r="A3" s="21"/>
      <c r="B3" s="21"/>
      <c r="C3" s="22"/>
      <c r="D3" s="23"/>
      <c r="E3" s="22"/>
      <c r="F3" s="21"/>
      <c r="G3" s="21"/>
      <c r="H3" s="520"/>
      <c r="I3" s="21"/>
      <c r="J3" s="21"/>
      <c r="K3" s="21"/>
      <c r="L3" s="21"/>
      <c r="M3" s="21"/>
      <c r="N3" s="21"/>
      <c r="O3" s="21"/>
      <c r="P3" s="25"/>
      <c r="Q3" s="21"/>
      <c r="R3" s="21"/>
      <c r="S3" s="21"/>
      <c r="T3" s="25"/>
      <c r="U3" s="21"/>
      <c r="V3" s="21"/>
      <c r="W3" s="22"/>
      <c r="X3" s="21"/>
      <c r="Y3" s="21"/>
      <c r="Z3" s="21"/>
      <c r="AA3" s="21"/>
      <c r="AB3" s="21"/>
      <c r="AC3" s="21"/>
      <c r="AD3" s="22"/>
      <c r="AE3" s="21"/>
      <c r="AF3" s="21"/>
      <c r="AG3" s="21"/>
      <c r="AH3" s="25"/>
      <c r="AI3" s="27"/>
      <c r="AJ3" s="28"/>
      <c r="AK3" s="29"/>
      <c r="AL3" s="521"/>
      <c r="AM3" s="521"/>
      <c r="AN3" s="541"/>
      <c r="AP3" s="5"/>
      <c r="AQ3" s="4"/>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9" customFormat="true" ht="14.1" hidden="false" customHeight="true" outlineLevel="0" collapsed="false">
      <c r="A4" s="34"/>
      <c r="B4" s="35"/>
      <c r="C4" s="36"/>
      <c r="D4" s="431" t="s">
        <v>3</v>
      </c>
      <c r="E4" s="36"/>
      <c r="F4" s="38"/>
      <c r="G4" s="34"/>
      <c r="H4" s="47"/>
      <c r="I4" s="34"/>
      <c r="J4" s="34"/>
      <c r="K4" s="34"/>
      <c r="L4" s="34"/>
      <c r="M4" s="34"/>
      <c r="N4" s="34"/>
      <c r="O4" s="34"/>
      <c r="P4" s="40"/>
      <c r="Q4" s="34"/>
      <c r="R4" s="34"/>
      <c r="S4" s="34"/>
      <c r="T4" s="40"/>
      <c r="U4" s="42" t="s">
        <v>4</v>
      </c>
      <c r="V4" s="34"/>
      <c r="W4" s="43"/>
      <c r="X4" s="34"/>
      <c r="Y4" s="34"/>
      <c r="Z4" s="34"/>
      <c r="AA4" s="34"/>
      <c r="AB4" s="34"/>
      <c r="AC4" s="34"/>
      <c r="AD4" s="43"/>
      <c r="AE4" s="34"/>
      <c r="AF4" s="34"/>
      <c r="AG4" s="34"/>
      <c r="AH4" s="40"/>
      <c r="AI4" s="44"/>
      <c r="AJ4" s="45" t="s">
        <v>5</v>
      </c>
      <c r="AK4" s="46"/>
      <c r="AL4" s="484"/>
      <c r="AM4" s="484"/>
      <c r="AN4" s="207" t="s">
        <v>6</v>
      </c>
      <c r="AO4" s="486"/>
      <c r="AP4" s="433"/>
      <c r="AQ4" s="433"/>
    </row>
    <row r="5" s="544" customFormat="true" ht="12.95" hidden="false" customHeight="true" outlineLevel="0" collapsed="false">
      <c r="A5" s="248" t="s">
        <v>7</v>
      </c>
      <c r="B5" s="487" t="s">
        <v>8</v>
      </c>
      <c r="C5" s="244" t="s">
        <v>8</v>
      </c>
      <c r="D5" s="248" t="s">
        <v>9</v>
      </c>
      <c r="E5" s="244" t="s">
        <v>10</v>
      </c>
      <c r="F5" s="542" t="s">
        <v>11</v>
      </c>
      <c r="G5" s="248" t="s">
        <v>12</v>
      </c>
      <c r="H5" s="239" t="s">
        <v>13</v>
      </c>
      <c r="I5" s="248" t="s">
        <v>14</v>
      </c>
      <c r="J5" s="248" t="s">
        <v>15</v>
      </c>
      <c r="K5" s="248" t="s">
        <v>16</v>
      </c>
      <c r="L5" s="248" t="s">
        <v>15</v>
      </c>
      <c r="M5" s="223" t="s">
        <v>17</v>
      </c>
      <c r="N5" s="223"/>
      <c r="O5" s="223"/>
      <c r="P5" s="223"/>
      <c r="Q5" s="223"/>
      <c r="R5" s="223"/>
      <c r="S5" s="223"/>
      <c r="T5" s="223"/>
      <c r="U5" s="441" t="s">
        <v>18</v>
      </c>
      <c r="V5" s="441" t="s">
        <v>19</v>
      </c>
      <c r="W5" s="441" t="s">
        <v>16</v>
      </c>
      <c r="X5" s="87" t="s">
        <v>20</v>
      </c>
      <c r="Y5" s="87" t="s">
        <v>21</v>
      </c>
      <c r="Z5" s="244" t="s">
        <v>20</v>
      </c>
      <c r="AA5" s="441" t="s">
        <v>22</v>
      </c>
      <c r="AB5" s="225" t="s">
        <v>87</v>
      </c>
      <c r="AC5" s="226"/>
      <c r="AD5" s="441" t="s">
        <v>24</v>
      </c>
      <c r="AE5" s="244" t="s">
        <v>110</v>
      </c>
      <c r="AF5" s="248" t="s">
        <v>14</v>
      </c>
      <c r="AG5" s="248" t="s">
        <v>15</v>
      </c>
      <c r="AH5" s="248" t="s">
        <v>16</v>
      </c>
      <c r="AI5" s="543" t="s">
        <v>26</v>
      </c>
      <c r="AJ5" s="238" t="s">
        <v>27</v>
      </c>
      <c r="AK5" s="368" t="s">
        <v>28</v>
      </c>
      <c r="AL5" s="76" t="s">
        <v>88</v>
      </c>
      <c r="AM5" s="76" t="s">
        <v>20</v>
      </c>
      <c r="AN5" s="448" t="s">
        <v>89</v>
      </c>
      <c r="AO5" s="448" t="s">
        <v>89</v>
      </c>
      <c r="AP5" s="448" t="s">
        <v>30</v>
      </c>
      <c r="AQ5" s="249" t="s">
        <v>31</v>
      </c>
    </row>
    <row r="6" s="544" customFormat="true" ht="12.95" hidden="false" customHeight="true" outlineLevel="0" collapsed="false">
      <c r="A6" s="492" t="s">
        <v>116</v>
      </c>
      <c r="B6" s="487" t="s">
        <v>33</v>
      </c>
      <c r="C6" s="244" t="s">
        <v>9</v>
      </c>
      <c r="D6" s="248" t="s">
        <v>34</v>
      </c>
      <c r="E6" s="244" t="s">
        <v>35</v>
      </c>
      <c r="F6" s="542" t="s">
        <v>36</v>
      </c>
      <c r="G6" s="248" t="s">
        <v>37</v>
      </c>
      <c r="H6" s="239" t="s">
        <v>38</v>
      </c>
      <c r="I6" s="248" t="s">
        <v>39</v>
      </c>
      <c r="J6" s="248" t="s">
        <v>39</v>
      </c>
      <c r="K6" s="248" t="s">
        <v>39</v>
      </c>
      <c r="L6" s="248" t="s">
        <v>40</v>
      </c>
      <c r="M6" s="493" t="s">
        <v>41</v>
      </c>
      <c r="N6" s="248" t="s">
        <v>117</v>
      </c>
      <c r="O6" s="248" t="s">
        <v>43</v>
      </c>
      <c r="P6" s="249" t="s">
        <v>44</v>
      </c>
      <c r="Q6" s="248" t="s">
        <v>45</v>
      </c>
      <c r="R6" s="248" t="s">
        <v>46</v>
      </c>
      <c r="S6" s="248" t="s">
        <v>47</v>
      </c>
      <c r="T6" s="250" t="s">
        <v>48</v>
      </c>
      <c r="U6" s="441" t="s">
        <v>49</v>
      </c>
      <c r="V6" s="441" t="s">
        <v>50</v>
      </c>
      <c r="W6" s="441" t="s">
        <v>20</v>
      </c>
      <c r="X6" s="87" t="s">
        <v>60</v>
      </c>
      <c r="Y6" s="244" t="s">
        <v>52</v>
      </c>
      <c r="Z6" s="244" t="s">
        <v>53</v>
      </c>
      <c r="AA6" s="441" t="s">
        <v>54</v>
      </c>
      <c r="AB6" s="234" t="s">
        <v>20</v>
      </c>
      <c r="AC6" s="236" t="s">
        <v>53</v>
      </c>
      <c r="AD6" s="441" t="s">
        <v>56</v>
      </c>
      <c r="AE6" s="244" t="s">
        <v>57</v>
      </c>
      <c r="AF6" s="248" t="s">
        <v>58</v>
      </c>
      <c r="AG6" s="248" t="s">
        <v>58</v>
      </c>
      <c r="AH6" s="248" t="s">
        <v>58</v>
      </c>
      <c r="AI6" s="545"/>
      <c r="AJ6" s="238" t="s">
        <v>59</v>
      </c>
      <c r="AK6" s="368" t="s">
        <v>59</v>
      </c>
      <c r="AL6" s="76" t="s">
        <v>60</v>
      </c>
      <c r="AM6" s="76" t="s">
        <v>61</v>
      </c>
      <c r="AN6" s="448" t="s">
        <v>62</v>
      </c>
      <c r="AO6" s="448" t="s">
        <v>62</v>
      </c>
      <c r="AP6" s="448" t="s">
        <v>63</v>
      </c>
      <c r="AQ6" s="249" t="s">
        <v>118</v>
      </c>
    </row>
    <row r="7" s="544" customFormat="true" ht="12.95" hidden="false" customHeight="true" outlineLevel="0" collapsed="false">
      <c r="A7" s="248"/>
      <c r="B7" s="487"/>
      <c r="C7" s="244"/>
      <c r="D7" s="248"/>
      <c r="E7" s="244" t="s">
        <v>65</v>
      </c>
      <c r="F7" s="542"/>
      <c r="G7" s="248"/>
      <c r="H7" s="239"/>
      <c r="I7" s="248"/>
      <c r="J7" s="248"/>
      <c r="K7" s="248"/>
      <c r="L7" s="248"/>
      <c r="M7" s="493"/>
      <c r="N7" s="248"/>
      <c r="O7" s="248" t="s">
        <v>67</v>
      </c>
      <c r="P7" s="249"/>
      <c r="Q7" s="248"/>
      <c r="R7" s="248"/>
      <c r="S7" s="248" t="s">
        <v>43</v>
      </c>
      <c r="T7" s="250" t="s">
        <v>68</v>
      </c>
      <c r="U7" s="441"/>
      <c r="V7" s="441"/>
      <c r="W7" s="441"/>
      <c r="X7" s="87"/>
      <c r="Y7" s="87"/>
      <c r="Z7" s="87"/>
      <c r="AA7" s="441"/>
      <c r="AB7" s="247"/>
      <c r="AC7" s="251"/>
      <c r="AD7" s="441"/>
      <c r="AE7" s="87"/>
      <c r="AF7" s="441"/>
      <c r="AG7" s="441"/>
      <c r="AH7" s="441"/>
      <c r="AI7" s="545"/>
      <c r="AJ7" s="238"/>
      <c r="AK7" s="368"/>
      <c r="AL7" s="76" t="s">
        <v>65</v>
      </c>
      <c r="AM7" s="76" t="s">
        <v>36</v>
      </c>
      <c r="AN7" s="448" t="s">
        <v>107</v>
      </c>
      <c r="AO7" s="448" t="s">
        <v>93</v>
      </c>
      <c r="AP7" s="448" t="s">
        <v>72</v>
      </c>
      <c r="AQ7" s="249" t="s">
        <v>73</v>
      </c>
    </row>
    <row r="8" s="544" customFormat="true" ht="12.95" hidden="false" customHeight="true" outlineLevel="0" collapsed="false">
      <c r="A8" s="248"/>
      <c r="B8" s="487"/>
      <c r="C8" s="244"/>
      <c r="D8" s="248"/>
      <c r="E8" s="244"/>
      <c r="F8" s="542"/>
      <c r="G8" s="248"/>
      <c r="H8" s="239"/>
      <c r="I8" s="248"/>
      <c r="J8" s="248"/>
      <c r="K8" s="248"/>
      <c r="L8" s="248"/>
      <c r="M8" s="493"/>
      <c r="N8" s="254" t="n">
        <v>1.03</v>
      </c>
      <c r="O8" s="254" t="n">
        <v>1.05</v>
      </c>
      <c r="P8" s="249" t="n">
        <v>1.02</v>
      </c>
      <c r="Q8" s="254" t="n">
        <v>1.02</v>
      </c>
      <c r="R8" s="254" t="n">
        <v>1.04</v>
      </c>
      <c r="S8" s="248" t="s">
        <v>53</v>
      </c>
      <c r="T8" s="250"/>
      <c r="U8" s="248"/>
      <c r="V8" s="248"/>
      <c r="W8" s="248"/>
      <c r="X8" s="244"/>
      <c r="Y8" s="244"/>
      <c r="Z8" s="371" t="n">
        <v>1392</v>
      </c>
      <c r="AA8" s="248"/>
      <c r="AB8" s="247"/>
      <c r="AC8" s="251"/>
      <c r="AD8" s="248"/>
      <c r="AE8" s="244"/>
      <c r="AF8" s="248"/>
      <c r="AG8" s="248"/>
      <c r="AH8" s="248"/>
      <c r="AI8" s="545"/>
      <c r="AJ8" s="238"/>
      <c r="AK8" s="368"/>
      <c r="AL8" s="76"/>
      <c r="AM8" s="76"/>
      <c r="AN8" s="448"/>
      <c r="AO8" s="448" t="s">
        <v>69</v>
      </c>
      <c r="AP8" s="523"/>
      <c r="AQ8" s="514"/>
    </row>
    <row r="9" customFormat="false" ht="12.95" hidden="false" customHeight="true" outlineLevel="0" collapsed="false">
      <c r="A9" s="187" t="s">
        <v>75</v>
      </c>
      <c r="B9" s="256"/>
      <c r="C9" s="115"/>
      <c r="D9" s="115"/>
      <c r="E9" s="115"/>
      <c r="F9" s="257" t="n">
        <f aca="false">JUN!F46</f>
        <v>30210.2344340812</v>
      </c>
      <c r="G9" s="115" t="n">
        <f aca="false">JUN!G46</f>
        <v>87942</v>
      </c>
      <c r="H9" s="264" t="n">
        <f aca="false">JUN!H46</f>
        <v>2022.29</v>
      </c>
      <c r="I9" s="115" t="n">
        <f aca="false">JUN!I46</f>
        <v>89964.29</v>
      </c>
      <c r="J9" s="115" t="n">
        <f aca="false">JUN!J46</f>
        <v>6249.30279808419</v>
      </c>
      <c r="K9" s="115" t="n">
        <f aca="false">JUN!K46</f>
        <v>96213.5927980842</v>
      </c>
      <c r="L9" s="115" t="n">
        <f aca="false">JUN!L46</f>
        <v>4625.95443408117</v>
      </c>
      <c r="M9" s="259" t="n">
        <f aca="false">JUN!M46</f>
        <v>19798.3</v>
      </c>
      <c r="N9" s="115" t="n">
        <f aca="false">JUN!N46</f>
        <v>171.516527</v>
      </c>
      <c r="O9" s="115" t="n">
        <f aca="false">JUN!O46</f>
        <v>5984.7845</v>
      </c>
      <c r="P9" s="258" t="n">
        <f aca="false">JUN!P46</f>
        <v>7.32</v>
      </c>
      <c r="Q9" s="115"/>
      <c r="R9" s="115"/>
      <c r="S9" s="115"/>
      <c r="T9" s="260"/>
      <c r="U9" s="115" t="n">
        <f aca="false">JUN!U46</f>
        <v>10433</v>
      </c>
      <c r="V9" s="115" t="n">
        <f aca="false">JUN!V46</f>
        <v>4588.8</v>
      </c>
      <c r="W9" s="115" t="n">
        <f aca="false">JUN!W46</f>
        <v>27539.660373</v>
      </c>
      <c r="X9" s="115" t="n">
        <f aca="false">JUN!X46</f>
        <v>8689.5037946567</v>
      </c>
      <c r="Y9" s="115" t="n">
        <f aca="false">JUN!Y46</f>
        <v>1749.38</v>
      </c>
      <c r="Z9" s="371" t="n">
        <f aca="false">Z8/D2</f>
        <v>701.789765565919</v>
      </c>
      <c r="AA9" s="115" t="n">
        <f aca="false">JUN!AA46</f>
        <v>9385.9</v>
      </c>
      <c r="AB9" s="259" t="n">
        <f aca="false">JUN!AB46</f>
        <v>154.7</v>
      </c>
      <c r="AC9" s="262" t="n">
        <f aca="false">JUN!AC46</f>
        <v>118.3</v>
      </c>
      <c r="AD9" s="115"/>
      <c r="AE9" s="115"/>
      <c r="AF9" s="115" t="n">
        <f aca="false">JUN!AF46</f>
        <v>64380.01</v>
      </c>
      <c r="AG9" s="115" t="n">
        <f aca="false">JUN!AG46</f>
        <v>1623.34836400302</v>
      </c>
      <c r="AH9" s="115" t="n">
        <f aca="false">JUN!AH46</f>
        <v>66003.358364003</v>
      </c>
      <c r="AI9" s="392"/>
      <c r="AJ9" s="264"/>
      <c r="AK9" s="265"/>
      <c r="AL9" s="264"/>
      <c r="AM9" s="264"/>
      <c r="AN9" s="261"/>
      <c r="AO9" s="258" t="n">
        <f aca="false">JUN!AO47</f>
        <v>650.960174703456</v>
      </c>
      <c r="AP9" s="458" t="n">
        <f aca="false">JUN!AP46</f>
        <v>100.78</v>
      </c>
      <c r="AQ9" s="458" t="n">
        <f aca="false">JUN!AQ46</f>
        <v>252.7</v>
      </c>
    </row>
    <row r="10" s="172" customFormat="true" ht="12.95" hidden="false" customHeight="true" outlineLevel="0" collapsed="false">
      <c r="A10" s="267" t="s">
        <v>76</v>
      </c>
      <c r="B10" s="114" t="n">
        <f aca="false">JUN!B41</f>
        <v>6921.41</v>
      </c>
      <c r="C10" s="115" t="n">
        <f aca="false">JUN!C41</f>
        <v>369710</v>
      </c>
      <c r="D10" s="115" t="n">
        <f aca="false">JUN!D50</f>
        <v>98789</v>
      </c>
      <c r="E10" s="115" t="n">
        <f aca="false">JUN!E50</f>
        <v>217710</v>
      </c>
      <c r="F10" s="257" t="n">
        <f aca="false">JUN!F49</f>
        <v>49805.3945046635</v>
      </c>
      <c r="G10" s="115" t="n">
        <f aca="false">JUN!G49</f>
        <v>110563</v>
      </c>
      <c r="H10" s="264" t="n">
        <f aca="false">JUN!H49</f>
        <v>3509.87</v>
      </c>
      <c r="I10" s="115" t="n">
        <f aca="false">JUN!I49</f>
        <v>114072.87</v>
      </c>
      <c r="J10" s="115" t="n">
        <f aca="false">JUN!J49</f>
        <v>13338.2370809176</v>
      </c>
      <c r="K10" s="115" t="n">
        <f aca="false">JUN!K49</f>
        <v>127411.107080918</v>
      </c>
      <c r="L10" s="115" t="n">
        <f aca="false">JUN!L49</f>
        <v>10374.0345046635</v>
      </c>
      <c r="M10" s="259" t="n">
        <f aca="false">JUN!M49</f>
        <v>20794.7</v>
      </c>
      <c r="N10" s="115" t="n">
        <f aca="false">JUN!N49</f>
        <v>171.516527</v>
      </c>
      <c r="O10" s="115" t="n">
        <f aca="false">JUN!O49</f>
        <v>5984.7845</v>
      </c>
      <c r="P10" s="258"/>
      <c r="Q10" s="115" t="n">
        <f aca="false">JUN!Q49</f>
        <v>436.4886</v>
      </c>
      <c r="R10" s="115" t="n">
        <f aca="false">JUN!R49</f>
        <v>765.833</v>
      </c>
      <c r="S10" s="115" t="n">
        <f aca="false">JUN!S49</f>
        <v>143.85</v>
      </c>
      <c r="T10" s="260" t="n">
        <f aca="false">JUN!T49</f>
        <v>-61.236</v>
      </c>
      <c r="U10" s="115" t="n">
        <f aca="false">JUN!U49</f>
        <v>15808</v>
      </c>
      <c r="V10" s="115" t="n">
        <f aca="false">JUN!V49</f>
        <v>4714.9</v>
      </c>
      <c r="W10" s="115" t="n">
        <f aca="false">JUN!W49</f>
        <v>33176.675973</v>
      </c>
      <c r="X10" s="115"/>
      <c r="Y10" s="115"/>
      <c r="Z10" s="115"/>
      <c r="AA10" s="115" t="n">
        <f aca="false">JUN!AA49</f>
        <v>0</v>
      </c>
      <c r="AB10" s="259"/>
      <c r="AC10" s="262"/>
      <c r="AD10" s="115" t="n">
        <f aca="false">JUN!AD49</f>
        <v>24218.61</v>
      </c>
      <c r="AE10" s="115" t="n">
        <f aca="false">JUN!AE49</f>
        <v>12751.823072851</v>
      </c>
      <c r="AF10" s="115" t="n">
        <f aca="false">JUN!AF49</f>
        <v>74641.51</v>
      </c>
      <c r="AG10" s="115" t="n">
        <f aca="false">JUN!AG49</f>
        <v>2964.2025762541</v>
      </c>
      <c r="AH10" s="115" t="n">
        <f aca="false">JUN!AH49</f>
        <v>77605.7125762541</v>
      </c>
      <c r="AI10" s="546" t="n">
        <f aca="false">JUN!AI49</f>
        <v>6.87</v>
      </c>
      <c r="AJ10" s="264"/>
      <c r="AK10" s="265"/>
      <c r="AL10" s="115" t="n">
        <f aca="false">JUN!AL50</f>
        <v>10571</v>
      </c>
      <c r="AM10" s="115" t="n">
        <f aca="false">JUN!AM49</f>
        <v>264.7472</v>
      </c>
      <c r="AN10" s="261"/>
      <c r="AO10" s="258" t="n">
        <f aca="false">JUN!AO50</f>
        <v>650.960174703456</v>
      </c>
      <c r="AP10" s="258"/>
      <c r="AQ10" s="258"/>
    </row>
    <row r="11" customFormat="false" ht="3" hidden="false" customHeight="true" outlineLevel="0" collapsed="false">
      <c r="A11" s="270"/>
      <c r="B11" s="271"/>
      <c r="C11" s="272"/>
      <c r="D11" s="273"/>
      <c r="E11" s="272"/>
      <c r="F11" s="274"/>
      <c r="G11" s="273"/>
      <c r="H11" s="278"/>
      <c r="I11" s="273"/>
      <c r="J11" s="273"/>
      <c r="K11" s="273"/>
      <c r="L11" s="273"/>
      <c r="M11" s="276"/>
      <c r="N11" s="273"/>
      <c r="O11" s="273"/>
      <c r="P11" s="275"/>
      <c r="Q11" s="273"/>
      <c r="R11" s="273"/>
      <c r="S11" s="273"/>
      <c r="T11" s="277"/>
      <c r="U11" s="273"/>
      <c r="V11" s="273"/>
      <c r="W11" s="273"/>
      <c r="X11" s="272"/>
      <c r="Y11" s="272"/>
      <c r="Z11" s="272"/>
      <c r="AA11" s="273"/>
      <c r="AB11" s="276"/>
      <c r="AC11" s="279"/>
      <c r="AD11" s="273"/>
      <c r="AE11" s="272"/>
      <c r="AF11" s="273"/>
      <c r="AG11" s="273"/>
      <c r="AH11" s="273"/>
      <c r="AI11" s="547"/>
      <c r="AJ11" s="281"/>
      <c r="AK11" s="282"/>
      <c r="AL11" s="281"/>
      <c r="AM11" s="281"/>
      <c r="AN11" s="278"/>
      <c r="AO11" s="275"/>
      <c r="AP11" s="275"/>
      <c r="AQ11" s="275"/>
    </row>
    <row r="12" customFormat="false" ht="12.95" hidden="false" customHeight="true" outlineLevel="0" collapsed="false">
      <c r="A12" s="186" t="n">
        <v>1</v>
      </c>
      <c r="B12" s="114" t="n">
        <v>6921.1</v>
      </c>
      <c r="C12" s="115" t="n">
        <v>368353</v>
      </c>
      <c r="D12" s="264" t="n">
        <f aca="false">C12-C10</f>
        <v>-1357</v>
      </c>
      <c r="E12" s="115" t="n">
        <f aca="false">C12-152000</f>
        <v>216353</v>
      </c>
      <c r="F12" s="283" t="n">
        <f aca="false">D12/$D$2</f>
        <v>-684.144189563902</v>
      </c>
      <c r="G12" s="141" t="n">
        <v>263</v>
      </c>
      <c r="H12" s="261" t="n">
        <v>0.01</v>
      </c>
      <c r="I12" s="141" t="n">
        <f aca="false">G12+H12</f>
        <v>263.01</v>
      </c>
      <c r="J12" s="261" t="n">
        <f aca="false">IF(L12&gt;0,L12,0)</f>
        <v>0</v>
      </c>
      <c r="K12" s="141" t="n">
        <f aca="false">I12+J12</f>
        <v>263.01</v>
      </c>
      <c r="L12" s="141" t="n">
        <f aca="false">F12-(I12-AF12)</f>
        <v>-45.1541895639022</v>
      </c>
      <c r="M12" s="284" t="n">
        <v>335</v>
      </c>
      <c r="N12" s="258" t="n">
        <f aca="false">1.8299*1.03</f>
        <v>1.884797</v>
      </c>
      <c r="O12" s="141" t="n">
        <f aca="false">(38+39)*1.05</f>
        <v>80.85</v>
      </c>
      <c r="P12" s="258" t="n">
        <v>0</v>
      </c>
      <c r="Q12" s="258" t="n">
        <f aca="false">2.73*1.02</f>
        <v>2.7846</v>
      </c>
      <c r="R12" s="258" t="n">
        <v>4.04</v>
      </c>
      <c r="S12" s="380" t="n">
        <v>0</v>
      </c>
      <c r="T12" s="456" t="n">
        <v>0</v>
      </c>
      <c r="U12" s="141" t="n">
        <v>163</v>
      </c>
      <c r="V12" s="141" t="n">
        <v>75</v>
      </c>
      <c r="W12" s="141" t="n">
        <f aca="false">M12-N12-O12-P12-Q12-R12-S12-T12+U12+V12</f>
        <v>483.440603</v>
      </c>
      <c r="X12" s="115" t="n">
        <f aca="false">X9-(W12-I12)-Q12-R12-AB12-(AO12/1.9835)</f>
        <v>8457.44356137895</v>
      </c>
      <c r="Y12" s="115" t="n">
        <f aca="false">Y9+AP12</f>
        <v>1786.88</v>
      </c>
      <c r="Z12" s="115" t="n">
        <f aca="false">Z9</f>
        <v>701.789765565919</v>
      </c>
      <c r="AA12" s="141" t="n">
        <v>263</v>
      </c>
      <c r="AB12" s="284" t="n">
        <v>1.7</v>
      </c>
      <c r="AC12" s="285" t="n">
        <v>1.3</v>
      </c>
      <c r="AD12" s="548" t="n">
        <v>66</v>
      </c>
      <c r="AE12" s="497" t="n">
        <f aca="false">AE10-AD12</f>
        <v>12685.823072851</v>
      </c>
      <c r="AF12" s="140" t="n">
        <f aca="false">N12+O12+P12+Q12+R12+S12+T12+W12+AA12+AD12</f>
        <v>902</v>
      </c>
      <c r="AG12" s="141" t="n">
        <f aca="false">IF(L12&lt;0,L12*-1,0)</f>
        <v>45.1541895639022</v>
      </c>
      <c r="AH12" s="141" t="n">
        <f aca="false">AF12+AG12</f>
        <v>947.154189563902</v>
      </c>
      <c r="AI12" s="392" t="n">
        <v>0</v>
      </c>
      <c r="AJ12" s="549" t="n">
        <v>94</v>
      </c>
      <c r="AK12" s="550" t="n">
        <v>47</v>
      </c>
      <c r="AL12" s="264" t="n">
        <f aca="false">AL10</f>
        <v>10571</v>
      </c>
      <c r="AM12" s="264"/>
      <c r="AN12" s="457"/>
      <c r="AO12" s="258" t="n">
        <f aca="false">60.3*(X9*1.9835+Y9*1.9835+Z9*1.9835)/E12</f>
        <v>6.15882755591142</v>
      </c>
      <c r="AP12" s="458" t="n">
        <v>37.5</v>
      </c>
      <c r="AQ12" s="14"/>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2.95" hidden="false" customHeight="true" outlineLevel="0" collapsed="false">
      <c r="A13" s="186" t="n">
        <f aca="false">A12+1</f>
        <v>2</v>
      </c>
      <c r="B13" s="114" t="n">
        <v>6920.73</v>
      </c>
      <c r="C13" s="115" t="n">
        <v>366743</v>
      </c>
      <c r="D13" s="264" t="n">
        <f aca="false">C13-C12</f>
        <v>-1610</v>
      </c>
      <c r="E13" s="115" t="n">
        <f aca="false">C13-152000</f>
        <v>214743</v>
      </c>
      <c r="F13" s="283" t="n">
        <f aca="false">D13/$D$2</f>
        <v>-811.696496092765</v>
      </c>
      <c r="G13" s="141" t="n">
        <v>248</v>
      </c>
      <c r="H13" s="261" t="n">
        <v>0.01</v>
      </c>
      <c r="I13" s="141" t="n">
        <f aca="false">G13+H13</f>
        <v>248.01</v>
      </c>
      <c r="J13" s="261" t="n">
        <f aca="false">IF(L13&gt;0,L13,0)</f>
        <v>0</v>
      </c>
      <c r="K13" s="141" t="n">
        <f aca="false">I13+J13</f>
        <v>248.01</v>
      </c>
      <c r="L13" s="141" t="n">
        <f aca="false">F13-(I13-AF13)</f>
        <v>-102.706496092765</v>
      </c>
      <c r="M13" s="284" t="n">
        <v>358</v>
      </c>
      <c r="N13" s="258" t="n">
        <f aca="false">1.8299*1.03</f>
        <v>1.884797</v>
      </c>
      <c r="O13" s="141" t="n">
        <f aca="false">(37+39)*1.05</f>
        <v>79.8</v>
      </c>
      <c r="P13" s="258" t="n">
        <v>0</v>
      </c>
      <c r="Q13" s="258" t="n">
        <f aca="false">2.73*1.02</f>
        <v>2.7846</v>
      </c>
      <c r="R13" s="258" t="n">
        <v>4.2</v>
      </c>
      <c r="S13" s="380" t="n">
        <v>0.78</v>
      </c>
      <c r="T13" s="456" t="n">
        <v>0</v>
      </c>
      <c r="U13" s="141" t="n">
        <v>162</v>
      </c>
      <c r="V13" s="141" t="n">
        <v>74</v>
      </c>
      <c r="W13" s="141" t="n">
        <f aca="false">M13-N13-O13-P13-Q13-R13-S13-T13+U13+V13</f>
        <v>504.550603</v>
      </c>
      <c r="X13" s="115" t="n">
        <f aca="false">X12-(W13-I13)-Q13-R13-AB13-(AO13/1.9835)</f>
        <v>8189.1446813156</v>
      </c>
      <c r="Y13" s="115" t="n">
        <f aca="false">Y12+AP13</f>
        <v>1824.38</v>
      </c>
      <c r="Z13" s="115" t="n">
        <f aca="false">Z12</f>
        <v>701.789765565919</v>
      </c>
      <c r="AA13" s="141" t="n">
        <v>297</v>
      </c>
      <c r="AB13" s="284" t="n">
        <v>1.7</v>
      </c>
      <c r="AC13" s="285" t="n">
        <v>1.3</v>
      </c>
      <c r="AD13" s="548" t="n">
        <v>66</v>
      </c>
      <c r="AE13" s="497" t="n">
        <f aca="false">AE12-AD13</f>
        <v>12619.823072851</v>
      </c>
      <c r="AF13" s="140" t="n">
        <f aca="false">N13+O13+P13+Q13+R13+S13+T13+W13+AA13+AD13</f>
        <v>957</v>
      </c>
      <c r="AG13" s="141" t="n">
        <f aca="false">IF(L13&lt;0,L13*-1,0)</f>
        <v>102.706496092765</v>
      </c>
      <c r="AH13" s="141" t="n">
        <f aca="false">AF13+AG13</f>
        <v>1059.70649609277</v>
      </c>
      <c r="AI13" s="392" t="n">
        <v>0</v>
      </c>
      <c r="AJ13" s="264" t="n">
        <v>95</v>
      </c>
      <c r="AK13" s="265" t="n">
        <v>52</v>
      </c>
      <c r="AL13" s="264" t="n">
        <f aca="false">AL12</f>
        <v>10571</v>
      </c>
      <c r="AM13" s="264"/>
      <c r="AN13" s="457"/>
      <c r="AO13" s="258" t="n">
        <f aca="false">60.3*(X12*1.9835+Y12*1.9835+Z12*1.9835)/E13</f>
        <v>6.09663845515294</v>
      </c>
      <c r="AP13" s="458" t="n">
        <v>37.5</v>
      </c>
      <c r="AQ13" s="14"/>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2.95" hidden="false" customHeight="true" outlineLevel="0" collapsed="false">
      <c r="A14" s="186" t="n">
        <f aca="false">A13+1</f>
        <v>3</v>
      </c>
      <c r="B14" s="114" t="n">
        <v>6920.37</v>
      </c>
      <c r="C14" s="115" t="n">
        <v>365180</v>
      </c>
      <c r="D14" s="264" t="n">
        <f aca="false">C14-C13</f>
        <v>-1563</v>
      </c>
      <c r="E14" s="115" t="n">
        <f aca="false">C14-152000</f>
        <v>213180</v>
      </c>
      <c r="F14" s="283" t="n">
        <f aca="false">D14/$D$2</f>
        <v>-788.001008318629</v>
      </c>
      <c r="G14" s="141" t="n">
        <v>233</v>
      </c>
      <c r="H14" s="261" t="n">
        <v>0</v>
      </c>
      <c r="I14" s="141" t="n">
        <f aca="false">G14+H14</f>
        <v>233</v>
      </c>
      <c r="J14" s="261" t="n">
        <f aca="false">IF(L14&gt;0,L14,0)</f>
        <v>0</v>
      </c>
      <c r="K14" s="141" t="n">
        <f aca="false">I14+J14</f>
        <v>233</v>
      </c>
      <c r="L14" s="141" t="n">
        <f aca="false">F14-(I14-AF14)</f>
        <v>-73.0010083186286</v>
      </c>
      <c r="M14" s="284" t="n">
        <v>338</v>
      </c>
      <c r="N14" s="258" t="n">
        <f aca="false">1.8299*1.03</f>
        <v>1.884797</v>
      </c>
      <c r="O14" s="141" t="n">
        <f aca="false">(35+39)*1.05</f>
        <v>77.7</v>
      </c>
      <c r="P14" s="258" t="n">
        <v>0</v>
      </c>
      <c r="Q14" s="258" t="n">
        <f aca="false">2.73*1.02</f>
        <v>2.7846</v>
      </c>
      <c r="R14" s="258" t="n">
        <v>4.2</v>
      </c>
      <c r="S14" s="380" t="n">
        <v>2.92</v>
      </c>
      <c r="T14" s="456" t="n">
        <v>0</v>
      </c>
      <c r="U14" s="141" t="n">
        <v>161</v>
      </c>
      <c r="V14" s="141" t="n">
        <v>78</v>
      </c>
      <c r="W14" s="141" t="n">
        <f aca="false">M14-N14-O14-P14-Q14-R14-S14-T14+U14+V14</f>
        <v>487.510603</v>
      </c>
      <c r="X14" s="115" t="n">
        <f aca="false">X13-(W14-I14)-Q14-R14-AB14-(AO14/1.9835)</f>
        <v>7922.91854923619</v>
      </c>
      <c r="Y14" s="115" t="n">
        <f aca="false">Y13+AP14</f>
        <v>1861.88</v>
      </c>
      <c r="Z14" s="115" t="n">
        <f aca="false">Z13</f>
        <v>701.789765565919</v>
      </c>
      <c r="AA14" s="141" t="n">
        <v>302</v>
      </c>
      <c r="AB14" s="284" t="n">
        <v>1.7</v>
      </c>
      <c r="AC14" s="285" t="n">
        <v>1.3</v>
      </c>
      <c r="AD14" s="548" t="n">
        <v>69</v>
      </c>
      <c r="AE14" s="497" t="n">
        <f aca="false">AE13-AD14</f>
        <v>12550.823072851</v>
      </c>
      <c r="AF14" s="140" t="n">
        <f aca="false">N14+O14+P14+Q14+R14+S14+T14+W14+AA14+AD14</f>
        <v>948</v>
      </c>
      <c r="AG14" s="141" t="n">
        <f aca="false">IF(L14&lt;0,L14*-1,0)</f>
        <v>73.0010083186286</v>
      </c>
      <c r="AH14" s="141" t="n">
        <f aca="false">AF14+AG14</f>
        <v>1021.00100831863</v>
      </c>
      <c r="AI14" s="392" t="n">
        <v>0</v>
      </c>
      <c r="AJ14" s="264" t="n">
        <v>96</v>
      </c>
      <c r="AK14" s="265" t="n">
        <v>52</v>
      </c>
      <c r="AL14" s="264" t="n">
        <f aca="false">AL13</f>
        <v>10571</v>
      </c>
      <c r="AM14" s="264"/>
      <c r="AN14" s="457"/>
      <c r="AO14" s="258" t="n">
        <f aca="false">60.3*(X13*1.9835+Y13*1.9835+Z13*1.9835)/E14</f>
        <v>6.01184782899421</v>
      </c>
      <c r="AP14" s="458" t="n">
        <v>37.5</v>
      </c>
      <c r="AQ14" s="14"/>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86" t="n">
        <f aca="false">A14+1</f>
        <v>4</v>
      </c>
      <c r="B15" s="114" t="n">
        <v>6919.98</v>
      </c>
      <c r="C15" s="115" t="n">
        <v>363487</v>
      </c>
      <c r="D15" s="264" t="n">
        <f aca="false">C15-C14</f>
        <v>-1693</v>
      </c>
      <c r="E15" s="115" t="n">
        <f aca="false">C15-152000</f>
        <v>211487</v>
      </c>
      <c r="F15" s="283" t="n">
        <f aca="false">D15/$D$2</f>
        <v>-853.541719183262</v>
      </c>
      <c r="G15" s="141" t="n">
        <v>223</v>
      </c>
      <c r="H15" s="261" t="n">
        <v>0</v>
      </c>
      <c r="I15" s="141" t="n">
        <f aca="false">G15+H15</f>
        <v>223</v>
      </c>
      <c r="J15" s="261" t="n">
        <f aca="false">IF(L15&gt;0,L15,0)</f>
        <v>0</v>
      </c>
      <c r="K15" s="141" t="n">
        <f aca="false">I15+J15</f>
        <v>223</v>
      </c>
      <c r="L15" s="141" t="n">
        <f aca="false">F15-(I15-AF15)</f>
        <v>-120.541719183262</v>
      </c>
      <c r="M15" s="284" t="n">
        <v>359</v>
      </c>
      <c r="N15" s="258" t="n">
        <f aca="false">1.8299*1.03</f>
        <v>1.884797</v>
      </c>
      <c r="O15" s="141" t="n">
        <f aca="false">(34+37)*1.05</f>
        <v>74.55</v>
      </c>
      <c r="P15" s="258" t="n">
        <v>0</v>
      </c>
      <c r="Q15" s="258" t="n">
        <f aca="false">2.73*1.02</f>
        <v>2.7846</v>
      </c>
      <c r="R15" s="258" t="n">
        <v>4.2</v>
      </c>
      <c r="S15" s="380" t="n">
        <v>1.64</v>
      </c>
      <c r="T15" s="456" t="n">
        <v>0</v>
      </c>
      <c r="U15" s="141" t="n">
        <v>161</v>
      </c>
      <c r="V15" s="141" t="n">
        <v>84</v>
      </c>
      <c r="W15" s="141" t="n">
        <f aca="false">M15-N15-O15-P15-Q15-R15-S15-T15+U15+V15</f>
        <v>518.940603</v>
      </c>
      <c r="X15" s="115" t="n">
        <f aca="false">X14-(W15-I15)-Q15-R15-AB15-(AO15/1.9835)</f>
        <v>7615.30336919088</v>
      </c>
      <c r="Y15" s="115" t="n">
        <f aca="false">Y14+AP15</f>
        <v>1899.38</v>
      </c>
      <c r="Z15" s="115" t="n">
        <f aca="false">Z14</f>
        <v>701.789765565919</v>
      </c>
      <c r="AA15" s="141" t="n">
        <v>282</v>
      </c>
      <c r="AB15" s="284" t="n">
        <v>1.7</v>
      </c>
      <c r="AC15" s="285" t="n">
        <v>1.3</v>
      </c>
      <c r="AD15" s="548" t="n">
        <v>70</v>
      </c>
      <c r="AE15" s="497" t="n">
        <f aca="false">AE14-AD15</f>
        <v>12480.823072851</v>
      </c>
      <c r="AF15" s="140" t="n">
        <f aca="false">N15+O15+P15+Q15+R15+S15+T15+W15+AA15+AD15</f>
        <v>956</v>
      </c>
      <c r="AG15" s="141" t="n">
        <f aca="false">IF(L15&lt;0,L15*-1,0)</f>
        <v>120.541719183262</v>
      </c>
      <c r="AH15" s="141" t="n">
        <f aca="false">AF15+AG15</f>
        <v>1076.54171918326</v>
      </c>
      <c r="AI15" s="392" t="n">
        <v>0</v>
      </c>
      <c r="AJ15" s="264" t="n">
        <v>93</v>
      </c>
      <c r="AK15" s="265" t="n">
        <v>60</v>
      </c>
      <c r="AL15" s="264" t="n">
        <f aca="false">AL14</f>
        <v>10571</v>
      </c>
      <c r="AM15" s="264"/>
      <c r="AN15" s="457"/>
      <c r="AO15" s="258" t="n">
        <f aca="false">60.3*(X14*1.9835+Y14*1.9835+Z14*1.9835)/E15</f>
        <v>5.93061946938262</v>
      </c>
      <c r="AP15" s="458" t="n">
        <v>37.5</v>
      </c>
      <c r="AQ15" s="14"/>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86" t="n">
        <f aca="false">A15+1</f>
        <v>5</v>
      </c>
      <c r="B16" s="114" t="n">
        <v>6919.65</v>
      </c>
      <c r="C16" s="115" t="n">
        <v>362066</v>
      </c>
      <c r="D16" s="264" t="n">
        <f aca="false">C16-C15</f>
        <v>-1421</v>
      </c>
      <c r="E16" s="115" t="n">
        <f aca="false">C16-152000</f>
        <v>210066</v>
      </c>
      <c r="F16" s="283" t="n">
        <f aca="false">D16/$D$2</f>
        <v>-716.410385681875</v>
      </c>
      <c r="G16" s="141" t="n">
        <v>223</v>
      </c>
      <c r="H16" s="261" t="n">
        <v>0</v>
      </c>
      <c r="I16" s="141" t="n">
        <f aca="false">G16+H16</f>
        <v>223</v>
      </c>
      <c r="J16" s="261" t="n">
        <f aca="false">IF(L16&gt;0,L16,0)</f>
        <v>23.5896143181245</v>
      </c>
      <c r="K16" s="141" t="n">
        <f aca="false">I16+J16</f>
        <v>246.589614318125</v>
      </c>
      <c r="L16" s="141" t="n">
        <f aca="false">F16-(I16-AF16)</f>
        <v>23.5896143181245</v>
      </c>
      <c r="M16" s="284" t="n">
        <v>365</v>
      </c>
      <c r="N16" s="258" t="n">
        <f aca="false">1.8299*1.03</f>
        <v>1.884797</v>
      </c>
      <c r="O16" s="141" t="n">
        <f aca="false">(45+46)*1.05</f>
        <v>95.55</v>
      </c>
      <c r="P16" s="258" t="n">
        <v>0</v>
      </c>
      <c r="Q16" s="258" t="n">
        <f aca="false">2.73*1.02</f>
        <v>2.7846</v>
      </c>
      <c r="R16" s="258" t="n">
        <v>4.2</v>
      </c>
      <c r="S16" s="380" t="n">
        <v>3.45</v>
      </c>
      <c r="T16" s="456" t="n">
        <v>0</v>
      </c>
      <c r="U16" s="141" t="n">
        <v>161</v>
      </c>
      <c r="V16" s="141" t="n">
        <v>84</v>
      </c>
      <c r="W16" s="141" t="n">
        <f aca="false">M16-N16-O16-P16-Q16-R16-S16-T16+U16+V16</f>
        <v>502.130603</v>
      </c>
      <c r="X16" s="115" t="n">
        <f aca="false">X15-(W16-I16)-Q16-R16-AB16-(AO16/1.9835)</f>
        <v>7324.55550059994</v>
      </c>
      <c r="Y16" s="115" t="n">
        <f aca="false">Y15+AP16</f>
        <v>1936.88</v>
      </c>
      <c r="Z16" s="115" t="n">
        <f aca="false">Z15</f>
        <v>701.789765565919</v>
      </c>
      <c r="AA16" s="141" t="n">
        <v>280</v>
      </c>
      <c r="AB16" s="284" t="n">
        <v>1.7</v>
      </c>
      <c r="AC16" s="285" t="n">
        <v>1.3</v>
      </c>
      <c r="AD16" s="548" t="n">
        <v>73</v>
      </c>
      <c r="AE16" s="497" t="n">
        <f aca="false">AE15-AD16</f>
        <v>12407.823072851</v>
      </c>
      <c r="AF16" s="140" t="n">
        <f aca="false">N16+O16+P16+Q16+R16+S16+T16+W16+AA16+AD16</f>
        <v>963</v>
      </c>
      <c r="AG16" s="141" t="n">
        <f aca="false">IF(L16&lt;0,L16*-1,0)</f>
        <v>0</v>
      </c>
      <c r="AH16" s="141" t="n">
        <f aca="false">AF16+AG16</f>
        <v>963</v>
      </c>
      <c r="AI16" s="392" t="n">
        <v>0.04</v>
      </c>
      <c r="AJ16" s="264" t="n">
        <v>89</v>
      </c>
      <c r="AK16" s="265" t="n">
        <v>55</v>
      </c>
      <c r="AL16" s="264" t="n">
        <f aca="false">AL15</f>
        <v>10571</v>
      </c>
      <c r="AM16" s="264"/>
      <c r="AN16" s="457"/>
      <c r="AO16" s="258" t="n">
        <f aca="false">60.3*(X15*1.9835+Y15*1.9835+Z15*1.9835)/E16</f>
        <v>5.81694219962414</v>
      </c>
      <c r="AP16" s="458" t="n">
        <v>37.5</v>
      </c>
      <c r="AQ16" s="14"/>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86" t="n">
        <f aca="false">A16+1</f>
        <v>6</v>
      </c>
      <c r="B17" s="114" t="n">
        <v>6919.28</v>
      </c>
      <c r="C17" s="115" t="n">
        <v>360473</v>
      </c>
      <c r="D17" s="264" t="n">
        <f aca="false">C17-C16</f>
        <v>-1593</v>
      </c>
      <c r="E17" s="115" t="n">
        <f aca="false">C17-152000</f>
        <v>208473</v>
      </c>
      <c r="F17" s="283" t="n">
        <f aca="false">D17/$D$2</f>
        <v>-803.125787748929</v>
      </c>
      <c r="G17" s="141" t="n">
        <v>231</v>
      </c>
      <c r="H17" s="261" t="n">
        <v>0</v>
      </c>
      <c r="I17" s="141" t="n">
        <f aca="false">G17+H17</f>
        <v>231</v>
      </c>
      <c r="J17" s="261" t="n">
        <f aca="false">IF(L17&gt;0,L17,0)</f>
        <v>0</v>
      </c>
      <c r="K17" s="141" t="n">
        <f aca="false">I17+J17</f>
        <v>231</v>
      </c>
      <c r="L17" s="141" t="n">
        <f aca="false">F17-(I17-AF17)</f>
        <v>-125.125787748929</v>
      </c>
      <c r="M17" s="284" t="n">
        <v>343</v>
      </c>
      <c r="N17" s="258" t="n">
        <f aca="false">1.8299*1.03</f>
        <v>1.884797</v>
      </c>
      <c r="O17" s="141" t="n">
        <f aca="false">(44+43)*1.05</f>
        <v>91.35</v>
      </c>
      <c r="P17" s="258" t="n">
        <v>0</v>
      </c>
      <c r="Q17" s="258" t="n">
        <f aca="false">2.73*1.02</f>
        <v>2.7846</v>
      </c>
      <c r="R17" s="258" t="n">
        <v>4.2</v>
      </c>
      <c r="S17" s="380" t="n">
        <v>1.09</v>
      </c>
      <c r="T17" s="456" t="n">
        <v>0</v>
      </c>
      <c r="U17" s="141" t="n">
        <v>161</v>
      </c>
      <c r="V17" s="141" t="n">
        <v>85</v>
      </c>
      <c r="W17" s="141" t="n">
        <f aca="false">M17-N17-O17-P17-Q17-R17-S17-T17+U17+V17</f>
        <v>487.690603</v>
      </c>
      <c r="X17" s="115" t="n">
        <f aca="false">X16-(W17-I17)-Q17-R17-AB17-(AO17/1.9835)</f>
        <v>7056.29847365368</v>
      </c>
      <c r="Y17" s="115" t="n">
        <f aca="false">Y16+AP17</f>
        <v>1974.38</v>
      </c>
      <c r="Z17" s="115" t="n">
        <f aca="false">Z16</f>
        <v>701.789765565919</v>
      </c>
      <c r="AA17" s="141" t="n">
        <v>243</v>
      </c>
      <c r="AB17" s="284" t="n">
        <v>1.7</v>
      </c>
      <c r="AC17" s="285" t="n">
        <v>1.3</v>
      </c>
      <c r="AD17" s="548" t="n">
        <v>77</v>
      </c>
      <c r="AE17" s="497" t="n">
        <f aca="false">AE16-AD17</f>
        <v>12330.823072851</v>
      </c>
      <c r="AF17" s="140" t="n">
        <f aca="false">N17+O17+P17+Q17+R17+S17+T17+W17+AA17+AD17</f>
        <v>909</v>
      </c>
      <c r="AG17" s="141" t="n">
        <f aca="false">IF(L17&lt;0,L17*-1,0)</f>
        <v>125.125787748929</v>
      </c>
      <c r="AH17" s="141" t="n">
        <f aca="false">AF17+AG17</f>
        <v>1034.12578774893</v>
      </c>
      <c r="AI17" s="392" t="n">
        <v>0</v>
      </c>
      <c r="AJ17" s="264" t="n">
        <v>83</v>
      </c>
      <c r="AK17" s="265" t="n">
        <v>55</v>
      </c>
      <c r="AL17" s="264" t="n">
        <f aca="false">AL16</f>
        <v>10571</v>
      </c>
      <c r="AM17" s="264"/>
      <c r="AN17" s="457"/>
      <c r="AO17" s="258" t="n">
        <f aca="false">60.3*(X16*1.9835+Y16*1.9835+Z16*1.9835)/E17</f>
        <v>5.71609779741756</v>
      </c>
      <c r="AP17" s="458" t="n">
        <v>37.5</v>
      </c>
      <c r="AQ17" s="14"/>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86" t="n">
        <f aca="false">A17+1</f>
        <v>7</v>
      </c>
      <c r="B18" s="114" t="n">
        <v>6918.91</v>
      </c>
      <c r="C18" s="115" t="n">
        <v>358882</v>
      </c>
      <c r="D18" s="264" t="n">
        <f aca="false">C18-C17</f>
        <v>-1591</v>
      </c>
      <c r="E18" s="115" t="n">
        <f aca="false">C18-152000</f>
        <v>206882</v>
      </c>
      <c r="F18" s="283" t="n">
        <f aca="false">D18/$D$2</f>
        <v>-802.117469120242</v>
      </c>
      <c r="G18" s="141" t="n">
        <v>228</v>
      </c>
      <c r="H18" s="261" t="n">
        <v>0</v>
      </c>
      <c r="I18" s="141" t="n">
        <f aca="false">G18+H18</f>
        <v>228</v>
      </c>
      <c r="J18" s="261" t="n">
        <f aca="false">IF(L18&gt;0,L18,0)</f>
        <v>0</v>
      </c>
      <c r="K18" s="141" t="n">
        <f aca="false">I18+J18</f>
        <v>228</v>
      </c>
      <c r="L18" s="141" t="n">
        <f aca="false">F18-(I18-AF18)</f>
        <v>-70.1174691202419</v>
      </c>
      <c r="M18" s="284" t="n">
        <v>352</v>
      </c>
      <c r="N18" s="258" t="n">
        <f aca="false">1.8299*1.03</f>
        <v>1.884797</v>
      </c>
      <c r="O18" s="141" t="n">
        <f aca="false">(39+40)*1.05</f>
        <v>82.95</v>
      </c>
      <c r="P18" s="258" t="n">
        <v>0</v>
      </c>
      <c r="Q18" s="258" t="n">
        <f aca="false">2.73*1.02</f>
        <v>2.7846</v>
      </c>
      <c r="R18" s="258" t="n">
        <v>4.2</v>
      </c>
      <c r="S18" s="380" t="n">
        <v>3.86</v>
      </c>
      <c r="T18" s="456" t="n">
        <v>0</v>
      </c>
      <c r="U18" s="141" t="n">
        <v>159</v>
      </c>
      <c r="V18" s="141" t="n">
        <v>83</v>
      </c>
      <c r="W18" s="141" t="n">
        <f aca="false">M18-N18-O18-P18-Q18-R18-S18-T18+U18+V18</f>
        <v>498.320603</v>
      </c>
      <c r="X18" s="115" t="n">
        <f aca="false">X17-(W18-I18)-Q18-R18-AB18-(AO18/1.9835)</f>
        <v>6774.45654326887</v>
      </c>
      <c r="Y18" s="115" t="n">
        <f aca="false">Y17+AP18</f>
        <v>2011.88</v>
      </c>
      <c r="Z18" s="115" t="n">
        <f aca="false">Z17</f>
        <v>701.789765565919</v>
      </c>
      <c r="AA18" s="141" t="n">
        <v>290</v>
      </c>
      <c r="AB18" s="284" t="n">
        <v>1.7</v>
      </c>
      <c r="AC18" s="285" t="n">
        <v>1.3</v>
      </c>
      <c r="AD18" s="548" t="n">
        <v>76</v>
      </c>
      <c r="AE18" s="497" t="n">
        <f aca="false">AE17-AD18</f>
        <v>12254.823072851</v>
      </c>
      <c r="AF18" s="140" t="n">
        <f aca="false">N18+O18+P18+Q18+R18+S18+T18+W18+AA18+AD18</f>
        <v>960</v>
      </c>
      <c r="AG18" s="141" t="n">
        <f aca="false">IF(L18&lt;0,L18*-1,0)</f>
        <v>70.1174691202419</v>
      </c>
      <c r="AH18" s="141" t="n">
        <f aca="false">AF18+AG18</f>
        <v>1030.11746912024</v>
      </c>
      <c r="AI18" s="392" t="n">
        <v>0</v>
      </c>
      <c r="AJ18" s="549" t="n">
        <v>87</v>
      </c>
      <c r="AK18" s="550" t="n">
        <v>51</v>
      </c>
      <c r="AL18" s="264" t="n">
        <f aca="false">AL17</f>
        <v>10571</v>
      </c>
      <c r="AM18" s="264"/>
      <c r="AN18" s="457"/>
      <c r="AO18" s="258" t="n">
        <f aca="false">60.3*(X17*1.9835+Y17*1.9835+Z17*1.9835)/E18</f>
        <v>5.62664876777715</v>
      </c>
      <c r="AP18" s="458" t="n">
        <v>37.5</v>
      </c>
      <c r="AQ18" s="14"/>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86" t="n">
        <f aca="false">A18+1</f>
        <v>8</v>
      </c>
      <c r="B19" s="114" t="n">
        <v>6918.51</v>
      </c>
      <c r="C19" s="115" t="n">
        <v>357344</v>
      </c>
      <c r="D19" s="264" t="n">
        <f aca="false">C19-C18</f>
        <v>-1538</v>
      </c>
      <c r="E19" s="115" t="n">
        <f aca="false">C19-152000</f>
        <v>205344</v>
      </c>
      <c r="F19" s="283" t="n">
        <f aca="false">D19/$D$2</f>
        <v>-775.397025460045</v>
      </c>
      <c r="G19" s="141" t="n">
        <v>208</v>
      </c>
      <c r="H19" s="261" t="n">
        <v>0</v>
      </c>
      <c r="I19" s="141" t="n">
        <f aca="false">G19+H19</f>
        <v>208</v>
      </c>
      <c r="J19" s="261" t="n">
        <f aca="false">IF(L19&gt;0,L19,0)</f>
        <v>0</v>
      </c>
      <c r="K19" s="141" t="n">
        <f aca="false">I19+J19</f>
        <v>208</v>
      </c>
      <c r="L19" s="141" t="n">
        <f aca="false">F19-(I19-AF19)</f>
        <v>-64.3970254600454</v>
      </c>
      <c r="M19" s="284" t="n">
        <v>337</v>
      </c>
      <c r="N19" s="258" t="n">
        <f aca="false">1.8299*1.03</f>
        <v>1.884797</v>
      </c>
      <c r="O19" s="141" t="n">
        <f aca="false">(38+40)*1.05</f>
        <v>81.9</v>
      </c>
      <c r="P19" s="258" t="n">
        <v>0</v>
      </c>
      <c r="Q19" s="258" t="n">
        <f aca="false">2.73*1.02</f>
        <v>2.7846</v>
      </c>
      <c r="R19" s="258" t="n">
        <v>4.2</v>
      </c>
      <c r="S19" s="380" t="n">
        <v>4.46</v>
      </c>
      <c r="T19" s="456" t="n">
        <v>0</v>
      </c>
      <c r="U19" s="141" t="n">
        <v>160</v>
      </c>
      <c r="V19" s="141" t="n">
        <v>79</v>
      </c>
      <c r="W19" s="141" t="n">
        <f aca="false">M19-N19-O19-P19-Q19-R19-S19-T19+U19+V19</f>
        <v>480.770603</v>
      </c>
      <c r="X19" s="115" t="n">
        <f aca="false">X18-(W19-I19)-Q19-R19-AB19-(AO19/1.9835)</f>
        <v>6490.21511804459</v>
      </c>
      <c r="Y19" s="115" t="n">
        <f aca="false">Y18+AP19</f>
        <v>2049.38</v>
      </c>
      <c r="Z19" s="115" t="n">
        <f aca="false">Z18</f>
        <v>701.789765565919</v>
      </c>
      <c r="AA19" s="141" t="n">
        <v>267</v>
      </c>
      <c r="AB19" s="284" t="n">
        <v>1.7</v>
      </c>
      <c r="AC19" s="285" t="n">
        <v>1.3</v>
      </c>
      <c r="AD19" s="548" t="n">
        <v>76</v>
      </c>
      <c r="AE19" s="497" t="n">
        <f aca="false">AE18-AD19</f>
        <v>12178.823072851</v>
      </c>
      <c r="AF19" s="140" t="n">
        <f aca="false">N19+O19+P19+Q19+R19+S19+T19+W19+AA19+AD19</f>
        <v>919</v>
      </c>
      <c r="AG19" s="141" t="n">
        <f aca="false">IF(L19&lt;0,L19*-1,0)</f>
        <v>64.3970254600454</v>
      </c>
      <c r="AH19" s="141" t="n">
        <f aca="false">AF19+AG19</f>
        <v>983.397025460045</v>
      </c>
      <c r="AI19" s="392" t="n">
        <v>0</v>
      </c>
      <c r="AJ19" s="264" t="n">
        <v>91</v>
      </c>
      <c r="AK19" s="265" t="n">
        <v>50</v>
      </c>
      <c r="AL19" s="264" t="n">
        <f aca="false">AL18</f>
        <v>10571</v>
      </c>
      <c r="AM19" s="264"/>
      <c r="AN19" s="457"/>
      <c r="AO19" s="258" t="n">
        <f aca="false">60.3*(X18*1.9835+Y18*1.9835+Z18*1.9835)/E19</f>
        <v>5.52647178186117</v>
      </c>
      <c r="AP19" s="458" t="n">
        <v>37.5</v>
      </c>
      <c r="AQ19" s="14"/>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86" t="n">
        <f aca="false">A19+1</f>
        <v>9</v>
      </c>
      <c r="B20" s="114" t="n">
        <v>6918.17</v>
      </c>
      <c r="C20" s="115" t="n">
        <v>355720</v>
      </c>
      <c r="D20" s="264" t="n">
        <f aca="false">C20-C19</f>
        <v>-1624</v>
      </c>
      <c r="E20" s="115" t="n">
        <f aca="false">C20-152000</f>
        <v>203720</v>
      </c>
      <c r="F20" s="283" t="n">
        <f aca="false">D20/$D$2</f>
        <v>-818.754726493572</v>
      </c>
      <c r="G20" s="141" t="n">
        <v>196</v>
      </c>
      <c r="H20" s="261" t="n">
        <v>0</v>
      </c>
      <c r="I20" s="141" t="n">
        <f aca="false">G20+H20</f>
        <v>196</v>
      </c>
      <c r="J20" s="261" t="n">
        <f aca="false">IF(L20&gt;0,L20,0)</f>
        <v>0</v>
      </c>
      <c r="K20" s="141" t="n">
        <f aca="false">I20+J20</f>
        <v>196</v>
      </c>
      <c r="L20" s="141" t="n">
        <f aca="false">F20-(I20-AF20)</f>
        <v>-43.754726493572</v>
      </c>
      <c r="M20" s="284" t="n">
        <v>374</v>
      </c>
      <c r="N20" s="258" t="n">
        <f aca="false">1.8299*1.03</f>
        <v>1.884797</v>
      </c>
      <c r="O20" s="141" t="n">
        <f aca="false">(46+45)*1.05</f>
        <v>95.55</v>
      </c>
      <c r="P20" s="258" t="n">
        <v>0</v>
      </c>
      <c r="Q20" s="258" t="n">
        <f aca="false">2.73*1.02</f>
        <v>2.7846</v>
      </c>
      <c r="R20" s="258" t="n">
        <v>4.2</v>
      </c>
      <c r="S20" s="380" t="n">
        <v>4.7</v>
      </c>
      <c r="T20" s="456" t="n">
        <v>0</v>
      </c>
      <c r="U20" s="141" t="n">
        <v>163</v>
      </c>
      <c r="V20" s="141" t="n">
        <v>80</v>
      </c>
      <c r="W20" s="141" t="n">
        <f aca="false">M20-N20-O20-P20-Q20-R20-S20-T20+U20+V20</f>
        <v>507.880603</v>
      </c>
      <c r="X20" s="115" t="n">
        <f aca="false">X19-(W20-I20)-Q20-R20-AB20-(AO20/1.9835)</f>
        <v>6166.91451592579</v>
      </c>
      <c r="Y20" s="115" t="n">
        <f aca="false">Y19+AP20</f>
        <v>2086.88</v>
      </c>
      <c r="Z20" s="115" t="n">
        <f aca="false">Z19</f>
        <v>701.789765565919</v>
      </c>
      <c r="AA20" s="141" t="n">
        <v>278</v>
      </c>
      <c r="AB20" s="284" t="n">
        <v>1.7</v>
      </c>
      <c r="AC20" s="285" t="n">
        <v>1.3</v>
      </c>
      <c r="AD20" s="548" t="n">
        <v>76</v>
      </c>
      <c r="AE20" s="497" t="n">
        <f aca="false">AE19-AD20</f>
        <v>12102.823072851</v>
      </c>
      <c r="AF20" s="140" t="n">
        <f aca="false">N20+O20+P20+Q20+R20+S20+T20+W20+AA20+AD20</f>
        <v>971</v>
      </c>
      <c r="AG20" s="141" t="n">
        <f aca="false">IF(L20&lt;0,L20*-1,0)</f>
        <v>43.754726493572</v>
      </c>
      <c r="AH20" s="141" t="n">
        <f aca="false">AF20+AG20</f>
        <v>1014.75472649357</v>
      </c>
      <c r="AI20" s="392" t="n">
        <v>0</v>
      </c>
      <c r="AJ20" s="266" t="n">
        <v>92</v>
      </c>
      <c r="AK20" s="265" t="n">
        <v>50</v>
      </c>
      <c r="AL20" s="264" t="n">
        <f aca="false">AL19</f>
        <v>10571</v>
      </c>
      <c r="AM20" s="264"/>
      <c r="AN20" s="457"/>
      <c r="AO20" s="258" t="n">
        <f aca="false">60.3*(X19*1.9835+Y19*1.9835+Z19*1.9835)/E20</f>
        <v>5.42566415213763</v>
      </c>
      <c r="AP20" s="458" t="n">
        <v>37.5</v>
      </c>
      <c r="AQ20" s="14"/>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86" t="n">
        <f aca="false">A20+1</f>
        <v>10</v>
      </c>
      <c r="B21" s="114" t="n">
        <v>6917.79</v>
      </c>
      <c r="C21" s="115" t="n">
        <v>354103</v>
      </c>
      <c r="D21" s="264" t="n">
        <f aca="false">C21-C20</f>
        <v>-1617</v>
      </c>
      <c r="E21" s="115" t="n">
        <f aca="false">C21-152000</f>
        <v>202103</v>
      </c>
      <c r="F21" s="283" t="n">
        <f aca="false">D21/$D$2</f>
        <v>-815.225611293169</v>
      </c>
      <c r="G21" s="141" t="n">
        <v>186</v>
      </c>
      <c r="H21" s="261" t="n">
        <v>0</v>
      </c>
      <c r="I21" s="141" t="n">
        <f aca="false">G21+H21</f>
        <v>186</v>
      </c>
      <c r="J21" s="261" t="n">
        <f aca="false">IF(L21&gt;0,L21,0)</f>
        <v>0</v>
      </c>
      <c r="K21" s="141" t="n">
        <f aca="false">I21+J21</f>
        <v>186</v>
      </c>
      <c r="L21" s="141" t="n">
        <f aca="false">F21-(I21-AF21)</f>
        <v>-42.2256112931686</v>
      </c>
      <c r="M21" s="284" t="n">
        <v>336</v>
      </c>
      <c r="N21" s="258" t="n">
        <f aca="false">1.8299*1.03</f>
        <v>1.884797</v>
      </c>
      <c r="O21" s="141" t="n">
        <f aca="false">(43+43)*1.05</f>
        <v>90.3</v>
      </c>
      <c r="P21" s="258" t="n">
        <v>0</v>
      </c>
      <c r="Q21" s="258" t="n">
        <f aca="false">2.73*1.02</f>
        <v>2.7846</v>
      </c>
      <c r="R21" s="258" t="n">
        <v>4.2</v>
      </c>
      <c r="S21" s="380" t="n">
        <v>2.17</v>
      </c>
      <c r="T21" s="456" t="n">
        <v>0</v>
      </c>
      <c r="U21" s="141" t="n">
        <v>168</v>
      </c>
      <c r="V21" s="141" t="n">
        <v>87</v>
      </c>
      <c r="W21" s="141" t="n">
        <f aca="false">M21-(N21-AQ21)-O21-P21-Q21-R21-S21-T21+U21+V21-AQ21</f>
        <v>489.660603</v>
      </c>
      <c r="X21" s="115" t="n">
        <f aca="false">X20-(W21-I21)-Q21-R21-AB21-(AO21/1.9835)</f>
        <v>5851.89730047583</v>
      </c>
      <c r="Y21" s="115" t="n">
        <f aca="false">Y20+AP21</f>
        <v>2124.38</v>
      </c>
      <c r="Z21" s="115" t="n">
        <f aca="false">Z20</f>
        <v>701.789765565919</v>
      </c>
      <c r="AA21" s="141" t="n">
        <v>292</v>
      </c>
      <c r="AB21" s="284" t="n">
        <v>1.7</v>
      </c>
      <c r="AC21" s="285" t="n">
        <v>1.3</v>
      </c>
      <c r="AD21" s="548" t="n">
        <v>76</v>
      </c>
      <c r="AE21" s="497" t="n">
        <f aca="false">AE20-AD21</f>
        <v>12026.823072851</v>
      </c>
      <c r="AF21" s="140" t="n">
        <f aca="false">N21+O21+P21+Q21+R21+S21+T21+W21+AA21+AD21</f>
        <v>959</v>
      </c>
      <c r="AG21" s="141" t="n">
        <f aca="false">IF(L21&lt;0,L21*-1,0)</f>
        <v>42.2256112931686</v>
      </c>
      <c r="AH21" s="141" t="n">
        <f aca="false">AF21+AG21</f>
        <v>1001.22561129317</v>
      </c>
      <c r="AI21" s="392" t="n">
        <v>0</v>
      </c>
      <c r="AJ21" s="264" t="n">
        <v>94</v>
      </c>
      <c r="AK21" s="265" t="n">
        <v>54</v>
      </c>
      <c r="AL21" s="264" t="n">
        <f aca="false">AL20</f>
        <v>10571</v>
      </c>
      <c r="AM21" s="264"/>
      <c r="AN21" s="457"/>
      <c r="AO21" s="258" t="n">
        <f aca="false">60.3*(X20*1.9835+Y20*1.9835+Z20*1.9835)/E21</f>
        <v>5.29993669449256</v>
      </c>
      <c r="AP21" s="458" t="n">
        <v>37.5</v>
      </c>
      <c r="AQ21" s="14" t="n">
        <v>0.29</v>
      </c>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86" t="n">
        <f aca="false">A21+1</f>
        <v>11</v>
      </c>
      <c r="B22" s="114" t="n">
        <v>6917.38</v>
      </c>
      <c r="C22" s="115" t="n">
        <v>352365</v>
      </c>
      <c r="D22" s="264" t="n">
        <f aca="false">C22-C21</f>
        <v>-1738</v>
      </c>
      <c r="E22" s="115" t="n">
        <f aca="false">C22-152000</f>
        <v>200365</v>
      </c>
      <c r="F22" s="283" t="n">
        <f aca="false">D22/$D$2</f>
        <v>-876.228888328712</v>
      </c>
      <c r="G22" s="141" t="n">
        <v>177</v>
      </c>
      <c r="H22" s="261" t="n">
        <v>0</v>
      </c>
      <c r="I22" s="141" t="n">
        <f aca="false">G22+H22</f>
        <v>177</v>
      </c>
      <c r="J22" s="261" t="n">
        <f aca="false">IF(L22&gt;0,L22,0)</f>
        <v>0</v>
      </c>
      <c r="K22" s="141" t="n">
        <f aca="false">I22+J22</f>
        <v>177</v>
      </c>
      <c r="L22" s="141" t="n">
        <f aca="false">F22-(I22-AF22)</f>
        <v>-71.2288883287118</v>
      </c>
      <c r="M22" s="284" t="n">
        <v>360</v>
      </c>
      <c r="N22" s="258" t="n">
        <f aca="false">1.8299*1.03</f>
        <v>1.884797</v>
      </c>
      <c r="O22" s="141" t="n">
        <f aca="false">(43+46)*1.05</f>
        <v>93.45</v>
      </c>
      <c r="P22" s="258" t="n">
        <v>0</v>
      </c>
      <c r="Q22" s="258" t="n">
        <f aca="false">2.73*1.02</f>
        <v>2.7846</v>
      </c>
      <c r="R22" s="258" t="n">
        <v>4.2</v>
      </c>
      <c r="S22" s="380" t="n">
        <v>3.5</v>
      </c>
      <c r="T22" s="456" t="n">
        <v>0</v>
      </c>
      <c r="U22" s="141" t="n">
        <v>164</v>
      </c>
      <c r="V22" s="141" t="n">
        <v>88</v>
      </c>
      <c r="W22" s="141" t="n">
        <f aca="false">M22-(N22-AQ22)-O22-P22-Q22-R22-S22-T22+U22+V22-AQ22</f>
        <v>506.180603</v>
      </c>
      <c r="X22" s="115" t="n">
        <f aca="false">X21-(W22-I22)-Q22-R22-AB22-(AO22/1.9835)</f>
        <v>5511.42042655485</v>
      </c>
      <c r="Y22" s="115" t="n">
        <f aca="false">Y21+AP22</f>
        <v>2161.88</v>
      </c>
      <c r="Z22" s="115" t="n">
        <f aca="false">Z21</f>
        <v>701.789765565919</v>
      </c>
      <c r="AA22" s="141" t="n">
        <v>294</v>
      </c>
      <c r="AB22" s="284" t="n">
        <v>1.7</v>
      </c>
      <c r="AC22" s="285" t="n">
        <v>1.3</v>
      </c>
      <c r="AD22" s="548" t="n">
        <v>76</v>
      </c>
      <c r="AE22" s="497" t="n">
        <f aca="false">AE21-AD22</f>
        <v>11950.823072851</v>
      </c>
      <c r="AF22" s="140" t="n">
        <f aca="false">N22+O22+P22+Q22+R22+S22+T22+W22+AA22+AD22</f>
        <v>982</v>
      </c>
      <c r="AG22" s="141" t="n">
        <f aca="false">IF(L22&lt;0,L22*-1,0)</f>
        <v>71.2288883287118</v>
      </c>
      <c r="AH22" s="141" t="n">
        <f aca="false">AF22+AG22</f>
        <v>1053.22888832871</v>
      </c>
      <c r="AI22" s="392" t="n">
        <v>0</v>
      </c>
      <c r="AJ22" s="264" t="n">
        <v>88</v>
      </c>
      <c r="AK22" s="265" t="n">
        <v>57</v>
      </c>
      <c r="AL22" s="264" t="n">
        <f aca="false">AL21</f>
        <v>10571</v>
      </c>
      <c r="AM22" s="264"/>
      <c r="AN22" s="457"/>
      <c r="AO22" s="258" t="n">
        <f aca="false">60.3*(X21*1.9835+Y21*1.9835+Z21*1.9835)/E22</f>
        <v>5.18024927176541</v>
      </c>
      <c r="AP22" s="458" t="n">
        <v>37.5</v>
      </c>
      <c r="AQ22" s="14" t="n">
        <v>0.69</v>
      </c>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86" t="n">
        <f aca="false">A22+1</f>
        <v>12</v>
      </c>
      <c r="B23" s="114" t="n">
        <v>6916.99</v>
      </c>
      <c r="C23" s="115" t="n">
        <v>350712</v>
      </c>
      <c r="D23" s="264" t="n">
        <f aca="false">C23-C22</f>
        <v>-1653</v>
      </c>
      <c r="E23" s="115" t="n">
        <f aca="false">C23-152000</f>
        <v>198712</v>
      </c>
      <c r="F23" s="283" t="n">
        <f aca="false">D23/$D$2</f>
        <v>-833.375346609529</v>
      </c>
      <c r="G23" s="141" t="n">
        <v>197</v>
      </c>
      <c r="H23" s="261" t="n">
        <v>0</v>
      </c>
      <c r="I23" s="141" t="n">
        <f aca="false">G23+H23</f>
        <v>197</v>
      </c>
      <c r="J23" s="261" t="n">
        <f aca="false">IF(L23&gt;0,L23,0)</f>
        <v>0</v>
      </c>
      <c r="K23" s="141" t="n">
        <f aca="false">I23+J23</f>
        <v>197</v>
      </c>
      <c r="L23" s="141" t="n">
        <f aca="false">F23-(I23-AF23)</f>
        <v>-96.3753466095286</v>
      </c>
      <c r="M23" s="284" t="n">
        <v>319</v>
      </c>
      <c r="N23" s="258" t="n">
        <f aca="false">1.8299*1.03</f>
        <v>1.884797</v>
      </c>
      <c r="O23" s="141" t="n">
        <f aca="false">(45+46)*1.05</f>
        <v>95.55</v>
      </c>
      <c r="P23" s="258" t="n">
        <v>0</v>
      </c>
      <c r="Q23" s="258" t="n">
        <f aca="false">2.73*1.02</f>
        <v>2.7846</v>
      </c>
      <c r="R23" s="258" t="n">
        <v>4.2</v>
      </c>
      <c r="S23" s="380" t="n">
        <v>0.24</v>
      </c>
      <c r="T23" s="456" t="n">
        <v>0</v>
      </c>
      <c r="U23" s="141" t="n">
        <v>163</v>
      </c>
      <c r="V23" s="141" t="n">
        <v>88</v>
      </c>
      <c r="W23" s="141" t="n">
        <f aca="false">M23-(N23-AQ23)-O23-P23-Q23-R23-S23-T23+U23+V23-AQ23</f>
        <v>465.340603</v>
      </c>
      <c r="X23" s="115" t="n">
        <f aca="false">X22-(W23-I23)-Q23-R23-AB23-(AO23/1.9835)</f>
        <v>5231.85376688094</v>
      </c>
      <c r="Y23" s="115" t="n">
        <f aca="false">Y22+AP23</f>
        <v>2199.38</v>
      </c>
      <c r="Z23" s="115" t="n">
        <f aca="false">Z22</f>
        <v>701.789765565919</v>
      </c>
      <c r="AA23" s="141" t="n">
        <v>288</v>
      </c>
      <c r="AB23" s="284" t="n">
        <v>1.7</v>
      </c>
      <c r="AC23" s="285" t="n">
        <v>1.3</v>
      </c>
      <c r="AD23" s="548" t="n">
        <v>76</v>
      </c>
      <c r="AE23" s="497" t="n">
        <f aca="false">AE22-AD23</f>
        <v>11874.823072851</v>
      </c>
      <c r="AF23" s="140" t="n">
        <f aca="false">N23+O23+P23+Q23+R23+S23+T23+W23+AA23+AD23</f>
        <v>934</v>
      </c>
      <c r="AG23" s="141" t="n">
        <f aca="false">IF(L23&lt;0,L23*-1,0)</f>
        <v>96.3753466095286</v>
      </c>
      <c r="AH23" s="141" t="n">
        <f aca="false">AF23+AG23</f>
        <v>1030.37534660953</v>
      </c>
      <c r="AI23" s="392" t="n">
        <v>0.11</v>
      </c>
      <c r="AJ23" s="264" t="n">
        <v>77</v>
      </c>
      <c r="AK23" s="265" t="n">
        <v>56</v>
      </c>
      <c r="AL23" s="264" t="n">
        <f aca="false">AL22</f>
        <v>10571</v>
      </c>
      <c r="AM23" s="264"/>
      <c r="AN23" s="457"/>
      <c r="AO23" s="258" t="n">
        <f aca="false">60.3*(X22*1.9835+Y22*1.9835+Z22*1.9835)/E23</f>
        <v>5.04097931268929</v>
      </c>
      <c r="AP23" s="458" t="n">
        <v>37.5</v>
      </c>
      <c r="AQ23" s="14" t="n">
        <v>0.69</v>
      </c>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86" t="n">
        <f aca="false">A23+1</f>
        <v>13</v>
      </c>
      <c r="B24" s="114" t="n">
        <v>6916.62</v>
      </c>
      <c r="C24" s="115" t="n">
        <v>349155</v>
      </c>
      <c r="D24" s="264" t="n">
        <f aca="false">C24-C23</f>
        <v>-1557</v>
      </c>
      <c r="E24" s="115" t="n">
        <f aca="false">C24-152000</f>
        <v>197155</v>
      </c>
      <c r="F24" s="283" t="n">
        <f aca="false">D24/$D$2</f>
        <v>-784.976052432569</v>
      </c>
      <c r="G24" s="141" t="n">
        <v>184</v>
      </c>
      <c r="H24" s="261" t="n">
        <v>0</v>
      </c>
      <c r="I24" s="141" t="n">
        <f aca="false">G24+H24</f>
        <v>184</v>
      </c>
      <c r="J24" s="261" t="n">
        <f aca="false">IF(L24&gt;0,L24,0)</f>
        <v>0</v>
      </c>
      <c r="K24" s="141" t="n">
        <f aca="false">I24+J24</f>
        <v>184</v>
      </c>
      <c r="L24" s="141" t="n">
        <f aca="false">F24-(I24-AF24)</f>
        <v>-76.9760524325686</v>
      </c>
      <c r="M24" s="284" t="n">
        <v>307</v>
      </c>
      <c r="N24" s="258" t="n">
        <f aca="false">1.8299*1.03</f>
        <v>1.884797</v>
      </c>
      <c r="O24" s="141" t="n">
        <f aca="false">(45+45)*1.05</f>
        <v>94.5</v>
      </c>
      <c r="P24" s="258" t="n">
        <v>0</v>
      </c>
      <c r="Q24" s="258" t="n">
        <f aca="false">2.73*1.02</f>
        <v>2.7846</v>
      </c>
      <c r="R24" s="258" t="n">
        <v>4.2</v>
      </c>
      <c r="S24" s="380" t="n">
        <v>1.34</v>
      </c>
      <c r="T24" s="456" t="n">
        <v>0</v>
      </c>
      <c r="U24" s="141" t="n">
        <v>121</v>
      </c>
      <c r="V24" s="141" t="n">
        <v>87</v>
      </c>
      <c r="W24" s="141" t="n">
        <f aca="false">M24-(N24-AQ24)-O24-P24-Q24-R24-S24-T24+U24+V24-AQ24</f>
        <v>410.290603</v>
      </c>
      <c r="X24" s="115" t="n">
        <f aca="false">X23-(W24-I24)-Q24-R24-AB24-(AO24/1.9835)</f>
        <v>4994.39107272421</v>
      </c>
      <c r="Y24" s="115" t="n">
        <f aca="false">Y23+AP24</f>
        <v>2236.88</v>
      </c>
      <c r="Z24" s="115" t="n">
        <f aca="false">Z23</f>
        <v>701.789765565919</v>
      </c>
      <c r="AA24" s="141" t="n">
        <v>301</v>
      </c>
      <c r="AB24" s="284" t="n">
        <v>1.7</v>
      </c>
      <c r="AC24" s="285" t="n">
        <v>1.3</v>
      </c>
      <c r="AD24" s="548" t="n">
        <v>76</v>
      </c>
      <c r="AE24" s="497" t="n">
        <f aca="false">AE23-AD24</f>
        <v>11798.823072851</v>
      </c>
      <c r="AF24" s="140" t="n">
        <f aca="false">N24+O24+P24+Q24+R24+S24+T24+W24+AA24+AD24</f>
        <v>892</v>
      </c>
      <c r="AG24" s="141" t="n">
        <f aca="false">IF(L24&lt;0,L24*-1,0)</f>
        <v>76.9760524325686</v>
      </c>
      <c r="AH24" s="141" t="n">
        <f aca="false">AF24+AG24</f>
        <v>968.976052432569</v>
      </c>
      <c r="AI24" s="392" t="n">
        <v>0</v>
      </c>
      <c r="AJ24" s="264" t="n">
        <v>84</v>
      </c>
      <c r="AK24" s="265" t="n">
        <v>52</v>
      </c>
      <c r="AL24" s="264" t="n">
        <f aca="false">AL23</f>
        <v>10571</v>
      </c>
      <c r="AM24" s="264"/>
      <c r="AN24" s="457"/>
      <c r="AO24" s="258" t="n">
        <f aca="false">60.3*(X23*1.9835+Y23*1.9835+Z23*1.9835)/E24</f>
        <v>4.93393870938847</v>
      </c>
      <c r="AP24" s="458" t="n">
        <v>37.5</v>
      </c>
      <c r="AQ24" s="14" t="n">
        <v>0.69</v>
      </c>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86" t="n">
        <f aca="false">A24+1</f>
        <v>14</v>
      </c>
      <c r="B25" s="114" t="n">
        <v>6916.27</v>
      </c>
      <c r="C25" s="115" t="n">
        <v>347683</v>
      </c>
      <c r="D25" s="264" t="n">
        <f aca="false">C25-C24</f>
        <v>-1472</v>
      </c>
      <c r="E25" s="115" t="n">
        <f aca="false">C25-152000</f>
        <v>195683</v>
      </c>
      <c r="F25" s="283" t="n">
        <f aca="false">D25/$D$2</f>
        <v>-742.122510713385</v>
      </c>
      <c r="G25" s="141" t="n">
        <v>170</v>
      </c>
      <c r="H25" s="261" t="n">
        <v>0</v>
      </c>
      <c r="I25" s="141" t="n">
        <f aca="false">G25+H25</f>
        <v>170</v>
      </c>
      <c r="J25" s="261" t="n">
        <f aca="false">IF(L25&gt;0,L25,0)</f>
        <v>0</v>
      </c>
      <c r="K25" s="141" t="n">
        <f aca="false">I25+J25</f>
        <v>170</v>
      </c>
      <c r="L25" s="141" t="n">
        <f aca="false">F25-(I25-AF25)</f>
        <v>-74.1225107133854</v>
      </c>
      <c r="M25" s="284" t="n">
        <v>294</v>
      </c>
      <c r="N25" s="258" t="n">
        <f aca="false">1.8299*1.03</f>
        <v>1.884797</v>
      </c>
      <c r="O25" s="141" t="n">
        <f aca="false">(47+50)*1.05</f>
        <v>101.85</v>
      </c>
      <c r="P25" s="258" t="n">
        <v>0</v>
      </c>
      <c r="Q25" s="258" t="n">
        <f aca="false">2.73*1.02</f>
        <v>2.7846</v>
      </c>
      <c r="R25" s="258" t="n">
        <v>4.2</v>
      </c>
      <c r="S25" s="380" t="n">
        <v>3.35</v>
      </c>
      <c r="T25" s="456" t="n">
        <v>0</v>
      </c>
      <c r="U25" s="141" t="n">
        <v>100</v>
      </c>
      <c r="V25" s="141" t="n">
        <v>86</v>
      </c>
      <c r="W25" s="141" t="n">
        <f aca="false">M25-(N25-AQ25)-O25-P25-Q25-R25-S25-T25+U25+V25-AQ25</f>
        <v>365.930603</v>
      </c>
      <c r="X25" s="115" t="n">
        <f aca="false">X24-(W25-I25)-Q25-R25-AB25-(AO25/1.9835)</f>
        <v>4787.33128553167</v>
      </c>
      <c r="Y25" s="115" t="n">
        <f aca="false">Y24+AP25</f>
        <v>2274.38</v>
      </c>
      <c r="Z25" s="115" t="n">
        <f aca="false">Z24</f>
        <v>701.789765565919</v>
      </c>
      <c r="AA25" s="141" t="n">
        <v>282</v>
      </c>
      <c r="AB25" s="284" t="n">
        <v>1.7</v>
      </c>
      <c r="AC25" s="285" t="n">
        <v>1.3</v>
      </c>
      <c r="AD25" s="548" t="n">
        <v>76</v>
      </c>
      <c r="AE25" s="497" t="n">
        <f aca="false">AE24-AD25</f>
        <v>11722.823072851</v>
      </c>
      <c r="AF25" s="140" t="n">
        <f aca="false">N25+O25+P25+Q25+R25+S25+T25+W25+AA25+AD25</f>
        <v>838</v>
      </c>
      <c r="AG25" s="141" t="n">
        <f aca="false">IF(L25&lt;0,L25*-1,0)</f>
        <v>74.1225107133854</v>
      </c>
      <c r="AH25" s="141" t="n">
        <f aca="false">AF25+AG25</f>
        <v>912.122510713385</v>
      </c>
      <c r="AI25" s="392" t="n">
        <v>0</v>
      </c>
      <c r="AJ25" s="264" t="n">
        <v>90</v>
      </c>
      <c r="AK25" s="265" t="n">
        <v>50</v>
      </c>
      <c r="AL25" s="264" t="n">
        <f aca="false">AL24</f>
        <v>10571</v>
      </c>
      <c r="AM25" s="264"/>
      <c r="AN25" s="457"/>
      <c r="AO25" s="258" t="n">
        <f aca="false">60.3*(X24*1.9835+Y24*1.9835+Z24*1.9835)/E25</f>
        <v>4.848832745904</v>
      </c>
      <c r="AP25" s="458" t="n">
        <v>37.5</v>
      </c>
      <c r="AQ25" s="14" t="n">
        <v>0.69</v>
      </c>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86" t="n">
        <f aca="false">A25+1</f>
        <v>15</v>
      </c>
      <c r="B26" s="114" t="n">
        <v>6915.93</v>
      </c>
      <c r="C26" s="115" t="n">
        <v>346254</v>
      </c>
      <c r="D26" s="264" t="n">
        <f aca="false">C26-C25</f>
        <v>-1429</v>
      </c>
      <c r="E26" s="115" t="n">
        <f aca="false">C26-152000</f>
        <v>194254</v>
      </c>
      <c r="F26" s="283" t="n">
        <f aca="false">D26/$D$2</f>
        <v>-720.443660196622</v>
      </c>
      <c r="G26" s="141" t="n">
        <v>166</v>
      </c>
      <c r="H26" s="261" t="n">
        <v>0</v>
      </c>
      <c r="I26" s="141" t="n">
        <f aca="false">G26+H26</f>
        <v>166</v>
      </c>
      <c r="J26" s="261" t="n">
        <f aca="false">IF(L26&gt;0,L26,0)</f>
        <v>0</v>
      </c>
      <c r="K26" s="141" t="n">
        <f aca="false">I26+J26</f>
        <v>166</v>
      </c>
      <c r="L26" s="141" t="n">
        <f aca="false">F26-(I26-AF26)</f>
        <v>-74.4436601966221</v>
      </c>
      <c r="M26" s="284" t="n">
        <v>297</v>
      </c>
      <c r="N26" s="258" t="n">
        <f aca="false">1.8299*1.03</f>
        <v>1.884797</v>
      </c>
      <c r="O26" s="141" t="n">
        <f aca="false">(49+51)*1.05</f>
        <v>105</v>
      </c>
      <c r="P26" s="258" t="n">
        <v>0</v>
      </c>
      <c r="Q26" s="258" t="n">
        <f aca="false">2.73*1.02</f>
        <v>2.7846</v>
      </c>
      <c r="R26" s="258" t="n">
        <v>4.2</v>
      </c>
      <c r="S26" s="380" t="n">
        <v>4.01</v>
      </c>
      <c r="T26" s="456" t="n">
        <v>0</v>
      </c>
      <c r="U26" s="141" t="n">
        <v>100</v>
      </c>
      <c r="V26" s="141" t="n">
        <v>85</v>
      </c>
      <c r="W26" s="141" t="n">
        <f aca="false">M26-(N26-AQ26)-O26-P26-Q26-R26-S26-T26+U26+V26-AQ26</f>
        <v>364.120603</v>
      </c>
      <c r="X26" s="115" t="n">
        <f aca="false">X25-(W26-I26)-Q26-R26-AB26-(AO26/1.9835)</f>
        <v>4578.11614959139</v>
      </c>
      <c r="Y26" s="115" t="n">
        <f aca="false">Y25+AP26</f>
        <v>2311.88</v>
      </c>
      <c r="Z26" s="115" t="n">
        <f aca="false">Z25</f>
        <v>701.789765565919</v>
      </c>
      <c r="AA26" s="141" t="n">
        <v>254</v>
      </c>
      <c r="AB26" s="284" t="n">
        <v>1.7</v>
      </c>
      <c r="AC26" s="285" t="n">
        <v>1.3</v>
      </c>
      <c r="AD26" s="548" t="n">
        <v>76</v>
      </c>
      <c r="AE26" s="497" t="n">
        <f aca="false">AE25-AD26</f>
        <v>11646.823072851</v>
      </c>
      <c r="AF26" s="140" t="n">
        <f aca="false">N26+O26+P26+Q26+R26+S26+T26+W26+AA26+AD26</f>
        <v>812</v>
      </c>
      <c r="AG26" s="141" t="n">
        <f aca="false">IF(L26&lt;0,L26*-1,0)</f>
        <v>74.4436601966221</v>
      </c>
      <c r="AH26" s="141" t="n">
        <f aca="false">AF26+AG26</f>
        <v>886.443660196622</v>
      </c>
      <c r="AI26" s="392" t="n">
        <v>0</v>
      </c>
      <c r="AJ26" s="266" t="n">
        <v>92</v>
      </c>
      <c r="AK26" s="265" t="n">
        <v>50</v>
      </c>
      <c r="AL26" s="264" t="n">
        <f aca="false">AL25</f>
        <v>10571</v>
      </c>
      <c r="AM26" s="264"/>
      <c r="AN26" s="457"/>
      <c r="AO26" s="258" t="n">
        <f aca="false">60.3*(X25*1.9835+Y25*1.9835+Z25*1.9835)/E26</f>
        <v>4.78010198704572</v>
      </c>
      <c r="AP26" s="458" t="n">
        <v>37.5</v>
      </c>
      <c r="AQ26" s="14" t="n">
        <v>0.69</v>
      </c>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86" t="n">
        <f aca="false">A26+1</f>
        <v>16</v>
      </c>
      <c r="B27" s="114" t="n">
        <v>6915.61</v>
      </c>
      <c r="C27" s="115" t="n">
        <v>344919</v>
      </c>
      <c r="D27" s="264" t="n">
        <f aca="false">C27-C26</f>
        <v>-1335</v>
      </c>
      <c r="E27" s="115" t="n">
        <f aca="false">C27-152000</f>
        <v>192919</v>
      </c>
      <c r="F27" s="283" t="n">
        <f aca="false">D27/$D$2</f>
        <v>-673.052684648349</v>
      </c>
      <c r="G27" s="141" t="n">
        <v>162</v>
      </c>
      <c r="H27" s="261" t="n">
        <v>0</v>
      </c>
      <c r="I27" s="141" t="n">
        <f aca="false">G27+H27</f>
        <v>162</v>
      </c>
      <c r="J27" s="261" t="n">
        <f aca="false">IF(L27&gt;0,L27,0)</f>
        <v>0</v>
      </c>
      <c r="K27" s="141" t="n">
        <f aca="false">I27+J27</f>
        <v>162</v>
      </c>
      <c r="L27" s="141" t="n">
        <f aca="false">F27-(I27-AF27)</f>
        <v>-27.0526846483489</v>
      </c>
      <c r="M27" s="284" t="n">
        <v>284</v>
      </c>
      <c r="N27" s="258" t="n">
        <f aca="false">1.8299*1.03</f>
        <v>1.884797</v>
      </c>
      <c r="O27" s="141" t="n">
        <f aca="false">(41+43)*1.05</f>
        <v>88.2</v>
      </c>
      <c r="P27" s="258" t="n">
        <v>0</v>
      </c>
      <c r="Q27" s="258" t="n">
        <f aca="false">2.73*1.02</f>
        <v>2.7846</v>
      </c>
      <c r="R27" s="258" t="n">
        <v>4.2</v>
      </c>
      <c r="S27" s="380" t="n">
        <v>5</v>
      </c>
      <c r="T27" s="456" t="n">
        <v>0</v>
      </c>
      <c r="U27" s="141" t="n">
        <v>90</v>
      </c>
      <c r="V27" s="141" t="n">
        <v>85</v>
      </c>
      <c r="W27" s="141" t="n">
        <f aca="false">M27-(N27-AQ27)-O27-P27-Q27-R27-S27-T27+U27+V27-AQ27</f>
        <v>356.930603</v>
      </c>
      <c r="X27" s="115" t="n">
        <f aca="false">X26-(W27-I27)-Q27-R27-AB27-(AO27/1.9835)</f>
        <v>4372.12800929291</v>
      </c>
      <c r="Y27" s="115" t="n">
        <f aca="false">Y26+AP27</f>
        <v>2349.38</v>
      </c>
      <c r="Z27" s="115" t="n">
        <f aca="false">Z26</f>
        <v>701.789765565919</v>
      </c>
      <c r="AA27" s="141" t="n">
        <v>272</v>
      </c>
      <c r="AB27" s="284" t="n">
        <v>1.7</v>
      </c>
      <c r="AC27" s="285" t="n">
        <v>1.3</v>
      </c>
      <c r="AD27" s="548" t="n">
        <v>77</v>
      </c>
      <c r="AE27" s="497" t="n">
        <f aca="false">AE26-AD27</f>
        <v>11569.823072851</v>
      </c>
      <c r="AF27" s="140" t="n">
        <f aca="false">N27+O27+P27+Q27+R27+S27+T27+W27+AA27+AD27</f>
        <v>808</v>
      </c>
      <c r="AG27" s="141" t="n">
        <f aca="false">IF(L27&lt;0,L27*-1,0)</f>
        <v>27.0526846483489</v>
      </c>
      <c r="AH27" s="141" t="n">
        <f aca="false">AF27+AG27</f>
        <v>835.052684648349</v>
      </c>
      <c r="AI27" s="392" t="n">
        <v>0.02</v>
      </c>
      <c r="AJ27" s="266" t="n">
        <v>92</v>
      </c>
      <c r="AK27" s="265" t="n">
        <v>55</v>
      </c>
      <c r="AL27" s="264" t="n">
        <f aca="false">AL26</f>
        <v>10571</v>
      </c>
      <c r="AM27" s="264"/>
      <c r="AN27" s="457"/>
      <c r="AO27" s="258" t="n">
        <f aca="false">60.3*(X26*1.9835+Y26*1.9835+Z26*1.9835)/E27</f>
        <v>4.70672113151989</v>
      </c>
      <c r="AP27" s="458" t="n">
        <v>37.5</v>
      </c>
      <c r="AQ27" s="14" t="n">
        <v>0.74</v>
      </c>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86" t="n">
        <f aca="false">A27+1</f>
        <v>17</v>
      </c>
      <c r="B28" s="114" t="n">
        <v>6915.27</v>
      </c>
      <c r="C28" s="115" t="n">
        <v>343499</v>
      </c>
      <c r="D28" s="264" t="n">
        <f aca="false">C28-C27</f>
        <v>-1420</v>
      </c>
      <c r="E28" s="115" t="n">
        <f aca="false">C28-152000</f>
        <v>191499</v>
      </c>
      <c r="F28" s="283" t="n">
        <f aca="false">D28/$D$2</f>
        <v>-715.906226367532</v>
      </c>
      <c r="G28" s="141" t="n">
        <v>164</v>
      </c>
      <c r="H28" s="261" t="n">
        <v>0</v>
      </c>
      <c r="I28" s="141" t="n">
        <f aca="false">G28+H28</f>
        <v>164</v>
      </c>
      <c r="J28" s="261" t="n">
        <f aca="false">IF(L28&gt;0,L28,0)</f>
        <v>0</v>
      </c>
      <c r="K28" s="141" t="n">
        <f aca="false">I28+J28</f>
        <v>164</v>
      </c>
      <c r="L28" s="141" t="n">
        <f aca="false">F28-(I28-AF28)</f>
        <v>-60.9062263675321</v>
      </c>
      <c r="M28" s="284" t="n">
        <v>292</v>
      </c>
      <c r="N28" s="258" t="n">
        <f aca="false">1.8299*1.03</f>
        <v>1.884797</v>
      </c>
      <c r="O28" s="141" t="n">
        <f aca="false">(47+46)*1.05</f>
        <v>97.65</v>
      </c>
      <c r="P28" s="258" t="n">
        <v>0</v>
      </c>
      <c r="Q28" s="258" t="n">
        <f aca="false">2.73*1.02</f>
        <v>2.7846</v>
      </c>
      <c r="R28" s="258" t="n">
        <v>4.2</v>
      </c>
      <c r="S28" s="380" t="n">
        <v>5</v>
      </c>
      <c r="T28" s="456" t="n">
        <v>0</v>
      </c>
      <c r="U28" s="141" t="n">
        <v>83</v>
      </c>
      <c r="V28" s="141" t="n">
        <v>84</v>
      </c>
      <c r="W28" s="141" t="n">
        <f aca="false">M28-(N28-AQ28)-O28-P28-Q28-R28-S28-T28+U28+V28-AQ28</f>
        <v>347.480603</v>
      </c>
      <c r="X28" s="115" t="n">
        <f aca="false">X27-(W28-I28)-Q28-R28-AB28-(AO28/1.9835)</f>
        <v>4177.62532747671</v>
      </c>
      <c r="Y28" s="115" t="n">
        <f aca="false">Y27+AP28</f>
        <v>2386.88</v>
      </c>
      <c r="Z28" s="115" t="n">
        <f aca="false">Z27</f>
        <v>701.789765565919</v>
      </c>
      <c r="AA28" s="141" t="n">
        <v>283</v>
      </c>
      <c r="AB28" s="284" t="n">
        <v>1.7</v>
      </c>
      <c r="AC28" s="285" t="n">
        <v>1.3</v>
      </c>
      <c r="AD28" s="548" t="n">
        <v>77</v>
      </c>
      <c r="AE28" s="497" t="n">
        <f aca="false">AE27-AD28</f>
        <v>11492.823072851</v>
      </c>
      <c r="AF28" s="140" t="n">
        <f aca="false">N28+O28+P28+Q28+R28+S28+T28+W28+AA28+AD28</f>
        <v>819</v>
      </c>
      <c r="AG28" s="141" t="n">
        <f aca="false">IF(L28&lt;0,L28*-1,0)</f>
        <v>60.9062263675321</v>
      </c>
      <c r="AH28" s="141" t="n">
        <f aca="false">AF28+AG28</f>
        <v>879.906226367532</v>
      </c>
      <c r="AI28" s="392" t="n">
        <v>0</v>
      </c>
      <c r="AJ28" s="266" t="n">
        <v>91</v>
      </c>
      <c r="AK28" s="265" t="n">
        <v>55</v>
      </c>
      <c r="AL28" s="264" t="n">
        <f aca="false">AL27</f>
        <v>10571</v>
      </c>
      <c r="AM28" s="264"/>
      <c r="AN28" s="457"/>
      <c r="AO28" s="258" t="n">
        <f aca="false">60.3*(X27*1.9835+Y27*1.9835+Z27*1.9835)/E28</f>
        <v>4.63638923193792</v>
      </c>
      <c r="AP28" s="458" t="n">
        <v>37.5</v>
      </c>
      <c r="AQ28" s="14" t="n">
        <v>0.78</v>
      </c>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86" t="n">
        <f aca="false">A28+1</f>
        <v>18</v>
      </c>
      <c r="B29" s="114" t="n">
        <v>6914.97</v>
      </c>
      <c r="C29" s="115" t="n">
        <v>342248</v>
      </c>
      <c r="D29" s="264" t="n">
        <f aca="false">C29-C28</f>
        <v>-1251</v>
      </c>
      <c r="E29" s="115" t="n">
        <f aca="false">C29-152000</f>
        <v>190248</v>
      </c>
      <c r="F29" s="283" t="n">
        <f aca="false">D29/$D$2</f>
        <v>-630.703302243509</v>
      </c>
      <c r="G29" s="141" t="n">
        <v>200</v>
      </c>
      <c r="H29" s="261" t="n">
        <v>0</v>
      </c>
      <c r="I29" s="141" t="n">
        <f aca="false">G29+H29</f>
        <v>200</v>
      </c>
      <c r="J29" s="261" t="n">
        <f aca="false">IF(L29&gt;0,L29,0)</f>
        <v>0</v>
      </c>
      <c r="K29" s="141" t="n">
        <f aca="false">I29+J29</f>
        <v>200</v>
      </c>
      <c r="L29" s="141" t="n">
        <f aca="false">F29-(I29-AF29)</f>
        <v>-31.7033022435089</v>
      </c>
      <c r="M29" s="284" t="n">
        <v>286</v>
      </c>
      <c r="N29" s="258" t="n">
        <f aca="false">1.8299*1.03</f>
        <v>1.884797</v>
      </c>
      <c r="O29" s="141" t="n">
        <f aca="false">(45+48)*1.05</f>
        <v>97.65</v>
      </c>
      <c r="P29" s="258" t="n">
        <v>0</v>
      </c>
      <c r="Q29" s="258" t="n">
        <f aca="false">2.73*1.02</f>
        <v>2.7846</v>
      </c>
      <c r="R29" s="258" t="n">
        <v>4.2</v>
      </c>
      <c r="S29" s="380" t="n">
        <v>5.37</v>
      </c>
      <c r="T29" s="456" t="n">
        <v>0</v>
      </c>
      <c r="U29" s="141" t="n">
        <v>83</v>
      </c>
      <c r="V29" s="141" t="n">
        <v>84</v>
      </c>
      <c r="W29" s="141" t="n">
        <f aca="false">M29-(N29-AQ29)-O29-P29-Q29-R29-S29-T29+U29+V29-AQ29</f>
        <v>341.110603</v>
      </c>
      <c r="X29" s="115" t="n">
        <f aca="false">X28-(W29-I29)-Q29-R29-AB29-(AO29/1.9835)</f>
        <v>4025.52703801004</v>
      </c>
      <c r="Y29" s="115" t="n">
        <f aca="false">Y28+AP29</f>
        <v>2424.38</v>
      </c>
      <c r="Z29" s="115" t="n">
        <f aca="false">Z28</f>
        <v>701.789765565919</v>
      </c>
      <c r="AA29" s="141" t="n">
        <v>271</v>
      </c>
      <c r="AB29" s="284" t="n">
        <v>1.7</v>
      </c>
      <c r="AC29" s="285" t="n">
        <v>1.3</v>
      </c>
      <c r="AD29" s="548" t="n">
        <v>75</v>
      </c>
      <c r="AE29" s="497" t="n">
        <f aca="false">AE28-AD29</f>
        <v>11417.823072851</v>
      </c>
      <c r="AF29" s="140" t="n">
        <f aca="false">N29+O29+P29+Q29+R29+S29+T29+W29+AA29+AD29</f>
        <v>799</v>
      </c>
      <c r="AG29" s="141" t="n">
        <f aca="false">IF(L29&lt;0,L29*-1,0)</f>
        <v>31.7033022435089</v>
      </c>
      <c r="AH29" s="141" t="n">
        <f aca="false">AF29+AG29</f>
        <v>830.703302243509</v>
      </c>
      <c r="AI29" s="392" t="n">
        <v>0.11</v>
      </c>
      <c r="AJ29" s="266" t="n">
        <v>91</v>
      </c>
      <c r="AK29" s="265" t="n">
        <v>62</v>
      </c>
      <c r="AL29" s="264" t="n">
        <f aca="false">AL28</f>
        <v>10571</v>
      </c>
      <c r="AM29" s="264"/>
      <c r="AN29" s="457"/>
      <c r="AO29" s="258" t="n">
        <f aca="false">60.3*(X28*1.9835+Y28*1.9835+Z28*1.9835)/E29</f>
        <v>4.56817200663407</v>
      </c>
      <c r="AP29" s="458" t="n">
        <v>37.5</v>
      </c>
      <c r="AQ29" s="14" t="n">
        <v>0.78</v>
      </c>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86" t="n">
        <f aca="false">A29+1</f>
        <v>19</v>
      </c>
      <c r="B30" s="114" t="n">
        <v>6914.7</v>
      </c>
      <c r="C30" s="115" t="n">
        <v>341130</v>
      </c>
      <c r="D30" s="264" t="n">
        <f aca="false">C30-C29</f>
        <v>-1118</v>
      </c>
      <c r="E30" s="115" t="n">
        <f aca="false">C30-152000</f>
        <v>189130</v>
      </c>
      <c r="F30" s="283" t="n">
        <f aca="false">D30/$D$2</f>
        <v>-563.650113435846</v>
      </c>
      <c r="G30" s="141" t="n">
        <v>194</v>
      </c>
      <c r="H30" s="261" t="n">
        <v>0.01</v>
      </c>
      <c r="I30" s="141" t="n">
        <f aca="false">G30+H30</f>
        <v>194.01</v>
      </c>
      <c r="J30" s="261" t="n">
        <f aca="false">IF(L30&gt;0,L30,0)</f>
        <v>19.3398865641543</v>
      </c>
      <c r="K30" s="141" t="n">
        <f aca="false">I30+J30</f>
        <v>213.349886564154</v>
      </c>
      <c r="L30" s="141" t="n">
        <f aca="false">F30-(I30-AF30)</f>
        <v>19.3398865641543</v>
      </c>
      <c r="M30" s="284" t="n">
        <v>275</v>
      </c>
      <c r="N30" s="258" t="n">
        <f aca="false">1.8299*1.03</f>
        <v>1.884797</v>
      </c>
      <c r="O30" s="141" t="n">
        <f aca="false">(44+44)*1.05</f>
        <v>92.4</v>
      </c>
      <c r="P30" s="258" t="n">
        <v>0</v>
      </c>
      <c r="Q30" s="258" t="n">
        <f aca="false">2.73*1.02</f>
        <v>2.7846</v>
      </c>
      <c r="R30" s="258" t="n">
        <v>4.2</v>
      </c>
      <c r="S30" s="380" t="n">
        <v>3.91</v>
      </c>
      <c r="T30" s="456" t="n">
        <v>0</v>
      </c>
      <c r="U30" s="141" t="n">
        <v>83</v>
      </c>
      <c r="V30" s="141" t="n">
        <v>84</v>
      </c>
      <c r="W30" s="141" t="n">
        <f aca="false">M30-(N30-AQ30)-O30-P30-Q30-R30-S30-T30+U30+V30-AQ30</f>
        <v>336.820603</v>
      </c>
      <c r="X30" s="115" t="n">
        <f aca="false">X29-(W30-I30)-Q30-R30-AB30-(AO30/1.9835)</f>
        <v>3871.75167153912</v>
      </c>
      <c r="Y30" s="115" t="n">
        <f aca="false">Y29+AP30</f>
        <v>2461.88</v>
      </c>
      <c r="Z30" s="115" t="n">
        <f aca="false">Z29</f>
        <v>701.789765565919</v>
      </c>
      <c r="AA30" s="141" t="n">
        <v>258</v>
      </c>
      <c r="AB30" s="284" t="n">
        <v>1.7</v>
      </c>
      <c r="AC30" s="285" t="n">
        <v>1.3</v>
      </c>
      <c r="AD30" s="548" t="n">
        <v>77</v>
      </c>
      <c r="AE30" s="497" t="n">
        <f aca="false">AE29-AD30</f>
        <v>11340.823072851</v>
      </c>
      <c r="AF30" s="140" t="n">
        <f aca="false">N30+O30+P30+Q30+R30+S30+T30+W30+AA30+AD30</f>
        <v>777</v>
      </c>
      <c r="AG30" s="141" t="n">
        <f aca="false">IF(L30&lt;0,L30*-1,0)</f>
        <v>0</v>
      </c>
      <c r="AH30" s="141" t="n">
        <f aca="false">AF30+AG30</f>
        <v>777</v>
      </c>
      <c r="AI30" s="392" t="n">
        <v>0</v>
      </c>
      <c r="AJ30" s="266" t="n">
        <v>91</v>
      </c>
      <c r="AK30" s="265" t="n">
        <v>61</v>
      </c>
      <c r="AL30" s="264" t="n">
        <f aca="false">AL29</f>
        <v>10571</v>
      </c>
      <c r="AM30" s="264"/>
      <c r="AN30" s="457"/>
      <c r="AO30" s="258" t="n">
        <f aca="false">60.3*(X29*1.9835+Y29*1.9835+Z29*1.9835)/E30</f>
        <v>4.52270424457539</v>
      </c>
      <c r="AP30" s="458" t="n">
        <v>37.5</v>
      </c>
      <c r="AQ30" s="14" t="n">
        <v>0.9</v>
      </c>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86" t="n">
        <f aca="false">A30+1</f>
        <v>20</v>
      </c>
      <c r="B31" s="114" t="n">
        <v>6914.43</v>
      </c>
      <c r="C31" s="115" t="n">
        <v>340012</v>
      </c>
      <c r="D31" s="264" t="n">
        <f aca="false">C31-C30</f>
        <v>-1118</v>
      </c>
      <c r="E31" s="115" t="n">
        <f aca="false">C31-152000</f>
        <v>188012</v>
      </c>
      <c r="F31" s="283" t="n">
        <f aca="false">D31/$D$2</f>
        <v>-563.650113435846</v>
      </c>
      <c r="G31" s="141" t="n">
        <v>227</v>
      </c>
      <c r="H31" s="261" t="n">
        <v>0.02</v>
      </c>
      <c r="I31" s="141" t="n">
        <f aca="false">G31+H31</f>
        <v>227.02</v>
      </c>
      <c r="J31" s="261" t="n">
        <f aca="false">IF(L31&gt;0,L31,0)</f>
        <v>0</v>
      </c>
      <c r="K31" s="141" t="n">
        <f aca="false">I31+J31</f>
        <v>227.02</v>
      </c>
      <c r="L31" s="141" t="n">
        <f aca="false">F31-(I31-AF31)</f>
        <v>-16.6701134358457</v>
      </c>
      <c r="M31" s="284" t="n">
        <v>274</v>
      </c>
      <c r="N31" s="258" t="n">
        <f aca="false">1.8299*1.03</f>
        <v>1.884797</v>
      </c>
      <c r="O31" s="141" t="n">
        <f aca="false">(42+44)*1.05</f>
        <v>90.3</v>
      </c>
      <c r="P31" s="258" t="n">
        <v>0</v>
      </c>
      <c r="Q31" s="258" t="n">
        <f aca="false">2.73*1.02</f>
        <v>2.7846</v>
      </c>
      <c r="R31" s="258" t="n">
        <v>4.2</v>
      </c>
      <c r="S31" s="380" t="n">
        <v>2.66</v>
      </c>
      <c r="T31" s="456" t="n">
        <v>0</v>
      </c>
      <c r="U31" s="141" t="n">
        <v>83</v>
      </c>
      <c r="V31" s="141" t="n">
        <v>84</v>
      </c>
      <c r="W31" s="141" t="n">
        <f aca="false">M31-(N31-AQ31)-O31-P31-Q31-R31-S31-T31+U31+V31-AQ31</f>
        <v>339.170603</v>
      </c>
      <c r="X31" s="115" t="n">
        <f aca="false">X30-(W31-I31)-Q31-R31-AB31-(AO31/1.9835)</f>
        <v>3748.66003856307</v>
      </c>
      <c r="Y31" s="115" t="n">
        <f aca="false">Y30+AP31</f>
        <v>2499.38</v>
      </c>
      <c r="Z31" s="115" t="n">
        <f aca="false">Z30</f>
        <v>701.789765565919</v>
      </c>
      <c r="AA31" s="141" t="n">
        <v>255</v>
      </c>
      <c r="AB31" s="284" t="n">
        <v>1.7</v>
      </c>
      <c r="AC31" s="285" t="n">
        <v>1.3</v>
      </c>
      <c r="AD31" s="548" t="n">
        <v>78</v>
      </c>
      <c r="AE31" s="497" t="n">
        <f aca="false">AE30-AD31</f>
        <v>11262.823072851</v>
      </c>
      <c r="AF31" s="140" t="n">
        <f aca="false">N31+O31+P31+Q31+R31+S31+T31+W31+AA31+AD31</f>
        <v>774</v>
      </c>
      <c r="AG31" s="141" t="n">
        <f aca="false">IF(L31&lt;0,L31*-1,0)</f>
        <v>16.6701134358457</v>
      </c>
      <c r="AH31" s="141" t="n">
        <f aca="false">AF31+AG31</f>
        <v>790.670113435846</v>
      </c>
      <c r="AI31" s="392" t="n">
        <v>0.17</v>
      </c>
      <c r="AJ31" s="266" t="n">
        <v>83</v>
      </c>
      <c r="AK31" s="265" t="n">
        <v>59</v>
      </c>
      <c r="AL31" s="264" t="n">
        <f aca="false">AL30</f>
        <v>10571</v>
      </c>
      <c r="AM31" s="264"/>
      <c r="AN31" s="457"/>
      <c r="AO31" s="258" t="n">
        <f aca="false">60.3*(X30*1.9835+Y30*1.9835+Z30*1.9835)/E31</f>
        <v>4.47562885749857</v>
      </c>
      <c r="AP31" s="458" t="n">
        <v>37.5</v>
      </c>
      <c r="AQ31" s="14" t="n">
        <v>1.09</v>
      </c>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86" t="n">
        <f aca="false">A31+1</f>
        <v>21</v>
      </c>
      <c r="B32" s="114" t="n">
        <v>6914.19</v>
      </c>
      <c r="C32" s="115" t="n">
        <v>339017</v>
      </c>
      <c r="D32" s="264" t="n">
        <f aca="false">C32-C31</f>
        <v>-995</v>
      </c>
      <c r="E32" s="115" t="n">
        <f aca="false">C32-152000</f>
        <v>187017</v>
      </c>
      <c r="F32" s="283" t="n">
        <f aca="false">D32/$D$2</f>
        <v>-501.638517771616</v>
      </c>
      <c r="G32" s="141" t="n">
        <v>258</v>
      </c>
      <c r="H32" s="261" t="n">
        <v>0.01</v>
      </c>
      <c r="I32" s="141" t="n">
        <f aca="false">G32+H32</f>
        <v>258.01</v>
      </c>
      <c r="J32" s="261" t="n">
        <f aca="false">IF(L32&gt;0,L32,0)</f>
        <v>0</v>
      </c>
      <c r="K32" s="141" t="n">
        <f aca="false">I32+J32</f>
        <v>258.01</v>
      </c>
      <c r="L32" s="141" t="n">
        <f aca="false">F32-(I32-AF32)</f>
        <v>-13.6485177716158</v>
      </c>
      <c r="M32" s="284" t="n">
        <v>274</v>
      </c>
      <c r="N32" s="258" t="n">
        <f aca="false">1.8299*1.03</f>
        <v>1.884797</v>
      </c>
      <c r="O32" s="141" t="n">
        <f aca="false">(44+45)*1.05</f>
        <v>93.45</v>
      </c>
      <c r="P32" s="258" t="n">
        <v>0</v>
      </c>
      <c r="Q32" s="258" t="n">
        <f aca="false">2.73*1.02</f>
        <v>2.7846</v>
      </c>
      <c r="R32" s="258" t="n">
        <v>4.2</v>
      </c>
      <c r="S32" s="380" t="n">
        <v>3.82</v>
      </c>
      <c r="T32" s="456" t="n">
        <v>0</v>
      </c>
      <c r="U32" s="141" t="n">
        <v>83</v>
      </c>
      <c r="V32" s="141" t="n">
        <v>82</v>
      </c>
      <c r="W32" s="141" t="n">
        <f aca="false">M32-(N32-AQ32)-O32-P32-Q32-R32-S32-T32+U32+V32-AQ32</f>
        <v>332.860603</v>
      </c>
      <c r="X32" s="115" t="n">
        <f aca="false">X31-(W32-I32)-Q32-R32-AB32-(AO32/1.9835)</f>
        <v>3662.88399790024</v>
      </c>
      <c r="Y32" s="115" t="n">
        <f aca="false">Y31+AP32</f>
        <v>2536.88</v>
      </c>
      <c r="Z32" s="115" t="n">
        <f aca="false">Z31</f>
        <v>701.789765565919</v>
      </c>
      <c r="AA32" s="141" t="n">
        <v>230</v>
      </c>
      <c r="AB32" s="284" t="n">
        <v>1.7</v>
      </c>
      <c r="AC32" s="285" t="n">
        <v>1.3</v>
      </c>
      <c r="AD32" s="548" t="n">
        <v>77</v>
      </c>
      <c r="AE32" s="497" t="n">
        <f aca="false">AE31-AD32</f>
        <v>11185.823072851</v>
      </c>
      <c r="AF32" s="140" t="n">
        <f aca="false">N32+O32+P32+Q32+R32+S32+T32+W32+AA32+AD32</f>
        <v>746</v>
      </c>
      <c r="AG32" s="141" t="n">
        <f aca="false">IF(L32&lt;0,L32*-1,0)</f>
        <v>13.6485177716158</v>
      </c>
      <c r="AH32" s="141" t="n">
        <f aca="false">AF32+AG32</f>
        <v>759.648517771616</v>
      </c>
      <c r="AI32" s="392" t="n">
        <v>0.04</v>
      </c>
      <c r="AJ32" s="264" t="n">
        <v>83</v>
      </c>
      <c r="AK32" s="265" t="n">
        <v>59</v>
      </c>
      <c r="AL32" s="264" t="n">
        <f aca="false">AL31</f>
        <v>10571</v>
      </c>
      <c r="AM32" s="264"/>
      <c r="AN32" s="457"/>
      <c r="AO32" s="258" t="n">
        <f aca="false">60.3*(X31*1.9835+Y31*1.9835+Z31*1.9835)/E32</f>
        <v>4.444701504218</v>
      </c>
      <c r="AP32" s="458" t="n">
        <v>37.5</v>
      </c>
      <c r="AQ32" s="14" t="n">
        <v>1.09</v>
      </c>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86" t="n">
        <f aca="false">A32+1</f>
        <v>22</v>
      </c>
      <c r="B33" s="114" t="n">
        <v>6914.04</v>
      </c>
      <c r="C33" s="115" t="n">
        <v>338396</v>
      </c>
      <c r="D33" s="264" t="n">
        <f aca="false">C33-C32</f>
        <v>-621</v>
      </c>
      <c r="E33" s="115" t="n">
        <f aca="false">C33-152000</f>
        <v>186396</v>
      </c>
      <c r="F33" s="283" t="n">
        <f aca="false">D33/$D$2</f>
        <v>-313.082934207209</v>
      </c>
      <c r="G33" s="141" t="n">
        <v>357</v>
      </c>
      <c r="H33" s="261" t="n">
        <v>0.03</v>
      </c>
      <c r="I33" s="141" t="n">
        <f aca="false">G33+H33</f>
        <v>357.03</v>
      </c>
      <c r="J33" s="261" t="n">
        <f aca="false">IF(L33&gt;0,L33,0)</f>
        <v>11.8870657927906</v>
      </c>
      <c r="K33" s="141" t="n">
        <f aca="false">I33+J33</f>
        <v>368.917065792791</v>
      </c>
      <c r="L33" s="141" t="n">
        <f aca="false">F33-(I33-AF33)</f>
        <v>11.8870657927906</v>
      </c>
      <c r="M33" s="284" t="n">
        <v>235</v>
      </c>
      <c r="N33" s="258" t="n">
        <f aca="false">1.8299*1.03</f>
        <v>1.884797</v>
      </c>
      <c r="O33" s="141" t="n">
        <f aca="false">(41+44)*1.05</f>
        <v>89.25</v>
      </c>
      <c r="P33" s="258" t="n">
        <v>0</v>
      </c>
      <c r="Q33" s="258" t="n">
        <f aca="false">2.73*1.02</f>
        <v>2.7846</v>
      </c>
      <c r="R33" s="258" t="n">
        <v>4.2</v>
      </c>
      <c r="S33" s="380" t="n">
        <v>2.37</v>
      </c>
      <c r="T33" s="456" t="n">
        <v>0</v>
      </c>
      <c r="U33" s="141" t="n">
        <v>84</v>
      </c>
      <c r="V33" s="141" t="n">
        <v>81</v>
      </c>
      <c r="W33" s="141" t="n">
        <f aca="false">M33-(N33-AQ33)-O33-P33-Q33-R33-S33-T33+U33+V33-AQ33</f>
        <v>299.510603</v>
      </c>
      <c r="X33" s="115" t="n">
        <f aca="false">X32-W33+(304.2-Q33-R33-AB33)-(AO33/1.9835)+48.2</f>
        <v>3704.85610915625</v>
      </c>
      <c r="Y33" s="115" t="n">
        <f aca="false">Y32+AP33</f>
        <v>2574.38</v>
      </c>
      <c r="Z33" s="115" t="n">
        <f aca="false">Z32</f>
        <v>701.789765565919</v>
      </c>
      <c r="AA33" s="141" t="n">
        <v>205</v>
      </c>
      <c r="AB33" s="284" t="n">
        <v>1.7</v>
      </c>
      <c r="AC33" s="285" t="n">
        <v>1.3</v>
      </c>
      <c r="AD33" s="548" t="n">
        <v>77</v>
      </c>
      <c r="AE33" s="497" t="n">
        <f aca="false">AE32-AD33</f>
        <v>11108.823072851</v>
      </c>
      <c r="AF33" s="140" t="n">
        <f aca="false">N33+O33+P33+Q33+R33+S33+T33+W33+AA33+AD33</f>
        <v>682</v>
      </c>
      <c r="AG33" s="141" t="n">
        <f aca="false">IF(L33&lt;0,L33*-1,0)</f>
        <v>0</v>
      </c>
      <c r="AH33" s="141" t="n">
        <f aca="false">AF33+AG33</f>
        <v>682</v>
      </c>
      <c r="AI33" s="392" t="n">
        <v>0.11</v>
      </c>
      <c r="AJ33" s="264" t="n">
        <v>82</v>
      </c>
      <c r="AK33" s="265" t="n">
        <v>56</v>
      </c>
      <c r="AL33" s="264" t="n">
        <f aca="false">AL32</f>
        <v>10571</v>
      </c>
      <c r="AM33" s="264"/>
      <c r="AN33" s="457"/>
      <c r="AO33" s="258" t="n">
        <f aca="false">60.3*(X32*1.9835+Y32*1.9835+Z32*1.9835)/E33</f>
        <v>4.42853217320682</v>
      </c>
      <c r="AP33" s="458" t="n">
        <v>37.5</v>
      </c>
      <c r="AQ33" s="14" t="n">
        <v>1.09</v>
      </c>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86" t="n">
        <f aca="false">A33+1</f>
        <v>23</v>
      </c>
      <c r="B34" s="114" t="n">
        <v>6913.87</v>
      </c>
      <c r="C34" s="115" t="n">
        <v>337696</v>
      </c>
      <c r="D34" s="264" t="n">
        <f aca="false">C34-C33</f>
        <v>-700</v>
      </c>
      <c r="E34" s="115" t="n">
        <f aca="false">C34-152000</f>
        <v>185696</v>
      </c>
      <c r="F34" s="283" t="n">
        <f aca="false">D34/$D$2</f>
        <v>-352.911520040333</v>
      </c>
      <c r="G34" s="141" t="n">
        <v>324</v>
      </c>
      <c r="H34" s="261" t="n">
        <v>0.01</v>
      </c>
      <c r="I34" s="141" t="n">
        <f aca="false">G34+H34</f>
        <v>324.01</v>
      </c>
      <c r="J34" s="261" t="n">
        <f aca="false">IF(L34&gt;0,L34,0)</f>
        <v>0</v>
      </c>
      <c r="K34" s="141" t="n">
        <f aca="false">I34+J34</f>
        <v>324.01</v>
      </c>
      <c r="L34" s="141" t="n">
        <f aca="false">F34-(I34-AF34)</f>
        <v>-20.9215200403327</v>
      </c>
      <c r="M34" s="284" t="n">
        <v>207</v>
      </c>
      <c r="N34" s="258" t="n">
        <f aca="false">1.8299*1.03</f>
        <v>1.884797</v>
      </c>
      <c r="O34" s="141" t="n">
        <f aca="false">(33+36)*1.05</f>
        <v>72.45</v>
      </c>
      <c r="P34" s="258" t="n">
        <v>0</v>
      </c>
      <c r="Q34" s="258" t="n">
        <f aca="false">2.73*1.02</f>
        <v>2.7846</v>
      </c>
      <c r="R34" s="258" t="n">
        <v>4.2</v>
      </c>
      <c r="S34" s="380" t="n">
        <v>2.86</v>
      </c>
      <c r="T34" s="456" t="n">
        <v>0</v>
      </c>
      <c r="U34" s="141" t="n">
        <v>83</v>
      </c>
      <c r="V34" s="141" t="n">
        <v>80</v>
      </c>
      <c r="W34" s="141" t="n">
        <f aca="false">M34-(N34-AQ34)-O34-P34-Q34-R34-S34-T34+U34+V34-AQ34</f>
        <v>285.820603</v>
      </c>
      <c r="X34" s="115" t="n">
        <f aca="false">X33-W34+(292.4-Q34-R34-AB34)-(AO34/1.9835)+29.5</f>
        <v>3729.98399755162</v>
      </c>
      <c r="Y34" s="115" t="n">
        <f aca="false">Y33+AP34</f>
        <v>2611.88</v>
      </c>
      <c r="Z34" s="115" t="n">
        <f aca="false">Z33</f>
        <v>701.789765565919</v>
      </c>
      <c r="AA34" s="141" t="n">
        <v>209</v>
      </c>
      <c r="AB34" s="284" t="n">
        <v>1.7</v>
      </c>
      <c r="AC34" s="285" t="n">
        <v>1.3</v>
      </c>
      <c r="AD34" s="548" t="n">
        <v>77</v>
      </c>
      <c r="AE34" s="497" t="n">
        <f aca="false">AE33-AD34</f>
        <v>11031.823072851</v>
      </c>
      <c r="AF34" s="140" t="n">
        <f aca="false">N34+O34+P34+Q34+R34+S34+T34+W34+AA34+AD34</f>
        <v>656</v>
      </c>
      <c r="AG34" s="141" t="n">
        <f aca="false">IF(L34&lt;0,L34*-1,0)</f>
        <v>20.9215200403327</v>
      </c>
      <c r="AH34" s="141" t="n">
        <f aca="false">AF34+AG34</f>
        <v>676.921520040333</v>
      </c>
      <c r="AI34" s="392" t="n">
        <v>0.05</v>
      </c>
      <c r="AJ34" s="264" t="n">
        <v>87</v>
      </c>
      <c r="AK34" s="286" t="n">
        <v>50</v>
      </c>
      <c r="AL34" s="264" t="n">
        <f aca="false">AL33</f>
        <v>10571</v>
      </c>
      <c r="AM34" s="264"/>
      <c r="AN34" s="457"/>
      <c r="AO34" s="258" t="n">
        <f aca="false">60.3*(X33*1.9835+Y33*1.9835+Z33*1.9835)/E34</f>
        <v>4.49641321728761</v>
      </c>
      <c r="AP34" s="458" t="n">
        <v>37.5</v>
      </c>
      <c r="AQ34" s="14" t="n">
        <v>1.09</v>
      </c>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86" t="n">
        <f aca="false">A34+1</f>
        <v>24</v>
      </c>
      <c r="B35" s="114" t="n">
        <v>6913.7</v>
      </c>
      <c r="C35" s="115" t="n">
        <v>336998</v>
      </c>
      <c r="D35" s="264" t="n">
        <f aca="false">C35-C34</f>
        <v>-698</v>
      </c>
      <c r="E35" s="115" t="n">
        <f aca="false">C35-152000</f>
        <v>184998</v>
      </c>
      <c r="F35" s="283" t="n">
        <f aca="false">D35/$D$2</f>
        <v>-351.903201411646</v>
      </c>
      <c r="G35" s="141" t="n">
        <v>319</v>
      </c>
      <c r="H35" s="261" t="n">
        <v>0.05</v>
      </c>
      <c r="I35" s="141" t="n">
        <f aca="false">G35+H35</f>
        <v>319.05</v>
      </c>
      <c r="J35" s="261" t="n">
        <f aca="false">IF(L35&gt;0,L35,0)</f>
        <v>0</v>
      </c>
      <c r="K35" s="141" t="n">
        <f aca="false">I35+J35</f>
        <v>319.05</v>
      </c>
      <c r="L35" s="141" t="n">
        <f aca="false">F35-(I35-AF35)</f>
        <v>-9.95320141164609</v>
      </c>
      <c r="M35" s="284" t="n">
        <v>221</v>
      </c>
      <c r="N35" s="258" t="n">
        <f aca="false">1.8299*1.03</f>
        <v>1.884797</v>
      </c>
      <c r="O35" s="141" t="n">
        <f aca="false">(40+40)*1.05</f>
        <v>84</v>
      </c>
      <c r="P35" s="258" t="n">
        <v>0</v>
      </c>
      <c r="Q35" s="258" t="n">
        <f aca="false">2.73*1.02</f>
        <v>2.7846</v>
      </c>
      <c r="R35" s="258" t="n">
        <v>4.2</v>
      </c>
      <c r="S35" s="380" t="n">
        <v>1.69</v>
      </c>
      <c r="T35" s="456" t="n">
        <v>0</v>
      </c>
      <c r="U35" s="141" t="n">
        <v>84</v>
      </c>
      <c r="V35" s="141" t="n">
        <v>79</v>
      </c>
      <c r="W35" s="141" t="n">
        <f aca="false">M35-(N35-AQ35)-O35-P35-Q35-R35-S35-T35+U35+V35-AQ35</f>
        <v>289.440603</v>
      </c>
      <c r="X35" s="115" t="n">
        <f aca="false">X34-W35+(293.9-Q35-R35-AB35)-(AO35/1.9835)+21</f>
        <v>3744.46291934261</v>
      </c>
      <c r="Y35" s="115" t="n">
        <f aca="false">Y34+AP35</f>
        <v>2649.38</v>
      </c>
      <c r="Z35" s="115" t="n">
        <f aca="false">Z34</f>
        <v>701.789765565919</v>
      </c>
      <c r="AA35" s="141" t="n">
        <v>200</v>
      </c>
      <c r="AB35" s="284" t="n">
        <v>1.7</v>
      </c>
      <c r="AC35" s="285" t="n">
        <v>1.3</v>
      </c>
      <c r="AD35" s="548" t="n">
        <v>77</v>
      </c>
      <c r="AE35" s="497" t="n">
        <f aca="false">AE34-AD35</f>
        <v>10954.823072851</v>
      </c>
      <c r="AF35" s="140" t="n">
        <f aca="false">N35+O35+P35+Q35+R35+S35+T35+W35+AA35+AD35</f>
        <v>661</v>
      </c>
      <c r="AG35" s="141" t="n">
        <f aca="false">IF(L35&lt;0,L35*-1,0)</f>
        <v>9.95320141164609</v>
      </c>
      <c r="AH35" s="141" t="n">
        <f aca="false">AF35+AG35</f>
        <v>670.953201411646</v>
      </c>
      <c r="AI35" s="392" t="n">
        <v>0</v>
      </c>
      <c r="AJ35" s="264" t="n">
        <v>85</v>
      </c>
      <c r="AK35" s="286" t="n">
        <v>56</v>
      </c>
      <c r="AL35" s="264" t="n">
        <f aca="false">AL34</f>
        <v>10571</v>
      </c>
      <c r="AM35" s="264"/>
      <c r="AN35" s="457"/>
      <c r="AO35" s="258" t="n">
        <f aca="false">60.3*(X34*1.9835+Y34*1.9835+Z34*1.9835)/E35</f>
        <v>4.55386847706657</v>
      </c>
      <c r="AP35" s="458" t="n">
        <v>37.5</v>
      </c>
      <c r="AQ35" s="14" t="n">
        <v>1.09</v>
      </c>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86" t="n">
        <f aca="false">A35+1</f>
        <v>25</v>
      </c>
      <c r="B36" s="114" t="n">
        <v>6913.52</v>
      </c>
      <c r="C36" s="115" t="n">
        <v>336258</v>
      </c>
      <c r="D36" s="264" t="n">
        <f aca="false">C36-C35</f>
        <v>-740</v>
      </c>
      <c r="E36" s="115" t="n">
        <f aca="false">C36-152000</f>
        <v>184258</v>
      </c>
      <c r="F36" s="283" t="n">
        <f aca="false">D36/$D$2</f>
        <v>-373.077892614066</v>
      </c>
      <c r="G36" s="141" t="n">
        <v>329</v>
      </c>
      <c r="H36" s="261" t="n">
        <v>0.21</v>
      </c>
      <c r="I36" s="141" t="n">
        <f aca="false">G36+H36</f>
        <v>329.21</v>
      </c>
      <c r="J36" s="261" t="n">
        <f aca="false">IF(L36&gt;0,L36,0)</f>
        <v>0</v>
      </c>
      <c r="K36" s="141" t="n">
        <f aca="false">I36+J36</f>
        <v>329.21</v>
      </c>
      <c r="L36" s="141" t="n">
        <f aca="false">F36-(I36-AF36)</f>
        <v>-72.287892614066</v>
      </c>
      <c r="M36" s="284" t="n">
        <v>212</v>
      </c>
      <c r="N36" s="258" t="n">
        <f aca="false">1.8299*1.03</f>
        <v>1.884797</v>
      </c>
      <c r="O36" s="141" t="n">
        <f aca="false">(38+41)*1.05</f>
        <v>82.95</v>
      </c>
      <c r="P36" s="258" t="n">
        <v>0</v>
      </c>
      <c r="Q36" s="258" t="n">
        <f aca="false">2.73*1.02</f>
        <v>2.7846</v>
      </c>
      <c r="R36" s="258" t="n">
        <v>4.2</v>
      </c>
      <c r="S36" s="380" t="n">
        <v>3.47</v>
      </c>
      <c r="T36" s="456" t="n">
        <v>0</v>
      </c>
      <c r="U36" s="141" t="n">
        <v>84</v>
      </c>
      <c r="V36" s="141" t="n">
        <v>77</v>
      </c>
      <c r="W36" s="141" t="n">
        <f aca="false">M36-(N36-AQ36)-O36-P36-Q36-R36-S36-T36+U36+V36-AQ36</f>
        <v>277.710603</v>
      </c>
      <c r="X36" s="115" t="n">
        <f aca="false">X35-W36+(283.6-Q36-R36-AB36)-(AO36/1.9835)+42.8</f>
        <v>3782.14561010625</v>
      </c>
      <c r="Y36" s="115" t="n">
        <f aca="false">Y35+AP36</f>
        <v>2685.15</v>
      </c>
      <c r="Z36" s="115" t="n">
        <f aca="false">Z35</f>
        <v>701.789765565919</v>
      </c>
      <c r="AA36" s="141" t="n">
        <v>180</v>
      </c>
      <c r="AB36" s="284" t="n">
        <v>1.7</v>
      </c>
      <c r="AC36" s="285" t="n">
        <v>1.3</v>
      </c>
      <c r="AD36" s="548" t="n">
        <v>77</v>
      </c>
      <c r="AE36" s="497" t="n">
        <f aca="false">AE35-AD36</f>
        <v>10877.823072851</v>
      </c>
      <c r="AF36" s="140" t="n">
        <f aca="false">N36+O36+P36+Q36+R36+S36+T36+W36+AA36+AD36</f>
        <v>630</v>
      </c>
      <c r="AG36" s="141" t="n">
        <f aca="false">IF(L36&lt;0,L36*-1,0)</f>
        <v>72.287892614066</v>
      </c>
      <c r="AH36" s="141" t="n">
        <f aca="false">AF36+AG36</f>
        <v>702.287892614066</v>
      </c>
      <c r="AI36" s="392" t="n">
        <v>0</v>
      </c>
      <c r="AJ36" s="264" t="n">
        <v>86</v>
      </c>
      <c r="AK36" s="286" t="n">
        <v>57</v>
      </c>
      <c r="AL36" s="264" t="n">
        <f aca="false">AL35</f>
        <v>10571</v>
      </c>
      <c r="AM36" s="264"/>
      <c r="AN36" s="457"/>
      <c r="AO36" s="258" t="n">
        <f aca="false">60.3*(X35*1.9835+Y35*1.9835+Z35*1.9835)/E36</f>
        <v>4.60589771982828</v>
      </c>
      <c r="AP36" s="458" t="n">
        <v>35.77</v>
      </c>
      <c r="AQ36" s="14" t="n">
        <v>1.09</v>
      </c>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86" t="n">
        <f aca="false">A36+1</f>
        <v>26</v>
      </c>
      <c r="B37" s="114" t="n">
        <v>6913.4</v>
      </c>
      <c r="C37" s="115" t="n">
        <v>335765</v>
      </c>
      <c r="D37" s="264" t="n">
        <f aca="false">C37-C36</f>
        <v>-493</v>
      </c>
      <c r="E37" s="115" t="n">
        <f aca="false">C37-152000</f>
        <v>183765</v>
      </c>
      <c r="F37" s="283" t="n">
        <f aca="false">D37/$D$2</f>
        <v>-248.550541971263</v>
      </c>
      <c r="G37" s="141" t="n">
        <v>277</v>
      </c>
      <c r="H37" s="261" t="n">
        <v>0.25</v>
      </c>
      <c r="I37" s="141" t="n">
        <f aca="false">G37+H37</f>
        <v>277.25</v>
      </c>
      <c r="J37" s="261" t="n">
        <f aca="false">IF(L37&gt;0,L37,0)</f>
        <v>88.1994580287371</v>
      </c>
      <c r="K37" s="141" t="n">
        <f aca="false">I37+J37</f>
        <v>365.449458028737</v>
      </c>
      <c r="L37" s="141" t="n">
        <f aca="false">F37-(I37-AF37)</f>
        <v>88.1994580287371</v>
      </c>
      <c r="M37" s="284" t="n">
        <v>202</v>
      </c>
      <c r="N37" s="258" t="n">
        <f aca="false">1.8299*1.03</f>
        <v>1.884797</v>
      </c>
      <c r="O37" s="141" t="n">
        <f aca="false">(32+34)*1.05</f>
        <v>69.3</v>
      </c>
      <c r="P37" s="258" t="n">
        <v>0</v>
      </c>
      <c r="Q37" s="258" t="n">
        <f aca="false">2.73*1.02</f>
        <v>2.7846</v>
      </c>
      <c r="R37" s="258" t="n">
        <v>4.2</v>
      </c>
      <c r="S37" s="380" t="n">
        <v>2.1</v>
      </c>
      <c r="T37" s="456" t="n">
        <v>0</v>
      </c>
      <c r="U37" s="141" t="n">
        <v>83</v>
      </c>
      <c r="V37" s="141" t="n">
        <v>78</v>
      </c>
      <c r="W37" s="141" t="n">
        <f aca="false">M37-(N37-AQ37)-O37-P37-Q37-R37-S37-T37+U37+V37-AQ37</f>
        <v>282.730603</v>
      </c>
      <c r="X37" s="115" t="n">
        <f aca="false">X36-(W37-I37)-Q37-R37-AB37-(AO37/1.9835)</f>
        <v>3765.6279686759</v>
      </c>
      <c r="Y37" s="115" t="n">
        <f aca="false">Y36+AP37</f>
        <v>2685.15</v>
      </c>
      <c r="Z37" s="115" t="n">
        <f aca="false">Z36</f>
        <v>701.789765565919</v>
      </c>
      <c r="AA37" s="141" t="n">
        <v>173</v>
      </c>
      <c r="AB37" s="284" t="n">
        <v>1.7</v>
      </c>
      <c r="AC37" s="285" t="n">
        <v>1.3</v>
      </c>
      <c r="AD37" s="548" t="n">
        <v>78</v>
      </c>
      <c r="AE37" s="497" t="n">
        <f aca="false">AE36-AD37</f>
        <v>10799.823072851</v>
      </c>
      <c r="AF37" s="140" t="n">
        <f aca="false">N37+O37+P37+Q37+R37+S37+T37+W37+AA37+AD37</f>
        <v>614</v>
      </c>
      <c r="AG37" s="141" t="n">
        <f aca="false">IF(L37&lt;0,L37*-1,0)</f>
        <v>0</v>
      </c>
      <c r="AH37" s="141" t="n">
        <f aca="false">AF37+AG37</f>
        <v>614</v>
      </c>
      <c r="AI37" s="392" t="n">
        <v>0.02</v>
      </c>
      <c r="AJ37" s="264" t="n">
        <v>86</v>
      </c>
      <c r="AK37" s="265" t="n">
        <v>58</v>
      </c>
      <c r="AL37" s="264" t="n">
        <f aca="false">AL36</f>
        <v>10571</v>
      </c>
      <c r="AM37" s="264"/>
      <c r="AN37" s="457"/>
      <c r="AO37" s="258" t="n">
        <f aca="false">60.3*(X36*1.9835+Y36*1.9835+Z36*1.9835)/E37</f>
        <v>4.66606162659668</v>
      </c>
      <c r="AP37" s="458"/>
      <c r="AQ37" s="40" t="n">
        <v>1.09</v>
      </c>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86" t="n">
        <f aca="false">A37+1</f>
        <v>27</v>
      </c>
      <c r="B38" s="114" t="n">
        <v>6913.22</v>
      </c>
      <c r="C38" s="115" t="n">
        <v>335025</v>
      </c>
      <c r="D38" s="264" t="n">
        <f aca="false">C38-C37</f>
        <v>-740</v>
      </c>
      <c r="E38" s="115" t="n">
        <f aca="false">C38-152000</f>
        <v>183025</v>
      </c>
      <c r="F38" s="283" t="n">
        <f aca="false">D38/$D$2</f>
        <v>-373.077892614066</v>
      </c>
      <c r="G38" s="141" t="n">
        <v>288</v>
      </c>
      <c r="H38" s="261" t="n">
        <v>0.27</v>
      </c>
      <c r="I38" s="141" t="n">
        <f aca="false">G38+H38</f>
        <v>288.27</v>
      </c>
      <c r="J38" s="261" t="n">
        <f aca="false">IF(L38&gt;0,L38,0)</f>
        <v>0</v>
      </c>
      <c r="K38" s="141" t="n">
        <f aca="false">I38+J38</f>
        <v>288.27</v>
      </c>
      <c r="L38" s="141" t="n">
        <f aca="false">F38-(I38-AF38)</f>
        <v>-29.347892614066</v>
      </c>
      <c r="M38" s="284" t="n">
        <v>221</v>
      </c>
      <c r="N38" s="258" t="n">
        <f aca="false">1.8299*1.03</f>
        <v>1.884797</v>
      </c>
      <c r="O38" s="141" t="n">
        <f aca="false">(38+39)*1.05</f>
        <v>80.85</v>
      </c>
      <c r="P38" s="258" t="n">
        <v>0</v>
      </c>
      <c r="Q38" s="258" t="n">
        <f aca="false">2.73*1.02</f>
        <v>2.7846</v>
      </c>
      <c r="R38" s="258" t="n">
        <v>4.2</v>
      </c>
      <c r="S38" s="380" t="n">
        <v>3.15</v>
      </c>
      <c r="T38" s="456" t="n">
        <v>0</v>
      </c>
      <c r="U38" s="141" t="n">
        <v>83</v>
      </c>
      <c r="V38" s="141" t="n">
        <v>78</v>
      </c>
      <c r="W38" s="141" t="n">
        <f aca="false">M38-(N38-AQ38)-O38-P38-Q38-R38-S38-T38+U38+V38-AQ38</f>
        <v>289.130603</v>
      </c>
      <c r="X38" s="115" t="n">
        <f aca="false">X37-(W38-I38)-Q38-R38-AB38-(AO38/1.9835)</f>
        <v>3753.72625790715</v>
      </c>
      <c r="Y38" s="115" t="n">
        <f aca="false">Y37+AP38</f>
        <v>2685.15</v>
      </c>
      <c r="Z38" s="115" t="n">
        <f aca="false">Z37</f>
        <v>701.789765565919</v>
      </c>
      <c r="AA38" s="141" t="n">
        <v>172</v>
      </c>
      <c r="AB38" s="284" t="n">
        <v>1.7</v>
      </c>
      <c r="AC38" s="285" t="n">
        <v>1.3</v>
      </c>
      <c r="AD38" s="548" t="n">
        <v>78</v>
      </c>
      <c r="AE38" s="497" t="n">
        <f aca="false">AE37-AD38</f>
        <v>10721.823072851</v>
      </c>
      <c r="AF38" s="140" t="n">
        <f aca="false">N38+O38+P38+Q38+R38+S38+T38+W38+AA38+AD38</f>
        <v>632</v>
      </c>
      <c r="AG38" s="141" t="n">
        <f aca="false">IF(L38&lt;0,L38*-1,0)</f>
        <v>29.347892614066</v>
      </c>
      <c r="AH38" s="141" t="n">
        <f aca="false">AF38+AG38</f>
        <v>661.347892614066</v>
      </c>
      <c r="AI38" s="392" t="n">
        <v>0.03</v>
      </c>
      <c r="AJ38" s="264" t="n">
        <v>81</v>
      </c>
      <c r="AK38" s="265" t="n">
        <v>55</v>
      </c>
      <c r="AL38" s="264" t="n">
        <f aca="false">AL37</f>
        <v>10571</v>
      </c>
      <c r="AM38" s="264"/>
      <c r="AN38" s="457"/>
      <c r="AO38" s="258" t="n">
        <f aca="false">60.3*(X37*1.9835+Y37*1.9835+Z37*1.9835)/E38</f>
        <v>4.67413315930818</v>
      </c>
      <c r="AP38" s="458"/>
      <c r="AQ38" s="14" t="n">
        <v>1.09</v>
      </c>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86" t="n">
        <f aca="false">A38+1</f>
        <v>28</v>
      </c>
      <c r="B39" s="114" t="n">
        <v>6913.23</v>
      </c>
      <c r="C39" s="115" t="n">
        <v>335066</v>
      </c>
      <c r="D39" s="264" t="n">
        <f aca="false">C39-C38</f>
        <v>41</v>
      </c>
      <c r="E39" s="115" t="n">
        <f aca="false">C39-152000</f>
        <v>183066</v>
      </c>
      <c r="F39" s="283" t="n">
        <f aca="false">D39/$D$2</f>
        <v>20.6705318880766</v>
      </c>
      <c r="G39" s="141" t="n">
        <v>552</v>
      </c>
      <c r="H39" s="261" t="n">
        <v>0.18</v>
      </c>
      <c r="I39" s="141" t="n">
        <f aca="false">G39+H39</f>
        <v>552.18</v>
      </c>
      <c r="J39" s="261" t="n">
        <f aca="false">IF(L39&gt;0,L39,0)</f>
        <v>24.4905318880767</v>
      </c>
      <c r="K39" s="141" t="n">
        <f aca="false">I39+J39</f>
        <v>576.670531888077</v>
      </c>
      <c r="L39" s="141" t="n">
        <f aca="false">F39-(I39-AF39)</f>
        <v>24.4905318880767</v>
      </c>
      <c r="M39" s="284" t="n">
        <v>205</v>
      </c>
      <c r="N39" s="258" t="n">
        <f aca="false">1.8299*1.03</f>
        <v>1.884797</v>
      </c>
      <c r="O39" s="141" t="n">
        <f aca="false">(43+42)*1.05</f>
        <v>89.25</v>
      </c>
      <c r="P39" s="258" t="n">
        <v>0</v>
      </c>
      <c r="Q39" s="258" t="n">
        <f aca="false">2.73*1.02</f>
        <v>2.7846</v>
      </c>
      <c r="R39" s="258" t="n">
        <v>4.2</v>
      </c>
      <c r="S39" s="380" t="n">
        <v>2.54</v>
      </c>
      <c r="T39" s="456" t="n">
        <v>0</v>
      </c>
      <c r="U39" s="141" t="n">
        <v>84</v>
      </c>
      <c r="V39" s="141" t="n">
        <v>77</v>
      </c>
      <c r="W39" s="141" t="n">
        <f aca="false">M39-(N39-AQ39)-O39-P39-Q39-R39-S39-T39+U39+V39-AQ39</f>
        <v>265.340603</v>
      </c>
      <c r="X39" s="115" t="n">
        <f aca="false">X38-(AO39/1.9835)</f>
        <v>3751.3741982062</v>
      </c>
      <c r="Y39" s="115" t="n">
        <f aca="false">Y38+AP39</f>
        <v>2685.15</v>
      </c>
      <c r="Z39" s="115" t="n">
        <f aca="false">Z38</f>
        <v>701.789765565919</v>
      </c>
      <c r="AA39" s="141" t="n">
        <v>112</v>
      </c>
      <c r="AB39" s="284" t="n">
        <v>1.7</v>
      </c>
      <c r="AC39" s="285" t="n">
        <v>1.3</v>
      </c>
      <c r="AD39" s="548" t="n">
        <v>78</v>
      </c>
      <c r="AE39" s="497" t="n">
        <f aca="false">AE38-AD39</f>
        <v>10643.823072851</v>
      </c>
      <c r="AF39" s="140" t="n">
        <f aca="false">N39+O39+P39+Q39+R39+S39+T39+W39+AA39+AD39</f>
        <v>556</v>
      </c>
      <c r="AG39" s="141" t="n">
        <f aca="false">IF(L39&lt;0,L39*-1,0)</f>
        <v>0</v>
      </c>
      <c r="AH39" s="141" t="n">
        <f aca="false">AF39+AG39</f>
        <v>556</v>
      </c>
      <c r="AI39" s="392" t="n">
        <v>0.14</v>
      </c>
      <c r="AJ39" s="264" t="n">
        <v>81</v>
      </c>
      <c r="AK39" s="265" t="n">
        <v>56</v>
      </c>
      <c r="AL39" s="264" t="n">
        <f aca="false">AL38</f>
        <v>10571</v>
      </c>
      <c r="AM39" s="264"/>
      <c r="AN39" s="457" t="n">
        <v>110.9</v>
      </c>
      <c r="AO39" s="258" t="n">
        <f aca="false">60.3*(X38*1.9835+Y38*1.9835+Z38*1.9835+AN38*1.9835)/E39</f>
        <v>4.66531041684856</v>
      </c>
      <c r="AP39" s="458"/>
      <c r="AQ39" s="14" t="n">
        <v>1.09</v>
      </c>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86" t="n">
        <f aca="false">A39+1</f>
        <v>29</v>
      </c>
      <c r="B40" s="114" t="n">
        <v>6913.29</v>
      </c>
      <c r="C40" s="115" t="n">
        <v>335313</v>
      </c>
      <c r="D40" s="264" t="n">
        <f aca="false">C40-C39</f>
        <v>247</v>
      </c>
      <c r="E40" s="115" t="n">
        <f aca="false">C40-152000</f>
        <v>183313</v>
      </c>
      <c r="F40" s="283" t="n">
        <f aca="false">D40/$D$2</f>
        <v>124.527350642803</v>
      </c>
      <c r="G40" s="141" t="n">
        <v>655</v>
      </c>
      <c r="H40" s="261" t="n">
        <v>0.15</v>
      </c>
      <c r="I40" s="141" t="n">
        <f aca="false">G40+H40</f>
        <v>655.15</v>
      </c>
      <c r="J40" s="261" t="n">
        <f aca="false">IF(L40&gt;0,L40,0)</f>
        <v>0</v>
      </c>
      <c r="K40" s="141" t="n">
        <f aca="false">I40+J40</f>
        <v>655.15</v>
      </c>
      <c r="L40" s="141" t="n">
        <f aca="false">F40-(I40-AF40)</f>
        <v>-50.6226493571968</v>
      </c>
      <c r="M40" s="284" t="n">
        <v>183</v>
      </c>
      <c r="N40" s="258" t="n">
        <f aca="false">1.8299*1.03</f>
        <v>1.884797</v>
      </c>
      <c r="O40" s="141" t="n">
        <f aca="false">(36+36)*1.05</f>
        <v>75.6</v>
      </c>
      <c r="P40" s="258" t="n">
        <v>0</v>
      </c>
      <c r="Q40" s="258" t="n">
        <f aca="false">2.73*1.02</f>
        <v>2.7846</v>
      </c>
      <c r="R40" s="258" t="n">
        <v>4.2</v>
      </c>
      <c r="S40" s="380" t="n">
        <v>0.75</v>
      </c>
      <c r="T40" s="456" t="n">
        <v>0</v>
      </c>
      <c r="U40" s="141" t="n">
        <v>84</v>
      </c>
      <c r="V40" s="141" t="n">
        <v>75</v>
      </c>
      <c r="W40" s="141" t="n">
        <f aca="false">M40-(N40-AQ40)-O40-P40-Q40-R40-S40-T40+U40+V40-AQ40</f>
        <v>256.780603</v>
      </c>
      <c r="X40" s="115" t="n">
        <f aca="false">X39-(AO40/1.9835)</f>
        <v>3748.9896013581</v>
      </c>
      <c r="Y40" s="115" t="n">
        <f aca="false">Y39+AP40</f>
        <v>2685.15</v>
      </c>
      <c r="Z40" s="115" t="n">
        <f aca="false">Z39</f>
        <v>701.789765565919</v>
      </c>
      <c r="AA40" s="141" t="n">
        <v>60</v>
      </c>
      <c r="AB40" s="284" t="n">
        <v>1.7</v>
      </c>
      <c r="AC40" s="285" t="n">
        <v>1.3</v>
      </c>
      <c r="AD40" s="548" t="n">
        <v>78</v>
      </c>
      <c r="AE40" s="497" t="n">
        <f aca="false">AE39-AD40</f>
        <v>10565.823072851</v>
      </c>
      <c r="AF40" s="140" t="n">
        <f aca="false">N40+O40+P40+Q40+R40+S40+T40+W40+AA40+AD40</f>
        <v>480</v>
      </c>
      <c r="AG40" s="141" t="n">
        <f aca="false">IF(L40&lt;0,L40*-1,0)</f>
        <v>50.6226493571968</v>
      </c>
      <c r="AH40" s="141" t="n">
        <f aca="false">AF40+AG40</f>
        <v>530.622649357197</v>
      </c>
      <c r="AI40" s="392" t="n">
        <v>0.04</v>
      </c>
      <c r="AJ40" s="266" t="n">
        <v>82</v>
      </c>
      <c r="AK40" s="265" t="n">
        <v>57</v>
      </c>
      <c r="AL40" s="264" t="n">
        <f aca="false">AL39</f>
        <v>10571</v>
      </c>
      <c r="AM40" s="264"/>
      <c r="AN40" s="457" t="n">
        <f aca="false">AN39+96.5</f>
        <v>207.4</v>
      </c>
      <c r="AO40" s="258" t="n">
        <f aca="false">60.3*(X39*1.9835+Y39*1.9835+Z39*1.9835+AN39*1.9835)/E40</f>
        <v>4.72984784820314</v>
      </c>
      <c r="AP40" s="458"/>
      <c r="AQ40" s="14" t="n">
        <v>1.09</v>
      </c>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86" t="n">
        <v>30</v>
      </c>
      <c r="B41" s="114" t="n">
        <v>6913.24</v>
      </c>
      <c r="C41" s="115" t="n">
        <v>335108</v>
      </c>
      <c r="D41" s="264" t="n">
        <f aca="false">C41-C40</f>
        <v>-205</v>
      </c>
      <c r="E41" s="115" t="n">
        <f aca="false">C41-152000</f>
        <v>183108</v>
      </c>
      <c r="F41" s="283" t="n">
        <f aca="false">D41/$D$2</f>
        <v>-103.352659440383</v>
      </c>
      <c r="G41" s="141" t="n">
        <v>436</v>
      </c>
      <c r="H41" s="261" t="n">
        <v>0.11</v>
      </c>
      <c r="I41" s="141" t="n">
        <f aca="false">G41+H41</f>
        <v>436.11</v>
      </c>
      <c r="J41" s="261" t="n">
        <f aca="false">IF(L41&gt;0,L41,0)</f>
        <v>11.5373405596168</v>
      </c>
      <c r="K41" s="141" t="n">
        <f aca="false">I41+J41</f>
        <v>447.647340559617</v>
      </c>
      <c r="L41" s="141" t="n">
        <f aca="false">F41-(I41-AF41)</f>
        <v>11.5373405596168</v>
      </c>
      <c r="M41" s="284" t="n">
        <v>221</v>
      </c>
      <c r="N41" s="258" t="n">
        <f aca="false">1.8299*1.03</f>
        <v>1.884797</v>
      </c>
      <c r="O41" s="141" t="n">
        <f aca="false">(39+39)*1.05</f>
        <v>81.9</v>
      </c>
      <c r="P41" s="258" t="n">
        <v>0</v>
      </c>
      <c r="Q41" s="258" t="n">
        <f aca="false">2.73*1.02</f>
        <v>2.7846</v>
      </c>
      <c r="R41" s="258" t="n">
        <v>4.2</v>
      </c>
      <c r="S41" s="380" t="n">
        <v>3.27</v>
      </c>
      <c r="T41" s="456" t="n">
        <v>0</v>
      </c>
      <c r="U41" s="141" t="n">
        <v>84</v>
      </c>
      <c r="V41" s="141" t="n">
        <v>72</v>
      </c>
      <c r="W41" s="141" t="n">
        <f aca="false">M41-(N41-AQ41)-O41-P41-Q41-R41-S41-T41+U41+V41-AQ41</f>
        <v>282.960603</v>
      </c>
      <c r="X41" s="115" t="n">
        <f aca="false">X40-(AO41/1.9835)</f>
        <v>3746.57134131034</v>
      </c>
      <c r="Y41" s="115" t="n">
        <f aca="false">Y40+AP41</f>
        <v>2685.15</v>
      </c>
      <c r="Z41" s="115" t="n">
        <f aca="false">Z40</f>
        <v>701.789765565919</v>
      </c>
      <c r="AA41" s="141" t="n">
        <v>96</v>
      </c>
      <c r="AB41" s="284" t="n">
        <v>1.7</v>
      </c>
      <c r="AC41" s="285" t="n">
        <v>1.3</v>
      </c>
      <c r="AD41" s="548" t="n">
        <v>78</v>
      </c>
      <c r="AE41" s="497" t="n">
        <f aca="false">AE40-AD41</f>
        <v>10487.823072851</v>
      </c>
      <c r="AF41" s="140" t="n">
        <f aca="false">N41+O41+P41+Q41+R41+S41+T41+W41+AA41+AD41</f>
        <v>551</v>
      </c>
      <c r="AG41" s="141" t="n">
        <f aca="false">IF(L41&lt;0,L41*-1,0)</f>
        <v>0</v>
      </c>
      <c r="AH41" s="141" t="n">
        <f aca="false">AF41+AG41</f>
        <v>551</v>
      </c>
      <c r="AI41" s="392" t="n">
        <v>0.13</v>
      </c>
      <c r="AJ41" s="266" t="n">
        <v>83</v>
      </c>
      <c r="AK41" s="265" t="n">
        <v>58</v>
      </c>
      <c r="AL41" s="264" t="n">
        <f aca="false">AL40</f>
        <v>10571</v>
      </c>
      <c r="AM41" s="264"/>
      <c r="AN41" s="457" t="n">
        <f aca="false">AN40+82.8</f>
        <v>290.2</v>
      </c>
      <c r="AO41" s="258" t="n">
        <f aca="false">60.3*(X40*1.9835+Y40*1.9835+Z40*1.9835+AN40*1.9835)/E41</f>
        <v>4.796618804735</v>
      </c>
      <c r="AP41" s="458"/>
      <c r="AQ41" s="14" t="n">
        <v>1.09</v>
      </c>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186" t="n">
        <v>31</v>
      </c>
      <c r="B42" s="114" t="n">
        <v>6913.13</v>
      </c>
      <c r="C42" s="115" t="n">
        <v>334655</v>
      </c>
      <c r="D42" s="264" t="n">
        <f aca="false">C42-C41</f>
        <v>-453</v>
      </c>
      <c r="E42" s="115" t="n">
        <f aca="false">C42-152000</f>
        <v>182655</v>
      </c>
      <c r="F42" s="283" t="n">
        <f aca="false">D42/$D$2</f>
        <v>-228.38416939753</v>
      </c>
      <c r="G42" s="141" t="n">
        <v>373</v>
      </c>
      <c r="H42" s="261" t="n">
        <v>0.11</v>
      </c>
      <c r="I42" s="141" t="n">
        <f aca="false">G42+H42</f>
        <v>373.11</v>
      </c>
      <c r="J42" s="261" t="n">
        <f aca="false">IF(L42&gt;0,L42,0)</f>
        <v>3.50583060247038</v>
      </c>
      <c r="K42" s="141" t="n">
        <f aca="false">I42+J42</f>
        <v>376.61583060247</v>
      </c>
      <c r="L42" s="141" t="n">
        <f aca="false">F42-(I42-AF42)</f>
        <v>3.50583060247038</v>
      </c>
      <c r="M42" s="284" t="n">
        <v>194</v>
      </c>
      <c r="N42" s="258" t="n">
        <f aca="false">1.8299*1.03</f>
        <v>1.884797</v>
      </c>
      <c r="O42" s="141" t="n">
        <f aca="false">(37+39)*1.05</f>
        <v>79.8</v>
      </c>
      <c r="P42" s="258" t="n">
        <v>0</v>
      </c>
      <c r="Q42" s="258" t="n">
        <f aca="false">2.73*1.02</f>
        <v>2.7846</v>
      </c>
      <c r="R42" s="258" t="n">
        <v>4.2</v>
      </c>
      <c r="S42" s="380" t="n">
        <v>0.96</v>
      </c>
      <c r="T42" s="456" t="n">
        <v>0</v>
      </c>
      <c r="U42" s="141" t="n">
        <v>155</v>
      </c>
      <c r="V42" s="141" t="n">
        <v>71</v>
      </c>
      <c r="W42" s="141" t="n">
        <f aca="false">M42-(N42-AQ42)-O42-P42-Q42-R42-S42-T42+U42+V42-AQ42</f>
        <v>330.370603</v>
      </c>
      <c r="X42" s="115" t="n">
        <f aca="false">X41-(AO42/1.9835)</f>
        <v>3744.12054730117</v>
      </c>
      <c r="Y42" s="115" t="n">
        <f aca="false">Y41+AP42</f>
        <v>2685.15</v>
      </c>
      <c r="Z42" s="115" t="n">
        <f aca="false">Z41</f>
        <v>701.789765565919</v>
      </c>
      <c r="AA42" s="141" t="n">
        <v>106</v>
      </c>
      <c r="AB42" s="284" t="n">
        <v>1.7</v>
      </c>
      <c r="AC42" s="285" t="n">
        <v>1.3</v>
      </c>
      <c r="AD42" s="548" t="n">
        <v>79</v>
      </c>
      <c r="AE42" s="497" t="n">
        <f aca="false">AE41-AD42</f>
        <v>10408.823072851</v>
      </c>
      <c r="AF42" s="140" t="n">
        <f aca="false">N42+O42+P42+Q42+R42+S42+T42+W42+AA42+AD42</f>
        <v>605</v>
      </c>
      <c r="AG42" s="141" t="n">
        <f aca="false">IF(L42&lt;0,L42*-1,0)</f>
        <v>0</v>
      </c>
      <c r="AH42" s="141" t="n">
        <f aca="false">AF42+AG42</f>
        <v>605</v>
      </c>
      <c r="AI42" s="392" t="n">
        <v>0.01</v>
      </c>
      <c r="AJ42" s="266" t="n">
        <v>85</v>
      </c>
      <c r="AK42" s="265" t="n">
        <v>56</v>
      </c>
      <c r="AL42" s="264" t="n">
        <f aca="false">AL41</f>
        <v>10571</v>
      </c>
      <c r="AM42" s="264"/>
      <c r="AN42" s="457" t="n">
        <f aca="false">AN41+4.1</f>
        <v>294.3</v>
      </c>
      <c r="AO42" s="258" t="n">
        <f aca="false">60.3*(X41*1.9835+Y41*1.9835+Z41*1.9835+AN41*1.9835)/E42</f>
        <v>4.86114991718535</v>
      </c>
      <c r="AP42" s="458"/>
      <c r="AQ42" s="40" t="n">
        <v>1.09</v>
      </c>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 hidden="false" customHeight="true" outlineLevel="0" collapsed="false">
      <c r="A43" s="270"/>
      <c r="B43" s="287"/>
      <c r="C43" s="272"/>
      <c r="D43" s="273"/>
      <c r="E43" s="272"/>
      <c r="F43" s="274"/>
      <c r="G43" s="273"/>
      <c r="H43" s="278"/>
      <c r="I43" s="273"/>
      <c r="J43" s="273"/>
      <c r="K43" s="273"/>
      <c r="L43" s="273"/>
      <c r="M43" s="276"/>
      <c r="N43" s="273"/>
      <c r="O43" s="273"/>
      <c r="P43" s="275"/>
      <c r="Q43" s="273"/>
      <c r="R43" s="273"/>
      <c r="S43" s="273"/>
      <c r="T43" s="277"/>
      <c r="U43" s="273"/>
      <c r="V43" s="273"/>
      <c r="W43" s="273"/>
      <c r="X43" s="272"/>
      <c r="Y43" s="272"/>
      <c r="Z43" s="272"/>
      <c r="AA43" s="273"/>
      <c r="AB43" s="276"/>
      <c r="AC43" s="279"/>
      <c r="AD43" s="273"/>
      <c r="AE43" s="273"/>
      <c r="AF43" s="273"/>
      <c r="AG43" s="273"/>
      <c r="AH43" s="273"/>
      <c r="AI43" s="547"/>
      <c r="AJ43" s="281"/>
      <c r="AK43" s="282"/>
      <c r="AL43" s="281"/>
      <c r="AM43" s="281"/>
      <c r="AN43" s="278"/>
      <c r="AO43" s="278"/>
      <c r="AP43" s="275"/>
      <c r="AQ43" s="275"/>
    </row>
    <row r="44" customFormat="false" ht="12.95" hidden="false" customHeight="true" outlineLevel="0" collapsed="false">
      <c r="A44" s="187" t="s">
        <v>77</v>
      </c>
      <c r="B44" s="256"/>
      <c r="C44" s="115"/>
      <c r="D44" s="115"/>
      <c r="E44" s="115"/>
      <c r="F44" s="257" t="n">
        <f aca="false">SUM(F12:F42)</f>
        <v>-17673.3047643055</v>
      </c>
      <c r="G44" s="115" t="n">
        <f aca="false">SUM(G12:G42)</f>
        <v>8248</v>
      </c>
      <c r="H44" s="264" t="n">
        <f aca="false">SUM(H12:H42)</f>
        <v>1.43</v>
      </c>
      <c r="I44" s="115" t="n">
        <f aca="false">SUM(I12:I42)</f>
        <v>8249.43</v>
      </c>
      <c r="J44" s="115" t="n">
        <f aca="false">SUM(J12:J42)</f>
        <v>182.54972775397</v>
      </c>
      <c r="K44" s="115" t="n">
        <f aca="false">SUM(K12:K42)</f>
        <v>8431.97972775397</v>
      </c>
      <c r="L44" s="115" t="n">
        <f aca="false">SUM(L12:L42)</f>
        <v>-1230.73476430552</v>
      </c>
      <c r="M44" s="259" t="n">
        <f aca="false">SUM(M12:M42)</f>
        <v>8860</v>
      </c>
      <c r="N44" s="115" t="n">
        <f aca="false">SUM(N12:N42)</f>
        <v>58.428707</v>
      </c>
      <c r="O44" s="115" t="n">
        <f aca="false">SUM(O12:O42)</f>
        <v>2705.85</v>
      </c>
      <c r="P44" s="258" t="n">
        <f aca="false">SUM(P12:P42)</f>
        <v>0</v>
      </c>
      <c r="Q44" s="115" t="n">
        <f aca="false">SUM(Q12:Q42)</f>
        <v>86.3226</v>
      </c>
      <c r="R44" s="115" t="n">
        <f aca="false">SUM(R12:R42)</f>
        <v>130.04</v>
      </c>
      <c r="S44" s="115" t="n">
        <f aca="false">SUM(S12:S42)</f>
        <v>86.43</v>
      </c>
      <c r="T44" s="260" t="n">
        <f aca="false">SUM(T12:T42)</f>
        <v>0</v>
      </c>
      <c r="U44" s="115" t="n">
        <f aca="false">SUM(U12:U42)</f>
        <v>3680</v>
      </c>
      <c r="V44" s="115" t="n">
        <f aca="false">SUM(V12:V42)</f>
        <v>2514</v>
      </c>
      <c r="W44" s="115" t="n">
        <f aca="false">SUM(W12:W42)</f>
        <v>11986.928693</v>
      </c>
      <c r="X44" s="115"/>
      <c r="Y44" s="115"/>
      <c r="Z44" s="115"/>
      <c r="AA44" s="115" t="n">
        <f aca="false">SUM(AA12:AA42)</f>
        <v>7295</v>
      </c>
      <c r="AB44" s="551" t="n">
        <f aca="false">SUM(AB12:AB42)</f>
        <v>52.7</v>
      </c>
      <c r="AC44" s="552" t="n">
        <f aca="false">SUM(AC12:AC42)</f>
        <v>40.3</v>
      </c>
      <c r="AD44" s="115" t="n">
        <f aca="false">SUM(AD12:AD42)</f>
        <v>2343</v>
      </c>
      <c r="AE44" s="115"/>
      <c r="AF44" s="115" t="n">
        <f aca="false">SUM(AF12:AF42)</f>
        <v>24692</v>
      </c>
      <c r="AG44" s="115" t="n">
        <f aca="false">SUM(AG12:AG42)</f>
        <v>1413.28449205949</v>
      </c>
      <c r="AH44" s="115" t="n">
        <f aca="false">SUM(AH12:AH42)</f>
        <v>26105.2844920595</v>
      </c>
      <c r="AI44" s="392" t="n">
        <f aca="false">SUM(AI12:AI43)</f>
        <v>1.02</v>
      </c>
      <c r="AJ44" s="264" t="n">
        <f aca="false">AVERAGE(AJ12:AJ42)</f>
        <v>87.5483870967742</v>
      </c>
      <c r="AK44" s="265" t="n">
        <f aca="false">AVERAGE(AK12:AK42)</f>
        <v>54.8709677419355</v>
      </c>
      <c r="AL44" s="264" t="s">
        <v>108</v>
      </c>
      <c r="AM44" s="115" t="n">
        <f aca="false">SUM(AM12:AM42)</f>
        <v>0</v>
      </c>
      <c r="AN44" s="115" t="n">
        <f aca="false">AN42</f>
        <v>294.3</v>
      </c>
      <c r="AO44" s="553"/>
      <c r="AP44" s="258" t="n">
        <f aca="false">SUM(AP12:AP42)</f>
        <v>935.77</v>
      </c>
      <c r="AQ44" s="258" t="n">
        <f aca="false">SUM(AQ12:AQ42)</f>
        <v>20.02</v>
      </c>
    </row>
    <row r="45" customFormat="false" ht="12.95" hidden="false" customHeight="true" outlineLevel="0" collapsed="false">
      <c r="A45" s="187" t="s">
        <v>79</v>
      </c>
      <c r="B45" s="256"/>
      <c r="C45" s="115"/>
      <c r="D45" s="115" t="n">
        <f aca="false">SUM(D12:D42)</f>
        <v>-35055</v>
      </c>
      <c r="E45" s="115"/>
      <c r="F45" s="257" t="n">
        <f aca="false">F44*$D$2</f>
        <v>-35055</v>
      </c>
      <c r="G45" s="115" t="n">
        <f aca="false">G44*$D$2</f>
        <v>16359.908</v>
      </c>
      <c r="H45" s="264" t="n">
        <f aca="false">H44*$D$2</f>
        <v>2.836405</v>
      </c>
      <c r="I45" s="115" t="n">
        <f aca="false">I44*$D$2</f>
        <v>16362.744405</v>
      </c>
      <c r="J45" s="115" t="n">
        <f aca="false">J44*$D$2</f>
        <v>362.087385</v>
      </c>
      <c r="K45" s="115" t="n">
        <f aca="false">K44*$D$2</f>
        <v>16724.83179</v>
      </c>
      <c r="L45" s="115" t="n">
        <f aca="false">L44*$D$2</f>
        <v>-2441.162405</v>
      </c>
      <c r="M45" s="259" t="n">
        <f aca="false">M44*$D$2</f>
        <v>17573.81</v>
      </c>
      <c r="N45" s="115" t="n">
        <f aca="false">N44*$D$2</f>
        <v>115.8933403345</v>
      </c>
      <c r="O45" s="115" t="n">
        <f aca="false">O44*$D$2</f>
        <v>5367.053475</v>
      </c>
      <c r="P45" s="258" t="n">
        <f aca="false">P44*$D$2</f>
        <v>0</v>
      </c>
      <c r="Q45" s="115" t="n">
        <f aca="false">Q44*$D$2</f>
        <v>171.2208771</v>
      </c>
      <c r="R45" s="115" t="n">
        <f aca="false">R44*$D$2</f>
        <v>257.93434</v>
      </c>
      <c r="S45" s="115" t="n">
        <f aca="false">S44*$D$2</f>
        <v>171.433905</v>
      </c>
      <c r="T45" s="260" t="n">
        <f aca="false">T44*$D$2</f>
        <v>0</v>
      </c>
      <c r="U45" s="115" t="n">
        <f aca="false">U44*$D$2</f>
        <v>7299.28</v>
      </c>
      <c r="V45" s="115" t="n">
        <f aca="false">V44*$D$2</f>
        <v>4986.519</v>
      </c>
      <c r="W45" s="115" t="n">
        <f aca="false">W44*$D$2</f>
        <v>23776.0730625655</v>
      </c>
      <c r="X45" s="115"/>
      <c r="Y45" s="115"/>
      <c r="Z45" s="115"/>
      <c r="AA45" s="115" t="n">
        <f aca="false">AA44*$D$2</f>
        <v>14469.6325</v>
      </c>
      <c r="AB45" s="259" t="n">
        <f aca="false">AB44*$D$2</f>
        <v>104.53045</v>
      </c>
      <c r="AC45" s="262" t="n">
        <f aca="false">AC44*$D$2</f>
        <v>79.93505</v>
      </c>
      <c r="AD45" s="115" t="n">
        <f aca="false">AD44*$D$2</f>
        <v>4647.3405</v>
      </c>
      <c r="AE45" s="115"/>
      <c r="AF45" s="115" t="n">
        <f aca="false">AF44*$D$2</f>
        <v>48976.582</v>
      </c>
      <c r="AG45" s="115" t="n">
        <f aca="false">AG44*$D$2</f>
        <v>2803.24979</v>
      </c>
      <c r="AH45" s="115" t="n">
        <f aca="false">AH44*$D$2</f>
        <v>51779.83179</v>
      </c>
      <c r="AI45" s="392"/>
      <c r="AJ45" s="264" t="n">
        <f aca="false">MAX(AJ12:AJ42)</f>
        <v>96</v>
      </c>
      <c r="AK45" s="265" t="n">
        <f aca="false">MAX(AK12:AK42)</f>
        <v>62</v>
      </c>
      <c r="AL45" s="264" t="s">
        <v>80</v>
      </c>
      <c r="AM45" s="115" t="n">
        <f aca="false">AM44*$D$2</f>
        <v>0</v>
      </c>
      <c r="AN45" s="115" t="n">
        <f aca="false">AN44*$D$2</f>
        <v>583.74405</v>
      </c>
      <c r="AO45" s="553" t="n">
        <f aca="false">SUM(AO12:AO42)</f>
        <v>156.225947066194</v>
      </c>
      <c r="AP45" s="258" t="n">
        <f aca="false">AP44*$D$2</f>
        <v>1856.099795</v>
      </c>
      <c r="AQ45" s="258" t="n">
        <f aca="false">AQ44*$D$2</f>
        <v>39.70967</v>
      </c>
    </row>
    <row r="46" customFormat="false" ht="3" hidden="false" customHeight="true" outlineLevel="0" collapsed="false">
      <c r="A46" s="290"/>
      <c r="B46" s="287"/>
      <c r="C46" s="272"/>
      <c r="D46" s="272"/>
      <c r="E46" s="272"/>
      <c r="F46" s="291"/>
      <c r="G46" s="272"/>
      <c r="H46" s="281"/>
      <c r="I46" s="272"/>
      <c r="J46" s="272"/>
      <c r="K46" s="272"/>
      <c r="L46" s="272"/>
      <c r="M46" s="292"/>
      <c r="N46" s="272"/>
      <c r="O46" s="272"/>
      <c r="P46" s="275"/>
      <c r="Q46" s="272"/>
      <c r="R46" s="272"/>
      <c r="S46" s="272"/>
      <c r="T46" s="277"/>
      <c r="U46" s="272"/>
      <c r="V46" s="272"/>
      <c r="W46" s="272"/>
      <c r="X46" s="272"/>
      <c r="Y46" s="272"/>
      <c r="Z46" s="272"/>
      <c r="AA46" s="272"/>
      <c r="AB46" s="292"/>
      <c r="AC46" s="293"/>
      <c r="AD46" s="272"/>
      <c r="AE46" s="273"/>
      <c r="AF46" s="272"/>
      <c r="AG46" s="272"/>
      <c r="AH46" s="272"/>
      <c r="AI46" s="294"/>
      <c r="AJ46" s="272"/>
      <c r="AK46" s="291"/>
      <c r="AL46" s="272"/>
      <c r="AM46" s="272"/>
      <c r="AN46" s="278"/>
      <c r="AO46" s="275"/>
      <c r="AP46" s="275"/>
      <c r="AQ46" s="275"/>
    </row>
    <row r="47" customFormat="false" ht="12.95" hidden="false" customHeight="true" outlineLevel="0" collapsed="false">
      <c r="A47" s="187" t="s">
        <v>81</v>
      </c>
      <c r="B47" s="256"/>
      <c r="C47" s="115"/>
      <c r="D47" s="115"/>
      <c r="E47" s="115"/>
      <c r="F47" s="257" t="n">
        <f aca="false">F9+F44</f>
        <v>12536.9296697756</v>
      </c>
      <c r="G47" s="115" t="n">
        <f aca="false">G9+G44</f>
        <v>96190</v>
      </c>
      <c r="H47" s="264" t="n">
        <f aca="false">H9+H44</f>
        <v>2023.72</v>
      </c>
      <c r="I47" s="115" t="n">
        <f aca="false">I9+I44</f>
        <v>98213.72</v>
      </c>
      <c r="J47" s="115" t="n">
        <f aca="false">J9+J44</f>
        <v>6431.85252583816</v>
      </c>
      <c r="K47" s="115" t="n">
        <f aca="false">K9+K44</f>
        <v>104645.572525838</v>
      </c>
      <c r="L47" s="115" t="n">
        <f aca="false">L9+L44</f>
        <v>3395.21966977565</v>
      </c>
      <c r="M47" s="259" t="n">
        <f aca="false">M9+M44</f>
        <v>28658.3</v>
      </c>
      <c r="N47" s="115" t="n">
        <f aca="false">N9+N44</f>
        <v>229.945234</v>
      </c>
      <c r="O47" s="115" t="n">
        <f aca="false">O9+O44</f>
        <v>8690.6345</v>
      </c>
      <c r="P47" s="258" t="n">
        <f aca="false">P9+P44</f>
        <v>7.32</v>
      </c>
      <c r="Q47" s="115"/>
      <c r="R47" s="115"/>
      <c r="S47" s="115"/>
      <c r="T47" s="260"/>
      <c r="U47" s="115" t="n">
        <f aca="false">U9+U44</f>
        <v>14113</v>
      </c>
      <c r="V47" s="115" t="n">
        <f aca="false">V9+V44</f>
        <v>7102.8</v>
      </c>
      <c r="W47" s="115" t="n">
        <f aca="false">W9+W44</f>
        <v>39526.589066</v>
      </c>
      <c r="X47" s="410" t="n">
        <f aca="false">X42</f>
        <v>3744.12054730117</v>
      </c>
      <c r="Y47" s="410" t="n">
        <f aca="false">Y42</f>
        <v>2685.15</v>
      </c>
      <c r="Z47" s="410" t="n">
        <f aca="false">Z42</f>
        <v>701.789765565919</v>
      </c>
      <c r="AA47" s="115" t="n">
        <f aca="false">AA9+AA44</f>
        <v>16680.9</v>
      </c>
      <c r="AB47" s="259" t="n">
        <f aca="false">AB9+AB44</f>
        <v>207.4</v>
      </c>
      <c r="AC47" s="262" t="n">
        <f aca="false">AC9+AC44</f>
        <v>158.6</v>
      </c>
      <c r="AD47" s="115"/>
      <c r="AE47" s="410"/>
      <c r="AF47" s="115" t="n">
        <f aca="false">AF9+AF44</f>
        <v>89072.01</v>
      </c>
      <c r="AG47" s="115" t="n">
        <f aca="false">AG9+AG44</f>
        <v>3036.63285606251</v>
      </c>
      <c r="AH47" s="115" t="n">
        <f aca="false">AH9+AH44</f>
        <v>92108.6428560625</v>
      </c>
      <c r="AI47" s="392"/>
      <c r="AJ47" s="264" t="n">
        <f aca="false">MIN(AJ12:AJ42)</f>
        <v>77</v>
      </c>
      <c r="AK47" s="265" t="n">
        <f aca="false">MIN(AK12:AK42)</f>
        <v>47</v>
      </c>
      <c r="AL47" s="264" t="s">
        <v>82</v>
      </c>
      <c r="AM47" s="264"/>
      <c r="AN47" s="264" t="n">
        <f aca="false">AN44</f>
        <v>294.3</v>
      </c>
      <c r="AO47" s="553"/>
      <c r="AP47" s="258" t="n">
        <f aca="false">AP9+AP44</f>
        <v>1036.55</v>
      </c>
      <c r="AQ47" s="258" t="n">
        <f aca="false">AQ9+AQ44</f>
        <v>272.72</v>
      </c>
    </row>
    <row r="48" customFormat="false" ht="12.95" hidden="false" customHeight="true" outlineLevel="0" collapsed="false">
      <c r="A48" s="187" t="s">
        <v>83</v>
      </c>
      <c r="B48" s="256"/>
      <c r="C48" s="115"/>
      <c r="D48" s="115"/>
      <c r="E48" s="115"/>
      <c r="F48" s="257" t="n">
        <f aca="false">F47*$D$2</f>
        <v>24867</v>
      </c>
      <c r="G48" s="115" t="n">
        <f aca="false">G47*$D$2</f>
        <v>190792.865</v>
      </c>
      <c r="H48" s="264" t="n">
        <f aca="false">H47*$D$2</f>
        <v>4014.04862</v>
      </c>
      <c r="I48" s="115" t="n">
        <f aca="false">I47*$D$2</f>
        <v>194806.91362</v>
      </c>
      <c r="J48" s="115" t="n">
        <f aca="false">J47*$D$2</f>
        <v>12757.579485</v>
      </c>
      <c r="K48" s="115" t="n">
        <f aca="false">K47*$D$2</f>
        <v>207564.493105</v>
      </c>
      <c r="L48" s="115" t="n">
        <f aca="false">L47*$D$2</f>
        <v>6734.418215</v>
      </c>
      <c r="M48" s="259" t="n">
        <f aca="false">M47*$D$2</f>
        <v>56843.73805</v>
      </c>
      <c r="N48" s="115" t="n">
        <f aca="false">N47*$D$2</f>
        <v>456.096371639</v>
      </c>
      <c r="O48" s="115" t="n">
        <f aca="false">O47*$D$2</f>
        <v>17237.87353075</v>
      </c>
      <c r="P48" s="258" t="n">
        <f aca="false">P47*$D$2</f>
        <v>14.51922</v>
      </c>
      <c r="Q48" s="115"/>
      <c r="R48" s="115"/>
      <c r="S48" s="115"/>
      <c r="T48" s="260"/>
      <c r="U48" s="115" t="n">
        <f aca="false">U47*$D$2</f>
        <v>27993.1355</v>
      </c>
      <c r="V48" s="115" t="n">
        <f aca="false">V47*$D$2</f>
        <v>14088.4038</v>
      </c>
      <c r="W48" s="115" t="n">
        <f aca="false">W47*$D$2</f>
        <v>78400.989412411</v>
      </c>
      <c r="X48" s="115" t="n">
        <f aca="false">X47*$D$2</f>
        <v>7426.46310557187</v>
      </c>
      <c r="Y48" s="115" t="n">
        <f aca="false">Y47*$D$2</f>
        <v>5325.995025</v>
      </c>
      <c r="Z48" s="115" t="n">
        <f aca="false">Z47*$D$2</f>
        <v>1392</v>
      </c>
      <c r="AA48" s="115" t="n">
        <f aca="false">AA47*$D$2</f>
        <v>33086.56515</v>
      </c>
      <c r="AB48" s="259" t="n">
        <f aca="false">AB47*$D$2</f>
        <v>411.3779</v>
      </c>
      <c r="AC48" s="262" t="n">
        <f aca="false">AC47*$D$2</f>
        <v>314.5831</v>
      </c>
      <c r="AD48" s="115"/>
      <c r="AE48" s="115"/>
      <c r="AF48" s="115" t="n">
        <f aca="false">AF47*$D$2</f>
        <v>176674.331835</v>
      </c>
      <c r="AG48" s="115" t="n">
        <f aca="false">AG47*$D$2</f>
        <v>6023.16127</v>
      </c>
      <c r="AH48" s="115" t="n">
        <f aca="false">AH47*$D$2</f>
        <v>182697.493105</v>
      </c>
      <c r="AI48" s="392"/>
      <c r="AJ48" s="264"/>
      <c r="AK48" s="265"/>
      <c r="AL48" s="264"/>
      <c r="AM48" s="264"/>
      <c r="AN48" s="115" t="n">
        <f aca="false">AN47*$D$2</f>
        <v>583.74405</v>
      </c>
      <c r="AO48" s="553" t="n">
        <f aca="false">AO9+AO45</f>
        <v>807.18612176965</v>
      </c>
      <c r="AP48" s="258" t="n">
        <f aca="false">AP47*$D$2</f>
        <v>2055.996925</v>
      </c>
      <c r="AQ48" s="258" t="n">
        <f aca="false">AQ47*$D$2</f>
        <v>540.94012</v>
      </c>
    </row>
    <row r="49" customFormat="false" ht="3" hidden="false" customHeight="true" outlineLevel="0" collapsed="false">
      <c r="A49" s="290"/>
      <c r="B49" s="287"/>
      <c r="C49" s="272"/>
      <c r="D49" s="272"/>
      <c r="E49" s="272"/>
      <c r="F49" s="291"/>
      <c r="G49" s="272"/>
      <c r="H49" s="281"/>
      <c r="I49" s="272"/>
      <c r="J49" s="272"/>
      <c r="K49" s="272"/>
      <c r="L49" s="272"/>
      <c r="M49" s="292"/>
      <c r="N49" s="272"/>
      <c r="O49" s="272"/>
      <c r="P49" s="275"/>
      <c r="Q49" s="272"/>
      <c r="R49" s="272"/>
      <c r="S49" s="272"/>
      <c r="T49" s="277"/>
      <c r="U49" s="272"/>
      <c r="V49" s="272"/>
      <c r="W49" s="272"/>
      <c r="X49" s="272"/>
      <c r="Y49" s="272"/>
      <c r="Z49" s="272"/>
      <c r="AA49" s="272"/>
      <c r="AB49" s="292"/>
      <c r="AC49" s="293"/>
      <c r="AD49" s="272"/>
      <c r="AE49" s="272"/>
      <c r="AF49" s="272"/>
      <c r="AG49" s="272"/>
      <c r="AH49" s="272"/>
      <c r="AI49" s="547"/>
      <c r="AJ49" s="272"/>
      <c r="AK49" s="291"/>
      <c r="AL49" s="272"/>
      <c r="AM49" s="272"/>
      <c r="AN49" s="278"/>
      <c r="AO49" s="275"/>
      <c r="AP49" s="275"/>
      <c r="AQ49" s="275"/>
    </row>
    <row r="50" customFormat="false" ht="12.95" hidden="false" customHeight="true" outlineLevel="0" collapsed="false">
      <c r="A50" s="187" t="s">
        <v>84</v>
      </c>
      <c r="B50" s="256"/>
      <c r="C50" s="115"/>
      <c r="D50" s="115"/>
      <c r="E50" s="115"/>
      <c r="F50" s="257" t="n">
        <f aca="false">F10+F44</f>
        <v>32132.089740358</v>
      </c>
      <c r="G50" s="115" t="n">
        <f aca="false">G10+G44</f>
        <v>118811</v>
      </c>
      <c r="H50" s="264" t="n">
        <f aca="false">H10+H44</f>
        <v>3511.3</v>
      </c>
      <c r="I50" s="115" t="n">
        <f aca="false">I10+I44</f>
        <v>122322.3</v>
      </c>
      <c r="J50" s="115" t="n">
        <f aca="false">J10+J44</f>
        <v>13520.7868086715</v>
      </c>
      <c r="K50" s="115" t="n">
        <f aca="false">K10+K44</f>
        <v>135843.086808672</v>
      </c>
      <c r="L50" s="115" t="n">
        <f aca="false">L10+L44</f>
        <v>9143.29974035795</v>
      </c>
      <c r="M50" s="259" t="n">
        <f aca="false">M10+M44</f>
        <v>29654.7</v>
      </c>
      <c r="N50" s="115" t="n">
        <f aca="false">N10+N44</f>
        <v>229.945234</v>
      </c>
      <c r="O50" s="115" t="n">
        <f aca="false">O10+O44</f>
        <v>8690.6345</v>
      </c>
      <c r="P50" s="258"/>
      <c r="Q50" s="115" t="n">
        <f aca="false">Q10+Q44</f>
        <v>522.8112</v>
      </c>
      <c r="R50" s="115" t="n">
        <f aca="false">R10+R44</f>
        <v>895.873</v>
      </c>
      <c r="S50" s="115" t="n">
        <f aca="false">S10+S44</f>
        <v>230.28</v>
      </c>
      <c r="T50" s="260" t="n">
        <f aca="false">T10+T44</f>
        <v>-61.236</v>
      </c>
      <c r="U50" s="115" t="n">
        <f aca="false">U10+U44</f>
        <v>19488</v>
      </c>
      <c r="V50" s="115" t="n">
        <f aca="false">V10+V44</f>
        <v>7228.9</v>
      </c>
      <c r="W50" s="115" t="n">
        <f aca="false">W10+W44</f>
        <v>45163.604666</v>
      </c>
      <c r="X50" s="115"/>
      <c r="Y50" s="115"/>
      <c r="Z50" s="115"/>
      <c r="AA50" s="115"/>
      <c r="AB50" s="259"/>
      <c r="AC50" s="262"/>
      <c r="AD50" s="115" t="n">
        <f aca="false">AD10+AD44</f>
        <v>26561.61</v>
      </c>
      <c r="AE50" s="115" t="n">
        <f aca="false">AE42</f>
        <v>10408.823072851</v>
      </c>
      <c r="AF50" s="115" t="n">
        <f aca="false">AF10+AF44</f>
        <v>99333.51</v>
      </c>
      <c r="AG50" s="115" t="n">
        <f aca="false">AG10+AG44</f>
        <v>4377.48706831359</v>
      </c>
      <c r="AH50" s="115" t="n">
        <f aca="false">AH10+AH44</f>
        <v>103710.997068314</v>
      </c>
      <c r="AI50" s="392" t="n">
        <f aca="false">AI10+AI44</f>
        <v>7.89</v>
      </c>
      <c r="AJ50" s="264"/>
      <c r="AK50" s="265"/>
      <c r="AL50" s="264"/>
      <c r="AM50" s="115" t="n">
        <f aca="false">AM10+AM44</f>
        <v>264.7472</v>
      </c>
      <c r="AN50" s="261"/>
      <c r="AO50" s="553"/>
      <c r="AP50" s="553"/>
      <c r="AQ50" s="553"/>
    </row>
    <row r="51" customFormat="false" ht="12.95" hidden="false" customHeight="true" outlineLevel="0" collapsed="false">
      <c r="A51" s="187" t="s">
        <v>85</v>
      </c>
      <c r="B51" s="256"/>
      <c r="C51" s="115"/>
      <c r="D51" s="115" t="n">
        <f aca="false">D10+D45</f>
        <v>63734</v>
      </c>
      <c r="E51" s="115" t="n">
        <f aca="false">E42</f>
        <v>182655</v>
      </c>
      <c r="F51" s="257" t="n">
        <f aca="false">F50*$D$2</f>
        <v>63734</v>
      </c>
      <c r="G51" s="115" t="n">
        <f aca="false">G50*$D$2</f>
        <v>235661.6185</v>
      </c>
      <c r="H51" s="264" t="n">
        <f aca="false">H50*$D$2</f>
        <v>6964.66355</v>
      </c>
      <c r="I51" s="115" t="n">
        <f aca="false">I50*$D$2</f>
        <v>242626.28205</v>
      </c>
      <c r="J51" s="115" t="n">
        <f aca="false">J50*$D$2</f>
        <v>26818.480635</v>
      </c>
      <c r="K51" s="115" t="n">
        <f aca="false">K50*$D$2</f>
        <v>269444.762685</v>
      </c>
      <c r="L51" s="115" t="n">
        <f aca="false">L50*$D$2</f>
        <v>18135.735035</v>
      </c>
      <c r="M51" s="259" t="n">
        <f aca="false">M50*$D$2</f>
        <v>58820.09745</v>
      </c>
      <c r="N51" s="115" t="n">
        <f aca="false">N50*$D$2</f>
        <v>456.096371639</v>
      </c>
      <c r="O51" s="115" t="n">
        <f aca="false">O50*$D$2</f>
        <v>17237.87353075</v>
      </c>
      <c r="P51" s="258"/>
      <c r="Q51" s="115" t="n">
        <f aca="false">Q50*$D$2</f>
        <v>1036.9960152</v>
      </c>
      <c r="R51" s="115" t="n">
        <f aca="false">R50*$D$2</f>
        <v>1776.9640955</v>
      </c>
      <c r="S51" s="268" t="n">
        <f aca="false">S50*$D$2</f>
        <v>456.76038</v>
      </c>
      <c r="T51" s="554" t="n">
        <f aca="false">T50*$D$2</f>
        <v>-121.461606</v>
      </c>
      <c r="U51" s="115" t="n">
        <f aca="false">U50*$D$2</f>
        <v>38654.448</v>
      </c>
      <c r="V51" s="115" t="n">
        <f aca="false">V50*$D$2</f>
        <v>14338.52315</v>
      </c>
      <c r="W51" s="115" t="n">
        <f aca="false">W50*$D$2</f>
        <v>89582.009855011</v>
      </c>
      <c r="X51" s="115"/>
      <c r="Y51" s="115"/>
      <c r="Z51" s="115"/>
      <c r="AA51" s="115"/>
      <c r="AB51" s="297"/>
      <c r="AC51" s="298"/>
      <c r="AD51" s="115" t="n">
        <f aca="false">AD50*$D$2</f>
        <v>52684.953435</v>
      </c>
      <c r="AE51" s="115" t="n">
        <f aca="false">AE50*$D$2</f>
        <v>20645.900565</v>
      </c>
      <c r="AF51" s="115" t="n">
        <f aca="false">AF50*$D$2</f>
        <v>197028.017085</v>
      </c>
      <c r="AG51" s="115" t="n">
        <f aca="false">AG50*$D$2</f>
        <v>8682.7456</v>
      </c>
      <c r="AH51" s="115" t="n">
        <f aca="false">AH50*$D$2</f>
        <v>205710.762685</v>
      </c>
      <c r="AI51" s="392"/>
      <c r="AJ51" s="264"/>
      <c r="AK51" s="265"/>
      <c r="AL51" s="264" t="n">
        <f aca="false">AL42</f>
        <v>10571</v>
      </c>
      <c r="AM51" s="115" t="n">
        <f aca="false">AM50*$D$2</f>
        <v>525.1260712</v>
      </c>
      <c r="AN51" s="261"/>
      <c r="AO51" s="553" t="n">
        <f aca="false">AO10+AO45</f>
        <v>807.18612176965</v>
      </c>
      <c r="AP51" s="258"/>
      <c r="AQ51" s="258"/>
    </row>
    <row r="52" customFormat="false" ht="3" hidden="false" customHeight="true" outlineLevel="0" collapsed="false">
      <c r="A52" s="270"/>
      <c r="B52" s="352"/>
      <c r="C52" s="338"/>
      <c r="D52" s="270"/>
      <c r="E52" s="338"/>
      <c r="F52" s="339"/>
      <c r="G52" s="270"/>
      <c r="H52" s="555"/>
      <c r="I52" s="270"/>
      <c r="J52" s="270"/>
      <c r="K52" s="270"/>
      <c r="L52" s="270"/>
      <c r="M52" s="556"/>
      <c r="N52" s="270"/>
      <c r="O52" s="270"/>
      <c r="P52" s="342"/>
      <c r="Q52" s="270"/>
      <c r="R52" s="270"/>
      <c r="S52" s="270"/>
      <c r="T52" s="343"/>
      <c r="U52" s="270"/>
      <c r="V52" s="270"/>
      <c r="W52" s="270"/>
      <c r="X52" s="338"/>
      <c r="Y52" s="338"/>
      <c r="Z52" s="338"/>
      <c r="AA52" s="270"/>
      <c r="AB52" s="276"/>
      <c r="AC52" s="279"/>
      <c r="AD52" s="270"/>
      <c r="AE52" s="338"/>
      <c r="AF52" s="270"/>
      <c r="AG52" s="270"/>
      <c r="AH52" s="270"/>
      <c r="AI52" s="352"/>
      <c r="AJ52" s="270"/>
      <c r="AK52" s="339"/>
      <c r="AL52" s="557"/>
      <c r="AM52" s="557"/>
      <c r="AN52" s="558"/>
      <c r="AO52" s="278"/>
      <c r="AP52" s="559"/>
      <c r="AQ52" s="559"/>
    </row>
    <row r="53" customFormat="false" ht="11.1" hidden="false" customHeight="true" outlineLevel="0" collapsed="false">
      <c r="A53" s="179"/>
      <c r="B53" s="167"/>
      <c r="C53" s="11"/>
      <c r="D53" s="10"/>
      <c r="E53" s="529"/>
      <c r="F53" s="0"/>
      <c r="G53" s="0"/>
      <c r="H53" s="135"/>
      <c r="I53" s="10"/>
      <c r="J53" s="10"/>
      <c r="K53" s="530"/>
      <c r="L53" s="180"/>
      <c r="M53" s="10"/>
      <c r="N53" s="10"/>
      <c r="O53" s="10"/>
      <c r="P53" s="14"/>
      <c r="Q53" s="10"/>
      <c r="R53" s="10"/>
      <c r="S53" s="10"/>
      <c r="T53" s="14"/>
      <c r="U53" s="10"/>
      <c r="V53" s="10"/>
      <c r="W53" s="10"/>
      <c r="X53" s="531"/>
      <c r="Y53" s="531"/>
      <c r="Z53" s="531"/>
      <c r="AA53" s="10"/>
      <c r="AB53" s="10"/>
      <c r="AC53" s="10"/>
      <c r="AD53" s="10"/>
      <c r="AE53" s="529"/>
      <c r="AF53" s="529"/>
      <c r="AG53" s="179"/>
      <c r="AH53" s="179"/>
      <c r="AI53" s="181"/>
      <c r="AJ53" s="185"/>
      <c r="AK53" s="185"/>
      <c r="AL53" s="186"/>
      <c r="AM53" s="186"/>
      <c r="AN53" s="395"/>
    </row>
    <row r="54" customFormat="false" ht="11.1" hidden="false" customHeight="true" outlineLevel="0" collapsed="false">
      <c r="A54" s="179"/>
      <c r="B54" s="167"/>
      <c r="C54" s="11"/>
      <c r="D54" s="168"/>
      <c r="E54" s="509"/>
      <c r="F54" s="532"/>
      <c r="G54" s="0"/>
      <c r="H54" s="135"/>
      <c r="I54" s="12"/>
      <c r="J54" s="10"/>
      <c r="K54" s="169"/>
      <c r="L54" s="183"/>
      <c r="M54" s="10"/>
      <c r="N54" s="10"/>
      <c r="O54" s="10"/>
      <c r="P54" s="14"/>
      <c r="Q54" s="10"/>
      <c r="R54" s="10"/>
      <c r="S54" s="137"/>
      <c r="T54" s="102"/>
      <c r="U54" s="533"/>
      <c r="V54" s="137"/>
      <c r="W54" s="534"/>
      <c r="X54" s="180"/>
      <c r="Y54" s="180"/>
      <c r="Z54" s="180"/>
      <c r="AA54" s="533"/>
      <c r="AB54" s="533"/>
      <c r="AC54" s="533"/>
      <c r="AD54" s="137"/>
      <c r="AE54" s="99"/>
      <c r="AF54" s="11"/>
      <c r="AG54" s="179"/>
      <c r="AH54" s="181"/>
      <c r="AI54" s="185"/>
      <c r="AJ54" s="185"/>
      <c r="AK54" s="186"/>
      <c r="AL54" s="306"/>
      <c r="AM54" s="306"/>
      <c r="AN54" s="395"/>
    </row>
    <row r="55" customFormat="false" ht="11.1" hidden="false" customHeight="true" outlineLevel="0" collapsed="false">
      <c r="A55" s="301"/>
      <c r="B55" s="180"/>
      <c r="E55" s="509"/>
      <c r="F55" s="510"/>
      <c r="G55" s="0"/>
      <c r="H55" s="135"/>
      <c r="I55" s="168"/>
      <c r="J55" s="168"/>
      <c r="K55" s="535"/>
      <c r="L55" s="513"/>
      <c r="M55" s="536"/>
      <c r="N55" s="536"/>
      <c r="O55" s="509"/>
      <c r="P55" s="538"/>
      <c r="Q55" s="509"/>
      <c r="R55" s="509"/>
      <c r="S55" s="477"/>
      <c r="T55" s="102"/>
      <c r="U55" s="533"/>
      <c r="V55" s="137"/>
      <c r="W55" s="99"/>
      <c r="X55" s="180"/>
      <c r="Y55" s="180"/>
      <c r="Z55" s="180"/>
      <c r="AA55" s="180"/>
      <c r="AB55" s="180"/>
      <c r="AC55" s="180"/>
      <c r="AD55" s="99"/>
      <c r="AE55" s="533"/>
      <c r="AF55" s="533"/>
      <c r="AG55" s="301"/>
      <c r="AH55" s="181"/>
      <c r="AI55" s="185"/>
      <c r="AJ55" s="185"/>
      <c r="AK55" s="186"/>
      <c r="AL55" s="361"/>
      <c r="AM55" s="361"/>
      <c r="AN55" s="395"/>
    </row>
    <row r="56" customFormat="false" ht="11.1" hidden="false" customHeight="true" outlineLevel="0" collapsed="false">
      <c r="A56" s="301"/>
      <c r="B56" s="301"/>
      <c r="C56" s="180"/>
      <c r="D56" s="180"/>
      <c r="E56" s="509"/>
      <c r="F56" s="0"/>
      <c r="G56" s="0"/>
      <c r="H56" s="183"/>
      <c r="I56" s="0"/>
      <c r="J56" s="168"/>
      <c r="K56" s="535"/>
      <c r="L56" s="185"/>
      <c r="M56" s="135"/>
      <c r="N56" s="135"/>
      <c r="O56" s="185"/>
      <c r="P56" s="181"/>
      <c r="Q56" s="185"/>
      <c r="R56" s="185"/>
      <c r="S56" s="477"/>
      <c r="T56" s="102"/>
      <c r="U56" s="477"/>
      <c r="V56" s="477"/>
      <c r="W56" s="99"/>
      <c r="X56" s="185"/>
      <c r="Y56" s="185"/>
      <c r="Z56" s="185"/>
      <c r="AA56" s="180"/>
      <c r="AB56" s="180"/>
      <c r="AC56" s="180"/>
      <c r="AD56" s="99"/>
      <c r="AE56" s="180"/>
      <c r="AF56" s="180"/>
      <c r="AG56" s="301"/>
      <c r="AH56" s="512"/>
      <c r="AI56" s="185"/>
      <c r="AJ56" s="185"/>
      <c r="AK56" s="186"/>
      <c r="AL56" s="361"/>
      <c r="AM56" s="361"/>
      <c r="AN56" s="395"/>
    </row>
    <row r="57" customFormat="false" ht="11.1" hidden="false" customHeight="true" outlineLevel="0" collapsed="false">
      <c r="A57" s="301"/>
      <c r="B57" s="301"/>
      <c r="C57" s="180"/>
      <c r="D57" s="301"/>
      <c r="E57" s="180"/>
      <c r="F57" s="301"/>
      <c r="G57" s="303"/>
      <c r="H57" s="183"/>
      <c r="I57" s="301"/>
      <c r="J57" s="301"/>
      <c r="K57" s="301"/>
      <c r="L57" s="301"/>
      <c r="M57" s="183"/>
      <c r="N57" s="183"/>
      <c r="O57" s="183"/>
      <c r="P57" s="181"/>
      <c r="Q57" s="183"/>
      <c r="R57" s="183"/>
      <c r="S57" s="301"/>
      <c r="T57" s="181"/>
      <c r="U57" s="301"/>
      <c r="V57" s="301"/>
      <c r="W57" s="180"/>
      <c r="X57" s="301"/>
      <c r="Y57" s="301"/>
      <c r="Z57" s="301"/>
      <c r="AA57" s="301"/>
      <c r="AB57" s="301"/>
      <c r="AC57" s="301"/>
      <c r="AD57" s="180"/>
      <c r="AE57" s="301"/>
      <c r="AF57" s="301"/>
      <c r="AG57" s="301"/>
      <c r="AH57" s="181"/>
      <c r="AI57" s="185"/>
      <c r="AJ57" s="185"/>
      <c r="AK57" s="186"/>
      <c r="AL57" s="361"/>
      <c r="AM57" s="361"/>
      <c r="AN57" s="395"/>
    </row>
  </sheetData>
  <mergeCells count="2">
    <mergeCell ref="K2:AD2"/>
    <mergeCell ref="M5:T5"/>
  </mergeCells>
  <printOptions headings="true" gridLines="true" gridLinesSet="true" horizontalCentered="true" verticalCentered="true"/>
  <pageMargins left="0.25" right="0.25" top="0.25" bottom="0" header="0.511811023622047" footer="0.511811023622047"/>
  <pageSetup paperSize="3" scale="66"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1" man="true" max="16383" min="0"/>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27" activePane="bottomRight" state="frozen"/>
      <selection pane="topLeft" activeCell="A1" activeCellId="0" sqref="A1"/>
      <selection pane="topRight" activeCell="B1" activeCellId="0" sqref="B1"/>
      <selection pane="bottomLeft" activeCell="A27" activeCellId="0" sqref="A27"/>
      <selection pane="bottomRight" activeCell="AF7" activeCellId="0" sqref="AF7"/>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560" width="5.66"/>
    <col collapsed="false" customWidth="true" hidden="false" outlineLevel="0" max="11" min="9" style="171" width="6.32"/>
    <col collapsed="false" customWidth="true" hidden="false" outlineLevel="0" max="12" min="12" style="171" width="7.16"/>
    <col collapsed="false" customWidth="true" hidden="false" outlineLevel="0" max="13" min="13" style="174" width="5.49"/>
    <col collapsed="false" customWidth="true" hidden="false" outlineLevel="0" max="14" min="14" style="174" width="4.49"/>
    <col collapsed="false" customWidth="true" hidden="false" outlineLevel="0" max="15" min="15" style="174" width="5.49"/>
    <col collapsed="false" customWidth="true" hidden="false" outlineLevel="0" max="16" min="16" style="173" width="4.82"/>
    <col collapsed="false" customWidth="true" hidden="false" outlineLevel="0" max="19" min="17" style="171" width="4.32"/>
    <col collapsed="false" customWidth="true" hidden="false" outlineLevel="0" max="20" min="20" style="173" width="5.49"/>
    <col collapsed="false" customWidth="true" hidden="false" outlineLevel="0" max="21" min="21" style="171" width="5.49"/>
    <col collapsed="false" customWidth="true" hidden="false" outlineLevel="0" max="22" min="22" style="172" width="5.49"/>
    <col collapsed="false" customWidth="true" hidden="false" outlineLevel="0" max="23" min="23" style="171" width="6.32"/>
    <col collapsed="false" customWidth="true" hidden="false" outlineLevel="0" max="24" min="24" style="171" width="5.49"/>
    <col collapsed="false" customWidth="true" hidden="false" outlineLevel="0" max="26" min="25" style="172" width="6.32"/>
    <col collapsed="false" customWidth="true" hidden="false" outlineLevel="0" max="29" min="27" style="171" width="5.49"/>
    <col collapsed="false" customWidth="true" hidden="false" outlineLevel="0" max="30" min="30" style="171" width="6.32"/>
    <col collapsed="false" customWidth="true" hidden="false" outlineLevel="0" max="31" min="31" style="171" width="5.49"/>
    <col collapsed="false" customWidth="true" hidden="false" outlineLevel="0" max="32" min="32" style="173" width="6.32"/>
    <col collapsed="false" customWidth="true" hidden="false" outlineLevel="0" max="33" min="33" style="175" width="6.99"/>
    <col collapsed="false" customWidth="true" hidden="false" outlineLevel="0" max="34" min="34" style="176" width="6.99"/>
    <col collapsed="false" customWidth="true" hidden="false" outlineLevel="0" max="35" min="35" style="177" width="5.32"/>
    <col collapsed="false" customWidth="true" hidden="false" outlineLevel="0" max="37" min="36" style="171" width="3.82"/>
    <col collapsed="false" customWidth="true" hidden="false" outlineLevel="0" max="39" min="38" style="173" width="5.49"/>
    <col collapsed="false" customWidth="true" hidden="false" outlineLevel="0" max="40" min="40" style="177" width="6.32"/>
    <col collapsed="false" customWidth="true" hidden="false" outlineLevel="0" max="41" min="41" style="171" width="6.32"/>
    <col collapsed="false" customWidth="true" hidden="false" outlineLevel="0" max="42" min="42" style="213" width="6.32"/>
    <col collapsed="false" customWidth="true" hidden="false" outlineLevel="0" max="43" min="43" style="171" width="6.49"/>
    <col collapsed="false" customWidth="true" hidden="false" outlineLevel="0" max="44" min="44" style="171" width="4.99"/>
    <col collapsed="false" customWidth="false" hidden="false" outlineLevel="0" max="257" min="45" style="171" width="9.32"/>
  </cols>
  <sheetData>
    <row r="1" customFormat="false" ht="14.1" hidden="false" customHeight="true" outlineLevel="0" collapsed="false">
      <c r="A1" s="179"/>
      <c r="B1" s="179"/>
      <c r="C1" s="180"/>
      <c r="D1" s="179"/>
      <c r="E1" s="180"/>
      <c r="F1" s="179"/>
      <c r="G1" s="179"/>
      <c r="H1" s="302"/>
      <c r="I1" s="179"/>
      <c r="J1" s="179"/>
      <c r="K1" s="182" t="s">
        <v>0</v>
      </c>
      <c r="L1" s="179"/>
      <c r="M1" s="179"/>
      <c r="N1" s="179"/>
      <c r="O1" s="179"/>
      <c r="P1" s="181"/>
      <c r="Q1" s="181"/>
      <c r="R1" s="181"/>
      <c r="S1" s="181"/>
      <c r="T1" s="181"/>
      <c r="U1" s="179"/>
      <c r="V1" s="179"/>
      <c r="W1" s="180"/>
      <c r="X1" s="179"/>
      <c r="Y1" s="179"/>
      <c r="Z1" s="179"/>
      <c r="AA1" s="179"/>
      <c r="AB1" s="179"/>
      <c r="AC1" s="179"/>
      <c r="AD1" s="180"/>
      <c r="AE1" s="179"/>
      <c r="AF1" s="179"/>
      <c r="AG1" s="179"/>
      <c r="AH1" s="181"/>
      <c r="AI1" s="184"/>
      <c r="AJ1" s="185"/>
      <c r="AK1" s="186"/>
      <c r="AL1" s="306"/>
      <c r="AM1" s="306"/>
      <c r="AN1" s="561"/>
      <c r="AO1" s="173"/>
      <c r="AP1" s="401"/>
    </row>
    <row r="2" customFormat="false" ht="14.1" hidden="false" customHeight="true" outlineLevel="0" collapsed="false">
      <c r="A2" s="187" t="s">
        <v>1</v>
      </c>
      <c r="B2" s="179"/>
      <c r="C2" s="180"/>
      <c r="D2" s="188" t="n">
        <v>1.9835</v>
      </c>
      <c r="E2" s="180"/>
      <c r="F2" s="179"/>
      <c r="G2" s="179"/>
      <c r="H2" s="302"/>
      <c r="I2" s="179"/>
      <c r="J2" s="179"/>
      <c r="K2" s="189" t="s">
        <v>119</v>
      </c>
      <c r="L2" s="189"/>
      <c r="M2" s="189"/>
      <c r="N2" s="189"/>
      <c r="O2" s="189"/>
      <c r="P2" s="189"/>
      <c r="Q2" s="189"/>
      <c r="R2" s="189"/>
      <c r="S2" s="189"/>
      <c r="T2" s="189"/>
      <c r="U2" s="189"/>
      <c r="V2" s="189"/>
      <c r="W2" s="189"/>
      <c r="X2" s="241" t="s">
        <v>94</v>
      </c>
      <c r="Y2" s="241"/>
      <c r="Z2" s="241"/>
      <c r="AA2" s="179"/>
      <c r="AB2" s="179"/>
      <c r="AC2" s="179"/>
      <c r="AD2" s="180"/>
      <c r="AE2" s="179"/>
      <c r="AF2" s="179"/>
      <c r="AG2" s="179"/>
      <c r="AH2" s="181"/>
      <c r="AI2" s="184"/>
      <c r="AJ2" s="185"/>
      <c r="AK2" s="186"/>
      <c r="AL2" s="306"/>
      <c r="AM2" s="306"/>
      <c r="AN2" s="561"/>
      <c r="AO2" s="173"/>
      <c r="AP2" s="401"/>
    </row>
    <row r="3" customFormat="false" ht="14.1" hidden="false" customHeight="true" outlineLevel="0" collapsed="false">
      <c r="A3" s="190"/>
      <c r="B3" s="190"/>
      <c r="C3" s="191"/>
      <c r="D3" s="192"/>
      <c r="E3" s="191"/>
      <c r="F3" s="190"/>
      <c r="G3" s="190"/>
      <c r="H3" s="562"/>
      <c r="I3" s="190"/>
      <c r="J3" s="190"/>
      <c r="K3" s="190"/>
      <c r="L3" s="190"/>
      <c r="M3" s="190"/>
      <c r="N3" s="190"/>
      <c r="O3" s="191"/>
      <c r="P3" s="193"/>
      <c r="Q3" s="193"/>
      <c r="R3" s="193"/>
      <c r="S3" s="193"/>
      <c r="T3" s="193"/>
      <c r="U3" s="190"/>
      <c r="V3" s="190"/>
      <c r="W3" s="191"/>
      <c r="X3" s="190"/>
      <c r="Y3" s="190"/>
      <c r="Z3" s="190"/>
      <c r="AA3" s="190"/>
      <c r="AB3" s="190"/>
      <c r="AC3" s="190"/>
      <c r="AD3" s="191"/>
      <c r="AE3" s="190"/>
      <c r="AF3" s="190"/>
      <c r="AG3" s="190"/>
      <c r="AH3" s="193"/>
      <c r="AI3" s="195"/>
      <c r="AJ3" s="196"/>
      <c r="AK3" s="197"/>
      <c r="AL3" s="309"/>
      <c r="AM3" s="309"/>
      <c r="AN3" s="563"/>
      <c r="AO3" s="564"/>
      <c r="AP3" s="401"/>
    </row>
    <row r="4" s="213" customFormat="true" ht="14.1" hidden="false" customHeight="true" outlineLevel="0" collapsed="false">
      <c r="A4" s="201"/>
      <c r="B4" s="202"/>
      <c r="C4" s="203"/>
      <c r="D4" s="311" t="s">
        <v>3</v>
      </c>
      <c r="E4" s="203"/>
      <c r="F4" s="205"/>
      <c r="G4" s="201"/>
      <c r="H4" s="565"/>
      <c r="I4" s="201"/>
      <c r="J4" s="201"/>
      <c r="K4" s="201"/>
      <c r="L4" s="201"/>
      <c r="M4" s="201"/>
      <c r="N4" s="201"/>
      <c r="O4" s="201"/>
      <c r="P4" s="206"/>
      <c r="Q4" s="206"/>
      <c r="R4" s="206"/>
      <c r="S4" s="206"/>
      <c r="T4" s="206"/>
      <c r="U4" s="207" t="s">
        <v>4</v>
      </c>
      <c r="V4" s="201"/>
      <c r="W4" s="208"/>
      <c r="X4" s="201"/>
      <c r="Y4" s="201"/>
      <c r="Z4" s="201"/>
      <c r="AA4" s="201"/>
      <c r="AB4" s="201"/>
      <c r="AC4" s="201"/>
      <c r="AD4" s="208"/>
      <c r="AE4" s="201"/>
      <c r="AF4" s="201"/>
      <c r="AG4" s="201"/>
      <c r="AH4" s="206"/>
      <c r="AI4" s="210"/>
      <c r="AJ4" s="211" t="s">
        <v>5</v>
      </c>
      <c r="AK4" s="212"/>
      <c r="AL4" s="201"/>
      <c r="AM4" s="201"/>
      <c r="AN4" s="439" t="s">
        <v>6</v>
      </c>
      <c r="AO4" s="566"/>
      <c r="AP4" s="567"/>
      <c r="AQ4" s="217"/>
      <c r="AR4" s="217"/>
    </row>
    <row r="5" s="544" customFormat="true" ht="12.95" hidden="false" customHeight="true" outlineLevel="0" collapsed="false">
      <c r="A5" s="248" t="s">
        <v>7</v>
      </c>
      <c r="B5" s="487" t="s">
        <v>8</v>
      </c>
      <c r="C5" s="244" t="s">
        <v>8</v>
      </c>
      <c r="D5" s="248" t="s">
        <v>9</v>
      </c>
      <c r="E5" s="244" t="s">
        <v>10</v>
      </c>
      <c r="F5" s="542" t="s">
        <v>11</v>
      </c>
      <c r="G5" s="248" t="s">
        <v>12</v>
      </c>
      <c r="H5" s="239" t="s">
        <v>13</v>
      </c>
      <c r="I5" s="248" t="s">
        <v>14</v>
      </c>
      <c r="J5" s="248" t="s">
        <v>15</v>
      </c>
      <c r="K5" s="248" t="s">
        <v>16</v>
      </c>
      <c r="L5" s="248" t="s">
        <v>15</v>
      </c>
      <c r="M5" s="223" t="s">
        <v>17</v>
      </c>
      <c r="N5" s="223"/>
      <c r="O5" s="223"/>
      <c r="P5" s="223"/>
      <c r="Q5" s="223"/>
      <c r="R5" s="223"/>
      <c r="S5" s="223"/>
      <c r="T5" s="223"/>
      <c r="U5" s="441" t="s">
        <v>18</v>
      </c>
      <c r="V5" s="441" t="s">
        <v>19</v>
      </c>
      <c r="W5" s="441" t="s">
        <v>16</v>
      </c>
      <c r="X5" s="87" t="s">
        <v>20</v>
      </c>
      <c r="Y5" s="87" t="s">
        <v>21</v>
      </c>
      <c r="Z5" s="244" t="s">
        <v>20</v>
      </c>
      <c r="AA5" s="441" t="s">
        <v>22</v>
      </c>
      <c r="AB5" s="225" t="s">
        <v>96</v>
      </c>
      <c r="AC5" s="226"/>
      <c r="AD5" s="441" t="s">
        <v>24</v>
      </c>
      <c r="AE5" s="244" t="s">
        <v>110</v>
      </c>
      <c r="AF5" s="248" t="s">
        <v>14</v>
      </c>
      <c r="AG5" s="248" t="s">
        <v>15</v>
      </c>
      <c r="AH5" s="248" t="s">
        <v>16</v>
      </c>
      <c r="AI5" s="543" t="s">
        <v>26</v>
      </c>
      <c r="AJ5" s="238" t="s">
        <v>27</v>
      </c>
      <c r="AK5" s="368" t="s">
        <v>28</v>
      </c>
      <c r="AL5" s="76" t="s">
        <v>88</v>
      </c>
      <c r="AM5" s="76" t="s">
        <v>20</v>
      </c>
      <c r="AN5" s="76" t="s">
        <v>89</v>
      </c>
      <c r="AO5" s="448" t="s">
        <v>89</v>
      </c>
      <c r="AP5" s="76" t="s">
        <v>30</v>
      </c>
      <c r="AQ5" s="231" t="s">
        <v>31</v>
      </c>
      <c r="AR5" s="231" t="s">
        <v>120</v>
      </c>
    </row>
    <row r="6" s="544" customFormat="true" ht="12.95" hidden="false" customHeight="true" outlineLevel="0" collapsed="false">
      <c r="A6" s="492" t="s">
        <v>121</v>
      </c>
      <c r="B6" s="487" t="s">
        <v>33</v>
      </c>
      <c r="C6" s="244" t="s">
        <v>9</v>
      </c>
      <c r="D6" s="248" t="s">
        <v>34</v>
      </c>
      <c r="E6" s="244" t="s">
        <v>35</v>
      </c>
      <c r="F6" s="542" t="s">
        <v>36</v>
      </c>
      <c r="G6" s="248" t="s">
        <v>37</v>
      </c>
      <c r="H6" s="239" t="s">
        <v>38</v>
      </c>
      <c r="I6" s="248" t="s">
        <v>39</v>
      </c>
      <c r="J6" s="248" t="s">
        <v>39</v>
      </c>
      <c r="K6" s="248" t="s">
        <v>39</v>
      </c>
      <c r="L6" s="248" t="s">
        <v>40</v>
      </c>
      <c r="M6" s="493" t="s">
        <v>41</v>
      </c>
      <c r="N6" s="248" t="s">
        <v>117</v>
      </c>
      <c r="O6" s="248" t="s">
        <v>43</v>
      </c>
      <c r="P6" s="249" t="s">
        <v>44</v>
      </c>
      <c r="Q6" s="248" t="s">
        <v>45</v>
      </c>
      <c r="R6" s="248" t="s">
        <v>46</v>
      </c>
      <c r="S6" s="248" t="s">
        <v>47</v>
      </c>
      <c r="T6" s="250" t="s">
        <v>48</v>
      </c>
      <c r="U6" s="441" t="s">
        <v>49</v>
      </c>
      <c r="V6" s="441" t="s">
        <v>50</v>
      </c>
      <c r="W6" s="441" t="s">
        <v>20</v>
      </c>
      <c r="X6" s="87" t="s">
        <v>60</v>
      </c>
      <c r="Y6" s="244" t="s">
        <v>52</v>
      </c>
      <c r="Z6" s="244" t="s">
        <v>53</v>
      </c>
      <c r="AA6" s="441" t="s">
        <v>54</v>
      </c>
      <c r="AB6" s="234"/>
      <c r="AC6" s="236"/>
      <c r="AD6" s="441" t="s">
        <v>56</v>
      </c>
      <c r="AE6" s="244" t="s">
        <v>57</v>
      </c>
      <c r="AF6" s="248" t="s">
        <v>58</v>
      </c>
      <c r="AG6" s="248" t="s">
        <v>58</v>
      </c>
      <c r="AH6" s="248" t="s">
        <v>58</v>
      </c>
      <c r="AI6" s="545"/>
      <c r="AJ6" s="238" t="s">
        <v>59</v>
      </c>
      <c r="AK6" s="368" t="s">
        <v>59</v>
      </c>
      <c r="AL6" s="76" t="s">
        <v>60</v>
      </c>
      <c r="AM6" s="76" t="s">
        <v>61</v>
      </c>
      <c r="AN6" s="76" t="s">
        <v>62</v>
      </c>
      <c r="AO6" s="448" t="s">
        <v>62</v>
      </c>
      <c r="AP6" s="76" t="s">
        <v>63</v>
      </c>
      <c r="AQ6" s="231" t="s">
        <v>64</v>
      </c>
      <c r="AR6" s="231" t="s">
        <v>122</v>
      </c>
    </row>
    <row r="7" s="544" customFormat="true" ht="12.95" hidden="false" customHeight="true" outlineLevel="0" collapsed="false">
      <c r="A7" s="248"/>
      <c r="B7" s="487"/>
      <c r="C7" s="244"/>
      <c r="D7" s="248"/>
      <c r="E7" s="244" t="s">
        <v>65</v>
      </c>
      <c r="F7" s="542"/>
      <c r="G7" s="248"/>
      <c r="H7" s="239"/>
      <c r="I7" s="248"/>
      <c r="J7" s="248"/>
      <c r="K7" s="248"/>
      <c r="L7" s="248"/>
      <c r="M7" s="493"/>
      <c r="N7" s="248"/>
      <c r="O7" s="248" t="s">
        <v>67</v>
      </c>
      <c r="P7" s="249"/>
      <c r="Q7" s="248"/>
      <c r="R7" s="248"/>
      <c r="S7" s="248" t="s">
        <v>43</v>
      </c>
      <c r="T7" s="250" t="s">
        <v>68</v>
      </c>
      <c r="U7" s="441"/>
      <c r="V7" s="441"/>
      <c r="W7" s="441"/>
      <c r="X7" s="87"/>
      <c r="Y7" s="87"/>
      <c r="Z7" s="87"/>
      <c r="AA7" s="441"/>
      <c r="AB7" s="247"/>
      <c r="AC7" s="251"/>
      <c r="AD7" s="441"/>
      <c r="AE7" s="87"/>
      <c r="AF7" s="441"/>
      <c r="AG7" s="441"/>
      <c r="AH7" s="441"/>
      <c r="AI7" s="545"/>
      <c r="AJ7" s="238"/>
      <c r="AK7" s="368"/>
      <c r="AL7" s="76" t="s">
        <v>65</v>
      </c>
      <c r="AM7" s="76" t="s">
        <v>36</v>
      </c>
      <c r="AN7" s="76" t="s">
        <v>107</v>
      </c>
      <c r="AO7" s="448" t="s">
        <v>93</v>
      </c>
      <c r="AP7" s="76" t="s">
        <v>72</v>
      </c>
      <c r="AQ7" s="231" t="s">
        <v>73</v>
      </c>
      <c r="AR7" s="231" t="s">
        <v>55</v>
      </c>
    </row>
    <row r="8" s="544" customFormat="true" ht="12.95" hidden="false" customHeight="true" outlineLevel="0" collapsed="false">
      <c r="A8" s="248"/>
      <c r="B8" s="487"/>
      <c r="C8" s="244"/>
      <c r="D8" s="248"/>
      <c r="E8" s="244"/>
      <c r="F8" s="542"/>
      <c r="G8" s="248"/>
      <c r="H8" s="239"/>
      <c r="I8" s="248"/>
      <c r="J8" s="248"/>
      <c r="K8" s="248"/>
      <c r="L8" s="248"/>
      <c r="M8" s="493"/>
      <c r="N8" s="249" t="n">
        <v>1.03</v>
      </c>
      <c r="O8" s="249" t="n">
        <v>1.05</v>
      </c>
      <c r="P8" s="249" t="n">
        <v>1.02</v>
      </c>
      <c r="Q8" s="254" t="n">
        <v>1.02</v>
      </c>
      <c r="R8" s="249" t="n">
        <v>1.04</v>
      </c>
      <c r="S8" s="248" t="s">
        <v>53</v>
      </c>
      <c r="T8" s="250"/>
      <c r="U8" s="248"/>
      <c r="V8" s="248"/>
      <c r="W8" s="248"/>
      <c r="X8" s="244"/>
      <c r="Y8" s="244"/>
      <c r="Z8" s="244"/>
      <c r="AA8" s="248"/>
      <c r="AB8" s="247"/>
      <c r="AC8" s="251"/>
      <c r="AD8" s="248"/>
      <c r="AE8" s="244"/>
      <c r="AF8" s="248"/>
      <c r="AG8" s="248"/>
      <c r="AH8" s="248"/>
      <c r="AI8" s="545"/>
      <c r="AJ8" s="238"/>
      <c r="AK8" s="368"/>
      <c r="AL8" s="76"/>
      <c r="AM8" s="76"/>
      <c r="AN8" s="76"/>
      <c r="AO8" s="448" t="s">
        <v>69</v>
      </c>
      <c r="AP8" s="568"/>
      <c r="AR8" s="448"/>
    </row>
    <row r="9" customFormat="false" ht="12.95" hidden="false" customHeight="true" outlineLevel="0" collapsed="false">
      <c r="A9" s="187" t="s">
        <v>75</v>
      </c>
      <c r="B9" s="569"/>
      <c r="C9" s="208"/>
      <c r="D9" s="208"/>
      <c r="E9" s="208"/>
      <c r="F9" s="570" t="n">
        <f aca="false">JUL!F47</f>
        <v>12536.9296697756</v>
      </c>
      <c r="G9" s="208" t="n">
        <f aca="false">JUL!G47</f>
        <v>96190</v>
      </c>
      <c r="H9" s="208" t="n">
        <f aca="false">JUL!H47</f>
        <v>2023.72</v>
      </c>
      <c r="I9" s="208" t="n">
        <f aca="false">JUL!I47</f>
        <v>98213.72</v>
      </c>
      <c r="J9" s="208" t="n">
        <f aca="false">JUL!J47</f>
        <v>6431.85252583816</v>
      </c>
      <c r="K9" s="208" t="n">
        <f aca="false">JUL!K47</f>
        <v>104645.572525838</v>
      </c>
      <c r="L9" s="208" t="n">
        <f aca="false">JUL!L47</f>
        <v>3395.21966977565</v>
      </c>
      <c r="M9" s="571" t="n">
        <f aca="false">JUL!M47</f>
        <v>28658.3</v>
      </c>
      <c r="N9" s="208" t="n">
        <f aca="false">JUL!N47</f>
        <v>229.945234</v>
      </c>
      <c r="O9" s="208" t="n">
        <f aca="false">JUL!O47</f>
        <v>8690.6345</v>
      </c>
      <c r="P9" s="206" t="n">
        <f aca="false">JUL!P47</f>
        <v>7.32</v>
      </c>
      <c r="Q9" s="206"/>
      <c r="R9" s="206"/>
      <c r="S9" s="206"/>
      <c r="T9" s="572"/>
      <c r="U9" s="208" t="n">
        <f aca="false">JUL!U47</f>
        <v>14113</v>
      </c>
      <c r="V9" s="208" t="n">
        <f aca="false">JUL!V47</f>
        <v>7102.8</v>
      </c>
      <c r="W9" s="208" t="n">
        <f aca="false">JUL!W47</f>
        <v>39526.589066</v>
      </c>
      <c r="X9" s="208" t="n">
        <f aca="false">JUL!X47</f>
        <v>3744.12054730117</v>
      </c>
      <c r="Y9" s="208" t="n">
        <f aca="false">JUL!Y42</f>
        <v>2685.15</v>
      </c>
      <c r="Z9" s="208" t="n">
        <f aca="false">JUL!Z42</f>
        <v>701.789765565919</v>
      </c>
      <c r="AA9" s="208" t="n">
        <f aca="false">JUL!AA47</f>
        <v>16680.9</v>
      </c>
      <c r="AB9" s="571" t="n">
        <f aca="false">JUL!AB47</f>
        <v>207.4</v>
      </c>
      <c r="AC9" s="573" t="n">
        <f aca="false">JUL!AC47</f>
        <v>158.6</v>
      </c>
      <c r="AD9" s="208"/>
      <c r="AE9" s="208"/>
      <c r="AF9" s="208" t="n">
        <f aca="false">JUL!AF47</f>
        <v>89072.01</v>
      </c>
      <c r="AG9" s="208" t="n">
        <f aca="false">JUL!AG47</f>
        <v>3036.63285606251</v>
      </c>
      <c r="AH9" s="208" t="n">
        <f aca="false">JUL!AH47</f>
        <v>92108.6428560625</v>
      </c>
      <c r="AI9" s="372"/>
      <c r="AJ9" s="365"/>
      <c r="AK9" s="574"/>
      <c r="AL9" s="374"/>
      <c r="AM9" s="374"/>
      <c r="AN9" s="365" t="n">
        <f aca="false">JUL!AN44</f>
        <v>294.3</v>
      </c>
      <c r="AO9" s="206" t="n">
        <f aca="false">JUL!AO48</f>
        <v>807.18612176965</v>
      </c>
      <c r="AP9" s="264" t="n">
        <f aca="false">JUL!AP47</f>
        <v>1036.55</v>
      </c>
      <c r="AQ9" s="264" t="n">
        <f aca="false">JUL!AQ47</f>
        <v>272.72</v>
      </c>
    </row>
    <row r="10" s="172" customFormat="true" ht="12.95" hidden="false" customHeight="true" outlineLevel="0" collapsed="false">
      <c r="A10" s="267" t="s">
        <v>76</v>
      </c>
      <c r="B10" s="575" t="n">
        <f aca="false">JUL!B42</f>
        <v>6913.13</v>
      </c>
      <c r="C10" s="208" t="n">
        <f aca="false">JUL!C42</f>
        <v>334655</v>
      </c>
      <c r="D10" s="208" t="n">
        <f aca="false">JUL!D51</f>
        <v>63734</v>
      </c>
      <c r="E10" s="208" t="n">
        <f aca="false">JUL!E51</f>
        <v>182655</v>
      </c>
      <c r="F10" s="570" t="n">
        <f aca="false">JUL!F50</f>
        <v>32132.089740358</v>
      </c>
      <c r="G10" s="208" t="n">
        <f aca="false">JUL!G50</f>
        <v>118811</v>
      </c>
      <c r="H10" s="365" t="n">
        <f aca="false">JUL!H50</f>
        <v>3511.3</v>
      </c>
      <c r="I10" s="208" t="n">
        <f aca="false">JUL!I50</f>
        <v>122322.3</v>
      </c>
      <c r="J10" s="208" t="n">
        <f aca="false">JUL!J50</f>
        <v>13520.7868086715</v>
      </c>
      <c r="K10" s="208" t="n">
        <f aca="false">JUL!K50</f>
        <v>135843.086808672</v>
      </c>
      <c r="L10" s="208" t="n">
        <f aca="false">JUL!L50</f>
        <v>9143.29974035795</v>
      </c>
      <c r="M10" s="571" t="n">
        <f aca="false">JUL!M50</f>
        <v>29654.7</v>
      </c>
      <c r="N10" s="208" t="n">
        <f aca="false">JUL!N50</f>
        <v>229.945234</v>
      </c>
      <c r="O10" s="208" t="n">
        <f aca="false">JUL!O50</f>
        <v>8690.6345</v>
      </c>
      <c r="P10" s="206"/>
      <c r="Q10" s="208" t="n">
        <f aca="false">JUL!Q50</f>
        <v>522.8112</v>
      </c>
      <c r="R10" s="208" t="n">
        <f aca="false">JUL!R50</f>
        <v>895.873</v>
      </c>
      <c r="S10" s="576" t="n">
        <f aca="false">JUL!S50</f>
        <v>230.28</v>
      </c>
      <c r="T10" s="577" t="n">
        <f aca="false">JUL!T50</f>
        <v>-61.236</v>
      </c>
      <c r="U10" s="208" t="n">
        <f aca="false">JUL!U50</f>
        <v>19488</v>
      </c>
      <c r="V10" s="208" t="n">
        <f aca="false">JUL!V50</f>
        <v>7228.9</v>
      </c>
      <c r="W10" s="208" t="n">
        <f aca="false">JUL!W50</f>
        <v>45163.604666</v>
      </c>
      <c r="X10" s="208"/>
      <c r="Y10" s="208"/>
      <c r="Z10" s="208"/>
      <c r="AA10" s="208" t="n">
        <f aca="false">JUL!AA50</f>
        <v>0</v>
      </c>
      <c r="AB10" s="259"/>
      <c r="AC10" s="262"/>
      <c r="AD10" s="208" t="n">
        <f aca="false">JUL!AD50</f>
        <v>26561.61</v>
      </c>
      <c r="AE10" s="208" t="n">
        <f aca="false">JUL!AE50</f>
        <v>10408.823072851</v>
      </c>
      <c r="AF10" s="208" t="n">
        <f aca="false">JUL!AF50</f>
        <v>99333.51</v>
      </c>
      <c r="AG10" s="208" t="n">
        <f aca="false">JUL!AG50</f>
        <v>4377.48706831359</v>
      </c>
      <c r="AH10" s="208" t="n">
        <f aca="false">JUL!AH50</f>
        <v>103710.997068314</v>
      </c>
      <c r="AI10" s="263" t="n">
        <f aca="false">JUL!AI50</f>
        <v>7.89</v>
      </c>
      <c r="AJ10" s="365"/>
      <c r="AK10" s="574"/>
      <c r="AL10" s="365" t="n">
        <f aca="false">JUL!AL51</f>
        <v>10571</v>
      </c>
      <c r="AM10" s="365" t="n">
        <f aca="false">JUL!AM50</f>
        <v>264.7472</v>
      </c>
      <c r="AN10" s="374"/>
      <c r="AO10" s="206" t="n">
        <f aca="false">JUL!AO51</f>
        <v>807.18612176965</v>
      </c>
      <c r="AP10" s="365" t="n">
        <f aca="false">JUL!AP50</f>
        <v>0</v>
      </c>
      <c r="AQ10" s="365" t="n">
        <f aca="false">JUL!AQ50</f>
        <v>0</v>
      </c>
    </row>
    <row r="11" customFormat="false" ht="3" hidden="false" customHeight="true" outlineLevel="0" collapsed="false">
      <c r="A11" s="270"/>
      <c r="B11" s="578"/>
      <c r="C11" s="579"/>
      <c r="D11" s="404"/>
      <c r="E11" s="579"/>
      <c r="F11" s="580"/>
      <c r="G11" s="404"/>
      <c r="H11" s="581"/>
      <c r="I11" s="404"/>
      <c r="J11" s="404"/>
      <c r="K11" s="404"/>
      <c r="L11" s="404"/>
      <c r="M11" s="582"/>
      <c r="N11" s="404"/>
      <c r="O11" s="404"/>
      <c r="P11" s="583"/>
      <c r="Q11" s="583"/>
      <c r="R11" s="583"/>
      <c r="S11" s="583"/>
      <c r="T11" s="584"/>
      <c r="U11" s="404"/>
      <c r="V11" s="404"/>
      <c r="W11" s="404"/>
      <c r="X11" s="579"/>
      <c r="Y11" s="579"/>
      <c r="Z11" s="579"/>
      <c r="AA11" s="404"/>
      <c r="AB11" s="276"/>
      <c r="AC11" s="279"/>
      <c r="AD11" s="404"/>
      <c r="AE11" s="579"/>
      <c r="AF11" s="404"/>
      <c r="AG11" s="404"/>
      <c r="AH11" s="404"/>
      <c r="AI11" s="585"/>
      <c r="AJ11" s="586"/>
      <c r="AK11" s="587"/>
      <c r="AL11" s="406"/>
      <c r="AM11" s="406"/>
      <c r="AN11" s="406"/>
      <c r="AO11" s="588"/>
      <c r="AP11" s="589"/>
      <c r="AQ11" s="589"/>
      <c r="AR11" s="589"/>
    </row>
    <row r="12" customFormat="false" ht="12.95" hidden="false" customHeight="true" outlineLevel="0" collapsed="false">
      <c r="A12" s="186" t="n">
        <v>1</v>
      </c>
      <c r="B12" s="575" t="n">
        <v>6913.01</v>
      </c>
      <c r="C12" s="208" t="n">
        <v>334162</v>
      </c>
      <c r="D12" s="365" t="n">
        <f aca="false">C12-C10</f>
        <v>-493</v>
      </c>
      <c r="E12" s="208" t="n">
        <f aca="false">C12-152000</f>
        <v>182162</v>
      </c>
      <c r="F12" s="590" t="n">
        <f aca="false">D12/$D$2</f>
        <v>-248.550541971263</v>
      </c>
      <c r="G12" s="201" t="n">
        <v>427</v>
      </c>
      <c r="H12" s="565" t="n">
        <v>0.09</v>
      </c>
      <c r="I12" s="201" t="n">
        <f aca="false">G12+H12</f>
        <v>427.09</v>
      </c>
      <c r="J12" s="209" t="n">
        <f aca="false">IF(L12&gt;0,L12,0)</f>
        <v>0</v>
      </c>
      <c r="K12" s="201" t="n">
        <f aca="false">I12+J12</f>
        <v>427.09</v>
      </c>
      <c r="L12" s="201" t="n">
        <f aca="false">F12-(I12-AF12)</f>
        <v>-52.6405419712629</v>
      </c>
      <c r="M12" s="591" t="n">
        <v>207</v>
      </c>
      <c r="N12" s="258" t="n">
        <f aca="false">1.8299*1.03</f>
        <v>1.884797</v>
      </c>
      <c r="O12" s="201" t="n">
        <f aca="false">(30+33)*1.05</f>
        <v>66.15</v>
      </c>
      <c r="P12" s="258" t="n">
        <v>0</v>
      </c>
      <c r="Q12" s="258" t="n">
        <f aca="false">2.38*1.02</f>
        <v>2.4276</v>
      </c>
      <c r="R12" s="258" t="n">
        <v>4.2</v>
      </c>
      <c r="S12" s="380" t="n">
        <v>0.05</v>
      </c>
      <c r="T12" s="456" t="n">
        <v>0</v>
      </c>
      <c r="U12" s="201" t="n">
        <v>194</v>
      </c>
      <c r="V12" s="201" t="n">
        <v>71</v>
      </c>
      <c r="W12" s="141" t="n">
        <f aca="false">M12-(N12-AQ12)-O12-P12-Q12-R12-S12-T12+U12+V12-AQ12</f>
        <v>397.287603</v>
      </c>
      <c r="X12" s="115" t="n">
        <f aca="false">X9-(AO12/1.9835)</f>
        <v>3742.26993434016</v>
      </c>
      <c r="Y12" s="115" t="n">
        <f aca="false">Y9+AP12</f>
        <v>2685.15</v>
      </c>
      <c r="Z12" s="208" t="n">
        <f aca="false">Z9</f>
        <v>701.789765565919</v>
      </c>
      <c r="AA12" s="201" t="n">
        <v>73</v>
      </c>
      <c r="AB12" s="284" t="n">
        <v>1.7</v>
      </c>
      <c r="AC12" s="285" t="n">
        <v>1.3</v>
      </c>
      <c r="AD12" s="592" t="n">
        <v>78</v>
      </c>
      <c r="AE12" s="593" t="n">
        <f aca="false">AE10-AD12</f>
        <v>10330.823072851</v>
      </c>
      <c r="AF12" s="34" t="n">
        <f aca="false">N12+O12+P12+Q12+R12+S12+T12+W12+AA12+AD12</f>
        <v>623</v>
      </c>
      <c r="AG12" s="201" t="n">
        <f aca="false">IF(L12&lt;0,L12*-1,0)</f>
        <v>52.6405419712629</v>
      </c>
      <c r="AH12" s="201" t="n">
        <f aca="false">AF12+AG12</f>
        <v>675.640541971263</v>
      </c>
      <c r="AI12" s="372" t="n">
        <v>0.02</v>
      </c>
      <c r="AJ12" s="365" t="n">
        <v>86</v>
      </c>
      <c r="AK12" s="574" t="n">
        <v>56</v>
      </c>
      <c r="AL12" s="264" t="n">
        <f aca="false">AL10</f>
        <v>10571</v>
      </c>
      <c r="AM12" s="374"/>
      <c r="AN12" s="264" t="n">
        <f aca="false">AN9</f>
        <v>294.3</v>
      </c>
      <c r="AO12" s="258" t="n">
        <f aca="false">45.4*(X9*1.9835+Y9*1.9835+Z9*1.9835+AN9*1.9835)/E12</f>
        <v>3.67069080817055</v>
      </c>
      <c r="AP12" s="594"/>
      <c r="AQ12" s="9" t="n">
        <v>1.09</v>
      </c>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2.95" hidden="false" customHeight="true" outlineLevel="0" collapsed="false">
      <c r="A13" s="186" t="n">
        <f aca="false">A12+1</f>
        <v>2</v>
      </c>
      <c r="B13" s="575" t="n">
        <v>6912.92</v>
      </c>
      <c r="C13" s="208" t="n">
        <v>333795</v>
      </c>
      <c r="D13" s="365" t="n">
        <f aca="false">C13-C12</f>
        <v>-367</v>
      </c>
      <c r="E13" s="208" t="n">
        <f aca="false">C13-152000</f>
        <v>181795</v>
      </c>
      <c r="F13" s="590" t="n">
        <f aca="false">D13/$D$2</f>
        <v>-185.026468364003</v>
      </c>
      <c r="G13" s="201" t="n">
        <v>365</v>
      </c>
      <c r="H13" s="565" t="n">
        <v>0.08</v>
      </c>
      <c r="I13" s="201" t="n">
        <f aca="false">G13+H13</f>
        <v>365.08</v>
      </c>
      <c r="J13" s="209" t="n">
        <f aca="false">IF(L13&gt;0,L13,0)</f>
        <v>52.893531635997</v>
      </c>
      <c r="K13" s="201" t="n">
        <f aca="false">I13+J13</f>
        <v>417.973531635997</v>
      </c>
      <c r="L13" s="201" t="n">
        <f aca="false">F13-(I13-AF13)</f>
        <v>52.893531635997</v>
      </c>
      <c r="M13" s="591" t="n">
        <v>209</v>
      </c>
      <c r="N13" s="258" t="n">
        <f aca="false">1.8299*1.03</f>
        <v>1.884797</v>
      </c>
      <c r="O13" s="201" t="n">
        <f aca="false">(34+36)*1.05</f>
        <v>73.5</v>
      </c>
      <c r="P13" s="258" t="n">
        <v>0</v>
      </c>
      <c r="Q13" s="258" t="n">
        <f aca="false">2.38*1.02</f>
        <v>2.4276</v>
      </c>
      <c r="R13" s="258" t="n">
        <v>4.2</v>
      </c>
      <c r="S13" s="380" t="n">
        <v>1.33</v>
      </c>
      <c r="T13" s="456" t="n">
        <v>0</v>
      </c>
      <c r="U13" s="201" t="n">
        <v>167</v>
      </c>
      <c r="V13" s="201" t="n">
        <v>71</v>
      </c>
      <c r="W13" s="141" t="n">
        <f aca="false">M13-(N13-AQ13)-O13-P13-Q13-R13-S13-T13+U13+V13-AQ13</f>
        <v>363.657603</v>
      </c>
      <c r="X13" s="115" t="n">
        <f aca="false">X12-(AO13/1.9835)</f>
        <v>3740.41604759753</v>
      </c>
      <c r="Y13" s="115" t="n">
        <f aca="false">Y12+AP13</f>
        <v>2685.15</v>
      </c>
      <c r="Z13" s="208" t="n">
        <f aca="false">Z12</f>
        <v>701.789765565919</v>
      </c>
      <c r="AA13" s="201" t="n">
        <v>78</v>
      </c>
      <c r="AB13" s="284" t="n">
        <v>1.7</v>
      </c>
      <c r="AC13" s="285" t="n">
        <v>1.3</v>
      </c>
      <c r="AD13" s="592" t="n">
        <v>78</v>
      </c>
      <c r="AE13" s="593" t="n">
        <f aca="false">AE12-AD13</f>
        <v>10252.823072851</v>
      </c>
      <c r="AF13" s="34" t="n">
        <f aca="false">N13+O13+P13+Q13+R13+S13+T13+W13+AA13+AD13</f>
        <v>603</v>
      </c>
      <c r="AG13" s="201" t="n">
        <f aca="false">IF(L13&lt;0,L13*-1,0)</f>
        <v>0</v>
      </c>
      <c r="AH13" s="201" t="n">
        <f aca="false">AF13+AG13</f>
        <v>603</v>
      </c>
      <c r="AI13" s="372" t="n">
        <v>0.03</v>
      </c>
      <c r="AJ13" s="365" t="n">
        <v>84</v>
      </c>
      <c r="AK13" s="574" t="n">
        <v>60</v>
      </c>
      <c r="AL13" s="264" t="n">
        <f aca="false">AL12</f>
        <v>10571</v>
      </c>
      <c r="AM13" s="374"/>
      <c r="AN13" s="264" t="n">
        <f aca="false">AN12-6.93</f>
        <v>287.37</v>
      </c>
      <c r="AO13" s="258" t="n">
        <f aca="false">45.4*(X12*1.9835+Y12*1.9835+Z12*1.9835+AN12*1.9835)/E13</f>
        <v>3.67718435399913</v>
      </c>
      <c r="AP13" s="594"/>
      <c r="AQ13" s="9" t="n">
        <v>1.09</v>
      </c>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2.95" hidden="false" customHeight="true" outlineLevel="0" collapsed="false">
      <c r="A14" s="186" t="n">
        <f aca="false">A13+1</f>
        <v>3</v>
      </c>
      <c r="B14" s="575" t="n">
        <v>6912.83</v>
      </c>
      <c r="C14" s="208" t="n">
        <v>333428</v>
      </c>
      <c r="D14" s="365" t="n">
        <f aca="false">C14-C13</f>
        <v>-367</v>
      </c>
      <c r="E14" s="208" t="n">
        <f aca="false">C14-152000</f>
        <v>181428</v>
      </c>
      <c r="F14" s="590" t="n">
        <f aca="false">D14/$D$2</f>
        <v>-185.026468364003</v>
      </c>
      <c r="G14" s="201" t="n">
        <v>403</v>
      </c>
      <c r="H14" s="565" t="n">
        <v>0.07</v>
      </c>
      <c r="I14" s="201" t="n">
        <f aca="false">G14+H14</f>
        <v>403.07</v>
      </c>
      <c r="J14" s="209" t="n">
        <f aca="false">IF(L14&gt;0,L14,0)</f>
        <v>16.903531635997</v>
      </c>
      <c r="K14" s="201" t="n">
        <f aca="false">I14+J14</f>
        <v>419.973531635997</v>
      </c>
      <c r="L14" s="201" t="n">
        <f aca="false">F14-(I14-AF14)</f>
        <v>16.903531635997</v>
      </c>
      <c r="M14" s="591" t="n">
        <v>194</v>
      </c>
      <c r="N14" s="258" t="n">
        <f aca="false">1.8299*1.03</f>
        <v>1.884797</v>
      </c>
      <c r="O14" s="201" t="n">
        <f aca="false">(35+38)*1.05</f>
        <v>76.65</v>
      </c>
      <c r="P14" s="258" t="n">
        <v>0</v>
      </c>
      <c r="Q14" s="258" t="n">
        <f aca="false">2.38*1.02</f>
        <v>2.4276</v>
      </c>
      <c r="R14" s="258" t="n">
        <v>4.2</v>
      </c>
      <c r="S14" s="380" t="n">
        <v>1.96</v>
      </c>
      <c r="T14" s="456" t="n">
        <v>0</v>
      </c>
      <c r="U14" s="201" t="n">
        <v>166</v>
      </c>
      <c r="V14" s="201" t="n">
        <v>71</v>
      </c>
      <c r="W14" s="141" t="n">
        <f aca="false">M14-(N14-AQ14)-O14-P14-Q14-R14-S14-T14+U14+V14-AQ14</f>
        <v>343.877603</v>
      </c>
      <c r="X14" s="115" t="n">
        <f aca="false">X13-(AO14/1.9835)</f>
        <v>3738.5606087903</v>
      </c>
      <c r="Y14" s="115" t="n">
        <f aca="false">Y13+AP14</f>
        <v>2685.15</v>
      </c>
      <c r="Z14" s="208" t="n">
        <f aca="false">Z13</f>
        <v>701.789765565919</v>
      </c>
      <c r="AA14" s="201" t="n">
        <v>96</v>
      </c>
      <c r="AB14" s="284" t="n">
        <v>1.7</v>
      </c>
      <c r="AC14" s="285" t="n">
        <v>1.3</v>
      </c>
      <c r="AD14" s="592" t="n">
        <v>78</v>
      </c>
      <c r="AE14" s="593" t="n">
        <f aca="false">AE13-AD14</f>
        <v>10174.823072851</v>
      </c>
      <c r="AF14" s="34" t="n">
        <f aca="false">N14+O14+P14+Q14+R14+S14+T14+W14+AA14+AD14</f>
        <v>605</v>
      </c>
      <c r="AG14" s="201" t="n">
        <f aca="false">IF(L14&lt;0,L14*-1,0)</f>
        <v>0</v>
      </c>
      <c r="AH14" s="201" t="n">
        <f aca="false">AF14+AG14</f>
        <v>605</v>
      </c>
      <c r="AI14" s="372" t="n">
        <v>0.12</v>
      </c>
      <c r="AJ14" s="365" t="n">
        <v>79</v>
      </c>
      <c r="AK14" s="574" t="n">
        <v>59</v>
      </c>
      <c r="AL14" s="264" t="n">
        <f aca="false">AL13</f>
        <v>10571</v>
      </c>
      <c r="AM14" s="374"/>
      <c r="AN14" s="264" t="n">
        <f aca="false">AN13+5.6</f>
        <v>292.97</v>
      </c>
      <c r="AO14" s="258" t="n">
        <f aca="false">45.4*(X13*1.9835+Y13*1.9835+Z13*1.9835+AN13*1.9835)/E14</f>
        <v>3.6802628741352</v>
      </c>
      <c r="AP14" s="594"/>
      <c r="AQ14" s="9" t="n">
        <v>1.09</v>
      </c>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86" t="n">
        <f aca="false">A14+1</f>
        <v>4</v>
      </c>
      <c r="B15" s="575" t="n">
        <v>6912.82</v>
      </c>
      <c r="C15" s="208" t="n">
        <v>333387</v>
      </c>
      <c r="D15" s="365" t="n">
        <f aca="false">C15-C14</f>
        <v>-41</v>
      </c>
      <c r="E15" s="208" t="n">
        <f aca="false">C15-152000</f>
        <v>181387</v>
      </c>
      <c r="F15" s="590" t="n">
        <f aca="false">D15/$D$2</f>
        <v>-20.6705318880766</v>
      </c>
      <c r="G15" s="201" t="n">
        <v>529</v>
      </c>
      <c r="H15" s="565" t="n">
        <v>0.06</v>
      </c>
      <c r="I15" s="201" t="n">
        <f aca="false">G15+H15</f>
        <v>529.06</v>
      </c>
      <c r="J15" s="209" t="n">
        <f aca="false">IF(L15&gt;0,L15,0)</f>
        <v>30.2694681119234</v>
      </c>
      <c r="K15" s="201" t="n">
        <f aca="false">I15+J15</f>
        <v>559.329468111923</v>
      </c>
      <c r="L15" s="201" t="n">
        <f aca="false">F15-(I15-AF15)</f>
        <v>30.2694681119234</v>
      </c>
      <c r="M15" s="591" t="n">
        <v>198</v>
      </c>
      <c r="N15" s="258" t="n">
        <f aca="false">1.8299*1.03</f>
        <v>1.884797</v>
      </c>
      <c r="O15" s="201" t="n">
        <f aca="false">(34+34)*1.05</f>
        <v>71.4</v>
      </c>
      <c r="P15" s="258" t="n">
        <v>0</v>
      </c>
      <c r="Q15" s="258" t="n">
        <f aca="false">2.38*1.02</f>
        <v>2.4276</v>
      </c>
      <c r="R15" s="258" t="n">
        <v>4.2</v>
      </c>
      <c r="S15" s="380" t="n">
        <v>1.05</v>
      </c>
      <c r="T15" s="456" t="n">
        <v>0</v>
      </c>
      <c r="U15" s="201" t="n">
        <v>167</v>
      </c>
      <c r="V15" s="201" t="n">
        <v>70</v>
      </c>
      <c r="W15" s="141" t="n">
        <f aca="false">M15-(N15-AQ15)-O15-P15-Q15-R15-S15-T15+U15+V15-AQ15</f>
        <v>354.037603</v>
      </c>
      <c r="X15" s="115" t="n">
        <f aca="false">X14-(AO15/1.9835)</f>
        <v>3736.70381334743</v>
      </c>
      <c r="Y15" s="115" t="n">
        <f aca="false">Y14+AP15</f>
        <v>2685.15</v>
      </c>
      <c r="Z15" s="208" t="n">
        <f aca="false">Z14</f>
        <v>701.789765565919</v>
      </c>
      <c r="AA15" s="201" t="n">
        <v>67</v>
      </c>
      <c r="AB15" s="284" t="n">
        <v>1.7</v>
      </c>
      <c r="AC15" s="285" t="n">
        <v>1.3</v>
      </c>
      <c r="AD15" s="592" t="n">
        <v>78</v>
      </c>
      <c r="AE15" s="593" t="n">
        <f aca="false">AE14-AD15</f>
        <v>10096.823072851</v>
      </c>
      <c r="AF15" s="34" t="n">
        <f aca="false">N15+O15+P15+Q15+R15+S15+T15+W15+AA15+AD15</f>
        <v>580</v>
      </c>
      <c r="AG15" s="201" t="n">
        <f aca="false">IF(L15&lt;0,L15*-1,0)</f>
        <v>0</v>
      </c>
      <c r="AH15" s="201" t="n">
        <f aca="false">AF15+AG15</f>
        <v>580</v>
      </c>
      <c r="AI15" s="372" t="n">
        <v>0.28</v>
      </c>
      <c r="AJ15" s="365" t="n">
        <v>81</v>
      </c>
      <c r="AK15" s="574" t="n">
        <v>60</v>
      </c>
      <c r="AL15" s="264" t="n">
        <f aca="false">AL14</f>
        <v>10571</v>
      </c>
      <c r="AM15" s="374"/>
      <c r="AN15" s="264" t="n">
        <f aca="false">AN14-0.1</f>
        <v>292.87</v>
      </c>
      <c r="AO15" s="258" t="n">
        <f aca="false">45.4*(X14*1.9835+Y14*1.9835+Z14*1.9835+AN14*1.9835)/E15</f>
        <v>3.68295376093168</v>
      </c>
      <c r="AP15" s="594"/>
      <c r="AQ15" s="9" t="n">
        <v>1.09</v>
      </c>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86" t="n">
        <f aca="false">A15+1</f>
        <v>5</v>
      </c>
      <c r="B16" s="575" t="n">
        <v>6912.8</v>
      </c>
      <c r="C16" s="208" t="n">
        <v>333306</v>
      </c>
      <c r="D16" s="365" t="n">
        <f aca="false">C16-C15</f>
        <v>-81</v>
      </c>
      <c r="E16" s="208" t="n">
        <f aca="false">C16-152000</f>
        <v>181306</v>
      </c>
      <c r="F16" s="590" t="n">
        <f aca="false">D16/$D$2</f>
        <v>-40.8369044618099</v>
      </c>
      <c r="G16" s="201" t="n">
        <v>482</v>
      </c>
      <c r="H16" s="565" t="n">
        <v>0.06</v>
      </c>
      <c r="I16" s="201" t="n">
        <f aca="false">G16+H16</f>
        <v>482.06</v>
      </c>
      <c r="J16" s="209" t="n">
        <f aca="false">IF(L16&gt;0,L16,0)</f>
        <v>0</v>
      </c>
      <c r="K16" s="201" t="n">
        <f aca="false">I16+J16</f>
        <v>482.06</v>
      </c>
      <c r="L16" s="201" t="n">
        <f aca="false">F16-(I16-AF16)</f>
        <v>-30.0969044618099</v>
      </c>
      <c r="M16" s="591" t="n">
        <v>168</v>
      </c>
      <c r="N16" s="258" t="n">
        <f aca="false">1.8299*1.03</f>
        <v>1.884797</v>
      </c>
      <c r="O16" s="201" t="n">
        <f aca="false">(33+33)*1.05</f>
        <v>69.3</v>
      </c>
      <c r="P16" s="258" t="n">
        <v>0</v>
      </c>
      <c r="Q16" s="258" t="n">
        <f aca="false">2.38*1.02</f>
        <v>2.4276</v>
      </c>
      <c r="R16" s="258" t="n">
        <v>3.85</v>
      </c>
      <c r="S16" s="380" t="n">
        <v>0</v>
      </c>
      <c r="T16" s="456" t="n">
        <v>0</v>
      </c>
      <c r="U16" s="201" t="n">
        <v>168</v>
      </c>
      <c r="V16" s="201" t="n">
        <v>70</v>
      </c>
      <c r="W16" s="141" t="n">
        <f aca="false">M16-(N16-AQ16)-O16-P16-Q16-R16-S16-T16+U16+V16-AQ16</f>
        <v>328.537603</v>
      </c>
      <c r="X16" s="115" t="n">
        <f aca="false">X15-(AO16/1.9835)</f>
        <v>3734.84667835751</v>
      </c>
      <c r="Y16" s="115" t="n">
        <f aca="false">Y15+AP16</f>
        <v>2685.15</v>
      </c>
      <c r="Z16" s="208" t="n">
        <f aca="false">Z15</f>
        <v>701.789765565919</v>
      </c>
      <c r="AA16" s="201" t="n">
        <v>8.8</v>
      </c>
      <c r="AB16" s="284" t="n">
        <v>1.7</v>
      </c>
      <c r="AC16" s="285" t="n">
        <v>1.3</v>
      </c>
      <c r="AD16" s="592" t="n">
        <v>78</v>
      </c>
      <c r="AE16" s="593" t="n">
        <f aca="false">AE15-AD16</f>
        <v>10018.823072851</v>
      </c>
      <c r="AF16" s="34" t="n">
        <f aca="false">N16+O16+P16+Q16+R16+S16+T16+W16+AA16+AD16</f>
        <v>492.8</v>
      </c>
      <c r="AG16" s="201" t="n">
        <f aca="false">IF(L16&lt;0,L16*-1,0)</f>
        <v>30.0969044618099</v>
      </c>
      <c r="AH16" s="201" t="n">
        <f aca="false">AF16+AG16</f>
        <v>522.89690446181</v>
      </c>
      <c r="AI16" s="372" t="n">
        <v>0</v>
      </c>
      <c r="AJ16" s="365" t="n">
        <v>82</v>
      </c>
      <c r="AK16" s="574" t="n">
        <v>59</v>
      </c>
      <c r="AL16" s="264" t="n">
        <f aca="false">AL15</f>
        <v>10571</v>
      </c>
      <c r="AM16" s="374"/>
      <c r="AN16" s="264" t="n">
        <f aca="false">AN15</f>
        <v>292.87</v>
      </c>
      <c r="AO16" s="258" t="n">
        <f aca="false">45.4*(X15*1.9835+Y15*1.9835+Z15*1.9835+AN15*1.9835)/E16</f>
        <v>3.68362725250884</v>
      </c>
      <c r="AP16" s="594"/>
      <c r="AQ16" s="9" t="n">
        <v>1.09</v>
      </c>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86" t="n">
        <f aca="false">A16+1</f>
        <v>6</v>
      </c>
      <c r="B17" s="575" t="n">
        <v>6912.84</v>
      </c>
      <c r="C17" s="208" t="n">
        <v>333469</v>
      </c>
      <c r="D17" s="365" t="n">
        <f aca="false">C17-C16</f>
        <v>163</v>
      </c>
      <c r="E17" s="208" t="n">
        <f aca="false">C17-152000</f>
        <v>181469</v>
      </c>
      <c r="F17" s="590" t="n">
        <f aca="false">D17/$D$2</f>
        <v>82.1779682379632</v>
      </c>
      <c r="G17" s="201" t="n">
        <v>647</v>
      </c>
      <c r="H17" s="565" t="n">
        <v>0.05</v>
      </c>
      <c r="I17" s="201" t="n">
        <f aca="false">G17+H17</f>
        <v>647.05</v>
      </c>
      <c r="J17" s="209" t="n">
        <f aca="false">IF(L17&gt;0,L17,0)</f>
        <v>0</v>
      </c>
      <c r="K17" s="201" t="n">
        <f aca="false">I17+J17</f>
        <v>647.05</v>
      </c>
      <c r="L17" s="201" t="n">
        <f aca="false">F17-(I17-AF17)</f>
        <v>-37.8720317620368</v>
      </c>
      <c r="M17" s="591" t="n">
        <v>178</v>
      </c>
      <c r="N17" s="258" t="n">
        <f aca="false">1.8299*1.03</f>
        <v>1.884797</v>
      </c>
      <c r="O17" s="201" t="n">
        <f aca="false">(33+33)*1.05</f>
        <v>69.3</v>
      </c>
      <c r="P17" s="258" t="n">
        <v>0</v>
      </c>
      <c r="Q17" s="258" t="n">
        <f aca="false">2.38*1.02</f>
        <v>2.4276</v>
      </c>
      <c r="R17" s="258" t="n">
        <v>4.2</v>
      </c>
      <c r="S17" s="380" t="n">
        <v>3.16</v>
      </c>
      <c r="T17" s="456" t="n">
        <v>0</v>
      </c>
      <c r="U17" s="201" t="n">
        <v>167</v>
      </c>
      <c r="V17" s="201" t="n">
        <v>68</v>
      </c>
      <c r="W17" s="141" t="n">
        <f aca="false">M17-(N17-AQ17)-O17-P17-Q17-R17-S17-T17+U17+V17-AQ17</f>
        <v>332.027603</v>
      </c>
      <c r="X17" s="115" t="n">
        <f aca="false">X16-(AO17/1.9835)</f>
        <v>3732.99167611165</v>
      </c>
      <c r="Y17" s="115" t="n">
        <f aca="false">Y16+AP17</f>
        <v>2685.15</v>
      </c>
      <c r="Z17" s="208" t="n">
        <f aca="false">Z16</f>
        <v>701.789765565919</v>
      </c>
      <c r="AA17" s="201" t="n">
        <v>36</v>
      </c>
      <c r="AB17" s="284" t="n">
        <v>1.7</v>
      </c>
      <c r="AC17" s="285" t="n">
        <v>1.3</v>
      </c>
      <c r="AD17" s="592" t="n">
        <v>78</v>
      </c>
      <c r="AE17" s="593" t="n">
        <f aca="false">AE16-AD17</f>
        <v>9940.82307285102</v>
      </c>
      <c r="AF17" s="34" t="n">
        <f aca="false">N17+O17+P17+Q17+R17+S17+T17+W17+AA17+AD17</f>
        <v>527</v>
      </c>
      <c r="AG17" s="201" t="n">
        <f aca="false">IF(L17&lt;0,L17*-1,0)</f>
        <v>37.8720317620368</v>
      </c>
      <c r="AH17" s="201" t="n">
        <f aca="false">AF17+AG17</f>
        <v>564.872031762037</v>
      </c>
      <c r="AI17" s="372" t="n">
        <v>0.05</v>
      </c>
      <c r="AJ17" s="365" t="n">
        <v>81</v>
      </c>
      <c r="AK17" s="574" t="n">
        <v>58</v>
      </c>
      <c r="AL17" s="264" t="n">
        <f aca="false">AL16</f>
        <v>10571</v>
      </c>
      <c r="AM17" s="374"/>
      <c r="AN17" s="264" t="n">
        <f aca="false">AN16</f>
        <v>292.87</v>
      </c>
      <c r="AO17" s="258" t="n">
        <f aca="false">45.4*(X16*1.9835+Y16*1.9835+Z16*1.9835+AN16*1.9835)/E17</f>
        <v>3.67939695466501</v>
      </c>
      <c r="AP17" s="594"/>
      <c r="AQ17" s="9" t="n">
        <v>1.09</v>
      </c>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86" t="n">
        <f aca="false">A17+1</f>
        <v>7</v>
      </c>
      <c r="B18" s="575" t="n">
        <v>6912.84</v>
      </c>
      <c r="C18" s="208" t="n">
        <v>333469</v>
      </c>
      <c r="D18" s="365" t="n">
        <f aca="false">C18-C17</f>
        <v>0</v>
      </c>
      <c r="E18" s="208" t="n">
        <f aca="false">C18-152000</f>
        <v>181469</v>
      </c>
      <c r="F18" s="590" t="n">
        <f aca="false">D18/$D$2</f>
        <v>0</v>
      </c>
      <c r="G18" s="201" t="n">
        <v>532</v>
      </c>
      <c r="H18" s="565" t="n">
        <v>0.03</v>
      </c>
      <c r="I18" s="201" t="n">
        <f aca="false">G18+H18</f>
        <v>532.03</v>
      </c>
      <c r="J18" s="209" t="n">
        <f aca="false">IF(L18&gt;0,L18,0)</f>
        <v>1.97000000000003</v>
      </c>
      <c r="K18" s="201" t="n">
        <f aca="false">I18+J18</f>
        <v>534</v>
      </c>
      <c r="L18" s="201" t="n">
        <f aca="false">F18-(I18-AF18)</f>
        <v>1.97000000000003</v>
      </c>
      <c r="M18" s="591" t="n">
        <v>179</v>
      </c>
      <c r="N18" s="258" t="n">
        <f aca="false">1.8299*1.03</f>
        <v>1.884797</v>
      </c>
      <c r="O18" s="201" t="n">
        <f aca="false">(30+32)*1.05</f>
        <v>65.1</v>
      </c>
      <c r="P18" s="258" t="n">
        <v>0</v>
      </c>
      <c r="Q18" s="258" t="n">
        <f aca="false">2.38*1.02</f>
        <v>2.4276</v>
      </c>
      <c r="R18" s="258" t="n">
        <v>4.2</v>
      </c>
      <c r="S18" s="380" t="n">
        <v>0.91</v>
      </c>
      <c r="T18" s="456" t="n">
        <v>0</v>
      </c>
      <c r="U18" s="201" t="n">
        <v>167</v>
      </c>
      <c r="V18" s="201" t="n">
        <v>65</v>
      </c>
      <c r="W18" s="141" t="n">
        <f aca="false">M18-(N18-AQ18)-O18-P18-Q18-R18-S18-T18+U18+V18-AQ18</f>
        <v>336.477603</v>
      </c>
      <c r="X18" s="115" t="n">
        <f aca="false">X17-(AO18/1.9835)</f>
        <v>3731.13713795113</v>
      </c>
      <c r="Y18" s="115" t="n">
        <f aca="false">Y17+AP18</f>
        <v>2685.15</v>
      </c>
      <c r="Z18" s="208" t="n">
        <f aca="false">Z17</f>
        <v>701.789765565919</v>
      </c>
      <c r="AA18" s="201" t="n">
        <v>44</v>
      </c>
      <c r="AB18" s="284" t="n">
        <v>1.7</v>
      </c>
      <c r="AC18" s="285" t="n">
        <v>1.3</v>
      </c>
      <c r="AD18" s="592" t="n">
        <v>79</v>
      </c>
      <c r="AE18" s="593" t="n">
        <f aca="false">AE17-AD18</f>
        <v>9861.82307285102</v>
      </c>
      <c r="AF18" s="34" t="n">
        <f aca="false">N18+O18+P18+Q18+R18+S18+T18+W18+AA18+AD18</f>
        <v>534</v>
      </c>
      <c r="AG18" s="201" t="n">
        <f aca="false">IF(L18&lt;0,L18*-1,0)</f>
        <v>0</v>
      </c>
      <c r="AH18" s="201" t="n">
        <f aca="false">AF18+AG18</f>
        <v>534</v>
      </c>
      <c r="AI18" s="372" t="n">
        <v>0</v>
      </c>
      <c r="AJ18" s="365" t="n">
        <v>79</v>
      </c>
      <c r="AK18" s="574" t="n">
        <v>58</v>
      </c>
      <c r="AL18" s="264" t="n">
        <f aca="false">AL17</f>
        <v>10571</v>
      </c>
      <c r="AM18" s="374"/>
      <c r="AN18" s="264" t="n">
        <f aca="false">AN17</f>
        <v>292.87</v>
      </c>
      <c r="AO18" s="258" t="n">
        <f aca="false">45.4*(X17*1.9835+Y17*1.9835+Z17*1.9835+AN17*1.9835)/E18</f>
        <v>3.6784764413997</v>
      </c>
      <c r="AP18" s="594"/>
      <c r="AQ18" s="9" t="n">
        <v>1.09</v>
      </c>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86" t="n">
        <f aca="false">A18+1</f>
        <v>8</v>
      </c>
      <c r="B19" s="575" t="n">
        <v>6912.8</v>
      </c>
      <c r="C19" s="208" t="n">
        <v>333306</v>
      </c>
      <c r="D19" s="365" t="n">
        <f aca="false">C19-C18</f>
        <v>-163</v>
      </c>
      <c r="E19" s="208" t="n">
        <f aca="false">C19-152000</f>
        <v>181306</v>
      </c>
      <c r="F19" s="590" t="n">
        <f aca="false">D19/$D$2</f>
        <v>-82.1779682379632</v>
      </c>
      <c r="G19" s="201" t="n">
        <v>454</v>
      </c>
      <c r="H19" s="565" t="n">
        <v>0.02</v>
      </c>
      <c r="I19" s="201" t="n">
        <f aca="false">G19+H19</f>
        <v>454.02</v>
      </c>
      <c r="J19" s="209" t="n">
        <f aca="false">IF(L19&gt;0,L19,0)</f>
        <v>0</v>
      </c>
      <c r="K19" s="201" t="n">
        <f aca="false">I19+J19</f>
        <v>454.02</v>
      </c>
      <c r="L19" s="201" t="n">
        <f aca="false">F19-(I19-AF19)</f>
        <v>-15.1979682379632</v>
      </c>
      <c r="M19" s="591" t="n">
        <v>166</v>
      </c>
      <c r="N19" s="258" t="n">
        <f aca="false">1.8299*1.03</f>
        <v>1.884797</v>
      </c>
      <c r="O19" s="201" t="n">
        <f aca="false">(24+27)*1.05</f>
        <v>53.55</v>
      </c>
      <c r="P19" s="258" t="n">
        <v>0</v>
      </c>
      <c r="Q19" s="258" t="n">
        <f aca="false">2.38*1.02</f>
        <v>2.4276</v>
      </c>
      <c r="R19" s="258" t="n">
        <v>4.2</v>
      </c>
      <c r="S19" s="380" t="n">
        <v>0.78</v>
      </c>
      <c r="T19" s="456" t="n">
        <v>0</v>
      </c>
      <c r="U19" s="201" t="n">
        <v>167</v>
      </c>
      <c r="V19" s="201" t="n">
        <v>64</v>
      </c>
      <c r="W19" s="141" t="n">
        <f aca="false">M19-(N19-AQ19)-O19-P19-Q19-R19-S19-T19+U19+V19-AQ19</f>
        <v>334.157603</v>
      </c>
      <c r="X19" s="115" t="n">
        <f aca="false">X18-(AO19/1.9835)</f>
        <v>3729.28139688674</v>
      </c>
      <c r="Y19" s="115" t="n">
        <f aca="false">Y18+AP19</f>
        <v>2685.15</v>
      </c>
      <c r="Z19" s="208" t="n">
        <f aca="false">Z18</f>
        <v>701.789765565919</v>
      </c>
      <c r="AA19" s="201" t="n">
        <v>45</v>
      </c>
      <c r="AB19" s="284" t="n">
        <v>1.7</v>
      </c>
      <c r="AC19" s="285" t="n">
        <v>1.3</v>
      </c>
      <c r="AD19" s="592" t="n">
        <v>79</v>
      </c>
      <c r="AE19" s="593" t="n">
        <f aca="false">AE18-AD19</f>
        <v>9782.82307285102</v>
      </c>
      <c r="AF19" s="34" t="n">
        <f aca="false">N19+O19+P19+Q19+R19+S19+T19+W19+AA19+AD19</f>
        <v>521</v>
      </c>
      <c r="AG19" s="201" t="n">
        <f aca="false">IF(L19&lt;0,L19*-1,0)</f>
        <v>15.1979682379632</v>
      </c>
      <c r="AH19" s="201" t="n">
        <f aca="false">AF19+AG19</f>
        <v>536.197968237963</v>
      </c>
      <c r="AI19" s="372" t="n">
        <v>0</v>
      </c>
      <c r="AJ19" s="365" t="n">
        <v>83</v>
      </c>
      <c r="AK19" s="574" t="n">
        <v>52</v>
      </c>
      <c r="AL19" s="264" t="n">
        <f aca="false">AL18</f>
        <v>10571</v>
      </c>
      <c r="AM19" s="374"/>
      <c r="AN19" s="264" t="n">
        <f aca="false">AN18</f>
        <v>292.87</v>
      </c>
      <c r="AO19" s="258" t="n">
        <f aca="false">45.4*(X18*1.9835+Y18*1.9835+Z18*1.9835+AN18*1.9835)/E19</f>
        <v>3.68086240121079</v>
      </c>
      <c r="AP19" s="594"/>
      <c r="AQ19" s="9" t="n">
        <v>1.09</v>
      </c>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86" t="n">
        <f aca="false">A19+1</f>
        <v>9</v>
      </c>
      <c r="B20" s="575" t="n">
        <v>6912.66</v>
      </c>
      <c r="C20" s="208" t="n">
        <v>332735</v>
      </c>
      <c r="D20" s="365" t="n">
        <f aca="false">C20-C19</f>
        <v>-571</v>
      </c>
      <c r="E20" s="208" t="n">
        <f aca="false">C20-152000</f>
        <v>180735</v>
      </c>
      <c r="F20" s="590" t="n">
        <f aca="false">D20/$D$2</f>
        <v>-287.874968490043</v>
      </c>
      <c r="G20" s="201" t="n">
        <v>353</v>
      </c>
      <c r="H20" s="565" t="n">
        <v>0</v>
      </c>
      <c r="I20" s="201" t="n">
        <f aca="false">G20+H20</f>
        <v>353</v>
      </c>
      <c r="J20" s="209" t="n">
        <f aca="false">IF(L20&gt;0,L20,0)</f>
        <v>0</v>
      </c>
      <c r="K20" s="201" t="n">
        <f aca="false">I20+J20</f>
        <v>353</v>
      </c>
      <c r="L20" s="201" t="n">
        <f aca="false">F20-(I20-AF20)</f>
        <v>-92.8749684900429</v>
      </c>
      <c r="M20" s="591" t="n">
        <v>185</v>
      </c>
      <c r="N20" s="258" t="n">
        <f aca="false">1.8299*1.03</f>
        <v>1.884797</v>
      </c>
      <c r="O20" s="201" t="n">
        <f aca="false">(23+26)*1.05</f>
        <v>51.45</v>
      </c>
      <c r="P20" s="258" t="n">
        <v>0</v>
      </c>
      <c r="Q20" s="258" t="n">
        <f aca="false">2.38*1.02</f>
        <v>2.4276</v>
      </c>
      <c r="R20" s="258" t="n">
        <v>4.2</v>
      </c>
      <c r="S20" s="380" t="n">
        <v>3.72</v>
      </c>
      <c r="T20" s="456" t="n">
        <v>0</v>
      </c>
      <c r="U20" s="201" t="n">
        <v>167</v>
      </c>
      <c r="V20" s="201" t="n">
        <v>62</v>
      </c>
      <c r="W20" s="141" t="n">
        <f aca="false">M20-(N20-AQ20)-O20-P20-Q20-R20-S20-T20+U20+V20-AQ20</f>
        <v>350.317603</v>
      </c>
      <c r="X20" s="115" t="n">
        <f aca="false">X19-(AO20/1.9835)</f>
        <v>3727.42025909508</v>
      </c>
      <c r="Y20" s="115" t="n">
        <f aca="false">Y19+AP20</f>
        <v>2685.15</v>
      </c>
      <c r="Z20" s="208" t="n">
        <f aca="false">Z19</f>
        <v>701.789765565919</v>
      </c>
      <c r="AA20" s="201" t="n">
        <v>54</v>
      </c>
      <c r="AB20" s="284" t="n">
        <v>1.7</v>
      </c>
      <c r="AC20" s="285" t="n">
        <v>1.3</v>
      </c>
      <c r="AD20" s="592" t="n">
        <v>80</v>
      </c>
      <c r="AE20" s="593" t="n">
        <f aca="false">AE19-AD20</f>
        <v>9702.82307285102</v>
      </c>
      <c r="AF20" s="34" t="n">
        <f aca="false">N20+O20+P20+Q20+R20+S20+T20+W20+AA20+AD20</f>
        <v>548</v>
      </c>
      <c r="AG20" s="201" t="n">
        <f aca="false">IF(L20&lt;0,L20*-1,0)</f>
        <v>92.8749684900429</v>
      </c>
      <c r="AH20" s="201" t="n">
        <f aca="false">AF20+AG20</f>
        <v>640.874968490043</v>
      </c>
      <c r="AI20" s="372" t="n">
        <v>0</v>
      </c>
      <c r="AJ20" s="213" t="n">
        <v>86</v>
      </c>
      <c r="AK20" s="574" t="n">
        <v>51</v>
      </c>
      <c r="AL20" s="264" t="n">
        <f aca="false">AL19</f>
        <v>10571</v>
      </c>
      <c r="AM20" s="374"/>
      <c r="AN20" s="264" t="n">
        <f aca="false">AN19-5.63</f>
        <v>287.24</v>
      </c>
      <c r="AO20" s="258" t="n">
        <f aca="false">45.4*(X19*1.9835+Y19*1.9835+Z19*1.9835+AN19*1.9835)/E20</f>
        <v>3.6915668097541</v>
      </c>
      <c r="AP20" s="594"/>
      <c r="AQ20" s="9" t="n">
        <v>1.09</v>
      </c>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86" t="n">
        <f aca="false">A20+1</f>
        <v>10</v>
      </c>
      <c r="B21" s="575" t="n">
        <v>6912.48</v>
      </c>
      <c r="C21" s="208" t="n">
        <v>332001</v>
      </c>
      <c r="D21" s="365" t="n">
        <f aca="false">C21-C20</f>
        <v>-734</v>
      </c>
      <c r="E21" s="208" t="n">
        <f aca="false">C21-152000</f>
        <v>180001</v>
      </c>
      <c r="F21" s="590" t="n">
        <f aca="false">D21/$D$2</f>
        <v>-370.052936728006</v>
      </c>
      <c r="G21" s="201" t="n">
        <v>306</v>
      </c>
      <c r="H21" s="565" t="n">
        <v>0</v>
      </c>
      <c r="I21" s="201" t="n">
        <f aca="false">G21+H21</f>
        <v>306</v>
      </c>
      <c r="J21" s="209" t="n">
        <v>0</v>
      </c>
      <c r="K21" s="201" t="n">
        <f aca="false">I21+J21</f>
        <v>306</v>
      </c>
      <c r="L21" s="201" t="n">
        <f aca="false">F21-(I21-AF21)</f>
        <v>-45.052936728006</v>
      </c>
      <c r="M21" s="591" t="n">
        <v>208</v>
      </c>
      <c r="N21" s="258" t="n">
        <f aca="false">1.8299*1.03</f>
        <v>1.884797</v>
      </c>
      <c r="O21" s="201" t="n">
        <f aca="false">(30+32)*1.05</f>
        <v>65.1</v>
      </c>
      <c r="P21" s="258" t="n">
        <v>0</v>
      </c>
      <c r="Q21" s="258" t="n">
        <f aca="false">2.38*1.02</f>
        <v>2.4276</v>
      </c>
      <c r="R21" s="258" t="n">
        <v>4.2</v>
      </c>
      <c r="S21" s="380" t="n">
        <v>3.03</v>
      </c>
      <c r="T21" s="456" t="n">
        <v>0</v>
      </c>
      <c r="U21" s="201" t="n">
        <v>166</v>
      </c>
      <c r="V21" s="201" t="n">
        <v>61</v>
      </c>
      <c r="W21" s="141" t="n">
        <f aca="false">M21-(N21-AQ21)-O21-P21-Q21-R21-S21-T21+U21+V21-AQ21</f>
        <v>358.357603</v>
      </c>
      <c r="X21" s="115" t="n">
        <f aca="false">X20-(AO21/1.9835)</f>
        <v>3725.55342146018</v>
      </c>
      <c r="Y21" s="115" t="n">
        <f aca="false">Y20+AP21</f>
        <v>2685.15</v>
      </c>
      <c r="Z21" s="208" t="n">
        <f aca="false">Z20</f>
        <v>701.789765565919</v>
      </c>
      <c r="AA21" s="201" t="n">
        <v>115</v>
      </c>
      <c r="AB21" s="284" t="n">
        <v>1.7</v>
      </c>
      <c r="AC21" s="285" t="n">
        <v>1.3</v>
      </c>
      <c r="AD21" s="592" t="n">
        <v>81</v>
      </c>
      <c r="AE21" s="593" t="n">
        <f aca="false">AE20-AD21</f>
        <v>9621.82307285102</v>
      </c>
      <c r="AF21" s="34" t="n">
        <f aca="false">N21+O21+P21+Q21+R21+S21+T21+W21+AA21+AD21</f>
        <v>631</v>
      </c>
      <c r="AG21" s="201" t="n">
        <f aca="false">IF(L21&lt;0,L21*-1,0)</f>
        <v>45.052936728006</v>
      </c>
      <c r="AH21" s="201" t="n">
        <f aca="false">AF21+AG21</f>
        <v>676.052936728006</v>
      </c>
      <c r="AI21" s="372" t="n">
        <v>0</v>
      </c>
      <c r="AJ21" s="365" t="n">
        <v>85</v>
      </c>
      <c r="AK21" s="574" t="n">
        <v>56</v>
      </c>
      <c r="AL21" s="264" t="n">
        <f aca="false">AL20</f>
        <v>10571</v>
      </c>
      <c r="AM21" s="374"/>
      <c r="AN21" s="264" t="n">
        <f aca="false">AN20-60.73</f>
        <v>226.51</v>
      </c>
      <c r="AO21" s="258" t="n">
        <f aca="false">45.4*(X20*1.9835+Y20*1.9835+Z20*1.9835+AN20*1.9835)/E21</f>
        <v>3.70287244882387</v>
      </c>
      <c r="AP21" s="594"/>
      <c r="AQ21" s="9" t="n">
        <v>1.09</v>
      </c>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86" t="n">
        <v>11</v>
      </c>
      <c r="B22" s="575" t="n">
        <v>6912.33</v>
      </c>
      <c r="C22" s="208" t="n">
        <v>331308</v>
      </c>
      <c r="D22" s="365" t="n">
        <f aca="false">C22-C21</f>
        <v>-693</v>
      </c>
      <c r="E22" s="208" t="n">
        <f aca="false">C22-152000</f>
        <v>179308</v>
      </c>
      <c r="F22" s="590" t="n">
        <f aca="false">D22/$D$2</f>
        <v>-349.382404839929</v>
      </c>
      <c r="G22" s="201" t="n">
        <v>268</v>
      </c>
      <c r="H22" s="565" t="n">
        <v>0</v>
      </c>
      <c r="I22" s="201" t="n">
        <f aca="false">G22+H22</f>
        <v>268</v>
      </c>
      <c r="J22" s="209" t="n">
        <f aca="false">IF(L22&gt;0,L22,0)</f>
        <v>0</v>
      </c>
      <c r="K22" s="201" t="n">
        <f aca="false">I22+J22</f>
        <v>268</v>
      </c>
      <c r="L22" s="201" t="n">
        <f aca="false">F22-(I22-AF22)</f>
        <v>-21.3824048399294</v>
      </c>
      <c r="M22" s="591" t="n">
        <v>213</v>
      </c>
      <c r="N22" s="258" t="n">
        <f aca="false">1.8299*1.03</f>
        <v>1.884797</v>
      </c>
      <c r="O22" s="201" t="n">
        <f aca="false">(29+30)*1.05</f>
        <v>61.95</v>
      </c>
      <c r="P22" s="258" t="n">
        <v>0</v>
      </c>
      <c r="Q22" s="258" t="n">
        <f aca="false">2.38*1.02</f>
        <v>2.4276</v>
      </c>
      <c r="R22" s="258" t="n">
        <v>4.2</v>
      </c>
      <c r="S22" s="380" t="n">
        <v>3.39</v>
      </c>
      <c r="T22" s="456" t="n">
        <v>0</v>
      </c>
      <c r="U22" s="201" t="n">
        <v>167</v>
      </c>
      <c r="V22" s="201" t="n">
        <v>62</v>
      </c>
      <c r="W22" s="141" t="n">
        <f aca="false">M22-(N22-AQ22)-O22-P22-Q22-R22-S22-T22+U22+V22-AQ22</f>
        <v>368.147603</v>
      </c>
      <c r="X22" s="115" t="n">
        <f aca="false">X21-(AO22/1.9835)</f>
        <v>3723.69521800751</v>
      </c>
      <c r="Y22" s="115" t="n">
        <f aca="false">Y21+AP22</f>
        <v>2685.15</v>
      </c>
      <c r="Z22" s="208" t="n">
        <f aca="false">Z21</f>
        <v>701.789765565919</v>
      </c>
      <c r="AA22" s="201" t="n">
        <v>73</v>
      </c>
      <c r="AB22" s="284" t="n">
        <v>1.7</v>
      </c>
      <c r="AC22" s="285" t="n">
        <v>1.3</v>
      </c>
      <c r="AD22" s="592" t="n">
        <v>81</v>
      </c>
      <c r="AE22" s="593" t="n">
        <f aca="false">AE21-AD22</f>
        <v>9540.82307285102</v>
      </c>
      <c r="AF22" s="34" t="n">
        <f aca="false">N22+O22+P22+Q22+R22+S22+T22+W22+AA22+AD22</f>
        <v>596</v>
      </c>
      <c r="AG22" s="201" t="n">
        <f aca="false">IF(L22&lt;0,L22*-1,0)</f>
        <v>21.3824048399294</v>
      </c>
      <c r="AH22" s="201" t="n">
        <f aca="false">AF22+AG22</f>
        <v>617.382404839929</v>
      </c>
      <c r="AI22" s="372" t="n">
        <v>0</v>
      </c>
      <c r="AJ22" s="365" t="n">
        <v>88</v>
      </c>
      <c r="AK22" s="574" t="n">
        <v>55</v>
      </c>
      <c r="AL22" s="264" t="n">
        <f aca="false">AL21</f>
        <v>10571</v>
      </c>
      <c r="AM22" s="374"/>
      <c r="AN22" s="264" t="n">
        <f aca="false">AN21-108.43</f>
        <v>118.08</v>
      </c>
      <c r="AO22" s="258" t="n">
        <f aca="false">45.4*(X21*1.9835+Y21*1.9835+Z21*1.9835+AN21*1.9835)/E22</f>
        <v>3.68574654836688</v>
      </c>
      <c r="AP22" s="594"/>
      <c r="AQ22" s="9" t="n">
        <v>1.09</v>
      </c>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86" t="n">
        <v>12</v>
      </c>
      <c r="B23" s="575" t="n">
        <v>6912.07</v>
      </c>
      <c r="C23" s="208" t="n">
        <v>330330</v>
      </c>
      <c r="D23" s="365" t="n">
        <f aca="false">C23-C22</f>
        <v>-978</v>
      </c>
      <c r="E23" s="208" t="n">
        <f aca="false">C23-152000</f>
        <v>178330</v>
      </c>
      <c r="F23" s="590" t="n">
        <f aca="false">D23/$D$2</f>
        <v>-493.067809427779</v>
      </c>
      <c r="G23" s="201" t="n">
        <v>242</v>
      </c>
      <c r="H23" s="565" t="n">
        <v>0</v>
      </c>
      <c r="I23" s="201" t="n">
        <f aca="false">G23+H23</f>
        <v>242</v>
      </c>
      <c r="J23" s="209" t="n">
        <f aca="false">IF(L23&gt;0,L23,0)</f>
        <v>0</v>
      </c>
      <c r="K23" s="201" t="n">
        <f aca="false">I23+J23</f>
        <v>242</v>
      </c>
      <c r="L23" s="201" t="n">
        <f aca="false">F23-(I23-AF23)</f>
        <v>-78.0678094277792</v>
      </c>
      <c r="M23" s="591" t="n">
        <v>240</v>
      </c>
      <c r="N23" s="258" t="n">
        <f aca="false">1.8299*1.03</f>
        <v>1.884797</v>
      </c>
      <c r="O23" s="201" t="n">
        <f aca="false">(33+36)*1.05</f>
        <v>72.45</v>
      </c>
      <c r="P23" s="258" t="n">
        <v>0</v>
      </c>
      <c r="Q23" s="258" t="n">
        <f aca="false">2.38*1.02</f>
        <v>2.4276</v>
      </c>
      <c r="R23" s="258" t="n">
        <v>4.2</v>
      </c>
      <c r="S23" s="380" t="n">
        <v>2.98</v>
      </c>
      <c r="T23" s="456" t="n">
        <v>0</v>
      </c>
      <c r="U23" s="201" t="n">
        <v>166</v>
      </c>
      <c r="V23" s="201" t="n">
        <v>62</v>
      </c>
      <c r="W23" s="141" t="n">
        <f aca="false">M23-(N23-AQ23)-O23-P23-Q23-R23-S23-T23+U23+V23-AQ23</f>
        <v>384.057603</v>
      </c>
      <c r="X23" s="115" t="n">
        <f aca="false">X22-(AO23/1.9835)-32.43</f>
        <v>3689.42490140204</v>
      </c>
      <c r="Y23" s="115" t="n">
        <f aca="false">Y22+AP23</f>
        <v>2685.15</v>
      </c>
      <c r="Z23" s="208" t="n">
        <f aca="false">Z22</f>
        <v>701.789765565919</v>
      </c>
      <c r="AA23" s="201" t="n">
        <v>108</v>
      </c>
      <c r="AB23" s="284" t="n">
        <v>1.7</v>
      </c>
      <c r="AC23" s="285" t="n">
        <v>1.3</v>
      </c>
      <c r="AD23" s="592" t="n">
        <v>81</v>
      </c>
      <c r="AE23" s="593" t="n">
        <f aca="false">AE22-AD23</f>
        <v>9459.82307285102</v>
      </c>
      <c r="AF23" s="34" t="n">
        <f aca="false">N23+O23+P23+Q23+R23+S23+T23+W23+AA23+AD23</f>
        <v>657</v>
      </c>
      <c r="AG23" s="201" t="n">
        <f aca="false">IF(L23&lt;0,L23*-1,0)</f>
        <v>78.0678094277792</v>
      </c>
      <c r="AH23" s="201" t="n">
        <f aca="false">AF23+AG23</f>
        <v>735.067809427779</v>
      </c>
      <c r="AI23" s="372" t="n">
        <v>0</v>
      </c>
      <c r="AJ23" s="365" t="n">
        <v>90</v>
      </c>
      <c r="AK23" s="574" t="n">
        <v>56</v>
      </c>
      <c r="AL23" s="264" t="n">
        <f aca="false">AL22</f>
        <v>10571</v>
      </c>
      <c r="AM23" s="374"/>
      <c r="AN23" s="264" t="n">
        <f aca="false">AN22-118</f>
        <v>0.0800000000000125</v>
      </c>
      <c r="AO23" s="258" t="n">
        <f aca="false">45.4*(X22*1.9835+Y22*1.9835+Z22*1.9835+AN22*1.9835)/E23</f>
        <v>3.6502679869583</v>
      </c>
      <c r="AP23" s="594"/>
      <c r="AQ23" s="9" t="n">
        <v>1.09</v>
      </c>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86" t="n">
        <v>13</v>
      </c>
      <c r="B24" s="575" t="n">
        <v>6911.92</v>
      </c>
      <c r="C24" s="208" t="n">
        <v>329721</v>
      </c>
      <c r="D24" s="365" t="n">
        <f aca="false">C24-C23</f>
        <v>-609</v>
      </c>
      <c r="E24" s="208" t="n">
        <f aca="false">C24-152000</f>
        <v>177721</v>
      </c>
      <c r="F24" s="590" t="n">
        <f aca="false">D24/$D$2</f>
        <v>-307.033022435089</v>
      </c>
      <c r="G24" s="201" t="n">
        <v>223</v>
      </c>
      <c r="H24" s="565" t="n">
        <v>0</v>
      </c>
      <c r="I24" s="201" t="n">
        <f aca="false">G24+H24</f>
        <v>223</v>
      </c>
      <c r="J24" s="209" t="n">
        <f aca="false">IF(L24&gt;0,L24,0)</f>
        <v>17.9669775649105</v>
      </c>
      <c r="K24" s="201" t="n">
        <f aca="false">I24+J24</f>
        <v>240.96697756491</v>
      </c>
      <c r="L24" s="201" t="n">
        <f aca="false">F24-(I24-AF24)</f>
        <v>17.9669775649105</v>
      </c>
      <c r="M24" s="591" t="n">
        <v>202</v>
      </c>
      <c r="N24" s="258" t="n">
        <f aca="false">1.8299*1.03</f>
        <v>1.884797</v>
      </c>
      <c r="O24" s="201" t="n">
        <f aca="false">(33+36)*1.05</f>
        <v>72.45</v>
      </c>
      <c r="P24" s="258" t="n">
        <v>0</v>
      </c>
      <c r="Q24" s="258" t="n">
        <f aca="false">2.38*1.02</f>
        <v>2.4276</v>
      </c>
      <c r="R24" s="258" t="n">
        <v>4.2</v>
      </c>
      <c r="S24" s="380" t="n">
        <v>4.62</v>
      </c>
      <c r="T24" s="456" t="n">
        <v>0</v>
      </c>
      <c r="U24" s="201" t="n">
        <v>99</v>
      </c>
      <c r="V24" s="201" t="n">
        <v>57</v>
      </c>
      <c r="W24" s="141" t="n">
        <f aca="false">M24-(N24-AQ24)-O24-P24-Q24-R24-S24-T24+U24+V24-AQ24</f>
        <v>272.417603</v>
      </c>
      <c r="X24" s="115" t="n">
        <f aca="false">X23-(W24-I24)-Q24-R24-AB24-(AO24/1.9835)</f>
        <v>3629.87197400323</v>
      </c>
      <c r="Y24" s="115" t="n">
        <f aca="false">Y23+AP24</f>
        <v>2685.15</v>
      </c>
      <c r="Z24" s="208" t="n">
        <f aca="false">Z23</f>
        <v>701.789765565919</v>
      </c>
      <c r="AA24" s="201" t="n">
        <v>113</v>
      </c>
      <c r="AB24" s="284" t="n">
        <v>1.7</v>
      </c>
      <c r="AC24" s="285" t="n">
        <v>1.3</v>
      </c>
      <c r="AD24" s="592" t="n">
        <v>77</v>
      </c>
      <c r="AE24" s="593" t="n">
        <f aca="false">AE23-AD24</f>
        <v>9382.82307285102</v>
      </c>
      <c r="AF24" s="34" t="n">
        <f aca="false">N24+O24+P24+Q24+R24+S24+T24+W24+AA24+AD24</f>
        <v>548</v>
      </c>
      <c r="AG24" s="201" t="n">
        <f aca="false">IF(L24&lt;0,L24*-1,0)</f>
        <v>0</v>
      </c>
      <c r="AH24" s="201" t="n">
        <f aca="false">AF24+AG24</f>
        <v>548</v>
      </c>
      <c r="AI24" s="372" t="n">
        <v>0.09</v>
      </c>
      <c r="AJ24" s="365" t="n">
        <v>90</v>
      </c>
      <c r="AK24" s="574" t="n">
        <v>60</v>
      </c>
      <c r="AL24" s="264" t="n">
        <f aca="false">AL23</f>
        <v>10571</v>
      </c>
      <c r="AM24" s="374"/>
      <c r="AN24" s="264"/>
      <c r="AO24" s="258" t="n">
        <f aca="false">45.4*(X23*1.9835+Y23*1.9835+Z23*1.9835+AN23*1.9835)/E24</f>
        <v>3.58562134503331</v>
      </c>
      <c r="AP24" s="594"/>
      <c r="AQ24" s="9" t="n">
        <v>1.09</v>
      </c>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86" t="n">
        <v>14</v>
      </c>
      <c r="B25" s="575" t="n">
        <v>6911.72</v>
      </c>
      <c r="C25" s="208" t="n">
        <v>328912</v>
      </c>
      <c r="D25" s="365" t="n">
        <f aca="false">C25-C24</f>
        <v>-809</v>
      </c>
      <c r="E25" s="208" t="n">
        <f aca="false">C25-152000</f>
        <v>176912</v>
      </c>
      <c r="F25" s="590" t="n">
        <f aca="false">D25/$D$2</f>
        <v>-407.864885303756</v>
      </c>
      <c r="G25" s="201" t="n">
        <v>219</v>
      </c>
      <c r="H25" s="565" t="n">
        <v>0</v>
      </c>
      <c r="I25" s="201" t="n">
        <f aca="false">G25+H25</f>
        <v>219</v>
      </c>
      <c r="J25" s="209" t="n">
        <f aca="false">IF(L25&gt;0,L25,0)</f>
        <v>0</v>
      </c>
      <c r="K25" s="201" t="n">
        <f aca="false">I25+J25</f>
        <v>219</v>
      </c>
      <c r="L25" s="201" t="n">
        <f aca="false">F25-(I25-AF25)</f>
        <v>-73.864885303756</v>
      </c>
      <c r="M25" s="591" t="n">
        <v>237</v>
      </c>
      <c r="N25" s="258" t="n">
        <f aca="false">1.8299*1.03</f>
        <v>1.884797</v>
      </c>
      <c r="O25" s="201" t="n">
        <f aca="false">(39+40)*1.05</f>
        <v>82.95</v>
      </c>
      <c r="P25" s="258" t="n">
        <v>0</v>
      </c>
      <c r="Q25" s="258" t="n">
        <f aca="false">2.38*1.02</f>
        <v>2.4276</v>
      </c>
      <c r="R25" s="258" t="n">
        <v>4.2</v>
      </c>
      <c r="S25" s="380" t="n">
        <v>3.82</v>
      </c>
      <c r="T25" s="456" t="n">
        <v>0</v>
      </c>
      <c r="U25" s="201" t="n">
        <v>58</v>
      </c>
      <c r="V25" s="201" t="n">
        <v>54</v>
      </c>
      <c r="W25" s="141" t="n">
        <f aca="false">M25-(N25-AQ25)-O25-P25-Q25-R25-S25-T25+U25+V25-AQ25</f>
        <v>253.717603</v>
      </c>
      <c r="X25" s="115" t="n">
        <f aca="false">X24-(W25-I25)-Q25-R25-AB25-(AO25/1.9835)</f>
        <v>3585.0260833564</v>
      </c>
      <c r="Y25" s="115" t="n">
        <f aca="false">Y24+AP25</f>
        <v>2685.15</v>
      </c>
      <c r="Z25" s="208" t="n">
        <f aca="false">Z24</f>
        <v>701.789765565919</v>
      </c>
      <c r="AA25" s="201" t="n">
        <v>128</v>
      </c>
      <c r="AB25" s="284" t="n">
        <v>1.7</v>
      </c>
      <c r="AC25" s="285" t="n">
        <v>1.3</v>
      </c>
      <c r="AD25" s="592" t="n">
        <v>76</v>
      </c>
      <c r="AE25" s="593" t="n">
        <f aca="false">AE24-AD25</f>
        <v>9306.82307285102</v>
      </c>
      <c r="AF25" s="34" t="n">
        <f aca="false">N25+O25+P25+Q25+R25+S25+T25+W25+AA25+AD25</f>
        <v>553</v>
      </c>
      <c r="AG25" s="201" t="n">
        <f aca="false">IF(L25&lt;0,L25*-1,0)</f>
        <v>73.864885303756</v>
      </c>
      <c r="AH25" s="201" t="n">
        <f aca="false">AF25+AG25</f>
        <v>626.864885303756</v>
      </c>
      <c r="AI25" s="372" t="n">
        <v>0</v>
      </c>
      <c r="AJ25" s="365" t="n">
        <v>86</v>
      </c>
      <c r="AK25" s="574" t="n">
        <v>61</v>
      </c>
      <c r="AL25" s="264" t="n">
        <f aca="false">AL24</f>
        <v>10571</v>
      </c>
      <c r="AM25" s="374"/>
      <c r="AN25" s="264"/>
      <c r="AO25" s="258" t="n">
        <f aca="false">45.4*(X24*1.9835+Y24*1.9835+Z24*1.9835+AN24*1.9835)/E25</f>
        <v>3.57166394749236</v>
      </c>
      <c r="AP25" s="594"/>
      <c r="AQ25" s="9" t="n">
        <v>1.09</v>
      </c>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86" t="n">
        <v>15</v>
      </c>
      <c r="B26" s="575" t="n">
        <v>6911.55</v>
      </c>
      <c r="C26" s="208" t="n">
        <v>328224</v>
      </c>
      <c r="D26" s="365" t="n">
        <f aca="false">C26-C25</f>
        <v>-688</v>
      </c>
      <c r="E26" s="208" t="n">
        <f aca="false">C26-152000</f>
        <v>176224</v>
      </c>
      <c r="F26" s="590" t="n">
        <f aca="false">D26/$D$2</f>
        <v>-346.861608268213</v>
      </c>
      <c r="G26" s="201" t="n">
        <v>206</v>
      </c>
      <c r="H26" s="565" t="n">
        <v>0</v>
      </c>
      <c r="I26" s="201" t="n">
        <f aca="false">G26+H26</f>
        <v>206</v>
      </c>
      <c r="J26" s="209" t="n">
        <f aca="false">IF(L26&gt;0,L26,0)</f>
        <v>3.13839173178724</v>
      </c>
      <c r="K26" s="201" t="n">
        <f aca="false">I26+J26</f>
        <v>209.138391731787</v>
      </c>
      <c r="L26" s="201" t="n">
        <f aca="false">F26-(I26-AF26)</f>
        <v>3.13839173178724</v>
      </c>
      <c r="M26" s="591" t="n">
        <v>217</v>
      </c>
      <c r="N26" s="258" t="n">
        <f aca="false">1.8299*1.03</f>
        <v>1.884797</v>
      </c>
      <c r="O26" s="201" t="n">
        <f aca="false">(39+40)*1.05</f>
        <v>82.95</v>
      </c>
      <c r="P26" s="258" t="n">
        <v>0</v>
      </c>
      <c r="Q26" s="258" t="n">
        <f aca="false">2.38*1.02</f>
        <v>2.4276</v>
      </c>
      <c r="R26" s="258" t="n">
        <v>4.2</v>
      </c>
      <c r="S26" s="380" t="n">
        <v>2.74</v>
      </c>
      <c r="T26" s="456" t="n">
        <v>0</v>
      </c>
      <c r="U26" s="201" t="n">
        <v>58</v>
      </c>
      <c r="V26" s="201" t="n">
        <v>61</v>
      </c>
      <c r="W26" s="141" t="n">
        <f aca="false">M26-(N26-AQ26)-O26-P26-Q26-R26-S26-T26+U26+V26-AQ26</f>
        <v>241.797603</v>
      </c>
      <c r="X26" s="115" t="n">
        <f aca="false">X25-(W26-I26)-Q26-R26-AB26-(AO26/1.9835)</f>
        <v>3539.10471610215</v>
      </c>
      <c r="Y26" s="115" t="n">
        <f aca="false">Y25+AP26</f>
        <v>2685.15</v>
      </c>
      <c r="Z26" s="208" t="n">
        <f aca="false">Z25</f>
        <v>701.789765565919</v>
      </c>
      <c r="AA26" s="201" t="n">
        <v>144</v>
      </c>
      <c r="AB26" s="284" t="n">
        <v>1.7</v>
      </c>
      <c r="AC26" s="285" t="n">
        <v>1.3</v>
      </c>
      <c r="AD26" s="592" t="n">
        <v>76</v>
      </c>
      <c r="AE26" s="593" t="n">
        <f aca="false">AE25-AD26</f>
        <v>9230.82307285102</v>
      </c>
      <c r="AF26" s="34" t="n">
        <f aca="false">N26+O26+P26+Q26+R26+S26+T26+W26+AA26+AD26</f>
        <v>556</v>
      </c>
      <c r="AG26" s="201" t="n">
        <f aca="false">IF(L26&lt;0,L26*-1,0)</f>
        <v>0</v>
      </c>
      <c r="AH26" s="201" t="n">
        <f aca="false">AF26+AG26</f>
        <v>556</v>
      </c>
      <c r="AI26" s="372" t="n">
        <v>0.09</v>
      </c>
      <c r="AJ26" s="365" t="n">
        <v>88</v>
      </c>
      <c r="AK26" s="574" t="n">
        <v>58</v>
      </c>
      <c r="AL26" s="264" t="n">
        <f aca="false">AL25</f>
        <v>10571</v>
      </c>
      <c r="AM26" s="374"/>
      <c r="AN26" s="264"/>
      <c r="AO26" s="258" t="n">
        <f aca="false">45.4*(X25*1.9835+Y25*1.9835+Z25*1.9835+AN25*1.9835)/E26</f>
        <v>3.56269179830624</v>
      </c>
      <c r="AP26" s="594"/>
      <c r="AQ26" s="9" t="n">
        <v>1.09</v>
      </c>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86" t="n">
        <v>16</v>
      </c>
      <c r="B27" s="575" t="n">
        <v>6911.38</v>
      </c>
      <c r="C27" s="208" t="n">
        <v>327536</v>
      </c>
      <c r="D27" s="365" t="n">
        <f aca="false">C27-C26</f>
        <v>-688</v>
      </c>
      <c r="E27" s="208" t="n">
        <f aca="false">C27-152000</f>
        <v>175536</v>
      </c>
      <c r="F27" s="590" t="n">
        <f aca="false">D27/$D$2</f>
        <v>-346.861608268213</v>
      </c>
      <c r="G27" s="201" t="n">
        <v>209</v>
      </c>
      <c r="H27" s="565" t="n">
        <v>0</v>
      </c>
      <c r="I27" s="201" t="n">
        <f aca="false">G27+H27</f>
        <v>209</v>
      </c>
      <c r="J27" s="209" t="n">
        <f aca="false">IF(L27&gt;0,L27,0)</f>
        <v>2.13839173178724</v>
      </c>
      <c r="K27" s="201" t="n">
        <f aca="false">I27+J27</f>
        <v>211.138391731787</v>
      </c>
      <c r="L27" s="201" t="n">
        <f aca="false">F27-(I27-AF27)</f>
        <v>2.13839173178724</v>
      </c>
      <c r="M27" s="591" t="n">
        <v>226</v>
      </c>
      <c r="N27" s="258" t="n">
        <f aca="false">1.8299*1.03</f>
        <v>1.884797</v>
      </c>
      <c r="O27" s="201" t="n">
        <f aca="false">(34+35)*1.05</f>
        <v>72.45</v>
      </c>
      <c r="P27" s="258" t="n">
        <v>0</v>
      </c>
      <c r="Q27" s="258" t="n">
        <f aca="false">2.38*1.02</f>
        <v>2.4276</v>
      </c>
      <c r="R27" s="258" t="n">
        <v>4.2</v>
      </c>
      <c r="S27" s="380" t="n">
        <v>3.05</v>
      </c>
      <c r="T27" s="456" t="n">
        <v>0</v>
      </c>
      <c r="U27" s="201" t="n">
        <v>58</v>
      </c>
      <c r="V27" s="201" t="n">
        <v>63</v>
      </c>
      <c r="W27" s="141" t="n">
        <f aca="false">M27-(N27-AQ27)-O27-P27-Q27-R27-S27-T27+U27+V27-AQ27</f>
        <v>262.987603</v>
      </c>
      <c r="X27" s="115" t="n">
        <f aca="false">X26-(W27-I27)-Q27-R27-AB27-(AO27/1.9835)</f>
        <v>3474.99818585607</v>
      </c>
      <c r="Y27" s="115" t="n">
        <f aca="false">Y26+AP27</f>
        <v>2685.15</v>
      </c>
      <c r="Z27" s="208" t="n">
        <f aca="false">Z26</f>
        <v>701.789765565919</v>
      </c>
      <c r="AA27" s="201" t="n">
        <v>135</v>
      </c>
      <c r="AB27" s="284" t="n">
        <v>1.7</v>
      </c>
      <c r="AC27" s="285" t="n">
        <v>1.3</v>
      </c>
      <c r="AD27" s="592" t="n">
        <v>76</v>
      </c>
      <c r="AE27" s="593" t="n">
        <f aca="false">AE26-AD27</f>
        <v>9154.82307285102</v>
      </c>
      <c r="AF27" s="34" t="n">
        <f aca="false">N27+O27+P27+Q27+R27+S27+T27+W27+AA27+AD27</f>
        <v>558</v>
      </c>
      <c r="AG27" s="201" t="n">
        <f aca="false">IF(L27&lt;0,L27*-1,0)</f>
        <v>0</v>
      </c>
      <c r="AH27" s="201" t="n">
        <f aca="false">AF27+AG27</f>
        <v>558</v>
      </c>
      <c r="AI27" s="372" t="n">
        <v>0</v>
      </c>
      <c r="AJ27" s="365" t="n">
        <v>88</v>
      </c>
      <c r="AK27" s="574" t="n">
        <v>55</v>
      </c>
      <c r="AL27" s="264" t="n">
        <f aca="false">AL26</f>
        <v>10571</v>
      </c>
      <c r="AM27" s="374"/>
      <c r="AN27" s="264"/>
      <c r="AO27" s="258" t="n">
        <f aca="false">45.4*(X26*1.9835+Y26*1.9835+Z26*1.9835+AN26*1.9835)/E27</f>
        <v>3.55309759259778</v>
      </c>
      <c r="AP27" s="594"/>
      <c r="AQ27" s="9" t="n">
        <v>1.09</v>
      </c>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86" t="n">
        <v>17</v>
      </c>
      <c r="B28" s="575" t="n">
        <v>6911.16</v>
      </c>
      <c r="C28" s="208" t="n">
        <v>326647</v>
      </c>
      <c r="D28" s="365" t="n">
        <f aca="false">C28-C27</f>
        <v>-889</v>
      </c>
      <c r="E28" s="208" t="n">
        <f aca="false">C28-152000</f>
        <v>174647</v>
      </c>
      <c r="F28" s="590" t="n">
        <f aca="false">D28/$D$2</f>
        <v>-448.197630451223</v>
      </c>
      <c r="G28" s="201" t="n">
        <v>232</v>
      </c>
      <c r="H28" s="565" t="n">
        <v>0</v>
      </c>
      <c r="I28" s="201" t="n">
        <f aca="false">G28+H28</f>
        <v>232</v>
      </c>
      <c r="J28" s="209" t="n">
        <f aca="false">IF(L28&gt;0,L28,0)</f>
        <v>0</v>
      </c>
      <c r="K28" s="201" t="n">
        <f aca="false">I28+J28</f>
        <v>232</v>
      </c>
      <c r="L28" s="201" t="n">
        <f aca="false">F28-(I28-AF28)</f>
        <v>-136.197630451223</v>
      </c>
      <c r="M28" s="591" t="n">
        <v>216</v>
      </c>
      <c r="N28" s="258" t="n">
        <f aca="false">1.8299*1.03</f>
        <v>1.884797</v>
      </c>
      <c r="O28" s="201" t="n">
        <f aca="false">(36+35)*1.05</f>
        <v>74.55</v>
      </c>
      <c r="P28" s="258" t="n">
        <v>0</v>
      </c>
      <c r="Q28" s="258" t="n">
        <f aca="false">2.38*1.02</f>
        <v>2.4276</v>
      </c>
      <c r="R28" s="258" t="n">
        <v>4.2</v>
      </c>
      <c r="S28" s="380" t="n">
        <v>3.21</v>
      </c>
      <c r="T28" s="456" t="n">
        <v>0</v>
      </c>
      <c r="U28" s="201" t="n">
        <v>58</v>
      </c>
      <c r="V28" s="201" t="n">
        <v>62</v>
      </c>
      <c r="W28" s="141" t="n">
        <f aca="false">M28-(N28-AQ28)-O28-P28-Q28-R28-S28-T28+U28+V28-AQ28</f>
        <v>249.727603</v>
      </c>
      <c r="X28" s="115" t="n">
        <f aca="false">X27-(W28-I28)-Q28-R28-AB28-(AO28/1.9835)</f>
        <v>3447.1592019552</v>
      </c>
      <c r="Y28" s="115" t="n">
        <f aca="false">Y27+AP28</f>
        <v>2685.15</v>
      </c>
      <c r="Z28" s="208" t="n">
        <f aca="false">Z27</f>
        <v>701.789765565919</v>
      </c>
      <c r="AA28" s="201" t="n">
        <v>132</v>
      </c>
      <c r="AB28" s="284" t="n">
        <v>1.7</v>
      </c>
      <c r="AC28" s="285" t="n">
        <v>1.3</v>
      </c>
      <c r="AD28" s="592" t="n">
        <v>76</v>
      </c>
      <c r="AE28" s="593" t="n">
        <f aca="false">AE27-AD28</f>
        <v>9078.82307285102</v>
      </c>
      <c r="AF28" s="34" t="n">
        <f aca="false">N28+O28+P28+Q28+R28+S28+T28+W28+AA28+AD28</f>
        <v>544</v>
      </c>
      <c r="AG28" s="201" t="n">
        <f aca="false">IF(L28&lt;0,L28*-1,0)</f>
        <v>136.197630451223</v>
      </c>
      <c r="AH28" s="201" t="n">
        <f aca="false">AF28+AG28</f>
        <v>680.197630451223</v>
      </c>
      <c r="AI28" s="372" t="n">
        <v>0</v>
      </c>
      <c r="AJ28" s="365" t="n">
        <v>85</v>
      </c>
      <c r="AK28" s="574" t="n">
        <v>57</v>
      </c>
      <c r="AL28" s="264" t="n">
        <f aca="false">AL27</f>
        <v>10571</v>
      </c>
      <c r="AM28" s="374"/>
      <c r="AN28" s="264"/>
      <c r="AO28" s="258" t="n">
        <f aca="false">45.4*(X27*1.9835+Y27*1.9835+Z27*1.9835+AN27*1.9835)/E28</f>
        <v>3.53812941687923</v>
      </c>
      <c r="AP28" s="594"/>
      <c r="AQ28" s="9" t="n">
        <v>1.09</v>
      </c>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86" t="n">
        <v>18</v>
      </c>
      <c r="B29" s="575" t="n">
        <v>6910.96</v>
      </c>
      <c r="C29" s="208" t="n">
        <v>325839</v>
      </c>
      <c r="D29" s="365" t="n">
        <f aca="false">C29-C28</f>
        <v>-808</v>
      </c>
      <c r="E29" s="208" t="n">
        <f aca="false">C29-152000</f>
        <v>173839</v>
      </c>
      <c r="F29" s="590" t="n">
        <f aca="false">D29/$D$2</f>
        <v>-407.360725989413</v>
      </c>
      <c r="G29" s="201" t="n">
        <v>214</v>
      </c>
      <c r="H29" s="565" t="n">
        <v>0</v>
      </c>
      <c r="I29" s="201" t="n">
        <f aca="false">G29+H29</f>
        <v>214</v>
      </c>
      <c r="J29" s="209" t="n">
        <f aca="false">IF(L29&gt;0,L29,0)</f>
        <v>0</v>
      </c>
      <c r="K29" s="201" t="n">
        <f aca="false">I29+J29</f>
        <v>214</v>
      </c>
      <c r="L29" s="201" t="n">
        <f aca="false">F29-(I29-AF29)</f>
        <v>-24.3607259894126</v>
      </c>
      <c r="M29" s="591" t="n">
        <v>246</v>
      </c>
      <c r="N29" s="258" t="n">
        <f aca="false">1.8299*1.03</f>
        <v>1.884797</v>
      </c>
      <c r="O29" s="201" t="n">
        <f aca="false">(38+39)*1.05</f>
        <v>80.85</v>
      </c>
      <c r="P29" s="258" t="n">
        <v>0</v>
      </c>
      <c r="Q29" s="258" t="n">
        <f aca="false">2.38*1.02</f>
        <v>2.4276</v>
      </c>
      <c r="R29" s="258" t="n">
        <v>4.2</v>
      </c>
      <c r="S29" s="380" t="n">
        <v>3.61</v>
      </c>
      <c r="T29" s="456" t="n">
        <v>0</v>
      </c>
      <c r="U29" s="201" t="n">
        <v>58</v>
      </c>
      <c r="V29" s="201" t="n">
        <v>62</v>
      </c>
      <c r="W29" s="141" t="n">
        <f aca="false">M29-(N29-AQ29)-O29-P29-Q29-R29-S29-T29+U29+V29-AQ29</f>
        <v>273.027603</v>
      </c>
      <c r="X29" s="115" t="n">
        <f aca="false">X28-(W29-I29)-Q29-R29-AB29-(AO29/1.9835)</f>
        <v>3378.01919754053</v>
      </c>
      <c r="Y29" s="115" t="n">
        <f aca="false">Y28+AP29</f>
        <v>2685.15</v>
      </c>
      <c r="Z29" s="208" t="n">
        <f aca="false">Z28</f>
        <v>701.789765565919</v>
      </c>
      <c r="AA29" s="201" t="n">
        <v>155</v>
      </c>
      <c r="AB29" s="284" t="n">
        <v>1.7</v>
      </c>
      <c r="AC29" s="285" t="n">
        <v>1.3</v>
      </c>
      <c r="AD29" s="592" t="n">
        <v>76</v>
      </c>
      <c r="AE29" s="593" t="n">
        <f aca="false">AE28-AD29</f>
        <v>9002.82307285102</v>
      </c>
      <c r="AF29" s="34" t="n">
        <f aca="false">N29+O29+P29+Q29+R29+S29+T29+W29+AA29+AD29</f>
        <v>597</v>
      </c>
      <c r="AG29" s="201" t="n">
        <f aca="false">IF(L29&lt;0,L29*-1,0)</f>
        <v>24.3607259894126</v>
      </c>
      <c r="AH29" s="201" t="n">
        <f aca="false">AF29+AG29</f>
        <v>621.360725989413</v>
      </c>
      <c r="AI29" s="372" t="n">
        <v>0</v>
      </c>
      <c r="AJ29" s="365" t="n">
        <v>86</v>
      </c>
      <c r="AK29" s="574" t="n">
        <v>58</v>
      </c>
      <c r="AL29" s="264" t="n">
        <f aca="false">AL28</f>
        <v>10571</v>
      </c>
      <c r="AM29" s="374"/>
      <c r="AN29" s="264"/>
      <c r="AO29" s="258" t="n">
        <f aca="false">45.4*(X28*1.9835+Y28*1.9835+Z28*1.9835+AN28*1.9835)/E29</f>
        <v>3.54015360600526</v>
      </c>
      <c r="AP29" s="594"/>
      <c r="AQ29" s="9" t="n">
        <v>1.09</v>
      </c>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86" t="n">
        <v>19</v>
      </c>
      <c r="B30" s="575" t="n">
        <v>6910.77</v>
      </c>
      <c r="C30" s="208" t="n">
        <v>325076</v>
      </c>
      <c r="D30" s="365" t="n">
        <f aca="false">C30-C29</f>
        <v>-763</v>
      </c>
      <c r="E30" s="208" t="n">
        <f aca="false">C30-152000</f>
        <v>173076</v>
      </c>
      <c r="F30" s="590" t="n">
        <f aca="false">D30/$D$2</f>
        <v>-384.673556843963</v>
      </c>
      <c r="G30" s="201" t="n">
        <v>215</v>
      </c>
      <c r="H30" s="565" t="n">
        <v>0</v>
      </c>
      <c r="I30" s="201" t="n">
        <f aca="false">G30+H30</f>
        <v>215</v>
      </c>
      <c r="J30" s="209" t="n">
        <f aca="false">IF(L30&gt;0,L30,0)</f>
        <v>0</v>
      </c>
      <c r="K30" s="201" t="n">
        <f aca="false">I30+J30</f>
        <v>215</v>
      </c>
      <c r="L30" s="201" t="n">
        <f aca="false">F30-(I30-AF30)</f>
        <v>-21.6735568439627</v>
      </c>
      <c r="M30" s="591" t="n">
        <v>243</v>
      </c>
      <c r="N30" s="258" t="n">
        <f aca="false">1.8299*1.03</f>
        <v>1.884797</v>
      </c>
      <c r="O30" s="201" t="n">
        <f aca="false">(40+41)*1.05</f>
        <v>85.05</v>
      </c>
      <c r="P30" s="258" t="n">
        <v>0</v>
      </c>
      <c r="Q30" s="258" t="n">
        <f aca="false">2.38*1.02</f>
        <v>2.4276</v>
      </c>
      <c r="R30" s="258" t="n">
        <v>4.2</v>
      </c>
      <c r="S30" s="380" t="n">
        <v>3.36</v>
      </c>
      <c r="T30" s="456" t="n">
        <v>0</v>
      </c>
      <c r="U30" s="201" t="n">
        <v>58</v>
      </c>
      <c r="V30" s="595" t="n">
        <v>63</v>
      </c>
      <c r="W30" s="141" t="n">
        <f aca="false">M30-(N30-AQ30)-O30-P30-Q30-R30-S30-T30+U30+V30-AQ30</f>
        <v>267.077603</v>
      </c>
      <c r="X30" s="115" t="n">
        <f aca="false">X29-(W30-I30)-Q30-R30-AB30-(AO30/1.9835)</f>
        <v>3315.83946117412</v>
      </c>
      <c r="Y30" s="115" t="n">
        <f aca="false">Y29+AP30</f>
        <v>2685.15</v>
      </c>
      <c r="Z30" s="208" t="n">
        <f aca="false">Z29</f>
        <v>701.789765565919</v>
      </c>
      <c r="AA30" s="201" t="n">
        <v>138</v>
      </c>
      <c r="AB30" s="284" t="n">
        <v>1.7</v>
      </c>
      <c r="AC30" s="285" t="n">
        <v>1.3</v>
      </c>
      <c r="AD30" s="592" t="n">
        <v>76</v>
      </c>
      <c r="AE30" s="593" t="n">
        <f aca="false">AE29-AD30</f>
        <v>8926.82307285102</v>
      </c>
      <c r="AF30" s="34" t="n">
        <f aca="false">N30+O30+P30+Q30+R30+S30+T30+W30+AA30+AD30</f>
        <v>578</v>
      </c>
      <c r="AG30" s="201" t="n">
        <f aca="false">IF(L30&lt;0,L30*-1,0)</f>
        <v>21.6735568439627</v>
      </c>
      <c r="AH30" s="201" t="n">
        <f aca="false">AF30+AG30</f>
        <v>599.673556843963</v>
      </c>
      <c r="AI30" s="372" t="n">
        <v>0</v>
      </c>
      <c r="AJ30" s="365" t="n">
        <v>86</v>
      </c>
      <c r="AK30" s="574" t="n">
        <v>57</v>
      </c>
      <c r="AL30" s="264" t="n">
        <f aca="false">AL29</f>
        <v>10571</v>
      </c>
      <c r="AM30" s="374"/>
      <c r="AN30" s="264"/>
      <c r="AO30" s="258" t="n">
        <f aca="false">45.4*(X29*1.9835+Y29*1.9835+Z29*1.9835+AN29*1.9835)/E30</f>
        <v>3.51978693227716</v>
      </c>
      <c r="AP30" s="594"/>
      <c r="AQ30" s="9" t="n">
        <v>1.09</v>
      </c>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86" t="n">
        <v>20</v>
      </c>
      <c r="B31" s="575" t="n">
        <v>6910.53</v>
      </c>
      <c r="C31" s="208" t="n">
        <v>324113</v>
      </c>
      <c r="D31" s="365" t="n">
        <f aca="false">C31-C30</f>
        <v>-963</v>
      </c>
      <c r="E31" s="208" t="n">
        <f aca="false">C31-152000</f>
        <v>172113</v>
      </c>
      <c r="F31" s="590" t="n">
        <f aca="false">D31/$D$2</f>
        <v>-485.505419712629</v>
      </c>
      <c r="G31" s="201" t="n">
        <v>200</v>
      </c>
      <c r="H31" s="565" t="n">
        <v>0</v>
      </c>
      <c r="I31" s="201" t="n">
        <f aca="false">G31+H31</f>
        <v>200</v>
      </c>
      <c r="J31" s="209" t="n">
        <f aca="false">IF(L31&gt;0,L31,0)</f>
        <v>0</v>
      </c>
      <c r="K31" s="201" t="n">
        <f aca="false">I31+J31</f>
        <v>200</v>
      </c>
      <c r="L31" s="201" t="n">
        <f aca="false">F31-(I31-AF31)</f>
        <v>-55.5054197126292</v>
      </c>
      <c r="M31" s="591" t="n">
        <v>239</v>
      </c>
      <c r="N31" s="258" t="n">
        <f aca="false">1.8299*1.03</f>
        <v>1.884797</v>
      </c>
      <c r="O31" s="201" t="n">
        <f aca="false">(38+37)*1.05</f>
        <v>78.75</v>
      </c>
      <c r="P31" s="258" t="n">
        <v>0</v>
      </c>
      <c r="Q31" s="258" t="n">
        <f aca="false">2.38*1.02</f>
        <v>2.4276</v>
      </c>
      <c r="R31" s="258" t="n">
        <v>4.2</v>
      </c>
      <c r="S31" s="380" t="n">
        <v>3.65</v>
      </c>
      <c r="T31" s="456" t="n">
        <v>0</v>
      </c>
      <c r="U31" s="201" t="n">
        <v>57</v>
      </c>
      <c r="V31" s="595" t="n">
        <v>65</v>
      </c>
      <c r="W31" s="141" t="n">
        <f aca="false">M31-(N31-AQ31)-O31-P31-Q31-R31-S31-T31+U31+V31-AQ31</f>
        <v>270.087603</v>
      </c>
      <c r="X31" s="115" t="n">
        <f aca="false">X30-(W31-I31)-Q31-R31-AB31-(AO31/1.9835)</f>
        <v>3235.65619778999</v>
      </c>
      <c r="Y31" s="115" t="n">
        <f aca="false">Y30+AP31</f>
        <v>2685.15</v>
      </c>
      <c r="Z31" s="208" t="n">
        <f aca="false">Z30</f>
        <v>701.789765565919</v>
      </c>
      <c r="AA31" s="201" t="n">
        <v>193</v>
      </c>
      <c r="AB31" s="284" t="n">
        <v>1.7</v>
      </c>
      <c r="AC31" s="285" t="n">
        <v>1.3</v>
      </c>
      <c r="AD31" s="592" t="n">
        <v>76</v>
      </c>
      <c r="AE31" s="593" t="n">
        <f aca="false">AE30-AD31</f>
        <v>8850.82307285102</v>
      </c>
      <c r="AF31" s="34" t="n">
        <f aca="false">N31+O31+P31+Q31+R31+S31+T31+W31+AA31+AD31</f>
        <v>630</v>
      </c>
      <c r="AG31" s="201" t="n">
        <f aca="false">IF(L31&lt;0,L31*-1,0)</f>
        <v>55.5054197126292</v>
      </c>
      <c r="AH31" s="201" t="n">
        <f aca="false">AF31+AG31</f>
        <v>685.505419712629</v>
      </c>
      <c r="AI31" s="372" t="n">
        <v>0</v>
      </c>
      <c r="AJ31" s="365" t="n">
        <v>87</v>
      </c>
      <c r="AK31" s="574" t="n">
        <v>53</v>
      </c>
      <c r="AL31" s="264" t="n">
        <f aca="false">AL30</f>
        <v>10571</v>
      </c>
      <c r="AM31" s="374"/>
      <c r="AN31" s="264"/>
      <c r="AO31" s="258" t="n">
        <f aca="false">45.4*(X30*1.9835+Y30*1.9835+Z30*1.9835+AN30*1.9835)/E31</f>
        <v>3.50694777192452</v>
      </c>
      <c r="AP31" s="594"/>
      <c r="AQ31" s="9" t="n">
        <v>1.09</v>
      </c>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86" t="n">
        <v>21</v>
      </c>
      <c r="B32" s="575" t="n">
        <v>6910.24</v>
      </c>
      <c r="C32" s="208" t="n">
        <v>322950</v>
      </c>
      <c r="D32" s="365" t="n">
        <f aca="false">C32-C31</f>
        <v>-1163</v>
      </c>
      <c r="E32" s="208" t="n">
        <f aca="false">C32-152000</f>
        <v>170950</v>
      </c>
      <c r="F32" s="590" t="n">
        <f aca="false">D32/$D$2</f>
        <v>-586.337282581296</v>
      </c>
      <c r="G32" s="201" t="n">
        <v>180</v>
      </c>
      <c r="H32" s="565" t="n">
        <v>0</v>
      </c>
      <c r="I32" s="201" t="n">
        <f aca="false">G32+H32</f>
        <v>180</v>
      </c>
      <c r="J32" s="209" t="n">
        <f aca="false">IF(L32&gt;0,L32,0)</f>
        <v>0</v>
      </c>
      <c r="K32" s="201" t="n">
        <f aca="false">I32+J32</f>
        <v>180</v>
      </c>
      <c r="L32" s="201" t="n">
        <f aca="false">F32-(I32-AF32)</f>
        <v>-88.3372825812956</v>
      </c>
      <c r="M32" s="591" t="n">
        <v>252</v>
      </c>
      <c r="N32" s="258" t="n">
        <f aca="false">1.8299*1.03</f>
        <v>1.884797</v>
      </c>
      <c r="O32" s="201" t="n">
        <f aca="false">(37+41)*1.05</f>
        <v>81.9</v>
      </c>
      <c r="P32" s="258" t="n">
        <v>0</v>
      </c>
      <c r="Q32" s="258" t="n">
        <f aca="false">2.38*1.02</f>
        <v>2.4276</v>
      </c>
      <c r="R32" s="258" t="n">
        <v>4.2</v>
      </c>
      <c r="S32" s="380" t="n">
        <v>3.69</v>
      </c>
      <c r="T32" s="456" t="n">
        <v>0</v>
      </c>
      <c r="U32" s="201" t="n">
        <v>63</v>
      </c>
      <c r="V32" s="595" t="n">
        <v>69</v>
      </c>
      <c r="W32" s="141" t="n">
        <f aca="false">M32-(N32-AQ32)-O32-P32-Q32-R32-S32-T32+U32+V32-AQ32</f>
        <v>289.897603</v>
      </c>
      <c r="X32" s="115" t="n">
        <f aca="false">X31-(W32-I32)-Q32-R32-AB32-(AO32/1.9835)</f>
        <v>3115.67220065874</v>
      </c>
      <c r="Y32" s="115" t="n">
        <f aca="false">Y31+AP32</f>
        <v>2685.15</v>
      </c>
      <c r="Z32" s="208" t="n">
        <f aca="false">Z31</f>
        <v>701.789765565919</v>
      </c>
      <c r="AA32" s="201" t="n">
        <v>218</v>
      </c>
      <c r="AB32" s="284" t="n">
        <v>1.7</v>
      </c>
      <c r="AC32" s="285" t="n">
        <v>1.3</v>
      </c>
      <c r="AD32" s="592" t="n">
        <v>76</v>
      </c>
      <c r="AE32" s="593" t="n">
        <f aca="false">AE31-AD32</f>
        <v>8774.82307285102</v>
      </c>
      <c r="AF32" s="34" t="n">
        <f aca="false">N32+O32+P32+Q32+R32+S32+T32+W32+AA32+AD32</f>
        <v>678</v>
      </c>
      <c r="AG32" s="201" t="n">
        <f aca="false">IF(L32&lt;0,L32*-1,0)</f>
        <v>88.3372825812956</v>
      </c>
      <c r="AH32" s="201" t="n">
        <f aca="false">AF32+AG32</f>
        <v>766.337282581296</v>
      </c>
      <c r="AI32" s="372" t="n">
        <v>0</v>
      </c>
      <c r="AJ32" s="365" t="n">
        <v>89</v>
      </c>
      <c r="AK32" s="574" t="n">
        <v>51</v>
      </c>
      <c r="AL32" s="264" t="n">
        <f aca="false">AL31</f>
        <v>10571</v>
      </c>
      <c r="AM32" s="374"/>
      <c r="AN32" s="264"/>
      <c r="AO32" s="258" t="n">
        <f aca="false">45.4*(X31*1.9835+Y31*1.9835+Z31*1.9835+AN31*1.9835)/E32</f>
        <v>3.48856815932475</v>
      </c>
      <c r="AP32" s="594"/>
      <c r="AQ32" s="9" t="n">
        <v>1.09</v>
      </c>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86" t="n">
        <v>22</v>
      </c>
      <c r="B33" s="575" t="n">
        <v>6909.93</v>
      </c>
      <c r="C33" s="208" t="n">
        <v>321708</v>
      </c>
      <c r="D33" s="365" t="n">
        <f aca="false">C33-C32</f>
        <v>-1242</v>
      </c>
      <c r="E33" s="208" t="n">
        <f aca="false">C33-152000</f>
        <v>169708</v>
      </c>
      <c r="F33" s="590" t="n">
        <f aca="false">D33/$D$2</f>
        <v>-626.165868414419</v>
      </c>
      <c r="G33" s="201" t="n">
        <v>164</v>
      </c>
      <c r="H33" s="565" t="n">
        <v>0</v>
      </c>
      <c r="I33" s="201" t="n">
        <f aca="false">G33+H33</f>
        <v>164</v>
      </c>
      <c r="J33" s="209" t="n">
        <f aca="false">IF(L33&gt;0,L33,0)</f>
        <v>0</v>
      </c>
      <c r="K33" s="201" t="n">
        <f aca="false">I33+J33</f>
        <v>164</v>
      </c>
      <c r="L33" s="201" t="n">
        <f aca="false">F33-(I33-AF33)</f>
        <v>-87.1658684144189</v>
      </c>
      <c r="M33" s="591" t="n">
        <v>242</v>
      </c>
      <c r="N33" s="258" t="n">
        <f aca="false">1.8299*1.03</f>
        <v>1.884797</v>
      </c>
      <c r="O33" s="201" t="n">
        <f aca="false">(37+42)*1.05</f>
        <v>82.95</v>
      </c>
      <c r="P33" s="258" t="n">
        <v>0</v>
      </c>
      <c r="Q33" s="258" t="n">
        <f aca="false">2.38*1.02</f>
        <v>2.4276</v>
      </c>
      <c r="R33" s="258" t="n">
        <v>4.2</v>
      </c>
      <c r="S33" s="380" t="n">
        <v>4.77</v>
      </c>
      <c r="T33" s="456" t="n">
        <v>0</v>
      </c>
      <c r="U33" s="201" t="n">
        <v>68</v>
      </c>
      <c r="V33" s="201" t="n">
        <v>68</v>
      </c>
      <c r="W33" s="141" t="n">
        <f aca="false">M33-(N33-AQ33)-O33-P33-Q33-R33-S33-T33+U33+V33-AQ33</f>
        <v>281.767603</v>
      </c>
      <c r="X33" s="115" t="n">
        <f aca="false">X32-(W33-I33)-Q33-R33-AB33-(AO33/1.9835)</f>
        <v>2987.83742979355</v>
      </c>
      <c r="Y33" s="115" t="n">
        <f aca="false">Y32+AP33</f>
        <v>2685.15</v>
      </c>
      <c r="Z33" s="208" t="n">
        <f aca="false">Z32</f>
        <v>701.789765565919</v>
      </c>
      <c r="AA33" s="201" t="n">
        <v>249</v>
      </c>
      <c r="AB33" s="284" t="n">
        <v>1.7</v>
      </c>
      <c r="AC33" s="285" t="n">
        <v>1.3</v>
      </c>
      <c r="AD33" s="592" t="n">
        <v>76</v>
      </c>
      <c r="AE33" s="593" t="n">
        <f aca="false">AE32-AD33</f>
        <v>8698.82307285102</v>
      </c>
      <c r="AF33" s="34" t="n">
        <f aca="false">N33+O33+P33+Q33+R33+S33+T33+W33+AA33+AD33</f>
        <v>703</v>
      </c>
      <c r="AG33" s="201" t="n">
        <f aca="false">IF(L33&lt;0,L33*-1,0)</f>
        <v>87.1658684144189</v>
      </c>
      <c r="AH33" s="201" t="n">
        <f aca="false">AF33+AG33</f>
        <v>790.165868414419</v>
      </c>
      <c r="AI33" s="372" t="n">
        <v>0</v>
      </c>
      <c r="AJ33" s="365" t="n">
        <v>89</v>
      </c>
      <c r="AK33" s="574" t="n">
        <v>50</v>
      </c>
      <c r="AL33" s="264" t="n">
        <f aca="false">AL32</f>
        <v>10571</v>
      </c>
      <c r="AM33" s="374"/>
      <c r="AN33" s="264"/>
      <c r="AO33" s="258" t="n">
        <f aca="false">45.4*(X32*1.9835+Y32*1.9835+Z32*1.9835+AN32*1.9835)/E33</f>
        <v>3.45043286061529</v>
      </c>
      <c r="AP33" s="594"/>
      <c r="AQ33" s="9" t="n">
        <v>1.09</v>
      </c>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86" t="n">
        <v>23</v>
      </c>
      <c r="B34" s="575" t="n">
        <v>6909.64</v>
      </c>
      <c r="C34" s="208" t="n">
        <v>320553</v>
      </c>
      <c r="D34" s="365" t="n">
        <f aca="false">C34-C33</f>
        <v>-1155</v>
      </c>
      <c r="E34" s="208" t="n">
        <f aca="false">C34-152000</f>
        <v>168553</v>
      </c>
      <c r="F34" s="590" t="n">
        <f aca="false">D34/$D$2</f>
        <v>-582.304008066549</v>
      </c>
      <c r="G34" s="201" t="n">
        <v>157</v>
      </c>
      <c r="H34" s="565" t="n">
        <v>0</v>
      </c>
      <c r="I34" s="201" t="n">
        <f aca="false">G34+H34</f>
        <v>157</v>
      </c>
      <c r="J34" s="209" t="n">
        <f aca="false">IF(L34&gt;0,L34,0)</f>
        <v>0</v>
      </c>
      <c r="K34" s="201" t="n">
        <f aca="false">I34+J34</f>
        <v>157</v>
      </c>
      <c r="L34" s="201" t="n">
        <f aca="false">F34-(I34-AF34)</f>
        <v>-57.304008066549</v>
      </c>
      <c r="M34" s="591" t="n">
        <v>238</v>
      </c>
      <c r="N34" s="258" t="n">
        <f aca="false">1.8299*1.03</f>
        <v>1.884797</v>
      </c>
      <c r="O34" s="201" t="n">
        <f aca="false">(40+41)*1.05</f>
        <v>85.05</v>
      </c>
      <c r="P34" s="258" t="n">
        <v>0</v>
      </c>
      <c r="Q34" s="258" t="n">
        <f aca="false">2.38*1.02</f>
        <v>2.4276</v>
      </c>
      <c r="R34" s="258" t="n">
        <v>4.2</v>
      </c>
      <c r="S34" s="380" t="n">
        <v>4.37</v>
      </c>
      <c r="T34" s="456" t="n">
        <v>0</v>
      </c>
      <c r="U34" s="201" t="n">
        <v>67</v>
      </c>
      <c r="V34" s="201" t="n">
        <v>69</v>
      </c>
      <c r="W34" s="141" t="n">
        <f aca="false">M34-(N34-AQ34)-O34-P34-Q34-R34-S34-T34+U34+V34-AQ34</f>
        <v>276.067603</v>
      </c>
      <c r="X34" s="115" t="n">
        <f aca="false">X33-(W34-I34)-Q34-R34-AB34-(AO34/1.9835)</f>
        <v>2858.72517112163</v>
      </c>
      <c r="Y34" s="115" t="n">
        <f aca="false">Y33+AP34</f>
        <v>2685.15</v>
      </c>
      <c r="Z34" s="208" t="n">
        <f aca="false">Z33</f>
        <v>701.789765565919</v>
      </c>
      <c r="AA34" s="201" t="n">
        <v>232</v>
      </c>
      <c r="AB34" s="284" t="n">
        <v>1.7</v>
      </c>
      <c r="AC34" s="285" t="n">
        <v>1.3</v>
      </c>
      <c r="AD34" s="592" t="n">
        <v>76</v>
      </c>
      <c r="AE34" s="593" t="n">
        <f aca="false">AE33-AD34</f>
        <v>8622.82307285102</v>
      </c>
      <c r="AF34" s="34" t="n">
        <f aca="false">N34+O34+P34+Q34+R34+S34+T34+W34+AA34+AD34</f>
        <v>682</v>
      </c>
      <c r="AG34" s="201" t="n">
        <f aca="false">IF(L34&lt;0,L34*-1,0)</f>
        <v>57.304008066549</v>
      </c>
      <c r="AH34" s="201" t="n">
        <f aca="false">AF34+AG34</f>
        <v>739.304008066549</v>
      </c>
      <c r="AI34" s="372" t="n">
        <v>0</v>
      </c>
      <c r="AJ34" s="365" t="n">
        <v>86</v>
      </c>
      <c r="AK34" s="574" t="n">
        <v>50</v>
      </c>
      <c r="AL34" s="264" t="n">
        <f aca="false">AL33</f>
        <v>10571</v>
      </c>
      <c r="AM34" s="374"/>
      <c r="AN34" s="264"/>
      <c r="AO34" s="258" t="n">
        <f aca="false">45.4*(X33*1.9835+Y33*1.9835+Z33*1.9835+AN33*1.9835)/E34</f>
        <v>3.40577992525553</v>
      </c>
      <c r="AP34" s="594"/>
      <c r="AQ34" s="9" t="n">
        <v>1.09</v>
      </c>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86" t="n">
        <v>24</v>
      </c>
      <c r="B35" s="575" t="n">
        <v>6909.36</v>
      </c>
      <c r="C35" s="208" t="n">
        <v>319439</v>
      </c>
      <c r="D35" s="365" t="n">
        <f aca="false">C35-C34</f>
        <v>-1114</v>
      </c>
      <c r="E35" s="208" t="n">
        <f aca="false">C35-152000</f>
        <v>167439</v>
      </c>
      <c r="F35" s="590" t="n">
        <f aca="false">D35/$D$2</f>
        <v>-561.633476178472</v>
      </c>
      <c r="G35" s="201" t="n">
        <v>156</v>
      </c>
      <c r="H35" s="565" t="n">
        <v>0</v>
      </c>
      <c r="I35" s="201" t="n">
        <f aca="false">G35+H35</f>
        <v>156</v>
      </c>
      <c r="J35" s="209" t="n">
        <f aca="false">IF(L35&gt;0,L35,0)</f>
        <v>0</v>
      </c>
      <c r="K35" s="201" t="n">
        <f aca="false">I35+J35</f>
        <v>156</v>
      </c>
      <c r="L35" s="201" t="n">
        <f aca="false">F35-(I35-AF35)</f>
        <v>-21.6334761784724</v>
      </c>
      <c r="M35" s="591" t="n">
        <v>232</v>
      </c>
      <c r="N35" s="258" t="n">
        <f aca="false">1.8299*1.03</f>
        <v>1.884797</v>
      </c>
      <c r="O35" s="201" t="n">
        <f aca="false">(34+34)*1.05</f>
        <v>71.4</v>
      </c>
      <c r="P35" s="258" t="n">
        <v>0</v>
      </c>
      <c r="Q35" s="258" t="n">
        <f aca="false">2.38*1.02</f>
        <v>2.4276</v>
      </c>
      <c r="R35" s="258" t="n">
        <v>4.2</v>
      </c>
      <c r="S35" s="380" t="n">
        <v>4.11</v>
      </c>
      <c r="T35" s="456" t="n">
        <v>0</v>
      </c>
      <c r="U35" s="201" t="n">
        <v>67</v>
      </c>
      <c r="V35" s="201" t="n">
        <v>71</v>
      </c>
      <c r="W35" s="141" t="n">
        <f aca="false">M35-(N35-AQ35)-O35-P35-Q35-R35-S35-T35+U35+V35-AQ35</f>
        <v>285.977603</v>
      </c>
      <c r="X35" s="115" t="n">
        <f aca="false">X34-(W35-I35)-Q35-R35-AB35-(AO35/1.9835)</f>
        <v>2718.72649654018</v>
      </c>
      <c r="Y35" s="115" t="n">
        <f aca="false">Y34+AP35</f>
        <v>2685.15</v>
      </c>
      <c r="Z35" s="208" t="n">
        <f aca="false">Z34</f>
        <v>701.789765565919</v>
      </c>
      <c r="AA35" s="201" t="n">
        <v>250</v>
      </c>
      <c r="AB35" s="284" t="n">
        <v>1.7</v>
      </c>
      <c r="AC35" s="285" t="n">
        <v>1.3</v>
      </c>
      <c r="AD35" s="592" t="n">
        <v>76</v>
      </c>
      <c r="AE35" s="593" t="n">
        <f aca="false">AE34-AD35</f>
        <v>8546.82307285102</v>
      </c>
      <c r="AF35" s="34" t="n">
        <f aca="false">N35+O35+P35+Q35+R35+S35+T35+W35+AA35+AD35</f>
        <v>696</v>
      </c>
      <c r="AG35" s="201" t="n">
        <f aca="false">IF(L35&lt;0,L35*-1,0)</f>
        <v>21.6334761784724</v>
      </c>
      <c r="AH35" s="201" t="n">
        <f aca="false">AF35+AG35</f>
        <v>717.633476178472</v>
      </c>
      <c r="AI35" s="372" t="n">
        <v>0</v>
      </c>
      <c r="AJ35" s="365" t="n">
        <v>86</v>
      </c>
      <c r="AK35" s="574" t="n">
        <v>54</v>
      </c>
      <c r="AL35" s="264" t="n">
        <f aca="false">AL34</f>
        <v>10571</v>
      </c>
      <c r="AM35" s="374"/>
      <c r="AN35" s="264"/>
      <c r="AO35" s="258" t="n">
        <f aca="false">45.4*(X34*1.9835+Y34*1.9835+Z34*1.9835+AN34*1.9835)/E35</f>
        <v>3.35900088179669</v>
      </c>
      <c r="AP35" s="594"/>
      <c r="AQ35" s="9" t="n">
        <v>1.09</v>
      </c>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86" t="n">
        <v>25</v>
      </c>
      <c r="B36" s="575" t="n">
        <v>6909.08</v>
      </c>
      <c r="C36" s="208" t="n">
        <v>318324</v>
      </c>
      <c r="D36" s="365" t="n">
        <f aca="false">C36-C35</f>
        <v>-1115</v>
      </c>
      <c r="E36" s="208" t="n">
        <f aca="false">C36-152000</f>
        <v>166324</v>
      </c>
      <c r="F36" s="590" t="n">
        <f aca="false">D36/$D$2</f>
        <v>-562.137635492816</v>
      </c>
      <c r="G36" s="201" t="n">
        <v>150</v>
      </c>
      <c r="H36" s="565" t="n">
        <v>0</v>
      </c>
      <c r="I36" s="201" t="n">
        <f aca="false">G36+H36</f>
        <v>150</v>
      </c>
      <c r="J36" s="209" t="n">
        <f aca="false">IF(L36&gt;0,L36,0)</f>
        <v>0</v>
      </c>
      <c r="K36" s="201" t="n">
        <f aca="false">I36+J36</f>
        <v>150</v>
      </c>
      <c r="L36" s="201" t="n">
        <f aca="false">F36-(I36-AF36)</f>
        <v>-38.1376354928157</v>
      </c>
      <c r="M36" s="591" t="n">
        <v>208</v>
      </c>
      <c r="N36" s="258" t="n">
        <f aca="false">1.8299*1.03</f>
        <v>1.884797</v>
      </c>
      <c r="O36" s="201" t="n">
        <f aca="false">(28+30)*1.05</f>
        <v>60.9</v>
      </c>
      <c r="P36" s="258" t="n">
        <v>0</v>
      </c>
      <c r="Q36" s="258" t="n">
        <f aca="false">2.38*1.02</f>
        <v>2.4276</v>
      </c>
      <c r="R36" s="258" t="n">
        <v>4.2</v>
      </c>
      <c r="S36" s="380" t="n">
        <v>3.67</v>
      </c>
      <c r="T36" s="456" t="n">
        <v>0</v>
      </c>
      <c r="U36" s="201" t="n">
        <v>69</v>
      </c>
      <c r="V36" s="201" t="n">
        <v>70</v>
      </c>
      <c r="W36" s="141" t="n">
        <f aca="false">M36-(N36-AQ36)-O36-P36-Q36-R36-S36-T36+U36+V36-AQ36</f>
        <v>273.917603</v>
      </c>
      <c r="X36" s="115" t="n">
        <f aca="false">X35-(W36-I36)-Q36-R36-AB36-(AO36/1.9835)</f>
        <v>2584.81468350014</v>
      </c>
      <c r="Y36" s="115" t="n">
        <f aca="false">Y35+AP36</f>
        <v>2685.15</v>
      </c>
      <c r="Z36" s="208" t="n">
        <f aca="false">Z35</f>
        <v>701.789765565919</v>
      </c>
      <c r="AA36" s="201" t="n">
        <v>251</v>
      </c>
      <c r="AB36" s="284" t="n">
        <v>1.7</v>
      </c>
      <c r="AC36" s="285" t="n">
        <v>1.3</v>
      </c>
      <c r="AD36" s="592" t="n">
        <v>76</v>
      </c>
      <c r="AE36" s="593" t="n">
        <f aca="false">AE35-AD36</f>
        <v>8470.82307285102</v>
      </c>
      <c r="AF36" s="34" t="n">
        <f aca="false">N36+O36+P36+Q36+R36+S36+T36+W36+AA36+AD36</f>
        <v>674</v>
      </c>
      <c r="AG36" s="201" t="n">
        <f aca="false">IF(L36&lt;0,L36*-1,0)</f>
        <v>38.1376354928157</v>
      </c>
      <c r="AH36" s="201" t="n">
        <f aca="false">AF36+AG36</f>
        <v>712.137635492816</v>
      </c>
      <c r="AI36" s="372" t="n">
        <v>0</v>
      </c>
      <c r="AJ36" s="365" t="n">
        <v>89</v>
      </c>
      <c r="AK36" s="574" t="n">
        <v>48</v>
      </c>
      <c r="AL36" s="264" t="n">
        <f aca="false">AL35</f>
        <v>10571</v>
      </c>
      <c r="AM36" s="374"/>
      <c r="AN36" s="264"/>
      <c r="AO36" s="258" t="n">
        <f aca="false">45.4*(X35*1.9835+Y35*1.9835+Z35*1.9835+AN35*1.9835)/E36</f>
        <v>3.30572101441939</v>
      </c>
      <c r="AP36" s="594"/>
      <c r="AQ36" s="9" t="n">
        <v>1.09</v>
      </c>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86" t="n">
        <v>26</v>
      </c>
      <c r="B37" s="575" t="n">
        <v>6908.8</v>
      </c>
      <c r="C37" s="208" t="n">
        <v>317215</v>
      </c>
      <c r="D37" s="365" t="n">
        <f aca="false">C37-C36</f>
        <v>-1109</v>
      </c>
      <c r="E37" s="208" t="n">
        <f aca="false">C37-152000</f>
        <v>165215</v>
      </c>
      <c r="F37" s="590" t="n">
        <f aca="false">D37/$D$2</f>
        <v>-559.112679606756</v>
      </c>
      <c r="G37" s="201" t="n">
        <v>146</v>
      </c>
      <c r="H37" s="565" t="n">
        <v>0</v>
      </c>
      <c r="I37" s="201" t="n">
        <f aca="false">G37+H37</f>
        <v>146</v>
      </c>
      <c r="J37" s="209" t="n">
        <f aca="false">IF(L37&gt;0,L37,0)</f>
        <v>0</v>
      </c>
      <c r="K37" s="201" t="n">
        <f aca="false">I37+J37</f>
        <v>146</v>
      </c>
      <c r="L37" s="201" t="n">
        <f aca="false">F37-(I37-AF37)</f>
        <v>-54.1126796067557</v>
      </c>
      <c r="M37" s="591" t="n">
        <v>207</v>
      </c>
      <c r="N37" s="258" t="n">
        <f aca="false">1.8299*1.03</f>
        <v>1.884797</v>
      </c>
      <c r="O37" s="201" t="n">
        <f aca="false">(23+26)*1.05</f>
        <v>51.45</v>
      </c>
      <c r="P37" s="258" t="n">
        <v>0</v>
      </c>
      <c r="Q37" s="258" t="n">
        <f aca="false">2.38*1.02</f>
        <v>2.4276</v>
      </c>
      <c r="R37" s="258" t="n">
        <v>4.2</v>
      </c>
      <c r="S37" s="380" t="n">
        <v>3.71</v>
      </c>
      <c r="T37" s="456" t="n">
        <v>0</v>
      </c>
      <c r="U37" s="201" t="n">
        <v>72</v>
      </c>
      <c r="V37" s="201" t="n">
        <v>70</v>
      </c>
      <c r="W37" s="141" t="n">
        <f aca="false">M37-(N37-AQ37)-O37-P37-Q37-R37-S37-T37+U37+V37-AQ37</f>
        <v>285.327603</v>
      </c>
      <c r="X37" s="115" t="n">
        <f aca="false">X36-(W37-I37)-Q37-R37-AB37-(AO37/1.9835)</f>
        <v>2435.51848148681</v>
      </c>
      <c r="Y37" s="115" t="n">
        <f aca="false">Y36+AP37</f>
        <v>2685.15</v>
      </c>
      <c r="Z37" s="208" t="n">
        <f aca="false">Z36</f>
        <v>701.789765565919</v>
      </c>
      <c r="AA37" s="201" t="n">
        <v>226</v>
      </c>
      <c r="AB37" s="284" t="n">
        <v>1.7</v>
      </c>
      <c r="AC37" s="285" t="n">
        <v>1.3</v>
      </c>
      <c r="AD37" s="592" t="n">
        <v>76</v>
      </c>
      <c r="AE37" s="593" t="n">
        <f aca="false">AE36-AD37</f>
        <v>8394.82307285102</v>
      </c>
      <c r="AF37" s="34" t="n">
        <f aca="false">N37+O37+P37+Q37+R37+S37+T37+W37+AA37+AD37</f>
        <v>651</v>
      </c>
      <c r="AG37" s="201" t="n">
        <f aca="false">IF(L37&lt;0,L37*-1,0)</f>
        <v>54.1126796067557</v>
      </c>
      <c r="AH37" s="201" t="n">
        <f aca="false">AF37+AG37</f>
        <v>705.112679606756</v>
      </c>
      <c r="AI37" s="372" t="n">
        <v>0</v>
      </c>
      <c r="AJ37" s="365" t="n">
        <v>86</v>
      </c>
      <c r="AK37" s="574" t="n">
        <v>56</v>
      </c>
      <c r="AL37" s="264" t="n">
        <f aca="false">AL36</f>
        <v>10571</v>
      </c>
      <c r="AM37" s="374"/>
      <c r="AN37" s="264"/>
      <c r="AO37" s="258" t="n">
        <f aca="false">45.4*(X36*1.9835+Y36*1.9835+Z36*1.9835+AN36*1.9835)/E37</f>
        <v>3.25492154294345</v>
      </c>
      <c r="AP37" s="594"/>
      <c r="AQ37" s="9" t="n">
        <v>1.09</v>
      </c>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86" t="n">
        <v>27</v>
      </c>
      <c r="B38" s="575" t="n">
        <v>6908.55</v>
      </c>
      <c r="C38" s="208" t="n">
        <v>316228</v>
      </c>
      <c r="D38" s="365" t="n">
        <f aca="false">C38-C37</f>
        <v>-987</v>
      </c>
      <c r="E38" s="208" t="n">
        <f aca="false">C38-152000</f>
        <v>164228</v>
      </c>
      <c r="F38" s="590" t="n">
        <f aca="false">D38/$D$2</f>
        <v>-497.605243256869</v>
      </c>
      <c r="G38" s="201" t="n">
        <v>149</v>
      </c>
      <c r="H38" s="565" t="n">
        <v>0</v>
      </c>
      <c r="I38" s="201" t="n">
        <f aca="false">G38+H38</f>
        <v>149</v>
      </c>
      <c r="J38" s="209" t="n">
        <f aca="false">IF(L38&gt;0,L38,0)</f>
        <v>86.3947567431309</v>
      </c>
      <c r="K38" s="201" t="n">
        <f aca="false">I38+J38</f>
        <v>235.394756743131</v>
      </c>
      <c r="L38" s="201" t="n">
        <f aca="false">F38-(I38-AF38)</f>
        <v>86.3947567431309</v>
      </c>
      <c r="M38" s="591" t="n">
        <v>234</v>
      </c>
      <c r="N38" s="258" t="n">
        <f aca="false">1.8299*1.03</f>
        <v>1.884797</v>
      </c>
      <c r="O38" s="201" t="n">
        <f aca="false">(32+34)*1.05</f>
        <v>69.3</v>
      </c>
      <c r="P38" s="258" t="n">
        <v>0</v>
      </c>
      <c r="Q38" s="258" t="n">
        <f aca="false">2.38*1.02</f>
        <v>2.4276</v>
      </c>
      <c r="R38" s="258" t="n">
        <v>4.2</v>
      </c>
      <c r="S38" s="380" t="n">
        <v>2.7</v>
      </c>
      <c r="T38" s="456" t="n">
        <v>0</v>
      </c>
      <c r="U38" s="201" t="n">
        <v>104</v>
      </c>
      <c r="V38" s="201" t="n">
        <v>69</v>
      </c>
      <c r="W38" s="141" t="n">
        <f aca="false">M38-(N38-AQ38)-O38-P38-Q38-R38-S38-T38+U38+V38-AQ38</f>
        <v>326.487603</v>
      </c>
      <c r="X38" s="115" t="n">
        <f aca="false">X37-(W38-I38)-Q38-R38-AB38-(AO38/1.9835)</f>
        <v>2248.09368935209</v>
      </c>
      <c r="Y38" s="115" t="n">
        <f aca="false">Y37+AP38</f>
        <v>2685.15</v>
      </c>
      <c r="Z38" s="208" t="n">
        <f aca="false">Z37</f>
        <v>701.789765565919</v>
      </c>
      <c r="AA38" s="201" t="n">
        <v>250</v>
      </c>
      <c r="AB38" s="284" t="n">
        <v>1.7</v>
      </c>
      <c r="AC38" s="285" t="n">
        <v>1.3</v>
      </c>
      <c r="AD38" s="592" t="n">
        <v>76</v>
      </c>
      <c r="AE38" s="593" t="n">
        <f aca="false">AE37-AD38</f>
        <v>8318.82307285102</v>
      </c>
      <c r="AF38" s="34" t="n">
        <f aca="false">N38+O38+P38+Q38+R38+S38+T38+W38+AA38+AD38</f>
        <v>733</v>
      </c>
      <c r="AG38" s="201" t="n">
        <f aca="false">IF(L38&lt;0,L38*-1,0)</f>
        <v>0</v>
      </c>
      <c r="AH38" s="201" t="n">
        <f aca="false">AF38+AG38</f>
        <v>733</v>
      </c>
      <c r="AI38" s="372" t="n">
        <v>0.23</v>
      </c>
      <c r="AJ38" s="365" t="n">
        <v>75</v>
      </c>
      <c r="AK38" s="574" t="n">
        <v>53</v>
      </c>
      <c r="AL38" s="264" t="n">
        <f aca="false">AL37</f>
        <v>10571</v>
      </c>
      <c r="AM38" s="374"/>
      <c r="AN38" s="264"/>
      <c r="AO38" s="258" t="n">
        <f aca="false">45.4*(X37*1.9835+Y37*1.9835+Z37*1.9835+AN37*1.9835)/E38</f>
        <v>3.19262004870985</v>
      </c>
      <c r="AP38" s="594"/>
      <c r="AQ38" s="9" t="n">
        <v>1.09</v>
      </c>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596" t="n">
        <v>28</v>
      </c>
      <c r="B39" s="597" t="n">
        <v>6908.27</v>
      </c>
      <c r="C39" s="598" t="n">
        <v>315122</v>
      </c>
      <c r="D39" s="599" t="n">
        <f aca="false">C39-C38</f>
        <v>-1106</v>
      </c>
      <c r="E39" s="598" t="n">
        <f aca="false">C39-152000</f>
        <v>163122</v>
      </c>
      <c r="F39" s="600" t="n">
        <f aca="false">D39/$D$2</f>
        <v>-557.600201663726</v>
      </c>
      <c r="G39" s="595" t="n">
        <v>149</v>
      </c>
      <c r="H39" s="565" t="n">
        <v>0</v>
      </c>
      <c r="I39" s="595" t="n">
        <f aca="false">G39+H39</f>
        <v>149</v>
      </c>
      <c r="J39" s="601" t="n">
        <f aca="false">IF(L39&gt;0,L39,0)</f>
        <v>0</v>
      </c>
      <c r="K39" s="595" t="n">
        <f aca="false">I39+J39</f>
        <v>149</v>
      </c>
      <c r="L39" s="595" t="n">
        <f aca="false">F39-(I39-AF39)</f>
        <v>-27.6002016637257</v>
      </c>
      <c r="M39" s="602" t="n">
        <v>146</v>
      </c>
      <c r="N39" s="258" t="n">
        <f aca="false">1.8299*1.03</f>
        <v>1.884797</v>
      </c>
      <c r="O39" s="595" t="n">
        <f aca="false">(12+13)*1.05</f>
        <v>26.25</v>
      </c>
      <c r="P39" s="258" t="n">
        <v>0</v>
      </c>
      <c r="Q39" s="258" t="n">
        <f aca="false">2.38*1.02</f>
        <v>2.4276</v>
      </c>
      <c r="R39" s="258" t="n">
        <v>4.2</v>
      </c>
      <c r="S39" s="380" t="n">
        <v>0.01</v>
      </c>
      <c r="T39" s="456" t="n">
        <v>0</v>
      </c>
      <c r="U39" s="595" t="n">
        <v>133</v>
      </c>
      <c r="V39" s="595" t="n">
        <v>68</v>
      </c>
      <c r="W39" s="141" t="n">
        <f aca="false">M39-(N39-AQ39)-O39-P39-Q39-R39-S39-T39+U39+V39-AQ39</f>
        <v>312.227603</v>
      </c>
      <c r="X39" s="115" t="n">
        <f aca="false">X38-(W39-I39)-Q39-R39-AB39-(AO39/1.9835)</f>
        <v>2074.97014781497</v>
      </c>
      <c r="Y39" s="115" t="n">
        <f aca="false">Y38+AP39</f>
        <v>2685.15</v>
      </c>
      <c r="Z39" s="208" t="n">
        <f aca="false">Z38</f>
        <v>701.789765565919</v>
      </c>
      <c r="AA39" s="595" t="n">
        <v>256</v>
      </c>
      <c r="AB39" s="284" t="n">
        <v>1.7</v>
      </c>
      <c r="AC39" s="285" t="n">
        <v>1.3</v>
      </c>
      <c r="AD39" s="592" t="n">
        <v>76</v>
      </c>
      <c r="AE39" s="593" t="n">
        <f aca="false">AE38-AD39</f>
        <v>8242.82307285102</v>
      </c>
      <c r="AF39" s="34" t="n">
        <f aca="false">N39+O39+P39+Q39+R39+S39+T39+W39+AA39+AD39</f>
        <v>679</v>
      </c>
      <c r="AG39" s="595" t="n">
        <f aca="false">IF(L39&lt;0,L39*-1,0)</f>
        <v>27.6002016637257</v>
      </c>
      <c r="AH39" s="595" t="n">
        <f aca="false">AF39+AG39</f>
        <v>706.600201663726</v>
      </c>
      <c r="AI39" s="603" t="n">
        <v>0</v>
      </c>
      <c r="AJ39" s="599" t="n">
        <v>80</v>
      </c>
      <c r="AK39" s="604" t="n">
        <v>49</v>
      </c>
      <c r="AL39" s="264" t="n">
        <f aca="false">AL38</f>
        <v>10571</v>
      </c>
      <c r="AM39" s="374"/>
      <c r="AN39" s="264"/>
      <c r="AO39" s="258" t="n">
        <f aca="false">45.4*(X38*1.9835+Y38*1.9835+Z38*1.9835+AN38*1.9835)/E39</f>
        <v>3.11079948839198</v>
      </c>
      <c r="AP39" s="594"/>
      <c r="AQ39" s="9" t="n">
        <v>1.09</v>
      </c>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596" t="n">
        <v>29</v>
      </c>
      <c r="B40" s="597" t="n">
        <v>6908.02</v>
      </c>
      <c r="C40" s="598" t="n">
        <v>314135</v>
      </c>
      <c r="D40" s="599" t="n">
        <f aca="false">C40-C39</f>
        <v>-987</v>
      </c>
      <c r="E40" s="598" t="n">
        <f aca="false">C40-152000</f>
        <v>162135</v>
      </c>
      <c r="F40" s="600" t="n">
        <f aca="false">D40/$D$2</f>
        <v>-497.605243256869</v>
      </c>
      <c r="G40" s="595" t="n">
        <v>168</v>
      </c>
      <c r="H40" s="605" t="n">
        <v>0</v>
      </c>
      <c r="I40" s="595" t="n">
        <f aca="false">G40+H40</f>
        <v>168</v>
      </c>
      <c r="J40" s="601" t="n">
        <f aca="false">IF(L40&gt;0,L40,0)</f>
        <v>29.3947567431308</v>
      </c>
      <c r="K40" s="595" t="n">
        <f aca="false">I40+J40</f>
        <v>197.394756743131</v>
      </c>
      <c r="L40" s="595" t="n">
        <f aca="false">F40-(I40-AF40)</f>
        <v>29.3947567431308</v>
      </c>
      <c r="M40" s="602" t="n">
        <v>155</v>
      </c>
      <c r="N40" s="258" t="n">
        <f aca="false">1.8299*1.03</f>
        <v>1.884797</v>
      </c>
      <c r="O40" s="595" t="n">
        <f aca="false">(1.6+2.5)*1.05</f>
        <v>4.305</v>
      </c>
      <c r="P40" s="258" t="n">
        <v>0</v>
      </c>
      <c r="Q40" s="258" t="n">
        <f aca="false">2.38*1.02</f>
        <v>2.4276</v>
      </c>
      <c r="R40" s="258" t="n">
        <v>4.2</v>
      </c>
      <c r="S40" s="380" t="n">
        <v>0.8</v>
      </c>
      <c r="T40" s="456" t="n">
        <v>0</v>
      </c>
      <c r="U40" s="595" t="n">
        <v>136</v>
      </c>
      <c r="V40" s="595" t="n">
        <v>68</v>
      </c>
      <c r="W40" s="141" t="n">
        <f aca="false">M40-(N40-AQ40)-O40-P40-Q40-R40-S40-T40+U40+V40-AQ40</f>
        <v>345.382603</v>
      </c>
      <c r="X40" s="115" t="n">
        <f aca="false">X39-(W40-I40)-Q40-R40-AB40-(AO40/1.9835)</f>
        <v>1887.7305359269</v>
      </c>
      <c r="Y40" s="115" t="n">
        <f aca="false">Y39+AP40</f>
        <v>2685.15</v>
      </c>
      <c r="Z40" s="208" t="n">
        <f aca="false">Z39</f>
        <v>701.789765565919</v>
      </c>
      <c r="AA40" s="595" t="n">
        <v>260</v>
      </c>
      <c r="AB40" s="284" t="n">
        <v>1.7</v>
      </c>
      <c r="AC40" s="285" t="n">
        <v>1.3</v>
      </c>
      <c r="AD40" s="592" t="n">
        <v>76</v>
      </c>
      <c r="AE40" s="593" t="n">
        <f aca="false">AE39-AD40</f>
        <v>8166.82307285102</v>
      </c>
      <c r="AF40" s="34" t="n">
        <f aca="false">N40+O40+P40+Q40+R40+S40+T40+W40+AA40+AD40</f>
        <v>695</v>
      </c>
      <c r="AG40" s="595" t="n">
        <f aca="false">IF(L40&lt;0,L40*-1,0)</f>
        <v>0</v>
      </c>
      <c r="AH40" s="595" t="n">
        <f aca="false">AF40+AG40</f>
        <v>695</v>
      </c>
      <c r="AI40" s="603" t="n">
        <v>0</v>
      </c>
      <c r="AJ40" s="599" t="n">
        <v>85</v>
      </c>
      <c r="AK40" s="604" t="n">
        <v>52</v>
      </c>
      <c r="AL40" s="264" t="n">
        <f aca="false">AL39</f>
        <v>10571</v>
      </c>
      <c r="AM40" s="374"/>
      <c r="AN40" s="264"/>
      <c r="AO40" s="258" t="n">
        <f aca="false">45.4*(X39*1.9835+Y39*1.9835+Z39*1.9835+AN39*1.9835)/E40</f>
        <v>3.03358252949006</v>
      </c>
      <c r="AP40" s="594"/>
      <c r="AQ40" s="9" t="n">
        <v>1.09</v>
      </c>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596" t="n">
        <v>30</v>
      </c>
      <c r="B41" s="597" t="n">
        <v>6907.78</v>
      </c>
      <c r="C41" s="598" t="n">
        <v>313194</v>
      </c>
      <c r="D41" s="599" t="n">
        <f aca="false">C41-C40</f>
        <v>-941</v>
      </c>
      <c r="E41" s="598" t="n">
        <f aca="false">C41-152000</f>
        <v>161194</v>
      </c>
      <c r="F41" s="600" t="n">
        <f aca="false">D41/$D$2</f>
        <v>-474.413914797076</v>
      </c>
      <c r="G41" s="595" t="n">
        <v>168</v>
      </c>
      <c r="H41" s="605" t="n">
        <v>0</v>
      </c>
      <c r="I41" s="595" t="n">
        <f aca="false">G41+H41</f>
        <v>168</v>
      </c>
      <c r="J41" s="601" t="n">
        <f aca="false">IF(L41&gt;0,L41,0)</f>
        <v>126.586085202924</v>
      </c>
      <c r="K41" s="595" t="n">
        <f aca="false">I41+J41</f>
        <v>294.586085202924</v>
      </c>
      <c r="L41" s="595" t="n">
        <f aca="false">F41-(I41-AF41)</f>
        <v>126.586085202924</v>
      </c>
      <c r="M41" s="602" t="n">
        <v>227</v>
      </c>
      <c r="N41" s="258" t="n">
        <f aca="false">1.8299*1.03</f>
        <v>1.884797</v>
      </c>
      <c r="O41" s="595" t="n">
        <f aca="false">(25+26)*1.05</f>
        <v>53.55</v>
      </c>
      <c r="P41" s="258" t="n">
        <v>0</v>
      </c>
      <c r="Q41" s="258" t="n">
        <f aca="false">2.38*1.02</f>
        <v>2.4276</v>
      </c>
      <c r="R41" s="258" t="n">
        <v>4.2</v>
      </c>
      <c r="S41" s="606" t="n">
        <v>3.64</v>
      </c>
      <c r="T41" s="456" t="n">
        <v>0</v>
      </c>
      <c r="U41" s="595" t="n">
        <v>136</v>
      </c>
      <c r="V41" s="595" t="n">
        <v>69</v>
      </c>
      <c r="W41" s="141" t="n">
        <f aca="false">M41-(N41-AQ41)-O41-P41-Q41-R41-S41-T41+U41+V41-AQ41</f>
        <v>366.297603</v>
      </c>
      <c r="X41" s="115" t="n">
        <f aca="false">X40-(W41-I41)-Q41-R41-AB41-(AO41/1.9835)</f>
        <v>1679.61973152928</v>
      </c>
      <c r="Y41" s="115" t="n">
        <f aca="false">Y40+AP41</f>
        <v>2685.15</v>
      </c>
      <c r="Z41" s="208" t="n">
        <f aca="false">Z40</f>
        <v>701.789765565919</v>
      </c>
      <c r="AA41" s="595" t="n">
        <v>260</v>
      </c>
      <c r="AB41" s="284" t="n">
        <v>1.7</v>
      </c>
      <c r="AC41" s="285" t="n">
        <v>1.3</v>
      </c>
      <c r="AD41" s="592" t="n">
        <v>77</v>
      </c>
      <c r="AE41" s="593" t="n">
        <f aca="false">AE40-AD41</f>
        <v>8089.82307285102</v>
      </c>
      <c r="AF41" s="34" t="n">
        <f aca="false">N41+O41+P41+Q41+R41+S41+T41+W41+AA41+AD41</f>
        <v>769</v>
      </c>
      <c r="AG41" s="595" t="n">
        <f aca="false">IF(L41&lt;0,L41*-1,0)</f>
        <v>0</v>
      </c>
      <c r="AH41" s="595" t="n">
        <f aca="false">AF41+AG41</f>
        <v>769</v>
      </c>
      <c r="AI41" s="603" t="n">
        <v>0</v>
      </c>
      <c r="AJ41" s="599" t="n">
        <v>84</v>
      </c>
      <c r="AK41" s="604" t="n">
        <v>51</v>
      </c>
      <c r="AL41" s="264" t="n">
        <f aca="false">AL40</f>
        <v>10571</v>
      </c>
      <c r="AM41" s="374"/>
      <c r="AN41" s="264"/>
      <c r="AO41" s="258" t="n">
        <f aca="false">45.4*(X40*1.9835+Y40*1.9835+Z40*1.9835+AN40*1.9835)/E41</f>
        <v>2.946690372177</v>
      </c>
      <c r="AP41" s="594"/>
      <c r="AQ41" s="9" t="n">
        <v>1.09</v>
      </c>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596" t="n">
        <v>31</v>
      </c>
      <c r="B42" s="597" t="n">
        <v>6907.49</v>
      </c>
      <c r="C42" s="598" t="n">
        <v>312058</v>
      </c>
      <c r="D42" s="599" t="n">
        <f aca="false">C42-C41</f>
        <v>-1136</v>
      </c>
      <c r="E42" s="598" t="n">
        <f aca="false">C42-152000</f>
        <v>160058</v>
      </c>
      <c r="F42" s="600" t="n">
        <f aca="false">D42/$D$2</f>
        <v>-572.724981094026</v>
      </c>
      <c r="G42" s="595" t="n">
        <v>158</v>
      </c>
      <c r="H42" s="605" t="n">
        <v>0</v>
      </c>
      <c r="I42" s="595" t="n">
        <f aca="false">G42+H42</f>
        <v>158</v>
      </c>
      <c r="J42" s="601" t="n">
        <f aca="false">IF(L42&gt;0,L42,0)</f>
        <v>23.2750189059743</v>
      </c>
      <c r="K42" s="595" t="n">
        <f aca="false">I42+J42</f>
        <v>181.275018905974</v>
      </c>
      <c r="L42" s="595" t="n">
        <f aca="false">F42-(I42-AF42)</f>
        <v>23.2750189059743</v>
      </c>
      <c r="M42" s="602" t="n">
        <v>223</v>
      </c>
      <c r="N42" s="258" t="n">
        <f aca="false">1.8299*1.03</f>
        <v>1.884797</v>
      </c>
      <c r="O42" s="595" t="n">
        <f aca="false">(38+39)*1.05</f>
        <v>80.85</v>
      </c>
      <c r="P42" s="258" t="n">
        <v>0</v>
      </c>
      <c r="Q42" s="258" t="n">
        <f aca="false">2.38*1.02</f>
        <v>2.4276</v>
      </c>
      <c r="R42" s="258" t="n">
        <v>4.2</v>
      </c>
      <c r="S42" s="606" t="n">
        <v>3.18</v>
      </c>
      <c r="T42" s="456" t="n">
        <v>0</v>
      </c>
      <c r="U42" s="595" t="n">
        <v>142</v>
      </c>
      <c r="V42" s="595" t="n">
        <v>67</v>
      </c>
      <c r="W42" s="141" t="n">
        <f aca="false">M42-(N42-AQ42)-O42-P42-Q42-R42-S42-T42+U42+V42-AQ42</f>
        <v>339.457603</v>
      </c>
      <c r="X42" s="115" t="n">
        <f aca="false">X41-(W42-I42)-Q42-R42-AB42-(AO42/1.9835)</f>
        <v>1488.39741322627</v>
      </c>
      <c r="Y42" s="115" t="n">
        <f aca="false">Y41+AP42</f>
        <v>2685.15</v>
      </c>
      <c r="Z42" s="208" t="n">
        <f aca="false">Z41</f>
        <v>701.789765565919</v>
      </c>
      <c r="AA42" s="595" t="n">
        <v>245</v>
      </c>
      <c r="AB42" s="284" t="n">
        <v>1.7</v>
      </c>
      <c r="AC42" s="285" t="n">
        <v>1.3</v>
      </c>
      <c r="AD42" s="592" t="n">
        <v>77</v>
      </c>
      <c r="AE42" s="593" t="n">
        <f aca="false">AE41-AD42</f>
        <v>8012.82307285102</v>
      </c>
      <c r="AF42" s="34" t="n">
        <f aca="false">N42+O42+P42+Q42+R42+S42+T42+W42+AA42+AD42</f>
        <v>754</v>
      </c>
      <c r="AG42" s="595" t="n">
        <f aca="false">IF(L42&lt;0,L42*-1,0)</f>
        <v>0</v>
      </c>
      <c r="AH42" s="595" t="n">
        <f aca="false">AF42+AG42</f>
        <v>754</v>
      </c>
      <c r="AI42" s="603" t="n">
        <v>0.3</v>
      </c>
      <c r="AJ42" s="599" t="n">
        <v>85</v>
      </c>
      <c r="AK42" s="604" t="n">
        <v>53</v>
      </c>
      <c r="AL42" s="264" t="n">
        <f aca="false">AL41</f>
        <v>10571</v>
      </c>
      <c r="AM42" s="374"/>
      <c r="AN42" s="264"/>
      <c r="AO42" s="258" t="n">
        <f aca="false">45.4*(X41*1.9835+Y41*1.9835+Z41*1.9835+AN41*1.9835)/E42</f>
        <v>2.85051820350729</v>
      </c>
      <c r="AP42" s="594"/>
      <c r="AQ42" s="9" t="n">
        <v>1.09</v>
      </c>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 hidden="false" customHeight="true" outlineLevel="0" collapsed="false">
      <c r="A43" s="270"/>
      <c r="B43" s="607"/>
      <c r="C43" s="579"/>
      <c r="D43" s="404"/>
      <c r="E43" s="579"/>
      <c r="F43" s="580"/>
      <c r="G43" s="404"/>
      <c r="H43" s="581"/>
      <c r="I43" s="404"/>
      <c r="J43" s="404"/>
      <c r="K43" s="404"/>
      <c r="L43" s="404"/>
      <c r="M43" s="582"/>
      <c r="N43" s="404"/>
      <c r="O43" s="404"/>
      <c r="P43" s="583"/>
      <c r="Q43" s="583"/>
      <c r="R43" s="583"/>
      <c r="S43" s="583"/>
      <c r="T43" s="584"/>
      <c r="U43" s="404"/>
      <c r="V43" s="404"/>
      <c r="W43" s="404"/>
      <c r="X43" s="579"/>
      <c r="Y43" s="579"/>
      <c r="Z43" s="579"/>
      <c r="AA43" s="404"/>
      <c r="AB43" s="276"/>
      <c r="AC43" s="279"/>
      <c r="AD43" s="404"/>
      <c r="AE43" s="404"/>
      <c r="AF43" s="404"/>
      <c r="AG43" s="404"/>
      <c r="AH43" s="404"/>
      <c r="AI43" s="585"/>
      <c r="AJ43" s="586"/>
      <c r="AK43" s="587"/>
      <c r="AL43" s="406"/>
      <c r="AM43" s="406"/>
      <c r="AN43" s="406"/>
      <c r="AO43" s="588"/>
      <c r="AP43" s="589"/>
      <c r="AQ43" s="589"/>
      <c r="AR43" s="589"/>
    </row>
    <row r="44" customFormat="false" ht="12.95" hidden="false" customHeight="true" outlineLevel="0" collapsed="false">
      <c r="A44" s="187" t="s">
        <v>77</v>
      </c>
      <c r="B44" s="569"/>
      <c r="C44" s="208"/>
      <c r="D44" s="208"/>
      <c r="E44" s="208"/>
      <c r="F44" s="570" t="n">
        <f aca="false">SUM(F12:F42)</f>
        <v>-11392.4880262163</v>
      </c>
      <c r="G44" s="208" t="n">
        <f aca="false">SUM(G12:G42)</f>
        <v>8471</v>
      </c>
      <c r="H44" s="208" t="n">
        <f aca="false">SUM(H12:H42)</f>
        <v>0.46</v>
      </c>
      <c r="I44" s="208" t="n">
        <f aca="false">SUM(I12:I42)</f>
        <v>8471.46</v>
      </c>
      <c r="J44" s="208" t="n">
        <f aca="false">SUM(J12:J42)</f>
        <v>390.930910007563</v>
      </c>
      <c r="K44" s="208" t="n">
        <f aca="false">SUM(K12:K42)</f>
        <v>8862.39091000756</v>
      </c>
      <c r="L44" s="208" t="n">
        <f aca="false">SUM(L12:L42)</f>
        <v>-668.148026216284</v>
      </c>
      <c r="M44" s="571" t="n">
        <f aca="false">SUM(M12:M42)</f>
        <v>6535</v>
      </c>
      <c r="N44" s="208" t="n">
        <f aca="false">SUM(N12:N42)</f>
        <v>58.428707</v>
      </c>
      <c r="O44" s="208" t="n">
        <f aca="false">SUM(O12:O42)</f>
        <v>2093.805</v>
      </c>
      <c r="P44" s="206" t="n">
        <f aca="false">SUM(P12:P42)</f>
        <v>0</v>
      </c>
      <c r="Q44" s="365" t="n">
        <f aca="false">SUM(Q12:Q42)</f>
        <v>75.2556</v>
      </c>
      <c r="R44" s="365" t="n">
        <f aca="false">SUM(R12:R42)</f>
        <v>129.85</v>
      </c>
      <c r="S44" s="365" t="n">
        <f aca="false">SUM(S12:S42)</f>
        <v>85.07</v>
      </c>
      <c r="T44" s="572" t="n">
        <f aca="false">SUM(T12:T42)</f>
        <v>0</v>
      </c>
      <c r="U44" s="208" t="n">
        <f aca="false">SUM(U12:U42)</f>
        <v>3590</v>
      </c>
      <c r="V44" s="208" t="n">
        <f aca="false">SUM(V12:V42)</f>
        <v>2042</v>
      </c>
      <c r="W44" s="208" t="n">
        <f aca="false">SUM(W12:W42)</f>
        <v>9724.590693</v>
      </c>
      <c r="X44" s="208"/>
      <c r="Y44" s="208"/>
      <c r="Z44" s="208"/>
      <c r="AA44" s="208" t="n">
        <f aca="false">SUM(AA12:AA42)</f>
        <v>4632.8</v>
      </c>
      <c r="AB44" s="571" t="n">
        <f aca="false">SUM(AB12:AB42)</f>
        <v>52.7</v>
      </c>
      <c r="AC44" s="573" t="n">
        <f aca="false">SUM(AC12:AC42)</f>
        <v>40.3</v>
      </c>
      <c r="AD44" s="208" t="n">
        <f aca="false">SUM(AD12:AD42)</f>
        <v>2396</v>
      </c>
      <c r="AE44" s="208"/>
      <c r="AF44" s="208" t="n">
        <f aca="false">SUM(AF12:AF42)</f>
        <v>19195.8</v>
      </c>
      <c r="AG44" s="208" t="n">
        <f aca="false">SUM(AG12:AG42)</f>
        <v>1059.07893622385</v>
      </c>
      <c r="AH44" s="208" t="n">
        <f aca="false">SUM(AH12:AH42)</f>
        <v>20254.8789362238</v>
      </c>
      <c r="AI44" s="372" t="n">
        <f aca="false">SUM(AI12:AI42)</f>
        <v>1.21</v>
      </c>
      <c r="AJ44" s="365" t="n">
        <f aca="false">AVERAGE(AJ12:AJ42)</f>
        <v>84.9677419354839</v>
      </c>
      <c r="AK44" s="574" t="n">
        <f aca="false">AVERAGE(AK12:AK42)</f>
        <v>55.0322580645161</v>
      </c>
      <c r="AL44" s="374" t="s">
        <v>108</v>
      </c>
      <c r="AM44" s="208" t="n">
        <f aca="false">SUM(AM12:AM42)</f>
        <v>0</v>
      </c>
      <c r="AN44" s="374"/>
      <c r="AO44" s="206"/>
      <c r="AP44" s="264" t="n">
        <f aca="false">SUM(AP12:AP42)</f>
        <v>0</v>
      </c>
      <c r="AQ44" s="264" t="n">
        <f aca="false">SUM(AQ12:AQ42)</f>
        <v>33.79</v>
      </c>
      <c r="AR44" s="264" t="n">
        <f aca="false">AR42</f>
        <v>0</v>
      </c>
    </row>
    <row r="45" customFormat="false" ht="12.95" hidden="false" customHeight="true" outlineLevel="0" collapsed="false">
      <c r="A45" s="187" t="s">
        <v>79</v>
      </c>
      <c r="B45" s="569"/>
      <c r="C45" s="208"/>
      <c r="D45" s="208" t="n">
        <f aca="false">SUM(D12:D42)</f>
        <v>-22597</v>
      </c>
      <c r="E45" s="208"/>
      <c r="F45" s="570" t="n">
        <f aca="false">F44*$D$2</f>
        <v>-22597</v>
      </c>
      <c r="G45" s="208" t="n">
        <f aca="false">G44*$D$2</f>
        <v>16802.2285</v>
      </c>
      <c r="H45" s="208" t="n">
        <f aca="false">H44*$D$2</f>
        <v>0.91241</v>
      </c>
      <c r="I45" s="208" t="n">
        <f aca="false">I44*$D$2</f>
        <v>16803.14091</v>
      </c>
      <c r="J45" s="208" t="n">
        <f aca="false">J44*$D$2</f>
        <v>775.411460000001</v>
      </c>
      <c r="K45" s="208" t="n">
        <f aca="false">K44*$D$2</f>
        <v>17578.55237</v>
      </c>
      <c r="L45" s="208" t="n">
        <f aca="false">L44*$D$2</f>
        <v>-1325.27161</v>
      </c>
      <c r="M45" s="571" t="n">
        <f aca="false">M44*$D$2</f>
        <v>12962.1725</v>
      </c>
      <c r="N45" s="208" t="n">
        <f aca="false">N44*$D$2</f>
        <v>115.8933403345</v>
      </c>
      <c r="O45" s="208" t="n">
        <f aca="false">O44*$D$2</f>
        <v>4153.0622175</v>
      </c>
      <c r="P45" s="206" t="n">
        <f aca="false">P44*$D$2</f>
        <v>0</v>
      </c>
      <c r="Q45" s="365" t="n">
        <f aca="false">Q44*$D$2</f>
        <v>149.2694826</v>
      </c>
      <c r="R45" s="365" t="n">
        <f aca="false">R44*$D$2</f>
        <v>257.557475</v>
      </c>
      <c r="S45" s="365" t="n">
        <f aca="false">S44*$D$2</f>
        <v>168.736345</v>
      </c>
      <c r="T45" s="572" t="n">
        <f aca="false">T44*$D$2</f>
        <v>0</v>
      </c>
      <c r="U45" s="208" t="n">
        <f aca="false">U44*$D$2</f>
        <v>7120.765</v>
      </c>
      <c r="V45" s="208" t="n">
        <f aca="false">V44*$D$2</f>
        <v>4050.307</v>
      </c>
      <c r="W45" s="208" t="n">
        <f aca="false">W44*$D$2</f>
        <v>19288.7256395655</v>
      </c>
      <c r="X45" s="208"/>
      <c r="Y45" s="208"/>
      <c r="Z45" s="208"/>
      <c r="AA45" s="208" t="n">
        <f aca="false">AA44*$D$2</f>
        <v>9189.1588</v>
      </c>
      <c r="AB45" s="571" t="n">
        <f aca="false">AB44*$D$2</f>
        <v>104.53045</v>
      </c>
      <c r="AC45" s="573" t="n">
        <f aca="false">AC44*$D$2</f>
        <v>79.93505</v>
      </c>
      <c r="AD45" s="208" t="n">
        <f aca="false">AD44*$D$2</f>
        <v>4752.466</v>
      </c>
      <c r="AE45" s="208"/>
      <c r="AF45" s="208" t="n">
        <f aca="false">AF44*$D$2</f>
        <v>38074.8693</v>
      </c>
      <c r="AG45" s="208" t="n">
        <f aca="false">AG44*$D$2</f>
        <v>2100.68307</v>
      </c>
      <c r="AH45" s="208" t="n">
        <f aca="false">AH44*$D$2</f>
        <v>40175.55237</v>
      </c>
      <c r="AI45" s="372"/>
      <c r="AJ45" s="365" t="n">
        <f aca="false">MAX(AJ12:AJ42)</f>
        <v>90</v>
      </c>
      <c r="AK45" s="574" t="n">
        <f aca="false">MAX(AK12:AK42)</f>
        <v>61</v>
      </c>
      <c r="AL45" s="374" t="s">
        <v>80</v>
      </c>
      <c r="AM45" s="208" t="n">
        <f aca="false">AM44*$D$2</f>
        <v>0</v>
      </c>
      <c r="AN45" s="374"/>
      <c r="AO45" s="206" t="n">
        <f aca="false">SUM(AO12:AO42)</f>
        <v>107.940636078071</v>
      </c>
      <c r="AP45" s="264" t="n">
        <f aca="false">AP44*$D$2</f>
        <v>0</v>
      </c>
      <c r="AQ45" s="264" t="n">
        <f aca="false">AQ44*$D$2</f>
        <v>67.022465</v>
      </c>
      <c r="AR45" s="264" t="n">
        <f aca="false">AR42*1.9835</f>
        <v>0</v>
      </c>
    </row>
    <row r="46" customFormat="false" ht="3" hidden="false" customHeight="true" outlineLevel="0" collapsed="false">
      <c r="A46" s="290"/>
      <c r="B46" s="607"/>
      <c r="C46" s="579"/>
      <c r="D46" s="579"/>
      <c r="E46" s="579"/>
      <c r="F46" s="608"/>
      <c r="G46" s="579"/>
      <c r="H46" s="579"/>
      <c r="I46" s="579"/>
      <c r="J46" s="579"/>
      <c r="K46" s="579"/>
      <c r="L46" s="579"/>
      <c r="M46" s="609"/>
      <c r="N46" s="579"/>
      <c r="O46" s="579"/>
      <c r="P46" s="583"/>
      <c r="Q46" s="586"/>
      <c r="R46" s="586"/>
      <c r="S46" s="586"/>
      <c r="T46" s="584"/>
      <c r="U46" s="579"/>
      <c r="V46" s="579"/>
      <c r="W46" s="579"/>
      <c r="X46" s="579"/>
      <c r="Y46" s="579"/>
      <c r="Z46" s="579"/>
      <c r="AA46" s="579"/>
      <c r="AB46" s="609"/>
      <c r="AC46" s="610"/>
      <c r="AD46" s="579"/>
      <c r="AE46" s="404"/>
      <c r="AF46" s="579"/>
      <c r="AG46" s="579"/>
      <c r="AH46" s="579"/>
      <c r="AI46" s="611"/>
      <c r="AJ46" s="579"/>
      <c r="AK46" s="608"/>
      <c r="AL46" s="579"/>
      <c r="AM46" s="579"/>
      <c r="AN46" s="406"/>
      <c r="AO46" s="583"/>
      <c r="AP46" s="281"/>
      <c r="AQ46" s="281"/>
      <c r="AR46" s="589"/>
    </row>
    <row r="47" customFormat="false" ht="12.95" hidden="false" customHeight="true" outlineLevel="0" collapsed="false">
      <c r="A47" s="187" t="s">
        <v>81</v>
      </c>
      <c r="B47" s="569"/>
      <c r="C47" s="208"/>
      <c r="D47" s="208"/>
      <c r="E47" s="208"/>
      <c r="F47" s="570" t="n">
        <f aca="false">F9+F44</f>
        <v>1144.44164355936</v>
      </c>
      <c r="G47" s="208" t="n">
        <f aca="false">G9+G44</f>
        <v>104661</v>
      </c>
      <c r="H47" s="208" t="n">
        <f aca="false">H9+H44</f>
        <v>2024.18</v>
      </c>
      <c r="I47" s="208" t="n">
        <f aca="false">I9+I44</f>
        <v>106685.18</v>
      </c>
      <c r="J47" s="208" t="n">
        <f aca="false">J9+J44</f>
        <v>6822.78343584573</v>
      </c>
      <c r="K47" s="208" t="n">
        <f aca="false">K9+K44</f>
        <v>113507.963435846</v>
      </c>
      <c r="L47" s="208" t="n">
        <f aca="false">L9+L44</f>
        <v>2727.07164355937</v>
      </c>
      <c r="M47" s="571" t="n">
        <f aca="false">M9+M44</f>
        <v>35193.3</v>
      </c>
      <c r="N47" s="208" t="n">
        <f aca="false">N9+N44</f>
        <v>288.373941</v>
      </c>
      <c r="O47" s="208" t="n">
        <f aca="false">O9+O44</f>
        <v>10784.4395</v>
      </c>
      <c r="P47" s="206" t="n">
        <f aca="false">P9+P44</f>
        <v>7.32</v>
      </c>
      <c r="Q47" s="365"/>
      <c r="R47" s="365"/>
      <c r="S47" s="365"/>
      <c r="T47" s="572"/>
      <c r="U47" s="208" t="n">
        <f aca="false">U9+U44</f>
        <v>17703</v>
      </c>
      <c r="V47" s="208" t="n">
        <f aca="false">V9+V44</f>
        <v>9144.8</v>
      </c>
      <c r="W47" s="208" t="n">
        <f aca="false">W9+W44</f>
        <v>49251.179759</v>
      </c>
      <c r="X47" s="598"/>
      <c r="Y47" s="208"/>
      <c r="Z47" s="208"/>
      <c r="AA47" s="208" t="n">
        <f aca="false">AA9+AA44</f>
        <v>21313.7</v>
      </c>
      <c r="AB47" s="571" t="n">
        <f aca="false">AB9+AB44</f>
        <v>260.1</v>
      </c>
      <c r="AC47" s="573" t="n">
        <f aca="false">AC9+AC44</f>
        <v>198.9</v>
      </c>
      <c r="AD47" s="208"/>
      <c r="AE47" s="598"/>
      <c r="AF47" s="208" t="n">
        <f aca="false">AF9+AF44</f>
        <v>108267.81</v>
      </c>
      <c r="AG47" s="208" t="n">
        <f aca="false">AG9+AG44</f>
        <v>4095.71179228636</v>
      </c>
      <c r="AH47" s="208" t="n">
        <f aca="false">AH9+AH44</f>
        <v>112363.521792286</v>
      </c>
      <c r="AI47" s="372"/>
      <c r="AJ47" s="365" t="n">
        <f aca="false">MIN(AJ12:AJ42)</f>
        <v>75</v>
      </c>
      <c r="AK47" s="574" t="n">
        <f aca="false">MIN(AK12:AK42)</f>
        <v>48</v>
      </c>
      <c r="AL47" s="374" t="s">
        <v>82</v>
      </c>
      <c r="AM47" s="374"/>
      <c r="AN47" s="374"/>
      <c r="AO47" s="206"/>
      <c r="AP47" s="264" t="n">
        <f aca="false">AP9+AP44</f>
        <v>1036.55</v>
      </c>
      <c r="AQ47" s="264" t="n">
        <f aca="false">AQ9+AQ44</f>
        <v>306.51</v>
      </c>
      <c r="AR47" s="264" t="n">
        <f aca="false">AR45</f>
        <v>0</v>
      </c>
    </row>
    <row r="48" customFormat="false" ht="12.95" hidden="false" customHeight="true" outlineLevel="0" collapsed="false">
      <c r="A48" s="187" t="s">
        <v>83</v>
      </c>
      <c r="B48" s="569"/>
      <c r="C48" s="208"/>
      <c r="D48" s="208"/>
      <c r="E48" s="208"/>
      <c r="F48" s="570" t="n">
        <f aca="false">F47*$D$2</f>
        <v>2270</v>
      </c>
      <c r="G48" s="208" t="n">
        <f aca="false">G47*$D$2</f>
        <v>207595.0935</v>
      </c>
      <c r="H48" s="208" t="n">
        <f aca="false">H47*$D$2</f>
        <v>4014.96103</v>
      </c>
      <c r="I48" s="208" t="n">
        <f aca="false">I47*$D$2</f>
        <v>211610.05453</v>
      </c>
      <c r="J48" s="208" t="n">
        <f aca="false">J47*$D$2</f>
        <v>13532.990945</v>
      </c>
      <c r="K48" s="208" t="n">
        <f aca="false">K47*$D$2</f>
        <v>225143.045475</v>
      </c>
      <c r="L48" s="208" t="n">
        <f aca="false">L47*$D$2</f>
        <v>5409.146605</v>
      </c>
      <c r="M48" s="571" t="n">
        <f aca="false">M47*$D$2</f>
        <v>69805.91055</v>
      </c>
      <c r="N48" s="208" t="n">
        <f aca="false">N47*$D$2</f>
        <v>571.9897119735</v>
      </c>
      <c r="O48" s="208" t="n">
        <f aca="false">O47*$D$2</f>
        <v>21390.93574825</v>
      </c>
      <c r="P48" s="206" t="n">
        <f aca="false">P47*$D$2</f>
        <v>14.51922</v>
      </c>
      <c r="Q48" s="365"/>
      <c r="R48" s="365"/>
      <c r="S48" s="365"/>
      <c r="T48" s="572"/>
      <c r="U48" s="208" t="n">
        <f aca="false">U47*$D$2</f>
        <v>35113.9005</v>
      </c>
      <c r="V48" s="208" t="n">
        <f aca="false">V47*$D$2</f>
        <v>18138.7108</v>
      </c>
      <c r="W48" s="208" t="n">
        <f aca="false">W47*$D$2</f>
        <v>97689.7150519765</v>
      </c>
      <c r="X48" s="208"/>
      <c r="Y48" s="208"/>
      <c r="Z48" s="208"/>
      <c r="AA48" s="208" t="n">
        <f aca="false">AA47*$D$2</f>
        <v>42275.72395</v>
      </c>
      <c r="AB48" s="571" t="n">
        <f aca="false">AB47*$D$2</f>
        <v>515.90835</v>
      </c>
      <c r="AC48" s="573" t="n">
        <f aca="false">AC47*$D$2</f>
        <v>394.51815</v>
      </c>
      <c r="AD48" s="208"/>
      <c r="AE48" s="208"/>
      <c r="AF48" s="208" t="n">
        <f aca="false">AF47*$D$2</f>
        <v>214749.201135</v>
      </c>
      <c r="AG48" s="208" t="n">
        <f aca="false">AG47*$D$2</f>
        <v>8123.84434</v>
      </c>
      <c r="AH48" s="208" t="n">
        <f aca="false">AH47*$D$2</f>
        <v>222873.045475</v>
      </c>
      <c r="AI48" s="372"/>
      <c r="AJ48" s="365"/>
      <c r="AK48" s="574"/>
      <c r="AL48" s="374"/>
      <c r="AM48" s="374"/>
      <c r="AN48" s="374"/>
      <c r="AO48" s="206" t="n">
        <f aca="false">AO9+AO45</f>
        <v>915.126757847722</v>
      </c>
      <c r="AP48" s="264" t="n">
        <f aca="false">AP47*$D$2</f>
        <v>2055.996925</v>
      </c>
      <c r="AQ48" s="264" t="n">
        <f aca="false">AQ47*$D$2</f>
        <v>607.962585</v>
      </c>
      <c r="AR48" s="264" t="n">
        <f aca="false">AR45*1.9835</f>
        <v>0</v>
      </c>
    </row>
    <row r="49" customFormat="false" ht="3" hidden="false" customHeight="true" outlineLevel="0" collapsed="false">
      <c r="A49" s="290"/>
      <c r="B49" s="607"/>
      <c r="C49" s="579"/>
      <c r="D49" s="579"/>
      <c r="E49" s="579"/>
      <c r="F49" s="608"/>
      <c r="G49" s="579"/>
      <c r="H49" s="586"/>
      <c r="I49" s="579"/>
      <c r="J49" s="579"/>
      <c r="K49" s="579"/>
      <c r="L49" s="579"/>
      <c r="M49" s="609"/>
      <c r="N49" s="579"/>
      <c r="O49" s="579"/>
      <c r="P49" s="583"/>
      <c r="Q49" s="586"/>
      <c r="R49" s="586"/>
      <c r="S49" s="586"/>
      <c r="T49" s="584"/>
      <c r="U49" s="579"/>
      <c r="V49" s="579"/>
      <c r="W49" s="579"/>
      <c r="X49" s="579"/>
      <c r="Y49" s="579"/>
      <c r="Z49" s="579"/>
      <c r="AA49" s="579"/>
      <c r="AB49" s="292"/>
      <c r="AC49" s="293"/>
      <c r="AD49" s="579"/>
      <c r="AE49" s="579"/>
      <c r="AF49" s="579"/>
      <c r="AG49" s="579"/>
      <c r="AH49" s="579"/>
      <c r="AI49" s="585"/>
      <c r="AJ49" s="612"/>
      <c r="AK49" s="613"/>
      <c r="AL49" s="612"/>
      <c r="AM49" s="612"/>
      <c r="AN49" s="406"/>
      <c r="AO49" s="583"/>
      <c r="AP49" s="406"/>
      <c r="AQ49" s="406"/>
      <c r="AR49" s="589"/>
    </row>
    <row r="50" customFormat="false" ht="12.95" hidden="false" customHeight="true" outlineLevel="0" collapsed="false">
      <c r="A50" s="187" t="s">
        <v>84</v>
      </c>
      <c r="B50" s="569"/>
      <c r="C50" s="208"/>
      <c r="D50" s="208"/>
      <c r="E50" s="208"/>
      <c r="F50" s="570" t="n">
        <f aca="false">F10+F44</f>
        <v>20739.6017141417</v>
      </c>
      <c r="G50" s="208" t="n">
        <f aca="false">G10+G44</f>
        <v>127282</v>
      </c>
      <c r="H50" s="365" t="n">
        <f aca="false">H10+H44</f>
        <v>3511.76</v>
      </c>
      <c r="I50" s="208" t="n">
        <f aca="false">I10+I44</f>
        <v>130793.76</v>
      </c>
      <c r="J50" s="208" t="n">
        <f aca="false">J10+J44</f>
        <v>13911.7177186791</v>
      </c>
      <c r="K50" s="208" t="n">
        <f aca="false">K10+K44</f>
        <v>144705.477718679</v>
      </c>
      <c r="L50" s="208" t="n">
        <f aca="false">L10+L44</f>
        <v>8475.15171414167</v>
      </c>
      <c r="M50" s="571" t="n">
        <f aca="false">M10+M44</f>
        <v>36189.7</v>
      </c>
      <c r="N50" s="208" t="n">
        <f aca="false">N10+N44</f>
        <v>288.373941</v>
      </c>
      <c r="O50" s="208" t="n">
        <f aca="false">O10+O44</f>
        <v>10784.4395</v>
      </c>
      <c r="P50" s="206"/>
      <c r="Q50" s="365" t="n">
        <f aca="false">Q10+Q44</f>
        <v>598.0668</v>
      </c>
      <c r="R50" s="365" t="n">
        <f aca="false">R10+R44</f>
        <v>1025.723</v>
      </c>
      <c r="S50" s="365" t="n">
        <f aca="false">S10+S44</f>
        <v>315.35</v>
      </c>
      <c r="T50" s="572" t="n">
        <f aca="false">T10+T44</f>
        <v>-61.236</v>
      </c>
      <c r="U50" s="208" t="n">
        <f aca="false">U10+U44</f>
        <v>23078</v>
      </c>
      <c r="V50" s="208" t="n">
        <f aca="false">V10+V44</f>
        <v>9270.9</v>
      </c>
      <c r="W50" s="208" t="n">
        <f aca="false">W10+W44</f>
        <v>54888.195359</v>
      </c>
      <c r="X50" s="208"/>
      <c r="Y50" s="208"/>
      <c r="Z50" s="208"/>
      <c r="AA50" s="208"/>
      <c r="AB50" s="259"/>
      <c r="AC50" s="262"/>
      <c r="AD50" s="208" t="n">
        <f aca="false">AD10+AD44</f>
        <v>28957.61</v>
      </c>
      <c r="AE50" s="208" t="n">
        <f aca="false">AE42</f>
        <v>8012.82307285102</v>
      </c>
      <c r="AF50" s="208" t="n">
        <f aca="false">AF10+AF44</f>
        <v>118529.31</v>
      </c>
      <c r="AG50" s="208" t="n">
        <f aca="false">AG10+AG44</f>
        <v>5436.56600453743</v>
      </c>
      <c r="AH50" s="208" t="n">
        <f aca="false">AH10+AH44</f>
        <v>123965.876004537</v>
      </c>
      <c r="AI50" s="372" t="n">
        <f aca="false">AI10+AI44</f>
        <v>9.1</v>
      </c>
      <c r="AJ50" s="365"/>
      <c r="AK50" s="574"/>
      <c r="AL50" s="374"/>
      <c r="AM50" s="208" t="n">
        <f aca="false">AM10+AM44</f>
        <v>264.7472</v>
      </c>
      <c r="AN50" s="374"/>
      <c r="AO50" s="206"/>
      <c r="AP50" s="365"/>
      <c r="AQ50" s="365" t="n">
        <f aca="false">AQ9+AQ44</f>
        <v>306.51</v>
      </c>
    </row>
    <row r="51" customFormat="false" ht="12.95" hidden="false" customHeight="true" outlineLevel="0" collapsed="false">
      <c r="A51" s="187" t="s">
        <v>85</v>
      </c>
      <c r="B51" s="569"/>
      <c r="C51" s="208"/>
      <c r="D51" s="208" t="n">
        <f aca="false">D10+D45</f>
        <v>41137</v>
      </c>
      <c r="E51" s="208" t="n">
        <f aca="false">E42</f>
        <v>160058</v>
      </c>
      <c r="F51" s="570" t="n">
        <f aca="false">F50*$D$2</f>
        <v>41137</v>
      </c>
      <c r="G51" s="208" t="n">
        <f aca="false">G50*$D$2</f>
        <v>252463.847</v>
      </c>
      <c r="H51" s="365" t="n">
        <f aca="false">H50*$D$2</f>
        <v>6965.57596</v>
      </c>
      <c r="I51" s="208" t="n">
        <f aca="false">I50*$D$2</f>
        <v>259429.42296</v>
      </c>
      <c r="J51" s="208" t="n">
        <f aca="false">J50*$D$2</f>
        <v>27593.892095</v>
      </c>
      <c r="K51" s="208" t="n">
        <f aca="false">K50*$D$2</f>
        <v>287023.315055</v>
      </c>
      <c r="L51" s="208" t="n">
        <f aca="false">L50*$D$2</f>
        <v>16810.463425</v>
      </c>
      <c r="M51" s="571" t="n">
        <f aca="false">M50*$D$2</f>
        <v>71782.26995</v>
      </c>
      <c r="N51" s="208" t="n">
        <f aca="false">N50*$D$2</f>
        <v>571.9897119735</v>
      </c>
      <c r="O51" s="208" t="n">
        <f aca="false">O50*$D$2</f>
        <v>21390.93574825</v>
      </c>
      <c r="P51" s="206"/>
      <c r="Q51" s="365" t="n">
        <f aca="false">Q50*$D$2</f>
        <v>1186.2654978</v>
      </c>
      <c r="R51" s="365" t="n">
        <f aca="false">R50*$D$2</f>
        <v>2034.5215705</v>
      </c>
      <c r="S51" s="614" t="n">
        <f aca="false">S50*$D$2</f>
        <v>625.496725</v>
      </c>
      <c r="T51" s="615" t="n">
        <f aca="false">T50*$D$2</f>
        <v>-121.461606</v>
      </c>
      <c r="U51" s="208" t="n">
        <f aca="false">U50*$D$2</f>
        <v>45775.213</v>
      </c>
      <c r="V51" s="208" t="n">
        <f aca="false">V50*$D$2</f>
        <v>18388.83015</v>
      </c>
      <c r="W51" s="208" t="n">
        <f aca="false">W50*$D$2</f>
        <v>108870.735494576</v>
      </c>
      <c r="X51" s="208"/>
      <c r="Y51" s="208"/>
      <c r="Z51" s="208"/>
      <c r="AA51" s="208"/>
      <c r="AB51" s="297"/>
      <c r="AC51" s="298"/>
      <c r="AD51" s="208" t="n">
        <f aca="false">AD50*$D$2</f>
        <v>57437.419435</v>
      </c>
      <c r="AE51" s="208" t="n">
        <f aca="false">AE50*$D$2</f>
        <v>15893.434565</v>
      </c>
      <c r="AF51" s="208" t="n">
        <f aca="false">AF50*$D$2</f>
        <v>235102.886385</v>
      </c>
      <c r="AG51" s="208" t="n">
        <f aca="false">AG50*$D$2</f>
        <v>10783.42867</v>
      </c>
      <c r="AH51" s="208" t="n">
        <f aca="false">AH50*$D$2</f>
        <v>245886.315055</v>
      </c>
      <c r="AI51" s="372"/>
      <c r="AJ51" s="365"/>
      <c r="AK51" s="574"/>
      <c r="AL51" s="374" t="n">
        <f aca="false">AL42</f>
        <v>10571</v>
      </c>
      <c r="AM51" s="208" t="n">
        <f aca="false">AM50*$D$2</f>
        <v>525.1260712</v>
      </c>
      <c r="AN51" s="374"/>
      <c r="AO51" s="206" t="n">
        <f aca="false">AO10+AO45</f>
        <v>915.126757847722</v>
      </c>
      <c r="AP51" s="365"/>
      <c r="AQ51" s="365" t="n">
        <f aca="false">AQ50*$D$2</f>
        <v>607.962585</v>
      </c>
    </row>
    <row r="52" customFormat="false" ht="3" hidden="false" customHeight="true" outlineLevel="0" collapsed="false">
      <c r="A52" s="270"/>
      <c r="B52" s="352"/>
      <c r="C52" s="338"/>
      <c r="D52" s="270"/>
      <c r="E52" s="338"/>
      <c r="F52" s="339"/>
      <c r="G52" s="270"/>
      <c r="H52" s="616"/>
      <c r="I52" s="270"/>
      <c r="J52" s="270"/>
      <c r="K52" s="617"/>
      <c r="L52" s="270"/>
      <c r="M52" s="556"/>
      <c r="N52" s="270"/>
      <c r="O52" s="270"/>
      <c r="P52" s="342"/>
      <c r="Q52" s="342"/>
      <c r="R52" s="343"/>
      <c r="S52" s="342"/>
      <c r="T52" s="343"/>
      <c r="U52" s="270"/>
      <c r="V52" s="270"/>
      <c r="W52" s="270"/>
      <c r="X52" s="338"/>
      <c r="Y52" s="338"/>
      <c r="Z52" s="338"/>
      <c r="AA52" s="270"/>
      <c r="AB52" s="276"/>
      <c r="AC52" s="279"/>
      <c r="AD52" s="270"/>
      <c r="AE52" s="338"/>
      <c r="AF52" s="270"/>
      <c r="AG52" s="270"/>
      <c r="AH52" s="270"/>
      <c r="AI52" s="352"/>
      <c r="AJ52" s="270"/>
      <c r="AK52" s="339"/>
      <c r="AL52" s="270"/>
      <c r="AM52" s="270"/>
      <c r="AN52" s="347"/>
      <c r="AO52" s="342"/>
      <c r="AP52" s="589"/>
      <c r="AQ52" s="589"/>
      <c r="AR52" s="589"/>
    </row>
    <row r="53" customFormat="false" ht="11.1" hidden="false" customHeight="true" outlineLevel="0" collapsed="false">
      <c r="A53" s="618"/>
      <c r="B53" s="167"/>
      <c r="C53" s="11"/>
      <c r="D53" s="10"/>
      <c r="E53" s="529"/>
      <c r="F53" s="0"/>
      <c r="G53" s="0"/>
      <c r="H53" s="16"/>
      <c r="I53" s="10"/>
      <c r="J53" s="10"/>
      <c r="K53" s="530"/>
      <c r="L53" s="180"/>
      <c r="M53" s="10"/>
      <c r="N53" s="10"/>
      <c r="O53" s="10"/>
      <c r="P53" s="14"/>
      <c r="Q53" s="14"/>
      <c r="R53" s="14"/>
      <c r="S53" s="14"/>
      <c r="T53" s="14"/>
      <c r="U53" s="10"/>
      <c r="V53" s="10"/>
      <c r="W53" s="10"/>
      <c r="X53" s="531"/>
      <c r="Y53" s="531"/>
      <c r="Z53" s="531"/>
      <c r="AA53" s="10"/>
      <c r="AB53" s="10"/>
      <c r="AC53" s="10"/>
      <c r="AD53" s="10"/>
      <c r="AE53" s="529"/>
      <c r="AF53" s="529"/>
      <c r="AG53" s="179"/>
      <c r="AH53" s="179"/>
      <c r="AI53" s="181"/>
      <c r="AJ53" s="185"/>
      <c r="AK53" s="185"/>
      <c r="AL53" s="186"/>
      <c r="AM53" s="186"/>
      <c r="AN53" s="561"/>
      <c r="AO53" s="619"/>
      <c r="AP53" s="401"/>
    </row>
    <row r="54" customFormat="false" ht="11.1" hidden="false" customHeight="true" outlineLevel="0" collapsed="false">
      <c r="A54" s="179"/>
      <c r="B54" s="620"/>
      <c r="C54" s="11"/>
      <c r="D54" s="168"/>
      <c r="E54" s="509"/>
      <c r="F54" s="532"/>
      <c r="G54" s="0"/>
      <c r="H54" s="16"/>
      <c r="I54" s="12"/>
      <c r="J54" s="10"/>
      <c r="K54" s="169"/>
      <c r="L54" s="183"/>
      <c r="M54" s="10"/>
      <c r="N54" s="10"/>
      <c r="O54" s="11"/>
      <c r="P54" s="14"/>
      <c r="Q54" s="14"/>
      <c r="R54" s="102"/>
      <c r="S54" s="102"/>
      <c r="T54" s="102"/>
      <c r="U54" s="533"/>
      <c r="V54" s="137"/>
      <c r="W54" s="534"/>
      <c r="X54" s="180"/>
      <c r="Y54" s="243"/>
      <c r="Z54" s="243"/>
      <c r="AA54" s="43"/>
      <c r="AB54" s="43"/>
      <c r="AC54" s="43"/>
      <c r="AD54" s="10"/>
      <c r="AE54" s="11"/>
      <c r="AF54" s="11"/>
      <c r="AG54" s="179"/>
      <c r="AH54" s="181"/>
      <c r="AI54" s="185"/>
      <c r="AJ54" s="185"/>
      <c r="AK54" s="185"/>
      <c r="AL54" s="621"/>
      <c r="AM54" s="621"/>
      <c r="AN54" s="561"/>
      <c r="AO54" s="619"/>
      <c r="AP54" s="401"/>
    </row>
    <row r="55" customFormat="false" ht="11.1" hidden="false" customHeight="true" outlineLevel="0" collapsed="false">
      <c r="A55" s="301"/>
      <c r="B55" s="180"/>
      <c r="E55" s="509"/>
      <c r="F55" s="510"/>
      <c r="G55" s="0"/>
      <c r="H55" s="16"/>
      <c r="I55" s="168"/>
      <c r="J55" s="168"/>
      <c r="K55" s="535"/>
      <c r="L55" s="513"/>
      <c r="M55" s="135"/>
      <c r="N55" s="135"/>
      <c r="O55" s="509"/>
      <c r="P55" s="538"/>
      <c r="Q55" s="538"/>
      <c r="R55" s="102"/>
      <c r="S55" s="102"/>
      <c r="T55" s="102"/>
      <c r="U55" s="533"/>
      <c r="V55" s="137"/>
      <c r="W55" s="99"/>
      <c r="X55" s="180"/>
      <c r="Y55" s="180"/>
      <c r="Z55" s="180"/>
      <c r="AA55" s="180"/>
      <c r="AB55" s="180"/>
      <c r="AC55" s="180"/>
      <c r="AD55" s="11"/>
      <c r="AE55" s="533"/>
      <c r="AF55" s="533"/>
      <c r="AG55" s="301"/>
      <c r="AH55" s="181"/>
      <c r="AI55" s="185"/>
      <c r="AJ55" s="185"/>
      <c r="AK55" s="186"/>
      <c r="AL55" s="361"/>
      <c r="AM55" s="361"/>
      <c r="AN55" s="561"/>
      <c r="AO55" s="173"/>
      <c r="AP55" s="401"/>
    </row>
    <row r="56" customFormat="false" ht="11.1" hidden="false" customHeight="true" outlineLevel="0" collapsed="false">
      <c r="A56" s="301"/>
      <c r="B56" s="301"/>
      <c r="C56" s="180"/>
      <c r="D56" s="180"/>
      <c r="E56" s="509"/>
      <c r="F56" s="0"/>
      <c r="G56" s="0"/>
      <c r="H56" s="180"/>
      <c r="I56" s="0"/>
      <c r="J56" s="168"/>
      <c r="K56" s="535"/>
      <c r="L56" s="185"/>
      <c r="M56" s="135"/>
      <c r="N56" s="135"/>
      <c r="O56" s="185"/>
      <c r="P56" s="181"/>
      <c r="Q56" s="181"/>
      <c r="R56" s="102"/>
      <c r="S56" s="102"/>
      <c r="T56" s="102"/>
      <c r="U56" s="477"/>
      <c r="V56" s="477"/>
      <c r="W56" s="99"/>
      <c r="X56" s="185"/>
      <c r="Y56" s="185"/>
      <c r="Z56" s="185"/>
      <c r="AA56" s="180"/>
      <c r="AB56" s="180"/>
      <c r="AC56" s="180"/>
      <c r="AD56" s="11"/>
      <c r="AE56" s="180"/>
      <c r="AF56" s="180"/>
      <c r="AG56" s="301"/>
      <c r="AH56" s="512"/>
      <c r="AI56" s="185"/>
      <c r="AJ56" s="185"/>
      <c r="AK56" s="186"/>
      <c r="AL56" s="361"/>
      <c r="AM56" s="361"/>
      <c r="AN56" s="561"/>
      <c r="AO56" s="173"/>
      <c r="AP56" s="401"/>
    </row>
    <row r="57" customFormat="false" ht="11.1" hidden="false" customHeight="true" outlineLevel="0" collapsed="false">
      <c r="A57" s="301"/>
      <c r="B57" s="301"/>
      <c r="C57" s="180"/>
      <c r="D57" s="301"/>
      <c r="E57" s="180"/>
      <c r="F57" s="301"/>
      <c r="G57" s="303"/>
      <c r="H57" s="302"/>
      <c r="I57" s="301"/>
      <c r="J57" s="301"/>
      <c r="K57" s="301"/>
      <c r="L57" s="301"/>
      <c r="M57" s="183"/>
      <c r="N57" s="183"/>
      <c r="O57" s="183"/>
      <c r="P57" s="181"/>
      <c r="Q57" s="181"/>
      <c r="R57" s="181"/>
      <c r="S57" s="181"/>
      <c r="T57" s="181"/>
      <c r="U57" s="301"/>
      <c r="V57" s="301"/>
      <c r="W57" s="0"/>
      <c r="X57" s="180"/>
      <c r="Y57" s="180"/>
      <c r="Z57" s="180"/>
      <c r="AD57" s="180"/>
      <c r="AE57" s="301"/>
      <c r="AF57" s="301"/>
      <c r="AG57" s="301"/>
      <c r="AH57" s="181"/>
      <c r="AI57" s="184"/>
      <c r="AJ57" s="185"/>
      <c r="AK57" s="186"/>
      <c r="AL57" s="361"/>
      <c r="AM57" s="361"/>
      <c r="AN57" s="561"/>
      <c r="AO57" s="173"/>
      <c r="AP57" s="401"/>
    </row>
    <row r="58" customFormat="false" ht="11.1" hidden="false" customHeight="true" outlineLevel="0" collapsed="false">
      <c r="Q58" s="173"/>
      <c r="R58" s="173"/>
      <c r="S58" s="173"/>
      <c r="U58" s="622"/>
      <c r="V58" s="171"/>
      <c r="W58" s="180"/>
      <c r="X58" s="180"/>
      <c r="Y58" s="180"/>
      <c r="Z58" s="180"/>
      <c r="AD58" s="172"/>
      <c r="AF58" s="171"/>
      <c r="AG58" s="171"/>
      <c r="AH58" s="173"/>
      <c r="AI58" s="175"/>
      <c r="AJ58" s="176"/>
      <c r="AK58" s="177"/>
      <c r="AL58" s="623"/>
      <c r="AM58" s="623"/>
      <c r="AO58" s="173"/>
      <c r="AP58" s="401"/>
    </row>
    <row r="59" customFormat="false" ht="11.1" hidden="false" customHeight="true" outlineLevel="0" collapsed="false">
      <c r="Q59" s="173"/>
      <c r="R59" s="173"/>
      <c r="S59" s="173"/>
      <c r="U59" s="622"/>
      <c r="V59" s="171"/>
      <c r="W59" s="180"/>
      <c r="X59" s="180"/>
      <c r="Y59" s="180"/>
      <c r="Z59" s="180"/>
      <c r="AD59" s="172"/>
      <c r="AF59" s="171"/>
      <c r="AG59" s="171"/>
      <c r="AH59" s="173"/>
      <c r="AI59" s="175"/>
      <c r="AJ59" s="176"/>
      <c r="AK59" s="177"/>
      <c r="AL59" s="171"/>
      <c r="AM59" s="171"/>
      <c r="AO59" s="173"/>
      <c r="AP59" s="401"/>
    </row>
    <row r="60" customFormat="false" ht="11.1" hidden="false" customHeight="true" outlineLevel="0" collapsed="false">
      <c r="V60" s="180"/>
      <c r="W60" s="180"/>
    </row>
  </sheetData>
  <mergeCells count="3">
    <mergeCell ref="K2:W2"/>
    <mergeCell ref="X2:Z2"/>
    <mergeCell ref="M5:T5"/>
  </mergeCells>
  <printOptions headings="true" gridLines="true" gridLinesSet="true" horizontalCentered="true" verticalCentered="true"/>
  <pageMargins left="0.25" right="0.25" top="0.25" bottom="0" header="0.511811023622047" footer="0.511811023622047"/>
  <pageSetup paperSize="3"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R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D26" activePane="bottomRight" state="frozen"/>
      <selection pane="topLeft" activeCell="A1" activeCellId="0" sqref="A1"/>
      <selection pane="topRight" activeCell="D1" activeCellId="0" sqref="D1"/>
      <selection pane="bottomLeft" activeCell="A26" activeCellId="0" sqref="A26"/>
      <selection pane="bottomRight" activeCell="U37" activeCellId="0" sqref="U37"/>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560" width="5.66"/>
    <col collapsed="false" customWidth="true" hidden="false" outlineLevel="0" max="11" min="9" style="171" width="6.32"/>
    <col collapsed="false" customWidth="true" hidden="false" outlineLevel="0" max="12" min="12" style="171" width="7.16"/>
    <col collapsed="false" customWidth="true" hidden="false" outlineLevel="0" max="13" min="13" style="174" width="5.49"/>
    <col collapsed="false" customWidth="true" hidden="false" outlineLevel="0" max="14" min="14" style="174" width="4.49"/>
    <col collapsed="false" customWidth="true" hidden="false" outlineLevel="0" max="15" min="15" style="174" width="5.49"/>
    <col collapsed="false" customWidth="true" hidden="false" outlineLevel="0" max="16" min="16" style="173" width="4.82"/>
    <col collapsed="false" customWidth="true" hidden="false" outlineLevel="0" max="19" min="17" style="173" width="4.32"/>
    <col collapsed="false" customWidth="true" hidden="false" outlineLevel="0" max="20" min="20" style="173" width="5.49"/>
    <col collapsed="false" customWidth="true" hidden="false" outlineLevel="0" max="21" min="21" style="171" width="5.49"/>
    <col collapsed="false" customWidth="true" hidden="false" outlineLevel="0" max="22" min="22" style="172" width="5.49"/>
    <col collapsed="false" customWidth="true" hidden="false" outlineLevel="0" max="23" min="23" style="171" width="6.32"/>
    <col collapsed="false" customWidth="true" hidden="false" outlineLevel="0" max="24" min="24" style="171" width="5.49"/>
    <col collapsed="false" customWidth="true" hidden="false" outlineLevel="0" max="26" min="25" style="172" width="5.49"/>
    <col collapsed="false" customWidth="true" hidden="false" outlineLevel="0" max="29" min="27" style="171" width="5.49"/>
    <col collapsed="false" customWidth="true" hidden="false" outlineLevel="0" max="30" min="30" style="171" width="6.49"/>
    <col collapsed="false" customWidth="true" hidden="false" outlineLevel="0" max="31" min="31" style="171" width="5.49"/>
    <col collapsed="false" customWidth="true" hidden="false" outlineLevel="0" max="32" min="32" style="173" width="6.32"/>
    <col collapsed="false" customWidth="true" hidden="false" outlineLevel="0" max="33" min="33" style="175" width="6.99"/>
    <col collapsed="false" customWidth="true" hidden="false" outlineLevel="0" max="34" min="34" style="176" width="6.99"/>
    <col collapsed="false" customWidth="true" hidden="false" outlineLevel="0" max="35" min="35" style="177" width="5.32"/>
    <col collapsed="false" customWidth="true" hidden="false" outlineLevel="0" max="36" min="36" style="171" width="3.82"/>
    <col collapsed="false" customWidth="true" hidden="false" outlineLevel="0" max="37" min="37" style="173" width="3.82"/>
    <col collapsed="false" customWidth="true" hidden="false" outlineLevel="0" max="39" min="38" style="171" width="5.49"/>
    <col collapsed="false" customWidth="true" hidden="false" outlineLevel="0" max="40" min="40" style="174" width="6.32"/>
    <col collapsed="false" customWidth="true" hidden="false" outlineLevel="0" max="41" min="41" style="173" width="6.32"/>
    <col collapsed="false" customWidth="true" hidden="false" outlineLevel="0" max="42" min="42" style="171" width="6.32"/>
    <col collapsed="false" customWidth="true" hidden="false" outlineLevel="0" max="43" min="43" style="171" width="6.49"/>
    <col collapsed="false" customWidth="true" hidden="false" outlineLevel="0" max="44" min="44" style="365" width="4.66"/>
    <col collapsed="false" customWidth="false" hidden="false" outlineLevel="0" max="257" min="45" style="171" width="9.32"/>
  </cols>
  <sheetData>
    <row r="1" customFormat="false" ht="14.1" hidden="false" customHeight="true" outlineLevel="0" collapsed="false">
      <c r="A1" s="179"/>
      <c r="B1" s="179"/>
      <c r="C1" s="180"/>
      <c r="D1" s="179"/>
      <c r="E1" s="180"/>
      <c r="F1" s="179"/>
      <c r="G1" s="179"/>
      <c r="H1" s="302"/>
      <c r="I1" s="179"/>
      <c r="J1" s="179"/>
      <c r="K1" s="182" t="s">
        <v>0</v>
      </c>
      <c r="L1" s="179"/>
      <c r="M1" s="179"/>
      <c r="N1" s="179"/>
      <c r="O1" s="179"/>
      <c r="P1" s="181"/>
      <c r="Q1" s="181"/>
      <c r="R1" s="181"/>
      <c r="S1" s="181"/>
      <c r="T1" s="181"/>
      <c r="U1" s="179"/>
      <c r="V1" s="179"/>
      <c r="W1" s="180"/>
      <c r="X1" s="179"/>
      <c r="Y1" s="179"/>
      <c r="Z1" s="179"/>
      <c r="AA1" s="179"/>
      <c r="AB1" s="179"/>
      <c r="AC1" s="179"/>
      <c r="AD1" s="180"/>
      <c r="AE1" s="179"/>
      <c r="AF1" s="179"/>
      <c r="AG1" s="179"/>
      <c r="AH1" s="181"/>
      <c r="AI1" s="184"/>
      <c r="AJ1" s="185"/>
      <c r="AK1" s="186"/>
      <c r="AL1" s="306"/>
      <c r="AM1" s="306"/>
      <c r="AN1" s="395"/>
      <c r="AO1" s="394"/>
    </row>
    <row r="2" customFormat="false" ht="14.1" hidden="false" customHeight="true" outlineLevel="0" collapsed="false">
      <c r="A2" s="187" t="s">
        <v>1</v>
      </c>
      <c r="B2" s="179"/>
      <c r="C2" s="180"/>
      <c r="D2" s="188" t="n">
        <v>1.9835</v>
      </c>
      <c r="E2" s="180"/>
      <c r="F2" s="179"/>
      <c r="G2" s="179"/>
      <c r="H2" s="302"/>
      <c r="I2" s="179"/>
      <c r="J2" s="179"/>
      <c r="K2" s="189" t="s">
        <v>123</v>
      </c>
      <c r="L2" s="189"/>
      <c r="M2" s="189"/>
      <c r="N2" s="189"/>
      <c r="O2" s="189"/>
      <c r="P2" s="189"/>
      <c r="Q2" s="189"/>
      <c r="R2" s="189"/>
      <c r="S2" s="189"/>
      <c r="T2" s="189"/>
      <c r="U2" s="189"/>
      <c r="V2" s="189"/>
      <c r="W2" s="189"/>
      <c r="X2" s="189"/>
      <c r="Y2" s="189"/>
      <c r="Z2" s="189"/>
      <c r="AA2" s="179"/>
      <c r="AB2" s="179"/>
      <c r="AC2" s="179"/>
      <c r="AD2" s="180"/>
      <c r="AE2" s="179"/>
      <c r="AF2" s="179"/>
      <c r="AG2" s="179"/>
      <c r="AH2" s="181"/>
      <c r="AI2" s="184"/>
      <c r="AJ2" s="185"/>
      <c r="AK2" s="186"/>
      <c r="AL2" s="306"/>
      <c r="AM2" s="306"/>
      <c r="AN2" s="395"/>
      <c r="AO2" s="394"/>
    </row>
    <row r="3" customFormat="false" ht="14.1" hidden="false" customHeight="true" outlineLevel="0" collapsed="false">
      <c r="A3" s="190"/>
      <c r="B3" s="190"/>
      <c r="C3" s="191"/>
      <c r="D3" s="192"/>
      <c r="E3" s="191"/>
      <c r="F3" s="190"/>
      <c r="G3" s="190"/>
      <c r="H3" s="562"/>
      <c r="I3" s="190"/>
      <c r="J3" s="190"/>
      <c r="K3" s="190"/>
      <c r="L3" s="190"/>
      <c r="M3" s="190"/>
      <c r="N3" s="190"/>
      <c r="O3" s="190"/>
      <c r="P3" s="193"/>
      <c r="Q3" s="193"/>
      <c r="R3" s="193"/>
      <c r="S3" s="193"/>
      <c r="T3" s="193"/>
      <c r="U3" s="190"/>
      <c r="V3" s="190"/>
      <c r="W3" s="191"/>
      <c r="X3" s="190"/>
      <c r="Y3" s="190"/>
      <c r="Z3" s="190"/>
      <c r="AA3" s="190"/>
      <c r="AB3" s="190"/>
      <c r="AC3" s="190"/>
      <c r="AD3" s="191"/>
      <c r="AE3" s="190"/>
      <c r="AF3" s="190"/>
      <c r="AG3" s="190"/>
      <c r="AH3" s="193"/>
      <c r="AI3" s="195"/>
      <c r="AJ3" s="196"/>
      <c r="AK3" s="197"/>
      <c r="AL3" s="309"/>
      <c r="AM3" s="309"/>
      <c r="AN3" s="397"/>
      <c r="AO3" s="624"/>
      <c r="AP3" s="178"/>
    </row>
    <row r="4" s="213" customFormat="true" ht="14.1" hidden="false" customHeight="true" outlineLevel="0" collapsed="false">
      <c r="A4" s="201"/>
      <c r="B4" s="202"/>
      <c r="C4" s="203"/>
      <c r="D4" s="311" t="s">
        <v>3</v>
      </c>
      <c r="E4" s="203"/>
      <c r="F4" s="205"/>
      <c r="G4" s="201"/>
      <c r="H4" s="565"/>
      <c r="I4" s="201"/>
      <c r="J4" s="201"/>
      <c r="K4" s="201"/>
      <c r="L4" s="201"/>
      <c r="M4" s="201"/>
      <c r="N4" s="201"/>
      <c r="O4" s="201"/>
      <c r="P4" s="206"/>
      <c r="Q4" s="206"/>
      <c r="R4" s="206"/>
      <c r="S4" s="206"/>
      <c r="T4" s="206"/>
      <c r="U4" s="207" t="s">
        <v>4</v>
      </c>
      <c r="V4" s="201"/>
      <c r="W4" s="208"/>
      <c r="X4" s="201"/>
      <c r="Y4" s="201"/>
      <c r="Z4" s="201"/>
      <c r="AA4" s="201"/>
      <c r="AB4" s="201"/>
      <c r="AC4" s="201"/>
      <c r="AD4" s="208"/>
      <c r="AE4" s="201"/>
      <c r="AF4" s="201"/>
      <c r="AG4" s="201"/>
      <c r="AH4" s="206"/>
      <c r="AI4" s="210"/>
      <c r="AJ4" s="211" t="s">
        <v>5</v>
      </c>
      <c r="AK4" s="212"/>
      <c r="AL4" s="201"/>
      <c r="AM4" s="201"/>
      <c r="AN4" s="566" t="s">
        <v>6</v>
      </c>
      <c r="AO4" s="566"/>
      <c r="AP4" s="567"/>
      <c r="AQ4" s="217"/>
      <c r="AR4" s="483"/>
    </row>
    <row r="5" s="544" customFormat="true" ht="12.95" hidden="false" customHeight="true" outlineLevel="0" collapsed="false">
      <c r="A5" s="248" t="s">
        <v>7</v>
      </c>
      <c r="B5" s="487" t="s">
        <v>8</v>
      </c>
      <c r="C5" s="244" t="s">
        <v>8</v>
      </c>
      <c r="D5" s="248" t="s">
        <v>9</v>
      </c>
      <c r="E5" s="244" t="s">
        <v>10</v>
      </c>
      <c r="F5" s="542" t="s">
        <v>11</v>
      </c>
      <c r="G5" s="248" t="s">
        <v>12</v>
      </c>
      <c r="H5" s="239" t="s">
        <v>13</v>
      </c>
      <c r="I5" s="248" t="s">
        <v>14</v>
      </c>
      <c r="J5" s="248" t="s">
        <v>15</v>
      </c>
      <c r="K5" s="248" t="s">
        <v>16</v>
      </c>
      <c r="L5" s="248" t="s">
        <v>15</v>
      </c>
      <c r="M5" s="223" t="s">
        <v>17</v>
      </c>
      <c r="N5" s="223"/>
      <c r="O5" s="223"/>
      <c r="P5" s="223"/>
      <c r="Q5" s="223"/>
      <c r="R5" s="223"/>
      <c r="S5" s="223"/>
      <c r="T5" s="223"/>
      <c r="U5" s="441" t="s">
        <v>18</v>
      </c>
      <c r="V5" s="441" t="s">
        <v>19</v>
      </c>
      <c r="W5" s="441" t="s">
        <v>16</v>
      </c>
      <c r="X5" s="87" t="s">
        <v>20</v>
      </c>
      <c r="Y5" s="87" t="s">
        <v>21</v>
      </c>
      <c r="Z5" s="244" t="s">
        <v>20</v>
      </c>
      <c r="AA5" s="441" t="s">
        <v>22</v>
      </c>
      <c r="AB5" s="59" t="s">
        <v>124</v>
      </c>
      <c r="AC5" s="60"/>
      <c r="AD5" s="441" t="s">
        <v>24</v>
      </c>
      <c r="AE5" s="244" t="s">
        <v>110</v>
      </c>
      <c r="AF5" s="248" t="s">
        <v>14</v>
      </c>
      <c r="AG5" s="248" t="s">
        <v>15</v>
      </c>
      <c r="AH5" s="248" t="s">
        <v>16</v>
      </c>
      <c r="AI5" s="543" t="s">
        <v>26</v>
      </c>
      <c r="AJ5" s="238" t="s">
        <v>27</v>
      </c>
      <c r="AK5" s="368" t="s">
        <v>28</v>
      </c>
      <c r="AL5" s="76" t="s">
        <v>88</v>
      </c>
      <c r="AM5" s="76" t="s">
        <v>20</v>
      </c>
      <c r="AN5" s="448" t="s">
        <v>89</v>
      </c>
      <c r="AO5" s="448" t="s">
        <v>89</v>
      </c>
      <c r="AP5" s="76" t="s">
        <v>30</v>
      </c>
      <c r="AQ5" s="231" t="s">
        <v>31</v>
      </c>
      <c r="AR5" s="238" t="s">
        <v>120</v>
      </c>
    </row>
    <row r="6" s="544" customFormat="true" ht="12.95" hidden="false" customHeight="true" outlineLevel="0" collapsed="false">
      <c r="A6" s="492" t="s">
        <v>125</v>
      </c>
      <c r="B6" s="487" t="s">
        <v>33</v>
      </c>
      <c r="C6" s="244" t="s">
        <v>9</v>
      </c>
      <c r="D6" s="248" t="s">
        <v>34</v>
      </c>
      <c r="E6" s="244" t="s">
        <v>35</v>
      </c>
      <c r="F6" s="542" t="s">
        <v>36</v>
      </c>
      <c r="G6" s="248" t="s">
        <v>37</v>
      </c>
      <c r="H6" s="239" t="s">
        <v>38</v>
      </c>
      <c r="I6" s="248" t="s">
        <v>39</v>
      </c>
      <c r="J6" s="248" t="s">
        <v>39</v>
      </c>
      <c r="K6" s="248" t="s">
        <v>39</v>
      </c>
      <c r="L6" s="248" t="s">
        <v>40</v>
      </c>
      <c r="M6" s="493" t="s">
        <v>41</v>
      </c>
      <c r="N6" s="248" t="s">
        <v>117</v>
      </c>
      <c r="O6" s="248" t="s">
        <v>43</v>
      </c>
      <c r="P6" s="249" t="s">
        <v>44</v>
      </c>
      <c r="Q6" s="248" t="s">
        <v>45</v>
      </c>
      <c r="R6" s="248" t="s">
        <v>46</v>
      </c>
      <c r="S6" s="248" t="s">
        <v>47</v>
      </c>
      <c r="T6" s="250" t="s">
        <v>48</v>
      </c>
      <c r="U6" s="441" t="s">
        <v>49</v>
      </c>
      <c r="V6" s="441" t="s">
        <v>50</v>
      </c>
      <c r="W6" s="441" t="s">
        <v>20</v>
      </c>
      <c r="X6" s="87" t="s">
        <v>60</v>
      </c>
      <c r="Y6" s="244" t="s">
        <v>52</v>
      </c>
      <c r="Z6" s="244" t="s">
        <v>98</v>
      </c>
      <c r="AA6" s="441" t="s">
        <v>54</v>
      </c>
      <c r="AB6" s="69" t="s">
        <v>55</v>
      </c>
      <c r="AC6" s="73" t="s">
        <v>53</v>
      </c>
      <c r="AD6" s="441" t="s">
        <v>56</v>
      </c>
      <c r="AE6" s="244" t="s">
        <v>57</v>
      </c>
      <c r="AF6" s="248" t="s">
        <v>58</v>
      </c>
      <c r="AG6" s="248" t="s">
        <v>58</v>
      </c>
      <c r="AH6" s="248" t="s">
        <v>58</v>
      </c>
      <c r="AI6" s="545"/>
      <c r="AJ6" s="238" t="s">
        <v>59</v>
      </c>
      <c r="AK6" s="368" t="s">
        <v>59</v>
      </c>
      <c r="AL6" s="76" t="s">
        <v>60</v>
      </c>
      <c r="AM6" s="76" t="s">
        <v>61</v>
      </c>
      <c r="AN6" s="448" t="s">
        <v>62</v>
      </c>
      <c r="AO6" s="448" t="s">
        <v>62</v>
      </c>
      <c r="AP6" s="76" t="s">
        <v>63</v>
      </c>
      <c r="AQ6" s="231" t="s">
        <v>64</v>
      </c>
      <c r="AR6" s="238" t="s">
        <v>122</v>
      </c>
    </row>
    <row r="7" s="544" customFormat="true" ht="12.95" hidden="false" customHeight="true" outlineLevel="0" collapsed="false">
      <c r="A7" s="248"/>
      <c r="B7" s="487"/>
      <c r="C7" s="244"/>
      <c r="D7" s="248"/>
      <c r="E7" s="244" t="s">
        <v>65</v>
      </c>
      <c r="F7" s="542"/>
      <c r="G7" s="248"/>
      <c r="H7" s="239"/>
      <c r="I7" s="248"/>
      <c r="J7" s="248"/>
      <c r="K7" s="248"/>
      <c r="L7" s="248"/>
      <c r="M7" s="493"/>
      <c r="N7" s="248"/>
      <c r="O7" s="248" t="s">
        <v>67</v>
      </c>
      <c r="P7" s="249"/>
      <c r="Q7" s="248"/>
      <c r="R7" s="248"/>
      <c r="S7" s="248" t="s">
        <v>43</v>
      </c>
      <c r="T7" s="250" t="s">
        <v>68</v>
      </c>
      <c r="U7" s="441"/>
      <c r="V7" s="441"/>
      <c r="W7" s="441"/>
      <c r="X7" s="87"/>
      <c r="Y7" s="87"/>
      <c r="Z7" s="87"/>
      <c r="AA7" s="441"/>
      <c r="AB7" s="85"/>
      <c r="AC7" s="88"/>
      <c r="AD7" s="441"/>
      <c r="AE7" s="87"/>
      <c r="AF7" s="441"/>
      <c r="AG7" s="441"/>
      <c r="AH7" s="441"/>
      <c r="AI7" s="545"/>
      <c r="AJ7" s="238"/>
      <c r="AK7" s="368"/>
      <c r="AL7" s="76" t="s">
        <v>65</v>
      </c>
      <c r="AM7" s="76" t="s">
        <v>36</v>
      </c>
      <c r="AN7" s="448" t="s">
        <v>107</v>
      </c>
      <c r="AO7" s="448" t="s">
        <v>93</v>
      </c>
      <c r="AP7" s="76" t="s">
        <v>72</v>
      </c>
      <c r="AQ7" s="231" t="s">
        <v>73</v>
      </c>
      <c r="AR7" s="238" t="s">
        <v>55</v>
      </c>
    </row>
    <row r="8" s="544" customFormat="true" ht="12.95" hidden="false" customHeight="true" outlineLevel="0" collapsed="false">
      <c r="A8" s="248"/>
      <c r="B8" s="487"/>
      <c r="C8" s="244"/>
      <c r="D8" s="248"/>
      <c r="E8" s="244"/>
      <c r="F8" s="542"/>
      <c r="G8" s="248"/>
      <c r="H8" s="239"/>
      <c r="I8" s="248"/>
      <c r="J8" s="248"/>
      <c r="K8" s="248"/>
      <c r="L8" s="248"/>
      <c r="M8" s="493"/>
      <c r="N8" s="254" t="n">
        <v>1.03</v>
      </c>
      <c r="O8" s="254" t="n">
        <v>1.05</v>
      </c>
      <c r="P8" s="249" t="n">
        <v>1.02</v>
      </c>
      <c r="Q8" s="254" t="n">
        <v>1.02</v>
      </c>
      <c r="R8" s="254" t="n">
        <v>1.04</v>
      </c>
      <c r="S8" s="248" t="s">
        <v>53</v>
      </c>
      <c r="T8" s="250"/>
      <c r="U8" s="248"/>
      <c r="V8" s="248"/>
      <c r="W8" s="248"/>
      <c r="X8" s="244"/>
      <c r="Y8" s="244"/>
      <c r="Z8" s="244"/>
      <c r="AA8" s="248"/>
      <c r="AB8" s="85"/>
      <c r="AC8" s="88"/>
      <c r="AD8" s="248"/>
      <c r="AE8" s="244"/>
      <c r="AF8" s="248"/>
      <c r="AG8" s="248"/>
      <c r="AH8" s="248"/>
      <c r="AI8" s="545"/>
      <c r="AJ8" s="238"/>
      <c r="AK8" s="368"/>
      <c r="AL8" s="76"/>
      <c r="AM8" s="76"/>
      <c r="AN8" s="448"/>
      <c r="AO8" s="448" t="s">
        <v>69</v>
      </c>
      <c r="AP8" s="568"/>
      <c r="AR8" s="76"/>
    </row>
    <row r="9" customFormat="false" ht="12.95" hidden="false" customHeight="true" outlineLevel="0" collapsed="false">
      <c r="A9" s="187" t="s">
        <v>75</v>
      </c>
      <c r="B9" s="625"/>
      <c r="C9" s="626"/>
      <c r="D9" s="627"/>
      <c r="E9" s="627"/>
      <c r="F9" s="628" t="n">
        <f aca="false">AUG!F47</f>
        <v>1144.44164355936</v>
      </c>
      <c r="G9" s="627" t="n">
        <f aca="false">AUG!G47</f>
        <v>104661</v>
      </c>
      <c r="H9" s="627" t="n">
        <f aca="false">AUG!H47</f>
        <v>2024.18</v>
      </c>
      <c r="I9" s="627" t="n">
        <f aca="false">AUG!I47</f>
        <v>106685.18</v>
      </c>
      <c r="J9" s="627" t="n">
        <f aca="false">AUG!J47</f>
        <v>6822.78343584573</v>
      </c>
      <c r="K9" s="627" t="n">
        <f aca="false">AUG!K47</f>
        <v>113507.963435846</v>
      </c>
      <c r="L9" s="627" t="n">
        <f aca="false">AUG!L47</f>
        <v>2727.07164355937</v>
      </c>
      <c r="M9" s="629" t="n">
        <f aca="false">AUG!M47</f>
        <v>35193.3</v>
      </c>
      <c r="N9" s="627" t="n">
        <f aca="false">AUG!N47</f>
        <v>288.373941</v>
      </c>
      <c r="O9" s="627" t="n">
        <f aca="false">AUG!O47</f>
        <v>10784.4395</v>
      </c>
      <c r="P9" s="630" t="n">
        <f aca="false">AUG!P47</f>
        <v>7.32</v>
      </c>
      <c r="Q9" s="630"/>
      <c r="R9" s="630"/>
      <c r="S9" s="630"/>
      <c r="T9" s="631"/>
      <c r="U9" s="627" t="n">
        <f aca="false">AUG!U47</f>
        <v>17703</v>
      </c>
      <c r="V9" s="627" t="n">
        <f aca="false">AUG!V47</f>
        <v>9144.8</v>
      </c>
      <c r="W9" s="627" t="n">
        <f aca="false">AUG!W47</f>
        <v>49251.179759</v>
      </c>
      <c r="X9" s="627" t="n">
        <f aca="false">AUG!X42</f>
        <v>1488.39741322627</v>
      </c>
      <c r="Y9" s="627" t="n">
        <f aca="false">AUG!Y42</f>
        <v>2685.15</v>
      </c>
      <c r="Z9" s="627" t="n">
        <f aca="false">AUG!Z39</f>
        <v>701.789765565919</v>
      </c>
      <c r="AA9" s="627" t="n">
        <f aca="false">AUG!AA47</f>
        <v>21313.7</v>
      </c>
      <c r="AB9" s="627" t="n">
        <f aca="false">AUG!AB47</f>
        <v>260.1</v>
      </c>
      <c r="AC9" s="627" t="n">
        <f aca="false">AUG!AC47</f>
        <v>198.9</v>
      </c>
      <c r="AD9" s="627"/>
      <c r="AE9" s="627"/>
      <c r="AF9" s="627" t="n">
        <f aca="false">AUG!AF47</f>
        <v>108267.81</v>
      </c>
      <c r="AG9" s="627" t="n">
        <f aca="false">AUG!AG47</f>
        <v>4095.71179228636</v>
      </c>
      <c r="AH9" s="627" t="n">
        <f aca="false">AUG!AH47</f>
        <v>112363.521792286</v>
      </c>
      <c r="AI9" s="632"/>
      <c r="AJ9" s="633"/>
      <c r="AK9" s="634"/>
      <c r="AL9" s="633"/>
      <c r="AM9" s="264"/>
      <c r="AN9" s="261"/>
      <c r="AO9" s="258" t="n">
        <f aca="false">AUG!AO48</f>
        <v>915.126757847722</v>
      </c>
      <c r="AP9" s="264" t="n">
        <f aca="false">AUG!AP47</f>
        <v>1036.55</v>
      </c>
      <c r="AQ9" s="264" t="n">
        <f aca="false">AUG!AQ47</f>
        <v>306.51</v>
      </c>
      <c r="AR9" s="264"/>
    </row>
    <row r="10" s="172" customFormat="true" ht="12.95" hidden="false" customHeight="true" outlineLevel="0" collapsed="false">
      <c r="A10" s="267" t="s">
        <v>76</v>
      </c>
      <c r="B10" s="635" t="n">
        <f aca="false">AUG!B42</f>
        <v>6907.49</v>
      </c>
      <c r="C10" s="627" t="n">
        <f aca="false">AUG!C42</f>
        <v>312058</v>
      </c>
      <c r="D10" s="627" t="n">
        <f aca="false">AUG!D51</f>
        <v>41137</v>
      </c>
      <c r="E10" s="627" t="n">
        <f aca="false">AUG!E51</f>
        <v>160058</v>
      </c>
      <c r="F10" s="628" t="n">
        <f aca="false">AUG!F50</f>
        <v>20739.6017141417</v>
      </c>
      <c r="G10" s="627" t="n">
        <f aca="false">AUG!G50</f>
        <v>127282</v>
      </c>
      <c r="H10" s="627" t="n">
        <f aca="false">AUG!H50</f>
        <v>3511.76</v>
      </c>
      <c r="I10" s="627" t="n">
        <f aca="false">AUG!I50</f>
        <v>130793.76</v>
      </c>
      <c r="J10" s="627" t="n">
        <f aca="false">AUG!J50</f>
        <v>13911.7177186791</v>
      </c>
      <c r="K10" s="627" t="n">
        <f aca="false">AUG!K50</f>
        <v>144705.477718679</v>
      </c>
      <c r="L10" s="627" t="n">
        <f aca="false">AUG!L50</f>
        <v>8475.15171414167</v>
      </c>
      <c r="M10" s="629" t="n">
        <f aca="false">AUG!M50</f>
        <v>36189.7</v>
      </c>
      <c r="N10" s="627" t="n">
        <f aca="false">AUG!N50</f>
        <v>288.373941</v>
      </c>
      <c r="O10" s="627" t="n">
        <f aca="false">AUG!O50</f>
        <v>10784.4395</v>
      </c>
      <c r="P10" s="630"/>
      <c r="Q10" s="633" t="n">
        <f aca="false">AUG!Q50</f>
        <v>598.0668</v>
      </c>
      <c r="R10" s="633" t="n">
        <f aca="false">AUG!R50</f>
        <v>1025.723</v>
      </c>
      <c r="S10" s="633" t="n">
        <f aca="false">AUG!S50</f>
        <v>315.35</v>
      </c>
      <c r="T10" s="631" t="n">
        <f aca="false">AUG!T50</f>
        <v>-61.236</v>
      </c>
      <c r="U10" s="627" t="n">
        <f aca="false">AUG!U50</f>
        <v>23078</v>
      </c>
      <c r="V10" s="627" t="n">
        <f aca="false">AUG!V50</f>
        <v>9270.9</v>
      </c>
      <c r="W10" s="627" t="n">
        <f aca="false">AUG!W50</f>
        <v>54888.195359</v>
      </c>
      <c r="X10" s="627"/>
      <c r="Y10" s="627" t="n">
        <f aca="false">AUG!Y50</f>
        <v>0</v>
      </c>
      <c r="Z10" s="627"/>
      <c r="AA10" s="627" t="n">
        <f aca="false">AUG!AA50</f>
        <v>0</v>
      </c>
      <c r="AB10" s="106"/>
      <c r="AC10" s="107"/>
      <c r="AD10" s="627" t="n">
        <f aca="false">AUG!AD50</f>
        <v>28957.61</v>
      </c>
      <c r="AE10" s="627" t="n">
        <f aca="false">AUG!AE50</f>
        <v>8012.82307285102</v>
      </c>
      <c r="AF10" s="627" t="n">
        <f aca="false">AUG!AF50</f>
        <v>118529.31</v>
      </c>
      <c r="AG10" s="627" t="n">
        <f aca="false">AUG!AG50</f>
        <v>5436.56600453743</v>
      </c>
      <c r="AH10" s="627" t="n">
        <f aca="false">AUG!AH50</f>
        <v>123965.876004537</v>
      </c>
      <c r="AI10" s="632" t="n">
        <f aca="false">AUG!AI50</f>
        <v>9.1</v>
      </c>
      <c r="AJ10" s="633"/>
      <c r="AK10" s="634"/>
      <c r="AL10" s="264" t="n">
        <f aca="false">AUG!AL51</f>
        <v>10571</v>
      </c>
      <c r="AM10" s="264" t="n">
        <f aca="false">AUG!AM50</f>
        <v>264.7472</v>
      </c>
      <c r="AN10" s="261"/>
      <c r="AO10" s="258" t="n">
        <f aca="false">AUG!AO51</f>
        <v>915.126757847722</v>
      </c>
      <c r="AP10" s="633" t="n">
        <f aca="false">AUG!AP50</f>
        <v>0</v>
      </c>
      <c r="AQ10" s="633" t="n">
        <f aca="false">AUG!AQ50</f>
        <v>306.51</v>
      </c>
      <c r="AR10" s="264" t="n">
        <f aca="false">AUG!AR48</f>
        <v>0</v>
      </c>
    </row>
    <row r="11" customFormat="false" ht="3" hidden="false" customHeight="true" outlineLevel="0" collapsed="false">
      <c r="A11" s="270"/>
      <c r="B11" s="636"/>
      <c r="C11" s="637"/>
      <c r="D11" s="557"/>
      <c r="E11" s="637"/>
      <c r="F11" s="638"/>
      <c r="G11" s="557"/>
      <c r="H11" s="639"/>
      <c r="I11" s="557"/>
      <c r="J11" s="557"/>
      <c r="K11" s="557"/>
      <c r="L11" s="557"/>
      <c r="M11" s="640"/>
      <c r="N11" s="557"/>
      <c r="O11" s="557"/>
      <c r="P11" s="559"/>
      <c r="Q11" s="559"/>
      <c r="R11" s="559"/>
      <c r="S11" s="559"/>
      <c r="T11" s="641"/>
      <c r="U11" s="557"/>
      <c r="V11" s="557"/>
      <c r="W11" s="557"/>
      <c r="X11" s="637"/>
      <c r="Y11" s="637"/>
      <c r="Z11" s="637"/>
      <c r="AA11" s="557"/>
      <c r="AB11" s="126"/>
      <c r="AC11" s="127"/>
      <c r="AD11" s="557"/>
      <c r="AE11" s="637"/>
      <c r="AF11" s="557"/>
      <c r="AG11" s="557"/>
      <c r="AH11" s="557"/>
      <c r="AI11" s="642"/>
      <c r="AJ11" s="643" t="n">
        <v>0</v>
      </c>
      <c r="AK11" s="644"/>
      <c r="AL11" s="643"/>
      <c r="AM11" s="281"/>
      <c r="AN11" s="278"/>
      <c r="AO11" s="275" t="s">
        <v>126</v>
      </c>
      <c r="AP11" s="275" t="s">
        <v>126</v>
      </c>
      <c r="AQ11" s="275" t="s">
        <v>126</v>
      </c>
      <c r="AR11" s="281" t="s">
        <v>126</v>
      </c>
    </row>
    <row r="12" customFormat="false" ht="12.95" hidden="false" customHeight="true" outlineLevel="0" collapsed="false">
      <c r="A12" s="186" t="n">
        <v>1</v>
      </c>
      <c r="B12" s="635" t="n">
        <v>6907.2</v>
      </c>
      <c r="C12" s="627" t="n">
        <v>310530</v>
      </c>
      <c r="D12" s="633" t="n">
        <f aca="false">C12-C10</f>
        <v>-1528</v>
      </c>
      <c r="E12" s="627" t="n">
        <f aca="false">C12-151978</f>
        <v>158552</v>
      </c>
      <c r="F12" s="645" t="n">
        <f aca="false">D12/$D$2</f>
        <v>-770.355432316612</v>
      </c>
      <c r="G12" s="646" t="n">
        <v>162</v>
      </c>
      <c r="H12" s="647" t="n">
        <v>0</v>
      </c>
      <c r="I12" s="646" t="n">
        <f aca="false">G12+H12</f>
        <v>162</v>
      </c>
      <c r="J12" s="648" t="n">
        <f aca="false">IF(L12&gt;0,L12,0)</f>
        <v>0</v>
      </c>
      <c r="K12" s="646" t="n">
        <f aca="false">I12+J12</f>
        <v>162</v>
      </c>
      <c r="L12" s="646" t="n">
        <f aca="false">F12-(I12-AF12)</f>
        <v>-318.355432316612</v>
      </c>
      <c r="M12" s="649" t="n">
        <v>191</v>
      </c>
      <c r="N12" s="258" t="n">
        <f aca="false">1.8299*1.03</f>
        <v>1.884797</v>
      </c>
      <c r="O12" s="646" t="n">
        <f aca="false">(30+33)*1.05</f>
        <v>66.15</v>
      </c>
      <c r="P12" s="630" t="n">
        <v>0</v>
      </c>
      <c r="Q12" s="206" t="n">
        <f aca="false">2.06*1.02</f>
        <v>2.1012</v>
      </c>
      <c r="R12" s="650" t="n">
        <v>4.2</v>
      </c>
      <c r="S12" s="650" t="n">
        <v>1.89</v>
      </c>
      <c r="T12" s="651" t="n">
        <v>0</v>
      </c>
      <c r="U12" s="646" t="n">
        <v>144</v>
      </c>
      <c r="V12" s="646" t="n">
        <v>64</v>
      </c>
      <c r="W12" s="141" t="n">
        <f aca="false">M12-(N12-AQ12)-O12-P12-Q12-R12-S12-T12+U12+V12-AQ12</f>
        <v>322.774003</v>
      </c>
      <c r="X12" s="115" t="n">
        <f aca="false">X9-(W12-I12)-Q12-R12-AB12-(AO12/1.9835)</f>
        <v>1318.51216637849</v>
      </c>
      <c r="Y12" s="115" t="n">
        <f aca="false">Y9</f>
        <v>2685.15</v>
      </c>
      <c r="Z12" s="627" t="n">
        <f aca="false">Z9</f>
        <v>701.789765565919</v>
      </c>
      <c r="AA12" s="646" t="n">
        <v>138</v>
      </c>
      <c r="AB12" s="142" t="n">
        <v>1.7</v>
      </c>
      <c r="AC12" s="143" t="n">
        <v>1.3</v>
      </c>
      <c r="AD12" s="652" t="n">
        <v>77</v>
      </c>
      <c r="AE12" s="653" t="n">
        <f aca="false">AE10-AD12</f>
        <v>7935.82307285102</v>
      </c>
      <c r="AF12" s="654" t="n">
        <f aca="false">N12+O12+P12+Q12+R12+S12+T12+W12+AA12+AD12</f>
        <v>614</v>
      </c>
      <c r="AG12" s="646" t="n">
        <f aca="false">IF(L12&lt;0,L12*-1,0)</f>
        <v>318.355432316612</v>
      </c>
      <c r="AH12" s="646" t="n">
        <f aca="false">AF12+AG12</f>
        <v>932.355432316612</v>
      </c>
      <c r="AI12" s="632" t="n">
        <v>0</v>
      </c>
      <c r="AJ12" s="633" t="n">
        <v>85</v>
      </c>
      <c r="AK12" s="634" t="n">
        <v>52</v>
      </c>
      <c r="AL12" s="633" t="n">
        <f aca="false">AL10</f>
        <v>10571</v>
      </c>
      <c r="AM12" s="264"/>
      <c r="AN12" s="261"/>
      <c r="AO12" s="258" t="n">
        <f aca="false">36.1*(X9*1.9835+Y9*1.9835+Z9*1.9835)/E12</f>
        <v>2.20177197208644</v>
      </c>
      <c r="AP12" s="115"/>
      <c r="AQ12" s="171" t="n">
        <v>1.09</v>
      </c>
    </row>
    <row r="13" customFormat="false" ht="12.95" hidden="false" customHeight="true" outlineLevel="0" collapsed="false">
      <c r="A13" s="186" t="n">
        <v>2</v>
      </c>
      <c r="B13" s="635" t="n">
        <v>6906.93</v>
      </c>
      <c r="C13" s="627" t="n">
        <v>309866</v>
      </c>
      <c r="D13" s="633" t="n">
        <f aca="false">C13-C12</f>
        <v>-664</v>
      </c>
      <c r="E13" s="627" t="n">
        <f aca="false">C13-151978</f>
        <v>157888</v>
      </c>
      <c r="F13" s="645" t="n">
        <f aca="false">D13/$D$2</f>
        <v>-334.761784723973</v>
      </c>
      <c r="G13" s="646" t="n">
        <v>152</v>
      </c>
      <c r="H13" s="647" t="n">
        <v>0</v>
      </c>
      <c r="I13" s="646" t="n">
        <f aca="false">G13+H13</f>
        <v>152</v>
      </c>
      <c r="J13" s="648" t="n">
        <f aca="false">IF(L13&gt;0,L13,0)</f>
        <v>231.238215276027</v>
      </c>
      <c r="K13" s="646" t="n">
        <f aca="false">I13+J13</f>
        <v>383.238215276027</v>
      </c>
      <c r="L13" s="646" t="n">
        <f aca="false">F13-(I13-AF13)</f>
        <v>231.238215276027</v>
      </c>
      <c r="M13" s="649" t="n">
        <v>209</v>
      </c>
      <c r="N13" s="258" t="n">
        <f aca="false">1.8299*1.03</f>
        <v>1.884797</v>
      </c>
      <c r="O13" s="646" t="n">
        <f aca="false">(31+37)*1.05</f>
        <v>71.4</v>
      </c>
      <c r="P13" s="630" t="n">
        <v>0</v>
      </c>
      <c r="Q13" s="206" t="n">
        <f aca="false">2.06*1.02</f>
        <v>2.1012</v>
      </c>
      <c r="R13" s="650" t="n">
        <v>4.2</v>
      </c>
      <c r="S13" s="650" t="n">
        <v>1.79</v>
      </c>
      <c r="T13" s="651" t="n">
        <v>0</v>
      </c>
      <c r="U13" s="646" t="n">
        <v>141</v>
      </c>
      <c r="V13" s="646" t="n">
        <v>62</v>
      </c>
      <c r="W13" s="141" t="n">
        <f aca="false">M13-(N13-AQ13)-O13-P13-Q13-R13-S13-T13+U13+V13-AQ13</f>
        <v>330.624003</v>
      </c>
      <c r="X13" s="115" t="n">
        <f aca="false">X12-(W13-I13)-Q13-R13-AB13-(AO13/1.9835)</f>
        <v>1130.8110943147</v>
      </c>
      <c r="Y13" s="115" t="n">
        <f aca="false">Y12</f>
        <v>2685.15</v>
      </c>
      <c r="Z13" s="627" t="n">
        <f aca="false">Z12</f>
        <v>701.789765565919</v>
      </c>
      <c r="AA13" s="646" t="n">
        <v>229</v>
      </c>
      <c r="AB13" s="142" t="n">
        <v>1.7</v>
      </c>
      <c r="AC13" s="143" t="n">
        <v>1.3</v>
      </c>
      <c r="AD13" s="652" t="n">
        <v>77</v>
      </c>
      <c r="AE13" s="653" t="n">
        <f aca="false">AE12-AD13</f>
        <v>7858.82307285102</v>
      </c>
      <c r="AF13" s="654" t="n">
        <f aca="false">N13+O13+P13+Q13+R13+S13+T13+W13+AA13+AD13</f>
        <v>718</v>
      </c>
      <c r="AG13" s="646" t="n">
        <f aca="false">IF(L13&lt;0,L13*-1,0)</f>
        <v>0</v>
      </c>
      <c r="AH13" s="646" t="n">
        <f aca="false">AF13+AG13</f>
        <v>718</v>
      </c>
      <c r="AI13" s="632" t="n">
        <v>0</v>
      </c>
      <c r="AJ13" s="633" t="n">
        <v>84</v>
      </c>
      <c r="AK13" s="634" t="n">
        <v>55</v>
      </c>
      <c r="AL13" s="633" t="n">
        <f aca="false">AL12</f>
        <v>10571</v>
      </c>
      <c r="AM13" s="264"/>
      <c r="AN13" s="261"/>
      <c r="AO13" s="258" t="n">
        <f aca="false">36.1*(X12*1.9835+Y12*1.9835+Z12*1.9835)/E13</f>
        <v>2.1339862880214</v>
      </c>
      <c r="AP13" s="115"/>
      <c r="AQ13" s="171" t="n">
        <v>1.09</v>
      </c>
    </row>
    <row r="14" customFormat="false" ht="12.95" hidden="false" customHeight="true" outlineLevel="0" collapsed="false">
      <c r="A14" s="186" t="n">
        <v>3</v>
      </c>
      <c r="B14" s="635" t="n">
        <v>6906.65</v>
      </c>
      <c r="C14" s="627" t="n">
        <v>308777</v>
      </c>
      <c r="D14" s="633" t="n">
        <f aca="false">C14-C13</f>
        <v>-1089</v>
      </c>
      <c r="E14" s="627" t="n">
        <f aca="false">C14-151978</f>
        <v>156799</v>
      </c>
      <c r="F14" s="645" t="n">
        <f aca="false">D14/$D$2</f>
        <v>-549.029493319889</v>
      </c>
      <c r="G14" s="646" t="n">
        <v>176</v>
      </c>
      <c r="H14" s="647" t="n">
        <v>0</v>
      </c>
      <c r="I14" s="646" t="n">
        <f aca="false">G14+H14</f>
        <v>176</v>
      </c>
      <c r="J14" s="648" t="n">
        <f aca="false">IF(L14&gt;0,L14,0)</f>
        <v>0</v>
      </c>
      <c r="K14" s="646" t="n">
        <f aca="false">I14+J14</f>
        <v>176</v>
      </c>
      <c r="L14" s="646" t="n">
        <f aca="false">F14-(I14-AF14)</f>
        <v>-39.0294933198891</v>
      </c>
      <c r="M14" s="649" t="n">
        <v>211</v>
      </c>
      <c r="N14" s="258" t="n">
        <f aca="false">1.8299*1.03</f>
        <v>1.884797</v>
      </c>
      <c r="O14" s="646" t="n">
        <f aca="false">(31+37)*1.05</f>
        <v>71.4</v>
      </c>
      <c r="P14" s="630" t="n">
        <v>0</v>
      </c>
      <c r="Q14" s="206" t="n">
        <f aca="false">2.06*1.02</f>
        <v>2.1012</v>
      </c>
      <c r="R14" s="650" t="n">
        <v>4.2</v>
      </c>
      <c r="S14" s="650" t="n">
        <v>2.37</v>
      </c>
      <c r="T14" s="651" t="n">
        <v>0</v>
      </c>
      <c r="U14" s="646" t="n">
        <v>137</v>
      </c>
      <c r="V14" s="646" t="n">
        <v>59</v>
      </c>
      <c r="W14" s="141" t="n">
        <f aca="false">M14-(N14-AQ14)-O14-P14-Q14-R14-S14-T14+U14+V14-AQ14</f>
        <v>325.044003</v>
      </c>
      <c r="X14" s="115" t="n">
        <f aca="false">X13-(W14-I14)-Q14-R14-AB14-(AO14/1.9835)</f>
        <v>972.725764744747</v>
      </c>
      <c r="Y14" s="115" t="n">
        <f aca="false">Y13</f>
        <v>2685.15</v>
      </c>
      <c r="Z14" s="627" t="n">
        <f aca="false">Z13</f>
        <v>701.789765565919</v>
      </c>
      <c r="AA14" s="646" t="n">
        <v>202</v>
      </c>
      <c r="AB14" s="142" t="n">
        <v>1.7</v>
      </c>
      <c r="AC14" s="143" t="n">
        <v>1.3</v>
      </c>
      <c r="AD14" s="652" t="n">
        <v>77</v>
      </c>
      <c r="AE14" s="653" t="n">
        <f aca="false">AE13-AD14</f>
        <v>7781.82307285102</v>
      </c>
      <c r="AF14" s="654" t="n">
        <f aca="false">N14+O14+P14+Q14+R14+S14+T14+W14+AA14+AD14</f>
        <v>686</v>
      </c>
      <c r="AG14" s="646" t="n">
        <f aca="false">IF(L14&lt;0,L14*-1,0)</f>
        <v>39.0294933198891</v>
      </c>
      <c r="AH14" s="646" t="n">
        <f aca="false">AF14+AG14</f>
        <v>725.029493319889</v>
      </c>
      <c r="AI14" s="632" t="n">
        <v>0.02</v>
      </c>
      <c r="AJ14" s="633" t="n">
        <v>85</v>
      </c>
      <c r="AK14" s="634" t="n">
        <v>51</v>
      </c>
      <c r="AL14" s="633" t="n">
        <f aca="false">AL13</f>
        <v>10571</v>
      </c>
      <c r="AM14" s="264"/>
      <c r="AN14" s="261"/>
      <c r="AO14" s="258" t="n">
        <f aca="false">36.1*(X13*1.9835+Y13*1.9835+Z13*1.9835)/E14</f>
        <v>2.06309105149709</v>
      </c>
      <c r="AP14" s="115"/>
      <c r="AQ14" s="171" t="n">
        <v>1.09</v>
      </c>
    </row>
    <row r="15" customFormat="false" ht="12.95" hidden="false" customHeight="true" outlineLevel="0" collapsed="false">
      <c r="A15" s="186" t="n">
        <v>4</v>
      </c>
      <c r="B15" s="635" t="n">
        <v>6906.36</v>
      </c>
      <c r="C15" s="627" t="n">
        <v>307650</v>
      </c>
      <c r="D15" s="633" t="n">
        <f aca="false">C15-C14</f>
        <v>-1127</v>
      </c>
      <c r="E15" s="627" t="n">
        <f aca="false">C15-151978</f>
        <v>155672</v>
      </c>
      <c r="F15" s="645" t="n">
        <f aca="false">D15/$D$2</f>
        <v>-568.187547264936</v>
      </c>
      <c r="G15" s="646" t="n">
        <v>210</v>
      </c>
      <c r="H15" s="647" t="n">
        <v>0</v>
      </c>
      <c r="I15" s="646" t="n">
        <f aca="false">G15+H15</f>
        <v>210</v>
      </c>
      <c r="J15" s="648" t="n">
        <f aca="false">IF(L15&gt;0,L15,0)</f>
        <v>0</v>
      </c>
      <c r="K15" s="646" t="n">
        <f aca="false">I15+J15</f>
        <v>210</v>
      </c>
      <c r="L15" s="646" t="n">
        <f aca="false">F15-(I15-AF15)</f>
        <v>-87.1875472649357</v>
      </c>
      <c r="M15" s="649" t="n">
        <v>172</v>
      </c>
      <c r="N15" s="258" t="n">
        <f aca="false">1.8299*1.03</f>
        <v>1.884797</v>
      </c>
      <c r="O15" s="646" t="n">
        <f aca="false">(28+36)*1.05</f>
        <v>67.2</v>
      </c>
      <c r="P15" s="630" t="n">
        <v>0</v>
      </c>
      <c r="Q15" s="206" t="n">
        <f aca="false">2.06*1.02</f>
        <v>2.1012</v>
      </c>
      <c r="R15" s="650" t="n">
        <v>4.2</v>
      </c>
      <c r="S15" s="650" t="n">
        <v>1.7</v>
      </c>
      <c r="T15" s="651" t="n">
        <v>0</v>
      </c>
      <c r="U15" s="646" t="n">
        <v>133</v>
      </c>
      <c r="V15" s="646" t="n">
        <v>60</v>
      </c>
      <c r="W15" s="141" t="n">
        <f aca="false">M15-(N15-AQ15)-O15-P15-Q15-R15-S15-T15+U15+V15-AQ15</f>
        <v>287.914003</v>
      </c>
      <c r="X15" s="115" t="n">
        <f aca="false">X14-(W15-I15)-Q15-R15-AB15-(AO15/1.9835)</f>
        <v>885.799564740506</v>
      </c>
      <c r="Y15" s="115" t="n">
        <f aca="false">Y14</f>
        <v>2685.15</v>
      </c>
      <c r="Z15" s="627" t="n">
        <f aca="false">Z14</f>
        <v>701.789765565919</v>
      </c>
      <c r="AA15" s="646" t="n">
        <v>249</v>
      </c>
      <c r="AB15" s="142" t="n">
        <v>1.7</v>
      </c>
      <c r="AC15" s="143" t="n">
        <v>1.3</v>
      </c>
      <c r="AD15" s="652" t="n">
        <v>77</v>
      </c>
      <c r="AE15" s="653" t="n">
        <f aca="false">AE14-AD15</f>
        <v>7704.82307285102</v>
      </c>
      <c r="AF15" s="654" t="n">
        <f aca="false">N15+O15+P15+Q15+R15+S15+T15+W15+AA15+AD15</f>
        <v>691</v>
      </c>
      <c r="AG15" s="646" t="n">
        <f aca="false">IF(L15&lt;0,L15*-1,0)</f>
        <v>87.1875472649357</v>
      </c>
      <c r="AH15" s="646" t="n">
        <f aca="false">AF15+AG15</f>
        <v>778.187547264936</v>
      </c>
      <c r="AI15" s="632" t="n">
        <v>0</v>
      </c>
      <c r="AJ15" s="633" t="n">
        <v>82</v>
      </c>
      <c r="AK15" s="634" t="n">
        <v>51</v>
      </c>
      <c r="AL15" s="633" t="n">
        <f aca="false">AL14</f>
        <v>10571</v>
      </c>
      <c r="AM15" s="264"/>
      <c r="AN15" s="261"/>
      <c r="AO15" s="258" t="n">
        <f aca="false">36.1*(X14*1.9835+Y14*1.9835+Z14*1.9835)/E15</f>
        <v>2.00531255791215</v>
      </c>
      <c r="AP15" s="115"/>
      <c r="AQ15" s="171" t="n">
        <v>1.09</v>
      </c>
    </row>
    <row r="16" customFormat="false" ht="12.95" hidden="false" customHeight="true" outlineLevel="0" collapsed="false">
      <c r="A16" s="186" t="n">
        <v>5</v>
      </c>
      <c r="B16" s="635" t="n">
        <v>6906.14</v>
      </c>
      <c r="C16" s="627" t="n">
        <v>306795</v>
      </c>
      <c r="D16" s="633" t="n">
        <f aca="false">C16-C15</f>
        <v>-855</v>
      </c>
      <c r="E16" s="627" t="n">
        <f aca="false">C16-151978</f>
        <v>154817</v>
      </c>
      <c r="F16" s="645" t="n">
        <f aca="false">D16/$D$2</f>
        <v>-431.056213763549</v>
      </c>
      <c r="G16" s="646" t="n">
        <v>213</v>
      </c>
      <c r="H16" s="647" t="n">
        <v>0</v>
      </c>
      <c r="I16" s="646" t="n">
        <f aca="false">G16+H16</f>
        <v>213</v>
      </c>
      <c r="J16" s="648" t="n">
        <f aca="false">IF(L16&gt;0,L16,0)</f>
        <v>38.9437862364507</v>
      </c>
      <c r="K16" s="646" t="n">
        <f aca="false">I16+J16</f>
        <v>251.943786236451</v>
      </c>
      <c r="L16" s="646" t="n">
        <f aca="false">F16-(I16-AF16)</f>
        <v>38.9437862364507</v>
      </c>
      <c r="M16" s="649" t="n">
        <v>198</v>
      </c>
      <c r="N16" s="258" t="n">
        <f aca="false">1.8299*1.03</f>
        <v>1.884797</v>
      </c>
      <c r="O16" s="646" t="n">
        <f aca="false">(30+30)*1.05</f>
        <v>63</v>
      </c>
      <c r="P16" s="630" t="n">
        <v>0</v>
      </c>
      <c r="Q16" s="206" t="n">
        <f aca="false">2.06*1.02</f>
        <v>2.1012</v>
      </c>
      <c r="R16" s="650" t="n">
        <v>4.2</v>
      </c>
      <c r="S16" s="650" t="n">
        <v>1.73</v>
      </c>
      <c r="T16" s="651" t="n">
        <v>0</v>
      </c>
      <c r="U16" s="646" t="n">
        <v>132</v>
      </c>
      <c r="V16" s="646" t="n">
        <v>62</v>
      </c>
      <c r="W16" s="141" t="n">
        <f aca="false">M16-(N16-AQ16)-O16-P16-Q16-R16-S16-T16+U16+V16-AQ16</f>
        <v>319.084003</v>
      </c>
      <c r="X16" s="115" t="n">
        <f aca="false">X15-(W16-I16)-Q16-R16-AB16-(AO16/1.9835)</f>
        <v>770.718050677612</v>
      </c>
      <c r="Y16" s="115" t="n">
        <f aca="false">Y15</f>
        <v>2685.15</v>
      </c>
      <c r="Z16" s="627" t="n">
        <f aca="false">Z15</f>
        <v>701.789765565919</v>
      </c>
      <c r="AA16" s="646" t="n">
        <v>214</v>
      </c>
      <c r="AB16" s="142" t="n">
        <v>1.7</v>
      </c>
      <c r="AC16" s="143" t="n">
        <v>1.3</v>
      </c>
      <c r="AD16" s="652" t="n">
        <v>77</v>
      </c>
      <c r="AE16" s="653" t="n">
        <f aca="false">AE15-AD16</f>
        <v>7627.82307285102</v>
      </c>
      <c r="AF16" s="654" t="n">
        <f aca="false">N16+O16+P16+Q16+R16+S16+T16+W16+AA16+AD16</f>
        <v>683</v>
      </c>
      <c r="AG16" s="646" t="n">
        <f aca="false">IF(L16&lt;0,L16*-1,0)</f>
        <v>0</v>
      </c>
      <c r="AH16" s="646" t="n">
        <f aca="false">AF16+AG16</f>
        <v>683</v>
      </c>
      <c r="AI16" s="632" t="n">
        <v>0</v>
      </c>
      <c r="AJ16" s="633" t="n">
        <v>82</v>
      </c>
      <c r="AK16" s="634" t="n">
        <v>54</v>
      </c>
      <c r="AL16" s="633" t="n">
        <f aca="false">AL15</f>
        <v>10571</v>
      </c>
      <c r="AM16" s="264"/>
      <c r="AN16" s="261"/>
      <c r="AO16" s="258" t="n">
        <f aca="false">36.1*(X15*1.9835+Y15*1.9835+Z15*1.9835)/E16</f>
        <v>1.97618299325027</v>
      </c>
      <c r="AP16" s="115"/>
      <c r="AQ16" s="171" t="n">
        <v>1.09</v>
      </c>
    </row>
    <row r="17" customFormat="false" ht="12.95" hidden="false" customHeight="true" outlineLevel="0" collapsed="false">
      <c r="A17" s="186" t="n">
        <v>6</v>
      </c>
      <c r="B17" s="635" t="n">
        <v>6905.9</v>
      </c>
      <c r="C17" s="627" t="n">
        <v>305866</v>
      </c>
      <c r="D17" s="633" t="n">
        <f aca="false">C17-C16</f>
        <v>-929</v>
      </c>
      <c r="E17" s="627" t="n">
        <f aca="false">C17-151978</f>
        <v>153888</v>
      </c>
      <c r="F17" s="645" t="n">
        <f aca="false">D17/$D$2</f>
        <v>-468.364003024956</v>
      </c>
      <c r="G17" s="646" t="n">
        <v>192</v>
      </c>
      <c r="H17" s="647" t="n">
        <v>0</v>
      </c>
      <c r="I17" s="646" t="n">
        <f aca="false">G17+H17</f>
        <v>192</v>
      </c>
      <c r="J17" s="648" t="n">
        <f aca="false">IF(L17&gt;0,L17,0)</f>
        <v>11.6359969750441</v>
      </c>
      <c r="K17" s="646" t="n">
        <f aca="false">I17+J17</f>
        <v>203.635996975044</v>
      </c>
      <c r="L17" s="646" t="n">
        <f aca="false">F17-(I17-AF17)</f>
        <v>11.6359969750441</v>
      </c>
      <c r="M17" s="649" t="n">
        <v>190</v>
      </c>
      <c r="N17" s="258" t="n">
        <f aca="false">1.8299*1.03</f>
        <v>1.884797</v>
      </c>
      <c r="O17" s="646" t="n">
        <f aca="false">(32+31)*1.05</f>
        <v>66.15</v>
      </c>
      <c r="P17" s="630" t="n">
        <v>0</v>
      </c>
      <c r="Q17" s="206" t="n">
        <f aca="false">2.06*1.02</f>
        <v>2.1012</v>
      </c>
      <c r="R17" s="650" t="n">
        <v>4.2</v>
      </c>
      <c r="S17" s="650" t="n">
        <v>3.13</v>
      </c>
      <c r="T17" s="651" t="n">
        <v>0</v>
      </c>
      <c r="U17" s="646" t="n">
        <v>131</v>
      </c>
      <c r="V17" s="646" t="n">
        <v>62</v>
      </c>
      <c r="W17" s="141" t="n">
        <f aca="false">M17-(N17-AQ17)-O17-P17-Q17-R17-S17-T17+U17+V17-AQ17</f>
        <v>305.534003</v>
      </c>
      <c r="X17" s="115" t="n">
        <f aca="false">X16-(W17-I17)-Q17-R17-AB17-(AO17/1.9835)</f>
        <v>648.20751856055</v>
      </c>
      <c r="Y17" s="115" t="n">
        <f aca="false">Y16</f>
        <v>2685.15</v>
      </c>
      <c r="Z17" s="627" t="n">
        <f aca="false">Z16</f>
        <v>701.789765565919</v>
      </c>
      <c r="AA17" s="646" t="n">
        <v>212</v>
      </c>
      <c r="AB17" s="142" t="n">
        <v>1.7</v>
      </c>
      <c r="AC17" s="143" t="n">
        <v>1.3</v>
      </c>
      <c r="AD17" s="652" t="n">
        <v>77</v>
      </c>
      <c r="AE17" s="653" t="n">
        <f aca="false">AE16-AD17</f>
        <v>7550.82307285102</v>
      </c>
      <c r="AF17" s="654" t="n">
        <f aca="false">N17+O17+P17+Q17+R17+S17+T17+W17+AA17+AD17</f>
        <v>672</v>
      </c>
      <c r="AG17" s="646" t="n">
        <f aca="false">IF(L17&lt;0,L17*-1,0)</f>
        <v>0</v>
      </c>
      <c r="AH17" s="646" t="n">
        <f aca="false">AF17+AG17</f>
        <v>672</v>
      </c>
      <c r="AI17" s="632" t="n">
        <v>0</v>
      </c>
      <c r="AJ17" s="633" t="n">
        <v>81</v>
      </c>
      <c r="AK17" s="634" t="n">
        <v>53</v>
      </c>
      <c r="AL17" s="633" t="n">
        <f aca="false">AL16</f>
        <v>10571</v>
      </c>
      <c r="AM17" s="264"/>
      <c r="AN17" s="261"/>
      <c r="AO17" s="258" t="n">
        <f aca="false">36.1*(X16*1.9835+Y16*1.9835+Z16*1.9835)/E17</f>
        <v>1.93456530369189</v>
      </c>
      <c r="AP17" s="115"/>
      <c r="AQ17" s="171" t="n">
        <v>1.09</v>
      </c>
    </row>
    <row r="18" customFormat="false" ht="12.95" hidden="false" customHeight="true" outlineLevel="0" collapsed="false">
      <c r="A18" s="186" t="n">
        <v>7</v>
      </c>
      <c r="B18" s="635" t="n">
        <v>6905.62</v>
      </c>
      <c r="C18" s="627" t="n">
        <v>304786</v>
      </c>
      <c r="D18" s="633" t="n">
        <f aca="false">C18-C17</f>
        <v>-1080</v>
      </c>
      <c r="E18" s="627" t="n">
        <f aca="false">C18-151978</f>
        <v>152808</v>
      </c>
      <c r="F18" s="645" t="n">
        <f aca="false">D18/$D$2</f>
        <v>-544.492059490799</v>
      </c>
      <c r="G18" s="646" t="n">
        <v>177</v>
      </c>
      <c r="H18" s="647" t="n">
        <v>0</v>
      </c>
      <c r="I18" s="646" t="n">
        <f aca="false">G18+H18</f>
        <v>177</v>
      </c>
      <c r="J18" s="648" t="n">
        <f aca="false">IF(L18&gt;0,L18,0)</f>
        <v>0</v>
      </c>
      <c r="K18" s="646" t="n">
        <f aca="false">I18+J18</f>
        <v>177</v>
      </c>
      <c r="L18" s="646" t="n">
        <f aca="false">F18-(I18-AF18)</f>
        <v>-58.492059490799</v>
      </c>
      <c r="M18" s="649" t="n">
        <v>193</v>
      </c>
      <c r="N18" s="258" t="n">
        <f aca="false">1.8299*1.03</f>
        <v>1.884797</v>
      </c>
      <c r="O18" s="646" t="n">
        <f aca="false">(30+31)*1.05</f>
        <v>64.05</v>
      </c>
      <c r="P18" s="630" t="n">
        <v>0</v>
      </c>
      <c r="Q18" s="206" t="n">
        <f aca="false">2.06*1.02</f>
        <v>2.1012</v>
      </c>
      <c r="R18" s="650" t="n">
        <v>4.2</v>
      </c>
      <c r="S18" s="650" t="n">
        <v>3.02</v>
      </c>
      <c r="T18" s="651" t="n">
        <v>0</v>
      </c>
      <c r="U18" s="646" t="n">
        <v>131</v>
      </c>
      <c r="V18" s="646" t="n">
        <v>61</v>
      </c>
      <c r="W18" s="141" t="n">
        <f aca="false">M18-(N18-AQ18)-O18-P18-Q18-R18-S18-T18+U18+V18-AQ18</f>
        <v>309.744003</v>
      </c>
      <c r="X18" s="115" t="n">
        <f aca="false">X17-(W18-I18)-Q18-R18-AB18-(AO18/1.9835)</f>
        <v>506.509035516593</v>
      </c>
      <c r="Y18" s="115" t="n">
        <f aca="false">Y17</f>
        <v>2685.15</v>
      </c>
      <c r="Z18" s="627" t="n">
        <f aca="false">Z17</f>
        <v>701.789765565919</v>
      </c>
      <c r="AA18" s="646" t="n">
        <v>201</v>
      </c>
      <c r="AB18" s="142" t="n">
        <v>1.7</v>
      </c>
      <c r="AC18" s="143" t="n">
        <v>1.3</v>
      </c>
      <c r="AD18" s="652" t="n">
        <v>77</v>
      </c>
      <c r="AE18" s="653" t="n">
        <f aca="false">AE17-AD18</f>
        <v>7473.82307285102</v>
      </c>
      <c r="AF18" s="654" t="n">
        <f aca="false">N18+O18+P18+Q18+R18+S18+T18+W18+AA18+AD18</f>
        <v>663</v>
      </c>
      <c r="AG18" s="646" t="n">
        <f aca="false">IF(L18&lt;0,L18*-1,0)</f>
        <v>58.492059490799</v>
      </c>
      <c r="AH18" s="646" t="n">
        <f aca="false">AF18+AG18</f>
        <v>721.492059490799</v>
      </c>
      <c r="AI18" s="632" t="n">
        <v>0</v>
      </c>
      <c r="AJ18" s="633" t="n">
        <v>80</v>
      </c>
      <c r="AK18" s="634" t="n">
        <v>46</v>
      </c>
      <c r="AL18" s="633" t="n">
        <f aca="false">AL17</f>
        <v>10571</v>
      </c>
      <c r="AM18" s="264"/>
      <c r="AN18" s="261"/>
      <c r="AO18" s="258" t="n">
        <f aca="false">36.1*(X17*1.9835+Y17*1.9835+Z17*1.9835)/E18</f>
        <v>1.89083096718851</v>
      </c>
      <c r="AP18" s="115"/>
      <c r="AQ18" s="171" t="n">
        <v>1.09</v>
      </c>
    </row>
    <row r="19" customFormat="false" ht="12.95" hidden="false" customHeight="true" outlineLevel="0" collapsed="false">
      <c r="A19" s="186" t="n">
        <v>8</v>
      </c>
      <c r="B19" s="635" t="n">
        <v>6905.31</v>
      </c>
      <c r="C19" s="627" t="n">
        <v>303591</v>
      </c>
      <c r="D19" s="633" t="n">
        <f aca="false">C19-C18</f>
        <v>-1195</v>
      </c>
      <c r="E19" s="627" t="n">
        <f aca="false">C19-151978</f>
        <v>151613</v>
      </c>
      <c r="F19" s="645" t="n">
        <f aca="false">D19/$D$2</f>
        <v>-602.470380640282</v>
      </c>
      <c r="G19" s="646" t="n">
        <v>160</v>
      </c>
      <c r="H19" s="647" t="n">
        <v>0</v>
      </c>
      <c r="I19" s="646" t="n">
        <f aca="false">G19+H19</f>
        <v>160</v>
      </c>
      <c r="J19" s="648" t="n">
        <f aca="false">IF(L19&gt;0,L19,0)</f>
        <v>0</v>
      </c>
      <c r="K19" s="646" t="n">
        <f aca="false">I19+J19</f>
        <v>160</v>
      </c>
      <c r="L19" s="646" t="n">
        <f aca="false">F19-(I19-AF19)</f>
        <v>-71.4703806402823</v>
      </c>
      <c r="M19" s="649" t="n">
        <v>210</v>
      </c>
      <c r="N19" s="258" t="n">
        <f aca="false">1.8299*1.03</f>
        <v>1.884797</v>
      </c>
      <c r="O19" s="646" t="n">
        <f aca="false">(31+34)*1.05</f>
        <v>68.25</v>
      </c>
      <c r="P19" s="630" t="n">
        <v>0</v>
      </c>
      <c r="Q19" s="206" t="n">
        <f aca="false">2.06*1.02</f>
        <v>2.1012</v>
      </c>
      <c r="R19" s="650" t="n">
        <v>4.2</v>
      </c>
      <c r="S19" s="650" t="n">
        <v>3.03</v>
      </c>
      <c r="T19" s="651" t="n">
        <v>0</v>
      </c>
      <c r="U19" s="646" t="n">
        <v>131</v>
      </c>
      <c r="V19" s="646" t="n">
        <v>61</v>
      </c>
      <c r="W19" s="141" t="n">
        <f aca="false">M19-(N19-AQ19)-O19-P19-Q19-R19-S19-T19+U19+V19-AQ19</f>
        <v>322.534003</v>
      </c>
      <c r="X19" s="115" t="n">
        <f aca="false">X18-(W19-I19)-Q19-R19-AB19-(AO19/1.9835)</f>
        <v>335.046778096992</v>
      </c>
      <c r="Y19" s="115" t="n">
        <f aca="false">Y18</f>
        <v>2685.15</v>
      </c>
      <c r="Z19" s="627" t="n">
        <f aca="false">Z18</f>
        <v>701.789765565919</v>
      </c>
      <c r="AA19" s="646" t="n">
        <v>212</v>
      </c>
      <c r="AB19" s="142" t="n">
        <v>1.7</v>
      </c>
      <c r="AC19" s="143" t="n">
        <v>1.3</v>
      </c>
      <c r="AD19" s="652" t="n">
        <v>77</v>
      </c>
      <c r="AE19" s="653" t="n">
        <f aca="false">AE18-AD19</f>
        <v>7396.82307285102</v>
      </c>
      <c r="AF19" s="654" t="n">
        <f aca="false">N19+O19+P19+Q19+R19+S19+T19+W19+AA19+AD19</f>
        <v>691</v>
      </c>
      <c r="AG19" s="646" t="n">
        <f aca="false">IF(L19&lt;0,L19*-1,0)</f>
        <v>71.4703806402823</v>
      </c>
      <c r="AH19" s="646" t="n">
        <f aca="false">AF19+AG19</f>
        <v>762.470380640282</v>
      </c>
      <c r="AI19" s="632" t="n">
        <v>0</v>
      </c>
      <c r="AJ19" s="633" t="n">
        <v>83</v>
      </c>
      <c r="AK19" s="634" t="n">
        <v>44</v>
      </c>
      <c r="AL19" s="633" t="n">
        <f aca="false">AL18</f>
        <v>10571</v>
      </c>
      <c r="AM19" s="264"/>
      <c r="AN19" s="261"/>
      <c r="AO19" s="258" t="n">
        <f aca="false">36.1*(X18*1.9835+Y18*1.9835+Z18*1.9835)/E19</f>
        <v>1.83881244128005</v>
      </c>
      <c r="AP19" s="115"/>
      <c r="AQ19" s="171" t="n">
        <v>1.09</v>
      </c>
    </row>
    <row r="20" customFormat="false" ht="12.95" hidden="false" customHeight="true" outlineLevel="0" collapsed="false">
      <c r="A20" s="186" t="n">
        <v>9</v>
      </c>
      <c r="B20" s="635" t="n">
        <v>6905.03</v>
      </c>
      <c r="C20" s="627" t="n">
        <v>302511</v>
      </c>
      <c r="D20" s="633" t="n">
        <f aca="false">C20-C19</f>
        <v>-1080</v>
      </c>
      <c r="E20" s="627" t="n">
        <f aca="false">C20-151978</f>
        <v>150533</v>
      </c>
      <c r="F20" s="645" t="n">
        <f aca="false">D20/$D$2</f>
        <v>-544.492059490799</v>
      </c>
      <c r="G20" s="646" t="n">
        <v>151</v>
      </c>
      <c r="H20" s="647" t="n">
        <v>0</v>
      </c>
      <c r="I20" s="646" t="n">
        <f aca="false">G20+H20</f>
        <v>151</v>
      </c>
      <c r="J20" s="648" t="n">
        <f aca="false">IF(L20&gt;0,L20,0)</f>
        <v>0</v>
      </c>
      <c r="K20" s="646" t="n">
        <f aca="false">I20+J20</f>
        <v>151</v>
      </c>
      <c r="L20" s="646" t="n">
        <f aca="false">F20-(I20-AF20)</f>
        <v>-36.4920594907991</v>
      </c>
      <c r="M20" s="649" t="n">
        <v>212</v>
      </c>
      <c r="N20" s="258" t="n">
        <f aca="false">1.8299*1.03</f>
        <v>1.884797</v>
      </c>
      <c r="O20" s="646" t="n">
        <f aca="false">(33+35)*1.05</f>
        <v>71.4</v>
      </c>
      <c r="P20" s="630" t="n">
        <v>0</v>
      </c>
      <c r="Q20" s="206" t="n">
        <f aca="false">2.06*1.02</f>
        <v>2.1012</v>
      </c>
      <c r="R20" s="650" t="n">
        <v>4.2</v>
      </c>
      <c r="S20" s="650" t="n">
        <v>2.24</v>
      </c>
      <c r="T20" s="651" t="n">
        <v>0</v>
      </c>
      <c r="U20" s="646" t="n">
        <v>135</v>
      </c>
      <c r="V20" s="646" t="n">
        <v>61</v>
      </c>
      <c r="W20" s="141" t="n">
        <f aca="false">M20-(N20-AQ20)-O20-P20-Q20-R20-S20-T20+U20+V20-AQ20</f>
        <v>326.174003</v>
      </c>
      <c r="X20" s="115" t="n">
        <f aca="false">X19-(W20-I20)-Q20-R20-AB20-(AO20/1.9835)</f>
        <v>150.978988659292</v>
      </c>
      <c r="Y20" s="115" t="n">
        <f aca="false">Y19</f>
        <v>2685.15</v>
      </c>
      <c r="Z20" s="627" t="n">
        <f aca="false">Z19</f>
        <v>701.789765565919</v>
      </c>
      <c r="AA20" s="646" t="n">
        <v>174</v>
      </c>
      <c r="AB20" s="142" t="n">
        <v>1.7</v>
      </c>
      <c r="AC20" s="143" t="n">
        <v>1.3</v>
      </c>
      <c r="AD20" s="652" t="n">
        <v>77</v>
      </c>
      <c r="AE20" s="653" t="n">
        <f aca="false">AE19-AD20</f>
        <v>7319.82307285102</v>
      </c>
      <c r="AF20" s="654" t="n">
        <f aca="false">N20+O20+P20+Q20+R20+S20+T20+W20+AA20+AD20</f>
        <v>659</v>
      </c>
      <c r="AG20" s="646" t="n">
        <f aca="false">IF(L20&lt;0,L20*-1,0)</f>
        <v>36.4920594907991</v>
      </c>
      <c r="AH20" s="646" t="n">
        <f aca="false">AF20+AG20</f>
        <v>695.492059490799</v>
      </c>
      <c r="AI20" s="632" t="n">
        <v>0</v>
      </c>
      <c r="AJ20" s="633" t="n">
        <v>83</v>
      </c>
      <c r="AK20" s="634" t="n">
        <v>53</v>
      </c>
      <c r="AL20" s="633" t="n">
        <f aca="false">AL19</f>
        <v>10571</v>
      </c>
      <c r="AM20" s="264"/>
      <c r="AN20" s="261"/>
      <c r="AO20" s="258" t="n">
        <f aca="false">36.1*(X19*1.9835+Y19*1.9835+Z19*1.9835)/E20</f>
        <v>1.77044519917712</v>
      </c>
      <c r="AP20" s="115"/>
      <c r="AQ20" s="171" t="n">
        <v>1.09</v>
      </c>
    </row>
    <row r="21" customFormat="false" ht="12.95" hidden="false" customHeight="true" outlineLevel="0" collapsed="false">
      <c r="A21" s="186" t="n">
        <v>10</v>
      </c>
      <c r="B21" s="635" t="n">
        <v>6904.74</v>
      </c>
      <c r="C21" s="627" t="n">
        <v>301401</v>
      </c>
      <c r="D21" s="633" t="n">
        <f aca="false">C21-C20</f>
        <v>-1110</v>
      </c>
      <c r="E21" s="627" t="n">
        <f aca="false">C21-151978</f>
        <v>149423</v>
      </c>
      <c r="F21" s="645" t="n">
        <f aca="false">D21/$D$2</f>
        <v>-559.616838921099</v>
      </c>
      <c r="G21" s="646" t="n">
        <v>144</v>
      </c>
      <c r="H21" s="647" t="n">
        <v>0</v>
      </c>
      <c r="I21" s="646" t="n">
        <f aca="false">G21+H21</f>
        <v>144</v>
      </c>
      <c r="J21" s="648" t="n">
        <f aca="false">IF(L21&gt;0,L21,0)</f>
        <v>0</v>
      </c>
      <c r="K21" s="646" t="n">
        <f aca="false">I21+J21</f>
        <v>144</v>
      </c>
      <c r="L21" s="646" t="n">
        <f aca="false">F21-(I21-AF21)</f>
        <v>-9.61683892109909</v>
      </c>
      <c r="M21" s="649" t="n">
        <v>203</v>
      </c>
      <c r="N21" s="258" t="n">
        <f aca="false">1.8299*1.03</f>
        <v>1.884797</v>
      </c>
      <c r="O21" s="646" t="n">
        <f aca="false">(32+33)*1.05</f>
        <v>68.25</v>
      </c>
      <c r="P21" s="630" t="n">
        <v>0</v>
      </c>
      <c r="Q21" s="206" t="n">
        <f aca="false">2.06*1.02</f>
        <v>2.1012</v>
      </c>
      <c r="R21" s="650" t="n">
        <v>4.2</v>
      </c>
      <c r="S21" s="650" t="n">
        <v>3.23</v>
      </c>
      <c r="T21" s="651" t="n">
        <v>0</v>
      </c>
      <c r="U21" s="646" t="n">
        <v>139</v>
      </c>
      <c r="V21" s="646" t="n">
        <v>61</v>
      </c>
      <c r="W21" s="141" t="n">
        <f aca="false">M21-(N21-AQ21)-O21-P21-Q21-R21-S21-T21+U21+V21-AQ21</f>
        <v>323.334003</v>
      </c>
      <c r="X21" s="115" t="n">
        <f aca="false">X20-(W21-I21)-Q21-R21-AB21-(AO21/1.9835)+54</f>
        <v>16.7890386188261</v>
      </c>
      <c r="Y21" s="115" t="n">
        <f aca="false">Y20-(W21-I21)-Q21-R21-AB21-(AO21/1.9835)-54</f>
        <v>2442.96004995953</v>
      </c>
      <c r="Z21" s="627" t="n">
        <f aca="false">Z20</f>
        <v>701.789765565919</v>
      </c>
      <c r="AA21" s="646" t="n">
        <v>214</v>
      </c>
      <c r="AB21" s="142" t="n">
        <v>1.7</v>
      </c>
      <c r="AC21" s="143" t="n">
        <v>1.3</v>
      </c>
      <c r="AD21" s="652" t="n">
        <v>77</v>
      </c>
      <c r="AE21" s="653" t="n">
        <f aca="false">AE20-AD21</f>
        <v>7242.82307285102</v>
      </c>
      <c r="AF21" s="654" t="n">
        <f aca="false">N21+O21+P21+Q21+R21+S21+T21+W21+AA21+AD21</f>
        <v>694</v>
      </c>
      <c r="AG21" s="646" t="n">
        <f aca="false">IF(L21&lt;0,L21*-1,0)</f>
        <v>9.61683892109909</v>
      </c>
      <c r="AH21" s="646" t="n">
        <f aca="false">AF21+AG21</f>
        <v>703.616838921099</v>
      </c>
      <c r="AI21" s="632" t="n">
        <v>0</v>
      </c>
      <c r="AJ21" s="633" t="n">
        <v>80</v>
      </c>
      <c r="AK21" s="634" t="n">
        <v>51</v>
      </c>
      <c r="AL21" s="633" t="n">
        <f aca="false">AL20</f>
        <v>10571</v>
      </c>
      <c r="AM21" s="264"/>
      <c r="AN21" s="261"/>
      <c r="AO21" s="258" t="n">
        <f aca="false">36.1*(X20*1.9835+Y20*1.9835+Z20*1.9835)/E21</f>
        <v>1.69539075476403</v>
      </c>
      <c r="AP21" s="115"/>
      <c r="AQ21" s="171" t="n">
        <v>1.09</v>
      </c>
    </row>
    <row r="22" customFormat="false" ht="12.95" hidden="false" customHeight="true" outlineLevel="0" collapsed="false">
      <c r="A22" s="186" t="n">
        <v>11</v>
      </c>
      <c r="B22" s="635" t="n">
        <v>6904.42</v>
      </c>
      <c r="C22" s="627" t="n">
        <v>300177</v>
      </c>
      <c r="D22" s="633" t="n">
        <f aca="false">C22-C21</f>
        <v>-1224</v>
      </c>
      <c r="E22" s="627" t="n">
        <f aca="false">C22-151978</f>
        <v>148199</v>
      </c>
      <c r="F22" s="645" t="n">
        <f aca="false">D22/$D$2</f>
        <v>-617.091000756239</v>
      </c>
      <c r="G22" s="646" t="n">
        <v>127</v>
      </c>
      <c r="H22" s="647" t="n">
        <v>0</v>
      </c>
      <c r="I22" s="646" t="n">
        <f aca="false">G22+H22</f>
        <v>127</v>
      </c>
      <c r="J22" s="648" t="n">
        <f aca="false">IF(L22&gt;0,L22,0)</f>
        <v>0</v>
      </c>
      <c r="K22" s="646" t="n">
        <f aca="false">I22+J22</f>
        <v>127</v>
      </c>
      <c r="L22" s="646" t="n">
        <f aca="false">F22-(I22-AF22)</f>
        <v>-88.0910007562389</v>
      </c>
      <c r="M22" s="649" t="n">
        <v>221</v>
      </c>
      <c r="N22" s="258" t="n">
        <f aca="false">1.8299*1.03</f>
        <v>1.884797</v>
      </c>
      <c r="O22" s="646" t="n">
        <f aca="false">(34+35)*1.05</f>
        <v>72.45</v>
      </c>
      <c r="P22" s="630" t="n">
        <v>0</v>
      </c>
      <c r="Q22" s="206" t="n">
        <f aca="false">2.06*1.02</f>
        <v>2.1012</v>
      </c>
      <c r="R22" s="650" t="n">
        <v>4.2</v>
      </c>
      <c r="S22" s="650" t="n">
        <v>3.27</v>
      </c>
      <c r="T22" s="651" t="n">
        <v>0</v>
      </c>
      <c r="U22" s="646" t="n">
        <v>141</v>
      </c>
      <c r="V22" s="646" t="n">
        <v>61</v>
      </c>
      <c r="W22" s="141" t="n">
        <f aca="false">M22-(N22-AQ22)-O22-P22-Q22-R22-S22-T22+U22+V22-AQ22</f>
        <v>339.094003</v>
      </c>
      <c r="X22" s="115" t="n">
        <v>0</v>
      </c>
      <c r="Y22" s="115" t="n">
        <f aca="false">Y21-(W22-I22)-Q22-R22-AB22-(AO22/1.9835)</f>
        <v>2222.09472332419</v>
      </c>
      <c r="Z22" s="627" t="n">
        <f aca="false">Z21</f>
        <v>701.789765565919</v>
      </c>
      <c r="AA22" s="646" t="n">
        <v>157</v>
      </c>
      <c r="AB22" s="142" t="n">
        <v>1.7</v>
      </c>
      <c r="AC22" s="143" t="n">
        <v>1.3</v>
      </c>
      <c r="AD22" s="652" t="n">
        <v>76</v>
      </c>
      <c r="AE22" s="653" t="n">
        <f aca="false">AE21-AD22</f>
        <v>7166.82307285102</v>
      </c>
      <c r="AF22" s="654" t="n">
        <f aca="false">N22+O22+P22+Q22+R22+S22+T22+W22+AA22+AD22</f>
        <v>656</v>
      </c>
      <c r="AG22" s="646" t="n">
        <f aca="false">IF(L22&lt;0,L22*-1,0)</f>
        <v>88.0910007562389</v>
      </c>
      <c r="AH22" s="646" t="n">
        <f aca="false">AF22+AG22</f>
        <v>744.091000756239</v>
      </c>
      <c r="AI22" s="632" t="n">
        <v>0</v>
      </c>
      <c r="AJ22" s="633" t="n">
        <v>81</v>
      </c>
      <c r="AK22" s="634" t="n">
        <v>49</v>
      </c>
      <c r="AL22" s="633" t="n">
        <f aca="false">AL21</f>
        <v>10571</v>
      </c>
      <c r="AM22" s="264"/>
      <c r="AN22" s="261"/>
      <c r="AO22" s="258" t="n">
        <f aca="false">36.1*(X21*1.9835+Y21*1.9835+Z21*1.9835)/E22</f>
        <v>1.52754023070834</v>
      </c>
      <c r="AP22" s="115"/>
      <c r="AQ22" s="171" t="n">
        <v>1.09</v>
      </c>
    </row>
    <row r="23" customFormat="false" ht="12.95" hidden="false" customHeight="true" outlineLevel="0" collapsed="false">
      <c r="A23" s="186" t="n">
        <v>12</v>
      </c>
      <c r="B23" s="635" t="n">
        <v>6904.1</v>
      </c>
      <c r="C23" s="627" t="n">
        <v>298954</v>
      </c>
      <c r="D23" s="633" t="n">
        <f aca="false">C23-C22</f>
        <v>-1223</v>
      </c>
      <c r="E23" s="627" t="n">
        <f aca="false">C23-151978</f>
        <v>146976</v>
      </c>
      <c r="F23" s="645" t="n">
        <f aca="false">D23/$D$2</f>
        <v>-616.586841441896</v>
      </c>
      <c r="G23" s="646" t="n">
        <v>122</v>
      </c>
      <c r="H23" s="647" t="n">
        <v>0</v>
      </c>
      <c r="I23" s="646" t="n">
        <f aca="false">G23+H23</f>
        <v>122</v>
      </c>
      <c r="J23" s="648" t="n">
        <f aca="false">IF(L23&gt;0,L23,0)</f>
        <v>0</v>
      </c>
      <c r="K23" s="646" t="n">
        <f aca="false">I23+J23</f>
        <v>122</v>
      </c>
      <c r="L23" s="646" t="n">
        <f aca="false">F23-(I23-AF23)</f>
        <v>-94.5868414418957</v>
      </c>
      <c r="M23" s="649" t="n">
        <v>223</v>
      </c>
      <c r="N23" s="258" t="n">
        <f aca="false">1.8299*1.03</f>
        <v>1.884797</v>
      </c>
      <c r="O23" s="646" t="n">
        <f aca="false">(34+38)*1.05</f>
        <v>75.6</v>
      </c>
      <c r="P23" s="630" t="n">
        <v>0</v>
      </c>
      <c r="Q23" s="206" t="n">
        <f aca="false">2.06*1.02</f>
        <v>2.1012</v>
      </c>
      <c r="R23" s="650" t="n">
        <v>4.2</v>
      </c>
      <c r="S23" s="650" t="n">
        <v>1.17</v>
      </c>
      <c r="T23" s="651" t="n">
        <v>0</v>
      </c>
      <c r="U23" s="646" t="n">
        <v>141</v>
      </c>
      <c r="V23" s="646" t="n">
        <v>61</v>
      </c>
      <c r="W23" s="141" t="n">
        <f aca="false">M23-(N23-AQ23)-O23-P23-Q23-R23-S23-T23+U23+V23-AQ23</f>
        <v>340.044003</v>
      </c>
      <c r="X23" s="115" t="n">
        <v>0</v>
      </c>
      <c r="Y23" s="115" t="n">
        <f aca="false">Y22-(W23-I23)-Q23-R23-AB23-(AO23/1.9835)</f>
        <v>1995.33136069235</v>
      </c>
      <c r="Z23" s="627" t="n">
        <f aca="false">Z22</f>
        <v>701.789765565919</v>
      </c>
      <c r="AA23" s="646" t="n">
        <v>143</v>
      </c>
      <c r="AB23" s="142" t="n">
        <v>1.7</v>
      </c>
      <c r="AC23" s="143" t="n">
        <v>1.3</v>
      </c>
      <c r="AD23" s="652" t="n">
        <v>76</v>
      </c>
      <c r="AE23" s="653" t="n">
        <f aca="false">AE22-AD23</f>
        <v>7090.82307285102</v>
      </c>
      <c r="AF23" s="654" t="n">
        <f aca="false">N23+O23+P23+Q23+R23+S23+T23+W23+AA23+AD23</f>
        <v>644</v>
      </c>
      <c r="AG23" s="646" t="n">
        <f aca="false">IF(L23&lt;0,L23*-1,0)</f>
        <v>94.5868414418957</v>
      </c>
      <c r="AH23" s="646" t="n">
        <f aca="false">AF23+AG23</f>
        <v>738.586841441896</v>
      </c>
      <c r="AI23" s="632" t="n">
        <v>0</v>
      </c>
      <c r="AJ23" s="633" t="n">
        <v>80</v>
      </c>
      <c r="AK23" s="634" t="n">
        <v>50</v>
      </c>
      <c r="AL23" s="633" t="n">
        <f aca="false">AL22</f>
        <v>10571</v>
      </c>
      <c r="AM23" s="264"/>
      <c r="AN23" s="261"/>
      <c r="AO23" s="258" t="n">
        <f aca="false">36.1*(X22*1.9835+Y22*1.9835+Z22*1.9835)/E23</f>
        <v>1.42446962974947</v>
      </c>
      <c r="AP23" s="115"/>
      <c r="AQ23" s="171" t="n">
        <v>1.09</v>
      </c>
    </row>
    <row r="24" customFormat="false" ht="12.95" hidden="false" customHeight="true" outlineLevel="0" collapsed="false">
      <c r="A24" s="186" t="n">
        <v>13</v>
      </c>
      <c r="B24" s="635" t="n">
        <v>6903.78</v>
      </c>
      <c r="C24" s="627" t="n">
        <v>297736</v>
      </c>
      <c r="D24" s="633" t="n">
        <f aca="false">C24-C23</f>
        <v>-1218</v>
      </c>
      <c r="E24" s="627" t="n">
        <f aca="false">C24-151978</f>
        <v>145758</v>
      </c>
      <c r="F24" s="645" t="n">
        <f aca="false">D24/$D$2</f>
        <v>-614.066044870179</v>
      </c>
      <c r="G24" s="646" t="n">
        <v>117</v>
      </c>
      <c r="H24" s="647" t="n">
        <v>0</v>
      </c>
      <c r="I24" s="646" t="n">
        <f aca="false">G24+H24</f>
        <v>117</v>
      </c>
      <c r="J24" s="648" t="n">
        <f aca="false">IF(L24&gt;0,L24,0)</f>
        <v>0</v>
      </c>
      <c r="K24" s="646" t="n">
        <f aca="false">I24+J24</f>
        <v>117</v>
      </c>
      <c r="L24" s="646" t="n">
        <f aca="false">F24-(I24-AF24)</f>
        <v>-97.0660448701789</v>
      </c>
      <c r="M24" s="649" t="n">
        <v>202</v>
      </c>
      <c r="N24" s="258" t="n">
        <f aca="false">1.8299*1.03</f>
        <v>1.884797</v>
      </c>
      <c r="O24" s="646" t="n">
        <f aca="false">(28+33)*1.05</f>
        <v>64.05</v>
      </c>
      <c r="P24" s="630" t="n">
        <v>0</v>
      </c>
      <c r="Q24" s="206" t="n">
        <f aca="false">2.06*1.02</f>
        <v>2.1012</v>
      </c>
      <c r="R24" s="650" t="n">
        <v>4.2</v>
      </c>
      <c r="S24" s="650" t="n">
        <v>1.97</v>
      </c>
      <c r="T24" s="651" t="n">
        <v>0</v>
      </c>
      <c r="U24" s="646" t="n">
        <v>141</v>
      </c>
      <c r="V24" s="646" t="n">
        <v>62</v>
      </c>
      <c r="W24" s="141" t="n">
        <f aca="false">M24-(N24-AQ24)-O24-P24-Q24-R24-S24-T24+U24+V24-AQ24+O24</f>
        <v>394.844003</v>
      </c>
      <c r="X24" s="115" t="n">
        <v>0</v>
      </c>
      <c r="Y24" s="115" t="n">
        <f aca="false">Y23-(W24-I24)-Q24-R24-AB24-(AO24/1.9835)</f>
        <v>1708.81815955394</v>
      </c>
      <c r="Z24" s="627" t="n">
        <f aca="false">Z23</f>
        <v>701.789765565919</v>
      </c>
      <c r="AA24" s="646" t="n">
        <v>153</v>
      </c>
      <c r="AB24" s="142" t="n">
        <v>1.7</v>
      </c>
      <c r="AC24" s="143" t="n">
        <v>1.3</v>
      </c>
      <c r="AD24" s="652" t="n">
        <v>76</v>
      </c>
      <c r="AE24" s="653" t="n">
        <f aca="false">AE23-AD24</f>
        <v>7014.82307285102</v>
      </c>
      <c r="AF24" s="654" t="n">
        <f aca="false">N24+O24+P24+Q24+R24+S24+T24+W24+AA24+AD24-O24</f>
        <v>634</v>
      </c>
      <c r="AG24" s="646" t="n">
        <f aca="false">IF(L24&lt;0,L24*-1,0)</f>
        <v>97.0660448701789</v>
      </c>
      <c r="AH24" s="646" t="n">
        <f aca="false">AF24+AG24</f>
        <v>731.066044870179</v>
      </c>
      <c r="AI24" s="632" t="n">
        <v>0</v>
      </c>
      <c r="AJ24" s="633" t="n">
        <v>83</v>
      </c>
      <c r="AK24" s="634" t="n">
        <v>45</v>
      </c>
      <c r="AL24" s="633" t="n">
        <f aca="false">AL23</f>
        <v>10571</v>
      </c>
      <c r="AM24" s="264"/>
      <c r="AN24" s="261"/>
      <c r="AO24" s="258" t="n">
        <f aca="false">36.1*(X23*1.9835+Y23*1.9835+Z23*1.9835)/E24</f>
        <v>1.32497430753023</v>
      </c>
      <c r="AP24" s="115"/>
      <c r="AQ24" s="171" t="n">
        <v>1.09</v>
      </c>
      <c r="AR24" s="365" t="n">
        <f aca="false">O24+37.5</f>
        <v>101.55</v>
      </c>
    </row>
    <row r="25" customFormat="false" ht="12.95" hidden="false" customHeight="true" outlineLevel="0" collapsed="false">
      <c r="A25" s="186" t="n">
        <v>14</v>
      </c>
      <c r="B25" s="635" t="n">
        <v>6903.47</v>
      </c>
      <c r="C25" s="627" t="n">
        <v>296560</v>
      </c>
      <c r="D25" s="633" t="n">
        <f aca="false">C25-C24</f>
        <v>-1176</v>
      </c>
      <c r="E25" s="627" t="n">
        <f aca="false">C25-151978</f>
        <v>144582</v>
      </c>
      <c r="F25" s="645" t="n">
        <f aca="false">D25/$D$2</f>
        <v>-592.891353667759</v>
      </c>
      <c r="G25" s="646" t="n">
        <v>109</v>
      </c>
      <c r="H25" s="647" t="n">
        <v>0</v>
      </c>
      <c r="I25" s="646" t="n">
        <f aca="false">G25+H25</f>
        <v>109</v>
      </c>
      <c r="J25" s="648" t="n">
        <f aca="false">IF(L25&gt;0,L25,0)</f>
        <v>0</v>
      </c>
      <c r="K25" s="646" t="n">
        <f aca="false">I25+J25</f>
        <v>109</v>
      </c>
      <c r="L25" s="646" t="n">
        <f aca="false">F25-(I25-AF25)</f>
        <v>-42.8913536677588</v>
      </c>
      <c r="M25" s="649" t="n">
        <v>223</v>
      </c>
      <c r="N25" s="258" t="n">
        <f aca="false">1.8299*1.03</f>
        <v>1.884797</v>
      </c>
      <c r="O25" s="646" t="n">
        <f aca="false">(31+35)*1.05</f>
        <v>69.3</v>
      </c>
      <c r="P25" s="630" t="n">
        <v>0</v>
      </c>
      <c r="Q25" s="206" t="n">
        <f aca="false">2.06*1.02</f>
        <v>2.1012</v>
      </c>
      <c r="R25" s="650" t="n">
        <v>4.2</v>
      </c>
      <c r="S25" s="650" t="n">
        <v>2.44</v>
      </c>
      <c r="T25" s="651" t="n">
        <v>0</v>
      </c>
      <c r="U25" s="646" t="n">
        <v>134</v>
      </c>
      <c r="V25" s="646" t="n">
        <v>63</v>
      </c>
      <c r="W25" s="141" t="n">
        <f aca="false">M25-(N25-AQ25)-O25-P25-Q25-R25-S25-T25+U25+V25-AQ25+O25</f>
        <v>409.374003</v>
      </c>
      <c r="X25" s="115" t="n">
        <v>0</v>
      </c>
      <c r="Y25" s="115" t="n">
        <f aca="false">Y24-(W25-I25)-Q25-R25-AB25-(AO25/1.9835)</f>
        <v>1399.84106319172</v>
      </c>
      <c r="Z25" s="627" t="n">
        <f aca="false">Z24</f>
        <v>701.789765565919</v>
      </c>
      <c r="AA25" s="646" t="n">
        <v>163</v>
      </c>
      <c r="AB25" s="142" t="n">
        <v>1.7</v>
      </c>
      <c r="AC25" s="143" t="n">
        <v>1.3</v>
      </c>
      <c r="AD25" s="652" t="n">
        <v>76</v>
      </c>
      <c r="AE25" s="653" t="n">
        <f aca="false">AE24-AD25</f>
        <v>6938.82307285102</v>
      </c>
      <c r="AF25" s="654" t="n">
        <f aca="false">N25+O25+P25+Q25+R25+S25+T25+W25+AA25+AD25-O25</f>
        <v>659</v>
      </c>
      <c r="AG25" s="646" t="n">
        <f aca="false">IF(L25&lt;0,L25*-1,0)</f>
        <v>42.8913536677588</v>
      </c>
      <c r="AH25" s="646" t="n">
        <f aca="false">AF25+AG25</f>
        <v>701.891353667759</v>
      </c>
      <c r="AI25" s="632" t="n">
        <v>0</v>
      </c>
      <c r="AJ25" s="633" t="n">
        <v>82</v>
      </c>
      <c r="AK25" s="634" t="n">
        <v>46</v>
      </c>
      <c r="AL25" s="633" t="n">
        <f aca="false">AL24</f>
        <v>10571</v>
      </c>
      <c r="AM25" s="264"/>
      <c r="AN25" s="261"/>
      <c r="AO25" s="258" t="n">
        <f aca="false">36.1*(X24*1.9835+Y24*1.9835+Z24*1.9835)/E25</f>
        <v>1.19385548396797</v>
      </c>
      <c r="AP25" s="115"/>
      <c r="AQ25" s="171" t="n">
        <v>1.09</v>
      </c>
      <c r="AR25" s="365" t="n">
        <f aca="false">AR24+O25</f>
        <v>170.85</v>
      </c>
    </row>
    <row r="26" customFormat="false" ht="12.95" hidden="false" customHeight="true" outlineLevel="0" collapsed="false">
      <c r="A26" s="186" t="n">
        <v>15</v>
      </c>
      <c r="B26" s="635" t="n">
        <v>6903.16</v>
      </c>
      <c r="C26" s="627" t="n">
        <v>295384</v>
      </c>
      <c r="D26" s="633" t="n">
        <f aca="false">C26-C25</f>
        <v>-1176</v>
      </c>
      <c r="E26" s="627" t="n">
        <f aca="false">C26-151978</f>
        <v>143406</v>
      </c>
      <c r="F26" s="645" t="n">
        <f aca="false">D26/$D$2</f>
        <v>-592.891353667759</v>
      </c>
      <c r="G26" s="646" t="n">
        <v>103</v>
      </c>
      <c r="H26" s="647" t="n">
        <v>0</v>
      </c>
      <c r="I26" s="646" t="n">
        <f aca="false">G26+H26</f>
        <v>103</v>
      </c>
      <c r="J26" s="648" t="n">
        <f aca="false">IF(L26&gt;0,L26,0)</f>
        <v>0</v>
      </c>
      <c r="K26" s="646" t="n">
        <f aca="false">I26+J26</f>
        <v>103</v>
      </c>
      <c r="L26" s="646" t="n">
        <f aca="false">F26-(I26-AF26)</f>
        <v>-48.8913536677589</v>
      </c>
      <c r="M26" s="649" t="n">
        <v>213</v>
      </c>
      <c r="N26" s="258" t="n">
        <f aca="false">1.8299*1.03</f>
        <v>1.884797</v>
      </c>
      <c r="O26" s="646" t="n">
        <f aca="false">(28+32)*1.05</f>
        <v>63</v>
      </c>
      <c r="P26" s="630" t="n">
        <v>0</v>
      </c>
      <c r="Q26" s="206" t="n">
        <f aca="false">2.06*1.02</f>
        <v>2.1012</v>
      </c>
      <c r="R26" s="650" t="n">
        <v>4.2</v>
      </c>
      <c r="S26" s="650" t="n">
        <v>3.03</v>
      </c>
      <c r="T26" s="651" t="n">
        <v>0</v>
      </c>
      <c r="U26" s="646" t="n">
        <v>131</v>
      </c>
      <c r="V26" s="646" t="n">
        <v>62</v>
      </c>
      <c r="W26" s="141" t="n">
        <f aca="false">M26-(N26-AQ26)-O26-P26-Q26-R26-S26-T26+U26+V26-AQ26+O26</f>
        <v>394.784003</v>
      </c>
      <c r="X26" s="115" t="n">
        <v>0</v>
      </c>
      <c r="Y26" s="115" t="n">
        <f aca="false">Y25-(W26-I26)-Q26-R26-AB26-(AO26/1.9835)</f>
        <v>1099.52681068948</v>
      </c>
      <c r="Z26" s="627" t="n">
        <f aca="false">Z25</f>
        <v>701.789765565919</v>
      </c>
      <c r="AA26" s="646" t="n">
        <v>165</v>
      </c>
      <c r="AB26" s="142" t="n">
        <v>1.7</v>
      </c>
      <c r="AC26" s="143" t="n">
        <v>1.3</v>
      </c>
      <c r="AD26" s="652" t="n">
        <v>76</v>
      </c>
      <c r="AE26" s="653" t="n">
        <f aca="false">AE25-AD26</f>
        <v>6862.82307285102</v>
      </c>
      <c r="AF26" s="654" t="n">
        <f aca="false">N26+O26+P26+Q26+R26+S26+T26+W26+AA26+AD26-O26</f>
        <v>647</v>
      </c>
      <c r="AG26" s="646" t="n">
        <f aca="false">IF(L26&lt;0,L26*-1,0)</f>
        <v>48.8913536677589</v>
      </c>
      <c r="AH26" s="646" t="n">
        <f aca="false">AF26+AG26</f>
        <v>695.891353667759</v>
      </c>
      <c r="AI26" s="632" t="n">
        <v>0.05</v>
      </c>
      <c r="AJ26" s="633" t="n">
        <v>84</v>
      </c>
      <c r="AK26" s="634" t="n">
        <v>48</v>
      </c>
      <c r="AL26" s="633" t="n">
        <f aca="false">AL25</f>
        <v>10571</v>
      </c>
      <c r="AM26" s="264"/>
      <c r="AN26" s="261"/>
      <c r="AO26" s="258" t="n">
        <f aca="false">36.1*(X25*1.9835+Y25*1.9835+Z25*1.9835)/E26</f>
        <v>1.04936968769195</v>
      </c>
      <c r="AP26" s="115"/>
      <c r="AQ26" s="171" t="n">
        <v>1.09</v>
      </c>
      <c r="AR26" s="365" t="n">
        <f aca="false">AR25+O26</f>
        <v>233.85</v>
      </c>
    </row>
    <row r="27" customFormat="false" ht="12.95" hidden="false" customHeight="true" outlineLevel="0" collapsed="false">
      <c r="A27" s="186" t="n">
        <v>16</v>
      </c>
      <c r="B27" s="635" t="n">
        <v>6902.87</v>
      </c>
      <c r="C27" s="627" t="n">
        <v>294288</v>
      </c>
      <c r="D27" s="633" t="n">
        <f aca="false">C27-C26</f>
        <v>-1096</v>
      </c>
      <c r="E27" s="627" t="n">
        <f aca="false">C27-151978</f>
        <v>142310</v>
      </c>
      <c r="F27" s="645" t="n">
        <f aca="false">D27/$D$2</f>
        <v>-552.558608520292</v>
      </c>
      <c r="G27" s="646" t="n">
        <v>104</v>
      </c>
      <c r="H27" s="647" t="n">
        <v>0</v>
      </c>
      <c r="I27" s="646" t="n">
        <f aca="false">G27+H27</f>
        <v>104</v>
      </c>
      <c r="J27" s="648" t="n">
        <f aca="false">IF(L27&gt;0,L27,0)</f>
        <v>0</v>
      </c>
      <c r="K27" s="646" t="n">
        <f aca="false">I27+J27</f>
        <v>104</v>
      </c>
      <c r="L27" s="646" t="n">
        <f aca="false">F27-(I27-AF27)</f>
        <v>-50.5586085202923</v>
      </c>
      <c r="M27" s="649" t="n">
        <v>217</v>
      </c>
      <c r="N27" s="258" t="n">
        <f aca="false">1.8299*1.03</f>
        <v>1.884797</v>
      </c>
      <c r="O27" s="646" t="n">
        <f aca="false">(32+34)*1.05</f>
        <v>69.3</v>
      </c>
      <c r="P27" s="630" t="n">
        <v>0</v>
      </c>
      <c r="Q27" s="206" t="n">
        <f aca="false">2.06*1.02</f>
        <v>2.1012</v>
      </c>
      <c r="R27" s="650" t="n">
        <v>4.2</v>
      </c>
      <c r="S27" s="650" t="n">
        <v>2.26</v>
      </c>
      <c r="T27" s="651" t="n">
        <v>0</v>
      </c>
      <c r="U27" s="646" t="n">
        <v>131</v>
      </c>
      <c r="V27" s="646" t="n">
        <v>62</v>
      </c>
      <c r="W27" s="141" t="n">
        <f aca="false">M27-(N27-AQ27)-O27-P27-Q27-R27-S27-T27+U27+V27-AQ27+O27</f>
        <v>399.554003</v>
      </c>
      <c r="X27" s="115" t="n">
        <v>0</v>
      </c>
      <c r="Y27" s="115" t="n">
        <f aca="false">Y26-(W27-I27)-Q27-R27-AB27-(AO27/1.9835)</f>
        <v>795.514664899777</v>
      </c>
      <c r="Z27" s="627" t="n">
        <f aca="false">Z26</f>
        <v>701.789765565919</v>
      </c>
      <c r="AA27" s="646" t="n">
        <v>120</v>
      </c>
      <c r="AB27" s="142" t="n">
        <v>1.7</v>
      </c>
      <c r="AC27" s="143" t="n">
        <v>1.3</v>
      </c>
      <c r="AD27" s="652" t="n">
        <v>76</v>
      </c>
      <c r="AE27" s="653" t="n">
        <f aca="false">AE26-AD27</f>
        <v>6786.82307285102</v>
      </c>
      <c r="AF27" s="654" t="n">
        <f aca="false">N27+O27+P27+Q27+R27+S27+T27+W27+AA27+AD27-O27</f>
        <v>606</v>
      </c>
      <c r="AG27" s="646" t="n">
        <f aca="false">IF(L27&lt;0,L27*-1,0)</f>
        <v>50.5586085202923</v>
      </c>
      <c r="AH27" s="646" t="n">
        <f aca="false">AF27+AG27</f>
        <v>656.558608520292</v>
      </c>
      <c r="AI27" s="632" t="n">
        <v>0.15</v>
      </c>
      <c r="AJ27" s="633" t="n">
        <v>79</v>
      </c>
      <c r="AK27" s="634" t="n">
        <v>54</v>
      </c>
      <c r="AL27" s="633" t="n">
        <f aca="false">AL26</f>
        <v>10571</v>
      </c>
      <c r="AM27" s="264"/>
      <c r="AN27" s="261"/>
      <c r="AO27" s="258" t="n">
        <f aca="false">36.1*(X26*1.9835+Y26*1.9835+Z26*1.9835)/E27</f>
        <v>0.906346023378493</v>
      </c>
      <c r="AP27" s="115"/>
      <c r="AQ27" s="171" t="n">
        <v>1.09</v>
      </c>
      <c r="AR27" s="365" t="n">
        <f aca="false">AR26+O27</f>
        <v>303.15</v>
      </c>
    </row>
    <row r="28" customFormat="false" ht="12.95" hidden="false" customHeight="true" outlineLevel="0" collapsed="false">
      <c r="A28" s="186" t="n">
        <v>17</v>
      </c>
      <c r="B28" s="635" t="n">
        <v>6902.74</v>
      </c>
      <c r="C28" s="627" t="n">
        <v>293799</v>
      </c>
      <c r="D28" s="633" t="n">
        <f aca="false">C28-C27</f>
        <v>-489</v>
      </c>
      <c r="E28" s="627" t="n">
        <f aca="false">C28-151978</f>
        <v>141821</v>
      </c>
      <c r="F28" s="645" t="n">
        <f aca="false">D28/$D$2</f>
        <v>-246.53390471389</v>
      </c>
      <c r="G28" s="646" t="n">
        <v>145</v>
      </c>
      <c r="H28" s="647" t="n">
        <v>0</v>
      </c>
      <c r="I28" s="646" t="n">
        <f aca="false">G28+H28</f>
        <v>145</v>
      </c>
      <c r="J28" s="648" t="n">
        <f aca="false">IF(L28&gt;0,L28,0)</f>
        <v>91.4660952861105</v>
      </c>
      <c r="K28" s="646" t="n">
        <f aca="false">I28+J28</f>
        <v>236.46609528611</v>
      </c>
      <c r="L28" s="646" t="n">
        <f aca="false">F28-(I28-AF28)</f>
        <v>91.4660952861105</v>
      </c>
      <c r="M28" s="649" t="n">
        <v>174</v>
      </c>
      <c r="N28" s="258" t="n">
        <f aca="false">1.8299*1.03</f>
        <v>1.884797</v>
      </c>
      <c r="O28" s="646" t="n">
        <f aca="false">(32+32)*1.05</f>
        <v>67.2</v>
      </c>
      <c r="P28" s="630" t="n">
        <v>0</v>
      </c>
      <c r="Q28" s="206" t="n">
        <f aca="false">2.06*1.02</f>
        <v>2.1012</v>
      </c>
      <c r="R28" s="650" t="n">
        <v>4.2</v>
      </c>
      <c r="S28" s="650" t="n">
        <v>1.87</v>
      </c>
      <c r="T28" s="651" t="n">
        <v>0</v>
      </c>
      <c r="U28" s="646" t="n">
        <v>125</v>
      </c>
      <c r="V28" s="646" t="n">
        <v>62</v>
      </c>
      <c r="W28" s="141" t="n">
        <f aca="false">M28-(N28-AQ28)-O28-P28-Q28-R28-S28-T28+U28+V28-AQ28+O28</f>
        <v>350.944003</v>
      </c>
      <c r="X28" s="115" t="n">
        <v>0</v>
      </c>
      <c r="Y28" s="115" t="n">
        <f aca="false">Y27-(W28-I28)-Q28-R28-AB28-(AO28/1.9835)</f>
        <v>581.188328711181</v>
      </c>
      <c r="Z28" s="627" t="n">
        <f aca="false">Z27</f>
        <v>701.789765565919</v>
      </c>
      <c r="AA28" s="646" t="n">
        <v>63</v>
      </c>
      <c r="AB28" s="142" t="n">
        <v>1.7</v>
      </c>
      <c r="AC28" s="143" t="n">
        <v>1.3</v>
      </c>
      <c r="AD28" s="652" t="n">
        <v>59</v>
      </c>
      <c r="AE28" s="653" t="n">
        <f aca="false">AE27-AD28</f>
        <v>6727.82307285102</v>
      </c>
      <c r="AF28" s="654" t="n">
        <f aca="false">N28+O28+P28+Q28+R28+S28+T28+W28+AA28+AD28-O28</f>
        <v>483</v>
      </c>
      <c r="AG28" s="646" t="n">
        <f aca="false">IF(L28&lt;0,L28*-1,0)</f>
        <v>0</v>
      </c>
      <c r="AH28" s="646" t="n">
        <f aca="false">AF28+AG28</f>
        <v>483</v>
      </c>
      <c r="AI28" s="632" t="n">
        <v>0.14</v>
      </c>
      <c r="AJ28" s="633" t="n">
        <v>65</v>
      </c>
      <c r="AK28" s="634" t="n">
        <v>46</v>
      </c>
      <c r="AL28" s="633" t="n">
        <f aca="false">AL27</f>
        <v>10571</v>
      </c>
      <c r="AM28" s="264"/>
      <c r="AN28" s="261"/>
      <c r="AO28" s="258" t="n">
        <f aca="false">36.1*(X27*1.9835+Y27*1.9835+Z27*1.9835)/E28</f>
        <v>0.755977679579303</v>
      </c>
      <c r="AP28" s="115"/>
      <c r="AQ28" s="171" t="n">
        <v>1.09</v>
      </c>
      <c r="AR28" s="365" t="n">
        <f aca="false">AR27+O28</f>
        <v>370.35</v>
      </c>
    </row>
    <row r="29" customFormat="false" ht="12.95" hidden="false" customHeight="true" outlineLevel="0" collapsed="false">
      <c r="A29" s="186" t="n">
        <v>18</v>
      </c>
      <c r="B29" s="635" t="n">
        <v>6902.61</v>
      </c>
      <c r="C29" s="627" t="n">
        <v>293310</v>
      </c>
      <c r="D29" s="633" t="n">
        <f aca="false">C29-C28</f>
        <v>-489</v>
      </c>
      <c r="E29" s="627" t="n">
        <f aca="false">C29-151978</f>
        <v>141332</v>
      </c>
      <c r="F29" s="645" t="n">
        <f aca="false">D29/$D$2</f>
        <v>-246.53390471389</v>
      </c>
      <c r="G29" s="646" t="n">
        <v>248</v>
      </c>
      <c r="H29" s="647" t="n">
        <v>0</v>
      </c>
      <c r="I29" s="646" t="n">
        <f aca="false">G29+H29</f>
        <v>248</v>
      </c>
      <c r="J29" s="648" t="n">
        <f aca="false">IF(L29&gt;0,L29,0)</f>
        <v>0</v>
      </c>
      <c r="K29" s="646" t="n">
        <f aca="false">I29+J29</f>
        <v>248</v>
      </c>
      <c r="L29" s="646" t="n">
        <f aca="false">F29-(I29-AF29)</f>
        <v>-46.5339047138895</v>
      </c>
      <c r="M29" s="649" t="n">
        <v>161</v>
      </c>
      <c r="N29" s="258" t="n">
        <f aca="false">1.8299*1.03</f>
        <v>1.884797</v>
      </c>
      <c r="O29" s="646" t="n">
        <f aca="false">(28+27)*1.05</f>
        <v>57.75</v>
      </c>
      <c r="P29" s="630" t="n">
        <v>0</v>
      </c>
      <c r="Q29" s="206" t="n">
        <f aca="false">2.06*1.02</f>
        <v>2.1012</v>
      </c>
      <c r="R29" s="650" t="n">
        <v>4.2</v>
      </c>
      <c r="S29" s="650" t="n">
        <v>4.18</v>
      </c>
      <c r="T29" s="651" t="n">
        <v>0</v>
      </c>
      <c r="U29" s="646" t="n">
        <v>121</v>
      </c>
      <c r="V29" s="646" t="n">
        <v>62</v>
      </c>
      <c r="W29" s="141" t="n">
        <f aca="false">M29-(N29-AQ29)-O29-P29-Q29-R29-S29-T29+U29+V29-AQ29+O29</f>
        <v>331.634003</v>
      </c>
      <c r="X29" s="115" t="n">
        <v>0</v>
      </c>
      <c r="Y29" s="115" t="n">
        <f aca="false">Y28-(W29-I29)-Q29-R29-AB29-(AO29/1.9835)</f>
        <v>489.225418545052</v>
      </c>
      <c r="Z29" s="627" t="n">
        <f aca="false">Z28</f>
        <v>701.789765565919</v>
      </c>
      <c r="AA29" s="646" t="n">
        <v>71</v>
      </c>
      <c r="AB29" s="142" t="n">
        <v>1.7</v>
      </c>
      <c r="AC29" s="143" t="n">
        <v>1.3</v>
      </c>
      <c r="AD29" s="652" t="n">
        <v>33</v>
      </c>
      <c r="AE29" s="653" t="n">
        <f aca="false">AE28-AD29</f>
        <v>6694.82307285102</v>
      </c>
      <c r="AF29" s="654" t="n">
        <f aca="false">N29+O29+P29+Q29+R29+S29+T29+W29+AA29+AD29-O29</f>
        <v>448</v>
      </c>
      <c r="AG29" s="646" t="n">
        <f aca="false">IF(L29&lt;0,L29*-1,0)</f>
        <v>46.5339047138895</v>
      </c>
      <c r="AH29" s="646" t="n">
        <f aca="false">AF29+AG29</f>
        <v>494.53390471389</v>
      </c>
      <c r="AI29" s="632" t="n">
        <v>0</v>
      </c>
      <c r="AJ29" s="633" t="n">
        <v>70</v>
      </c>
      <c r="AK29" s="634" t="n">
        <v>41</v>
      </c>
      <c r="AL29" s="633" t="n">
        <f aca="false">AL28</f>
        <v>10571</v>
      </c>
      <c r="AM29" s="264"/>
      <c r="AN29" s="261"/>
      <c r="AO29" s="258" t="n">
        <f aca="false">36.1*(X28*1.9835+Y28*1.9835+Z28*1.9835)/E29</f>
        <v>0.650007164017706</v>
      </c>
      <c r="AP29" s="115"/>
      <c r="AQ29" s="171" t="n">
        <v>1.09</v>
      </c>
      <c r="AR29" s="365" t="n">
        <f aca="false">AR28+O29</f>
        <v>428.1</v>
      </c>
    </row>
    <row r="30" customFormat="false" ht="12.95" hidden="false" customHeight="true" outlineLevel="0" collapsed="false">
      <c r="A30" s="186" t="n">
        <v>19</v>
      </c>
      <c r="B30" s="635" t="n">
        <v>6902.4</v>
      </c>
      <c r="C30" s="627" t="n">
        <v>292520</v>
      </c>
      <c r="D30" s="633" t="n">
        <f aca="false">C30-C29</f>
        <v>-790</v>
      </c>
      <c r="E30" s="627" t="n">
        <f aca="false">C30-151978</f>
        <v>140542</v>
      </c>
      <c r="F30" s="645" t="n">
        <f aca="false">D30/$D$2</f>
        <v>-398.285858331233</v>
      </c>
      <c r="G30" s="646" t="n">
        <v>183</v>
      </c>
      <c r="H30" s="647" t="n">
        <v>0</v>
      </c>
      <c r="I30" s="646" t="n">
        <f aca="false">G30+H30</f>
        <v>183</v>
      </c>
      <c r="J30" s="648" t="n">
        <f aca="false">IF(L30&gt;0,L30,0)</f>
        <v>0</v>
      </c>
      <c r="K30" s="646" t="n">
        <f aca="false">I30+J30</f>
        <v>183</v>
      </c>
      <c r="L30" s="646" t="n">
        <f aca="false">F30-(I30-AF30)</f>
        <v>-80.2858583312325</v>
      </c>
      <c r="M30" s="649" t="n">
        <v>194</v>
      </c>
      <c r="N30" s="258" t="n">
        <f aca="false">1.8299*1.03</f>
        <v>1.884797</v>
      </c>
      <c r="O30" s="646" t="n">
        <f aca="false">(26+32)*1.05</f>
        <v>60.9</v>
      </c>
      <c r="P30" s="630" t="n">
        <v>0</v>
      </c>
      <c r="Q30" s="206" t="n">
        <f aca="false">2.06*1.02</f>
        <v>2.1012</v>
      </c>
      <c r="R30" s="650" t="n">
        <v>4.2</v>
      </c>
      <c r="S30" s="650" t="n">
        <v>3</v>
      </c>
      <c r="T30" s="651" t="n">
        <v>0</v>
      </c>
      <c r="U30" s="646" t="n">
        <v>113</v>
      </c>
      <c r="V30" s="646" t="n">
        <v>61</v>
      </c>
      <c r="W30" s="141" t="n">
        <f aca="false">M30-(N30-AQ30)-O30-P30-Q30-R30-S30-T30+U30+V30-AQ30+O30</f>
        <v>356.814003</v>
      </c>
      <c r="X30" s="115" t="n">
        <v>0</v>
      </c>
      <c r="Y30" s="115" t="n">
        <f aca="false">Y29-(W30-I30)-Q30-R30-AB30-(AO30/1.9835)</f>
        <v>307.104288148641</v>
      </c>
      <c r="Z30" s="627" t="n">
        <f aca="false">Z29</f>
        <v>701.789765565919</v>
      </c>
      <c r="AA30" s="646" t="n">
        <v>100</v>
      </c>
      <c r="AB30" s="142" t="n">
        <v>1.7</v>
      </c>
      <c r="AC30" s="143" t="n">
        <v>1.3</v>
      </c>
      <c r="AD30" s="652" t="n">
        <v>33</v>
      </c>
      <c r="AE30" s="653" t="n">
        <f aca="false">AE29-AD30</f>
        <v>6661.82307285102</v>
      </c>
      <c r="AF30" s="654" t="n">
        <f aca="false">N30+O30+P30+Q30+R30+S30+T30+W30+AA30+AD30-O30</f>
        <v>501</v>
      </c>
      <c r="AG30" s="646" t="n">
        <f aca="false">IF(L30&lt;0,L30*-1,0)</f>
        <v>80.2858583312325</v>
      </c>
      <c r="AH30" s="646" t="n">
        <f aca="false">AF30+AG30</f>
        <v>581.285858331233</v>
      </c>
      <c r="AI30" s="632" t="n">
        <v>0</v>
      </c>
      <c r="AJ30" s="633" t="n">
        <v>76</v>
      </c>
      <c r="AK30" s="634" t="n">
        <v>38</v>
      </c>
      <c r="AL30" s="633" t="n">
        <f aca="false">AL29</f>
        <v>10571</v>
      </c>
      <c r="AM30" s="264"/>
      <c r="AN30" s="261"/>
      <c r="AO30" s="258" t="n">
        <f aca="false">36.1*(X29*1.9835+Y29*1.9835+Z29*1.9835)/E30</f>
        <v>0.606806990781378</v>
      </c>
      <c r="AP30" s="115"/>
      <c r="AQ30" s="171" t="n">
        <v>1.09</v>
      </c>
      <c r="AR30" s="365" t="n">
        <f aca="false">AR29+O30</f>
        <v>489</v>
      </c>
    </row>
    <row r="31" customFormat="false" ht="12.95" hidden="false" customHeight="true" outlineLevel="0" collapsed="false">
      <c r="A31" s="186" t="n">
        <v>20</v>
      </c>
      <c r="B31" s="635" t="n">
        <v>6902.24</v>
      </c>
      <c r="C31" s="627" t="n">
        <v>291918</v>
      </c>
      <c r="D31" s="633" t="n">
        <f aca="false">C31-C30</f>
        <v>-602</v>
      </c>
      <c r="E31" s="627" t="n">
        <f aca="false">C31-151978</f>
        <v>139940</v>
      </c>
      <c r="F31" s="645" t="n">
        <f aca="false">D31/$D$2</f>
        <v>-303.503907234686</v>
      </c>
      <c r="G31" s="646" t="n">
        <v>155</v>
      </c>
      <c r="H31" s="647" t="n">
        <v>0</v>
      </c>
      <c r="I31" s="646" t="n">
        <f aca="false">G31+H31</f>
        <v>155</v>
      </c>
      <c r="J31" s="648" t="n">
        <f aca="false">IF(L31&gt;0,L31,0)</f>
        <v>0</v>
      </c>
      <c r="K31" s="646" t="n">
        <f aca="false">I31+J31</f>
        <v>155</v>
      </c>
      <c r="L31" s="646" t="n">
        <f aca="false">F31-(I31-AF31)</f>
        <v>-7.50390723468615</v>
      </c>
      <c r="M31" s="649" t="n">
        <v>168</v>
      </c>
      <c r="N31" s="258" t="n">
        <f aca="false">1.8299*1.03</f>
        <v>1.884797</v>
      </c>
      <c r="O31" s="646" t="n">
        <f aca="false">(29+31)*1.05</f>
        <v>63</v>
      </c>
      <c r="P31" s="630" t="n">
        <v>0</v>
      </c>
      <c r="Q31" s="206" t="n">
        <f aca="false">2.06*1.02</f>
        <v>2.1012</v>
      </c>
      <c r="R31" s="650" t="n">
        <v>4.2</v>
      </c>
      <c r="S31" s="650" t="n">
        <v>0.39</v>
      </c>
      <c r="T31" s="651" t="n">
        <v>0</v>
      </c>
      <c r="U31" s="646" t="n">
        <v>110</v>
      </c>
      <c r="V31" s="646" t="n">
        <v>62</v>
      </c>
      <c r="W31" s="141" t="n">
        <f aca="false">M31-(N31-AQ31)-O31-P31-Q31-R31-S31-T31+U31+V31-AQ31+O31</f>
        <v>331.424003</v>
      </c>
      <c r="X31" s="115" t="n">
        <v>0</v>
      </c>
      <c r="Y31" s="115" t="n">
        <f aca="false">Y30-(W31-I31)-Q31-R31-AB31-(AO31/1.9835)</f>
        <v>122.418823069613</v>
      </c>
      <c r="Z31" s="627" t="n">
        <f aca="false">Z30</f>
        <v>701.789765565919</v>
      </c>
      <c r="AA31" s="646" t="n">
        <v>78</v>
      </c>
      <c r="AB31" s="142" t="n">
        <v>1.7</v>
      </c>
      <c r="AC31" s="143" t="n">
        <v>1.3</v>
      </c>
      <c r="AD31" s="652" t="n">
        <v>33</v>
      </c>
      <c r="AE31" s="653" t="n">
        <f aca="false">AE30-AD31</f>
        <v>6628.82307285102</v>
      </c>
      <c r="AF31" s="654" t="n">
        <f aca="false">N31+O31+P31+Q31+R31+S31+T31+W31+AA31+AD31-O31</f>
        <v>451</v>
      </c>
      <c r="AG31" s="646" t="n">
        <f aca="false">IF(L31&lt;0,L31*-1,0)</f>
        <v>7.50390723468615</v>
      </c>
      <c r="AH31" s="646" t="n">
        <f aca="false">AF31+AG31</f>
        <v>458.503907234686</v>
      </c>
      <c r="AI31" s="632" t="n">
        <v>0</v>
      </c>
      <c r="AJ31" s="633" t="n">
        <v>76</v>
      </c>
      <c r="AK31" s="634" t="n">
        <v>48</v>
      </c>
      <c r="AL31" s="633" t="n">
        <f aca="false">AL30</f>
        <v>10571</v>
      </c>
      <c r="AM31" s="264"/>
      <c r="AN31" s="261"/>
      <c r="AO31" s="258" t="n">
        <f aca="false">36.1*(X30*1.9835+Y30*1.9835+Z30*1.9835)/E31</f>
        <v>0.516229833750865</v>
      </c>
      <c r="AP31" s="115"/>
      <c r="AQ31" s="171" t="n">
        <v>1.09</v>
      </c>
      <c r="AR31" s="365" t="n">
        <f aca="false">AR30+O31</f>
        <v>552</v>
      </c>
    </row>
    <row r="32" customFormat="false" ht="12.95" hidden="false" customHeight="true" outlineLevel="0" collapsed="false">
      <c r="A32" s="186" t="n">
        <v>21</v>
      </c>
      <c r="B32" s="635" t="n">
        <v>6902.07</v>
      </c>
      <c r="C32" s="627" t="n">
        <v>291278</v>
      </c>
      <c r="D32" s="633" t="n">
        <f aca="false">C32-C31</f>
        <v>-640</v>
      </c>
      <c r="E32" s="627" t="n">
        <f aca="false">C32-151978</f>
        <v>139300</v>
      </c>
      <c r="F32" s="645" t="n">
        <f aca="false">D32/$D$2</f>
        <v>-322.661961179733</v>
      </c>
      <c r="G32" s="646" t="n">
        <v>146</v>
      </c>
      <c r="H32" s="647" t="n">
        <v>0</v>
      </c>
      <c r="I32" s="646" t="n">
        <f aca="false">G32+H32</f>
        <v>146</v>
      </c>
      <c r="J32" s="648" t="n">
        <f aca="false">IF(L32&gt;0,L32,0)</f>
        <v>0</v>
      </c>
      <c r="K32" s="646" t="n">
        <f aca="false">I32+J32</f>
        <v>146</v>
      </c>
      <c r="L32" s="646" t="n">
        <f aca="false">F32-(I32-AF32)</f>
        <v>-18.6619611797328</v>
      </c>
      <c r="M32" s="649" t="n">
        <v>186</v>
      </c>
      <c r="N32" s="258" t="n">
        <f aca="false">1.8299*1.03</f>
        <v>1.884797</v>
      </c>
      <c r="O32" s="646" t="n">
        <f aca="false">(34+33)*1.05</f>
        <v>70.35</v>
      </c>
      <c r="P32" s="630" t="n">
        <v>0</v>
      </c>
      <c r="Q32" s="206" t="n">
        <f aca="false">2.06*1.02</f>
        <v>2.1012</v>
      </c>
      <c r="R32" s="650" t="n">
        <v>4.2</v>
      </c>
      <c r="S32" s="650" t="n">
        <v>2.71</v>
      </c>
      <c r="T32" s="651" t="n">
        <v>0</v>
      </c>
      <c r="U32" s="646" t="n">
        <v>111</v>
      </c>
      <c r="V32" s="646" t="n">
        <v>61</v>
      </c>
      <c r="W32" s="141" t="n">
        <f aca="false">M32-(N32-AQ32)-O32-P32-Q32-R32-S32-T32+U32+V32-AQ32+O32</f>
        <v>347.104003</v>
      </c>
      <c r="X32" s="115" t="n">
        <v>0</v>
      </c>
      <c r="Y32" s="115" t="n">
        <f aca="false">Y31-(W32-I32)-Q32-R32-AB32-(AO32/1.9835)+89</f>
        <v>2.10002401756917</v>
      </c>
      <c r="Z32" s="627" t="n">
        <f aca="false">Z31-(W32-I32)-Q32-R32-AB32-(AO32/1.9835)-89</f>
        <v>403.470966513875</v>
      </c>
      <c r="AA32" s="646" t="n">
        <v>59</v>
      </c>
      <c r="AB32" s="142" t="n">
        <v>1.7</v>
      </c>
      <c r="AC32" s="143" t="n">
        <v>1.3</v>
      </c>
      <c r="AD32" s="652" t="n">
        <v>33</v>
      </c>
      <c r="AE32" s="653" t="n">
        <f aca="false">AE31-AD32</f>
        <v>6595.82307285102</v>
      </c>
      <c r="AF32" s="654" t="n">
        <f aca="false">N32+O32+P32+Q32+R32+S32+T32+W32+AA32+AD32-O32</f>
        <v>450</v>
      </c>
      <c r="AG32" s="646" t="n">
        <f aca="false">IF(L32&lt;0,L32*-1,0)</f>
        <v>18.6619611797328</v>
      </c>
      <c r="AH32" s="646" t="n">
        <f aca="false">AF32+AG32</f>
        <v>468.661961179733</v>
      </c>
      <c r="AI32" s="632" t="n">
        <v>0</v>
      </c>
      <c r="AJ32" s="633" t="n">
        <v>76</v>
      </c>
      <c r="AK32" s="634" t="n">
        <v>42</v>
      </c>
      <c r="AL32" s="633" t="n">
        <f aca="false">AL31</f>
        <v>10571</v>
      </c>
      <c r="AM32" s="264"/>
      <c r="AN32" s="261"/>
      <c r="AO32" s="258" t="n">
        <f aca="false">36.1*(X31*1.9835+Y31*1.9835+Z31*1.9835)/E32</f>
        <v>0.423667769229466</v>
      </c>
      <c r="AP32" s="115"/>
      <c r="AQ32" s="171" t="n">
        <v>1.09</v>
      </c>
      <c r="AR32" s="365" t="n">
        <f aca="false">AR31+O32</f>
        <v>622.35</v>
      </c>
    </row>
    <row r="33" customFormat="false" ht="12.95" hidden="false" customHeight="true" outlineLevel="0" collapsed="false">
      <c r="A33" s="186" t="n">
        <v>22</v>
      </c>
      <c r="B33" s="635" t="n">
        <v>6901.87</v>
      </c>
      <c r="C33" s="627" t="n">
        <v>290529</v>
      </c>
      <c r="D33" s="633" t="n">
        <f aca="false">C33-C32</f>
        <v>-749</v>
      </c>
      <c r="E33" s="627" t="n">
        <f aca="false">C33-151978</f>
        <v>138551</v>
      </c>
      <c r="F33" s="645" t="n">
        <f aca="false">D33/$D$2</f>
        <v>-377.615326443156</v>
      </c>
      <c r="G33" s="646" t="n">
        <v>140</v>
      </c>
      <c r="H33" s="647" t="n">
        <v>0</v>
      </c>
      <c r="I33" s="646" t="n">
        <f aca="false">G33+H33</f>
        <v>140</v>
      </c>
      <c r="J33" s="648" t="n">
        <f aca="false">IF(L33&gt;0,L33,0)</f>
        <v>0</v>
      </c>
      <c r="K33" s="646" t="n">
        <f aca="false">I33+J33</f>
        <v>140</v>
      </c>
      <c r="L33" s="646" t="n">
        <f aca="false">F33-(I33-AF33)</f>
        <v>-57.6153264431559</v>
      </c>
      <c r="M33" s="649" t="n">
        <v>194</v>
      </c>
      <c r="N33" s="258" t="n">
        <f aca="false">1.8299*1.03</f>
        <v>1.884797</v>
      </c>
      <c r="O33" s="646" t="n">
        <f aca="false">(32+31)*1.05</f>
        <v>66.15</v>
      </c>
      <c r="P33" s="630" t="n">
        <v>0</v>
      </c>
      <c r="Q33" s="206" t="n">
        <f aca="false">2.06*1.02</f>
        <v>2.1012</v>
      </c>
      <c r="R33" s="650" t="n">
        <v>4.2</v>
      </c>
      <c r="S33" s="650" t="n">
        <v>0.85</v>
      </c>
      <c r="T33" s="651" t="n">
        <v>0</v>
      </c>
      <c r="U33" s="646" t="n">
        <v>110</v>
      </c>
      <c r="V33" s="646" t="n">
        <v>60</v>
      </c>
      <c r="W33" s="141" t="n">
        <f aca="false">M33-(N33-AQ33)-O33-P33-Q33-R33-S33-T33+U33+V33-AQ33+O33</f>
        <v>354.964003</v>
      </c>
      <c r="X33" s="115" t="n">
        <v>0</v>
      </c>
      <c r="Y33" s="115" t="n">
        <v>0</v>
      </c>
      <c r="Z33" s="627" t="n">
        <f aca="false">Z32-(W33-I33)-Q33-R33-AB33-(AO33/1.9835)</f>
        <v>180.400090420514</v>
      </c>
      <c r="AA33" s="646" t="n">
        <v>63</v>
      </c>
      <c r="AB33" s="142" t="n">
        <v>1.7</v>
      </c>
      <c r="AC33" s="143" t="n">
        <v>1.3</v>
      </c>
      <c r="AD33" s="652" t="n">
        <v>33</v>
      </c>
      <c r="AE33" s="653" t="n">
        <f aca="false">AE32-AD33</f>
        <v>6562.82307285102</v>
      </c>
      <c r="AF33" s="654" t="n">
        <f aca="false">N33+O33+P33+Q33+R33+S33+T33+W33+AA33+AD33-O33</f>
        <v>460</v>
      </c>
      <c r="AG33" s="646" t="n">
        <f aca="false">IF(L33&lt;0,L33*-1,0)</f>
        <v>57.6153264431559</v>
      </c>
      <c r="AH33" s="646" t="n">
        <f aca="false">AF33+AG33</f>
        <v>517.615326443156</v>
      </c>
      <c r="AI33" s="632" t="n">
        <v>0.03</v>
      </c>
      <c r="AJ33" s="633" t="n">
        <v>79</v>
      </c>
      <c r="AK33" s="634" t="n">
        <v>45</v>
      </c>
      <c r="AL33" s="633" t="n">
        <f aca="false">AL32</f>
        <v>10571</v>
      </c>
      <c r="AM33" s="264"/>
      <c r="AN33" s="261"/>
      <c r="AO33" s="258" t="n">
        <f aca="false">36.1*(X32*1.9835+Y32*1.9835+Z32*1.9835)/E33</f>
        <v>0.209602580680473</v>
      </c>
      <c r="AP33" s="115"/>
      <c r="AQ33" s="171" t="n">
        <v>1.09</v>
      </c>
      <c r="AR33" s="365" t="n">
        <f aca="false">AR32+O33</f>
        <v>688.5</v>
      </c>
    </row>
    <row r="34" customFormat="false" ht="12.95" hidden="false" customHeight="true" outlineLevel="0" collapsed="false">
      <c r="A34" s="186" t="n">
        <v>23</v>
      </c>
      <c r="B34" s="635" t="n">
        <v>6902.06</v>
      </c>
      <c r="C34" s="627" t="n">
        <v>291240</v>
      </c>
      <c r="D34" s="633" t="n">
        <f aca="false">C34-C33</f>
        <v>711</v>
      </c>
      <c r="E34" s="627" t="n">
        <f aca="false">C34-151978</f>
        <v>139262</v>
      </c>
      <c r="F34" s="645" t="n">
        <f aca="false">D34/$D$2</f>
        <v>358.457272498109</v>
      </c>
      <c r="G34" s="646" t="n">
        <v>489</v>
      </c>
      <c r="H34" s="647" t="n">
        <v>0.01</v>
      </c>
      <c r="I34" s="646" t="n">
        <f aca="false">G34+H34</f>
        <v>489.01</v>
      </c>
      <c r="J34" s="648" t="n">
        <f aca="false">IF(L34&gt;0,L34,0)</f>
        <v>223.447272498109</v>
      </c>
      <c r="K34" s="646" t="n">
        <f aca="false">I34+J34</f>
        <v>712.457272498109</v>
      </c>
      <c r="L34" s="646" t="n">
        <f aca="false">F34-(I34-AF34)</f>
        <v>223.447272498109</v>
      </c>
      <c r="M34" s="649" t="n">
        <v>122</v>
      </c>
      <c r="N34" s="258" t="n">
        <f aca="false">1.8299*1.03</f>
        <v>1.884797</v>
      </c>
      <c r="O34" s="646" t="n">
        <f aca="false">(13+12)*1.05</f>
        <v>26.25</v>
      </c>
      <c r="P34" s="630" t="n">
        <v>0</v>
      </c>
      <c r="Q34" s="206" t="n">
        <f aca="false">2.06*1.02</f>
        <v>2.1012</v>
      </c>
      <c r="R34" s="650" t="n">
        <v>4.04</v>
      </c>
      <c r="S34" s="650" t="n">
        <v>0</v>
      </c>
      <c r="T34" s="651" t="n">
        <v>0</v>
      </c>
      <c r="U34" s="646" t="n">
        <v>110</v>
      </c>
      <c r="V34" s="646" t="n">
        <v>58</v>
      </c>
      <c r="W34" s="141" t="n">
        <f aca="false">M34-(N34-AQ34)-O34-P34-Q34-R34-S34-T34+U34+V34-AQ34+O34</f>
        <v>281.974003</v>
      </c>
      <c r="X34" s="115" t="n">
        <v>0</v>
      </c>
      <c r="Y34" s="115" t="n">
        <v>0</v>
      </c>
      <c r="Z34" s="627" t="n">
        <f aca="false">Z33-O34-(AO34/1.9835)</f>
        <v>154.103326455727</v>
      </c>
      <c r="AA34" s="646" t="n">
        <v>31</v>
      </c>
      <c r="AB34" s="142" t="n">
        <v>1.7</v>
      </c>
      <c r="AC34" s="143" t="n">
        <v>1.3</v>
      </c>
      <c r="AD34" s="652" t="n">
        <v>33</v>
      </c>
      <c r="AE34" s="653" t="n">
        <f aca="false">AE33-AD34</f>
        <v>6529.82307285102</v>
      </c>
      <c r="AF34" s="654" t="n">
        <f aca="false">N34+O34+P34+Q34+R34+S34+T34+W34+AA34+AD34-O34</f>
        <v>354</v>
      </c>
      <c r="AG34" s="646" t="n">
        <f aca="false">IF(L34&lt;0,L34*-1,0)</f>
        <v>0</v>
      </c>
      <c r="AH34" s="646" t="n">
        <f aca="false">AF34+AG34</f>
        <v>354</v>
      </c>
      <c r="AI34" s="632" t="n">
        <v>1.24</v>
      </c>
      <c r="AJ34" s="633" t="n">
        <v>65</v>
      </c>
      <c r="AK34" s="634" t="n">
        <v>46</v>
      </c>
      <c r="AL34" s="633" t="n">
        <f aca="false">AL33</f>
        <v>10571</v>
      </c>
      <c r="AM34" s="264"/>
      <c r="AN34" s="261" t="n">
        <v>112.4</v>
      </c>
      <c r="AO34" s="258" t="n">
        <f aca="false">36.1*(X33*1.9835+Y33*1.9835+Z33*1.9835+AN33*1.9835)/E34</f>
        <v>0.0927563241552049</v>
      </c>
      <c r="AP34" s="115"/>
      <c r="AQ34" s="171" t="n">
        <v>1.09</v>
      </c>
      <c r="AR34" s="365" t="n">
        <f aca="false">AR33+O34</f>
        <v>714.75</v>
      </c>
    </row>
    <row r="35" customFormat="false" ht="12.95" hidden="false" customHeight="true" outlineLevel="0" collapsed="false">
      <c r="A35" s="186" t="n">
        <v>24</v>
      </c>
      <c r="B35" s="635" t="n">
        <v>6902.43</v>
      </c>
      <c r="C35" s="627" t="n">
        <v>292632</v>
      </c>
      <c r="D35" s="633" t="n">
        <f aca="false">C35-C34</f>
        <v>1392</v>
      </c>
      <c r="E35" s="627" t="n">
        <f aca="false">C35-151978</f>
        <v>140654</v>
      </c>
      <c r="F35" s="645" t="n">
        <f aca="false">D35/$D$2</f>
        <v>701.789765565919</v>
      </c>
      <c r="G35" s="646" t="n">
        <v>947</v>
      </c>
      <c r="H35" s="647" t="n">
        <v>0</v>
      </c>
      <c r="I35" s="646" t="n">
        <f aca="false">G35+H35</f>
        <v>947</v>
      </c>
      <c r="J35" s="648" t="n">
        <f aca="false">IF(L35&gt;0,L35,0)</f>
        <v>49.7897655659189</v>
      </c>
      <c r="K35" s="646" t="n">
        <f aca="false">I35+J35</f>
        <v>996.789765565919</v>
      </c>
      <c r="L35" s="646" t="n">
        <f aca="false">F35-(I35-AF35)</f>
        <v>49.7897655659189</v>
      </c>
      <c r="M35" s="649" t="n">
        <v>84</v>
      </c>
      <c r="N35" s="258" t="n">
        <f aca="false">1.8299*1.03</f>
        <v>1.884797</v>
      </c>
      <c r="O35" s="646" t="n">
        <f aca="false">0.23*1.05</f>
        <v>0.2415</v>
      </c>
      <c r="P35" s="630" t="n">
        <v>0</v>
      </c>
      <c r="Q35" s="206" t="n">
        <f aca="false">2.06*1.02</f>
        <v>2.1012</v>
      </c>
      <c r="R35" s="650" t="n">
        <v>4.2</v>
      </c>
      <c r="S35" s="650" t="n">
        <v>1.89</v>
      </c>
      <c r="T35" s="651" t="n">
        <v>0</v>
      </c>
      <c r="U35" s="646" t="n">
        <v>106</v>
      </c>
      <c r="V35" s="646" t="n">
        <v>55</v>
      </c>
      <c r="W35" s="141" t="n">
        <f aca="false">M35-(N35-AQ35)-O35-P35-Q35-R35-S35-T35+U35+V35-AQ35+O35</f>
        <v>234.924003</v>
      </c>
      <c r="X35" s="115" t="n">
        <v>0</v>
      </c>
      <c r="Y35" s="115" t="n">
        <v>0</v>
      </c>
      <c r="Z35" s="627" t="n">
        <f aca="false">Z34-O35-(AO35/1.9835)</f>
        <v>153.793426196331</v>
      </c>
      <c r="AA35" s="646" t="n">
        <v>17</v>
      </c>
      <c r="AB35" s="142" t="n">
        <v>1.7</v>
      </c>
      <c r="AC35" s="143" t="n">
        <v>1.3</v>
      </c>
      <c r="AD35" s="652" t="n">
        <v>33</v>
      </c>
      <c r="AE35" s="653" t="n">
        <f aca="false">AE34-AD35</f>
        <v>6496.82307285102</v>
      </c>
      <c r="AF35" s="654" t="n">
        <f aca="false">N35+O35+P35+Q35+R35+S35+T35+W35+AA35+AD35-O35</f>
        <v>295</v>
      </c>
      <c r="AG35" s="646" t="n">
        <f aca="false">IF(L35&lt;0,L35*-1,0)</f>
        <v>0</v>
      </c>
      <c r="AH35" s="646" t="n">
        <f aca="false">AF35+AG35</f>
        <v>295</v>
      </c>
      <c r="AI35" s="632" t="n">
        <v>0</v>
      </c>
      <c r="AJ35" s="633" t="n">
        <v>58</v>
      </c>
      <c r="AK35" s="634" t="n">
        <v>41</v>
      </c>
      <c r="AL35" s="633" t="n">
        <f aca="false">AL34</f>
        <v>10571</v>
      </c>
      <c r="AM35" s="264"/>
      <c r="AN35" s="261" t="n">
        <f aca="false">AN34+178.5</f>
        <v>290.9</v>
      </c>
      <c r="AO35" s="258" t="n">
        <f aca="false">36.1*(X34*1.9835+Y34*1.9835+Z34*1.9835+AN34*1.9835)/E35</f>
        <v>0.135671914511497</v>
      </c>
      <c r="AP35" s="115"/>
      <c r="AQ35" s="171" t="n">
        <v>1.09</v>
      </c>
      <c r="AR35" s="365" t="n">
        <f aca="false">AR34+O35</f>
        <v>714.9915</v>
      </c>
    </row>
    <row r="36" customFormat="false" ht="12.95" hidden="false" customHeight="true" outlineLevel="0" collapsed="false">
      <c r="A36" s="186" t="n">
        <v>25</v>
      </c>
      <c r="B36" s="635" t="n">
        <v>6902.5</v>
      </c>
      <c r="C36" s="627" t="n">
        <v>292896</v>
      </c>
      <c r="D36" s="633" t="n">
        <f aca="false">C36-C35</f>
        <v>264</v>
      </c>
      <c r="E36" s="627" t="n">
        <f aca="false">C36-151978</f>
        <v>140918</v>
      </c>
      <c r="F36" s="645" t="n">
        <f aca="false">D36/$D$2</f>
        <v>133.09805898664</v>
      </c>
      <c r="G36" s="646" t="n">
        <v>460</v>
      </c>
      <c r="H36" s="647" t="n">
        <v>0</v>
      </c>
      <c r="I36" s="646" t="n">
        <f aca="false">G36+H36</f>
        <v>460</v>
      </c>
      <c r="J36" s="648" t="n">
        <f aca="false">IF(L36&gt;0,L36,0)</f>
        <v>0</v>
      </c>
      <c r="K36" s="646" t="n">
        <f aca="false">I36+J36</f>
        <v>460</v>
      </c>
      <c r="L36" s="646" t="n">
        <f aca="false">F36-(I36-AF36)</f>
        <v>-43.9019410133602</v>
      </c>
      <c r="M36" s="649" t="n">
        <v>83</v>
      </c>
      <c r="N36" s="258" t="n">
        <f aca="false">1.8299*1.03</f>
        <v>1.884797</v>
      </c>
      <c r="O36" s="646" t="n">
        <f aca="false">0.69*1.05</f>
        <v>0.7245</v>
      </c>
      <c r="P36" s="630" t="n">
        <v>0</v>
      </c>
      <c r="Q36" s="206" t="n">
        <f aca="false">2.06*1.02</f>
        <v>2.1012</v>
      </c>
      <c r="R36" s="650" t="n">
        <v>3.87</v>
      </c>
      <c r="S36" s="650" t="n">
        <v>0</v>
      </c>
      <c r="T36" s="651" t="n">
        <v>0</v>
      </c>
      <c r="U36" s="646" t="n">
        <v>99</v>
      </c>
      <c r="V36" s="646" t="n">
        <v>55</v>
      </c>
      <c r="W36" s="141" t="n">
        <f aca="false">M36-(N36-AQ36)-O36-P36-Q36-R36-S36-T36+U36+V36-AQ36+O36</f>
        <v>229.144003</v>
      </c>
      <c r="X36" s="115" t="n">
        <v>0</v>
      </c>
      <c r="Y36" s="115" t="n">
        <v>0</v>
      </c>
      <c r="Z36" s="627" t="n">
        <f aca="false">Z35-O36-(AO36/1.9835)</f>
        <v>152.955005812238</v>
      </c>
      <c r="AA36" s="646" t="n">
        <v>13</v>
      </c>
      <c r="AB36" s="142" t="n">
        <v>1.7</v>
      </c>
      <c r="AC36" s="143" t="n">
        <v>1.3</v>
      </c>
      <c r="AD36" s="652" t="n">
        <v>33</v>
      </c>
      <c r="AE36" s="653" t="n">
        <f aca="false">AE35-AD36</f>
        <v>6463.82307285102</v>
      </c>
      <c r="AF36" s="654" t="n">
        <f aca="false">N36+O36+P36+Q36+R36+S36+T36+W36+AA36+AD36-O36</f>
        <v>283</v>
      </c>
      <c r="AG36" s="646" t="n">
        <f aca="false">IF(L36&lt;0,L36*-1,0)</f>
        <v>43.9019410133602</v>
      </c>
      <c r="AH36" s="646" t="n">
        <f aca="false">AF36+AG36</f>
        <v>326.90194101336</v>
      </c>
      <c r="AI36" s="632" t="n">
        <v>0</v>
      </c>
      <c r="AJ36" s="633" t="n">
        <v>63</v>
      </c>
      <c r="AK36" s="634" t="n">
        <v>36</v>
      </c>
      <c r="AL36" s="633" t="n">
        <f aca="false">AL35</f>
        <v>10571</v>
      </c>
      <c r="AM36" s="264"/>
      <c r="AN36" s="261" t="n">
        <f aca="false">AN35+166.5</f>
        <v>457.4</v>
      </c>
      <c r="AO36" s="258" t="n">
        <f aca="false">36.1*(X35*1.9835+Y35*1.9835+Z35*1.9835+AN35*1.9835)/E36</f>
        <v>0.225961081849453</v>
      </c>
      <c r="AP36" s="115"/>
      <c r="AQ36" s="171" t="n">
        <v>1.09</v>
      </c>
      <c r="AR36" s="365" t="n">
        <f aca="false">AR35+O36</f>
        <v>715.716</v>
      </c>
    </row>
    <row r="37" customFormat="false" ht="12.95" hidden="false" customHeight="true" outlineLevel="0" collapsed="false">
      <c r="A37" s="186" t="n">
        <v>26</v>
      </c>
      <c r="B37" s="635" t="n">
        <v>6902.54</v>
      </c>
      <c r="C37" s="627" t="n">
        <v>293046</v>
      </c>
      <c r="D37" s="633" t="n">
        <f aca="false">C37-C36</f>
        <v>150</v>
      </c>
      <c r="E37" s="627" t="n">
        <f aca="false">C37-151978</f>
        <v>141068</v>
      </c>
      <c r="F37" s="645" t="n">
        <f aca="false">D37/$D$2</f>
        <v>75.6238971514999</v>
      </c>
      <c r="G37" s="646" t="n">
        <v>349</v>
      </c>
      <c r="H37" s="647" t="n">
        <v>0</v>
      </c>
      <c r="I37" s="646" t="n">
        <f aca="false">G37+H37</f>
        <v>349</v>
      </c>
      <c r="J37" s="648" t="n">
        <f aca="false">IF(L37&gt;0,L37,0)</f>
        <v>5.62389715149988</v>
      </c>
      <c r="K37" s="646" t="n">
        <f aca="false">I37+J37</f>
        <v>354.6238971515</v>
      </c>
      <c r="L37" s="646" t="n">
        <f aca="false">F37-(I37-AF37)</f>
        <v>5.62389715149988</v>
      </c>
      <c r="M37" s="649" t="n">
        <v>81</v>
      </c>
      <c r="N37" s="258" t="n">
        <f aca="false">1.8299*1.03</f>
        <v>1.884797</v>
      </c>
      <c r="O37" s="646" t="n">
        <v>0</v>
      </c>
      <c r="P37" s="630" t="n">
        <v>0</v>
      </c>
      <c r="Q37" s="206" t="n">
        <f aca="false">2.06*1.02</f>
        <v>2.1012</v>
      </c>
      <c r="R37" s="650" t="n">
        <v>3.94</v>
      </c>
      <c r="S37" s="650" t="n">
        <v>0</v>
      </c>
      <c r="T37" s="651" t="n">
        <v>0</v>
      </c>
      <c r="U37" s="646" t="n">
        <v>96</v>
      </c>
      <c r="V37" s="646" t="n">
        <v>53</v>
      </c>
      <c r="W37" s="141" t="n">
        <f aca="false">M37-(N37-AQ37)-O37-P37-Q37-R37-S37-T37+U37+V37-AQ37+O37</f>
        <v>222.074003</v>
      </c>
      <c r="X37" s="115" t="n">
        <v>0</v>
      </c>
      <c r="Y37" s="115" t="n">
        <v>0</v>
      </c>
      <c r="Z37" s="627" t="n">
        <f aca="false">Z36-O37-(AO37/1.9835)</f>
        <v>152.798812942772</v>
      </c>
      <c r="AA37" s="646" t="n">
        <v>16</v>
      </c>
      <c r="AB37" s="142" t="n">
        <v>1.7</v>
      </c>
      <c r="AC37" s="143" t="n">
        <v>1.3</v>
      </c>
      <c r="AD37" s="652" t="n">
        <v>33</v>
      </c>
      <c r="AE37" s="653" t="n">
        <f aca="false">AE36-AD37</f>
        <v>6430.82307285102</v>
      </c>
      <c r="AF37" s="654" t="n">
        <f aca="false">N37+O37+P37+Q37+R37+S37+T37+W37+AA37+AD37-O37</f>
        <v>279</v>
      </c>
      <c r="AG37" s="646" t="n">
        <f aca="false">IF(L37&lt;0,L37*-1,0)</f>
        <v>0</v>
      </c>
      <c r="AH37" s="646" t="n">
        <f aca="false">AF37+AG37</f>
        <v>279</v>
      </c>
      <c r="AI37" s="632" t="n">
        <v>0</v>
      </c>
      <c r="AJ37" s="633" t="n">
        <v>68</v>
      </c>
      <c r="AK37" s="634" t="n">
        <v>35</v>
      </c>
      <c r="AL37" s="633" t="n">
        <f aca="false">AL36</f>
        <v>10571</v>
      </c>
      <c r="AM37" s="264"/>
      <c r="AN37" s="261" t="n">
        <f aca="false">AN36+147.1</f>
        <v>604.5</v>
      </c>
      <c r="AO37" s="258" t="n">
        <f aca="false">36.1*(X36*1.9835+Y36*1.9835+Z36*1.9835+AN36*1.9835)/E37</f>
        <v>0.3098085565857</v>
      </c>
      <c r="AP37" s="115"/>
      <c r="AQ37" s="171" t="n">
        <v>1.09</v>
      </c>
      <c r="AR37" s="365" t="n">
        <f aca="false">AR36+O37</f>
        <v>715.716</v>
      </c>
    </row>
    <row r="38" customFormat="false" ht="12.95" hidden="false" customHeight="true" outlineLevel="0" collapsed="false">
      <c r="A38" s="186" t="n">
        <v>27</v>
      </c>
      <c r="B38" s="635" t="n">
        <v>6902.46</v>
      </c>
      <c r="C38" s="627" t="n">
        <v>292745</v>
      </c>
      <c r="D38" s="633" t="n">
        <f aca="false">C38-C37</f>
        <v>-301</v>
      </c>
      <c r="E38" s="627" t="n">
        <f aca="false">C38-151978</f>
        <v>140767</v>
      </c>
      <c r="F38" s="645" t="n">
        <f aca="false">D38/$D$2</f>
        <v>-151.751953617343</v>
      </c>
      <c r="G38" s="646" t="n">
        <v>296</v>
      </c>
      <c r="H38" s="647" t="n">
        <v>0</v>
      </c>
      <c r="I38" s="646" t="n">
        <f aca="false">G38+H38</f>
        <v>296</v>
      </c>
      <c r="J38" s="648" t="n">
        <f aca="false">IF(L38&gt;0,L38,0)</f>
        <v>0</v>
      </c>
      <c r="K38" s="646" t="n">
        <f aca="false">I38+J38</f>
        <v>296</v>
      </c>
      <c r="L38" s="646" t="n">
        <f aca="false">F38-(I38-AF38)</f>
        <v>-50.7519536173431</v>
      </c>
      <c r="M38" s="649" t="n">
        <v>82</v>
      </c>
      <c r="N38" s="258" t="n">
        <f aca="false">1.8299*1.03</f>
        <v>1.884797</v>
      </c>
      <c r="O38" s="646" t="n">
        <v>0</v>
      </c>
      <c r="P38" s="630" t="n">
        <v>0</v>
      </c>
      <c r="Q38" s="206" t="n">
        <f aca="false">2.06*1.02</f>
        <v>2.1012</v>
      </c>
      <c r="R38" s="650" t="n">
        <v>3.92</v>
      </c>
      <c r="S38" s="650" t="n">
        <v>0</v>
      </c>
      <c r="T38" s="651" t="n">
        <v>0</v>
      </c>
      <c r="U38" s="646" t="n">
        <v>217</v>
      </c>
      <c r="V38" s="646" t="n">
        <v>52</v>
      </c>
      <c r="W38" s="141" t="n">
        <f aca="false">M38-(N38-AQ38)-O38-P38-Q38-R38-S38-T38+U38+V38-AQ38+O38</f>
        <v>343.094003</v>
      </c>
      <c r="X38" s="115" t="n">
        <v>0</v>
      </c>
      <c r="Y38" s="115" t="n">
        <v>0</v>
      </c>
      <c r="Z38" s="627" t="n">
        <f aca="false">Z37-O38-(AO38/1.9835)</f>
        <v>152.604602032919</v>
      </c>
      <c r="AA38" s="646" t="n">
        <v>13</v>
      </c>
      <c r="AB38" s="142" t="n">
        <v>1.7</v>
      </c>
      <c r="AC38" s="143" t="n">
        <v>1.3</v>
      </c>
      <c r="AD38" s="652" t="n">
        <v>33</v>
      </c>
      <c r="AE38" s="653" t="n">
        <f aca="false">AE37-AD38</f>
        <v>6397.82307285102</v>
      </c>
      <c r="AF38" s="654" t="n">
        <f aca="false">N38+O38+P38+Q38+R38+S38+T38+W38+AA38+AD38-O38</f>
        <v>397</v>
      </c>
      <c r="AG38" s="646" t="n">
        <f aca="false">IF(L38&lt;0,L38*-1,0)</f>
        <v>50.7519536173431</v>
      </c>
      <c r="AH38" s="646" t="n">
        <f aca="false">AF38+AG38</f>
        <v>447.751953617343</v>
      </c>
      <c r="AI38" s="632" t="n">
        <v>0</v>
      </c>
      <c r="AJ38" s="633" t="n">
        <v>71</v>
      </c>
      <c r="AK38" s="634" t="n">
        <v>38</v>
      </c>
      <c r="AL38" s="633" t="n">
        <f aca="false">AL37</f>
        <v>10571</v>
      </c>
      <c r="AM38" s="264"/>
      <c r="AN38" s="261" t="n">
        <f aca="false">AN37-(W38-I38)-Q38-R38-AB38-57.82</f>
        <v>491.864797</v>
      </c>
      <c r="AO38" s="258" t="n">
        <f aca="false">36.1*(X37*1.9835+Y37*1.9835+Z37*1.9835+AN37*1.9835)/E38</f>
        <v>0.385217339692817</v>
      </c>
      <c r="AP38" s="115"/>
      <c r="AQ38" s="171" t="n">
        <v>1.09</v>
      </c>
      <c r="AR38" s="365" t="n">
        <f aca="false">AR37+O38</f>
        <v>715.716</v>
      </c>
    </row>
    <row r="39" customFormat="false" ht="12.95" hidden="false" customHeight="true" outlineLevel="0" collapsed="false">
      <c r="A39" s="186" t="n">
        <v>28</v>
      </c>
      <c r="B39" s="635" t="n">
        <v>6902.31</v>
      </c>
      <c r="C39" s="627" t="n">
        <v>292181</v>
      </c>
      <c r="D39" s="633" t="n">
        <f aca="false">C39-C38</f>
        <v>-564</v>
      </c>
      <c r="E39" s="627" t="n">
        <f aca="false">C39-151978</f>
        <v>140203</v>
      </c>
      <c r="F39" s="645" t="n">
        <f aca="false">D39/$D$2</f>
        <v>-284.34585328964</v>
      </c>
      <c r="G39" s="646" t="n">
        <v>271</v>
      </c>
      <c r="H39" s="647" t="n">
        <v>0</v>
      </c>
      <c r="I39" s="646" t="n">
        <f aca="false">G39+H39</f>
        <v>271</v>
      </c>
      <c r="J39" s="648" t="n">
        <f aca="false">IF(L39&gt;0,L39,0)</f>
        <v>0</v>
      </c>
      <c r="K39" s="646" t="n">
        <f aca="false">I39+J39</f>
        <v>271</v>
      </c>
      <c r="L39" s="646" t="n">
        <f aca="false">F39-(I39-AF39)</f>
        <v>-23.3458532896395</v>
      </c>
      <c r="M39" s="649" t="n">
        <v>98</v>
      </c>
      <c r="N39" s="258" t="n">
        <f aca="false">1.8299*1.03</f>
        <v>1.884797</v>
      </c>
      <c r="O39" s="646" t="n">
        <f aca="false">0.34*1.05</f>
        <v>0.357</v>
      </c>
      <c r="P39" s="630" t="n">
        <v>0</v>
      </c>
      <c r="Q39" s="206" t="n">
        <f aca="false">2.06*1.02</f>
        <v>2.1012</v>
      </c>
      <c r="R39" s="650" t="n">
        <v>4.2</v>
      </c>
      <c r="S39" s="650" t="n">
        <v>0.23</v>
      </c>
      <c r="T39" s="651" t="n">
        <v>0</v>
      </c>
      <c r="U39" s="646" t="n">
        <v>314</v>
      </c>
      <c r="V39" s="646" t="n">
        <v>52</v>
      </c>
      <c r="W39" s="141" t="n">
        <f aca="false">M39-(N39-AQ39)-O39-P39-Q39-R39-S39-T39+U39+V39-AQ39+O39</f>
        <v>455.584003</v>
      </c>
      <c r="X39" s="115" t="n">
        <v>0</v>
      </c>
      <c r="Y39" s="115" t="n">
        <v>0</v>
      </c>
      <c r="Z39" s="627" t="n">
        <f aca="false">Z38-O39-(AO39/1.9835)</f>
        <v>152.081661608641</v>
      </c>
      <c r="AA39" s="646" t="n">
        <v>35</v>
      </c>
      <c r="AB39" s="142" t="n">
        <v>1.7</v>
      </c>
      <c r="AC39" s="143" t="n">
        <v>1.3</v>
      </c>
      <c r="AD39" s="652" t="n">
        <v>33</v>
      </c>
      <c r="AE39" s="653" t="n">
        <f aca="false">AE38-AD39</f>
        <v>6364.82307285102</v>
      </c>
      <c r="AF39" s="654" t="n">
        <f aca="false">N39+O39+P39+Q39+R39+S39+T39+W39+AA39+AD39-O39</f>
        <v>532</v>
      </c>
      <c r="AG39" s="646" t="n">
        <f aca="false">IF(L39&lt;0,L39*-1,0)</f>
        <v>23.3458532896395</v>
      </c>
      <c r="AH39" s="646" t="n">
        <f aca="false">AF39+AG39</f>
        <v>555.34585328964</v>
      </c>
      <c r="AI39" s="632" t="n">
        <v>0</v>
      </c>
      <c r="AJ39" s="633" t="n">
        <v>69</v>
      </c>
      <c r="AK39" s="634" t="n">
        <v>45</v>
      </c>
      <c r="AL39" s="633" t="n">
        <f aca="false">AL38</f>
        <v>10571</v>
      </c>
      <c r="AM39" s="264"/>
      <c r="AN39" s="261" t="n">
        <f aca="false">AN38-(W39-I39)-Q39-R39-AB39</f>
        <v>299.279594</v>
      </c>
      <c r="AO39" s="258" t="n">
        <f aca="false">36.1*(X38*1.9835+Y38*1.9835+Z38*1.9835+AN38*1.9835)/E39</f>
        <v>0.329142831555978</v>
      </c>
      <c r="AP39" s="115"/>
      <c r="AQ39" s="171" t="n">
        <v>1.09</v>
      </c>
      <c r="AR39" s="365" t="n">
        <f aca="false">AR38+O39</f>
        <v>716.073</v>
      </c>
    </row>
    <row r="40" customFormat="false" ht="12.95" hidden="false" customHeight="true" outlineLevel="0" collapsed="false">
      <c r="A40" s="186" t="n">
        <v>29</v>
      </c>
      <c r="B40" s="635" t="n">
        <v>6902.19</v>
      </c>
      <c r="C40" s="627" t="n">
        <v>291729</v>
      </c>
      <c r="D40" s="633" t="n">
        <f aca="false">C40-C39</f>
        <v>-452</v>
      </c>
      <c r="E40" s="627" t="n">
        <f aca="false">C40-151978</f>
        <v>139751</v>
      </c>
      <c r="F40" s="645" t="n">
        <f aca="false">D40/$D$2</f>
        <v>-227.880010083186</v>
      </c>
      <c r="G40" s="646" t="n">
        <v>251</v>
      </c>
      <c r="H40" s="647" t="n">
        <v>0</v>
      </c>
      <c r="I40" s="646" t="n">
        <f aca="false">G40+H40</f>
        <v>251</v>
      </c>
      <c r="J40" s="648" t="n">
        <f aca="false">IF(L40&gt;0,L40,0)</f>
        <v>35.1199899168137</v>
      </c>
      <c r="K40" s="646" t="n">
        <f aca="false">I40+J40</f>
        <v>286.119989916814</v>
      </c>
      <c r="L40" s="646" t="n">
        <f aca="false">F40-(I40-AF40)</f>
        <v>35.1199899168137</v>
      </c>
      <c r="M40" s="649" t="n">
        <v>107</v>
      </c>
      <c r="N40" s="258" t="n">
        <f aca="false">1.8299*1.03</f>
        <v>1.884797</v>
      </c>
      <c r="O40" s="646" t="n">
        <f aca="false">(1.6+5.7)*1.05</f>
        <v>7.665</v>
      </c>
      <c r="P40" s="630" t="n">
        <v>0</v>
      </c>
      <c r="Q40" s="206" t="n">
        <f aca="false">2.06*1.02</f>
        <v>2.1012</v>
      </c>
      <c r="R40" s="650" t="n">
        <v>4.2</v>
      </c>
      <c r="S40" s="650" t="n">
        <v>0.38</v>
      </c>
      <c r="T40" s="651" t="n">
        <v>0</v>
      </c>
      <c r="U40" s="646" t="n">
        <v>314</v>
      </c>
      <c r="V40" s="646" t="n">
        <v>40</v>
      </c>
      <c r="W40" s="141" t="n">
        <f aca="false">M40-(N40-AQ40)-O40-P40-Q40-R40-S40-T40+U40+V40-AQ40+O40</f>
        <v>452.434003</v>
      </c>
      <c r="X40" s="115" t="n">
        <v>0</v>
      </c>
      <c r="Y40" s="115" t="n">
        <v>0</v>
      </c>
      <c r="Z40" s="627" t="n">
        <f aca="false">Z39-O40-(AO40/1.9835)</f>
        <v>144.300067513948</v>
      </c>
      <c r="AA40" s="646" t="n">
        <v>20</v>
      </c>
      <c r="AB40" s="142" t="n">
        <v>1.7</v>
      </c>
      <c r="AC40" s="143" t="n">
        <v>1.3</v>
      </c>
      <c r="AD40" s="652" t="n">
        <v>33</v>
      </c>
      <c r="AE40" s="653" t="n">
        <f aca="false">AE39-AD40</f>
        <v>6331.82307285102</v>
      </c>
      <c r="AF40" s="654" t="n">
        <f aca="false">N40+O40+P40+Q40+R40+S40+T40+W40+AA40+AD40-O40</f>
        <v>514</v>
      </c>
      <c r="AG40" s="646" t="n">
        <f aca="false">IF(L40&lt;0,L40*-1,0)</f>
        <v>0</v>
      </c>
      <c r="AH40" s="646" t="n">
        <f aca="false">AF40+AG40</f>
        <v>514</v>
      </c>
      <c r="AI40" s="632" t="n">
        <v>0</v>
      </c>
      <c r="AJ40" s="633" t="n">
        <v>70</v>
      </c>
      <c r="AK40" s="634" t="n">
        <v>37</v>
      </c>
      <c r="AL40" s="633" t="n">
        <f aca="false">AL39</f>
        <v>10571</v>
      </c>
      <c r="AM40" s="264"/>
      <c r="AN40" s="261" t="n">
        <f aca="false">AN39-(W40-I40)-Q40-R40-AB40</f>
        <v>89.8443910000001</v>
      </c>
      <c r="AO40" s="258" t="n">
        <f aca="false">36.1*(X39*1.9835+Y39*1.9835+Z39*1.9835+AN39*1.9835)/E40</f>
        <v>0.231264386823998</v>
      </c>
      <c r="AP40" s="115"/>
      <c r="AQ40" s="171" t="n">
        <v>1.09</v>
      </c>
      <c r="AR40" s="365" t="n">
        <f aca="false">AR39+O40</f>
        <v>723.738</v>
      </c>
    </row>
    <row r="41" customFormat="false" ht="12.95" hidden="false" customHeight="true" outlineLevel="0" collapsed="false">
      <c r="A41" s="186" t="n">
        <v>30</v>
      </c>
      <c r="B41" s="635" t="n">
        <v>6902.07</v>
      </c>
      <c r="C41" s="627" t="n">
        <v>291278</v>
      </c>
      <c r="D41" s="633" t="n">
        <f aca="false">C41-C40</f>
        <v>-451</v>
      </c>
      <c r="E41" s="627" t="n">
        <f aca="false">C41-151978</f>
        <v>139300</v>
      </c>
      <c r="F41" s="645" t="n">
        <f aca="false">D41/$D$2</f>
        <v>-227.375850768843</v>
      </c>
      <c r="G41" s="646" t="n">
        <v>234</v>
      </c>
      <c r="H41" s="647" t="n">
        <v>0</v>
      </c>
      <c r="I41" s="646" t="n">
        <f aca="false">G41+H41</f>
        <v>234</v>
      </c>
      <c r="J41" s="648" t="n">
        <f aca="false">IF(L41&gt;0,L41,0)</f>
        <v>1.62414923115705</v>
      </c>
      <c r="K41" s="646" t="n">
        <f aca="false">I41+J41</f>
        <v>235.624149231157</v>
      </c>
      <c r="L41" s="646" t="n">
        <f aca="false">F41-(I41-AF41)</f>
        <v>1.62414923115705</v>
      </c>
      <c r="M41" s="649" t="n">
        <v>107</v>
      </c>
      <c r="N41" s="258" t="n">
        <f aca="false">1.8299*1.03</f>
        <v>1.884797</v>
      </c>
      <c r="O41" s="646" t="n">
        <f aca="false">(4.7+6.7)*1.05</f>
        <v>11.97</v>
      </c>
      <c r="P41" s="630" t="n">
        <v>0</v>
      </c>
      <c r="Q41" s="206" t="n">
        <f aca="false">2.06*1.02</f>
        <v>2.1012</v>
      </c>
      <c r="R41" s="650" t="n">
        <v>4.2</v>
      </c>
      <c r="S41" s="650" t="n">
        <v>0.23</v>
      </c>
      <c r="T41" s="651" t="n">
        <v>0</v>
      </c>
      <c r="U41" s="646" t="n">
        <v>241</v>
      </c>
      <c r="V41" s="646" t="n">
        <v>52</v>
      </c>
      <c r="W41" s="141" t="n">
        <f aca="false">M41-(N41-AQ41)-O41-P41-Q41-R41-S41-T41+U41+V41-AQ41+O41</f>
        <v>391.584003</v>
      </c>
      <c r="X41" s="115" t="n">
        <v>0</v>
      </c>
      <c r="Y41" s="115" t="n">
        <v>0</v>
      </c>
      <c r="Z41" s="627" t="n">
        <f aca="false">Z40-O41-(AO41/1.9835)-75.7</f>
        <v>56.5693882967736</v>
      </c>
      <c r="AA41" s="646" t="n">
        <v>30</v>
      </c>
      <c r="AB41" s="142" t="n">
        <v>1.7</v>
      </c>
      <c r="AC41" s="143" t="n">
        <v>1.3</v>
      </c>
      <c r="AD41" s="652" t="n">
        <v>33</v>
      </c>
      <c r="AE41" s="653" t="n">
        <f aca="false">AE40-AD41</f>
        <v>6298.82307285102</v>
      </c>
      <c r="AF41" s="654" t="n">
        <f aca="false">N41+O41+P41+Q41+R41+S41+T41+W41+AA41+AD41-O41</f>
        <v>463</v>
      </c>
      <c r="AG41" s="646" t="n">
        <f aca="false">IF(L41&lt;0,L41*-1,0)</f>
        <v>0</v>
      </c>
      <c r="AH41" s="646" t="n">
        <f aca="false">AF41+AG41</f>
        <v>463</v>
      </c>
      <c r="AI41" s="632" t="n">
        <v>0</v>
      </c>
      <c r="AJ41" s="655" t="n">
        <v>64</v>
      </c>
      <c r="AK41" s="634" t="n">
        <v>30</v>
      </c>
      <c r="AL41" s="633" t="n">
        <f aca="false">AL40</f>
        <v>10571</v>
      </c>
      <c r="AM41" s="264"/>
      <c r="AN41" s="261" t="n">
        <f aca="false">AN40-(W41-I41)-Q41-R41-AB41+75.7</f>
        <v>-0.0408120000000025</v>
      </c>
      <c r="AO41" s="258" t="n">
        <f aca="false">36.1*(X40*1.9835+Y40*1.9835+Z40*1.9835+AN40*1.9835)/E41</f>
        <v>0.120357227264847</v>
      </c>
      <c r="AP41" s="115"/>
      <c r="AQ41" s="171" t="n">
        <v>1.09</v>
      </c>
      <c r="AR41" s="365" t="n">
        <f aca="false">AR40+O41</f>
        <v>735.708</v>
      </c>
    </row>
    <row r="42" customFormat="false" ht="3" hidden="false" customHeight="true" outlineLevel="0" collapsed="false">
      <c r="A42" s="270"/>
      <c r="B42" s="656"/>
      <c r="C42" s="637"/>
      <c r="D42" s="557"/>
      <c r="E42" s="637"/>
      <c r="F42" s="638"/>
      <c r="G42" s="557"/>
      <c r="H42" s="639"/>
      <c r="I42" s="557"/>
      <c r="J42" s="557"/>
      <c r="K42" s="557"/>
      <c r="L42" s="557"/>
      <c r="M42" s="640"/>
      <c r="N42" s="557"/>
      <c r="O42" s="557"/>
      <c r="P42" s="559"/>
      <c r="Q42" s="559"/>
      <c r="R42" s="559"/>
      <c r="S42" s="559"/>
      <c r="T42" s="641"/>
      <c r="U42" s="557"/>
      <c r="V42" s="557"/>
      <c r="W42" s="557"/>
      <c r="X42" s="637"/>
      <c r="Y42" s="637"/>
      <c r="Z42" s="637"/>
      <c r="AA42" s="557"/>
      <c r="AB42" s="126"/>
      <c r="AC42" s="127"/>
      <c r="AD42" s="557"/>
      <c r="AE42" s="557"/>
      <c r="AF42" s="557"/>
      <c r="AG42" s="557"/>
      <c r="AH42" s="557"/>
      <c r="AI42" s="642"/>
      <c r="AJ42" s="643"/>
      <c r="AK42" s="644"/>
      <c r="AL42" s="643"/>
      <c r="AM42" s="281"/>
      <c r="AN42" s="278"/>
      <c r="AO42" s="275"/>
      <c r="AP42" s="275"/>
      <c r="AQ42" s="275"/>
      <c r="AR42" s="281"/>
    </row>
    <row r="43" customFormat="false" ht="12.95" hidden="false" customHeight="true" outlineLevel="0" collapsed="false">
      <c r="A43" s="187" t="s">
        <v>77</v>
      </c>
      <c r="B43" s="625"/>
      <c r="C43" s="627"/>
      <c r="D43" s="627"/>
      <c r="E43" s="627"/>
      <c r="F43" s="628" t="n">
        <f aca="false">SUM(F12:F41)</f>
        <v>-10476.4305520545</v>
      </c>
      <c r="G43" s="627" t="n">
        <f aca="false">SUM(G12:G41)</f>
        <v>6733</v>
      </c>
      <c r="H43" s="627" t="n">
        <f aca="false">SUM(H12:H41)</f>
        <v>0.01</v>
      </c>
      <c r="I43" s="627" t="n">
        <f aca="false">SUM(I12:I41)</f>
        <v>6733.01</v>
      </c>
      <c r="J43" s="627" t="n">
        <f aca="false">SUM(J12:J41)</f>
        <v>688.889168137132</v>
      </c>
      <c r="K43" s="627" t="n">
        <f aca="false">SUM(K12:K41)</f>
        <v>7421.89916813713</v>
      </c>
      <c r="L43" s="627" t="n">
        <f aca="false">SUM(L12:L41)</f>
        <v>-682.440552054448</v>
      </c>
      <c r="M43" s="629" t="n">
        <f aca="false">SUM(M12:M41)</f>
        <v>5129</v>
      </c>
      <c r="N43" s="627" t="n">
        <f aca="false">SUM(N12:N41)</f>
        <v>56.54391</v>
      </c>
      <c r="O43" s="627" t="n">
        <f aca="false">SUM(O12:O41)</f>
        <v>1523.508</v>
      </c>
      <c r="P43" s="630" t="n">
        <f aca="false">SUM(P12:P41)</f>
        <v>0</v>
      </c>
      <c r="Q43" s="633" t="n">
        <f aca="false">SUM(Q12:Q41)</f>
        <v>63.036</v>
      </c>
      <c r="R43" s="633" t="n">
        <f aca="false">SUM(R12:R41)</f>
        <v>124.97</v>
      </c>
      <c r="S43" s="633" t="n">
        <f aca="false">SUM(S12:S41)</f>
        <v>54</v>
      </c>
      <c r="T43" s="631" t="n">
        <f aca="false">SUM(T12:T41)</f>
        <v>0</v>
      </c>
      <c r="U43" s="627" t="n">
        <f aca="false">SUM(U12:U41)</f>
        <v>4360</v>
      </c>
      <c r="V43" s="627" t="n">
        <f aca="false">SUM(V12:V41)</f>
        <v>1769</v>
      </c>
      <c r="W43" s="627" t="n">
        <f aca="false">SUM(W12:W41)</f>
        <v>10134.15009</v>
      </c>
      <c r="X43" s="627"/>
      <c r="Y43" s="627"/>
      <c r="Z43" s="627"/>
      <c r="AA43" s="627" t="n">
        <f aca="false">SUM(AA12:AA41)</f>
        <v>3555</v>
      </c>
      <c r="AB43" s="627" t="n">
        <f aca="false">SUM(AB12:AB41)</f>
        <v>51</v>
      </c>
      <c r="AC43" s="627" t="n">
        <f aca="false">SUM(AC12:AC41)</f>
        <v>39</v>
      </c>
      <c r="AD43" s="627" t="n">
        <f aca="false">SUM(AD12:AD41)</f>
        <v>1714</v>
      </c>
      <c r="AE43" s="627"/>
      <c r="AF43" s="627" t="n">
        <f aca="false">SUM(AF12:AF41)</f>
        <v>16527</v>
      </c>
      <c r="AG43" s="627" t="n">
        <f aca="false">SUM(AG12:AG41)</f>
        <v>1371.32972019158</v>
      </c>
      <c r="AH43" s="627" t="n">
        <f aca="false">SUM(AH12:AH41)</f>
        <v>17898.3297201916</v>
      </c>
      <c r="AI43" s="632" t="n">
        <f aca="false">SUM(AI12:AI41)</f>
        <v>1.63</v>
      </c>
      <c r="AJ43" s="633" t="n">
        <f aca="false">AVERAGE(AJ12:AJ41)</f>
        <v>76.1333333333333</v>
      </c>
      <c r="AK43" s="634" t="n">
        <f aca="false">AVERAGE(AK12:AK41)</f>
        <v>45.6666666666667</v>
      </c>
      <c r="AL43" s="633" t="s">
        <v>108</v>
      </c>
      <c r="AM43" s="627" t="n">
        <f aca="false">SUM(AM12:AM41)</f>
        <v>0</v>
      </c>
      <c r="AN43" s="261"/>
      <c r="AO43" s="258"/>
      <c r="AP43" s="264" t="n">
        <f aca="false">SUM(AP12:AP41)</f>
        <v>0</v>
      </c>
      <c r="AQ43" s="264" t="n">
        <f aca="false">SUM(AQ12:AQ41)</f>
        <v>32.7</v>
      </c>
      <c r="AR43" s="264"/>
    </row>
    <row r="44" customFormat="false" ht="12.95" hidden="false" customHeight="true" outlineLevel="0" collapsed="false">
      <c r="A44" s="187" t="s">
        <v>79</v>
      </c>
      <c r="B44" s="625"/>
      <c r="C44" s="627"/>
      <c r="D44" s="627" t="n">
        <f aca="false">SUM(D12:D41)</f>
        <v>-20780</v>
      </c>
      <c r="E44" s="627"/>
      <c r="F44" s="628" t="n">
        <f aca="false">F43*$D$2</f>
        <v>-20780</v>
      </c>
      <c r="G44" s="627" t="n">
        <f aca="false">G43*$D$2</f>
        <v>13354.9055</v>
      </c>
      <c r="H44" s="627" t="n">
        <f aca="false">H43*$D$2</f>
        <v>0.019835</v>
      </c>
      <c r="I44" s="627" t="n">
        <f aca="false">I43*$D$2</f>
        <v>13354.925335</v>
      </c>
      <c r="J44" s="627" t="n">
        <f aca="false">J43*$D$2</f>
        <v>1366.411665</v>
      </c>
      <c r="K44" s="627" t="n">
        <f aca="false">K43*$D$2</f>
        <v>14721.337</v>
      </c>
      <c r="L44" s="627" t="n">
        <f aca="false">L43*$D$2</f>
        <v>-1353.620835</v>
      </c>
      <c r="M44" s="629" t="n">
        <f aca="false">M43*$D$2</f>
        <v>10173.3715</v>
      </c>
      <c r="N44" s="627" t="n">
        <f aca="false">N43*$D$2</f>
        <v>112.154845485</v>
      </c>
      <c r="O44" s="627" t="n">
        <f aca="false">O43*$D$2</f>
        <v>3021.878118</v>
      </c>
      <c r="P44" s="630" t="n">
        <f aca="false">P43*$D$2</f>
        <v>0</v>
      </c>
      <c r="Q44" s="633" t="n">
        <f aca="false">Q43*$D$2</f>
        <v>125.031906</v>
      </c>
      <c r="R44" s="633" t="n">
        <f aca="false">R43*$D$2</f>
        <v>247.877995</v>
      </c>
      <c r="S44" s="633" t="n">
        <f aca="false">S43*$D$2</f>
        <v>107.109</v>
      </c>
      <c r="T44" s="631" t="n">
        <f aca="false">T43*$D$2</f>
        <v>0</v>
      </c>
      <c r="U44" s="627" t="n">
        <f aca="false">U43*$D$2</f>
        <v>8648.06</v>
      </c>
      <c r="V44" s="627" t="n">
        <f aca="false">V43*$D$2</f>
        <v>3508.8115</v>
      </c>
      <c r="W44" s="627" t="n">
        <f aca="false">W43*$D$2</f>
        <v>20101.086703515</v>
      </c>
      <c r="X44" s="627"/>
      <c r="Y44" s="627"/>
      <c r="Z44" s="627"/>
      <c r="AA44" s="627" t="n">
        <f aca="false">AA43*$D$2</f>
        <v>7051.3425</v>
      </c>
      <c r="AB44" s="627" t="n">
        <f aca="false">AB43*$D$2</f>
        <v>101.1585</v>
      </c>
      <c r="AC44" s="627" t="n">
        <f aca="false">AC43*$D$2</f>
        <v>77.3565</v>
      </c>
      <c r="AD44" s="627" t="n">
        <f aca="false">AD43*$D$2</f>
        <v>3399.719</v>
      </c>
      <c r="AE44" s="627"/>
      <c r="AF44" s="627" t="n">
        <f aca="false">AF43*$D$2</f>
        <v>32781.3045</v>
      </c>
      <c r="AG44" s="627" t="n">
        <f aca="false">AG43*$D$2</f>
        <v>2720.0325</v>
      </c>
      <c r="AH44" s="627" t="n">
        <f aca="false">AH43*$D$2</f>
        <v>35501.337</v>
      </c>
      <c r="AI44" s="632"/>
      <c r="AJ44" s="633" t="n">
        <f aca="false">MAX(AJ12:AJ41)</f>
        <v>85</v>
      </c>
      <c r="AK44" s="634" t="n">
        <f aca="false">MAX(AK12:AK41)</f>
        <v>55</v>
      </c>
      <c r="AL44" s="633" t="s">
        <v>80</v>
      </c>
      <c r="AM44" s="627" t="n">
        <f aca="false">AM43*$D$2</f>
        <v>0</v>
      </c>
      <c r="AN44" s="261"/>
      <c r="AO44" s="258" t="n">
        <f aca="false">SUM(AO12:AO41)</f>
        <v>31.9294165723741</v>
      </c>
      <c r="AP44" s="264" t="n">
        <f aca="false">AP43*$D$2</f>
        <v>0</v>
      </c>
      <c r="AQ44" s="264" t="n">
        <f aca="false">AQ43*$D$2</f>
        <v>64.86045</v>
      </c>
      <c r="AR44" s="264"/>
    </row>
    <row r="45" customFormat="false" ht="3" hidden="false" customHeight="true" outlineLevel="0" collapsed="false">
      <c r="A45" s="290"/>
      <c r="B45" s="656"/>
      <c r="C45" s="637"/>
      <c r="D45" s="637"/>
      <c r="E45" s="637"/>
      <c r="F45" s="657"/>
      <c r="G45" s="637"/>
      <c r="H45" s="637"/>
      <c r="I45" s="637"/>
      <c r="J45" s="637"/>
      <c r="K45" s="637"/>
      <c r="L45" s="637"/>
      <c r="M45" s="658"/>
      <c r="N45" s="637"/>
      <c r="O45" s="637"/>
      <c r="P45" s="559"/>
      <c r="Q45" s="643"/>
      <c r="R45" s="643"/>
      <c r="S45" s="643"/>
      <c r="T45" s="641"/>
      <c r="U45" s="637"/>
      <c r="V45" s="637"/>
      <c r="W45" s="637"/>
      <c r="X45" s="637"/>
      <c r="Y45" s="637"/>
      <c r="Z45" s="637"/>
      <c r="AA45" s="637"/>
      <c r="AB45" s="637"/>
      <c r="AC45" s="637"/>
      <c r="AD45" s="637"/>
      <c r="AE45" s="557"/>
      <c r="AF45" s="637"/>
      <c r="AG45" s="637"/>
      <c r="AH45" s="637"/>
      <c r="AI45" s="659"/>
      <c r="AJ45" s="637"/>
      <c r="AK45" s="657"/>
      <c r="AL45" s="637"/>
      <c r="AM45" s="272"/>
      <c r="AN45" s="278"/>
      <c r="AO45" s="275"/>
      <c r="AP45" s="281"/>
      <c r="AQ45" s="281"/>
      <c r="AR45" s="281"/>
    </row>
    <row r="46" customFormat="false" ht="12.95" hidden="false" customHeight="true" outlineLevel="0" collapsed="false">
      <c r="A46" s="187" t="s">
        <v>81</v>
      </c>
      <c r="B46" s="625"/>
      <c r="C46" s="627"/>
      <c r="D46" s="627"/>
      <c r="E46" s="627"/>
      <c r="F46" s="628" t="n">
        <f aca="false">F9+F43</f>
        <v>-9331.98890849509</v>
      </c>
      <c r="G46" s="627" t="n">
        <f aca="false">G9+G43</f>
        <v>111394</v>
      </c>
      <c r="H46" s="627" t="n">
        <f aca="false">H9+H43</f>
        <v>2024.19</v>
      </c>
      <c r="I46" s="627" t="n">
        <f aca="false">I9+I43</f>
        <v>113418.19</v>
      </c>
      <c r="J46" s="627" t="n">
        <f aca="false">J9+J43</f>
        <v>7511.67260398286</v>
      </c>
      <c r="K46" s="627" t="n">
        <f aca="false">K9+K43</f>
        <v>120929.862603983</v>
      </c>
      <c r="L46" s="627" t="n">
        <f aca="false">L9+L43</f>
        <v>2044.63109150492</v>
      </c>
      <c r="M46" s="629" t="n">
        <f aca="false">M9+M43</f>
        <v>40322.3</v>
      </c>
      <c r="N46" s="627" t="n">
        <f aca="false">N9+N43</f>
        <v>344.917851</v>
      </c>
      <c r="O46" s="627" t="n">
        <f aca="false">O9+O43</f>
        <v>12307.9475</v>
      </c>
      <c r="P46" s="630" t="n">
        <f aca="false">P9+P43</f>
        <v>7.32</v>
      </c>
      <c r="Q46" s="633"/>
      <c r="R46" s="633"/>
      <c r="S46" s="633"/>
      <c r="T46" s="631"/>
      <c r="U46" s="627" t="n">
        <f aca="false">U9+U43</f>
        <v>22063</v>
      </c>
      <c r="V46" s="627" t="n">
        <f aca="false">V9+V43</f>
        <v>10913.8</v>
      </c>
      <c r="W46" s="627" t="n">
        <f aca="false">W9+W43</f>
        <v>59385.329849</v>
      </c>
      <c r="X46" s="627"/>
      <c r="Y46" s="627"/>
      <c r="Z46" s="627"/>
      <c r="AA46" s="627" t="n">
        <f aca="false">AA9+AA43</f>
        <v>24868.7</v>
      </c>
      <c r="AB46" s="627" t="n">
        <f aca="false">AB9+AB43</f>
        <v>311.1</v>
      </c>
      <c r="AC46" s="627" t="n">
        <f aca="false">AC9+AC43</f>
        <v>237.9</v>
      </c>
      <c r="AD46" s="627"/>
      <c r="AE46" s="627"/>
      <c r="AF46" s="627" t="n">
        <f aca="false">AF9+AF43</f>
        <v>124794.81</v>
      </c>
      <c r="AG46" s="627" t="n">
        <f aca="false">AG9+AG43</f>
        <v>5467.04151247794</v>
      </c>
      <c r="AH46" s="627" t="n">
        <f aca="false">AH9+AH43</f>
        <v>130261.851512478</v>
      </c>
      <c r="AI46" s="632"/>
      <c r="AJ46" s="633" t="n">
        <f aca="false">MIN(AJ12:AJ41)</f>
        <v>58</v>
      </c>
      <c r="AK46" s="634" t="n">
        <f aca="false">MIN(AK12:AK41)</f>
        <v>30</v>
      </c>
      <c r="AL46" s="633" t="s">
        <v>82</v>
      </c>
      <c r="AM46" s="264"/>
      <c r="AN46" s="261"/>
      <c r="AO46" s="258"/>
      <c r="AP46" s="264" t="n">
        <f aca="false">AP9+AP43</f>
        <v>1036.55</v>
      </c>
      <c r="AQ46" s="264" t="n">
        <f aca="false">AQ9+AQ43</f>
        <v>339.21</v>
      </c>
      <c r="AR46" s="264" t="n">
        <f aca="false">AR41</f>
        <v>735.708</v>
      </c>
    </row>
    <row r="47" customFormat="false" ht="12.95" hidden="false" customHeight="true" outlineLevel="0" collapsed="false">
      <c r="A47" s="187" t="s">
        <v>83</v>
      </c>
      <c r="B47" s="625"/>
      <c r="C47" s="627"/>
      <c r="D47" s="627"/>
      <c r="E47" s="627"/>
      <c r="F47" s="628" t="n">
        <f aca="false">F46*$D$2</f>
        <v>-18510</v>
      </c>
      <c r="G47" s="627" t="n">
        <f aca="false">G46*$D$2</f>
        <v>220949.999</v>
      </c>
      <c r="H47" s="627" t="n">
        <f aca="false">H46*$D$2</f>
        <v>4014.980865</v>
      </c>
      <c r="I47" s="627" t="n">
        <f aca="false">I46*$D$2</f>
        <v>224964.979865</v>
      </c>
      <c r="J47" s="627" t="n">
        <f aca="false">J46*$D$2</f>
        <v>14899.40261</v>
      </c>
      <c r="K47" s="627" t="n">
        <f aca="false">K46*$D$2</f>
        <v>239864.382475</v>
      </c>
      <c r="L47" s="627" t="n">
        <f aca="false">L46*$D$2</f>
        <v>4055.52577</v>
      </c>
      <c r="M47" s="629" t="n">
        <f aca="false">M46*$D$2</f>
        <v>79979.28205</v>
      </c>
      <c r="N47" s="627" t="n">
        <f aca="false">N46*$D$2</f>
        <v>684.1445574585</v>
      </c>
      <c r="O47" s="627" t="n">
        <f aca="false">O46*$D$2</f>
        <v>24412.81386625</v>
      </c>
      <c r="P47" s="630" t="n">
        <f aca="false">P46*$D$2</f>
        <v>14.51922</v>
      </c>
      <c r="Q47" s="633"/>
      <c r="R47" s="633"/>
      <c r="S47" s="633"/>
      <c r="T47" s="631"/>
      <c r="U47" s="627" t="n">
        <f aca="false">U46*$D$2</f>
        <v>43761.9605</v>
      </c>
      <c r="V47" s="627" t="n">
        <f aca="false">V46*$D$2</f>
        <v>21647.5223</v>
      </c>
      <c r="W47" s="627" t="n">
        <f aca="false">W46*$D$2</f>
        <v>117790.801755492</v>
      </c>
      <c r="X47" s="627"/>
      <c r="Y47" s="627"/>
      <c r="Z47" s="627"/>
      <c r="AA47" s="627" t="n">
        <f aca="false">AA46*$D$2</f>
        <v>49327.06645</v>
      </c>
      <c r="AB47" s="627" t="n">
        <f aca="false">AB46*$D$2</f>
        <v>617.06685</v>
      </c>
      <c r="AC47" s="627" t="n">
        <f aca="false">AC46*$D$2</f>
        <v>471.87465</v>
      </c>
      <c r="AD47" s="627"/>
      <c r="AE47" s="627"/>
      <c r="AF47" s="627" t="n">
        <f aca="false">AF46*$D$2</f>
        <v>247530.505635</v>
      </c>
      <c r="AG47" s="627" t="n">
        <f aca="false">AG46*$D$2</f>
        <v>10843.87684</v>
      </c>
      <c r="AH47" s="627" t="n">
        <f aca="false">AH46*$D$2</f>
        <v>258374.382475</v>
      </c>
      <c r="AI47" s="632"/>
      <c r="AJ47" s="633"/>
      <c r="AK47" s="634"/>
      <c r="AL47" s="633"/>
      <c r="AM47" s="264"/>
      <c r="AN47" s="261"/>
      <c r="AO47" s="258" t="n">
        <f aca="false">AO9+AO44</f>
        <v>947.056174420096</v>
      </c>
      <c r="AP47" s="264" t="n">
        <f aca="false">AP46*$D$2</f>
        <v>2055.996925</v>
      </c>
      <c r="AQ47" s="264" t="n">
        <f aca="false">AQ46*$D$2</f>
        <v>672.823035</v>
      </c>
      <c r="AR47" s="264" t="n">
        <f aca="false">AR46*$D$2</f>
        <v>1459.276818</v>
      </c>
    </row>
    <row r="48" customFormat="false" ht="3" hidden="false" customHeight="true" outlineLevel="0" collapsed="false">
      <c r="A48" s="290"/>
      <c r="B48" s="656"/>
      <c r="C48" s="637"/>
      <c r="D48" s="637"/>
      <c r="E48" s="637"/>
      <c r="F48" s="657"/>
      <c r="G48" s="637"/>
      <c r="H48" s="643"/>
      <c r="I48" s="637"/>
      <c r="J48" s="637"/>
      <c r="K48" s="637"/>
      <c r="L48" s="637"/>
      <c r="M48" s="658"/>
      <c r="N48" s="637"/>
      <c r="O48" s="637"/>
      <c r="P48" s="559"/>
      <c r="Q48" s="643"/>
      <c r="R48" s="643"/>
      <c r="S48" s="643"/>
      <c r="T48" s="641"/>
      <c r="U48" s="637"/>
      <c r="V48" s="637"/>
      <c r="W48" s="637"/>
      <c r="X48" s="637"/>
      <c r="Y48" s="637"/>
      <c r="Z48" s="637"/>
      <c r="AA48" s="637"/>
      <c r="AB48" s="155"/>
      <c r="AC48" s="156"/>
      <c r="AD48" s="637"/>
      <c r="AE48" s="637"/>
      <c r="AF48" s="637"/>
      <c r="AG48" s="637"/>
      <c r="AH48" s="637"/>
      <c r="AI48" s="642"/>
      <c r="AJ48" s="660"/>
      <c r="AK48" s="661"/>
      <c r="AL48" s="660"/>
      <c r="AM48" s="295"/>
      <c r="AN48" s="278"/>
      <c r="AO48" s="275"/>
      <c r="AP48" s="281"/>
      <c r="AQ48" s="281"/>
      <c r="AR48" s="281"/>
    </row>
    <row r="49" customFormat="false" ht="12.95" hidden="false" customHeight="true" outlineLevel="0" collapsed="false">
      <c r="A49" s="187" t="s">
        <v>84</v>
      </c>
      <c r="B49" s="625"/>
      <c r="C49" s="627"/>
      <c r="D49" s="627"/>
      <c r="E49" s="627"/>
      <c r="F49" s="628" t="n">
        <f aca="false">F10+F43</f>
        <v>10263.1711620872</v>
      </c>
      <c r="G49" s="627" t="n">
        <f aca="false">G10+G43</f>
        <v>134015</v>
      </c>
      <c r="H49" s="633" t="n">
        <f aca="false">H10+H43</f>
        <v>3511.77</v>
      </c>
      <c r="I49" s="627" t="n">
        <f aca="false">I10+I43</f>
        <v>137526.77</v>
      </c>
      <c r="J49" s="627" t="n">
        <f aca="false">J10+J43</f>
        <v>14600.6068868162</v>
      </c>
      <c r="K49" s="627" t="n">
        <f aca="false">K10+K43</f>
        <v>152127.376886816</v>
      </c>
      <c r="L49" s="627" t="n">
        <f aca="false">L10+L43</f>
        <v>7792.71116208722</v>
      </c>
      <c r="M49" s="629" t="n">
        <f aca="false">M10+M43</f>
        <v>41318.7</v>
      </c>
      <c r="N49" s="627" t="n">
        <f aca="false">N10+N43</f>
        <v>344.917851</v>
      </c>
      <c r="O49" s="627" t="n">
        <f aca="false">O10+O43</f>
        <v>12307.9475</v>
      </c>
      <c r="P49" s="630"/>
      <c r="Q49" s="633" t="n">
        <f aca="false">Q10+Q43</f>
        <v>661.1028</v>
      </c>
      <c r="R49" s="633" t="n">
        <f aca="false">R10+R43</f>
        <v>1150.693</v>
      </c>
      <c r="S49" s="633" t="n">
        <f aca="false">S10+S43</f>
        <v>369.35</v>
      </c>
      <c r="T49" s="631" t="n">
        <f aca="false">T10+T43</f>
        <v>-61.236</v>
      </c>
      <c r="U49" s="627" t="n">
        <f aca="false">U10+U43</f>
        <v>27438</v>
      </c>
      <c r="V49" s="627" t="n">
        <f aca="false">V10+V43</f>
        <v>11039.9</v>
      </c>
      <c r="W49" s="627" t="n">
        <f aca="false">W10+W43</f>
        <v>65022.345449</v>
      </c>
      <c r="X49" s="627"/>
      <c r="Y49" s="627"/>
      <c r="Z49" s="627"/>
      <c r="AA49" s="627"/>
      <c r="AB49" s="106"/>
      <c r="AC49" s="107"/>
      <c r="AD49" s="627" t="n">
        <f aca="false">AD10+AD43</f>
        <v>30671.61</v>
      </c>
      <c r="AE49" s="627" t="n">
        <f aca="false">AE41</f>
        <v>6298.82307285102</v>
      </c>
      <c r="AF49" s="627" t="n">
        <f aca="false">AF10+AF43</f>
        <v>135056.31</v>
      </c>
      <c r="AG49" s="627" t="n">
        <f aca="false">AG10+AG43</f>
        <v>6807.89572472901</v>
      </c>
      <c r="AH49" s="627" t="n">
        <f aca="false">AH10+AH43</f>
        <v>141864.205724729</v>
      </c>
      <c r="AI49" s="632" t="n">
        <f aca="false">AI10+AI43</f>
        <v>10.73</v>
      </c>
      <c r="AJ49" s="633"/>
      <c r="AK49" s="634"/>
      <c r="AL49" s="633"/>
      <c r="AM49" s="627" t="n">
        <f aca="false">AM10+AM43</f>
        <v>264.7472</v>
      </c>
      <c r="AN49" s="261"/>
      <c r="AO49" s="258"/>
      <c r="AP49" s="633" t="n">
        <f aca="false">AP10+AP43</f>
        <v>0</v>
      </c>
      <c r="AQ49" s="633"/>
    </row>
    <row r="50" customFormat="false" ht="12.95" hidden="false" customHeight="true" outlineLevel="0" collapsed="false">
      <c r="A50" s="187" t="s">
        <v>85</v>
      </c>
      <c r="B50" s="625"/>
      <c r="C50" s="627"/>
      <c r="D50" s="627" t="n">
        <f aca="false">D10+D44</f>
        <v>20357</v>
      </c>
      <c r="E50" s="627" t="n">
        <f aca="false">E41</f>
        <v>139300</v>
      </c>
      <c r="F50" s="628" t="n">
        <f aca="false">F49*$D$2</f>
        <v>20357</v>
      </c>
      <c r="G50" s="627" t="n">
        <f aca="false">G49*$D$2</f>
        <v>265818.7525</v>
      </c>
      <c r="H50" s="633" t="n">
        <f aca="false">H49*$D$2</f>
        <v>6965.595795</v>
      </c>
      <c r="I50" s="627" t="n">
        <f aca="false">I49*$D$2</f>
        <v>272784.348295</v>
      </c>
      <c r="J50" s="627" t="n">
        <f aca="false">J49*$D$2</f>
        <v>28960.30376</v>
      </c>
      <c r="K50" s="627" t="n">
        <f aca="false">K49*$D$2</f>
        <v>301744.652055</v>
      </c>
      <c r="L50" s="627" t="n">
        <f aca="false">L49*$D$2</f>
        <v>15456.84259</v>
      </c>
      <c r="M50" s="629" t="n">
        <f aca="false">M49*$D$2</f>
        <v>81955.64145</v>
      </c>
      <c r="N50" s="627" t="n">
        <f aca="false">N49*$D$2</f>
        <v>684.1445574585</v>
      </c>
      <c r="O50" s="627" t="n">
        <f aca="false">O49*$D$2</f>
        <v>24412.81386625</v>
      </c>
      <c r="P50" s="630"/>
      <c r="Q50" s="633" t="n">
        <f aca="false">Q49*$D$2</f>
        <v>1311.2974038</v>
      </c>
      <c r="R50" s="633" t="n">
        <f aca="false">R49*$D$2</f>
        <v>2282.3995655</v>
      </c>
      <c r="S50" s="633" t="n">
        <f aca="false">S49*$D$2</f>
        <v>732.605725</v>
      </c>
      <c r="T50" s="662" t="n">
        <f aca="false">T49*$D$2</f>
        <v>-121.461606</v>
      </c>
      <c r="U50" s="627" t="n">
        <f aca="false">U49*$D$2</f>
        <v>54423.273</v>
      </c>
      <c r="V50" s="627" t="n">
        <f aca="false">V49*$D$2</f>
        <v>21897.64165</v>
      </c>
      <c r="W50" s="627" t="n">
        <f aca="false">W49*$D$2</f>
        <v>128971.822198092</v>
      </c>
      <c r="X50" s="627"/>
      <c r="Y50" s="627"/>
      <c r="Z50" s="627"/>
      <c r="AA50" s="627"/>
      <c r="AB50" s="106"/>
      <c r="AC50" s="107"/>
      <c r="AD50" s="627" t="n">
        <f aca="false">AD49*$D$2</f>
        <v>60837.138435</v>
      </c>
      <c r="AE50" s="627" t="n">
        <f aca="false">AE49*$D$2</f>
        <v>12493.715565</v>
      </c>
      <c r="AF50" s="627" t="n">
        <f aca="false">AF49*$D$2</f>
        <v>267884.190885</v>
      </c>
      <c r="AG50" s="627" t="n">
        <f aca="false">AG49*$D$2</f>
        <v>13503.46117</v>
      </c>
      <c r="AH50" s="627" t="n">
        <f aca="false">AH49*$D$2</f>
        <v>281387.652055</v>
      </c>
      <c r="AI50" s="632"/>
      <c r="AJ50" s="633"/>
      <c r="AK50" s="634"/>
      <c r="AL50" s="633" t="n">
        <f aca="false">AL41</f>
        <v>10571</v>
      </c>
      <c r="AM50" s="627" t="n">
        <f aca="false">AM49*$D$2</f>
        <v>525.1260712</v>
      </c>
      <c r="AN50" s="261"/>
      <c r="AO50" s="258" t="n">
        <f aca="false">AO10+AO44</f>
        <v>947.056174420096</v>
      </c>
      <c r="AP50" s="633" t="n">
        <f aca="false">AP49*$D$2</f>
        <v>0</v>
      </c>
      <c r="AQ50" s="633"/>
    </row>
    <row r="51" customFormat="false" ht="3" hidden="false" customHeight="true" outlineLevel="0" collapsed="false">
      <c r="A51" s="270"/>
      <c r="B51" s="656"/>
      <c r="C51" s="637"/>
      <c r="D51" s="557"/>
      <c r="E51" s="637"/>
      <c r="F51" s="638"/>
      <c r="G51" s="557"/>
      <c r="H51" s="639"/>
      <c r="I51" s="557"/>
      <c r="J51" s="557"/>
      <c r="K51" s="557"/>
      <c r="L51" s="557"/>
      <c r="M51" s="640"/>
      <c r="N51" s="557"/>
      <c r="O51" s="557"/>
      <c r="P51" s="559"/>
      <c r="Q51" s="559"/>
      <c r="R51" s="559"/>
      <c r="S51" s="559"/>
      <c r="T51" s="641"/>
      <c r="U51" s="557"/>
      <c r="V51" s="557"/>
      <c r="W51" s="557"/>
      <c r="X51" s="637"/>
      <c r="Y51" s="637"/>
      <c r="Z51" s="637"/>
      <c r="AA51" s="557"/>
      <c r="AB51" s="121"/>
      <c r="AC51" s="160"/>
      <c r="AD51" s="557"/>
      <c r="AE51" s="637"/>
      <c r="AF51" s="557"/>
      <c r="AG51" s="557"/>
      <c r="AH51" s="557"/>
      <c r="AI51" s="656"/>
      <c r="AJ51" s="557"/>
      <c r="AK51" s="638"/>
      <c r="AL51" s="557"/>
      <c r="AM51" s="273"/>
      <c r="AN51" s="278"/>
      <c r="AO51" s="275"/>
      <c r="AP51" s="275"/>
      <c r="AQ51" s="275"/>
      <c r="AR51" s="281"/>
    </row>
    <row r="52" customFormat="false" ht="11.1" hidden="false" customHeight="true" outlineLevel="0" collapsed="false">
      <c r="A52" s="301"/>
      <c r="B52" s="301"/>
      <c r="C52" s="180"/>
      <c r="D52" s="301"/>
      <c r="E52" s="180"/>
      <c r="F52" s="301"/>
      <c r="G52" s="302"/>
      <c r="I52" s="169"/>
      <c r="J52" s="301"/>
      <c r="K52" s="301"/>
      <c r="L52" s="301"/>
      <c r="M52" s="183"/>
      <c r="N52" s="11"/>
      <c r="O52" s="183"/>
      <c r="P52" s="181"/>
      <c r="Q52" s="181"/>
      <c r="R52" s="181"/>
      <c r="S52" s="181"/>
      <c r="T52" s="181"/>
      <c r="U52" s="301"/>
      <c r="V52" s="301"/>
      <c r="W52" s="0"/>
      <c r="X52" s="180"/>
      <c r="Y52" s="180"/>
      <c r="Z52" s="180"/>
      <c r="AA52" s="174"/>
      <c r="AB52" s="174"/>
      <c r="AC52" s="174"/>
      <c r="AD52" s="180"/>
      <c r="AE52" s="301"/>
      <c r="AF52" s="301"/>
      <c r="AG52" s="301"/>
      <c r="AH52" s="181"/>
      <c r="AI52" s="184"/>
      <c r="AJ52" s="185"/>
      <c r="AK52" s="186"/>
      <c r="AL52" s="361"/>
      <c r="AM52" s="361"/>
      <c r="AN52" s="395"/>
      <c r="AO52" s="394"/>
    </row>
    <row r="53" customFormat="false" ht="11.1" hidden="false" customHeight="true" outlineLevel="0" collapsed="false">
      <c r="A53" s="179"/>
      <c r="B53" s="620"/>
      <c r="C53" s="11"/>
      <c r="D53" s="168"/>
      <c r="E53" s="509"/>
      <c r="F53" s="532"/>
      <c r="G53" s="0"/>
      <c r="H53" s="16"/>
      <c r="I53" s="12"/>
      <c r="J53" s="10"/>
      <c r="K53" s="169"/>
      <c r="L53" s="183"/>
      <c r="M53" s="10"/>
      <c r="N53" s="11" t="s">
        <v>127</v>
      </c>
      <c r="O53" s="11" t="n">
        <v>24517</v>
      </c>
      <c r="P53" s="538" t="s">
        <v>128</v>
      </c>
      <c r="Q53" s="538"/>
      <c r="R53" s="102"/>
      <c r="S53" s="102"/>
      <c r="T53" s="102"/>
      <c r="U53" s="533"/>
      <c r="V53" s="137"/>
      <c r="W53" s="99"/>
      <c r="X53" s="180"/>
      <c r="Y53" s="243"/>
      <c r="Z53" s="243"/>
      <c r="AA53" s="663"/>
      <c r="AB53" s="663"/>
      <c r="AC53" s="663"/>
      <c r="AD53" s="10"/>
      <c r="AE53" s="11"/>
      <c r="AF53" s="11"/>
      <c r="AG53" s="179"/>
      <c r="AH53" s="181"/>
      <c r="AI53" s="185"/>
      <c r="AJ53" s="185"/>
      <c r="AK53" s="185"/>
      <c r="AL53" s="621"/>
      <c r="AM53" s="621"/>
      <c r="AN53" s="395"/>
      <c r="AO53" s="619"/>
      <c r="AP53" s="664"/>
    </row>
    <row r="54" customFormat="false" ht="11.1" hidden="false" customHeight="true" outlineLevel="0" collapsed="false">
      <c r="A54" s="301"/>
      <c r="B54" s="180"/>
      <c r="E54" s="509"/>
      <c r="F54" s="510"/>
      <c r="G54" s="0"/>
      <c r="H54" s="16"/>
      <c r="I54" s="168"/>
      <c r="J54" s="168"/>
      <c r="K54" s="535"/>
      <c r="L54" s="513"/>
      <c r="M54" s="135"/>
      <c r="N54" s="135"/>
      <c r="O54" s="180" t="n">
        <v>22946</v>
      </c>
      <c r="P54" s="181" t="s">
        <v>129</v>
      </c>
      <c r="Q54" s="181"/>
      <c r="R54" s="102"/>
      <c r="S54" s="102"/>
      <c r="T54" s="102"/>
      <c r="U54" s="477"/>
      <c r="V54" s="477"/>
      <c r="W54" s="99"/>
      <c r="X54" s="180"/>
      <c r="Y54" s="180"/>
      <c r="Z54" s="180"/>
      <c r="AA54" s="180"/>
      <c r="AB54" s="180"/>
      <c r="AC54" s="180"/>
      <c r="AD54" s="11"/>
      <c r="AE54" s="533"/>
      <c r="AF54" s="533"/>
      <c r="AG54" s="301"/>
      <c r="AH54" s="181"/>
      <c r="AI54" s="185"/>
      <c r="AJ54" s="185"/>
      <c r="AK54" s="186"/>
      <c r="AL54" s="361"/>
      <c r="AM54" s="361"/>
      <c r="AN54" s="395"/>
      <c r="AP54" s="664"/>
    </row>
    <row r="55" customFormat="false" ht="11.1" hidden="false" customHeight="true" outlineLevel="0" collapsed="false">
      <c r="A55" s="301"/>
      <c r="B55" s="301"/>
      <c r="C55" s="180"/>
      <c r="D55" s="180"/>
      <c r="E55" s="509"/>
      <c r="F55" s="0"/>
      <c r="G55" s="0"/>
      <c r="H55" s="180"/>
      <c r="I55" s="0"/>
      <c r="J55" s="168"/>
      <c r="K55" s="535"/>
      <c r="L55" s="185"/>
      <c r="M55" s="135"/>
      <c r="N55" s="135"/>
      <c r="O55" s="665" t="n">
        <f aca="false">O53-O54</f>
        <v>1571</v>
      </c>
      <c r="P55" s="181" t="s">
        <v>130</v>
      </c>
      <c r="Q55" s="181"/>
      <c r="R55" s="181"/>
      <c r="S55" s="181"/>
      <c r="T55" s="181"/>
      <c r="U55" s="301"/>
      <c r="V55" s="301"/>
      <c r="W55" s="0"/>
      <c r="X55" s="185"/>
      <c r="Y55" s="185"/>
      <c r="Z55" s="185"/>
      <c r="AA55" s="180"/>
      <c r="AB55" s="180"/>
      <c r="AC55" s="180"/>
      <c r="AD55" s="11"/>
      <c r="AE55" s="180"/>
      <c r="AF55" s="180"/>
      <c r="AG55" s="301"/>
      <c r="AH55" s="512"/>
      <c r="AI55" s="185"/>
      <c r="AJ55" s="185"/>
      <c r="AK55" s="186"/>
      <c r="AL55" s="361"/>
      <c r="AM55" s="361"/>
      <c r="AN55" s="395"/>
      <c r="AP55" s="664"/>
    </row>
    <row r="56" customFormat="false" ht="11.1" hidden="false" customHeight="true" outlineLevel="0" collapsed="false">
      <c r="A56" s="301"/>
      <c r="B56" s="301"/>
      <c r="C56" s="180"/>
      <c r="D56" s="301"/>
      <c r="E56" s="180"/>
      <c r="F56" s="301"/>
      <c r="G56" s="303"/>
      <c r="H56" s="302"/>
      <c r="I56" s="301"/>
      <c r="J56" s="301"/>
      <c r="K56" s="301"/>
      <c r="L56" s="301"/>
      <c r="M56" s="183"/>
      <c r="N56" s="183"/>
      <c r="O56" s="185"/>
      <c r="P56" s="181"/>
      <c r="Q56" s="181"/>
      <c r="R56" s="181"/>
      <c r="S56" s="181"/>
      <c r="T56" s="181"/>
      <c r="U56" s="301"/>
      <c r="V56" s="301"/>
      <c r="W56" s="0"/>
      <c r="X56" s="180"/>
      <c r="Y56" s="180"/>
      <c r="Z56" s="180"/>
      <c r="AD56" s="180"/>
      <c r="AE56" s="301"/>
      <c r="AF56" s="301"/>
      <c r="AG56" s="301"/>
      <c r="AH56" s="181"/>
      <c r="AI56" s="184"/>
      <c r="AJ56" s="185"/>
      <c r="AK56" s="186"/>
      <c r="AL56" s="361"/>
      <c r="AM56" s="361"/>
      <c r="AN56" s="395"/>
      <c r="AP56" s="664"/>
    </row>
    <row r="57" customFormat="false" ht="11.1" hidden="false" customHeight="true" outlineLevel="0" collapsed="false">
      <c r="U57" s="622"/>
      <c r="V57" s="171"/>
      <c r="W57" s="180"/>
      <c r="X57" s="180"/>
      <c r="Y57" s="180"/>
      <c r="Z57" s="180"/>
      <c r="AD57" s="172"/>
      <c r="AF57" s="171"/>
      <c r="AG57" s="171"/>
      <c r="AH57" s="173"/>
      <c r="AI57" s="175"/>
      <c r="AJ57" s="176"/>
      <c r="AK57" s="177"/>
      <c r="AL57" s="623"/>
      <c r="AM57" s="623"/>
      <c r="AP57" s="664"/>
    </row>
    <row r="58" customFormat="false" ht="11.1" hidden="false" customHeight="true" outlineLevel="0" collapsed="false">
      <c r="V58" s="171"/>
      <c r="W58" s="172"/>
      <c r="Y58" s="171"/>
      <c r="Z58" s="171"/>
      <c r="AD58" s="172"/>
      <c r="AF58" s="171"/>
      <c r="AG58" s="171"/>
      <c r="AH58" s="173"/>
      <c r="AI58" s="175"/>
      <c r="AJ58" s="176"/>
      <c r="AK58" s="177"/>
      <c r="AO58" s="394"/>
    </row>
    <row r="59" customFormat="false" ht="11.1" hidden="false" customHeight="true" outlineLevel="0" collapsed="false">
      <c r="R59" s="666"/>
      <c r="S59" s="666"/>
      <c r="T59" s="666"/>
    </row>
    <row r="60" customFormat="false" ht="11.1" hidden="false" customHeight="true" outlineLevel="0" collapsed="false">
      <c r="R60" s="666"/>
      <c r="S60" s="666"/>
      <c r="T60" s="666"/>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5"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R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T31" activeCellId="0" sqref="AT31"/>
    </sheetView>
  </sheetViews>
  <sheetFormatPr defaultColWidth="9.328125" defaultRowHeight="11.1" zeroHeight="false" outlineLevelRow="0" outlineLevelCol="0"/>
  <cols>
    <col collapsed="false" customWidth="true" hidden="false" outlineLevel="0" max="1" min="1" style="171" width="4.66"/>
    <col collapsed="false" customWidth="true" hidden="false" outlineLevel="0" max="2" min="2" style="171" width="6.99"/>
    <col collapsed="false" customWidth="true" hidden="false" outlineLevel="0" max="3" min="3" style="172" width="6.32"/>
    <col collapsed="false" customWidth="true" hidden="false" outlineLevel="0" max="4" min="4" style="171" width="6.99"/>
    <col collapsed="false" customWidth="true" hidden="false" outlineLevel="0" max="5" min="5" style="172" width="6.99"/>
    <col collapsed="false" customWidth="true" hidden="false" outlineLevel="0" max="6" min="6" style="171" width="7.32"/>
    <col collapsed="false" customWidth="true" hidden="false" outlineLevel="0" max="7" min="7" style="171" width="6.82"/>
    <col collapsed="false" customWidth="true" hidden="false" outlineLevel="0" max="8" min="8" style="667" width="5.66"/>
    <col collapsed="false" customWidth="true" hidden="false" outlineLevel="0" max="11" min="9" style="171" width="6.32"/>
    <col collapsed="false" customWidth="true" hidden="false" outlineLevel="0" max="12" min="12" style="171" width="7.16"/>
    <col collapsed="false" customWidth="true" hidden="false" outlineLevel="0" max="13" min="13" style="174" width="5.49"/>
    <col collapsed="false" customWidth="true" hidden="false" outlineLevel="0" max="14" min="14" style="174" width="4.49"/>
    <col collapsed="false" customWidth="true" hidden="false" outlineLevel="0" max="15" min="15" style="174" width="5.49"/>
    <col collapsed="false" customWidth="true" hidden="false" outlineLevel="0" max="16" min="16" style="173" width="4.82"/>
    <col collapsed="false" customWidth="true" hidden="false" outlineLevel="0" max="19" min="17" style="171" width="4.32"/>
    <col collapsed="false" customWidth="true" hidden="false" outlineLevel="0" max="20" min="20" style="173" width="5.49"/>
    <col collapsed="false" customWidth="true" hidden="false" outlineLevel="0" max="21" min="21" style="171" width="5.49"/>
    <col collapsed="false" customWidth="true" hidden="false" outlineLevel="0" max="22" min="22" style="172" width="5.49"/>
    <col collapsed="false" customWidth="true" hidden="false" outlineLevel="0" max="23" min="23" style="171" width="6.32"/>
    <col collapsed="false" customWidth="true" hidden="false" outlineLevel="0" max="24" min="24" style="171" width="5.49"/>
    <col collapsed="false" customWidth="true" hidden="false" outlineLevel="0" max="26" min="25" style="172" width="5.49"/>
    <col collapsed="false" customWidth="true" hidden="false" outlineLevel="0" max="29" min="27" style="171" width="5.49"/>
    <col collapsed="false" customWidth="true" hidden="false" outlineLevel="0" max="30" min="30" style="171" width="6.32"/>
    <col collapsed="false" customWidth="true" hidden="false" outlineLevel="0" max="31" min="31" style="171" width="5.49"/>
    <col collapsed="false" customWidth="true" hidden="false" outlineLevel="0" max="32" min="32" style="173" width="6.32"/>
    <col collapsed="false" customWidth="true" hidden="false" outlineLevel="0" max="34" min="33" style="176" width="6.99"/>
    <col collapsed="false" customWidth="true" hidden="false" outlineLevel="0" max="35" min="35" style="177" width="5.82"/>
    <col collapsed="false" customWidth="true" hidden="false" outlineLevel="0" max="36" min="36" style="171" width="3.82"/>
    <col collapsed="false" customWidth="true" hidden="false" outlineLevel="0" max="37" min="37" style="173" width="3.82"/>
    <col collapsed="false" customWidth="true" hidden="false" outlineLevel="0" max="39" min="38" style="171" width="5.49"/>
    <col collapsed="false" customWidth="true" hidden="false" outlineLevel="0" max="40" min="40" style="174" width="6.32"/>
    <col collapsed="false" customWidth="true" hidden="false" outlineLevel="0" max="41" min="41" style="173" width="6.32"/>
    <col collapsed="false" customWidth="true" hidden="false" outlineLevel="0" max="42" min="42" style="171" width="6.32"/>
    <col collapsed="false" customWidth="true" hidden="false" outlineLevel="0" max="43" min="43" style="171" width="6.49"/>
    <col collapsed="false" customWidth="true" hidden="false" outlineLevel="0" max="44" min="44" style="176" width="4.66"/>
    <col collapsed="false" customWidth="false" hidden="false" outlineLevel="0" max="257" min="45" style="171" width="9.32"/>
  </cols>
  <sheetData>
    <row r="1" customFormat="false" ht="14.1" hidden="false" customHeight="true" outlineLevel="0" collapsed="false">
      <c r="A1" s="179"/>
      <c r="B1" s="179"/>
      <c r="C1" s="180"/>
      <c r="D1" s="179"/>
      <c r="E1" s="180"/>
      <c r="F1" s="179"/>
      <c r="G1" s="179"/>
      <c r="H1" s="668"/>
      <c r="I1" s="179"/>
      <c r="J1" s="179"/>
      <c r="K1" s="182" t="s">
        <v>0</v>
      </c>
      <c r="L1" s="179"/>
      <c r="M1" s="179"/>
      <c r="N1" s="179"/>
      <c r="O1" s="179"/>
      <c r="P1" s="181"/>
      <c r="Q1" s="179"/>
      <c r="R1" s="179"/>
      <c r="S1" s="179"/>
      <c r="T1" s="181"/>
      <c r="U1" s="179"/>
      <c r="V1" s="179"/>
      <c r="W1" s="180"/>
      <c r="X1" s="179"/>
      <c r="Y1" s="179"/>
      <c r="Z1" s="179"/>
      <c r="AA1" s="179"/>
      <c r="AB1" s="179"/>
      <c r="AC1" s="179"/>
      <c r="AD1" s="180"/>
      <c r="AE1" s="179"/>
      <c r="AF1" s="179"/>
      <c r="AG1" s="179"/>
      <c r="AH1" s="181"/>
      <c r="AI1" s="185"/>
      <c r="AJ1" s="185"/>
      <c r="AK1" s="186"/>
      <c r="AL1" s="306"/>
      <c r="AM1" s="306"/>
      <c r="AN1" s="395"/>
      <c r="AR1" s="365"/>
    </row>
    <row r="2" customFormat="false" ht="14.1" hidden="false" customHeight="true" outlineLevel="0" collapsed="false">
      <c r="A2" s="187" t="s">
        <v>1</v>
      </c>
      <c r="B2" s="179"/>
      <c r="C2" s="180"/>
      <c r="D2" s="188" t="n">
        <v>1.9835</v>
      </c>
      <c r="E2" s="180"/>
      <c r="F2" s="179"/>
      <c r="G2" s="179"/>
      <c r="H2" s="668"/>
      <c r="I2" s="179"/>
      <c r="J2" s="179"/>
      <c r="K2" s="189" t="s">
        <v>131</v>
      </c>
      <c r="L2" s="189"/>
      <c r="M2" s="189"/>
      <c r="N2" s="189"/>
      <c r="O2" s="189"/>
      <c r="P2" s="189"/>
      <c r="Q2" s="189"/>
      <c r="R2" s="189"/>
      <c r="S2" s="189"/>
      <c r="T2" s="189"/>
      <c r="U2" s="189"/>
      <c r="V2" s="189"/>
      <c r="W2" s="189"/>
      <c r="X2" s="189"/>
      <c r="Y2" s="189"/>
      <c r="Z2" s="189"/>
      <c r="AA2" s="179"/>
      <c r="AB2" s="179"/>
      <c r="AC2" s="179"/>
      <c r="AD2" s="180"/>
      <c r="AE2" s="179"/>
      <c r="AF2" s="179"/>
      <c r="AG2" s="179"/>
      <c r="AH2" s="181"/>
      <c r="AI2" s="185"/>
      <c r="AJ2" s="185"/>
      <c r="AK2" s="186"/>
      <c r="AL2" s="306"/>
      <c r="AM2" s="306"/>
      <c r="AN2" s="395"/>
      <c r="AR2" s="365"/>
    </row>
    <row r="3" customFormat="false" ht="14.1" hidden="false" customHeight="true" outlineLevel="0" collapsed="false">
      <c r="A3" s="190"/>
      <c r="B3" s="190"/>
      <c r="C3" s="191"/>
      <c r="D3" s="192"/>
      <c r="E3" s="191"/>
      <c r="F3" s="190"/>
      <c r="G3" s="190"/>
      <c r="H3" s="669"/>
      <c r="I3" s="190"/>
      <c r="J3" s="190"/>
      <c r="K3" s="190"/>
      <c r="L3" s="190"/>
      <c r="M3" s="190"/>
      <c r="N3" s="190"/>
      <c r="O3" s="190"/>
      <c r="P3" s="193"/>
      <c r="Q3" s="190"/>
      <c r="R3" s="190"/>
      <c r="S3" s="190"/>
      <c r="T3" s="193"/>
      <c r="U3" s="190"/>
      <c r="V3" s="190"/>
      <c r="W3" s="191"/>
      <c r="X3" s="190"/>
      <c r="Y3" s="190"/>
      <c r="Z3" s="190"/>
      <c r="AA3" s="190"/>
      <c r="AB3" s="190"/>
      <c r="AC3" s="190"/>
      <c r="AD3" s="191"/>
      <c r="AE3" s="190"/>
      <c r="AF3" s="190"/>
      <c r="AG3" s="190"/>
      <c r="AH3" s="193"/>
      <c r="AI3" s="196"/>
      <c r="AJ3" s="196"/>
      <c r="AK3" s="197"/>
      <c r="AL3" s="309"/>
      <c r="AM3" s="309"/>
      <c r="AN3" s="397"/>
      <c r="AO3" s="564"/>
      <c r="AR3" s="365"/>
    </row>
    <row r="4" s="213" customFormat="true" ht="14.1" hidden="false" customHeight="true" outlineLevel="0" collapsed="false">
      <c r="A4" s="201"/>
      <c r="B4" s="202"/>
      <c r="C4" s="203"/>
      <c r="D4" s="311" t="s">
        <v>3</v>
      </c>
      <c r="E4" s="203"/>
      <c r="F4" s="205"/>
      <c r="G4" s="201"/>
      <c r="H4" s="565"/>
      <c r="I4" s="201"/>
      <c r="J4" s="201"/>
      <c r="K4" s="201"/>
      <c r="L4" s="201"/>
      <c r="M4" s="201"/>
      <c r="N4" s="201"/>
      <c r="O4" s="201"/>
      <c r="P4" s="206"/>
      <c r="Q4" s="206"/>
      <c r="R4" s="206"/>
      <c r="S4" s="206"/>
      <c r="T4" s="206"/>
      <c r="U4" s="207" t="s">
        <v>4</v>
      </c>
      <c r="V4" s="201"/>
      <c r="W4" s="208"/>
      <c r="X4" s="201"/>
      <c r="Y4" s="201"/>
      <c r="Z4" s="201"/>
      <c r="AA4" s="201"/>
      <c r="AB4" s="201"/>
      <c r="AC4" s="201"/>
      <c r="AD4" s="208"/>
      <c r="AE4" s="201"/>
      <c r="AF4" s="201"/>
      <c r="AG4" s="201"/>
      <c r="AH4" s="206"/>
      <c r="AI4" s="210"/>
      <c r="AJ4" s="211" t="s">
        <v>5</v>
      </c>
      <c r="AK4" s="212"/>
      <c r="AL4" s="201"/>
      <c r="AM4" s="201"/>
      <c r="AN4" s="566" t="s">
        <v>6</v>
      </c>
      <c r="AO4" s="566"/>
      <c r="AP4" s="567"/>
      <c r="AQ4" s="217"/>
      <c r="AR4" s="483"/>
    </row>
    <row r="5" s="544" customFormat="true" ht="12.95" hidden="false" customHeight="true" outlineLevel="0" collapsed="false">
      <c r="A5" s="248" t="s">
        <v>7</v>
      </c>
      <c r="B5" s="487" t="s">
        <v>8</v>
      </c>
      <c r="C5" s="244" t="s">
        <v>8</v>
      </c>
      <c r="D5" s="248" t="s">
        <v>9</v>
      </c>
      <c r="E5" s="244" t="s">
        <v>10</v>
      </c>
      <c r="F5" s="542" t="s">
        <v>11</v>
      </c>
      <c r="G5" s="248" t="s">
        <v>12</v>
      </c>
      <c r="H5" s="239" t="s">
        <v>13</v>
      </c>
      <c r="I5" s="248" t="s">
        <v>14</v>
      </c>
      <c r="J5" s="248" t="s">
        <v>15</v>
      </c>
      <c r="K5" s="248" t="s">
        <v>16</v>
      </c>
      <c r="L5" s="248" t="s">
        <v>15</v>
      </c>
      <c r="M5" s="223" t="s">
        <v>17</v>
      </c>
      <c r="N5" s="223"/>
      <c r="O5" s="223"/>
      <c r="P5" s="223"/>
      <c r="Q5" s="223"/>
      <c r="R5" s="223"/>
      <c r="S5" s="223"/>
      <c r="T5" s="223"/>
      <c r="U5" s="441" t="s">
        <v>18</v>
      </c>
      <c r="V5" s="441" t="s">
        <v>19</v>
      </c>
      <c r="W5" s="441" t="s">
        <v>16</v>
      </c>
      <c r="X5" s="87" t="s">
        <v>20</v>
      </c>
      <c r="Y5" s="87" t="s">
        <v>21</v>
      </c>
      <c r="Z5" s="244" t="s">
        <v>20</v>
      </c>
      <c r="AA5" s="441" t="s">
        <v>22</v>
      </c>
      <c r="AB5" s="225" t="s">
        <v>96</v>
      </c>
      <c r="AC5" s="226"/>
      <c r="AD5" s="441" t="s">
        <v>24</v>
      </c>
      <c r="AE5" s="244" t="s">
        <v>110</v>
      </c>
      <c r="AF5" s="248" t="s">
        <v>14</v>
      </c>
      <c r="AG5" s="248" t="s">
        <v>15</v>
      </c>
      <c r="AH5" s="248" t="s">
        <v>16</v>
      </c>
      <c r="AI5" s="543" t="s">
        <v>132</v>
      </c>
      <c r="AJ5" s="238" t="s">
        <v>27</v>
      </c>
      <c r="AK5" s="368" t="s">
        <v>28</v>
      </c>
      <c r="AL5" s="76" t="s">
        <v>88</v>
      </c>
      <c r="AM5" s="76" t="s">
        <v>20</v>
      </c>
      <c r="AN5" s="448" t="s">
        <v>89</v>
      </c>
      <c r="AO5" s="448" t="s">
        <v>89</v>
      </c>
      <c r="AP5" s="76" t="s">
        <v>30</v>
      </c>
      <c r="AQ5" s="231" t="s">
        <v>31</v>
      </c>
      <c r="AR5" s="238" t="s">
        <v>120</v>
      </c>
    </row>
    <row r="6" s="544" customFormat="true" ht="12.95" hidden="false" customHeight="true" outlineLevel="0" collapsed="false">
      <c r="A6" s="492" t="s">
        <v>133</v>
      </c>
      <c r="B6" s="487" t="s">
        <v>33</v>
      </c>
      <c r="C6" s="244" t="s">
        <v>9</v>
      </c>
      <c r="D6" s="248" t="s">
        <v>34</v>
      </c>
      <c r="E6" s="244" t="s">
        <v>35</v>
      </c>
      <c r="F6" s="542" t="s">
        <v>36</v>
      </c>
      <c r="G6" s="248" t="s">
        <v>37</v>
      </c>
      <c r="H6" s="239" t="s">
        <v>38</v>
      </c>
      <c r="I6" s="248" t="s">
        <v>39</v>
      </c>
      <c r="J6" s="248" t="s">
        <v>39</v>
      </c>
      <c r="K6" s="248" t="s">
        <v>39</v>
      </c>
      <c r="L6" s="248" t="s">
        <v>40</v>
      </c>
      <c r="M6" s="493" t="s">
        <v>41</v>
      </c>
      <c r="N6" s="248" t="s">
        <v>117</v>
      </c>
      <c r="O6" s="248" t="s">
        <v>43</v>
      </c>
      <c r="P6" s="249" t="s">
        <v>44</v>
      </c>
      <c r="Q6" s="248" t="s">
        <v>45</v>
      </c>
      <c r="R6" s="248" t="s">
        <v>46</v>
      </c>
      <c r="S6" s="248" t="s">
        <v>47</v>
      </c>
      <c r="T6" s="250" t="s">
        <v>48</v>
      </c>
      <c r="U6" s="441" t="s">
        <v>49</v>
      </c>
      <c r="V6" s="441" t="s">
        <v>50</v>
      </c>
      <c r="W6" s="441" t="s">
        <v>20</v>
      </c>
      <c r="X6" s="87" t="s">
        <v>60</v>
      </c>
      <c r="Y6" s="244" t="s">
        <v>52</v>
      </c>
      <c r="Z6" s="244" t="s">
        <v>53</v>
      </c>
      <c r="AA6" s="441" t="s">
        <v>54</v>
      </c>
      <c r="AB6" s="234"/>
      <c r="AC6" s="236"/>
      <c r="AD6" s="441" t="s">
        <v>56</v>
      </c>
      <c r="AE6" s="244" t="s">
        <v>57</v>
      </c>
      <c r="AF6" s="248" t="s">
        <v>58</v>
      </c>
      <c r="AG6" s="248" t="s">
        <v>58</v>
      </c>
      <c r="AH6" s="248" t="s">
        <v>58</v>
      </c>
      <c r="AI6" s="545"/>
      <c r="AJ6" s="238" t="s">
        <v>59</v>
      </c>
      <c r="AK6" s="368" t="s">
        <v>59</v>
      </c>
      <c r="AL6" s="76" t="s">
        <v>60</v>
      </c>
      <c r="AM6" s="76" t="s">
        <v>61</v>
      </c>
      <c r="AN6" s="448" t="s">
        <v>62</v>
      </c>
      <c r="AO6" s="448" t="s">
        <v>62</v>
      </c>
      <c r="AP6" s="76" t="s">
        <v>63</v>
      </c>
      <c r="AQ6" s="231" t="s">
        <v>64</v>
      </c>
      <c r="AR6" s="238" t="s">
        <v>122</v>
      </c>
    </row>
    <row r="7" s="544" customFormat="true" ht="12.95" hidden="false" customHeight="true" outlineLevel="0" collapsed="false">
      <c r="A7" s="248"/>
      <c r="B7" s="487"/>
      <c r="C7" s="244"/>
      <c r="D7" s="248"/>
      <c r="E7" s="244" t="s">
        <v>65</v>
      </c>
      <c r="F7" s="542"/>
      <c r="G7" s="248"/>
      <c r="H7" s="239"/>
      <c r="I7" s="248"/>
      <c r="J7" s="248"/>
      <c r="K7" s="248"/>
      <c r="L7" s="248"/>
      <c r="M7" s="493"/>
      <c r="N7" s="248"/>
      <c r="O7" s="248" t="s">
        <v>67</v>
      </c>
      <c r="P7" s="249"/>
      <c r="Q7" s="248"/>
      <c r="R7" s="248"/>
      <c r="S7" s="248" t="s">
        <v>43</v>
      </c>
      <c r="T7" s="250" t="s">
        <v>68</v>
      </c>
      <c r="U7" s="441"/>
      <c r="V7" s="441"/>
      <c r="W7" s="441"/>
      <c r="X7" s="87"/>
      <c r="Y7" s="87"/>
      <c r="Z7" s="87"/>
      <c r="AA7" s="441"/>
      <c r="AB7" s="247"/>
      <c r="AC7" s="251"/>
      <c r="AD7" s="441"/>
      <c r="AE7" s="87"/>
      <c r="AF7" s="441"/>
      <c r="AG7" s="441"/>
      <c r="AH7" s="441"/>
      <c r="AI7" s="545"/>
      <c r="AJ7" s="238"/>
      <c r="AK7" s="368"/>
      <c r="AL7" s="76" t="s">
        <v>65</v>
      </c>
      <c r="AM7" s="76" t="s">
        <v>36</v>
      </c>
      <c r="AN7" s="448" t="s">
        <v>107</v>
      </c>
      <c r="AO7" s="448" t="s">
        <v>93</v>
      </c>
      <c r="AP7" s="76" t="s">
        <v>72</v>
      </c>
      <c r="AQ7" s="231" t="s">
        <v>73</v>
      </c>
      <c r="AR7" s="238" t="s">
        <v>55</v>
      </c>
    </row>
    <row r="8" s="544" customFormat="true" ht="12.95" hidden="false" customHeight="true" outlineLevel="0" collapsed="false">
      <c r="A8" s="248"/>
      <c r="B8" s="487"/>
      <c r="C8" s="244"/>
      <c r="D8" s="248"/>
      <c r="E8" s="244"/>
      <c r="F8" s="542"/>
      <c r="G8" s="248"/>
      <c r="H8" s="239"/>
      <c r="I8" s="248"/>
      <c r="J8" s="248"/>
      <c r="K8" s="248"/>
      <c r="L8" s="248"/>
      <c r="M8" s="493"/>
      <c r="N8" s="254" t="n">
        <v>1.03</v>
      </c>
      <c r="O8" s="254" t="n">
        <v>1.05</v>
      </c>
      <c r="P8" s="249" t="n">
        <v>1.02</v>
      </c>
      <c r="Q8" s="254" t="n">
        <v>1.02</v>
      </c>
      <c r="R8" s="254" t="n">
        <v>1.04</v>
      </c>
      <c r="S8" s="248" t="s">
        <v>53</v>
      </c>
      <c r="T8" s="250"/>
      <c r="U8" s="248"/>
      <c r="V8" s="248"/>
      <c r="W8" s="248"/>
      <c r="X8" s="244"/>
      <c r="Y8" s="244"/>
      <c r="Z8" s="244"/>
      <c r="AA8" s="248"/>
      <c r="AB8" s="247"/>
      <c r="AC8" s="251"/>
      <c r="AD8" s="248"/>
      <c r="AE8" s="244"/>
      <c r="AF8" s="248"/>
      <c r="AG8" s="248"/>
      <c r="AH8" s="248"/>
      <c r="AI8" s="545"/>
      <c r="AJ8" s="238"/>
      <c r="AK8" s="368"/>
      <c r="AL8" s="76"/>
      <c r="AM8" s="76"/>
      <c r="AN8" s="448"/>
      <c r="AO8" s="448" t="s">
        <v>69</v>
      </c>
      <c r="AP8" s="568"/>
      <c r="AR8" s="76"/>
    </row>
    <row r="9" customFormat="false" ht="12.95" hidden="false" customHeight="true" outlineLevel="0" collapsed="false">
      <c r="A9" s="187" t="s">
        <v>75</v>
      </c>
      <c r="B9" s="256"/>
      <c r="C9" s="115"/>
      <c r="D9" s="115"/>
      <c r="E9" s="115"/>
      <c r="F9" s="257" t="n">
        <f aca="false">SEP!F46</f>
        <v>-9331.98890849509</v>
      </c>
      <c r="G9" s="115" t="n">
        <f aca="false">SEP!G46</f>
        <v>111394</v>
      </c>
      <c r="H9" s="670" t="n">
        <f aca="false">SEP!H46</f>
        <v>2024.19</v>
      </c>
      <c r="I9" s="115" t="n">
        <f aca="false">SEP!I46</f>
        <v>113418.19</v>
      </c>
      <c r="J9" s="115" t="n">
        <f aca="false">SEP!J46</f>
        <v>7511.67260398286</v>
      </c>
      <c r="K9" s="115" t="n">
        <f aca="false">SEP!K46</f>
        <v>120929.862603983</v>
      </c>
      <c r="L9" s="115" t="n">
        <f aca="false">SEP!L46</f>
        <v>2044.63109150492</v>
      </c>
      <c r="M9" s="259" t="n">
        <f aca="false">SEP!M46</f>
        <v>40322.3</v>
      </c>
      <c r="N9" s="115" t="n">
        <f aca="false">SEP!N46</f>
        <v>344.917851</v>
      </c>
      <c r="O9" s="115" t="n">
        <f aca="false">SEP!O46</f>
        <v>12307.9475</v>
      </c>
      <c r="P9" s="258" t="n">
        <f aca="false">SEP!P46</f>
        <v>7.32</v>
      </c>
      <c r="Q9" s="115"/>
      <c r="R9" s="115"/>
      <c r="S9" s="115"/>
      <c r="T9" s="260"/>
      <c r="U9" s="115" t="n">
        <f aca="false">SEP!U46</f>
        <v>22063</v>
      </c>
      <c r="V9" s="115" t="n">
        <f aca="false">SEP!V46</f>
        <v>10913.8</v>
      </c>
      <c r="W9" s="115" t="n">
        <f aca="false">SEP!W46</f>
        <v>59385.329849</v>
      </c>
      <c r="X9" s="115" t="n">
        <f aca="false">SEP!X46</f>
        <v>0</v>
      </c>
      <c r="Y9" s="115" t="n">
        <f aca="false">SEP!Y41</f>
        <v>0</v>
      </c>
      <c r="Z9" s="115" t="n">
        <f aca="false">SEP!Z41</f>
        <v>56.5693882967736</v>
      </c>
      <c r="AA9" s="115" t="n">
        <f aca="false">SEP!AA46</f>
        <v>24868.7</v>
      </c>
      <c r="AB9" s="115" t="n">
        <f aca="false">SEP!AB46</f>
        <v>311.1</v>
      </c>
      <c r="AC9" s="115" t="n">
        <f aca="false">SEP!AC46</f>
        <v>237.9</v>
      </c>
      <c r="AD9" s="115"/>
      <c r="AE9" s="115"/>
      <c r="AF9" s="115" t="n">
        <f aca="false">SEP!AF46</f>
        <v>124794.81</v>
      </c>
      <c r="AG9" s="115" t="n">
        <f aca="false">SEP!AG46</f>
        <v>5467.04151247794</v>
      </c>
      <c r="AH9" s="115" t="n">
        <f aca="false">SEP!AH46</f>
        <v>130261.851512478</v>
      </c>
      <c r="AI9" s="392"/>
      <c r="AJ9" s="264"/>
      <c r="AK9" s="265"/>
      <c r="AL9" s="264"/>
      <c r="AM9" s="264"/>
      <c r="AN9" s="261"/>
      <c r="AO9" s="258" t="n">
        <f aca="false">SEP!AO47</f>
        <v>947.056174420096</v>
      </c>
      <c r="AP9" s="264" t="n">
        <f aca="false">SEP!AP46</f>
        <v>1036.55</v>
      </c>
      <c r="AQ9" s="264" t="n">
        <f aca="false">SEP!AQ46</f>
        <v>339.21</v>
      </c>
      <c r="AR9" s="264"/>
    </row>
    <row r="10" s="172" customFormat="true" ht="12.95" hidden="false" customHeight="true" outlineLevel="0" collapsed="false">
      <c r="A10" s="267" t="s">
        <v>76</v>
      </c>
      <c r="B10" s="114" t="n">
        <f aca="false">SEP!B41</f>
        <v>6902.07</v>
      </c>
      <c r="C10" s="115" t="n">
        <f aca="false">SEP!C41</f>
        <v>291278</v>
      </c>
      <c r="D10" s="115" t="n">
        <f aca="false">SEP!D50</f>
        <v>20357</v>
      </c>
      <c r="E10" s="115" t="n">
        <f aca="false">SEP!E50</f>
        <v>139300</v>
      </c>
      <c r="F10" s="257" t="n">
        <f aca="false">SEP!F49</f>
        <v>10263.1711620872</v>
      </c>
      <c r="G10" s="115" t="n">
        <f aca="false">SEP!G49</f>
        <v>134015</v>
      </c>
      <c r="H10" s="670" t="n">
        <f aca="false">SEP!H49</f>
        <v>3511.77</v>
      </c>
      <c r="I10" s="115" t="n">
        <f aca="false">SEP!I49</f>
        <v>137526.77</v>
      </c>
      <c r="J10" s="115" t="n">
        <f aca="false">SEP!J49</f>
        <v>14600.6068868162</v>
      </c>
      <c r="K10" s="115" t="n">
        <f aca="false">SEP!K49</f>
        <v>152127.376886816</v>
      </c>
      <c r="L10" s="115" t="n">
        <f aca="false">SEP!L49</f>
        <v>7792.71116208722</v>
      </c>
      <c r="M10" s="259" t="n">
        <f aca="false">SEP!M49</f>
        <v>41318.7</v>
      </c>
      <c r="N10" s="115" t="n">
        <f aca="false">SEP!N49</f>
        <v>344.917851</v>
      </c>
      <c r="O10" s="115" t="n">
        <f aca="false">SEP!O49</f>
        <v>12307.9475</v>
      </c>
      <c r="P10" s="258"/>
      <c r="Q10" s="115" t="n">
        <f aca="false">SEP!Q49</f>
        <v>661.1028</v>
      </c>
      <c r="R10" s="264" t="n">
        <f aca="false">SEP!R49</f>
        <v>1150.693</v>
      </c>
      <c r="S10" s="115" t="n">
        <f aca="false">SEP!S49</f>
        <v>369.35</v>
      </c>
      <c r="T10" s="260" t="n">
        <f aca="false">SEP!T49</f>
        <v>-61.236</v>
      </c>
      <c r="U10" s="115" t="n">
        <f aca="false">SEP!U49</f>
        <v>27438</v>
      </c>
      <c r="V10" s="115" t="n">
        <f aca="false">SEP!V49</f>
        <v>11039.9</v>
      </c>
      <c r="W10" s="115" t="n">
        <f aca="false">SEP!W49</f>
        <v>65022.345449</v>
      </c>
      <c r="X10" s="115"/>
      <c r="Y10" s="115" t="n">
        <f aca="false">SEP!Y49</f>
        <v>0</v>
      </c>
      <c r="Z10" s="115"/>
      <c r="AA10" s="115" t="n">
        <f aca="false">SEP!AA49</f>
        <v>0</v>
      </c>
      <c r="AB10" s="259"/>
      <c r="AC10" s="262"/>
      <c r="AD10" s="115" t="n">
        <f aca="false">SEP!AD49</f>
        <v>30671.61</v>
      </c>
      <c r="AE10" s="115" t="n">
        <f aca="false">SEP!AE49</f>
        <v>6298.82307285102</v>
      </c>
      <c r="AF10" s="115" t="n">
        <f aca="false">SEP!AF49</f>
        <v>135056.31</v>
      </c>
      <c r="AG10" s="115" t="n">
        <f aca="false">SEP!AG49</f>
        <v>6807.89572472901</v>
      </c>
      <c r="AH10" s="115" t="n">
        <f aca="false">SEP!AH49</f>
        <v>141864.205724729</v>
      </c>
      <c r="AI10" s="392" t="n">
        <f aca="false">SEP!AI49</f>
        <v>10.73</v>
      </c>
      <c r="AJ10" s="264"/>
      <c r="AK10" s="265"/>
      <c r="AL10" s="264" t="n">
        <f aca="false">SEP!AL50</f>
        <v>10571</v>
      </c>
      <c r="AM10" s="264" t="n">
        <f aca="false">SEP!AM49</f>
        <v>264.7472</v>
      </c>
      <c r="AN10" s="261"/>
      <c r="AO10" s="258" t="n">
        <f aca="false">SEP!AO50</f>
        <v>947.056174420096</v>
      </c>
      <c r="AP10" s="264" t="n">
        <f aca="false">SEP!AP49</f>
        <v>0</v>
      </c>
      <c r="AQ10" s="264" t="n">
        <f aca="false">SEP!AQ49</f>
        <v>0</v>
      </c>
      <c r="AR10" s="264" t="n">
        <f aca="false">SEP!AR46</f>
        <v>735.708</v>
      </c>
    </row>
    <row r="11" customFormat="false" ht="3" hidden="false" customHeight="true" outlineLevel="0" collapsed="false">
      <c r="A11" s="270"/>
      <c r="B11" s="271"/>
      <c r="C11" s="272"/>
      <c r="D11" s="273"/>
      <c r="E11" s="272"/>
      <c r="F11" s="274"/>
      <c r="G11" s="273"/>
      <c r="H11" s="671"/>
      <c r="I11" s="273"/>
      <c r="J11" s="273"/>
      <c r="K11" s="273"/>
      <c r="L11" s="273"/>
      <c r="M11" s="276"/>
      <c r="N11" s="273"/>
      <c r="O11" s="273"/>
      <c r="P11" s="275"/>
      <c r="Q11" s="273"/>
      <c r="R11" s="273"/>
      <c r="S11" s="273"/>
      <c r="T11" s="277"/>
      <c r="U11" s="273"/>
      <c r="V11" s="273"/>
      <c r="W11" s="273"/>
      <c r="X11" s="272"/>
      <c r="Y11" s="272"/>
      <c r="Z11" s="272"/>
      <c r="AA11" s="273"/>
      <c r="AB11" s="276"/>
      <c r="AC11" s="279"/>
      <c r="AD11" s="273"/>
      <c r="AE11" s="272"/>
      <c r="AF11" s="273"/>
      <c r="AG11" s="273"/>
      <c r="AH11" s="273"/>
      <c r="AI11" s="547"/>
      <c r="AJ11" s="281"/>
      <c r="AK11" s="282"/>
      <c r="AL11" s="281"/>
      <c r="AM11" s="281"/>
      <c r="AN11" s="278"/>
      <c r="AO11" s="275"/>
      <c r="AP11" s="275"/>
      <c r="AQ11" s="275"/>
      <c r="AR11" s="281" t="s">
        <v>126</v>
      </c>
    </row>
    <row r="12" customFormat="false" ht="12.95" hidden="false" customHeight="true" outlineLevel="0" collapsed="false">
      <c r="A12" s="186" t="n">
        <v>1</v>
      </c>
      <c r="B12" s="114" t="n">
        <v>6901.98</v>
      </c>
      <c r="C12" s="115" t="n">
        <v>290940</v>
      </c>
      <c r="D12" s="264" t="n">
        <f aca="false">C12-C10</f>
        <v>-338</v>
      </c>
      <c r="E12" s="115" t="n">
        <f aca="false">C12-152000</f>
        <v>138940</v>
      </c>
      <c r="F12" s="283" t="n">
        <f aca="false">D12/$D$2</f>
        <v>-170.405848248046</v>
      </c>
      <c r="G12" s="141" t="n">
        <v>214</v>
      </c>
      <c r="H12" s="672" t="n">
        <v>0</v>
      </c>
      <c r="I12" s="141" t="n">
        <f aca="false">G12+H12</f>
        <v>214</v>
      </c>
      <c r="J12" s="261" t="n">
        <f aca="false">IF(L12&gt;0,L12,0)</f>
        <v>0</v>
      </c>
      <c r="K12" s="141" t="n">
        <f aca="false">I12+J12</f>
        <v>214</v>
      </c>
      <c r="L12" s="141" t="n">
        <f aca="false">F12-(I12-AF12)</f>
        <v>-111.405848248046</v>
      </c>
      <c r="M12" s="284" t="n">
        <v>103</v>
      </c>
      <c r="N12" s="258" t="n">
        <f aca="false">1.8299*1.03</f>
        <v>1.884797</v>
      </c>
      <c r="O12" s="141" t="n">
        <f aca="false">(4.7+3.6)*1.05</f>
        <v>8.715</v>
      </c>
      <c r="P12" s="630" t="n">
        <v>0</v>
      </c>
      <c r="Q12" s="206" t="n">
        <f aca="false">1.63*1.02</f>
        <v>1.6626</v>
      </c>
      <c r="R12" s="650" t="n">
        <v>4.2</v>
      </c>
      <c r="S12" s="650" t="n">
        <v>0.33</v>
      </c>
      <c r="T12" s="651" t="n">
        <v>0</v>
      </c>
      <c r="U12" s="141" t="n">
        <v>72</v>
      </c>
      <c r="V12" s="141" t="n">
        <v>48</v>
      </c>
      <c r="W12" s="141" t="n">
        <f aca="false">M12-(N12-AQ12)-O12-P12-Q12-R12-S12-T12+U12+V12-AQ12+O12</f>
        <v>214.922603</v>
      </c>
      <c r="X12" s="115" t="n">
        <v>0</v>
      </c>
      <c r="Y12" s="115" t="n">
        <v>0</v>
      </c>
      <c r="Z12" s="627" t="n">
        <f aca="false">Z9-(W12-I12)-Q12-R12-AB12-(AO12/1.9835)</f>
        <v>48.0760423014812</v>
      </c>
      <c r="AA12" s="141" t="n">
        <v>14</v>
      </c>
      <c r="AB12" s="142" t="n">
        <v>1.7</v>
      </c>
      <c r="AC12" s="143" t="n">
        <v>1.3</v>
      </c>
      <c r="AD12" s="548" t="n">
        <v>36</v>
      </c>
      <c r="AE12" s="497" t="n">
        <f aca="false">AE10-AD12</f>
        <v>6262.82307285102</v>
      </c>
      <c r="AF12" s="654" t="n">
        <f aca="false">N12+O12+P12+Q12+R12+S12+T12+W12+AA12+AD12-O12</f>
        <v>273</v>
      </c>
      <c r="AG12" s="141" t="n">
        <f aca="false">IF(L12&lt;0,L12*-1,0)</f>
        <v>111.405848248046</v>
      </c>
      <c r="AH12" s="141" t="n">
        <f aca="false">AF12+AG12</f>
        <v>384.405848248046</v>
      </c>
      <c r="AI12" s="392" t="n">
        <v>0.05</v>
      </c>
      <c r="AJ12" s="264" t="n">
        <v>71</v>
      </c>
      <c r="AK12" s="265" t="n">
        <v>34</v>
      </c>
      <c r="AL12" s="264" t="n">
        <f aca="false">AL10</f>
        <v>10571</v>
      </c>
      <c r="AM12" s="264"/>
      <c r="AN12" s="261" t="n">
        <v>0</v>
      </c>
      <c r="AO12" s="258" t="n">
        <f aca="false">20*(X9*1.9835+Y9*1.9835+Z9*1.9835)/E12</f>
        <v>0.0161516311626098</v>
      </c>
      <c r="AP12" s="115"/>
      <c r="AQ12" s="171" t="n">
        <v>1.09</v>
      </c>
      <c r="AR12" s="365" t="n">
        <f aca="false">AR10+O12</f>
        <v>744.423</v>
      </c>
    </row>
    <row r="13" customFormat="false" ht="12.95" hidden="false" customHeight="true" outlineLevel="0" collapsed="false">
      <c r="A13" s="186" t="n">
        <f aca="false">A12+1</f>
        <v>2</v>
      </c>
      <c r="B13" s="114" t="n">
        <v>6901.95</v>
      </c>
      <c r="C13" s="115" t="n">
        <v>290828</v>
      </c>
      <c r="D13" s="264" t="n">
        <f aca="false">C13-C12</f>
        <v>-112</v>
      </c>
      <c r="E13" s="115" t="n">
        <f aca="false">C13-152000</f>
        <v>138828</v>
      </c>
      <c r="F13" s="283" t="n">
        <f aca="false">D13/$D$2</f>
        <v>-56.4658432064532</v>
      </c>
      <c r="G13" s="141" t="n">
        <v>233</v>
      </c>
      <c r="H13" s="672" t="n">
        <v>0</v>
      </c>
      <c r="I13" s="141" t="n">
        <f aca="false">G13+H13</f>
        <v>233</v>
      </c>
      <c r="J13" s="261" t="n">
        <f aca="false">IF(L13&gt;0,L13,0)</f>
        <v>0</v>
      </c>
      <c r="K13" s="141" t="n">
        <f aca="false">I13+J13</f>
        <v>233</v>
      </c>
      <c r="L13" s="141" t="n">
        <f aca="false">F13-(I13-AF13)</f>
        <v>-2.46584320645318</v>
      </c>
      <c r="M13" s="284" t="n">
        <v>121</v>
      </c>
      <c r="N13" s="258" t="n">
        <f aca="false">1.8299*1.03</f>
        <v>1.884797</v>
      </c>
      <c r="O13" s="141" t="n">
        <f aca="false">(13+15)*1.05</f>
        <v>29.4</v>
      </c>
      <c r="P13" s="630" t="n">
        <v>0</v>
      </c>
      <c r="Q13" s="206" t="n">
        <f aca="false">1.63*1.02</f>
        <v>1.6626</v>
      </c>
      <c r="R13" s="650" t="n">
        <v>4.2</v>
      </c>
      <c r="S13" s="650" t="n">
        <v>0.17</v>
      </c>
      <c r="T13" s="651" t="n">
        <v>0</v>
      </c>
      <c r="U13" s="141" t="n">
        <v>69</v>
      </c>
      <c r="V13" s="141" t="n">
        <v>45</v>
      </c>
      <c r="W13" s="141" t="n">
        <f aca="false">M13-(N13-AQ13)-O13-P13-Q13-R13-S13-T13+U13+V13-AQ13+O13</f>
        <v>227.082603</v>
      </c>
      <c r="X13" s="115" t="n">
        <v>0</v>
      </c>
      <c r="Y13" s="115" t="n">
        <v>0</v>
      </c>
      <c r="Z13" s="627" t="n">
        <f aca="false">Z12-(W13-I13)-Q13-R13-AB13-(AO13/1.9835)</f>
        <v>46.4239133150373</v>
      </c>
      <c r="AA13" s="141" t="n">
        <v>12</v>
      </c>
      <c r="AB13" s="142" t="n">
        <v>1.7</v>
      </c>
      <c r="AC13" s="143" t="n">
        <v>1.3</v>
      </c>
      <c r="AD13" s="548" t="n">
        <v>40</v>
      </c>
      <c r="AE13" s="497" t="n">
        <f aca="false">AE12-AD13</f>
        <v>6222.82307285102</v>
      </c>
      <c r="AF13" s="654" t="n">
        <f aca="false">N13+O13+P13+Q13+R13+S13+T13+W13+AA13+AD13-O13</f>
        <v>287</v>
      </c>
      <c r="AG13" s="141" t="n">
        <f aca="false">IF(L13&lt;0,L13*-1,0)</f>
        <v>2.46584320645318</v>
      </c>
      <c r="AH13" s="141" t="n">
        <f aca="false">AF13+AG13</f>
        <v>289.465843206453</v>
      </c>
      <c r="AI13" s="392" t="n">
        <v>0.14</v>
      </c>
      <c r="AJ13" s="264" t="n">
        <v>65</v>
      </c>
      <c r="AK13" s="265" t="n">
        <v>41</v>
      </c>
      <c r="AL13" s="264" t="n">
        <f aca="false">AL12</f>
        <v>10571</v>
      </c>
      <c r="AM13" s="264"/>
      <c r="AN13" s="261" t="n">
        <v>0</v>
      </c>
      <c r="AO13" s="258" t="n">
        <f aca="false">20*(X12*1.9835+Y12*1.9835+Z12*1.9835)/E13</f>
        <v>0.0137376941114167</v>
      </c>
      <c r="AP13" s="115"/>
      <c r="AQ13" s="171" t="n">
        <v>1.09</v>
      </c>
      <c r="AR13" s="365" t="n">
        <f aca="false">AR12+O13</f>
        <v>773.823</v>
      </c>
    </row>
    <row r="14" customFormat="false" ht="12.95" hidden="false" customHeight="true" outlineLevel="0" collapsed="false">
      <c r="A14" s="186" t="n">
        <f aca="false">A13+1</f>
        <v>3</v>
      </c>
      <c r="B14" s="114" t="n">
        <v>6901.9</v>
      </c>
      <c r="C14" s="115" t="n">
        <v>290641</v>
      </c>
      <c r="D14" s="264" t="n">
        <f aca="false">C14-C13</f>
        <v>-187</v>
      </c>
      <c r="E14" s="115" t="n">
        <f aca="false">C14-152000</f>
        <v>138641</v>
      </c>
      <c r="F14" s="283" t="n">
        <f aca="false">D14/$D$2</f>
        <v>-94.2777917822032</v>
      </c>
      <c r="G14" s="141" t="n">
        <v>228</v>
      </c>
      <c r="H14" s="672" t="n">
        <v>0</v>
      </c>
      <c r="I14" s="141" t="n">
        <f aca="false">G14+H14</f>
        <v>228</v>
      </c>
      <c r="J14" s="261" t="n">
        <f aca="false">IF(L14&gt;0,L14,0)</f>
        <v>0</v>
      </c>
      <c r="K14" s="141" t="n">
        <f aca="false">I14+J14</f>
        <v>228</v>
      </c>
      <c r="L14" s="141" t="n">
        <f aca="false">F14-(I14-AF14)</f>
        <v>-19.2777917822032</v>
      </c>
      <c r="M14" s="284" t="n">
        <v>139</v>
      </c>
      <c r="N14" s="258" t="n">
        <f aca="false">1.8299*1.03</f>
        <v>1.884797</v>
      </c>
      <c r="O14" s="141" t="n">
        <f aca="false">(27+28)*1.05</f>
        <v>57.75</v>
      </c>
      <c r="P14" s="630" t="n">
        <v>0</v>
      </c>
      <c r="Q14" s="206" t="n">
        <f aca="false">1.63*1.02</f>
        <v>1.6626</v>
      </c>
      <c r="R14" s="650" t="n">
        <v>4.18</v>
      </c>
      <c r="S14" s="650" t="n">
        <v>0</v>
      </c>
      <c r="T14" s="651" t="n">
        <v>0</v>
      </c>
      <c r="U14" s="141" t="n">
        <v>67</v>
      </c>
      <c r="V14" s="141" t="n">
        <v>42</v>
      </c>
      <c r="W14" s="141" t="n">
        <f aca="false">M14-(N14-AQ14)-O14-P14-Q14-R14-S14-T14+U14+V14-AQ14</f>
        <v>182.522603</v>
      </c>
      <c r="X14" s="115" t="n">
        <v>0</v>
      </c>
      <c r="Y14" s="115" t="n">
        <v>0</v>
      </c>
      <c r="Z14" s="627" t="n">
        <f aca="false">Z13-(AO14/1.9835)</f>
        <v>46.4172163187209</v>
      </c>
      <c r="AA14" s="141" t="n">
        <v>15</v>
      </c>
      <c r="AB14" s="142" t="n">
        <v>1.7</v>
      </c>
      <c r="AC14" s="143" t="n">
        <v>1.3</v>
      </c>
      <c r="AD14" s="548" t="n">
        <v>40</v>
      </c>
      <c r="AE14" s="497" t="n">
        <f aca="false">AE13-AD14</f>
        <v>6182.82307285102</v>
      </c>
      <c r="AF14" s="654" t="n">
        <f aca="false">N14+O14+P14+Q14+R14+S14+T14+W14+AA14+AD14</f>
        <v>303</v>
      </c>
      <c r="AG14" s="141" t="n">
        <f aca="false">IF(L14&lt;0,L14*-1,0)</f>
        <v>19.2777917822032</v>
      </c>
      <c r="AH14" s="141" t="n">
        <f aca="false">AF14+AG14</f>
        <v>322.277791782203</v>
      </c>
      <c r="AI14" s="392" t="n">
        <v>0</v>
      </c>
      <c r="AJ14" s="264" t="n">
        <v>69</v>
      </c>
      <c r="AK14" s="265" t="n">
        <v>35</v>
      </c>
      <c r="AL14" s="264" t="n">
        <f aca="false">AL13</f>
        <v>10571</v>
      </c>
      <c r="AM14" s="264"/>
      <c r="AN14" s="261" t="n">
        <v>33.9</v>
      </c>
      <c r="AO14" s="258" t="n">
        <f aca="false">20*(X13*1.9835+Y13*1.9835+Z13*1.9835)/E14</f>
        <v>0.0132834921935613</v>
      </c>
      <c r="AP14" s="115"/>
      <c r="AQ14" s="171" t="n">
        <v>1.09</v>
      </c>
      <c r="AR14" s="365" t="n">
        <f aca="false">AR13</f>
        <v>773.823</v>
      </c>
    </row>
    <row r="15" customFormat="false" ht="12.95" hidden="false" customHeight="true" outlineLevel="0" collapsed="false">
      <c r="A15" s="186" t="n">
        <f aca="false">A14+1</f>
        <v>4</v>
      </c>
      <c r="B15" s="114" t="n">
        <v>6901.75</v>
      </c>
      <c r="C15" s="115" t="n">
        <v>290081</v>
      </c>
      <c r="D15" s="264" t="n">
        <f aca="false">C15-C14</f>
        <v>-560</v>
      </c>
      <c r="E15" s="115" t="n">
        <f aca="false">C15-152000</f>
        <v>138081</v>
      </c>
      <c r="F15" s="283" t="n">
        <f aca="false">D15/$D$2</f>
        <v>-282.329216032266</v>
      </c>
      <c r="G15" s="141" t="n">
        <v>208</v>
      </c>
      <c r="H15" s="672" t="n">
        <v>0</v>
      </c>
      <c r="I15" s="141" t="n">
        <f aca="false">G15+H15</f>
        <v>208</v>
      </c>
      <c r="J15" s="261" t="n">
        <f aca="false">IF(L15&gt;0,L15,0)</f>
        <v>0</v>
      </c>
      <c r="K15" s="141" t="n">
        <f aca="false">I15+J15</f>
        <v>208</v>
      </c>
      <c r="L15" s="141" t="n">
        <f aca="false">F15-(I15-AF15)</f>
        <v>-7.82921603226617</v>
      </c>
      <c r="M15" s="284" t="n">
        <v>161</v>
      </c>
      <c r="N15" s="258" t="n">
        <f aca="false">1.8299*1.03</f>
        <v>1.884797</v>
      </c>
      <c r="O15" s="141" t="n">
        <f aca="false">(30+30)*1.05</f>
        <v>63</v>
      </c>
      <c r="P15" s="630" t="n">
        <v>0</v>
      </c>
      <c r="Q15" s="206" t="n">
        <f aca="false">1.63*1.02</f>
        <v>1.6626</v>
      </c>
      <c r="R15" s="650" t="n">
        <v>3.04</v>
      </c>
      <c r="S15" s="650" t="n">
        <v>0</v>
      </c>
      <c r="T15" s="651" t="n">
        <v>0</v>
      </c>
      <c r="U15" s="141" t="n">
        <v>65</v>
      </c>
      <c r="V15" s="141" t="n">
        <v>40</v>
      </c>
      <c r="W15" s="141" t="n">
        <f aca="false">M15-(N15-AQ15)-O15-P15-Q15-R15-S15-T15+U15+V15-AQ15</f>
        <v>196.412603</v>
      </c>
      <c r="X15" s="115" t="n">
        <v>0</v>
      </c>
      <c r="Y15" s="115" t="n">
        <v>0</v>
      </c>
      <c r="Z15" s="627" t="n">
        <f aca="false">Z14-(AO15/1.9835)</f>
        <v>46.4104931321393</v>
      </c>
      <c r="AA15" s="141" t="n">
        <v>9.5</v>
      </c>
      <c r="AB15" s="142" t="n">
        <v>1.7</v>
      </c>
      <c r="AC15" s="143" t="n">
        <v>1.3</v>
      </c>
      <c r="AD15" s="548" t="n">
        <v>207</v>
      </c>
      <c r="AE15" s="497" t="n">
        <f aca="false">AE14-AD15</f>
        <v>5975.82307285102</v>
      </c>
      <c r="AF15" s="654" t="n">
        <f aca="false">N15+O15+P15+Q15+R15+S15+T15+W15+AA15+AD15</f>
        <v>482.5</v>
      </c>
      <c r="AG15" s="141" t="n">
        <f aca="false">IF(L15&lt;0,L15*-1,0)</f>
        <v>7.82921603226617</v>
      </c>
      <c r="AH15" s="141" t="n">
        <f aca="false">AF15+AG15</f>
        <v>490.329216032266</v>
      </c>
      <c r="AI15" s="392" t="n">
        <v>0.08</v>
      </c>
      <c r="AJ15" s="264" t="n">
        <v>68</v>
      </c>
      <c r="AK15" s="265" t="n">
        <v>37</v>
      </c>
      <c r="AL15" s="264" t="n">
        <f aca="false">AL14</f>
        <v>10571</v>
      </c>
      <c r="AM15" s="264"/>
      <c r="AN15" s="261" t="n">
        <f aca="false">AN14+0</f>
        <v>33.9</v>
      </c>
      <c r="AO15" s="258" t="n">
        <f aca="false">20*(X14*1.9835+Y14*1.9835+Z14*1.9835)/E15</f>
        <v>0.0133354405846109</v>
      </c>
      <c r="AP15" s="115"/>
      <c r="AQ15" s="171" t="n">
        <v>1.09</v>
      </c>
      <c r="AR15" s="365" t="n">
        <f aca="false">AR14</f>
        <v>773.823</v>
      </c>
    </row>
    <row r="16" customFormat="false" ht="12.95" hidden="false" customHeight="true" outlineLevel="0" collapsed="false">
      <c r="A16" s="186" t="n">
        <f aca="false">A15+1</f>
        <v>5</v>
      </c>
      <c r="B16" s="114" t="n">
        <v>6901.74</v>
      </c>
      <c r="C16" s="115" t="n">
        <v>290044</v>
      </c>
      <c r="D16" s="264" t="n">
        <f aca="false">C16-C15</f>
        <v>-37</v>
      </c>
      <c r="E16" s="115" t="n">
        <f aca="false">C16-152000</f>
        <v>138044</v>
      </c>
      <c r="F16" s="283" t="n">
        <f aca="false">D16/$D$2</f>
        <v>-18.6538946307033</v>
      </c>
      <c r="G16" s="141" t="n">
        <v>236</v>
      </c>
      <c r="H16" s="672" t="n">
        <v>0</v>
      </c>
      <c r="I16" s="141" t="n">
        <f aca="false">G16+H16</f>
        <v>236</v>
      </c>
      <c r="J16" s="261" t="n">
        <f aca="false">IF(L16&gt;0,L16,0)</f>
        <v>9.3461053692967</v>
      </c>
      <c r="K16" s="141" t="n">
        <f aca="false">I16+J16</f>
        <v>245.346105369297</v>
      </c>
      <c r="L16" s="141" t="n">
        <f aca="false">F16-(I16-AF16)</f>
        <v>9.3461053692967</v>
      </c>
      <c r="M16" s="284" t="n">
        <v>121</v>
      </c>
      <c r="N16" s="258" t="n">
        <f aca="false">1.8299*1.03</f>
        <v>1.884797</v>
      </c>
      <c r="O16" s="141" t="n">
        <f aca="false">(28+27)*1.05</f>
        <v>57.75</v>
      </c>
      <c r="P16" s="630" t="n">
        <v>0</v>
      </c>
      <c r="Q16" s="206" t="n">
        <f aca="false">1.63*1.02</f>
        <v>1.6626</v>
      </c>
      <c r="R16" s="650" t="n">
        <v>3.97</v>
      </c>
      <c r="S16" s="650" t="n">
        <v>0</v>
      </c>
      <c r="T16" s="651" t="n">
        <v>0</v>
      </c>
      <c r="U16" s="141" t="n">
        <v>65</v>
      </c>
      <c r="V16" s="141" t="n">
        <v>38</v>
      </c>
      <c r="W16" s="141" t="n">
        <f aca="false">M16-(N16-AQ16)-O16-P16-Q16-R16-S16-T16+U16+V16-AQ16</f>
        <v>158.732603</v>
      </c>
      <c r="X16" s="115" t="n">
        <v>0</v>
      </c>
      <c r="Y16" s="115" t="n">
        <v>0</v>
      </c>
      <c r="Z16" s="627" t="n">
        <f aca="false">Z15-(AO16/1.9835)</f>
        <v>46.403769117603</v>
      </c>
      <c r="AA16" s="141" t="n">
        <v>0</v>
      </c>
      <c r="AB16" s="142" t="n">
        <v>1.7</v>
      </c>
      <c r="AC16" s="143" t="n">
        <v>1.3</v>
      </c>
      <c r="AD16" s="548" t="n">
        <v>40</v>
      </c>
      <c r="AE16" s="497" t="n">
        <f aca="false">AE15-AD16</f>
        <v>5935.82307285102</v>
      </c>
      <c r="AF16" s="654" t="n">
        <f aca="false">N16+O16+P16+Q16+R16+S16+T16+W16+AA16+AD16</f>
        <v>264</v>
      </c>
      <c r="AG16" s="141" t="n">
        <f aca="false">IF(L16&lt;0,L16*-1,0)</f>
        <v>0</v>
      </c>
      <c r="AH16" s="141" t="n">
        <f aca="false">AF16+AG16</f>
        <v>264</v>
      </c>
      <c r="AI16" s="392" t="n">
        <v>0.05</v>
      </c>
      <c r="AJ16" s="264" t="n">
        <v>70</v>
      </c>
      <c r="AK16" s="265" t="n">
        <v>50</v>
      </c>
      <c r="AL16" s="264" t="n">
        <f aca="false">AL15</f>
        <v>10571</v>
      </c>
      <c r="AM16" s="264"/>
      <c r="AN16" s="261" t="n">
        <f aca="false">AN15+63</f>
        <v>96.9</v>
      </c>
      <c r="AO16" s="258" t="n">
        <f aca="false">20*(X15*1.9835+Y15*1.9835+Z15*1.9835)/E16</f>
        <v>0.0133370828326618</v>
      </c>
      <c r="AP16" s="115"/>
      <c r="AQ16" s="171" t="n">
        <v>1.09</v>
      </c>
      <c r="AR16" s="365" t="n">
        <f aca="false">AR15</f>
        <v>773.823</v>
      </c>
    </row>
    <row r="17" customFormat="false" ht="12.95" hidden="false" customHeight="true" outlineLevel="0" collapsed="false">
      <c r="A17" s="186" t="n">
        <f aca="false">A16+1</f>
        <v>6</v>
      </c>
      <c r="B17" s="114" t="n">
        <v>6901.74</v>
      </c>
      <c r="C17" s="115" t="n">
        <v>290044</v>
      </c>
      <c r="D17" s="264" t="n">
        <f aca="false">C17-C16</f>
        <v>0</v>
      </c>
      <c r="E17" s="115" t="n">
        <f aca="false">C17-152000</f>
        <v>138044</v>
      </c>
      <c r="F17" s="283" t="n">
        <f aca="false">D17/$D$2</f>
        <v>0</v>
      </c>
      <c r="G17" s="141" t="n">
        <v>237</v>
      </c>
      <c r="H17" s="672" t="n">
        <v>0</v>
      </c>
      <c r="I17" s="141" t="n">
        <f aca="false">G17+H17</f>
        <v>237</v>
      </c>
      <c r="J17" s="261" t="n">
        <f aca="false">IF(L17&gt;0,L17,0)</f>
        <v>22</v>
      </c>
      <c r="K17" s="141" t="n">
        <f aca="false">I17+J17</f>
        <v>259</v>
      </c>
      <c r="L17" s="141" t="n">
        <f aca="false">F17-(I17-AF17)</f>
        <v>22</v>
      </c>
      <c r="M17" s="284" t="n">
        <v>118</v>
      </c>
      <c r="N17" s="258" t="n">
        <f aca="false">1.8299*1.03</f>
        <v>1.884797</v>
      </c>
      <c r="O17" s="141" t="n">
        <f aca="false">(11+14)*1.05</f>
        <v>26.25</v>
      </c>
      <c r="P17" s="630" t="n">
        <v>0</v>
      </c>
      <c r="Q17" s="206" t="n">
        <f aca="false">1.63*1.02</f>
        <v>1.6626</v>
      </c>
      <c r="R17" s="650" t="n">
        <v>3.47</v>
      </c>
      <c r="S17" s="650" t="n">
        <v>0</v>
      </c>
      <c r="T17" s="651" t="n">
        <v>0</v>
      </c>
      <c r="U17" s="141" t="n">
        <v>65</v>
      </c>
      <c r="V17" s="141" t="n">
        <v>36</v>
      </c>
      <c r="W17" s="141" t="n">
        <f aca="false">M17-(N17-AQ17)-O17-P17-Q17-R17-S17-T17+U17+V17-AQ17</f>
        <v>185.732603</v>
      </c>
      <c r="X17" s="115" t="n">
        <v>0</v>
      </c>
      <c r="Y17" s="115" t="n">
        <v>0</v>
      </c>
      <c r="Z17" s="627" t="n">
        <f aca="false">Z16-(AO17/1.9835)</f>
        <v>46.397046077251</v>
      </c>
      <c r="AA17" s="141" t="n">
        <v>0</v>
      </c>
      <c r="AB17" s="142" t="n">
        <v>1.7</v>
      </c>
      <c r="AC17" s="143" t="n">
        <v>1.3</v>
      </c>
      <c r="AD17" s="548" t="n">
        <v>40</v>
      </c>
      <c r="AE17" s="497" t="n">
        <f aca="false">AE16-AD17</f>
        <v>5895.82307285102</v>
      </c>
      <c r="AF17" s="654" t="n">
        <f aca="false">N17+O17+P17+Q17+R17+S17+T17+W17+AA17+AD17</f>
        <v>259</v>
      </c>
      <c r="AG17" s="141" t="n">
        <f aca="false">IF(L17&lt;0,L17*-1,0)</f>
        <v>0</v>
      </c>
      <c r="AH17" s="141" t="n">
        <f aca="false">AF17+AG17</f>
        <v>259</v>
      </c>
      <c r="AI17" s="392" t="n">
        <v>0.02</v>
      </c>
      <c r="AJ17" s="264" t="n">
        <v>59</v>
      </c>
      <c r="AK17" s="265" t="n">
        <v>32</v>
      </c>
      <c r="AL17" s="264" t="n">
        <f aca="false">AL16</f>
        <v>10571</v>
      </c>
      <c r="AM17" s="264"/>
      <c r="AN17" s="261" t="n">
        <f aca="false">AN16+39.8</f>
        <v>136.7</v>
      </c>
      <c r="AO17" s="258" t="n">
        <f aca="false">20*(X16*1.9835+Y16*1.9835+Z16*1.9835)/E17</f>
        <v>0.0133351505382002</v>
      </c>
      <c r="AP17" s="115"/>
      <c r="AQ17" s="171" t="n">
        <v>1.09</v>
      </c>
      <c r="AR17" s="365" t="n">
        <f aca="false">AR16</f>
        <v>773.823</v>
      </c>
    </row>
    <row r="18" customFormat="false" ht="12.95" hidden="false" customHeight="true" outlineLevel="0" collapsed="false">
      <c r="A18" s="186" t="n">
        <f aca="false">A17+1</f>
        <v>7</v>
      </c>
      <c r="B18" s="114" t="n">
        <v>6901.76</v>
      </c>
      <c r="C18" s="115" t="n">
        <v>290119</v>
      </c>
      <c r="D18" s="264" t="n">
        <f aca="false">C18-C17</f>
        <v>75</v>
      </c>
      <c r="E18" s="115" t="n">
        <f aca="false">C18-152000</f>
        <v>138119</v>
      </c>
      <c r="F18" s="283" t="n">
        <f aca="false">D18/$D$2</f>
        <v>37.8119485757499</v>
      </c>
      <c r="G18" s="141" t="n">
        <v>226</v>
      </c>
      <c r="H18" s="672" t="n">
        <v>0.04</v>
      </c>
      <c r="I18" s="141" t="n">
        <f aca="false">G18+H18</f>
        <v>226.04</v>
      </c>
      <c r="J18" s="261" t="n">
        <f aca="false">IF(L18&gt;0,L18,0)</f>
        <v>43.7719485757499</v>
      </c>
      <c r="K18" s="141" t="n">
        <f aca="false">I18+J18</f>
        <v>269.81194857575</v>
      </c>
      <c r="L18" s="141" t="n">
        <f aca="false">F18-(I18-AF18)</f>
        <v>43.7719485757499</v>
      </c>
      <c r="M18" s="284" t="n">
        <v>91</v>
      </c>
      <c r="N18" s="258" t="n">
        <f aca="false">1.8299*1.03</f>
        <v>1.884797</v>
      </c>
      <c r="O18" s="141" t="n">
        <f aca="false">(4.8+4.4)*1.05</f>
        <v>9.66</v>
      </c>
      <c r="P18" s="630" t="n">
        <v>0</v>
      </c>
      <c r="Q18" s="206" t="n">
        <f aca="false">1.63*1.02</f>
        <v>1.6626</v>
      </c>
      <c r="R18" s="650" t="n">
        <v>4.07</v>
      </c>
      <c r="S18" s="650" t="n">
        <v>0</v>
      </c>
      <c r="T18" s="651" t="n">
        <v>0</v>
      </c>
      <c r="U18" s="141" t="n">
        <v>65</v>
      </c>
      <c r="V18" s="141" t="n">
        <v>36</v>
      </c>
      <c r="W18" s="141" t="n">
        <f aca="false">M18-(N18-AQ18)-O18-P18-Q18-R18-S18-T18+U18+V18-AQ18</f>
        <v>174.722603</v>
      </c>
      <c r="X18" s="115" t="n">
        <v>0</v>
      </c>
      <c r="Y18" s="115" t="n">
        <v>0</v>
      </c>
      <c r="Z18" s="627" t="n">
        <f aca="false">Z17-(AO18/1.9835)</f>
        <v>46.3903276610915</v>
      </c>
      <c r="AA18" s="141" t="n">
        <v>0</v>
      </c>
      <c r="AB18" s="142" t="n">
        <v>1.7</v>
      </c>
      <c r="AC18" s="143" t="n">
        <v>1.3</v>
      </c>
      <c r="AD18" s="548" t="n">
        <v>40</v>
      </c>
      <c r="AE18" s="497" t="n">
        <f aca="false">AE17-AD18</f>
        <v>5855.82307285102</v>
      </c>
      <c r="AF18" s="654" t="n">
        <f aca="false">N18+O18+P18+Q18+R18+S18+T18+W18+AA18+AD18</f>
        <v>232</v>
      </c>
      <c r="AG18" s="141" t="n">
        <f aca="false">IF(L18&lt;0,L18*-1,0)</f>
        <v>0</v>
      </c>
      <c r="AH18" s="141" t="n">
        <f aca="false">AF18+AG18</f>
        <v>232</v>
      </c>
      <c r="AI18" s="392" t="n">
        <v>0</v>
      </c>
      <c r="AJ18" s="264" t="n">
        <v>52</v>
      </c>
      <c r="AK18" s="265" t="n">
        <v>26</v>
      </c>
      <c r="AL18" s="264" t="n">
        <f aca="false">AL17</f>
        <v>10571</v>
      </c>
      <c r="AM18" s="264"/>
      <c r="AN18" s="261" t="n">
        <f aca="false">AN17+40.2</f>
        <v>176.9</v>
      </c>
      <c r="AO18" s="258" t="n">
        <f aca="false">20*(X17*1.9835+Y17*1.9835+Z17*1.9835)/E18</f>
        <v>0.0133259784525268</v>
      </c>
      <c r="AP18" s="115"/>
      <c r="AQ18" s="171" t="n">
        <v>1.09</v>
      </c>
      <c r="AR18" s="365" t="n">
        <f aca="false">AR17</f>
        <v>773.823</v>
      </c>
    </row>
    <row r="19" customFormat="false" ht="12.95" hidden="false" customHeight="true" outlineLevel="0" collapsed="false">
      <c r="A19" s="186" t="n">
        <f aca="false">A18+1</f>
        <v>8</v>
      </c>
      <c r="B19" s="114" t="n">
        <v>6901.7</v>
      </c>
      <c r="C19" s="115" t="n">
        <v>289895</v>
      </c>
      <c r="D19" s="264" t="n">
        <f aca="false">C19-C18</f>
        <v>-224</v>
      </c>
      <c r="E19" s="115" t="n">
        <f aca="false">C19-152000</f>
        <v>137895</v>
      </c>
      <c r="F19" s="283" t="n">
        <f aca="false">D19/$D$2</f>
        <v>-112.931686412906</v>
      </c>
      <c r="G19" s="141" t="n">
        <v>203</v>
      </c>
      <c r="H19" s="672" t="n">
        <v>0.26</v>
      </c>
      <c r="I19" s="141" t="n">
        <f aca="false">G19+H19</f>
        <v>203.26</v>
      </c>
      <c r="J19" s="261" t="n">
        <f aca="false">IF(L19&gt;0,L19,0)</f>
        <v>0</v>
      </c>
      <c r="K19" s="141" t="n">
        <f aca="false">I19+J19</f>
        <v>203.26</v>
      </c>
      <c r="L19" s="141" t="n">
        <f aca="false">F19-(I19-AF19)</f>
        <v>-57.1916864129065</v>
      </c>
      <c r="M19" s="284" t="n">
        <v>118</v>
      </c>
      <c r="N19" s="258" t="n">
        <f aca="false">1.8299*1.03</f>
        <v>1.884797</v>
      </c>
      <c r="O19" s="141" t="n">
        <f aca="false">(15+15)*1.05</f>
        <v>31.5</v>
      </c>
      <c r="P19" s="630" t="n">
        <v>0</v>
      </c>
      <c r="Q19" s="206" t="n">
        <f aca="false">1.63*1.02</f>
        <v>1.6626</v>
      </c>
      <c r="R19" s="650" t="n">
        <v>3.66</v>
      </c>
      <c r="S19" s="650" t="n">
        <v>0</v>
      </c>
      <c r="T19" s="651" t="n">
        <v>0</v>
      </c>
      <c r="U19" s="141" t="n">
        <v>65</v>
      </c>
      <c r="V19" s="141" t="n">
        <v>36</v>
      </c>
      <c r="W19" s="141" t="n">
        <f aca="false">M19-(N19-AQ19)-O19-P19-Q19-R19-S19-T19+U19+V19-AQ19</f>
        <v>180.292603</v>
      </c>
      <c r="X19" s="115" t="n">
        <v>0</v>
      </c>
      <c r="Y19" s="115" t="n">
        <v>0</v>
      </c>
      <c r="Z19" s="627" t="n">
        <f aca="false">Z18-(AO19/1.9835)</f>
        <v>46.3835993057978</v>
      </c>
      <c r="AA19" s="141" t="n">
        <v>0</v>
      </c>
      <c r="AB19" s="142" t="n">
        <v>1.7</v>
      </c>
      <c r="AC19" s="143" t="n">
        <v>1.3</v>
      </c>
      <c r="AD19" s="548" t="n">
        <v>40</v>
      </c>
      <c r="AE19" s="497" t="n">
        <f aca="false">AE18-AD19</f>
        <v>5815.82307285102</v>
      </c>
      <c r="AF19" s="654" t="n">
        <f aca="false">N19+O19+P19+Q19+R19+S19+T19+W19+AA19+AD19</f>
        <v>259</v>
      </c>
      <c r="AG19" s="141" t="n">
        <f aca="false">IF(L19&lt;0,L19*-1,0)</f>
        <v>57.1916864129065</v>
      </c>
      <c r="AH19" s="141" t="n">
        <f aca="false">AF19+AG19</f>
        <v>316.191686412906</v>
      </c>
      <c r="AI19" s="392" t="n">
        <v>0</v>
      </c>
      <c r="AJ19" s="264" t="n">
        <v>66</v>
      </c>
      <c r="AK19" s="265" t="n">
        <v>26</v>
      </c>
      <c r="AL19" s="264" t="n">
        <f aca="false">AL18</f>
        <v>10571</v>
      </c>
      <c r="AM19" s="264"/>
      <c r="AN19" s="261" t="n">
        <f aca="false">AN18+11.8</f>
        <v>188.7</v>
      </c>
      <c r="AO19" s="258" t="n">
        <f aca="false">20*(X18*1.9835+Y18*1.9835+Z18*1.9835)/E19</f>
        <v>0.0133456927250118</v>
      </c>
      <c r="AP19" s="115"/>
      <c r="AQ19" s="171" t="n">
        <v>1.09</v>
      </c>
      <c r="AR19" s="365" t="n">
        <f aca="false">AR18</f>
        <v>773.823</v>
      </c>
    </row>
    <row r="20" customFormat="false" ht="12.95" hidden="false" customHeight="true" outlineLevel="0" collapsed="false">
      <c r="A20" s="186" t="n">
        <f aca="false">A19+1</f>
        <v>9</v>
      </c>
      <c r="B20" s="114" t="n">
        <v>6901.62</v>
      </c>
      <c r="C20" s="115" t="n">
        <v>289596</v>
      </c>
      <c r="D20" s="264" t="n">
        <f aca="false">C20-C19</f>
        <v>-299</v>
      </c>
      <c r="E20" s="115" t="n">
        <f aca="false">C20-152000</f>
        <v>137596</v>
      </c>
      <c r="F20" s="283" t="n">
        <f aca="false">D20/$D$2</f>
        <v>-150.743634988656</v>
      </c>
      <c r="G20" s="141" t="n">
        <v>192</v>
      </c>
      <c r="H20" s="672" t="n">
        <v>0.41</v>
      </c>
      <c r="I20" s="141" t="n">
        <f aca="false">G20+H20</f>
        <v>192.41</v>
      </c>
      <c r="J20" s="261" t="n">
        <f aca="false">IF(L20&gt;0,L20,0)</f>
        <v>0</v>
      </c>
      <c r="K20" s="141" t="n">
        <f aca="false">I20+J20</f>
        <v>192.41</v>
      </c>
      <c r="L20" s="141" t="n">
        <f aca="false">F20-(I20-AF20)</f>
        <v>-70.1536349886564</v>
      </c>
      <c r="M20" s="284" t="n">
        <v>142</v>
      </c>
      <c r="N20" s="258" t="n">
        <f aca="false">1.8299*1.03</f>
        <v>1.884797</v>
      </c>
      <c r="O20" s="141" t="n">
        <f aca="false">(29+32)*1.05</f>
        <v>64.05</v>
      </c>
      <c r="P20" s="630" t="n">
        <v>0</v>
      </c>
      <c r="Q20" s="206" t="n">
        <f aca="false">1.63*1.02</f>
        <v>1.6626</v>
      </c>
      <c r="R20" s="650" t="n">
        <v>3.73</v>
      </c>
      <c r="S20" s="650" t="n">
        <v>0</v>
      </c>
      <c r="T20" s="651" t="n">
        <v>0</v>
      </c>
      <c r="U20" s="141" t="n">
        <v>62</v>
      </c>
      <c r="V20" s="141" t="n">
        <v>33</v>
      </c>
      <c r="W20" s="141" t="n">
        <f aca="false">M20-(N20-AQ20)-O20-P20-Q20-R20-S20-T20+U20+V20-AQ20</f>
        <v>165.672603</v>
      </c>
      <c r="X20" s="115" t="n">
        <v>0</v>
      </c>
      <c r="Y20" s="115" t="n">
        <v>0</v>
      </c>
      <c r="Z20" s="627" t="n">
        <f aca="false">Z19-(AO20/1.9835)</f>
        <v>46.3768573075848</v>
      </c>
      <c r="AA20" s="141" t="n">
        <v>0</v>
      </c>
      <c r="AB20" s="142" t="n">
        <v>1.7</v>
      </c>
      <c r="AC20" s="143" t="n">
        <v>1.3</v>
      </c>
      <c r="AD20" s="548" t="n">
        <v>36</v>
      </c>
      <c r="AE20" s="497" t="n">
        <f aca="false">AE19-AD20</f>
        <v>5779.82307285102</v>
      </c>
      <c r="AF20" s="654" t="n">
        <f aca="false">N20+O20+P20+Q20+R20+S20+T20+W20+AA20+AD20</f>
        <v>273</v>
      </c>
      <c r="AG20" s="141" t="n">
        <f aca="false">IF(L20&lt;0,L20*-1,0)</f>
        <v>70.1536349886564</v>
      </c>
      <c r="AH20" s="141" t="n">
        <f aca="false">AF20+AG20</f>
        <v>343.153634988656</v>
      </c>
      <c r="AI20" s="392" t="n">
        <v>0</v>
      </c>
      <c r="AJ20" s="266" t="n">
        <v>74</v>
      </c>
      <c r="AK20" s="265" t="n">
        <v>40</v>
      </c>
      <c r="AL20" s="264" t="n">
        <f aca="false">AL19</f>
        <v>10571</v>
      </c>
      <c r="AM20" s="264"/>
      <c r="AN20" s="261" t="n">
        <f aca="false">AN19+7</f>
        <v>195.7</v>
      </c>
      <c r="AO20" s="258" t="n">
        <f aca="false">20*(X19*1.9835+Y19*1.9835+Z19*1.9835)/E20</f>
        <v>0.0133727534554856</v>
      </c>
      <c r="AP20" s="115"/>
      <c r="AQ20" s="171" t="n">
        <v>1.09</v>
      </c>
      <c r="AR20" s="365" t="n">
        <f aca="false">AR19</f>
        <v>773.823</v>
      </c>
    </row>
    <row r="21" customFormat="false" ht="12.95" hidden="false" customHeight="true" outlineLevel="0" collapsed="false">
      <c r="A21" s="186" t="n">
        <f aca="false">A20+1</f>
        <v>10</v>
      </c>
      <c r="B21" s="114" t="n">
        <v>6901.57</v>
      </c>
      <c r="C21" s="115" t="n">
        <v>289409</v>
      </c>
      <c r="D21" s="264" t="n">
        <f aca="false">C21-C20</f>
        <v>-187</v>
      </c>
      <c r="E21" s="115" t="n">
        <f aca="false">C21-152000</f>
        <v>137409</v>
      </c>
      <c r="F21" s="283" t="n">
        <f aca="false">D21/$D$2</f>
        <v>-94.2777917822032</v>
      </c>
      <c r="G21" s="141" t="n">
        <v>165</v>
      </c>
      <c r="H21" s="672" t="n">
        <v>0.57</v>
      </c>
      <c r="I21" s="141" t="n">
        <f aca="false">G21+H21</f>
        <v>165.57</v>
      </c>
      <c r="J21" s="261" t="n">
        <f aca="false">IF(L21&gt;0,L21,0)</f>
        <v>0</v>
      </c>
      <c r="K21" s="141" t="n">
        <f aca="false">I21+J21</f>
        <v>165.57</v>
      </c>
      <c r="L21" s="141" t="n">
        <f aca="false">F21-(I21-AF21)</f>
        <v>-15.8477917822032</v>
      </c>
      <c r="M21" s="284" t="n">
        <v>126</v>
      </c>
      <c r="N21" s="258" t="n">
        <f aca="false">1.8299*1.03</f>
        <v>1.884797</v>
      </c>
      <c r="O21" s="141" t="n">
        <f aca="false">(27+28)*1.05</f>
        <v>57.75</v>
      </c>
      <c r="P21" s="630" t="n">
        <v>0</v>
      </c>
      <c r="Q21" s="206" t="n">
        <f aca="false">1.63*1.02</f>
        <v>1.6626</v>
      </c>
      <c r="R21" s="650" t="n">
        <v>4.2</v>
      </c>
      <c r="S21" s="650" t="n">
        <v>0.21</v>
      </c>
      <c r="T21" s="651" t="n">
        <v>0</v>
      </c>
      <c r="U21" s="141" t="n">
        <v>60</v>
      </c>
      <c r="V21" s="141" t="n">
        <v>19</v>
      </c>
      <c r="W21" s="141" t="n">
        <f aca="false">M21-(N21-AQ21)-O21-P21-Q21-R21-S21-T21+U21+V21-AQ21</f>
        <v>139.292603</v>
      </c>
      <c r="X21" s="115" t="n">
        <v>0</v>
      </c>
      <c r="Y21" s="115" t="n">
        <v>0</v>
      </c>
      <c r="Z21" s="627" t="n">
        <f aca="false">Z20-(AO21/1.9835)</f>
        <v>46.3701071154856</v>
      </c>
      <c r="AA21" s="141" t="n">
        <v>0</v>
      </c>
      <c r="AB21" s="142" t="n">
        <v>1.7</v>
      </c>
      <c r="AC21" s="143" t="n">
        <v>1.3</v>
      </c>
      <c r="AD21" s="548" t="n">
        <v>39</v>
      </c>
      <c r="AE21" s="497" t="n">
        <f aca="false">AE20-AD21</f>
        <v>5740.82307285102</v>
      </c>
      <c r="AF21" s="654" t="n">
        <f aca="false">N21+O21+P21+Q21+R21+S21+T21+W21+AA21+AD21</f>
        <v>244</v>
      </c>
      <c r="AG21" s="141" t="n">
        <f aca="false">IF(L21&lt;0,L21*-1,0)</f>
        <v>15.8477917822032</v>
      </c>
      <c r="AH21" s="141" t="n">
        <f aca="false">AF21+AG21</f>
        <v>259.847791782203</v>
      </c>
      <c r="AI21" s="392" t="n">
        <v>0.13</v>
      </c>
      <c r="AJ21" s="264" t="n">
        <v>75</v>
      </c>
      <c r="AK21" s="265" t="n">
        <v>49</v>
      </c>
      <c r="AL21" s="264" t="n">
        <f aca="false">AL20</f>
        <v>10571</v>
      </c>
      <c r="AM21" s="264"/>
      <c r="AN21" s="261" t="n">
        <f aca="false">AN20+3.4</f>
        <v>199.1</v>
      </c>
      <c r="AO21" s="258" t="n">
        <f aca="false">20*(X20*1.9835+Y20*1.9835+Z20*1.9835)/E21</f>
        <v>0.0133890060286582</v>
      </c>
      <c r="AP21" s="115"/>
      <c r="AQ21" s="171" t="n">
        <v>1.09</v>
      </c>
      <c r="AR21" s="365" t="n">
        <f aca="false">AR20</f>
        <v>773.823</v>
      </c>
    </row>
    <row r="22" customFormat="false" ht="12.95" hidden="false" customHeight="true" outlineLevel="0" collapsed="false">
      <c r="A22" s="186" t="n">
        <f aca="false">A21+1</f>
        <v>11</v>
      </c>
      <c r="B22" s="114" t="n">
        <v>6901.48</v>
      </c>
      <c r="C22" s="115" t="n">
        <v>289074</v>
      </c>
      <c r="D22" s="264" t="n">
        <f aca="false">C22-C21</f>
        <v>-335</v>
      </c>
      <c r="E22" s="115" t="n">
        <f aca="false">C22-152000</f>
        <v>137074</v>
      </c>
      <c r="F22" s="283" t="n">
        <f aca="false">D22/$D$2</f>
        <v>-168.893370305016</v>
      </c>
      <c r="G22" s="141" t="n">
        <v>153</v>
      </c>
      <c r="H22" s="672" t="n">
        <v>0.78</v>
      </c>
      <c r="I22" s="141" t="n">
        <f aca="false">G22+H22</f>
        <v>153.78</v>
      </c>
      <c r="J22" s="261" t="n">
        <f aca="false">IF(L22&gt;0,L22,0)</f>
        <v>0</v>
      </c>
      <c r="K22" s="141" t="n">
        <f aca="false">I22+J22</f>
        <v>153.78</v>
      </c>
      <c r="L22" s="141" t="n">
        <f aca="false">F22-(I22-AF22)</f>
        <v>-23.6733703050164</v>
      </c>
      <c r="M22" s="284" t="n">
        <v>116</v>
      </c>
      <c r="N22" s="258" t="n">
        <f aca="false">1.8299*1.03</f>
        <v>1.884797</v>
      </c>
      <c r="O22" s="141" t="n">
        <f aca="false">(18+21)*1.05</f>
        <v>40.95</v>
      </c>
      <c r="P22" s="630" t="n">
        <v>0</v>
      </c>
      <c r="Q22" s="206" t="n">
        <f aca="false">1.63*1.02</f>
        <v>1.6626</v>
      </c>
      <c r="R22" s="650" t="n">
        <v>3.36</v>
      </c>
      <c r="S22" s="650" t="n">
        <v>0</v>
      </c>
      <c r="T22" s="651" t="n">
        <v>0</v>
      </c>
      <c r="U22" s="141" t="n">
        <v>115</v>
      </c>
      <c r="V22" s="141" t="n">
        <v>28</v>
      </c>
      <c r="W22" s="141" t="n">
        <f aca="false">M22-(N22-AQ22)-O22-P22-Q22-R22-S22-T22+U22+V22-AQ22</f>
        <v>211.142603</v>
      </c>
      <c r="X22" s="115" t="n">
        <v>0</v>
      </c>
      <c r="Y22" s="115" t="n">
        <v>0</v>
      </c>
      <c r="Z22" s="627" t="n">
        <f aca="false">Z21-(AO22/1.9835)</f>
        <v>46.3633414112506</v>
      </c>
      <c r="AA22" s="141" t="n">
        <v>0</v>
      </c>
      <c r="AB22" s="142" t="n">
        <v>1.7</v>
      </c>
      <c r="AC22" s="143" t="n">
        <v>1.3</v>
      </c>
      <c r="AD22" s="548" t="n">
        <v>40</v>
      </c>
      <c r="AE22" s="497" t="n">
        <f aca="false">AE21-AD22</f>
        <v>5700.82307285102</v>
      </c>
      <c r="AF22" s="654" t="n">
        <f aca="false">N22+O22+P22+Q22+R22+S22+T22+W22+AA22+AD22</f>
        <v>299</v>
      </c>
      <c r="AG22" s="141" t="n">
        <f aca="false">IF(L22&lt;0,L22*-1,0)</f>
        <v>23.6733703050164</v>
      </c>
      <c r="AH22" s="141" t="n">
        <f aca="false">AF22+AG22</f>
        <v>322.673370305016</v>
      </c>
      <c r="AI22" s="392" t="n">
        <v>0</v>
      </c>
      <c r="AJ22" s="264" t="n">
        <v>73</v>
      </c>
      <c r="AK22" s="265" t="n">
        <v>40</v>
      </c>
      <c r="AL22" s="264" t="n">
        <f aca="false">AL21</f>
        <v>10571</v>
      </c>
      <c r="AM22" s="264"/>
      <c r="AN22" s="261" t="n">
        <f aca="false">AN21-(W22-I22)-Q22-R22-AB22</f>
        <v>135.014797</v>
      </c>
      <c r="AO22" s="258" t="n">
        <f aca="false">20*(X21*1.9835+Y21*1.9835+Z21*1.9835)/E22</f>
        <v>0.0134197743501416</v>
      </c>
      <c r="AP22" s="115"/>
      <c r="AQ22" s="171" t="n">
        <v>1.09</v>
      </c>
      <c r="AR22" s="365" t="n">
        <f aca="false">AR21</f>
        <v>773.823</v>
      </c>
    </row>
    <row r="23" customFormat="false" ht="12.95" hidden="false" customHeight="true" outlineLevel="0" collapsed="false">
      <c r="A23" s="186" t="n">
        <f aca="false">A22+1</f>
        <v>12</v>
      </c>
      <c r="B23" s="114" t="n">
        <v>6901.36</v>
      </c>
      <c r="C23" s="115" t="n">
        <v>288626</v>
      </c>
      <c r="D23" s="264" t="n">
        <f aca="false">C23-C22</f>
        <v>-448</v>
      </c>
      <c r="E23" s="115" t="n">
        <f aca="false">C23-152000</f>
        <v>136626</v>
      </c>
      <c r="F23" s="283" t="n">
        <f aca="false">D23/$D$2</f>
        <v>-225.863372825813</v>
      </c>
      <c r="G23" s="141" t="n">
        <v>147</v>
      </c>
      <c r="H23" s="672" t="n">
        <v>0.64</v>
      </c>
      <c r="I23" s="141" t="n">
        <f aca="false">G23+H23</f>
        <v>147.64</v>
      </c>
      <c r="J23" s="261" t="n">
        <f aca="false">IF(L23&gt;0,L23,0)</f>
        <v>0</v>
      </c>
      <c r="K23" s="141" t="n">
        <f aca="false">I23+J23</f>
        <v>147.64</v>
      </c>
      <c r="L23" s="141" t="n">
        <f aca="false">F23-(I23-AF23)</f>
        <v>-70.5033728258129</v>
      </c>
      <c r="M23" s="284" t="n">
        <v>84</v>
      </c>
      <c r="N23" s="258" t="n">
        <f aca="false">1.8299*1.03</f>
        <v>1.884797</v>
      </c>
      <c r="O23" s="141" t="n">
        <f aca="false">(7.4+7.7)*1.05</f>
        <v>15.855</v>
      </c>
      <c r="P23" s="630" t="n">
        <v>0</v>
      </c>
      <c r="Q23" s="206" t="n">
        <f aca="false">1.63*1.02</f>
        <v>1.6626</v>
      </c>
      <c r="R23" s="650" t="n">
        <v>4.2</v>
      </c>
      <c r="S23" s="650" t="n">
        <v>0.26</v>
      </c>
      <c r="T23" s="651" t="n">
        <v>0</v>
      </c>
      <c r="U23" s="141" t="n">
        <v>153</v>
      </c>
      <c r="V23" s="141" t="n">
        <v>26</v>
      </c>
      <c r="W23" s="141" t="n">
        <f aca="false">M23-(N23-AQ23)-O23-P23-Q23-R23-S23-T23+U23+V23-AQ23</f>
        <v>239.137603</v>
      </c>
      <c r="X23" s="115" t="n">
        <v>0</v>
      </c>
      <c r="Y23" s="115" t="n">
        <v>0</v>
      </c>
      <c r="Z23" s="627" t="n">
        <f aca="false">Z22-(AO23/1.9835)</f>
        <v>46.3565545125035</v>
      </c>
      <c r="AA23" s="141" t="n">
        <v>0</v>
      </c>
      <c r="AB23" s="142" t="n">
        <v>1.7</v>
      </c>
      <c r="AC23" s="143" t="n">
        <v>1.3</v>
      </c>
      <c r="AD23" s="548" t="n">
        <v>40</v>
      </c>
      <c r="AE23" s="497" t="n">
        <f aca="false">AE22-AD23</f>
        <v>5660.82307285102</v>
      </c>
      <c r="AF23" s="654" t="n">
        <f aca="false">N23+O23+P23+Q23+R23+S23+T23+W23+AA23+AD23</f>
        <v>303</v>
      </c>
      <c r="AG23" s="141" t="n">
        <f aca="false">IF(L23&lt;0,L23*-1,0)</f>
        <v>70.5033728258129</v>
      </c>
      <c r="AH23" s="141" t="n">
        <f aca="false">AF23+AG23</f>
        <v>373.503372825813</v>
      </c>
      <c r="AI23" s="392" t="n">
        <v>0</v>
      </c>
      <c r="AJ23" s="264" t="n">
        <v>71</v>
      </c>
      <c r="AK23" s="265" t="n">
        <v>34</v>
      </c>
      <c r="AL23" s="264" t="n">
        <f aca="false">AL22</f>
        <v>10571</v>
      </c>
      <c r="AM23" s="264"/>
      <c r="AN23" s="261" t="n">
        <f aca="false">AN22-(W23-I23)-Q23-R23-AB23</f>
        <v>35.954594</v>
      </c>
      <c r="AO23" s="258" t="n">
        <f aca="false">20*(X22*1.9835+Y22*1.9835+Z22*1.9835)/E23</f>
        <v>0.013461813664927</v>
      </c>
      <c r="AP23" s="115"/>
      <c r="AQ23" s="171" t="n">
        <v>1.09</v>
      </c>
      <c r="AR23" s="365" t="n">
        <f aca="false">AR22</f>
        <v>773.823</v>
      </c>
    </row>
    <row r="24" customFormat="false" ht="12.95" hidden="false" customHeight="true" outlineLevel="0" collapsed="false">
      <c r="A24" s="186" t="n">
        <f aca="false">A23+1</f>
        <v>13</v>
      </c>
      <c r="B24" s="114" t="n">
        <v>6901.33</v>
      </c>
      <c r="C24" s="115" t="n">
        <v>288514</v>
      </c>
      <c r="D24" s="264" t="n">
        <f aca="false">C24-C23</f>
        <v>-112</v>
      </c>
      <c r="E24" s="115" t="n">
        <f aca="false">C24-152000</f>
        <v>136514</v>
      </c>
      <c r="F24" s="283" t="n">
        <f aca="false">D24/$D$2</f>
        <v>-56.4658432064532</v>
      </c>
      <c r="G24" s="141" t="n">
        <v>140</v>
      </c>
      <c r="H24" s="672" t="n">
        <v>0.65</v>
      </c>
      <c r="I24" s="141" t="n">
        <f aca="false">G24+H24</f>
        <v>140.65</v>
      </c>
      <c r="J24" s="261" t="n">
        <f aca="false">IF(L24&gt;0,L24,0)</f>
        <v>40.8841567935468</v>
      </c>
      <c r="K24" s="141" t="n">
        <f aca="false">I24+J24</f>
        <v>181.534156793547</v>
      </c>
      <c r="L24" s="141" t="n">
        <f aca="false">F24-(I24-AF24)</f>
        <v>40.8841567935468</v>
      </c>
      <c r="M24" s="284" t="n">
        <v>79</v>
      </c>
      <c r="N24" s="258" t="n">
        <f aca="false">1.8299*1.03</f>
        <v>1.884797</v>
      </c>
      <c r="O24" s="141" t="n">
        <f aca="false">(2.4+2)*1.05</f>
        <v>4.62</v>
      </c>
      <c r="P24" s="630" t="n">
        <v>0</v>
      </c>
      <c r="Q24" s="206" t="n">
        <f aca="false">1.63*1.02</f>
        <v>1.6626</v>
      </c>
      <c r="R24" s="650" t="n">
        <v>3.45</v>
      </c>
      <c r="S24" s="650" t="n">
        <v>0</v>
      </c>
      <c r="T24" s="651" t="n">
        <v>0</v>
      </c>
      <c r="U24" s="141" t="n">
        <v>93</v>
      </c>
      <c r="V24" s="141" t="n">
        <v>26</v>
      </c>
      <c r="W24" s="141" t="n">
        <f aca="false">M24-(N24-AQ24)-O24-P24-Q24-R24-S24-T24+U24+V24-AQ24</f>
        <v>186.382603</v>
      </c>
      <c r="X24" s="115" t="n">
        <v>0</v>
      </c>
      <c r="Y24" s="115" t="n">
        <v>0</v>
      </c>
      <c r="Z24" s="627" t="n">
        <f aca="false">Z23-(W24-I24)-Q24-R24-AB24-(AO24/1.9835)+36</f>
        <v>29.8045600399055</v>
      </c>
      <c r="AA24" s="141" t="n">
        <v>0</v>
      </c>
      <c r="AB24" s="142" t="n">
        <v>1.7</v>
      </c>
      <c r="AC24" s="143" t="n">
        <v>1.3</v>
      </c>
      <c r="AD24" s="548" t="n">
        <v>40</v>
      </c>
      <c r="AE24" s="497" t="n">
        <f aca="false">AE23-AD24</f>
        <v>5620.82307285102</v>
      </c>
      <c r="AF24" s="654" t="n">
        <f aca="false">N24+O24+P24+Q24+R24+S24+T24+W24+AA24+AD24</f>
        <v>238</v>
      </c>
      <c r="AG24" s="141" t="n">
        <f aca="false">IF(L24&lt;0,L24*-1,0)</f>
        <v>0</v>
      </c>
      <c r="AH24" s="141" t="n">
        <f aca="false">AF24+AG24</f>
        <v>238</v>
      </c>
      <c r="AI24" s="392" t="n">
        <v>0</v>
      </c>
      <c r="AJ24" s="264" t="n">
        <v>61</v>
      </c>
      <c r="AK24" s="265" t="n">
        <v>34</v>
      </c>
      <c r="AL24" s="264" t="n">
        <f aca="false">AL23</f>
        <v>10571</v>
      </c>
      <c r="AM24" s="264"/>
      <c r="AN24" s="261" t="n">
        <f aca="false">AN23-36</f>
        <v>-0.0454059999999856</v>
      </c>
      <c r="AO24" s="258" t="n">
        <f aca="false">20*(X23*1.9835+Y23*1.9835+Z23*1.9835)/E24</f>
        <v>0.0134708858982303</v>
      </c>
      <c r="AP24" s="115"/>
      <c r="AQ24" s="171" t="n">
        <v>1.09</v>
      </c>
      <c r="AR24" s="365" t="n">
        <f aca="false">AR23</f>
        <v>773.823</v>
      </c>
    </row>
    <row r="25" customFormat="false" ht="12.95" hidden="false" customHeight="true" outlineLevel="0" collapsed="false">
      <c r="A25" s="186" t="n">
        <f aca="false">A24+1</f>
        <v>14</v>
      </c>
      <c r="B25" s="114" t="n">
        <v>6901.29</v>
      </c>
      <c r="C25" s="115" t="n">
        <v>288364</v>
      </c>
      <c r="D25" s="264" t="n">
        <f aca="false">C25-C24</f>
        <v>-150</v>
      </c>
      <c r="E25" s="115" t="n">
        <f aca="false">C25-152000</f>
        <v>136364</v>
      </c>
      <c r="F25" s="283" t="n">
        <f aca="false">D25/$D$2</f>
        <v>-75.6238971514999</v>
      </c>
      <c r="G25" s="141" t="n">
        <v>127</v>
      </c>
      <c r="H25" s="672" t="n">
        <v>0.68</v>
      </c>
      <c r="I25" s="141" t="n">
        <f aca="false">G25+H25</f>
        <v>127.68</v>
      </c>
      <c r="J25" s="261" t="n">
        <f aca="false">IF(L25&gt;0,L25,0)</f>
        <v>0</v>
      </c>
      <c r="K25" s="141" t="n">
        <f aca="false">I25+J25</f>
        <v>127.68</v>
      </c>
      <c r="L25" s="141" t="n">
        <f aca="false">F25-(I25-AF25)</f>
        <v>-1.30389715149991</v>
      </c>
      <c r="M25" s="284" t="n">
        <v>82</v>
      </c>
      <c r="N25" s="258" t="n">
        <f aca="false">1.8299*1.03</f>
        <v>1.884797</v>
      </c>
      <c r="O25" s="141" t="n">
        <f aca="false">(2.4+2.2)*1.05</f>
        <v>4.83</v>
      </c>
      <c r="P25" s="630" t="n">
        <v>0</v>
      </c>
      <c r="Q25" s="206" t="n">
        <f aca="false">1.63*1.02</f>
        <v>1.6626</v>
      </c>
      <c r="R25" s="650" t="n">
        <v>2.29</v>
      </c>
      <c r="S25" s="650" t="n">
        <v>0</v>
      </c>
      <c r="T25" s="651" t="n">
        <v>0</v>
      </c>
      <c r="U25" s="141" t="n">
        <v>54</v>
      </c>
      <c r="V25" s="409" t="n">
        <v>26</v>
      </c>
      <c r="W25" s="141" t="n">
        <f aca="false">M25-(N25-AQ25)-O25-P25-Q25-R25-S25-T25+U25+V25-AQ25</f>
        <v>151.332603</v>
      </c>
      <c r="X25" s="115" t="n">
        <v>0</v>
      </c>
      <c r="Y25" s="115" t="n">
        <v>0</v>
      </c>
      <c r="Z25" s="627" t="n">
        <f aca="false">Z24-(W25-I25)-Q25-R25-AB25-(AO25/1.9835)</f>
        <v>0.494985716089835</v>
      </c>
      <c r="AA25" s="141" t="n">
        <v>0</v>
      </c>
      <c r="AB25" s="142" t="n">
        <v>1.7</v>
      </c>
      <c r="AC25" s="143" t="n">
        <v>1.3</v>
      </c>
      <c r="AD25" s="548" t="n">
        <v>40</v>
      </c>
      <c r="AE25" s="497" t="n">
        <f aca="false">AE24-AD25</f>
        <v>5580.82307285102</v>
      </c>
      <c r="AF25" s="654" t="n">
        <f aca="false">N25+O25+P25+Q25+R25+S25+T25+W25+AA25+AD25</f>
        <v>202</v>
      </c>
      <c r="AG25" s="141" t="n">
        <f aca="false">IF(L25&lt;0,L25*-1,0)</f>
        <v>1.30389715149991</v>
      </c>
      <c r="AH25" s="141" t="n">
        <f aca="false">AF25+AG25</f>
        <v>203.3038971515</v>
      </c>
      <c r="AI25" s="392" t="n">
        <v>0</v>
      </c>
      <c r="AJ25" s="266" t="n">
        <v>63</v>
      </c>
      <c r="AK25" s="265" t="n">
        <v>30</v>
      </c>
      <c r="AL25" s="264" t="n">
        <f aca="false">AL24</f>
        <v>10571</v>
      </c>
      <c r="AM25" s="264"/>
      <c r="AN25" s="261" t="n">
        <v>0</v>
      </c>
      <c r="AO25" s="258" t="n">
        <f aca="false">20*(X24*1.9835+Y24*1.9835+Z24*1.9835)/E25</f>
        <v>0.00867052078835359</v>
      </c>
      <c r="AP25" s="115"/>
      <c r="AQ25" s="171" t="n">
        <v>1.09</v>
      </c>
      <c r="AR25" s="365" t="n">
        <f aca="false">AR24</f>
        <v>773.823</v>
      </c>
    </row>
    <row r="26" customFormat="false" ht="12.95" hidden="false" customHeight="true" outlineLevel="0" collapsed="false">
      <c r="A26" s="186" t="n">
        <f aca="false">A25+1</f>
        <v>15</v>
      </c>
      <c r="B26" s="114" t="n">
        <v>6901.26</v>
      </c>
      <c r="C26" s="115" t="n">
        <v>288252</v>
      </c>
      <c r="D26" s="264" t="n">
        <f aca="false">C26-C25</f>
        <v>-112</v>
      </c>
      <c r="E26" s="115" t="n">
        <f aca="false">C26-152000</f>
        <v>136252</v>
      </c>
      <c r="F26" s="283" t="n">
        <f aca="false">D26/$D$2</f>
        <v>-56.4658432064532</v>
      </c>
      <c r="G26" s="141" t="n">
        <v>130</v>
      </c>
      <c r="H26" s="672" t="n">
        <v>0.7</v>
      </c>
      <c r="I26" s="141" t="n">
        <f aca="false">G26+H26</f>
        <v>130.7</v>
      </c>
      <c r="J26" s="261" t="n">
        <f aca="false">IF(L26&gt;0,L26,0)</f>
        <v>0</v>
      </c>
      <c r="K26" s="141" t="n">
        <f aca="false">I26+J26</f>
        <v>130.7</v>
      </c>
      <c r="L26" s="141" t="n">
        <f aca="false">F26-(I26-AF26)</f>
        <v>-64.6658432064532</v>
      </c>
      <c r="M26" s="284" t="n">
        <v>82</v>
      </c>
      <c r="N26" s="258" t="n">
        <f aca="false">1.8299*1.03</f>
        <v>1.884797</v>
      </c>
      <c r="O26" s="141" t="n">
        <f aca="false">(21+22)*1.05</f>
        <v>45.15</v>
      </c>
      <c r="P26" s="630" t="n">
        <v>0</v>
      </c>
      <c r="Q26" s="206" t="n">
        <f aca="false">1.63*1.02</f>
        <v>1.6626</v>
      </c>
      <c r="R26" s="650" t="n">
        <v>3.34</v>
      </c>
      <c r="S26" s="650" t="n">
        <v>0</v>
      </c>
      <c r="T26" s="651" t="n">
        <v>0</v>
      </c>
      <c r="U26" s="141" t="n">
        <v>0.5</v>
      </c>
      <c r="V26" s="409" t="n">
        <v>0</v>
      </c>
      <c r="W26" s="141" t="n">
        <f aca="false">M26-(N26-AQ26)-O26-P26-Q26-R26-S26-T26+U26+V26-AQ26</f>
        <v>30.462603</v>
      </c>
      <c r="X26" s="115" t="n">
        <v>0</v>
      </c>
      <c r="Y26" s="115" t="n">
        <v>0</v>
      </c>
      <c r="Z26" s="627" t="n">
        <f aca="false">Z25</f>
        <v>0.494985716089835</v>
      </c>
      <c r="AA26" s="141" t="n">
        <v>0</v>
      </c>
      <c r="AB26" s="142" t="n">
        <v>1.7</v>
      </c>
      <c r="AC26" s="143" t="n">
        <v>1.3</v>
      </c>
      <c r="AD26" s="548" t="n">
        <v>40</v>
      </c>
      <c r="AE26" s="497" t="n">
        <f aca="false">AE25-AD26</f>
        <v>5540.82307285102</v>
      </c>
      <c r="AF26" s="654" t="n">
        <f aca="false">N26+O26+P26+Q26+R26+S26+T26+W26+AA26+AD26</f>
        <v>122.5</v>
      </c>
      <c r="AG26" s="141" t="n">
        <f aca="false">IF(L26&lt;0,L26*-1,0)</f>
        <v>64.6658432064532</v>
      </c>
      <c r="AH26" s="141" t="n">
        <f aca="false">AF26+AG26</f>
        <v>187.165843206453</v>
      </c>
      <c r="AI26" s="392" t="n">
        <v>0</v>
      </c>
      <c r="AJ26" s="266" t="n">
        <v>62</v>
      </c>
      <c r="AK26" s="265" t="n">
        <v>29</v>
      </c>
      <c r="AL26" s="264" t="n">
        <f aca="false">AL25</f>
        <v>10571</v>
      </c>
      <c r="AM26" s="264"/>
      <c r="AN26" s="261" t="n">
        <v>0</v>
      </c>
      <c r="AO26" s="258" t="n">
        <f aca="false">20*(X25*1.9835+Y25*1.9835+Z25*1.9835)/E26</f>
        <v>0.000144115927526082</v>
      </c>
      <c r="AP26" s="115"/>
      <c r="AQ26" s="171" t="n">
        <v>1.09</v>
      </c>
      <c r="AR26" s="365" t="n">
        <f aca="false">AR25</f>
        <v>773.823</v>
      </c>
    </row>
    <row r="27" customFormat="false" ht="12.95" hidden="false" customHeight="true" outlineLevel="0" collapsed="false">
      <c r="A27" s="186" t="n">
        <f aca="false">A26+1</f>
        <v>16</v>
      </c>
      <c r="B27" s="114" t="n">
        <v>6901.23</v>
      </c>
      <c r="C27" s="115" t="n">
        <v>288140</v>
      </c>
      <c r="D27" s="264" t="n">
        <f aca="false">C27-C26</f>
        <v>-112</v>
      </c>
      <c r="E27" s="115" t="n">
        <f aca="false">C27-152000</f>
        <v>136140</v>
      </c>
      <c r="F27" s="283" t="n">
        <f aca="false">D27/$D$2</f>
        <v>-56.4658432064532</v>
      </c>
      <c r="G27" s="141" t="n">
        <v>127</v>
      </c>
      <c r="H27" s="672" t="n">
        <v>0.81</v>
      </c>
      <c r="I27" s="141" t="n">
        <f aca="false">G27+H27</f>
        <v>127.81</v>
      </c>
      <c r="J27" s="261" t="n">
        <f aca="false">IF(L27&gt;0,L27,0)</f>
        <v>0</v>
      </c>
      <c r="K27" s="141" t="n">
        <f aca="false">I27+J27</f>
        <v>127.81</v>
      </c>
      <c r="L27" s="141" t="n">
        <f aca="false">F27-(I27-AF27)</f>
        <v>-35.2758432064532</v>
      </c>
      <c r="M27" s="284" t="n">
        <v>109</v>
      </c>
      <c r="N27" s="258" t="n">
        <f aca="false">1.8299*1.03</f>
        <v>1.884797</v>
      </c>
      <c r="O27" s="141" t="n">
        <f aca="false">(32+32)*1.05</f>
        <v>67.2</v>
      </c>
      <c r="P27" s="630" t="n">
        <v>0</v>
      </c>
      <c r="Q27" s="206" t="n">
        <f aca="false">1.63*1.02</f>
        <v>1.6626</v>
      </c>
      <c r="R27" s="650" t="n">
        <v>3.65</v>
      </c>
      <c r="S27" s="650" t="n">
        <v>0</v>
      </c>
      <c r="T27" s="651" t="n">
        <v>0</v>
      </c>
      <c r="U27" s="141" t="n">
        <v>0</v>
      </c>
      <c r="V27" s="141" t="n">
        <v>0</v>
      </c>
      <c r="W27" s="141" t="n">
        <f aca="false">M27-N27-O27-P27-Q27-R27-S27-T27+U27+V27</f>
        <v>34.602603</v>
      </c>
      <c r="X27" s="115" t="n">
        <v>0</v>
      </c>
      <c r="Y27" s="115" t="n">
        <v>0</v>
      </c>
      <c r="Z27" s="627" t="n">
        <f aca="false">Z26</f>
        <v>0.494985716089835</v>
      </c>
      <c r="AA27" s="141" t="n">
        <v>0</v>
      </c>
      <c r="AB27" s="142" t="n">
        <v>1.7</v>
      </c>
      <c r="AC27" s="143" t="n">
        <v>1.3</v>
      </c>
      <c r="AD27" s="548" t="n">
        <v>40</v>
      </c>
      <c r="AE27" s="497" t="n">
        <f aca="false">AE26-AD27</f>
        <v>5500.82307285102</v>
      </c>
      <c r="AF27" s="654" t="n">
        <f aca="false">N27+O27+P27+Q27+R27+S27+T27+W27+AA27+AD27</f>
        <v>149</v>
      </c>
      <c r="AG27" s="141" t="n">
        <f aca="false">IF(L27&lt;0,L27*-1,0)</f>
        <v>35.2758432064532</v>
      </c>
      <c r="AH27" s="141" t="n">
        <f aca="false">AF27+AG27</f>
        <v>184.275843206453</v>
      </c>
      <c r="AI27" s="392" t="n">
        <v>0</v>
      </c>
      <c r="AJ27" s="266" t="n">
        <v>60</v>
      </c>
      <c r="AK27" s="265" t="n">
        <v>33</v>
      </c>
      <c r="AL27" s="264" t="n">
        <f aca="false">AL26</f>
        <v>10571</v>
      </c>
      <c r="AM27" s="264"/>
      <c r="AN27" s="261" t="n">
        <v>0</v>
      </c>
      <c r="AO27" s="258" t="n">
        <f aca="false">20*(X26*1.9835+Y26*1.9835+Z26*1.9835)/E27</f>
        <v>0.00014423448918234</v>
      </c>
      <c r="AP27" s="115"/>
      <c r="AQ27" s="171" t="n">
        <v>1.09</v>
      </c>
      <c r="AR27" s="365" t="n">
        <f aca="false">AR26</f>
        <v>773.823</v>
      </c>
    </row>
    <row r="28" customFormat="false" ht="12.95" hidden="false" customHeight="true" outlineLevel="0" collapsed="false">
      <c r="A28" s="186" t="n">
        <f aca="false">A27+1</f>
        <v>17</v>
      </c>
      <c r="B28" s="114" t="n">
        <v>6901.23</v>
      </c>
      <c r="C28" s="115" t="n">
        <v>288140</v>
      </c>
      <c r="D28" s="264" t="n">
        <f aca="false">C28-C27</f>
        <v>0</v>
      </c>
      <c r="E28" s="115" t="n">
        <f aca="false">C28-152000</f>
        <v>136140</v>
      </c>
      <c r="F28" s="283" t="n">
        <f aca="false">D28/$D$2</f>
        <v>0</v>
      </c>
      <c r="G28" s="141" t="n">
        <v>128</v>
      </c>
      <c r="H28" s="672" t="n">
        <v>1.4</v>
      </c>
      <c r="I28" s="141" t="n">
        <f aca="false">G28+H28</f>
        <v>129.4</v>
      </c>
      <c r="J28" s="261" t="n">
        <f aca="false">IF(L28&gt;0,L28,0)</f>
        <v>5.59999999999999</v>
      </c>
      <c r="K28" s="141" t="n">
        <f aca="false">I28+J28</f>
        <v>135</v>
      </c>
      <c r="L28" s="141" t="n">
        <f aca="false">F28-(I28-AF28)</f>
        <v>5.59999999999999</v>
      </c>
      <c r="M28" s="284" t="n">
        <v>95</v>
      </c>
      <c r="N28" s="258" t="n">
        <f aca="false">1.8299*1.03</f>
        <v>1.884797</v>
      </c>
      <c r="O28" s="141" t="n">
        <f aca="false">(33+30)*1.05</f>
        <v>66.15</v>
      </c>
      <c r="P28" s="630" t="n">
        <v>0</v>
      </c>
      <c r="Q28" s="206" t="n">
        <f aca="false">1.63*1.02</f>
        <v>1.6626</v>
      </c>
      <c r="R28" s="650" t="n">
        <v>2.97</v>
      </c>
      <c r="S28" s="650" t="n">
        <v>0</v>
      </c>
      <c r="T28" s="651" t="n">
        <v>0</v>
      </c>
      <c r="U28" s="141" t="n">
        <v>0</v>
      </c>
      <c r="V28" s="141" t="n">
        <v>0</v>
      </c>
      <c r="W28" s="141" t="n">
        <f aca="false">M28-N28-O28-P28-Q28-R28-S28-T28+U28+V28</f>
        <v>22.332603</v>
      </c>
      <c r="X28" s="115" t="n">
        <v>0</v>
      </c>
      <c r="Y28" s="115" t="n">
        <v>0</v>
      </c>
      <c r="Z28" s="627" t="n">
        <f aca="false">Z27</f>
        <v>0.494985716089835</v>
      </c>
      <c r="AA28" s="141" t="n">
        <v>0</v>
      </c>
      <c r="AB28" s="142" t="n">
        <v>1.7</v>
      </c>
      <c r="AC28" s="143" t="n">
        <v>1.3</v>
      </c>
      <c r="AD28" s="548" t="n">
        <v>40</v>
      </c>
      <c r="AE28" s="497" t="n">
        <f aca="false">AE27-AD28</f>
        <v>5460.82307285102</v>
      </c>
      <c r="AF28" s="654" t="n">
        <f aca="false">N28+O28+P28+Q28+R28+S28+T28+W28+AA28+AD28</f>
        <v>135</v>
      </c>
      <c r="AG28" s="141" t="n">
        <f aca="false">IF(L28&lt;0,L28*-1,0)</f>
        <v>0</v>
      </c>
      <c r="AH28" s="141" t="n">
        <f aca="false">AF28+AG28</f>
        <v>135</v>
      </c>
      <c r="AI28" s="392" t="n">
        <v>0.01</v>
      </c>
      <c r="AJ28" s="266" t="n">
        <v>52</v>
      </c>
      <c r="AK28" s="265" t="n">
        <v>31</v>
      </c>
      <c r="AL28" s="264" t="n">
        <f aca="false">AL27</f>
        <v>10571</v>
      </c>
      <c r="AM28" s="264"/>
      <c r="AN28" s="261" t="n">
        <v>0</v>
      </c>
      <c r="AO28" s="258" t="n">
        <f aca="false">20*(X27*1.9835+Y27*1.9835+Z27*1.9835)/E28</f>
        <v>0.00014423448918234</v>
      </c>
      <c r="AP28" s="115"/>
      <c r="AQ28" s="171" t="n">
        <v>1.09</v>
      </c>
      <c r="AR28" s="365" t="n">
        <f aca="false">AR27</f>
        <v>773.823</v>
      </c>
    </row>
    <row r="29" customFormat="false" ht="12.95" hidden="false" customHeight="true" outlineLevel="0" collapsed="false">
      <c r="A29" s="186" t="n">
        <f aca="false">A28+1</f>
        <v>18</v>
      </c>
      <c r="B29" s="114" t="n">
        <v>6901.22</v>
      </c>
      <c r="C29" s="115" t="n">
        <v>288103</v>
      </c>
      <c r="D29" s="264" t="n">
        <f aca="false">C29-C28</f>
        <v>-37</v>
      </c>
      <c r="E29" s="115" t="n">
        <f aca="false">C29-152000</f>
        <v>136103</v>
      </c>
      <c r="F29" s="283" t="n">
        <f aca="false">D29/$D$2</f>
        <v>-18.6538946307033</v>
      </c>
      <c r="G29" s="141" t="n">
        <v>129</v>
      </c>
      <c r="H29" s="672" t="n">
        <v>1.9</v>
      </c>
      <c r="I29" s="141" t="n">
        <f aca="false">G29+H29</f>
        <v>130.9</v>
      </c>
      <c r="J29" s="261" t="n">
        <f aca="false">IF(L29&gt;0,L29,0)</f>
        <v>0</v>
      </c>
      <c r="K29" s="141" t="n">
        <f aca="false">I29+J29</f>
        <v>130.9</v>
      </c>
      <c r="L29" s="141" t="n">
        <f aca="false">F29-(I29-AF29)</f>
        <v>-8.55389463070331</v>
      </c>
      <c r="M29" s="284" t="n">
        <v>101</v>
      </c>
      <c r="N29" s="258" t="n">
        <f aca="false">1.8299*1.03</f>
        <v>1.884797</v>
      </c>
      <c r="O29" s="141" t="n">
        <f aca="false">(33+32)*1.05</f>
        <v>68.25</v>
      </c>
      <c r="P29" s="630" t="n">
        <v>0</v>
      </c>
      <c r="Q29" s="206" t="n">
        <f aca="false">1.63*1.02</f>
        <v>1.6626</v>
      </c>
      <c r="R29" s="650" t="n">
        <v>2.87</v>
      </c>
      <c r="S29" s="650" t="n">
        <v>0</v>
      </c>
      <c r="T29" s="651" t="n">
        <v>0</v>
      </c>
      <c r="U29" s="141" t="n">
        <v>0</v>
      </c>
      <c r="V29" s="141" t="n">
        <v>0</v>
      </c>
      <c r="W29" s="141" t="n">
        <f aca="false">M29-N29-O29-P29-Q29-R29-S29-T29+U29+V29</f>
        <v>26.332603</v>
      </c>
      <c r="X29" s="115" t="n">
        <v>0</v>
      </c>
      <c r="Y29" s="115" t="n">
        <v>0</v>
      </c>
      <c r="Z29" s="627" t="n">
        <f aca="false">Z28</f>
        <v>0.494985716089835</v>
      </c>
      <c r="AA29" s="141" t="n">
        <v>0</v>
      </c>
      <c r="AB29" s="142" t="n">
        <v>1.7</v>
      </c>
      <c r="AC29" s="143" t="n">
        <v>1.3</v>
      </c>
      <c r="AD29" s="548" t="n">
        <v>40</v>
      </c>
      <c r="AE29" s="497" t="n">
        <f aca="false">AE28-AD29</f>
        <v>5420.82307285102</v>
      </c>
      <c r="AF29" s="654" t="n">
        <f aca="false">N29+O29+P29+Q29+R29+S29+T29+W29+AA29+AD29</f>
        <v>141</v>
      </c>
      <c r="AG29" s="141" t="n">
        <f aca="false">IF(L29&lt;0,L29*-1,0)</f>
        <v>8.55389463070331</v>
      </c>
      <c r="AH29" s="141" t="n">
        <f aca="false">AF29+AG29</f>
        <v>149.553894630703</v>
      </c>
      <c r="AI29" s="392" t="n">
        <v>0</v>
      </c>
      <c r="AJ29" s="266" t="n">
        <v>58</v>
      </c>
      <c r="AK29" s="265" t="n">
        <v>29</v>
      </c>
      <c r="AL29" s="264" t="n">
        <f aca="false">AL28</f>
        <v>10571</v>
      </c>
      <c r="AM29" s="264"/>
      <c r="AN29" s="261" t="n">
        <v>0</v>
      </c>
      <c r="AO29" s="258" t="n">
        <f aca="false">20*(X28*1.9835+Y28*1.9835+Z28*1.9835)/E29</f>
        <v>0.000144273699751539</v>
      </c>
      <c r="AP29" s="115"/>
      <c r="AQ29" s="171" t="n">
        <v>1.09</v>
      </c>
      <c r="AR29" s="365" t="n">
        <f aca="false">AR28</f>
        <v>773.823</v>
      </c>
    </row>
    <row r="30" customFormat="false" ht="12.95" hidden="false" customHeight="true" outlineLevel="0" collapsed="false">
      <c r="A30" s="186" t="n">
        <f aca="false">A29+1</f>
        <v>19</v>
      </c>
      <c r="B30" s="114" t="n">
        <v>6901.23</v>
      </c>
      <c r="C30" s="382" t="n">
        <v>288140</v>
      </c>
      <c r="D30" s="264" t="n">
        <f aca="false">C30-C29</f>
        <v>37</v>
      </c>
      <c r="E30" s="115" t="n">
        <f aca="false">C30-152000</f>
        <v>136140</v>
      </c>
      <c r="F30" s="283" t="n">
        <f aca="false">D30/$D$2</f>
        <v>18.6538946307033</v>
      </c>
      <c r="G30" s="141" t="n">
        <v>121</v>
      </c>
      <c r="H30" s="672" t="n">
        <v>2.4</v>
      </c>
      <c r="I30" s="141" t="n">
        <f aca="false">G30+H30</f>
        <v>123.4</v>
      </c>
      <c r="J30" s="261" t="n">
        <f aca="false">IF(L30&gt;0,L30,0)</f>
        <v>0</v>
      </c>
      <c r="K30" s="141" t="n">
        <f aca="false">I30+J30</f>
        <v>123.4</v>
      </c>
      <c r="L30" s="141" t="n">
        <f aca="false">F30-(I30-AF30)</f>
        <v>-29.7461053692967</v>
      </c>
      <c r="M30" s="284" t="n">
        <v>35</v>
      </c>
      <c r="N30" s="258" t="n">
        <f aca="false">1.8299*1.03</f>
        <v>1.884797</v>
      </c>
      <c r="O30" s="141" t="n">
        <f aca="false">(12+12)*1.05</f>
        <v>25.2</v>
      </c>
      <c r="P30" s="630" t="n">
        <v>0</v>
      </c>
      <c r="Q30" s="206" t="n">
        <f aca="false">1.63*1.02</f>
        <v>1.6626</v>
      </c>
      <c r="R30" s="650" t="n">
        <v>2.38</v>
      </c>
      <c r="S30" s="650" t="n">
        <v>0</v>
      </c>
      <c r="T30" s="651" t="n">
        <v>0</v>
      </c>
      <c r="U30" s="141" t="n">
        <v>0</v>
      </c>
      <c r="V30" s="141" t="n">
        <v>0</v>
      </c>
      <c r="W30" s="141" t="n">
        <f aca="false">M30-N30-O30-P30-Q30-R30-S30-T30+U30+V30</f>
        <v>3.872603</v>
      </c>
      <c r="X30" s="115" t="n">
        <v>0</v>
      </c>
      <c r="Y30" s="115" t="n">
        <v>0</v>
      </c>
      <c r="Z30" s="627" t="n">
        <f aca="false">Z29</f>
        <v>0.494985716089835</v>
      </c>
      <c r="AA30" s="141" t="n">
        <v>0</v>
      </c>
      <c r="AB30" s="142" t="n">
        <v>1.7</v>
      </c>
      <c r="AC30" s="143" t="n">
        <v>1.3</v>
      </c>
      <c r="AD30" s="548" t="n">
        <v>40</v>
      </c>
      <c r="AE30" s="497" t="n">
        <f aca="false">AE29-AD30</f>
        <v>5380.82307285102</v>
      </c>
      <c r="AF30" s="654" t="n">
        <f aca="false">N30+O30+P30+Q30+R30+S30+T30+W30+AA30+AD30</f>
        <v>75</v>
      </c>
      <c r="AG30" s="141" t="n">
        <f aca="false">IF(L30&lt;0,L30*-1,0)</f>
        <v>29.7461053692967</v>
      </c>
      <c r="AH30" s="141" t="n">
        <f aca="false">AF30+AG30</f>
        <v>104.746105369297</v>
      </c>
      <c r="AI30" s="392" t="n">
        <v>0</v>
      </c>
      <c r="AJ30" s="266" t="n">
        <v>65</v>
      </c>
      <c r="AK30" s="265" t="n">
        <v>28</v>
      </c>
      <c r="AL30" s="264" t="n">
        <f aca="false">AL29</f>
        <v>10571</v>
      </c>
      <c r="AM30" s="264"/>
      <c r="AN30" s="261" t="n">
        <v>0</v>
      </c>
      <c r="AO30" s="258" t="n">
        <f aca="false">20*(X29*1.9835+Y29*1.9835+Z29*1.9835)/E30</f>
        <v>0.00014423448918234</v>
      </c>
      <c r="AP30" s="115"/>
      <c r="AQ30" s="171" t="n">
        <v>1.09</v>
      </c>
      <c r="AR30" s="365" t="n">
        <f aca="false">AR29</f>
        <v>773.823</v>
      </c>
    </row>
    <row r="31" customFormat="false" ht="12.95" hidden="false" customHeight="true" outlineLevel="0" collapsed="false">
      <c r="A31" s="186" t="n">
        <f aca="false">A30+1</f>
        <v>20</v>
      </c>
      <c r="B31" s="114" t="n">
        <v>6901.24</v>
      </c>
      <c r="C31" s="115" t="n">
        <v>288178</v>
      </c>
      <c r="D31" s="264" t="n">
        <f aca="false">C31-C30</f>
        <v>38</v>
      </c>
      <c r="E31" s="115" t="n">
        <f aca="false">C31-152000</f>
        <v>136178</v>
      </c>
      <c r="F31" s="283" t="n">
        <f aca="false">D31/$D$2</f>
        <v>19.1580539450466</v>
      </c>
      <c r="G31" s="141" t="n">
        <v>131</v>
      </c>
      <c r="H31" s="672" t="n">
        <v>3.1</v>
      </c>
      <c r="I31" s="141" t="n">
        <f aca="false">G31+H31</f>
        <v>134.1</v>
      </c>
      <c r="J31" s="261" t="n">
        <f aca="false">IF(L31&gt;0,L31,0)</f>
        <v>0</v>
      </c>
      <c r="K31" s="141" t="n">
        <f aca="false">I31+J31</f>
        <v>134.1</v>
      </c>
      <c r="L31" s="141" t="n">
        <f aca="false">F31-(I31-AF31)</f>
        <v>-39.9419460549534</v>
      </c>
      <c r="M31" s="284" t="n">
        <v>35</v>
      </c>
      <c r="N31" s="258" t="n">
        <f aca="false">1.8299*1.03</f>
        <v>1.884797</v>
      </c>
      <c r="O31" s="141" t="n">
        <f aca="false">(6.2+4.9)*1.05</f>
        <v>11.655</v>
      </c>
      <c r="P31" s="630" t="n">
        <v>0</v>
      </c>
      <c r="Q31" s="206" t="n">
        <f aca="false">1.63*1.02</f>
        <v>1.6626</v>
      </c>
      <c r="R31" s="650" t="n">
        <v>2.41</v>
      </c>
      <c r="S31" s="650" t="n">
        <v>0</v>
      </c>
      <c r="T31" s="651" t="n">
        <v>0</v>
      </c>
      <c r="U31" s="141" t="n">
        <v>0</v>
      </c>
      <c r="V31" s="141" t="n">
        <v>0</v>
      </c>
      <c r="W31" s="141" t="n">
        <f aca="false">M31-N31-O31-P31-Q31-R31-S31-T31+U31+V31</f>
        <v>17.387603</v>
      </c>
      <c r="X31" s="115" t="n">
        <v>0</v>
      </c>
      <c r="Y31" s="115" t="n">
        <v>0</v>
      </c>
      <c r="Z31" s="627" t="n">
        <f aca="false">Z30</f>
        <v>0.494985716089835</v>
      </c>
      <c r="AA31" s="141" t="n">
        <v>0</v>
      </c>
      <c r="AB31" s="142" t="n">
        <v>1.7</v>
      </c>
      <c r="AC31" s="143" t="n">
        <v>1.3</v>
      </c>
      <c r="AD31" s="548" t="n">
        <v>40</v>
      </c>
      <c r="AE31" s="497" t="n">
        <f aca="false">AE30-AD31</f>
        <v>5340.82307285102</v>
      </c>
      <c r="AF31" s="654" t="n">
        <f aca="false">N31+O31+P31+Q31+R31+S31+T31+W31+AA31+AD31</f>
        <v>75</v>
      </c>
      <c r="AG31" s="141" t="n">
        <f aca="false">IF(L31&lt;0,L31*-1,0)</f>
        <v>39.9419460549534</v>
      </c>
      <c r="AH31" s="141" t="n">
        <f aca="false">AF31+AG31</f>
        <v>114.941946054953</v>
      </c>
      <c r="AI31" s="392" t="n">
        <v>0</v>
      </c>
      <c r="AJ31" s="266" t="n">
        <v>67</v>
      </c>
      <c r="AK31" s="265" t="n">
        <v>30</v>
      </c>
      <c r="AL31" s="264" t="n">
        <f aca="false">AL30</f>
        <v>10571</v>
      </c>
      <c r="AM31" s="264"/>
      <c r="AN31" s="261" t="n">
        <v>0</v>
      </c>
      <c r="AO31" s="258" t="n">
        <f aca="false">20*(X30*1.9835+Y30*1.9835+Z30*1.9835)/E31</f>
        <v>0.000144194241046893</v>
      </c>
      <c r="AP31" s="115"/>
      <c r="AQ31" s="171" t="n">
        <v>1.09</v>
      </c>
      <c r="AR31" s="365" t="n">
        <f aca="false">AR30</f>
        <v>773.823</v>
      </c>
    </row>
    <row r="32" customFormat="false" ht="12.95" hidden="false" customHeight="true" outlineLevel="0" collapsed="false">
      <c r="A32" s="186" t="n">
        <f aca="false">A31+1</f>
        <v>21</v>
      </c>
      <c r="B32" s="114" t="n">
        <v>6901.26</v>
      </c>
      <c r="C32" s="115" t="n">
        <v>288252</v>
      </c>
      <c r="D32" s="264" t="n">
        <f aca="false">C32-C31</f>
        <v>74</v>
      </c>
      <c r="E32" s="115" t="n">
        <f aca="false">C32-152000</f>
        <v>136252</v>
      </c>
      <c r="F32" s="283" t="n">
        <f aca="false">D32/$D$2</f>
        <v>37.3077892614066</v>
      </c>
      <c r="G32" s="141" t="n">
        <v>139</v>
      </c>
      <c r="H32" s="672" t="n">
        <v>3</v>
      </c>
      <c r="I32" s="141" t="n">
        <f aca="false">G32+H32</f>
        <v>142</v>
      </c>
      <c r="J32" s="261" t="n">
        <f aca="false">IF(L32&gt;0,L32,0)</f>
        <v>0</v>
      </c>
      <c r="K32" s="141" t="n">
        <f aca="false">I32+J32</f>
        <v>142</v>
      </c>
      <c r="L32" s="141" t="n">
        <f aca="false">F32-(I32-AF32)</f>
        <v>-20.6922107385934</v>
      </c>
      <c r="M32" s="284" t="n">
        <v>44</v>
      </c>
      <c r="N32" s="258" t="n">
        <f aca="false">1.8299*1.03</f>
        <v>1.884797</v>
      </c>
      <c r="O32" s="141" t="n">
        <f aca="false">(2.7+2.1)*1.05</f>
        <v>5.04</v>
      </c>
      <c r="P32" s="630" t="n">
        <v>0</v>
      </c>
      <c r="Q32" s="206" t="n">
        <f aca="false">1.63*1.02</f>
        <v>1.6626</v>
      </c>
      <c r="R32" s="650" t="n">
        <v>3.62</v>
      </c>
      <c r="S32" s="650" t="n">
        <v>0</v>
      </c>
      <c r="T32" s="651" t="n">
        <v>0</v>
      </c>
      <c r="U32" s="141" t="n">
        <v>0</v>
      </c>
      <c r="V32" s="141" t="n">
        <v>0</v>
      </c>
      <c r="W32" s="141" t="n">
        <f aca="false">M32-N32-O32-P32-Q32-R32-S32-T32+U32+V32</f>
        <v>31.792603</v>
      </c>
      <c r="X32" s="115" t="n">
        <v>0</v>
      </c>
      <c r="Y32" s="115" t="n">
        <v>0</v>
      </c>
      <c r="Z32" s="627" t="n">
        <f aca="false">Z31</f>
        <v>0.494985716089835</v>
      </c>
      <c r="AA32" s="141" t="n">
        <v>0</v>
      </c>
      <c r="AB32" s="142" t="n">
        <v>1.7</v>
      </c>
      <c r="AC32" s="143" t="n">
        <v>1.3</v>
      </c>
      <c r="AD32" s="548" t="n">
        <v>40</v>
      </c>
      <c r="AE32" s="497" t="n">
        <f aca="false">AE31-AD32</f>
        <v>5300.82307285102</v>
      </c>
      <c r="AF32" s="654" t="n">
        <f aca="false">N32+O32+P32+Q32+R32+S32+T32+W32+AA32+AD32</f>
        <v>84</v>
      </c>
      <c r="AG32" s="141" t="n">
        <f aca="false">IF(L32&lt;0,L32*-1,0)</f>
        <v>20.6922107385934</v>
      </c>
      <c r="AH32" s="141" t="n">
        <f aca="false">AF32+AG32</f>
        <v>104.692210738593</v>
      </c>
      <c r="AI32" s="392" t="n">
        <v>0</v>
      </c>
      <c r="AJ32" s="264" t="n">
        <v>41</v>
      </c>
      <c r="AK32" s="265" t="n">
        <v>27</v>
      </c>
      <c r="AL32" s="264" t="n">
        <f aca="false">AL31</f>
        <v>10571</v>
      </c>
      <c r="AM32" s="264"/>
      <c r="AN32" s="261" t="n">
        <v>0</v>
      </c>
      <c r="AO32" s="258" t="n">
        <f aca="false">20*(X31*1.9835+Y31*1.9835+Z31*1.9835)/E32</f>
        <v>0.000144115927526082</v>
      </c>
      <c r="AP32" s="115"/>
      <c r="AQ32" s="171" t="n">
        <v>1.09</v>
      </c>
      <c r="AR32" s="365" t="n">
        <f aca="false">AR31</f>
        <v>773.823</v>
      </c>
    </row>
    <row r="33" customFormat="false" ht="12.95" hidden="false" customHeight="true" outlineLevel="0" collapsed="false">
      <c r="A33" s="186" t="n">
        <f aca="false">A32+1</f>
        <v>22</v>
      </c>
      <c r="B33" s="114" t="n">
        <v>6901.23</v>
      </c>
      <c r="C33" s="115" t="n">
        <v>288140</v>
      </c>
      <c r="D33" s="264" t="n">
        <f aca="false">C33-C32</f>
        <v>-112</v>
      </c>
      <c r="E33" s="115" t="n">
        <f aca="false">C33-152000</f>
        <v>136140</v>
      </c>
      <c r="F33" s="283" t="n">
        <f aca="false">D33/$D$2</f>
        <v>-56.4658432064532</v>
      </c>
      <c r="G33" s="141" t="n">
        <v>117</v>
      </c>
      <c r="H33" s="672" t="n">
        <v>3</v>
      </c>
      <c r="I33" s="141" t="n">
        <f aca="false">G33+H33</f>
        <v>120</v>
      </c>
      <c r="J33" s="261" t="n">
        <f aca="false">IF(L33&gt;0,L33,0)</f>
        <v>0</v>
      </c>
      <c r="K33" s="141" t="n">
        <f aca="false">I33+J33</f>
        <v>120</v>
      </c>
      <c r="L33" s="141" t="n">
        <f aca="false">F33-(I33-AF33)</f>
        <v>-66.4658432064532</v>
      </c>
      <c r="M33" s="284" t="n">
        <v>70</v>
      </c>
      <c r="N33" s="258" t="n">
        <f aca="false">1.8299*1.03</f>
        <v>1.884797</v>
      </c>
      <c r="O33" s="141" t="n">
        <f aca="false">(25+25)*1.05</f>
        <v>52.5</v>
      </c>
      <c r="P33" s="630" t="n">
        <v>0</v>
      </c>
      <c r="Q33" s="206" t="n">
        <f aca="false">1.63*1.02</f>
        <v>1.6626</v>
      </c>
      <c r="R33" s="650" t="n">
        <v>4.2</v>
      </c>
      <c r="S33" s="650" t="n">
        <v>0.29</v>
      </c>
      <c r="T33" s="651" t="n">
        <v>0</v>
      </c>
      <c r="U33" s="141" t="n">
        <v>0</v>
      </c>
      <c r="V33" s="141" t="n">
        <v>0</v>
      </c>
      <c r="W33" s="141" t="n">
        <f aca="false">M33-N33-O33-P33-Q33-R33-S33-T33+U33+V33</f>
        <v>9.46260299999999</v>
      </c>
      <c r="X33" s="115" t="n">
        <v>0</v>
      </c>
      <c r="Y33" s="115" t="n">
        <v>0</v>
      </c>
      <c r="Z33" s="627" t="n">
        <f aca="false">Z32</f>
        <v>0.494985716089835</v>
      </c>
      <c r="AA33" s="141" t="n">
        <v>0</v>
      </c>
      <c r="AB33" s="142" t="n">
        <v>1.7</v>
      </c>
      <c r="AC33" s="143" t="n">
        <v>1.3</v>
      </c>
      <c r="AD33" s="548" t="n">
        <v>40</v>
      </c>
      <c r="AE33" s="497" t="n">
        <f aca="false">AE32-AD33</f>
        <v>5260.82307285102</v>
      </c>
      <c r="AF33" s="654" t="n">
        <f aca="false">N33+O33+P33+Q33+R33+S33+T33+W33+AA33+AD33</f>
        <v>110</v>
      </c>
      <c r="AG33" s="141" t="n">
        <f aca="false">IF(L33&lt;0,L33*-1,0)</f>
        <v>66.4658432064532</v>
      </c>
      <c r="AH33" s="141" t="n">
        <f aca="false">AF33+AG33</f>
        <v>176.465843206453</v>
      </c>
      <c r="AI33" s="392" t="n">
        <v>0</v>
      </c>
      <c r="AJ33" s="264" t="n">
        <v>53</v>
      </c>
      <c r="AK33" s="265" t="n">
        <v>18</v>
      </c>
      <c r="AL33" s="264" t="n">
        <f aca="false">AL32</f>
        <v>10571</v>
      </c>
      <c r="AM33" s="264"/>
      <c r="AN33" s="261" t="n">
        <v>0</v>
      </c>
      <c r="AO33" s="258" t="n">
        <f aca="false">20*(X32*1.9835+Y32*1.9835+Z32*1.9835)/E33</f>
        <v>0.00014423448918234</v>
      </c>
      <c r="AP33" s="115"/>
      <c r="AQ33" s="171" t="n">
        <v>1.09</v>
      </c>
      <c r="AR33" s="365" t="n">
        <f aca="false">AR32</f>
        <v>773.823</v>
      </c>
    </row>
    <row r="34" customFormat="false" ht="12.95" hidden="false" customHeight="true" outlineLevel="0" collapsed="false">
      <c r="A34" s="186" t="n">
        <f aca="false">A33+1</f>
        <v>23</v>
      </c>
      <c r="B34" s="114" t="n">
        <v>6901.21</v>
      </c>
      <c r="C34" s="115" t="n">
        <v>288066</v>
      </c>
      <c r="D34" s="264" t="n">
        <f aca="false">C34-C33</f>
        <v>-74</v>
      </c>
      <c r="E34" s="115" t="n">
        <f aca="false">C34-152000</f>
        <v>136066</v>
      </c>
      <c r="F34" s="283" t="n">
        <f aca="false">D34/$D$2</f>
        <v>-37.3077892614066</v>
      </c>
      <c r="G34" s="141" t="n">
        <v>121</v>
      </c>
      <c r="H34" s="672" t="n">
        <v>3.8</v>
      </c>
      <c r="I34" s="141" t="n">
        <f aca="false">G34+H34</f>
        <v>124.8</v>
      </c>
      <c r="J34" s="261" t="n">
        <f aca="false">IF(L34&gt;0,L34,0)</f>
        <v>1.8922107385934</v>
      </c>
      <c r="K34" s="141" t="n">
        <f aca="false">I34+J34</f>
        <v>126.692210738593</v>
      </c>
      <c r="L34" s="141" t="n">
        <f aca="false">F34-(I34-AF34)</f>
        <v>1.8922107385934</v>
      </c>
      <c r="M34" s="284" t="n">
        <v>124</v>
      </c>
      <c r="N34" s="258" t="n">
        <f aca="false">1.8299*1.03</f>
        <v>1.884797</v>
      </c>
      <c r="O34" s="141" t="n">
        <f aca="false">(42+41)*1.05</f>
        <v>87.15</v>
      </c>
      <c r="P34" s="630" t="n">
        <v>0</v>
      </c>
      <c r="Q34" s="206" t="n">
        <f aca="false">1.63*1.02</f>
        <v>1.6626</v>
      </c>
      <c r="R34" s="650" t="n">
        <v>4.2</v>
      </c>
      <c r="S34" s="650" t="n">
        <v>0.14</v>
      </c>
      <c r="T34" s="651" t="n">
        <v>0</v>
      </c>
      <c r="U34" s="141" t="n">
        <v>0</v>
      </c>
      <c r="V34" s="141" t="n">
        <v>0</v>
      </c>
      <c r="W34" s="141" t="n">
        <f aca="false">M34-N34-O34-P34-Q34-R34-S34-T34+U34+V34+74.1</f>
        <v>103.062603</v>
      </c>
      <c r="X34" s="115" t="n">
        <v>0</v>
      </c>
      <c r="Y34" s="115" t="n">
        <v>0</v>
      </c>
      <c r="Z34" s="627" t="n">
        <f aca="false">Z33</f>
        <v>0.494985716089835</v>
      </c>
      <c r="AA34" s="141" t="n">
        <v>0</v>
      </c>
      <c r="AB34" s="142" t="n">
        <v>1.7</v>
      </c>
      <c r="AC34" s="143" t="n">
        <v>1.3</v>
      </c>
      <c r="AD34" s="548" t="n">
        <v>40</v>
      </c>
      <c r="AE34" s="497" t="n">
        <f aca="false">AE33-AD34</f>
        <v>5220.82307285102</v>
      </c>
      <c r="AF34" s="654" t="n">
        <f aca="false">N34+O34+P34+Q34+R34+S34+T34+W34+AA34+AD34-74.1</f>
        <v>164</v>
      </c>
      <c r="AG34" s="141" t="n">
        <f aca="false">IF(L34&lt;0,L34*-1,0)</f>
        <v>0</v>
      </c>
      <c r="AH34" s="141" t="n">
        <f aca="false">AF34+AG34</f>
        <v>164</v>
      </c>
      <c r="AI34" s="392" t="n">
        <v>0</v>
      </c>
      <c r="AJ34" s="264" t="n">
        <v>63</v>
      </c>
      <c r="AK34" s="286" t="n">
        <v>25</v>
      </c>
      <c r="AL34" s="264" t="n">
        <f aca="false">AL33</f>
        <v>10571</v>
      </c>
      <c r="AM34" s="264"/>
      <c r="AN34" s="261" t="n">
        <v>0</v>
      </c>
      <c r="AO34" s="258" t="n">
        <f aca="false">20*(X33*1.9835+Y33*1.9835+Z33*1.9835)/E34</f>
        <v>0.000144312931645552</v>
      </c>
      <c r="AP34" s="115"/>
      <c r="AQ34" s="171" t="n">
        <v>1.09</v>
      </c>
      <c r="AR34" s="365" t="n">
        <f aca="false">AR33+74.1</f>
        <v>847.923</v>
      </c>
    </row>
    <row r="35" customFormat="false" ht="12.95" hidden="false" customHeight="true" outlineLevel="0" collapsed="false">
      <c r="A35" s="186" t="n">
        <f aca="false">A34+1</f>
        <v>24</v>
      </c>
      <c r="B35" s="114" t="n">
        <v>6901.19</v>
      </c>
      <c r="C35" s="115" t="n">
        <v>287991</v>
      </c>
      <c r="D35" s="264" t="n">
        <f aca="false">C35-C34</f>
        <v>-75</v>
      </c>
      <c r="E35" s="115" t="n">
        <f aca="false">C35-152000</f>
        <v>135991</v>
      </c>
      <c r="F35" s="283" t="n">
        <f aca="false">D35/$D$2</f>
        <v>-37.8119485757499</v>
      </c>
      <c r="G35" s="141" t="n">
        <v>130</v>
      </c>
      <c r="H35" s="672" t="n">
        <v>3.4</v>
      </c>
      <c r="I35" s="141" t="n">
        <f aca="false">G35+H35</f>
        <v>133.4</v>
      </c>
      <c r="J35" s="261" t="n">
        <f aca="false">IF(L35&gt;0,L35,0)</f>
        <v>0</v>
      </c>
      <c r="K35" s="141" t="n">
        <f aca="false">I35+J35</f>
        <v>133.4</v>
      </c>
      <c r="L35" s="141" t="n">
        <f aca="false">F35-(I35-AF35)</f>
        <v>-35.2119485757499</v>
      </c>
      <c r="M35" s="284" t="n">
        <v>96</v>
      </c>
      <c r="N35" s="258" t="n">
        <f aca="false">1.8299*1.03</f>
        <v>1.884797</v>
      </c>
      <c r="O35" s="141" t="n">
        <f aca="false">(38+39)*1.05</f>
        <v>80.85</v>
      </c>
      <c r="P35" s="630" t="n">
        <v>0</v>
      </c>
      <c r="Q35" s="206" t="n">
        <f aca="false">1.63*1.02</f>
        <v>1.6626</v>
      </c>
      <c r="R35" s="650" t="n">
        <v>2.64</v>
      </c>
      <c r="S35" s="650" t="n">
        <v>0</v>
      </c>
      <c r="T35" s="651" t="n">
        <v>0</v>
      </c>
      <c r="U35" s="141" t="n">
        <v>0</v>
      </c>
      <c r="V35" s="141" t="n">
        <v>0</v>
      </c>
      <c r="W35" s="141" t="n">
        <f aca="false">M35-N35-O35-P35-Q35-R35-S35-T35+U35+V35+O35</f>
        <v>89.812603</v>
      </c>
      <c r="X35" s="115" t="n">
        <v>0</v>
      </c>
      <c r="Y35" s="115" t="n">
        <v>0</v>
      </c>
      <c r="Z35" s="627" t="n">
        <f aca="false">Z34</f>
        <v>0.494985716089835</v>
      </c>
      <c r="AA35" s="141" t="n">
        <v>0</v>
      </c>
      <c r="AB35" s="142" t="n">
        <v>1.7</v>
      </c>
      <c r="AC35" s="143" t="n">
        <v>1.3</v>
      </c>
      <c r="AD35" s="548" t="n">
        <v>40</v>
      </c>
      <c r="AE35" s="497" t="n">
        <f aca="false">AE34-AD35</f>
        <v>5180.82307285102</v>
      </c>
      <c r="AF35" s="654" t="n">
        <f aca="false">N35+O35+P35+Q35+R35+S35+T35+W35+AA35+AD35-O35</f>
        <v>136</v>
      </c>
      <c r="AG35" s="141" t="n">
        <f aca="false">IF(L35&lt;0,L35*-1,0)</f>
        <v>35.2119485757499</v>
      </c>
      <c r="AH35" s="141" t="n">
        <f aca="false">AF35+AG35</f>
        <v>171.21194857575</v>
      </c>
      <c r="AI35" s="392" t="n">
        <v>0</v>
      </c>
      <c r="AJ35" s="264" t="n">
        <v>70</v>
      </c>
      <c r="AK35" s="286" t="n">
        <v>26</v>
      </c>
      <c r="AL35" s="264" t="n">
        <f aca="false">AL34</f>
        <v>10571</v>
      </c>
      <c r="AM35" s="264"/>
      <c r="AN35" s="261" t="n">
        <v>0</v>
      </c>
      <c r="AO35" s="258" t="n">
        <f aca="false">20*(X34*1.9835+Y34*1.9835+Z34*1.9835)/E35</f>
        <v>0.000144392521249816</v>
      </c>
      <c r="AP35" s="115"/>
      <c r="AQ35" s="171" t="n">
        <v>1.09</v>
      </c>
      <c r="AR35" s="365" t="n">
        <f aca="false">AR34+O35</f>
        <v>928.773</v>
      </c>
    </row>
    <row r="36" customFormat="false" ht="12.95" hidden="false" customHeight="true" outlineLevel="0" collapsed="false">
      <c r="A36" s="186" t="n">
        <v>25</v>
      </c>
      <c r="B36" s="114" t="n">
        <v>6901.17</v>
      </c>
      <c r="C36" s="115" t="n">
        <v>287916</v>
      </c>
      <c r="D36" s="264" t="n">
        <f aca="false">C36-C35</f>
        <v>-75</v>
      </c>
      <c r="E36" s="115" t="n">
        <f aca="false">C36-152000</f>
        <v>135916</v>
      </c>
      <c r="F36" s="283" t="n">
        <f aca="false">D36/$D$2</f>
        <v>-37.8119485757499</v>
      </c>
      <c r="G36" s="141" t="n">
        <v>132</v>
      </c>
      <c r="H36" s="672" t="n">
        <v>4.1</v>
      </c>
      <c r="I36" s="141" t="n">
        <f aca="false">G36+H36</f>
        <v>136.1</v>
      </c>
      <c r="J36" s="261" t="n">
        <f aca="false">IF(L36&gt;0,L36,0)</f>
        <v>0</v>
      </c>
      <c r="K36" s="141" t="n">
        <f aca="false">I36+J36</f>
        <v>136.1</v>
      </c>
      <c r="L36" s="141" t="n">
        <f aca="false">F36-(I36-AF36)</f>
        <v>-36.9119485757499</v>
      </c>
      <c r="M36" s="284" t="n">
        <v>99</v>
      </c>
      <c r="N36" s="258" t="n">
        <f aca="false">1.8299*1.03</f>
        <v>1.884797</v>
      </c>
      <c r="O36" s="141" t="n">
        <f aca="false">(32+33)*1.05</f>
        <v>68.25</v>
      </c>
      <c r="P36" s="630" t="n">
        <v>0</v>
      </c>
      <c r="Q36" s="206" t="n">
        <f aca="false">1.63*1.02</f>
        <v>1.6626</v>
      </c>
      <c r="R36" s="650" t="n">
        <v>2.48</v>
      </c>
      <c r="S36" s="650" t="n">
        <v>0</v>
      </c>
      <c r="T36" s="651" t="n">
        <v>0</v>
      </c>
      <c r="U36" s="141" t="n">
        <v>0</v>
      </c>
      <c r="V36" s="141" t="n">
        <v>0</v>
      </c>
      <c r="W36" s="141" t="n">
        <f aca="false">M36-N36-O36-P36-Q36-R36-S36-T36+U36+V36+O36</f>
        <v>92.972603</v>
      </c>
      <c r="X36" s="115" t="n">
        <v>0</v>
      </c>
      <c r="Y36" s="115" t="n">
        <v>0</v>
      </c>
      <c r="Z36" s="627" t="n">
        <f aca="false">Z35</f>
        <v>0.494985716089835</v>
      </c>
      <c r="AA36" s="141" t="n">
        <v>0</v>
      </c>
      <c r="AB36" s="142" t="n">
        <v>1.7</v>
      </c>
      <c r="AC36" s="143" t="n">
        <v>1.3</v>
      </c>
      <c r="AD36" s="548" t="n">
        <v>38</v>
      </c>
      <c r="AE36" s="497" t="n">
        <f aca="false">AE35-AD36</f>
        <v>5142.82307285102</v>
      </c>
      <c r="AF36" s="654" t="n">
        <f aca="false">N36+O36+P36+Q36+R36+S36+T36+W36+AA36+AD36-O36</f>
        <v>137</v>
      </c>
      <c r="AG36" s="141" t="n">
        <f aca="false">IF(L36&lt;0,L36*-1,0)</f>
        <v>36.9119485757499</v>
      </c>
      <c r="AH36" s="141" t="n">
        <f aca="false">AF36+AG36</f>
        <v>173.91194857575</v>
      </c>
      <c r="AI36" s="392" t="n">
        <v>0</v>
      </c>
      <c r="AJ36" s="264" t="n">
        <v>71</v>
      </c>
      <c r="AK36" s="286" t="n">
        <v>29</v>
      </c>
      <c r="AL36" s="264" t="n">
        <f aca="false">AL35</f>
        <v>10571</v>
      </c>
      <c r="AM36" s="264"/>
      <c r="AN36" s="261" t="n">
        <v>0</v>
      </c>
      <c r="AO36" s="258" t="n">
        <f aca="false">20*(X35*1.9835+Y35*1.9835+Z35*1.9835)/E36</f>
        <v>0.000144472198690984</v>
      </c>
      <c r="AP36" s="115"/>
      <c r="AQ36" s="171" t="n">
        <v>1.09</v>
      </c>
      <c r="AR36" s="365" t="n">
        <f aca="false">AR35+O36</f>
        <v>997.023</v>
      </c>
    </row>
    <row r="37" customFormat="false" ht="12.95" hidden="false" customHeight="true" outlineLevel="0" collapsed="false">
      <c r="A37" s="186" t="n">
        <v>26</v>
      </c>
      <c r="B37" s="114" t="n">
        <v>6901.15</v>
      </c>
      <c r="C37" s="115" t="n">
        <v>287812</v>
      </c>
      <c r="D37" s="264" t="n">
        <f aca="false">C37-C36</f>
        <v>-104</v>
      </c>
      <c r="E37" s="115" t="n">
        <f aca="false">C37-152000</f>
        <v>135812</v>
      </c>
      <c r="F37" s="283" t="n">
        <f aca="false">D37/$D$2</f>
        <v>-52.4325686917066</v>
      </c>
      <c r="G37" s="141" t="n">
        <v>127</v>
      </c>
      <c r="H37" s="672" t="n">
        <v>4.4</v>
      </c>
      <c r="I37" s="141" t="n">
        <f aca="false">G37+H37</f>
        <v>131.4</v>
      </c>
      <c r="J37" s="261" t="n">
        <f aca="false">IF(L37&gt;0,L37,0)</f>
        <v>0</v>
      </c>
      <c r="K37" s="141" t="n">
        <f aca="false">I37+J37</f>
        <v>131.4</v>
      </c>
      <c r="L37" s="141" t="n">
        <f aca="false">F37-(I37-AF37)</f>
        <v>-32.8325686917066</v>
      </c>
      <c r="M37" s="284" t="n">
        <v>118</v>
      </c>
      <c r="N37" s="258" t="n">
        <f aca="false">1.8299*1.03</f>
        <v>1.884797</v>
      </c>
      <c r="O37" s="141" t="n">
        <f aca="false">(35+35)*1.05</f>
        <v>73.5</v>
      </c>
      <c r="P37" s="630" t="n">
        <v>0</v>
      </c>
      <c r="Q37" s="206" t="n">
        <f aca="false">1.63*1.02</f>
        <v>1.6626</v>
      </c>
      <c r="R37" s="650" t="n">
        <v>2.41</v>
      </c>
      <c r="S37" s="650" t="n">
        <v>0</v>
      </c>
      <c r="T37" s="651" t="n">
        <v>0</v>
      </c>
      <c r="U37" s="141" t="n">
        <v>0</v>
      </c>
      <c r="V37" s="141" t="n">
        <v>0</v>
      </c>
      <c r="W37" s="141" t="n">
        <f aca="false">M37-N37-O37-P37-Q37-R37-S37-T37+U37+V37+O37</f>
        <v>112.042603</v>
      </c>
      <c r="X37" s="115" t="n">
        <v>0</v>
      </c>
      <c r="Y37" s="115" t="n">
        <v>0</v>
      </c>
      <c r="Z37" s="627" t="n">
        <f aca="false">Z36</f>
        <v>0.494985716089835</v>
      </c>
      <c r="AA37" s="141" t="n">
        <v>0</v>
      </c>
      <c r="AB37" s="142" t="n">
        <v>1.7</v>
      </c>
      <c r="AC37" s="143" t="n">
        <v>1.3</v>
      </c>
      <c r="AD37" s="548" t="n">
        <v>33</v>
      </c>
      <c r="AE37" s="497" t="n">
        <f aca="false">AE36-AD37</f>
        <v>5109.82307285102</v>
      </c>
      <c r="AF37" s="654" t="n">
        <f aca="false">N37+O37+P37+Q37+R37+S37+T37+W37+AA37+AD37-O37</f>
        <v>151</v>
      </c>
      <c r="AG37" s="141" t="n">
        <f aca="false">IF(L37&lt;0,L37*-1,0)</f>
        <v>32.8325686917066</v>
      </c>
      <c r="AH37" s="141" t="n">
        <f aca="false">AF37+AG37</f>
        <v>183.832568691707</v>
      </c>
      <c r="AI37" s="392" t="n">
        <v>0</v>
      </c>
      <c r="AJ37" s="264" t="n">
        <v>72</v>
      </c>
      <c r="AK37" s="286" t="n">
        <v>29</v>
      </c>
      <c r="AL37" s="264" t="n">
        <f aca="false">AL36</f>
        <v>10571</v>
      </c>
      <c r="AM37" s="264"/>
      <c r="AN37" s="261" t="n">
        <v>0</v>
      </c>
      <c r="AO37" s="258" t="n">
        <f aca="false">20*(X36*1.9835+Y36*1.9835+Z36*1.9835)/E37</f>
        <v>0.000144582830363177</v>
      </c>
      <c r="AP37" s="115"/>
      <c r="AQ37" s="171" t="n">
        <v>1.09</v>
      </c>
      <c r="AR37" s="365" t="n">
        <f aca="false">AR36+O37</f>
        <v>1070.523</v>
      </c>
    </row>
    <row r="38" customFormat="false" ht="12.95" hidden="false" customHeight="true" outlineLevel="0" collapsed="false">
      <c r="A38" s="186" t="n">
        <v>27</v>
      </c>
      <c r="B38" s="114" t="n">
        <v>6901.14</v>
      </c>
      <c r="C38" s="115" t="n">
        <v>287804</v>
      </c>
      <c r="D38" s="264" t="n">
        <f aca="false">C38-C37</f>
        <v>-8</v>
      </c>
      <c r="E38" s="115" t="n">
        <f aca="false">C38-152000</f>
        <v>135804</v>
      </c>
      <c r="F38" s="283" t="n">
        <f aca="false">D38/$D$2</f>
        <v>-4.03327451474666</v>
      </c>
      <c r="G38" s="141" t="n">
        <v>122</v>
      </c>
      <c r="H38" s="672" t="n">
        <v>3.9</v>
      </c>
      <c r="I38" s="141" t="n">
        <f aca="false">G38+H38</f>
        <v>125.9</v>
      </c>
      <c r="J38" s="261" t="n">
        <f aca="false">IF(L38&gt;0,L38,0)</f>
        <v>1.06672548525333</v>
      </c>
      <c r="K38" s="141" t="n">
        <f aca="false">I38+J38</f>
        <v>126.966725485253</v>
      </c>
      <c r="L38" s="141" t="n">
        <f aca="false">F38-(I38-AF38)</f>
        <v>1.06672548525333</v>
      </c>
      <c r="M38" s="284" t="n">
        <v>98</v>
      </c>
      <c r="N38" s="258" t="n">
        <f aca="false">1.8299*1.03</f>
        <v>1.884797</v>
      </c>
      <c r="O38" s="141" t="n">
        <f aca="false">(34+35)*1.05</f>
        <v>72.45</v>
      </c>
      <c r="P38" s="630" t="n">
        <v>0</v>
      </c>
      <c r="Q38" s="206" t="n">
        <f aca="false">1.63*1.02</f>
        <v>1.6626</v>
      </c>
      <c r="R38" s="650" t="n">
        <v>2.52</v>
      </c>
      <c r="S38" s="650" t="n">
        <v>0</v>
      </c>
      <c r="T38" s="651" t="n">
        <v>0</v>
      </c>
      <c r="U38" s="141" t="n">
        <v>0</v>
      </c>
      <c r="V38" s="141" t="n">
        <v>0</v>
      </c>
      <c r="W38" s="141" t="n">
        <f aca="false">M38-N38-O38-P38-Q38-R38-S38-T38+U38+V38+O38</f>
        <v>91.932603</v>
      </c>
      <c r="X38" s="115" t="n">
        <v>0</v>
      </c>
      <c r="Y38" s="115" t="n">
        <v>0</v>
      </c>
      <c r="Z38" s="627" t="n">
        <f aca="false">Z37</f>
        <v>0.494985716089835</v>
      </c>
      <c r="AA38" s="141" t="n">
        <v>0</v>
      </c>
      <c r="AB38" s="142" t="n">
        <v>1.7</v>
      </c>
      <c r="AC38" s="143" t="n">
        <v>1.3</v>
      </c>
      <c r="AD38" s="548" t="n">
        <v>33</v>
      </c>
      <c r="AE38" s="497" t="n">
        <f aca="false">AE37-AD38</f>
        <v>5076.82307285102</v>
      </c>
      <c r="AF38" s="654" t="n">
        <f aca="false">N38+O38+P38+Q38+R38+S38+T38+W38+AA38+AD38-O38</f>
        <v>131</v>
      </c>
      <c r="AG38" s="141" t="n">
        <f aca="false">IF(L38&lt;0,L38*-1,0)</f>
        <v>0</v>
      </c>
      <c r="AH38" s="141" t="n">
        <f aca="false">AF38+AG38</f>
        <v>131</v>
      </c>
      <c r="AI38" s="392" t="n">
        <v>0</v>
      </c>
      <c r="AJ38" s="264" t="n">
        <v>70</v>
      </c>
      <c r="AK38" s="286" t="n">
        <v>32</v>
      </c>
      <c r="AL38" s="264" t="n">
        <f aca="false">AL37</f>
        <v>10571</v>
      </c>
      <c r="AM38" s="264"/>
      <c r="AN38" s="261" t="n">
        <v>0</v>
      </c>
      <c r="AO38" s="258" t="n">
        <f aca="false">20*(X37*1.9835+Y37*1.9835+Z37*1.9835)/E38</f>
        <v>0.000144591347510263</v>
      </c>
      <c r="AP38" s="115"/>
      <c r="AQ38" s="171" t="n">
        <v>1.09</v>
      </c>
      <c r="AR38" s="365" t="n">
        <f aca="false">AR37+O38</f>
        <v>1142.973</v>
      </c>
    </row>
    <row r="39" customFormat="false" ht="12.95" hidden="false" customHeight="true" outlineLevel="0" collapsed="false">
      <c r="A39" s="186" t="n">
        <v>28</v>
      </c>
      <c r="B39" s="114" t="n">
        <v>6901.14</v>
      </c>
      <c r="C39" s="115" t="n">
        <v>287804</v>
      </c>
      <c r="D39" s="264" t="n">
        <f aca="false">C39-C38</f>
        <v>0</v>
      </c>
      <c r="E39" s="115" t="n">
        <f aca="false">C39-152000</f>
        <v>135804</v>
      </c>
      <c r="F39" s="283" t="n">
        <f aca="false">D39/$D$2</f>
        <v>0</v>
      </c>
      <c r="G39" s="141" t="n">
        <v>115</v>
      </c>
      <c r="H39" s="672" t="n">
        <v>3.5</v>
      </c>
      <c r="I39" s="141" t="n">
        <f aca="false">G39+H39</f>
        <v>118.5</v>
      </c>
      <c r="J39" s="261" t="n">
        <f aca="false">IF(L39&gt;0,L39,0)</f>
        <v>0</v>
      </c>
      <c r="K39" s="141" t="n">
        <f aca="false">I39+J39</f>
        <v>118.5</v>
      </c>
      <c r="L39" s="141" t="n">
        <f aca="false">F39-(I39-AF39)</f>
        <v>-14.5</v>
      </c>
      <c r="M39" s="284" t="n">
        <v>71</v>
      </c>
      <c r="N39" s="258" t="n">
        <f aca="false">1.8299*1.03</f>
        <v>1.884797</v>
      </c>
      <c r="O39" s="141" t="n">
        <f aca="false">(30+33)*1.05</f>
        <v>66.15</v>
      </c>
      <c r="P39" s="630" t="n">
        <v>0</v>
      </c>
      <c r="Q39" s="206" t="n">
        <f aca="false">1.63*1.02</f>
        <v>1.6626</v>
      </c>
      <c r="R39" s="650" t="n">
        <v>2.42</v>
      </c>
      <c r="S39" s="650" t="n">
        <v>0</v>
      </c>
      <c r="T39" s="651" t="n">
        <v>0</v>
      </c>
      <c r="U39" s="141" t="n">
        <v>0</v>
      </c>
      <c r="V39" s="141" t="n">
        <v>0</v>
      </c>
      <c r="W39" s="141" t="n">
        <f aca="false">M39-N39-O39-P39-Q39-R39-S39-T39+U39+V39+O39</f>
        <v>65.032603</v>
      </c>
      <c r="X39" s="115" t="n">
        <v>0</v>
      </c>
      <c r="Y39" s="115" t="n">
        <v>0</v>
      </c>
      <c r="Z39" s="627" t="n">
        <f aca="false">Z38</f>
        <v>0.494985716089835</v>
      </c>
      <c r="AA39" s="141" t="n">
        <v>0</v>
      </c>
      <c r="AB39" s="142" t="n">
        <v>1.7</v>
      </c>
      <c r="AC39" s="143" t="n">
        <v>1.3</v>
      </c>
      <c r="AD39" s="548" t="n">
        <v>33</v>
      </c>
      <c r="AE39" s="497" t="n">
        <f aca="false">AE38-AD39</f>
        <v>5043.82307285102</v>
      </c>
      <c r="AF39" s="654" t="n">
        <f aca="false">N39+O39+P39+Q39+R39+S39+T39+W39+AA39+AD39-O39</f>
        <v>104</v>
      </c>
      <c r="AG39" s="141" t="n">
        <f aca="false">IF(L39&lt;0,L39*-1,0)</f>
        <v>14.5</v>
      </c>
      <c r="AH39" s="141" t="n">
        <f aca="false">AF39+AG39</f>
        <v>118.5</v>
      </c>
      <c r="AI39" s="392" t="n">
        <v>0</v>
      </c>
      <c r="AJ39" s="264" t="n">
        <v>69</v>
      </c>
      <c r="AK39" s="286" t="n">
        <v>31</v>
      </c>
      <c r="AL39" s="264" t="n">
        <f aca="false">AL38</f>
        <v>10571</v>
      </c>
      <c r="AM39" s="264"/>
      <c r="AN39" s="261" t="n">
        <v>0</v>
      </c>
      <c r="AO39" s="258" t="n">
        <f aca="false">20*(X38*1.9835+Y38*1.9835+Z38*1.9835)/E39</f>
        <v>0.000144591347510263</v>
      </c>
      <c r="AP39" s="115"/>
      <c r="AQ39" s="171" t="n">
        <v>1.09</v>
      </c>
      <c r="AR39" s="365" t="n">
        <f aca="false">AR38+O39</f>
        <v>1209.123</v>
      </c>
    </row>
    <row r="40" customFormat="false" ht="12.95" hidden="false" customHeight="true" outlineLevel="0" collapsed="false">
      <c r="A40" s="186" t="n">
        <v>29</v>
      </c>
      <c r="B40" s="114" t="n">
        <v>6901.14</v>
      </c>
      <c r="C40" s="115" t="n">
        <v>287804</v>
      </c>
      <c r="D40" s="264" t="n">
        <f aca="false">C40-C39</f>
        <v>0</v>
      </c>
      <c r="E40" s="115" t="n">
        <f aca="false">C40-152000</f>
        <v>135804</v>
      </c>
      <c r="F40" s="283" t="n">
        <f aca="false">D40/$D$2</f>
        <v>0</v>
      </c>
      <c r="G40" s="141" t="n">
        <v>113</v>
      </c>
      <c r="H40" s="672" t="n">
        <v>3</v>
      </c>
      <c r="I40" s="141" t="n">
        <f aca="false">G40+H40</f>
        <v>116</v>
      </c>
      <c r="J40" s="261" t="n">
        <f aca="false">IF(L40&gt;0,L40,0)</f>
        <v>0</v>
      </c>
      <c r="K40" s="141" t="n">
        <f aca="false">I40+J40</f>
        <v>116</v>
      </c>
      <c r="L40" s="141" t="n">
        <f aca="false">F40-(I40-AF40)</f>
        <v>-46</v>
      </c>
      <c r="M40" s="284" t="n">
        <v>35</v>
      </c>
      <c r="N40" s="258" t="n">
        <f aca="false">1.8299*1.03</f>
        <v>1.884797</v>
      </c>
      <c r="O40" s="141" t="n">
        <f aca="false">(12+14)*1.05</f>
        <v>27.3</v>
      </c>
      <c r="P40" s="630" t="n">
        <v>0</v>
      </c>
      <c r="Q40" s="206" t="n">
        <f aca="false">1.63*1.02</f>
        <v>1.6626</v>
      </c>
      <c r="R40" s="650" t="n">
        <v>2.42</v>
      </c>
      <c r="S40" s="650" t="n">
        <v>0</v>
      </c>
      <c r="T40" s="651" t="n">
        <v>0</v>
      </c>
      <c r="U40" s="141" t="n">
        <v>0</v>
      </c>
      <c r="V40" s="141" t="n">
        <v>0</v>
      </c>
      <c r="W40" s="141" t="n">
        <f aca="false">M40-N40-O40-P40-Q40-R40-S40-T40+U40+V40+O40</f>
        <v>29.032603</v>
      </c>
      <c r="X40" s="115" t="n">
        <v>0</v>
      </c>
      <c r="Y40" s="115" t="n">
        <v>0</v>
      </c>
      <c r="Z40" s="627" t="n">
        <f aca="false">Z39</f>
        <v>0.494985716089835</v>
      </c>
      <c r="AA40" s="141" t="n">
        <v>0</v>
      </c>
      <c r="AB40" s="142" t="n">
        <v>1.7</v>
      </c>
      <c r="AC40" s="143" t="n">
        <v>1.3</v>
      </c>
      <c r="AD40" s="548" t="n">
        <v>35</v>
      </c>
      <c r="AE40" s="497" t="n">
        <f aca="false">AE39-AD40</f>
        <v>5008.82307285102</v>
      </c>
      <c r="AF40" s="654" t="n">
        <f aca="false">N40+O40+P40+Q40+R40+S40+T40+W40+AA40+AD40-O40</f>
        <v>70</v>
      </c>
      <c r="AG40" s="141" t="n">
        <f aca="false">IF(L40&lt;0,L40*-1,0)</f>
        <v>46</v>
      </c>
      <c r="AH40" s="141" t="n">
        <f aca="false">AF40+AG40</f>
        <v>116</v>
      </c>
      <c r="AI40" s="392" t="n">
        <v>0</v>
      </c>
      <c r="AJ40" s="264" t="n">
        <v>69</v>
      </c>
      <c r="AK40" s="286" t="n">
        <v>36</v>
      </c>
      <c r="AL40" s="264" t="n">
        <f aca="false">AL39</f>
        <v>10571</v>
      </c>
      <c r="AM40" s="264"/>
      <c r="AN40" s="261" t="n">
        <v>0</v>
      </c>
      <c r="AO40" s="258" t="n">
        <f aca="false">20*(X39*1.9835+Y39*1.9835+Z39*1.9835)/E40</f>
        <v>0.000144591347510263</v>
      </c>
      <c r="AP40" s="115"/>
      <c r="AQ40" s="171" t="n">
        <v>1.09</v>
      </c>
      <c r="AR40" s="365" t="n">
        <f aca="false">AR39+O40</f>
        <v>1236.423</v>
      </c>
    </row>
    <row r="41" customFormat="false" ht="12.95" hidden="false" customHeight="true" outlineLevel="0" collapsed="false">
      <c r="A41" s="186" t="n">
        <v>30</v>
      </c>
      <c r="B41" s="114" t="n">
        <v>6901.14</v>
      </c>
      <c r="C41" s="115" t="n">
        <v>287804</v>
      </c>
      <c r="D41" s="264" t="n">
        <f aca="false">C41-C40</f>
        <v>0</v>
      </c>
      <c r="E41" s="115" t="n">
        <f aca="false">C41-152000</f>
        <v>135804</v>
      </c>
      <c r="F41" s="283" t="n">
        <f aca="false">D41/$D$2</f>
        <v>0</v>
      </c>
      <c r="G41" s="141" t="n">
        <v>111</v>
      </c>
      <c r="H41" s="672" t="n">
        <v>3.3</v>
      </c>
      <c r="I41" s="141" t="n">
        <f aca="false">G41+H41</f>
        <v>114.3</v>
      </c>
      <c r="J41" s="261" t="n">
        <f aca="false">IF(L41&gt;0,L41,0)</f>
        <v>0</v>
      </c>
      <c r="K41" s="141" t="n">
        <f aca="false">I41+J41</f>
        <v>114.3</v>
      </c>
      <c r="L41" s="141" t="n">
        <f aca="false">F41-(I41-AF41)</f>
        <v>-13.3</v>
      </c>
      <c r="M41" s="284" t="n">
        <v>65</v>
      </c>
      <c r="N41" s="258" t="n">
        <f aca="false">1.8299*1.03</f>
        <v>1.884797</v>
      </c>
      <c r="O41" s="141" t="n">
        <f aca="false">(9.4+8.8)*1.05</f>
        <v>19.11</v>
      </c>
      <c r="P41" s="630" t="n">
        <v>0</v>
      </c>
      <c r="Q41" s="206" t="n">
        <f aca="false">1.63*1.02</f>
        <v>1.6626</v>
      </c>
      <c r="R41" s="650" t="n">
        <v>3.8</v>
      </c>
      <c r="S41" s="650" t="n">
        <v>0</v>
      </c>
      <c r="T41" s="651" t="n">
        <v>0</v>
      </c>
      <c r="U41" s="141" t="n">
        <v>0</v>
      </c>
      <c r="V41" s="141" t="n">
        <v>0</v>
      </c>
      <c r="W41" s="141" t="n">
        <f aca="false">M41-N41-O41-P41-Q41-R41-S41-T41+U41+V41+O41</f>
        <v>57.652603</v>
      </c>
      <c r="X41" s="115" t="n">
        <v>0</v>
      </c>
      <c r="Y41" s="115" t="n">
        <v>0</v>
      </c>
      <c r="Z41" s="627" t="n">
        <f aca="false">Z40</f>
        <v>0.494985716089835</v>
      </c>
      <c r="AA41" s="141" t="n">
        <v>0</v>
      </c>
      <c r="AB41" s="142" t="n">
        <v>1.7</v>
      </c>
      <c r="AC41" s="143" t="n">
        <v>1.3</v>
      </c>
      <c r="AD41" s="548" t="n">
        <v>36</v>
      </c>
      <c r="AE41" s="497" t="n">
        <f aca="false">AE40-AD41</f>
        <v>4972.82307285102</v>
      </c>
      <c r="AF41" s="654" t="n">
        <f aca="false">N41+O41+P41+Q41+R41+S41+T41+W41+AA41+AD41-O41</f>
        <v>101</v>
      </c>
      <c r="AG41" s="141" t="n">
        <f aca="false">IF(L41&lt;0,L41*-1,0)</f>
        <v>13.3</v>
      </c>
      <c r="AH41" s="141" t="n">
        <f aca="false">AF41+AG41</f>
        <v>114.3</v>
      </c>
      <c r="AI41" s="392" t="n">
        <v>0</v>
      </c>
      <c r="AJ41" s="264" t="n">
        <v>65</v>
      </c>
      <c r="AK41" s="286" t="n">
        <v>36</v>
      </c>
      <c r="AL41" s="264" t="n">
        <f aca="false">AL40</f>
        <v>10571</v>
      </c>
      <c r="AM41" s="264"/>
      <c r="AN41" s="261" t="n">
        <v>0</v>
      </c>
      <c r="AO41" s="258" t="n">
        <f aca="false">20*(X40*1.9835+Y40*1.9835+Z40*1.9835)/E41</f>
        <v>0.000144591347510263</v>
      </c>
      <c r="AP41" s="115"/>
      <c r="AQ41" s="171" t="n">
        <v>1.09</v>
      </c>
      <c r="AR41" s="365" t="n">
        <f aca="false">AR40+O41</f>
        <v>1255.533</v>
      </c>
    </row>
    <row r="42" customFormat="false" ht="12.95" hidden="false" customHeight="true" outlineLevel="0" collapsed="false">
      <c r="A42" s="186" t="n">
        <v>31</v>
      </c>
      <c r="B42" s="114" t="n">
        <v>6901.16</v>
      </c>
      <c r="C42" s="115" t="n">
        <v>287879</v>
      </c>
      <c r="D42" s="264" t="n">
        <f aca="false">C42-C41</f>
        <v>75</v>
      </c>
      <c r="E42" s="115" t="n">
        <f aca="false">C42-152000</f>
        <v>135879</v>
      </c>
      <c r="F42" s="283" t="n">
        <f aca="false">D42/$D$2</f>
        <v>37.8119485757499</v>
      </c>
      <c r="G42" s="141" t="n">
        <v>109</v>
      </c>
      <c r="H42" s="672" t="n">
        <v>2.9</v>
      </c>
      <c r="I42" s="141" t="n">
        <f aca="false">G42+H42</f>
        <v>111.9</v>
      </c>
      <c r="J42" s="261" t="n">
        <f aca="false">IF(L42&gt;0,L42,0)</f>
        <v>0</v>
      </c>
      <c r="K42" s="141" t="n">
        <f aca="false">I42+J42</f>
        <v>111.9</v>
      </c>
      <c r="L42" s="141" t="n">
        <f aca="false">F42-(I42-AF42)</f>
        <v>-14.5880514242501</v>
      </c>
      <c r="M42" s="284" t="n">
        <v>18</v>
      </c>
      <c r="N42" s="258" t="n">
        <f aca="false">1.8299*1.03</f>
        <v>1.884797</v>
      </c>
      <c r="O42" s="141" t="n">
        <f aca="false">(9.4+11)*1.05</f>
        <v>21.42</v>
      </c>
      <c r="P42" s="630" t="n">
        <v>0</v>
      </c>
      <c r="Q42" s="206" t="n">
        <f aca="false">1.63*1.02</f>
        <v>1.6626</v>
      </c>
      <c r="R42" s="650" t="n">
        <v>3.96</v>
      </c>
      <c r="S42" s="650" t="n">
        <v>0</v>
      </c>
      <c r="T42" s="651" t="n">
        <v>0</v>
      </c>
      <c r="U42" s="141" t="n">
        <v>4.6</v>
      </c>
      <c r="V42" s="141" t="n">
        <v>2.9</v>
      </c>
      <c r="W42" s="141" t="n">
        <f aca="false">M42-N42-O42-P42-Q42-R42-S42-T42+U42+V42+O42</f>
        <v>17.992603</v>
      </c>
      <c r="X42" s="115" t="n">
        <v>0</v>
      </c>
      <c r="Y42" s="115" t="n">
        <v>0</v>
      </c>
      <c r="Z42" s="627" t="n">
        <f aca="false">Z41</f>
        <v>0.494985716089835</v>
      </c>
      <c r="AA42" s="141" t="n">
        <v>0</v>
      </c>
      <c r="AB42" s="284" t="n">
        <v>1.7</v>
      </c>
      <c r="AC42" s="285" t="n">
        <v>1.3</v>
      </c>
      <c r="AD42" s="548" t="n">
        <v>34</v>
      </c>
      <c r="AE42" s="497" t="n">
        <f aca="false">AE41-AD42</f>
        <v>4938.82307285102</v>
      </c>
      <c r="AF42" s="654" t="n">
        <f aca="false">N42+O42+P42+Q42+R42+S42+T42+W42+AA42+AD42-O42</f>
        <v>59.5</v>
      </c>
      <c r="AG42" s="141" t="n">
        <f aca="false">IF(L42&lt;0,L42*-1,0)</f>
        <v>14.5880514242501</v>
      </c>
      <c r="AH42" s="141" t="n">
        <f aca="false">AF42+AG42</f>
        <v>74.0880514242501</v>
      </c>
      <c r="AI42" s="392" t="n">
        <v>0</v>
      </c>
      <c r="AJ42" s="264" t="n">
        <v>64</v>
      </c>
      <c r="AK42" s="286" t="n">
        <v>38</v>
      </c>
      <c r="AL42" s="264" t="n">
        <f aca="false">AL41</f>
        <v>10571</v>
      </c>
      <c r="AM42" s="264" t="n">
        <f aca="false">13.56</f>
        <v>13.56</v>
      </c>
      <c r="AN42" s="261" t="n">
        <v>0</v>
      </c>
      <c r="AO42" s="258" t="n">
        <f aca="false">20*(X41*1.9835+Y41*1.9835+Z41*1.9835)/E42</f>
        <v>0.000144511538628366</v>
      </c>
      <c r="AP42" s="115"/>
      <c r="AQ42" s="171" t="n">
        <v>1.09</v>
      </c>
      <c r="AR42" s="365" t="n">
        <f aca="false">AR41+O42</f>
        <v>1276.953</v>
      </c>
    </row>
    <row r="43" customFormat="false" ht="3" hidden="false" customHeight="true" outlineLevel="0" collapsed="false">
      <c r="A43" s="270"/>
      <c r="B43" s="287"/>
      <c r="C43" s="272"/>
      <c r="D43" s="273"/>
      <c r="E43" s="272"/>
      <c r="F43" s="274"/>
      <c r="G43" s="273"/>
      <c r="H43" s="671"/>
      <c r="I43" s="273"/>
      <c r="J43" s="273"/>
      <c r="K43" s="273"/>
      <c r="L43" s="273"/>
      <c r="M43" s="276" t="n">
        <v>0</v>
      </c>
      <c r="N43" s="273"/>
      <c r="O43" s="273"/>
      <c r="P43" s="275"/>
      <c r="Q43" s="273"/>
      <c r="R43" s="273"/>
      <c r="S43" s="273"/>
      <c r="T43" s="277"/>
      <c r="U43" s="273"/>
      <c r="V43" s="273" t="n">
        <v>0</v>
      </c>
      <c r="W43" s="273"/>
      <c r="X43" s="272"/>
      <c r="Y43" s="272"/>
      <c r="Z43" s="272"/>
      <c r="AA43" s="273"/>
      <c r="AB43" s="276"/>
      <c r="AC43" s="279"/>
      <c r="AD43" s="273"/>
      <c r="AE43" s="273"/>
      <c r="AF43" s="273"/>
      <c r="AG43" s="273"/>
      <c r="AH43" s="273"/>
      <c r="AI43" s="547"/>
      <c r="AJ43" s="281"/>
      <c r="AK43" s="282"/>
      <c r="AL43" s="281"/>
      <c r="AM43" s="281"/>
      <c r="AN43" s="278"/>
      <c r="AO43" s="275"/>
      <c r="AP43" s="281"/>
      <c r="AQ43" s="281"/>
      <c r="AR43" s="281"/>
    </row>
    <row r="44" customFormat="false" ht="12.95" hidden="false" customHeight="true" outlineLevel="0" collapsed="false">
      <c r="A44" s="187" t="s">
        <v>77</v>
      </c>
      <c r="B44" s="256"/>
      <c r="C44" s="115"/>
      <c r="D44" s="115"/>
      <c r="E44" s="115"/>
      <c r="F44" s="257" t="n">
        <f aca="false">SUM(F12:F42)</f>
        <v>-1713.63750945299</v>
      </c>
      <c r="G44" s="115" t="n">
        <f aca="false">SUM(G12:G42)</f>
        <v>4811</v>
      </c>
      <c r="H44" s="264" t="n">
        <f aca="false">SUM(H12:H42)</f>
        <v>52.64</v>
      </c>
      <c r="I44" s="115" t="n">
        <f aca="false">SUM(I12:I42)</f>
        <v>4863.64</v>
      </c>
      <c r="J44" s="115" t="n">
        <f aca="false">SUM(J12:J42)</f>
        <v>124.56114696244</v>
      </c>
      <c r="K44" s="115" t="n">
        <f aca="false">SUM(K12:K42)</f>
        <v>4988.20114696244</v>
      </c>
      <c r="L44" s="115" t="n">
        <f aca="false">SUM(L12:L42)</f>
        <v>-713.777509452987</v>
      </c>
      <c r="M44" s="259" t="n">
        <f aca="false">SUM(M12:M42)</f>
        <v>2896</v>
      </c>
      <c r="N44" s="115" t="n">
        <f aca="false">SUM(N12:N42)</f>
        <v>58.428707</v>
      </c>
      <c r="O44" s="115" t="n">
        <f aca="false">SUM(O12:O42)</f>
        <v>1329.405</v>
      </c>
      <c r="P44" s="258" t="n">
        <f aca="false">SUM(P12:P42)</f>
        <v>0</v>
      </c>
      <c r="Q44" s="115" t="n">
        <f aca="false">SUM(Q12:Q42)</f>
        <v>51.5406</v>
      </c>
      <c r="R44" s="115" t="n">
        <f aca="false">SUM(R12:R42)</f>
        <v>104.31</v>
      </c>
      <c r="S44" s="115" t="n">
        <f aca="false">SUM(S12:S42)</f>
        <v>1.4</v>
      </c>
      <c r="T44" s="260" t="n">
        <f aca="false">SUM(T12:T42)</f>
        <v>0</v>
      </c>
      <c r="U44" s="115" t="n">
        <f aca="false">SUM(U12:U42)</f>
        <v>1075.1</v>
      </c>
      <c r="V44" s="115" t="n">
        <f aca="false">SUM(V12:V42)</f>
        <v>481.9</v>
      </c>
      <c r="W44" s="115" t="n">
        <f aca="false">SUM(W12:W42)</f>
        <v>3449.160693</v>
      </c>
      <c r="X44" s="115"/>
      <c r="Y44" s="115"/>
      <c r="Z44" s="115"/>
      <c r="AA44" s="115" t="n">
        <f aca="false">SUM(AA12:AA42)</f>
        <v>50.5</v>
      </c>
      <c r="AB44" s="627" t="n">
        <f aca="false">SUM(AB12:AB42)</f>
        <v>52.7</v>
      </c>
      <c r="AC44" s="627" t="n">
        <f aca="false">SUM(AC12:AC42)</f>
        <v>40.3</v>
      </c>
      <c r="AD44" s="115" t="n">
        <f aca="false">SUM(AD12:AD42)</f>
        <v>1360</v>
      </c>
      <c r="AE44" s="115"/>
      <c r="AF44" s="115" t="n">
        <f aca="false">SUM(AF12:AF42)</f>
        <v>5863.5</v>
      </c>
      <c r="AG44" s="115" t="n">
        <f aca="false">SUM(AG12:AG42)</f>
        <v>838.338656415427</v>
      </c>
      <c r="AH44" s="115" t="n">
        <f aca="false">SUM(AH12:AH42)</f>
        <v>6701.83865641543</v>
      </c>
      <c r="AI44" s="392" t="n">
        <f aca="false">SUM(AI12:AI42)</f>
        <v>0.48</v>
      </c>
      <c r="AJ44" s="264" t="n">
        <f aca="false">AVERAGE(AJ12:AJ42)</f>
        <v>64.7741935483871</v>
      </c>
      <c r="AK44" s="265" t="n">
        <f aca="false">AVERAGE(AK12:AK42)</f>
        <v>32.741935483871</v>
      </c>
      <c r="AL44" s="264" t="s">
        <v>108</v>
      </c>
      <c r="AM44" s="115" t="n">
        <f aca="false">SUM(AM12:AM42)</f>
        <v>13.56</v>
      </c>
      <c r="AN44" s="261"/>
      <c r="AO44" s="258"/>
      <c r="AP44" s="264" t="n">
        <f aca="false">SUM(AP12:AP42)</f>
        <v>0</v>
      </c>
      <c r="AR44" s="264"/>
    </row>
    <row r="45" customFormat="false" ht="12.95" hidden="false" customHeight="true" outlineLevel="0" collapsed="false">
      <c r="A45" s="187" t="s">
        <v>79</v>
      </c>
      <c r="B45" s="256"/>
      <c r="C45" s="115"/>
      <c r="D45" s="115" t="n">
        <f aca="false">SUM(D12:D42)</f>
        <v>-3399</v>
      </c>
      <c r="E45" s="115"/>
      <c r="F45" s="257" t="n">
        <f aca="false">F44*$D$2</f>
        <v>-3399</v>
      </c>
      <c r="G45" s="115" t="n">
        <f aca="false">G44*$D$2</f>
        <v>9542.6185</v>
      </c>
      <c r="H45" s="264" t="n">
        <f aca="false">H44*$D$2</f>
        <v>104.41144</v>
      </c>
      <c r="I45" s="115" t="n">
        <f aca="false">I44*$D$2</f>
        <v>9647.02994</v>
      </c>
      <c r="J45" s="115" t="n">
        <f aca="false">J44*$D$2</f>
        <v>247.067035</v>
      </c>
      <c r="K45" s="115" t="n">
        <f aca="false">K44*$D$2</f>
        <v>9894.096975</v>
      </c>
      <c r="L45" s="115" t="n">
        <f aca="false">L44*$D$2</f>
        <v>-1415.77769</v>
      </c>
      <c r="M45" s="259" t="n">
        <f aca="false">M44*$D$2</f>
        <v>5744.216</v>
      </c>
      <c r="N45" s="115" t="n">
        <f aca="false">N44*$D$2</f>
        <v>115.8933403345</v>
      </c>
      <c r="O45" s="115" t="n">
        <f aca="false">O44*$D$2</f>
        <v>2636.8748175</v>
      </c>
      <c r="P45" s="258" t="n">
        <f aca="false">P44*$D$2</f>
        <v>0</v>
      </c>
      <c r="Q45" s="115" t="n">
        <f aca="false">Q44*$D$2</f>
        <v>102.2307801</v>
      </c>
      <c r="R45" s="115" t="n">
        <f aca="false">R44*$D$2</f>
        <v>206.898885</v>
      </c>
      <c r="S45" s="115" t="n">
        <f aca="false">S44*$D$2</f>
        <v>2.7769</v>
      </c>
      <c r="T45" s="260" t="n">
        <f aca="false">T44*$D$2</f>
        <v>0</v>
      </c>
      <c r="U45" s="115" t="n">
        <f aca="false">U44*$D$2</f>
        <v>2132.46085</v>
      </c>
      <c r="V45" s="115" t="n">
        <f aca="false">V44*$D$2</f>
        <v>955.84865</v>
      </c>
      <c r="W45" s="115" t="n">
        <f aca="false">W44*$D$2</f>
        <v>6841.4102345655</v>
      </c>
      <c r="X45" s="115"/>
      <c r="Y45" s="115"/>
      <c r="Z45" s="115"/>
      <c r="AA45" s="115" t="n">
        <f aca="false">AA44*$D$2</f>
        <v>100.16675</v>
      </c>
      <c r="AB45" s="627" t="n">
        <f aca="false">AB44*$D$2</f>
        <v>104.53045</v>
      </c>
      <c r="AC45" s="627" t="n">
        <f aca="false">AC44*$D$2</f>
        <v>79.93505</v>
      </c>
      <c r="AD45" s="115" t="n">
        <f aca="false">AD44*$D$2</f>
        <v>2697.56</v>
      </c>
      <c r="AE45" s="115"/>
      <c r="AF45" s="115" t="n">
        <f aca="false">AF44*$D$2</f>
        <v>11630.25225</v>
      </c>
      <c r="AG45" s="115" t="n">
        <f aca="false">AG44*$D$2</f>
        <v>1662.844725</v>
      </c>
      <c r="AH45" s="115" t="n">
        <f aca="false">AH44*$D$2</f>
        <v>13293.096975</v>
      </c>
      <c r="AI45" s="392"/>
      <c r="AJ45" s="264" t="n">
        <f aca="false">MAX(AJ12:AJ42)</f>
        <v>75</v>
      </c>
      <c r="AK45" s="265" t="n">
        <f aca="false">MAX(AK12:AK42)</f>
        <v>50</v>
      </c>
      <c r="AL45" s="264" t="s">
        <v>80</v>
      </c>
      <c r="AM45" s="115"/>
      <c r="AN45" s="261"/>
      <c r="AO45" s="258" t="n">
        <f aca="false">SUM(AO12:AO42)</f>
        <v>0.188091191949595</v>
      </c>
      <c r="AP45" s="264" t="n">
        <f aca="false">AP44*$D$2</f>
        <v>0</v>
      </c>
      <c r="AR45" s="264"/>
    </row>
    <row r="46" customFormat="false" ht="3" hidden="false" customHeight="true" outlineLevel="0" collapsed="false">
      <c r="A46" s="290"/>
      <c r="B46" s="287"/>
      <c r="C46" s="272"/>
      <c r="D46" s="272"/>
      <c r="E46" s="272"/>
      <c r="F46" s="291"/>
      <c r="G46" s="272"/>
      <c r="H46" s="281"/>
      <c r="I46" s="272"/>
      <c r="J46" s="272"/>
      <c r="K46" s="272"/>
      <c r="L46" s="272"/>
      <c r="M46" s="292"/>
      <c r="N46" s="272"/>
      <c r="O46" s="272"/>
      <c r="P46" s="275"/>
      <c r="Q46" s="272"/>
      <c r="R46" s="272"/>
      <c r="S46" s="272"/>
      <c r="T46" s="277"/>
      <c r="U46" s="272"/>
      <c r="V46" s="272"/>
      <c r="W46" s="272"/>
      <c r="X46" s="272"/>
      <c r="Y46" s="272"/>
      <c r="Z46" s="272"/>
      <c r="AA46" s="272"/>
      <c r="AB46" s="637"/>
      <c r="AC46" s="637"/>
      <c r="AD46" s="272"/>
      <c r="AE46" s="273"/>
      <c r="AF46" s="272"/>
      <c r="AG46" s="272"/>
      <c r="AH46" s="272"/>
      <c r="AI46" s="294"/>
      <c r="AJ46" s="272"/>
      <c r="AK46" s="291"/>
      <c r="AL46" s="272"/>
      <c r="AM46" s="272"/>
      <c r="AN46" s="278"/>
      <c r="AO46" s="275"/>
      <c r="AP46" s="281"/>
      <c r="AQ46" s="281"/>
      <c r="AR46" s="281"/>
    </row>
    <row r="47" customFormat="false" ht="12.95" hidden="false" customHeight="true" outlineLevel="0" collapsed="false">
      <c r="A47" s="187" t="s">
        <v>81</v>
      </c>
      <c r="B47" s="256"/>
      <c r="C47" s="115"/>
      <c r="D47" s="115"/>
      <c r="E47" s="115"/>
      <c r="F47" s="257" t="n">
        <f aca="false">F9+F44</f>
        <v>-11045.6264179481</v>
      </c>
      <c r="G47" s="115" t="n">
        <f aca="false">G9+G44</f>
        <v>116205</v>
      </c>
      <c r="H47" s="264" t="n">
        <f aca="false">H9+H44</f>
        <v>2076.83</v>
      </c>
      <c r="I47" s="115" t="n">
        <f aca="false">I9+I44</f>
        <v>118281.83</v>
      </c>
      <c r="J47" s="115" t="n">
        <f aca="false">J9+J44</f>
        <v>7636.2337509453</v>
      </c>
      <c r="K47" s="115" t="n">
        <f aca="false">K9+K44</f>
        <v>125918.063750945</v>
      </c>
      <c r="L47" s="115" t="n">
        <f aca="false">L9+L44</f>
        <v>1330.85358205193</v>
      </c>
      <c r="M47" s="259" t="n">
        <f aca="false">M9+M44</f>
        <v>43218.3</v>
      </c>
      <c r="N47" s="115" t="n">
        <f aca="false">N9+N44</f>
        <v>403.346558</v>
      </c>
      <c r="O47" s="115" t="n">
        <f aca="false">O9+O44</f>
        <v>13637.3525</v>
      </c>
      <c r="P47" s="258" t="n">
        <f aca="false">P9+P44</f>
        <v>7.32</v>
      </c>
      <c r="Q47" s="115"/>
      <c r="R47" s="115"/>
      <c r="S47" s="115"/>
      <c r="T47" s="260"/>
      <c r="U47" s="115" t="n">
        <f aca="false">U9+U44</f>
        <v>23138.1</v>
      </c>
      <c r="V47" s="115" t="n">
        <f aca="false">V9+V44</f>
        <v>11395.7</v>
      </c>
      <c r="W47" s="115" t="n">
        <f aca="false">W9+W44</f>
        <v>62834.490542</v>
      </c>
      <c r="X47" s="115" t="n">
        <f aca="false">X26</f>
        <v>0</v>
      </c>
      <c r="Y47" s="115"/>
      <c r="Z47" s="115"/>
      <c r="AA47" s="115" t="n">
        <f aca="false">AA9+AA44</f>
        <v>24919.2</v>
      </c>
      <c r="AB47" s="627" t="n">
        <f aca="false">AB9+AB44</f>
        <v>363.8</v>
      </c>
      <c r="AC47" s="627" t="n">
        <f aca="false">AC9+AC44</f>
        <v>278.2</v>
      </c>
      <c r="AD47" s="115"/>
      <c r="AE47" s="115"/>
      <c r="AF47" s="115" t="n">
        <f aca="false">AF9+AF44</f>
        <v>130658.31</v>
      </c>
      <c r="AG47" s="115" t="n">
        <f aca="false">AG9+AG44</f>
        <v>6305.38016889337</v>
      </c>
      <c r="AH47" s="115" t="n">
        <f aca="false">AH9+AH44</f>
        <v>136963.690168893</v>
      </c>
      <c r="AI47" s="392"/>
      <c r="AJ47" s="264" t="n">
        <f aca="false">MIN(AJ12:AJ42)</f>
        <v>41</v>
      </c>
      <c r="AK47" s="265" t="n">
        <f aca="false">MIN(AK12:AK42)</f>
        <v>18</v>
      </c>
      <c r="AL47" s="264" t="s">
        <v>82</v>
      </c>
      <c r="AM47" s="264"/>
      <c r="AN47" s="261"/>
      <c r="AO47" s="258"/>
      <c r="AP47" s="264" t="n">
        <f aca="false">AP9+AP44</f>
        <v>1036.55</v>
      </c>
      <c r="AQ47" s="264" t="n">
        <f aca="false">AQ9+AQ44</f>
        <v>339.21</v>
      </c>
      <c r="AR47" s="264" t="n">
        <f aca="false">AR42</f>
        <v>1276.953</v>
      </c>
    </row>
    <row r="48" customFormat="false" ht="12.95" hidden="false" customHeight="true" outlineLevel="0" collapsed="false">
      <c r="A48" s="187" t="s">
        <v>83</v>
      </c>
      <c r="B48" s="256"/>
      <c r="C48" s="115"/>
      <c r="D48" s="115"/>
      <c r="E48" s="115"/>
      <c r="F48" s="257" t="n">
        <f aca="false">F47*$D$2</f>
        <v>-21909</v>
      </c>
      <c r="G48" s="115" t="n">
        <f aca="false">G47*$D$2</f>
        <v>230492.6175</v>
      </c>
      <c r="H48" s="264" t="n">
        <f aca="false">H47*$D$2</f>
        <v>4119.392305</v>
      </c>
      <c r="I48" s="115" t="n">
        <f aca="false">I47*$D$2</f>
        <v>234612.009805</v>
      </c>
      <c r="J48" s="115" t="n">
        <f aca="false">J47*$D$2</f>
        <v>15146.469645</v>
      </c>
      <c r="K48" s="115" t="n">
        <f aca="false">K47*$D$2</f>
        <v>249758.47945</v>
      </c>
      <c r="L48" s="115" t="n">
        <f aca="false">L47*$D$2</f>
        <v>2639.74808</v>
      </c>
      <c r="M48" s="259" t="n">
        <f aca="false">M47*$D$2</f>
        <v>85723.49805</v>
      </c>
      <c r="N48" s="115" t="n">
        <f aca="false">N47*$D$2</f>
        <v>800.037897793</v>
      </c>
      <c r="O48" s="115" t="n">
        <f aca="false">O47*$D$2</f>
        <v>27049.68868375</v>
      </c>
      <c r="P48" s="258" t="n">
        <f aca="false">P47*$D$2</f>
        <v>14.51922</v>
      </c>
      <c r="Q48" s="115"/>
      <c r="R48" s="115"/>
      <c r="S48" s="115"/>
      <c r="T48" s="260"/>
      <c r="U48" s="115" t="n">
        <f aca="false">U47*$D$2</f>
        <v>45894.42135</v>
      </c>
      <c r="V48" s="115" t="n">
        <f aca="false">V47*$D$2</f>
        <v>22603.37095</v>
      </c>
      <c r="W48" s="115" t="n">
        <f aca="false">W47*$D$2</f>
        <v>124632.211990057</v>
      </c>
      <c r="X48" s="115" t="n">
        <f aca="false">X47*$D$2</f>
        <v>0</v>
      </c>
      <c r="Y48" s="115"/>
      <c r="Z48" s="115"/>
      <c r="AA48" s="115" t="n">
        <f aca="false">AA47*$D$2</f>
        <v>49427.2332</v>
      </c>
      <c r="AB48" s="627" t="n">
        <f aca="false">AB47*$D$2</f>
        <v>721.5973</v>
      </c>
      <c r="AC48" s="627" t="n">
        <f aca="false">AC47*$D$2</f>
        <v>551.8097</v>
      </c>
      <c r="AD48" s="115"/>
      <c r="AE48" s="115"/>
      <c r="AF48" s="115" t="n">
        <f aca="false">AF47*$D$2</f>
        <v>259160.757885</v>
      </c>
      <c r="AG48" s="115" t="n">
        <f aca="false">AG47*$D$2</f>
        <v>12506.721565</v>
      </c>
      <c r="AH48" s="115" t="n">
        <f aca="false">AH47*$D$2</f>
        <v>271667.47945</v>
      </c>
      <c r="AI48" s="392"/>
      <c r="AJ48" s="264"/>
      <c r="AK48" s="265"/>
      <c r="AL48" s="264"/>
      <c r="AM48" s="264"/>
      <c r="AN48" s="261"/>
      <c r="AO48" s="258" t="n">
        <f aca="false">AO9+AO45</f>
        <v>947.244265612045</v>
      </c>
      <c r="AP48" s="264" t="n">
        <f aca="false">AP47*$D$2</f>
        <v>2055.996925</v>
      </c>
      <c r="AQ48" s="264" t="n">
        <f aca="false">AQ47*$D$2</f>
        <v>672.823035</v>
      </c>
      <c r="AR48" s="264" t="n">
        <f aca="false">AR47*$D$2</f>
        <v>2532.8362755</v>
      </c>
    </row>
    <row r="49" customFormat="false" ht="3" hidden="false" customHeight="true" outlineLevel="0" collapsed="false">
      <c r="A49" s="290"/>
      <c r="B49" s="287"/>
      <c r="C49" s="272"/>
      <c r="D49" s="272"/>
      <c r="E49" s="272"/>
      <c r="F49" s="291"/>
      <c r="G49" s="272"/>
      <c r="H49" s="281"/>
      <c r="I49" s="272"/>
      <c r="J49" s="272"/>
      <c r="K49" s="272"/>
      <c r="L49" s="272"/>
      <c r="M49" s="292"/>
      <c r="N49" s="272"/>
      <c r="O49" s="272"/>
      <c r="P49" s="275"/>
      <c r="Q49" s="272"/>
      <c r="R49" s="272"/>
      <c r="S49" s="272"/>
      <c r="T49" s="277"/>
      <c r="U49" s="272"/>
      <c r="V49" s="272"/>
      <c r="W49" s="272"/>
      <c r="X49" s="272"/>
      <c r="Y49" s="272"/>
      <c r="Z49" s="272"/>
      <c r="AA49" s="272"/>
      <c r="AB49" s="292"/>
      <c r="AC49" s="293"/>
      <c r="AD49" s="272"/>
      <c r="AE49" s="272"/>
      <c r="AF49" s="272"/>
      <c r="AG49" s="272"/>
      <c r="AH49" s="272"/>
      <c r="AI49" s="547"/>
      <c r="AJ49" s="275"/>
      <c r="AK49" s="673"/>
      <c r="AL49" s="275"/>
      <c r="AM49" s="275"/>
      <c r="AN49" s="278"/>
      <c r="AO49" s="275"/>
      <c r="AP49" s="281"/>
      <c r="AQ49" s="281"/>
      <c r="AR49" s="281"/>
    </row>
    <row r="50" customFormat="false" ht="12.95" hidden="false" customHeight="true" outlineLevel="0" collapsed="false">
      <c r="A50" s="187" t="s">
        <v>84</v>
      </c>
      <c r="B50" s="256"/>
      <c r="C50" s="115"/>
      <c r="D50" s="115"/>
      <c r="E50" s="115"/>
      <c r="F50" s="257" t="n">
        <f aca="false">F10+F44</f>
        <v>8549.53365263424</v>
      </c>
      <c r="G50" s="115" t="n">
        <f aca="false">G10+G44</f>
        <v>138826</v>
      </c>
      <c r="H50" s="264" t="n">
        <f aca="false">H10+H44</f>
        <v>3564.41</v>
      </c>
      <c r="I50" s="115" t="n">
        <f aca="false">I10+I44</f>
        <v>142390.41</v>
      </c>
      <c r="J50" s="115" t="n">
        <f aca="false">J10+J44</f>
        <v>14725.1680337787</v>
      </c>
      <c r="K50" s="115" t="n">
        <f aca="false">K10+K44</f>
        <v>157115.578033779</v>
      </c>
      <c r="L50" s="115" t="n">
        <f aca="false">L10+L44</f>
        <v>7078.93365263424</v>
      </c>
      <c r="M50" s="259" t="n">
        <f aca="false">M10+M44</f>
        <v>44214.7</v>
      </c>
      <c r="N50" s="115" t="n">
        <f aca="false">N10+N44</f>
        <v>403.346558</v>
      </c>
      <c r="O50" s="115" t="n">
        <f aca="false">O10+O44</f>
        <v>13637.3525</v>
      </c>
      <c r="P50" s="258"/>
      <c r="Q50" s="115" t="n">
        <f aca="false">Q10+Q44</f>
        <v>712.6434</v>
      </c>
      <c r="R50" s="264" t="n">
        <f aca="false">R10+R44</f>
        <v>1255.003</v>
      </c>
      <c r="S50" s="115" t="n">
        <f aca="false">S10+S44</f>
        <v>370.75</v>
      </c>
      <c r="T50" s="260" t="n">
        <f aca="false">T10+T44</f>
        <v>-61.236</v>
      </c>
      <c r="U50" s="115" t="n">
        <f aca="false">U10+U44</f>
        <v>28513.1</v>
      </c>
      <c r="V50" s="115" t="n">
        <f aca="false">V10+V44</f>
        <v>11521.8</v>
      </c>
      <c r="W50" s="115" t="n">
        <f aca="false">W10+W44</f>
        <v>68471.506142</v>
      </c>
      <c r="X50" s="115"/>
      <c r="Y50" s="115"/>
      <c r="Z50" s="115"/>
      <c r="AA50" s="115"/>
      <c r="AB50" s="259"/>
      <c r="AC50" s="262"/>
      <c r="AD50" s="115" t="n">
        <f aca="false">AD10+AD44</f>
        <v>32031.61</v>
      </c>
      <c r="AE50" s="115" t="n">
        <f aca="false">AE42</f>
        <v>4938.82307285102</v>
      </c>
      <c r="AF50" s="115" t="n">
        <f aca="false">AF10+AF44</f>
        <v>140919.81</v>
      </c>
      <c r="AG50" s="115" t="n">
        <f aca="false">AG10+AG44</f>
        <v>7646.23438114444</v>
      </c>
      <c r="AH50" s="115" t="n">
        <f aca="false">AH10+AH44</f>
        <v>148566.044381144</v>
      </c>
      <c r="AI50" s="546" t="n">
        <f aca="false">AI10+AI44</f>
        <v>11.21</v>
      </c>
      <c r="AJ50" s="264"/>
      <c r="AK50" s="265"/>
      <c r="AL50" s="264"/>
      <c r="AM50" s="115" t="n">
        <f aca="false">AM10+AM44</f>
        <v>278.3072</v>
      </c>
      <c r="AN50" s="261"/>
      <c r="AO50" s="258"/>
      <c r="AP50" s="264" t="n">
        <f aca="false">AP10+AP44</f>
        <v>0</v>
      </c>
      <c r="AQ50" s="264"/>
    </row>
    <row r="51" customFormat="false" ht="12.95" hidden="false" customHeight="true" outlineLevel="0" collapsed="false">
      <c r="A51" s="187" t="s">
        <v>85</v>
      </c>
      <c r="B51" s="256"/>
      <c r="C51" s="115"/>
      <c r="D51" s="115" t="n">
        <f aca="false">D10+D45</f>
        <v>16958</v>
      </c>
      <c r="E51" s="115" t="n">
        <f aca="false">E42</f>
        <v>135879</v>
      </c>
      <c r="F51" s="257" t="n">
        <f aca="false">F50*$D$2</f>
        <v>16958</v>
      </c>
      <c r="G51" s="115" t="n">
        <f aca="false">G50*$D$2</f>
        <v>275361.371</v>
      </c>
      <c r="H51" s="264" t="n">
        <f aca="false">H50*$D$2</f>
        <v>7070.007235</v>
      </c>
      <c r="I51" s="115" t="n">
        <f aca="false">I50*$D$2</f>
        <v>282431.378235</v>
      </c>
      <c r="J51" s="115" t="n">
        <f aca="false">J50*$D$2</f>
        <v>29207.370795</v>
      </c>
      <c r="K51" s="115" t="n">
        <f aca="false">K50*$D$2</f>
        <v>311638.74903</v>
      </c>
      <c r="L51" s="115" t="n">
        <f aca="false">L50*$D$2</f>
        <v>14041.0649</v>
      </c>
      <c r="M51" s="259" t="n">
        <f aca="false">M50*$D$2</f>
        <v>87699.85745</v>
      </c>
      <c r="N51" s="115" t="n">
        <f aca="false">N50*$D$2</f>
        <v>800.037897793</v>
      </c>
      <c r="O51" s="115" t="n">
        <f aca="false">O50*$D$2</f>
        <v>27049.68868375</v>
      </c>
      <c r="P51" s="258"/>
      <c r="Q51" s="264" t="n">
        <f aca="false">Q50*$D$2</f>
        <v>1413.5281839</v>
      </c>
      <c r="R51" s="264" t="n">
        <f aca="false">R50*$D$2</f>
        <v>2489.2984505</v>
      </c>
      <c r="S51" s="268" t="n">
        <f aca="false">S50*$D$2</f>
        <v>735.382625</v>
      </c>
      <c r="T51" s="674" t="n">
        <f aca="false">T50*$D$2</f>
        <v>-121.461606</v>
      </c>
      <c r="U51" s="115" t="n">
        <f aca="false">U50*$D$2</f>
        <v>56555.73385</v>
      </c>
      <c r="V51" s="115" t="n">
        <f aca="false">V50*$D$2</f>
        <v>22853.4903</v>
      </c>
      <c r="W51" s="115" t="n">
        <f aca="false">W50*$D$2</f>
        <v>135813.232432657</v>
      </c>
      <c r="X51" s="115"/>
      <c r="Y51" s="115"/>
      <c r="Z51" s="115"/>
      <c r="AA51" s="115"/>
      <c r="AB51" s="297"/>
      <c r="AC51" s="298"/>
      <c r="AD51" s="115" t="n">
        <f aca="false">AD50*$D$2</f>
        <v>63534.698435</v>
      </c>
      <c r="AE51" s="115" t="n">
        <f aca="false">AE50*$D$2</f>
        <v>9796.155565</v>
      </c>
      <c r="AF51" s="115" t="n">
        <f aca="false">AF50*$D$2</f>
        <v>279514.443135</v>
      </c>
      <c r="AG51" s="115" t="n">
        <f aca="false">AG50*$D$2</f>
        <v>15166.305895</v>
      </c>
      <c r="AH51" s="115" t="n">
        <f aca="false">AH50*$D$2</f>
        <v>294680.74903</v>
      </c>
      <c r="AI51" s="392"/>
      <c r="AJ51" s="264"/>
      <c r="AK51" s="265"/>
      <c r="AL51" s="264" t="n">
        <f aca="false">AL42</f>
        <v>10571</v>
      </c>
      <c r="AM51" s="115" t="n">
        <f aca="false">AM50*$D$2</f>
        <v>552.0223312</v>
      </c>
      <c r="AN51" s="261"/>
      <c r="AO51" s="258" t="n">
        <f aca="false">AO10+AO45</f>
        <v>947.244265612045</v>
      </c>
      <c r="AP51" s="264" t="n">
        <f aca="false">AP50*$D$2</f>
        <v>0</v>
      </c>
      <c r="AQ51" s="264"/>
    </row>
    <row r="52" customFormat="false" ht="3" hidden="false" customHeight="true" outlineLevel="0" collapsed="false">
      <c r="A52" s="270"/>
      <c r="B52" s="352"/>
      <c r="C52" s="338"/>
      <c r="D52" s="270"/>
      <c r="E52" s="338"/>
      <c r="F52" s="339"/>
      <c r="G52" s="270"/>
      <c r="H52" s="675"/>
      <c r="I52" s="270"/>
      <c r="J52" s="270"/>
      <c r="K52" s="270"/>
      <c r="L52" s="270"/>
      <c r="M52" s="556"/>
      <c r="N52" s="270"/>
      <c r="O52" s="270"/>
      <c r="P52" s="342"/>
      <c r="Q52" s="270"/>
      <c r="R52" s="676"/>
      <c r="S52" s="270"/>
      <c r="T52" s="343"/>
      <c r="U52" s="270"/>
      <c r="V52" s="270"/>
      <c r="W52" s="270"/>
      <c r="X52" s="338"/>
      <c r="Y52" s="338"/>
      <c r="Z52" s="338"/>
      <c r="AA52" s="270"/>
      <c r="AB52" s="276"/>
      <c r="AC52" s="279"/>
      <c r="AD52" s="270"/>
      <c r="AE52" s="338"/>
      <c r="AF52" s="270"/>
      <c r="AG52" s="270"/>
      <c r="AH52" s="270"/>
      <c r="AI52" s="352"/>
      <c r="AJ52" s="270"/>
      <c r="AK52" s="339"/>
      <c r="AL52" s="270"/>
      <c r="AM52" s="270"/>
      <c r="AN52" s="555"/>
      <c r="AO52" s="342"/>
      <c r="AP52" s="270"/>
      <c r="AQ52" s="270"/>
      <c r="AR52" s="270"/>
    </row>
    <row r="53" customFormat="false" ht="11.1" hidden="false" customHeight="true" outlineLevel="0" collapsed="false">
      <c r="A53" s="301"/>
      <c r="B53" s="301"/>
      <c r="C53" s="180"/>
      <c r="D53" s="301"/>
      <c r="E53" s="180"/>
      <c r="F53" s="301"/>
      <c r="G53" s="302"/>
      <c r="H53" s="677"/>
      <c r="I53" s="169"/>
      <c r="J53" s="301"/>
      <c r="K53" s="301"/>
      <c r="L53" s="301"/>
      <c r="M53" s="183"/>
      <c r="N53" s="11"/>
      <c r="O53" s="183"/>
      <c r="P53" s="181"/>
      <c r="Q53" s="183"/>
      <c r="R53" s="301"/>
      <c r="S53" s="301"/>
      <c r="T53" s="181"/>
      <c r="U53" s="301"/>
      <c r="V53" s="301"/>
      <c r="W53" s="0"/>
      <c r="X53" s="180"/>
      <c r="Y53" s="180"/>
      <c r="Z53" s="180"/>
      <c r="AA53" s="174"/>
      <c r="AB53" s="174"/>
      <c r="AC53" s="174"/>
      <c r="AD53" s="180"/>
      <c r="AE53" s="301"/>
      <c r="AF53" s="301"/>
      <c r="AG53" s="301"/>
      <c r="AH53" s="181"/>
      <c r="AI53" s="184"/>
      <c r="AJ53" s="185"/>
      <c r="AK53" s="186"/>
      <c r="AL53" s="361"/>
      <c r="AM53" s="361"/>
      <c r="AN53" s="395"/>
      <c r="AO53" s="394"/>
    </row>
    <row r="54" customFormat="false" ht="11.1" hidden="false" customHeight="true" outlineLevel="0" collapsed="false">
      <c r="A54" s="179"/>
      <c r="B54" s="620"/>
      <c r="C54" s="11"/>
      <c r="D54" s="168"/>
      <c r="E54" s="509"/>
      <c r="F54" s="532"/>
      <c r="G54" s="0"/>
      <c r="H54" s="678"/>
      <c r="I54" s="12"/>
      <c r="J54" s="10"/>
      <c r="K54" s="169"/>
      <c r="L54" s="10"/>
      <c r="M54" s="10"/>
      <c r="N54" s="11" t="s">
        <v>127</v>
      </c>
      <c r="O54" s="11" t="n">
        <v>24517</v>
      </c>
      <c r="P54" s="538" t="s">
        <v>128</v>
      </c>
      <c r="Q54" s="538"/>
      <c r="R54" s="102"/>
      <c r="S54" s="102"/>
      <c r="T54" s="102"/>
      <c r="U54" s="533"/>
      <c r="V54" s="137"/>
      <c r="W54" s="534"/>
      <c r="X54" s="180"/>
      <c r="Y54" s="243"/>
      <c r="Z54" s="243"/>
      <c r="AA54" s="43"/>
      <c r="AB54" s="43"/>
      <c r="AC54" s="43"/>
      <c r="AD54" s="10"/>
      <c r="AE54" s="11"/>
      <c r="AF54" s="11"/>
      <c r="AG54" s="179"/>
      <c r="AH54" s="181"/>
      <c r="AI54" s="185"/>
      <c r="AJ54" s="185"/>
      <c r="AK54" s="185"/>
      <c r="AL54" s="621"/>
      <c r="AM54" s="621"/>
      <c r="AN54" s="395"/>
      <c r="AO54" s="619"/>
      <c r="AP54" s="664"/>
    </row>
    <row r="55" customFormat="false" ht="11.1" hidden="false" customHeight="true" outlineLevel="0" collapsed="false">
      <c r="A55" s="301"/>
      <c r="B55" s="180"/>
      <c r="E55" s="509"/>
      <c r="F55" s="510"/>
      <c r="G55" s="0"/>
      <c r="H55" s="678"/>
      <c r="I55" s="168"/>
      <c r="J55" s="168"/>
      <c r="K55" s="535"/>
      <c r="L55" s="135"/>
      <c r="M55" s="135"/>
      <c r="N55" s="135"/>
      <c r="O55" s="180" t="n">
        <f aca="false">O51</f>
        <v>27049.68868375</v>
      </c>
      <c r="P55" s="181" t="s">
        <v>134</v>
      </c>
      <c r="Q55" s="181"/>
      <c r="R55" s="102"/>
      <c r="S55" s="102"/>
      <c r="T55" s="102"/>
      <c r="U55" s="533"/>
      <c r="V55" s="137"/>
      <c r="W55" s="99"/>
      <c r="X55" s="180"/>
      <c r="Y55" s="180"/>
      <c r="Z55" s="180"/>
      <c r="AA55" s="180"/>
      <c r="AB55" s="180"/>
      <c r="AC55" s="180"/>
      <c r="AD55" s="11"/>
      <c r="AE55" s="533"/>
      <c r="AF55" s="533"/>
      <c r="AG55" s="301"/>
      <c r="AH55" s="181"/>
      <c r="AI55" s="185"/>
      <c r="AJ55" s="185"/>
      <c r="AK55" s="186"/>
      <c r="AL55" s="361"/>
      <c r="AM55" s="361"/>
      <c r="AN55" s="395"/>
      <c r="AP55" s="664"/>
    </row>
    <row r="56" customFormat="false" ht="11.1" hidden="false" customHeight="true" outlineLevel="0" collapsed="false">
      <c r="A56" s="301"/>
      <c r="B56" s="301"/>
      <c r="C56" s="180"/>
      <c r="D56" s="180"/>
      <c r="E56" s="509"/>
      <c r="F56" s="0"/>
      <c r="G56" s="0"/>
      <c r="H56" s="243"/>
      <c r="I56" s="0"/>
      <c r="J56" s="168"/>
      <c r="K56" s="535"/>
      <c r="L56" s="185"/>
      <c r="M56" s="135"/>
      <c r="N56" s="135"/>
      <c r="O56" s="665" t="n">
        <f aca="false">O55-O54</f>
        <v>2532.68868375</v>
      </c>
      <c r="P56" s="181" t="s">
        <v>135</v>
      </c>
      <c r="Q56" s="181"/>
      <c r="R56" s="102"/>
      <c r="S56" s="102"/>
      <c r="T56" s="102"/>
      <c r="U56" s="477"/>
      <c r="V56" s="477"/>
      <c r="W56" s="99"/>
      <c r="X56" s="185"/>
      <c r="Y56" s="185"/>
      <c r="Z56" s="185"/>
      <c r="AA56" s="180"/>
      <c r="AB56" s="180"/>
      <c r="AC56" s="180"/>
      <c r="AD56" s="11"/>
      <c r="AE56" s="180"/>
      <c r="AF56" s="180"/>
      <c r="AG56" s="301"/>
      <c r="AH56" s="512"/>
      <c r="AI56" s="185"/>
      <c r="AJ56" s="185"/>
      <c r="AK56" s="186"/>
      <c r="AL56" s="361"/>
      <c r="AM56" s="361"/>
      <c r="AN56" s="395"/>
      <c r="AP56" s="664"/>
    </row>
    <row r="57" customFormat="false" ht="11.1" hidden="false" customHeight="true" outlineLevel="0" collapsed="false">
      <c r="A57" s="301"/>
      <c r="B57" s="301"/>
      <c r="C57" s="180"/>
      <c r="D57" s="301"/>
      <c r="E57" s="180"/>
      <c r="F57" s="301"/>
      <c r="G57" s="303"/>
      <c r="H57" s="679"/>
      <c r="I57" s="301"/>
      <c r="J57" s="301"/>
      <c r="K57" s="301"/>
      <c r="L57" s="301"/>
      <c r="M57" s="183"/>
      <c r="N57" s="183"/>
      <c r="O57" s="183"/>
      <c r="P57" s="181"/>
      <c r="Q57" s="181"/>
      <c r="R57" s="181"/>
      <c r="S57" s="181"/>
      <c r="T57" s="181"/>
      <c r="U57" s="301"/>
      <c r="V57" s="301"/>
      <c r="W57" s="0"/>
      <c r="X57" s="180"/>
      <c r="Y57" s="180"/>
      <c r="Z57" s="180"/>
      <c r="AD57" s="180"/>
      <c r="AE57" s="301"/>
      <c r="AF57" s="301"/>
      <c r="AG57" s="301"/>
      <c r="AH57" s="181"/>
      <c r="AI57" s="184"/>
      <c r="AJ57" s="185"/>
      <c r="AK57" s="186"/>
      <c r="AL57" s="361"/>
      <c r="AM57" s="361"/>
      <c r="AN57" s="395"/>
      <c r="AP57" s="664"/>
    </row>
    <row r="58" customFormat="false" ht="11.1" hidden="false" customHeight="true" outlineLevel="0" collapsed="false">
      <c r="H58" s="677"/>
      <c r="Q58" s="173"/>
      <c r="R58" s="173"/>
      <c r="S58" s="173"/>
      <c r="U58" s="622"/>
      <c r="V58" s="171"/>
      <c r="W58" s="180"/>
      <c r="X58" s="180"/>
      <c r="Y58" s="180"/>
      <c r="Z58" s="180"/>
      <c r="AD58" s="172"/>
      <c r="AF58" s="171"/>
      <c r="AG58" s="171"/>
      <c r="AH58" s="173"/>
      <c r="AI58" s="175"/>
      <c r="AJ58" s="176"/>
      <c r="AK58" s="177"/>
      <c r="AL58" s="623"/>
      <c r="AM58" s="623"/>
      <c r="AP58" s="664"/>
    </row>
    <row r="59" customFormat="false" ht="11.1" hidden="false" customHeight="true" outlineLevel="0" collapsed="false">
      <c r="H59" s="677"/>
      <c r="Q59" s="174"/>
      <c r="V59" s="171"/>
      <c r="W59" s="172"/>
      <c r="Y59" s="171"/>
      <c r="Z59" s="171"/>
      <c r="AD59" s="172"/>
      <c r="AF59" s="171"/>
      <c r="AG59" s="171"/>
      <c r="AH59" s="173"/>
      <c r="AI59" s="175"/>
      <c r="AJ59" s="176"/>
      <c r="AK59" s="177"/>
      <c r="AO59" s="394"/>
    </row>
  </sheetData>
  <mergeCells count="2">
    <mergeCell ref="K2:Z2"/>
    <mergeCell ref="M5:T5"/>
  </mergeCells>
  <printOptions headings="true" gridLines="true" gridLinesSet="true" horizontalCentered="true" verticalCentered="false"/>
  <pageMargins left="0.25" right="0.25" top="0.25"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7"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JOHN PORTER</dc:creator>
  <dc:description/>
  <dc:language>en-US</dc:language>
  <cp:lastModifiedBy>LaVon Millard</cp:lastModifiedBy>
  <cp:lastPrinted>2012-12-02T12:49:56Z</cp:lastPrinted>
  <dcterms:modified xsi:type="dcterms:W3CDTF">2012-12-02T12:50:36Z</dcterms:modified>
  <cp:revision>0</cp:revision>
  <dc:subject>MCPHEE IN/OUT FLOW</dc:subject>
  <dc:title>RIVER</dc:title>
</cp:coreProperties>
</file>